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43.98.1.18\SSVE_Division\TV品质保证部\部共通\部门\2制品品质课\CS\FY21_Model\20210805 WW_Pmod_SMLD_System\reports\"/>
    </mc:Choice>
  </mc:AlternateContent>
  <xr:revisionPtr revIDLastSave="0" documentId="13_ncr:1_{DD934A1A-F52F-4DE7-BAEE-95E357B505F9}" xr6:coauthVersionLast="46" xr6:coauthVersionMax="47" xr10:uidLastSave="{00000000-0000-0000-0000-000000000000}"/>
  <bookViews>
    <workbookView xWindow="-110" yWindow="-110" windowWidth="19420" windowHeight="11020" tabRatio="635" firstSheet="1" activeTab="13" xr2:uid="{00000000-000D-0000-FFFF-FFFF00000000}"/>
  </bookViews>
  <sheets>
    <sheet name="PivotTable" sheetId="18" state="hidden" r:id="rId1"/>
    <sheet name="defects" sheetId="1" r:id="rId2"/>
    <sheet name="inputs" sheetId="2" r:id="rId3"/>
    <sheet name="Weekly_Pmod" sheetId="13" state="hidden" r:id="rId4"/>
    <sheet name="Monthly_Pmod" sheetId="14" state="hidden" r:id="rId5"/>
    <sheet name="Weekly_TVPlantPmod" sheetId="11" state="hidden" r:id="rId6"/>
    <sheet name="Monthly_TVPlantPmod" sheetId="12" state="hidden" r:id="rId7"/>
    <sheet name="Weekly_TVPlant" sheetId="9" state="hidden" r:id="rId8"/>
    <sheet name="Monthly_TVPlant" sheetId="10" state="hidden" r:id="rId9"/>
    <sheet name="Weekly_All" sheetId="7" state="hidden" r:id="rId10"/>
    <sheet name="Monthly_All" sheetId="8" state="hidden" r:id="rId11"/>
    <sheet name="Weekly_PmodClassify" sheetId="15" state="hidden" r:id="rId12"/>
    <sheet name="Monthly_PmodClassify" sheetId="16" state="hidden" r:id="rId13"/>
    <sheet name="Report" sheetId="5" r:id="rId14"/>
    <sheet name="Ref" sheetId="4" state="hidden" r:id="rId15"/>
  </sheets>
  <functionGroups builtInGroupCount="19"/>
  <definedNames>
    <definedName name="_xlnm._FilterDatabase" localSheetId="1" hidden="1">defects!$A$1:$AC$1067</definedName>
    <definedName name="_xlnm._FilterDatabase" localSheetId="2" hidden="1">inputs!$A$1:$O$1136</definedName>
    <definedName name="tbl_Classify">Ref!$D:$D</definedName>
    <definedName name="tbl_FYMod">Ref!$A:$A</definedName>
    <definedName name="tbl_Pmod">Ref!$B:$B</definedName>
    <definedName name="tbl_TVPlant">Ref!$C:$C</definedName>
  </definedNames>
  <calcPr calcId="191029"/>
  <pivotCaches>
    <pivotCache cacheId="6" r:id="rId1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3" i="16" l="1"/>
  <c r="AT12" i="16" s="1"/>
  <c r="B3" i="16"/>
  <c r="C1" i="16"/>
  <c r="B1" i="16"/>
  <c r="B3" i="15"/>
  <c r="C1" i="15"/>
  <c r="B1" i="15"/>
  <c r="EB4" i="15" s="1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AM12" i="16"/>
  <c r="AN12" i="16"/>
  <c r="AO12" i="16"/>
  <c r="AP12" i="16"/>
  <c r="AV12" i="16"/>
  <c r="E15" i="16"/>
  <c r="AQ15" i="16"/>
  <c r="AU15" i="16"/>
  <c r="E16" i="16"/>
  <c r="AQ16" i="16"/>
  <c r="AU16" i="16"/>
  <c r="E17" i="16"/>
  <c r="AQ17" i="16"/>
  <c r="AU17" i="16"/>
  <c r="E18" i="16"/>
  <c r="AQ18" i="16"/>
  <c r="AU18" i="16"/>
  <c r="E19" i="16"/>
  <c r="AQ19" i="16"/>
  <c r="AU19" i="16"/>
  <c r="E20" i="16"/>
  <c r="AQ20" i="16"/>
  <c r="AU20" i="16"/>
  <c r="AS3" i="16" a="1"/>
  <c r="AS3" i="8" a="1"/>
  <c r="AS3" i="10" a="1"/>
  <c r="AS3" i="12" a="1"/>
  <c r="AR3" i="8" a="1"/>
  <c r="AR3" i="16" a="1"/>
  <c r="AR3" i="10" a="1"/>
  <c r="AR3" i="12" a="1"/>
  <c r="AR3" i="14" a="1"/>
  <c r="AR3" i="8" l="1"/>
  <c r="AR3" i="16"/>
  <c r="AR3" i="10"/>
  <c r="AR3" i="12"/>
  <c r="AR3" i="14"/>
  <c r="AS3" i="12"/>
  <c r="AS3" i="16"/>
  <c r="AS3" i="8"/>
  <c r="AS3" i="10"/>
  <c r="AU4" i="15"/>
  <c r="AJ9" i="16"/>
  <c r="CJ6" i="15"/>
  <c r="AB4" i="16"/>
  <c r="F6" i="16"/>
  <c r="AQ9" i="15"/>
  <c r="DF6" i="15"/>
  <c r="Y6" i="15"/>
  <c r="C6" i="15"/>
  <c r="AM4" i="16"/>
  <c r="AM14" i="16" s="1"/>
  <c r="AL4" i="16"/>
  <c r="AK4" i="16"/>
  <c r="AK14" i="16" s="1"/>
  <c r="AJ4" i="16"/>
  <c r="DX10" i="15"/>
  <c r="Y10" i="16"/>
  <c r="AK9" i="16"/>
  <c r="Z9" i="16"/>
  <c r="EJ4" i="15"/>
  <c r="EI4" i="15"/>
  <c r="Y9" i="16"/>
  <c r="AA4" i="16"/>
  <c r="AA14" i="16" s="1"/>
  <c r="X9" i="16"/>
  <c r="L4" i="15"/>
  <c r="O4" i="16"/>
  <c r="O14" i="16" s="1"/>
  <c r="N9" i="16"/>
  <c r="K4" i="15"/>
  <c r="M4" i="16"/>
  <c r="Z8" i="16"/>
  <c r="L4" i="16"/>
  <c r="L14" i="16" s="1"/>
  <c r="O8" i="16"/>
  <c r="EM10" i="15"/>
  <c r="EN9" i="15"/>
  <c r="AK10" i="16"/>
  <c r="N8" i="16"/>
  <c r="DX9" i="15"/>
  <c r="AJ10" i="16"/>
  <c r="AN7" i="16"/>
  <c r="T4" i="15"/>
  <c r="BM9" i="15"/>
  <c r="AI10" i="16"/>
  <c r="AM7" i="16"/>
  <c r="AB7" i="16"/>
  <c r="EI8" i="15"/>
  <c r="DA4" i="15"/>
  <c r="EA10" i="15"/>
  <c r="AU8" i="15"/>
  <c r="Z4" i="16"/>
  <c r="X10" i="16"/>
  <c r="M9" i="16"/>
  <c r="AA7" i="16"/>
  <c r="DD4" i="15"/>
  <c r="Y4" i="16"/>
  <c r="W10" i="16"/>
  <c r="L9" i="16"/>
  <c r="P7" i="16"/>
  <c r="CC4" i="15"/>
  <c r="CQ10" i="15"/>
  <c r="AF8" i="15"/>
  <c r="CB4" i="15"/>
  <c r="CE10" i="15"/>
  <c r="DQ7" i="15"/>
  <c r="X4" i="16"/>
  <c r="X14" i="16" s="1"/>
  <c r="M10" i="16"/>
  <c r="AM8" i="16"/>
  <c r="O7" i="16"/>
  <c r="CA4" i="15"/>
  <c r="CC10" i="15"/>
  <c r="DB7" i="15"/>
  <c r="P4" i="16"/>
  <c r="L10" i="16"/>
  <c r="AL8" i="16"/>
  <c r="AO6" i="16"/>
  <c r="K10" i="16"/>
  <c r="AK8" i="16"/>
  <c r="AC6" i="16"/>
  <c r="DC4" i="15"/>
  <c r="EC10" i="15"/>
  <c r="DM8" i="15"/>
  <c r="BC4" i="15"/>
  <c r="AN10" i="15"/>
  <c r="AJ7" i="15"/>
  <c r="AV4" i="15"/>
  <c r="AB10" i="15"/>
  <c r="N7" i="15"/>
  <c r="AN4" i="16"/>
  <c r="N4" i="16"/>
  <c r="N14" i="16" s="1"/>
  <c r="AL9" i="16"/>
  <c r="AA8" i="16"/>
  <c r="Q6" i="16"/>
  <c r="DL8" i="15"/>
  <c r="F6" i="15"/>
  <c r="R6" i="15"/>
  <c r="AD6" i="15"/>
  <c r="AP6" i="15"/>
  <c r="BB6" i="15"/>
  <c r="BN6" i="15"/>
  <c r="BZ6" i="15"/>
  <c r="CL6" i="15"/>
  <c r="CX6" i="15"/>
  <c r="DJ6" i="15"/>
  <c r="DV6" i="15"/>
  <c r="EH6" i="15"/>
  <c r="ET6" i="15"/>
  <c r="C7" i="15"/>
  <c r="O7" i="15"/>
  <c r="AA7" i="15"/>
  <c r="AM7" i="15"/>
  <c r="AY7" i="15"/>
  <c r="BK7" i="15"/>
  <c r="BW7" i="15"/>
  <c r="CI7" i="15"/>
  <c r="CU7" i="15"/>
  <c r="DG7" i="15"/>
  <c r="DS7" i="15"/>
  <c r="EE7" i="15"/>
  <c r="EQ7" i="15"/>
  <c r="FC7" i="15"/>
  <c r="L8" i="15"/>
  <c r="X8" i="15"/>
  <c r="AJ8" i="15"/>
  <c r="AV8" i="15"/>
  <c r="BH8" i="15"/>
  <c r="BT8" i="15"/>
  <c r="CF8" i="15"/>
  <c r="CR8" i="15"/>
  <c r="DD8" i="15"/>
  <c r="DP8" i="15"/>
  <c r="EB8" i="15"/>
  <c r="EN8" i="15"/>
  <c r="EZ8" i="15"/>
  <c r="I9" i="15"/>
  <c r="U9" i="15"/>
  <c r="AG9" i="15"/>
  <c r="AS9" i="15"/>
  <c r="BE9" i="15"/>
  <c r="BQ9" i="15"/>
  <c r="CC9" i="15"/>
  <c r="CO9" i="15"/>
  <c r="DA9" i="15"/>
  <c r="DM9" i="15"/>
  <c r="DY9" i="15"/>
  <c r="EK9" i="15"/>
  <c r="EW9" i="15"/>
  <c r="F10" i="15"/>
  <c r="R10" i="15"/>
  <c r="AD10" i="15"/>
  <c r="AP10" i="15"/>
  <c r="BB10" i="15"/>
  <c r="BN10" i="15"/>
  <c r="BZ10" i="15"/>
  <c r="CL10" i="15"/>
  <c r="CX10" i="15"/>
  <c r="DJ10" i="15"/>
  <c r="DV10" i="15"/>
  <c r="EH10" i="15"/>
  <c r="G6" i="15"/>
  <c r="S6" i="15"/>
  <c r="AE6" i="15"/>
  <c r="AQ6" i="15"/>
  <c r="BC6" i="15"/>
  <c r="BO6" i="15"/>
  <c r="CA6" i="15"/>
  <c r="CM6" i="15"/>
  <c r="CY6" i="15"/>
  <c r="DK6" i="15"/>
  <c r="DW6" i="15"/>
  <c r="EI6" i="15"/>
  <c r="EU6" i="15"/>
  <c r="D7" i="15"/>
  <c r="P7" i="15"/>
  <c r="AB7" i="15"/>
  <c r="AN7" i="15"/>
  <c r="AZ7" i="15"/>
  <c r="BL7" i="15"/>
  <c r="BX7" i="15"/>
  <c r="CJ7" i="15"/>
  <c r="CV7" i="15"/>
  <c r="DH7" i="15"/>
  <c r="DT7" i="15"/>
  <c r="EF7" i="15"/>
  <c r="ER7" i="15"/>
  <c r="FD7" i="15"/>
  <c r="M8" i="15"/>
  <c r="Y8" i="15"/>
  <c r="AK8" i="15"/>
  <c r="AW8" i="15"/>
  <c r="BI8" i="15"/>
  <c r="BU8" i="15"/>
  <c r="CG8" i="15"/>
  <c r="CS8" i="15"/>
  <c r="DE8" i="15"/>
  <c r="DQ8" i="15"/>
  <c r="EC8" i="15"/>
  <c r="EO8" i="15"/>
  <c r="FA8" i="15"/>
  <c r="J9" i="15"/>
  <c r="V9" i="15"/>
  <c r="AH9" i="15"/>
  <c r="AT9" i="15"/>
  <c r="BF9" i="15"/>
  <c r="BR9" i="15"/>
  <c r="CD9" i="15"/>
  <c r="CP9" i="15"/>
  <c r="DB9" i="15"/>
  <c r="DN9" i="15"/>
  <c r="DZ9" i="15"/>
  <c r="EL9" i="15"/>
  <c r="EX9" i="15"/>
  <c r="G10" i="15"/>
  <c r="S10" i="15"/>
  <c r="AE10" i="15"/>
  <c r="AQ10" i="15"/>
  <c r="BC10" i="15"/>
  <c r="BO10" i="15"/>
  <c r="CA10" i="15"/>
  <c r="CM10" i="15"/>
  <c r="H6" i="15"/>
  <c r="T6" i="15"/>
  <c r="AF6" i="15"/>
  <c r="AR6" i="15"/>
  <c r="BD6" i="15"/>
  <c r="BP6" i="15"/>
  <c r="CB6" i="15"/>
  <c r="CN6" i="15"/>
  <c r="CZ6" i="15"/>
  <c r="DL6" i="15"/>
  <c r="DX6" i="15"/>
  <c r="EJ6" i="15"/>
  <c r="EV6" i="15"/>
  <c r="E7" i="15"/>
  <c r="Q7" i="15"/>
  <c r="AC7" i="15"/>
  <c r="AO7" i="15"/>
  <c r="BA7" i="15"/>
  <c r="BM7" i="15"/>
  <c r="BY7" i="15"/>
  <c r="CK7" i="15"/>
  <c r="CW7" i="15"/>
  <c r="DI7" i="15"/>
  <c r="DU7" i="15"/>
  <c r="EG7" i="15"/>
  <c r="ES7" i="15"/>
  <c r="FE7" i="15"/>
  <c r="N8" i="15"/>
  <c r="Z8" i="15"/>
  <c r="AL8" i="15"/>
  <c r="AX8" i="15"/>
  <c r="BJ8" i="15"/>
  <c r="BV8" i="15"/>
  <c r="CH8" i="15"/>
  <c r="CT8" i="15"/>
  <c r="DF8" i="15"/>
  <c r="DR8" i="15"/>
  <c r="ED8" i="15"/>
  <c r="EP8" i="15"/>
  <c r="FB8" i="15"/>
  <c r="K9" i="15"/>
  <c r="W9" i="15"/>
  <c r="AI9" i="15"/>
  <c r="AU9" i="15"/>
  <c r="BG9" i="15"/>
  <c r="BS9" i="15"/>
  <c r="CE9" i="15"/>
  <c r="CQ9" i="15"/>
  <c r="DC9" i="15"/>
  <c r="DO9" i="15"/>
  <c r="EA9" i="15"/>
  <c r="EM9" i="15"/>
  <c r="EY9" i="15"/>
  <c r="I6" i="15"/>
  <c r="U6" i="15"/>
  <c r="AG6" i="15"/>
  <c r="AS6" i="15"/>
  <c r="BE6" i="15"/>
  <c r="BQ6" i="15"/>
  <c r="CC6" i="15"/>
  <c r="CO6" i="15"/>
  <c r="DA6" i="15"/>
  <c r="DM6" i="15"/>
  <c r="DY6" i="15"/>
  <c r="EK6" i="15"/>
  <c r="EW6" i="15"/>
  <c r="F7" i="15"/>
  <c r="R7" i="15"/>
  <c r="AD7" i="15"/>
  <c r="AP7" i="15"/>
  <c r="BB7" i="15"/>
  <c r="BN7" i="15"/>
  <c r="BZ7" i="15"/>
  <c r="CL7" i="15"/>
  <c r="CX7" i="15"/>
  <c r="DJ7" i="15"/>
  <c r="DV7" i="15"/>
  <c r="EH7" i="15"/>
  <c r="ET7" i="15"/>
  <c r="C8" i="15"/>
  <c r="O8" i="15"/>
  <c r="AA8" i="15"/>
  <c r="AM8" i="15"/>
  <c r="AY8" i="15"/>
  <c r="BK8" i="15"/>
  <c r="BW8" i="15"/>
  <c r="CI8" i="15"/>
  <c r="CU8" i="15"/>
  <c r="DG8" i="15"/>
  <c r="DS8" i="15"/>
  <c r="EE8" i="15"/>
  <c r="EQ8" i="15"/>
  <c r="FC8" i="15"/>
  <c r="L9" i="15"/>
  <c r="X9" i="15"/>
  <c r="AJ9" i="15"/>
  <c r="AV9" i="15"/>
  <c r="BH9" i="15"/>
  <c r="BT9" i="15"/>
  <c r="CF9" i="15"/>
  <c r="CR9" i="15"/>
  <c r="DD9" i="15"/>
  <c r="DP9" i="15"/>
  <c r="J6" i="15"/>
  <c r="V6" i="15"/>
  <c r="AH6" i="15"/>
  <c r="AT6" i="15"/>
  <c r="BF6" i="15"/>
  <c r="BR6" i="15"/>
  <c r="CD6" i="15"/>
  <c r="CP6" i="15"/>
  <c r="DB6" i="15"/>
  <c r="DN6" i="15"/>
  <c r="DZ6" i="15"/>
  <c r="EL6" i="15"/>
  <c r="EX6" i="15"/>
  <c r="G7" i="15"/>
  <c r="S7" i="15"/>
  <c r="AE7" i="15"/>
  <c r="AQ7" i="15"/>
  <c r="BC7" i="15"/>
  <c r="BO7" i="15"/>
  <c r="CA7" i="15"/>
  <c r="CM7" i="15"/>
  <c r="CY7" i="15"/>
  <c r="DK7" i="15"/>
  <c r="DW7" i="15"/>
  <c r="EI7" i="15"/>
  <c r="EU7" i="15"/>
  <c r="D8" i="15"/>
  <c r="P8" i="15"/>
  <c r="AB8" i="15"/>
  <c r="AN8" i="15"/>
  <c r="AZ8" i="15"/>
  <c r="BL8" i="15"/>
  <c r="BX8" i="15"/>
  <c r="CJ8" i="15"/>
  <c r="CV8" i="15"/>
  <c r="DH8" i="15"/>
  <c r="DT8" i="15"/>
  <c r="EF8" i="15"/>
  <c r="ER8" i="15"/>
  <c r="FD8" i="15"/>
  <c r="M9" i="15"/>
  <c r="Y9" i="15"/>
  <c r="AK9" i="15"/>
  <c r="AW9" i="15"/>
  <c r="BI9" i="15"/>
  <c r="BU9" i="15"/>
  <c r="CG9" i="15"/>
  <c r="CS9" i="15"/>
  <c r="DE9" i="15"/>
  <c r="DQ9" i="15"/>
  <c r="EC9" i="15"/>
  <c r="EO9" i="15"/>
  <c r="FA9" i="15"/>
  <c r="J10" i="15"/>
  <c r="V10" i="15"/>
  <c r="AH10" i="15"/>
  <c r="AT10" i="15"/>
  <c r="BF10" i="15"/>
  <c r="BR10" i="15"/>
  <c r="CD10" i="15"/>
  <c r="CP10" i="15"/>
  <c r="DB10" i="15"/>
  <c r="DN10" i="15"/>
  <c r="DZ10" i="15"/>
  <c r="EL10" i="15"/>
  <c r="K6" i="15"/>
  <c r="W6" i="15"/>
  <c r="AI6" i="15"/>
  <c r="AU6" i="15"/>
  <c r="BG6" i="15"/>
  <c r="BS6" i="15"/>
  <c r="CE6" i="15"/>
  <c r="CQ6" i="15"/>
  <c r="DC6" i="15"/>
  <c r="DO6" i="15"/>
  <c r="EA6" i="15"/>
  <c r="EM6" i="15"/>
  <c r="EY6" i="15"/>
  <c r="H7" i="15"/>
  <c r="T7" i="15"/>
  <c r="AF7" i="15"/>
  <c r="AR7" i="15"/>
  <c r="BD7" i="15"/>
  <c r="BP7" i="15"/>
  <c r="CB7" i="15"/>
  <c r="CN7" i="15"/>
  <c r="CZ7" i="15"/>
  <c r="DL7" i="15"/>
  <c r="DX7" i="15"/>
  <c r="EJ7" i="15"/>
  <c r="EV7" i="15"/>
  <c r="E8" i="15"/>
  <c r="Q8" i="15"/>
  <c r="AC8" i="15"/>
  <c r="AO8" i="15"/>
  <c r="BA8" i="15"/>
  <c r="BM8" i="15"/>
  <c r="BY8" i="15"/>
  <c r="CK8" i="15"/>
  <c r="CW8" i="15"/>
  <c r="DI8" i="15"/>
  <c r="DU8" i="15"/>
  <c r="EG8" i="15"/>
  <c r="ES8" i="15"/>
  <c r="FE8" i="15"/>
  <c r="N9" i="15"/>
  <c r="Z9" i="15"/>
  <c r="AL9" i="15"/>
  <c r="AX9" i="15"/>
  <c r="BJ9" i="15"/>
  <c r="BV9" i="15"/>
  <c r="CH9" i="15"/>
  <c r="CT9" i="15"/>
  <c r="DF9" i="15"/>
  <c r="DR9" i="15"/>
  <c r="L6" i="15"/>
  <c r="X6" i="15"/>
  <c r="AJ6" i="15"/>
  <c r="AV6" i="15"/>
  <c r="BH6" i="15"/>
  <c r="BT6" i="15"/>
  <c r="CF6" i="15"/>
  <c r="CR6" i="15"/>
  <c r="DD6" i="15"/>
  <c r="DP6" i="15"/>
  <c r="EB6" i="15"/>
  <c r="EN6" i="15"/>
  <c r="EZ6" i="15"/>
  <c r="I7" i="15"/>
  <c r="U7" i="15"/>
  <c r="AG7" i="15"/>
  <c r="AS7" i="15"/>
  <c r="BE7" i="15"/>
  <c r="BQ7" i="15"/>
  <c r="CC7" i="15"/>
  <c r="CO7" i="15"/>
  <c r="DA7" i="15"/>
  <c r="DM7" i="15"/>
  <c r="DY7" i="15"/>
  <c r="EK7" i="15"/>
  <c r="EW7" i="15"/>
  <c r="F8" i="15"/>
  <c r="R8" i="15"/>
  <c r="AD8" i="15"/>
  <c r="AP8" i="15"/>
  <c r="BB8" i="15"/>
  <c r="BN8" i="15"/>
  <c r="BZ8" i="15"/>
  <c r="CL8" i="15"/>
  <c r="CX8" i="15"/>
  <c r="DJ8" i="15"/>
  <c r="DV8" i="15"/>
  <c r="EH8" i="15"/>
  <c r="ET8" i="15"/>
  <c r="C9" i="15"/>
  <c r="O9" i="15"/>
  <c r="AA9" i="15"/>
  <c r="AM9" i="15"/>
  <c r="AY9" i="15"/>
  <c r="BK9" i="15"/>
  <c r="BW9" i="15"/>
  <c r="CI9" i="15"/>
  <c r="CU9" i="15"/>
  <c r="DG9" i="15"/>
  <c r="DS9" i="15"/>
  <c r="EE9" i="15"/>
  <c r="EQ9" i="15"/>
  <c r="FC9" i="15"/>
  <c r="L10" i="15"/>
  <c r="X10" i="15"/>
  <c r="AJ10" i="15"/>
  <c r="AV10" i="15"/>
  <c r="BH10" i="15"/>
  <c r="BT10" i="15"/>
  <c r="CF10" i="15"/>
  <c r="CR10" i="15"/>
  <c r="DD10" i="15"/>
  <c r="DP10" i="15"/>
  <c r="EB10" i="15"/>
  <c r="D6" i="15"/>
  <c r="AK6" i="15"/>
  <c r="BK6" i="15"/>
  <c r="CK6" i="15"/>
  <c r="DR6" i="15"/>
  <c r="ER6" i="15"/>
  <c r="V7" i="15"/>
  <c r="AV7" i="15"/>
  <c r="BV7" i="15"/>
  <c r="DC7" i="15"/>
  <c r="EC7" i="15"/>
  <c r="G8" i="15"/>
  <c r="AG8" i="15"/>
  <c r="BG8" i="15"/>
  <c r="CN8" i="15"/>
  <c r="DN8" i="15"/>
  <c r="EU8" i="15"/>
  <c r="R9" i="15"/>
  <c r="AR9" i="15"/>
  <c r="BY9" i="15"/>
  <c r="CY9" i="15"/>
  <c r="EB9" i="15"/>
  <c r="EU9" i="15"/>
  <c r="M10" i="15"/>
  <c r="AC10" i="15"/>
  <c r="AW10" i="15"/>
  <c r="BM10" i="15"/>
  <c r="CG10" i="15"/>
  <c r="CW10" i="15"/>
  <c r="DM10" i="15"/>
  <c r="ED10" i="15"/>
  <c r="ER10" i="15"/>
  <c r="FD10" i="15"/>
  <c r="M4" i="15"/>
  <c r="Y4" i="15"/>
  <c r="AK4" i="15"/>
  <c r="AW4" i="15"/>
  <c r="BI4" i="15"/>
  <c r="BU4" i="15"/>
  <c r="CG4" i="15"/>
  <c r="CS4" i="15"/>
  <c r="DE4" i="15"/>
  <c r="DQ4" i="15"/>
  <c r="EC4" i="15"/>
  <c r="EO4" i="15"/>
  <c r="FA4" i="15"/>
  <c r="EF10" i="15"/>
  <c r="BK4" i="15"/>
  <c r="DS4" i="15"/>
  <c r="CF7" i="15"/>
  <c r="AB9" i="15"/>
  <c r="EG9" i="15"/>
  <c r="AI10" i="15"/>
  <c r="BS10" i="15"/>
  <c r="DR10" i="15"/>
  <c r="P4" i="15"/>
  <c r="AZ4" i="15"/>
  <c r="CV4" i="15"/>
  <c r="ER4" i="15"/>
  <c r="BX6" i="15"/>
  <c r="EP7" i="15"/>
  <c r="E9" i="15"/>
  <c r="DL9" i="15"/>
  <c r="AM10" i="15"/>
  <c r="EK10" i="15"/>
  <c r="AE4" i="15"/>
  <c r="E6" i="15"/>
  <c r="AL6" i="15"/>
  <c r="BL6" i="15"/>
  <c r="CS6" i="15"/>
  <c r="DS6" i="15"/>
  <c r="ES6" i="15"/>
  <c r="W7" i="15"/>
  <c r="AW7" i="15"/>
  <c r="CD7" i="15"/>
  <c r="DD7" i="15"/>
  <c r="ED7" i="15"/>
  <c r="H8" i="15"/>
  <c r="AH8" i="15"/>
  <c r="BO8" i="15"/>
  <c r="CO8" i="15"/>
  <c r="DO8" i="15"/>
  <c r="EV8" i="15"/>
  <c r="S9" i="15"/>
  <c r="AZ9" i="15"/>
  <c r="BZ9" i="15"/>
  <c r="CZ9" i="15"/>
  <c r="ED9" i="15"/>
  <c r="EV9" i="15"/>
  <c r="N10" i="15"/>
  <c r="AF10" i="15"/>
  <c r="AX10" i="15"/>
  <c r="BP10" i="15"/>
  <c r="CH10" i="15"/>
  <c r="CY10" i="15"/>
  <c r="DO10" i="15"/>
  <c r="EE10" i="15"/>
  <c r="ES10" i="15"/>
  <c r="FE10" i="15"/>
  <c r="N4" i="15"/>
  <c r="Z4" i="15"/>
  <c r="AL4" i="15"/>
  <c r="AX4" i="15"/>
  <c r="BJ4" i="15"/>
  <c r="BV4" i="15"/>
  <c r="CH4" i="15"/>
  <c r="CT4" i="15"/>
  <c r="DF4" i="15"/>
  <c r="DR4" i="15"/>
  <c r="ED4" i="15"/>
  <c r="EP4" i="15"/>
  <c r="FB4" i="15"/>
  <c r="BA9" i="15"/>
  <c r="EF9" i="15"/>
  <c r="O10" i="15"/>
  <c r="AY10" i="15"/>
  <c r="CI10" i="15"/>
  <c r="DQ10" i="15"/>
  <c r="C4" i="15"/>
  <c r="AA4" i="15"/>
  <c r="AY4" i="15"/>
  <c r="CI4" i="15"/>
  <c r="CU4" i="15"/>
  <c r="EE4" i="15"/>
  <c r="FC4" i="15"/>
  <c r="Y7" i="15"/>
  <c r="J8" i="15"/>
  <c r="AQ8" i="15"/>
  <c r="CQ8" i="15"/>
  <c r="EX8" i="15"/>
  <c r="CB9" i="15"/>
  <c r="FB9" i="15"/>
  <c r="AZ10" i="15"/>
  <c r="CJ10" i="15"/>
  <c r="EG10" i="15"/>
  <c r="AB4" i="15"/>
  <c r="BL4" i="15"/>
  <c r="DH4" i="15"/>
  <c r="Q6" i="15"/>
  <c r="EE6" i="15"/>
  <c r="BI7" i="15"/>
  <c r="T8" i="15"/>
  <c r="EA8" i="15"/>
  <c r="CL9" i="15"/>
  <c r="U10" i="15"/>
  <c r="CO10" i="15"/>
  <c r="EX10" i="15"/>
  <c r="M6" i="15"/>
  <c r="AM6" i="15"/>
  <c r="BM6" i="15"/>
  <c r="CT6" i="15"/>
  <c r="DT6" i="15"/>
  <c r="FA6" i="15"/>
  <c r="X7" i="15"/>
  <c r="AX7" i="15"/>
  <c r="CE7" i="15"/>
  <c r="DE7" i="15"/>
  <c r="EL7" i="15"/>
  <c r="I8" i="15"/>
  <c r="AI8" i="15"/>
  <c r="BP8" i="15"/>
  <c r="CP8" i="15"/>
  <c r="DW8" i="15"/>
  <c r="EW8" i="15"/>
  <c r="T9" i="15"/>
  <c r="CA9" i="15"/>
  <c r="DH9" i="15"/>
  <c r="EZ9" i="15"/>
  <c r="AG10" i="15"/>
  <c r="BQ10" i="15"/>
  <c r="CZ10" i="15"/>
  <c r="ET10" i="15"/>
  <c r="O4" i="15"/>
  <c r="AM4" i="15"/>
  <c r="BW4" i="15"/>
  <c r="DG4" i="15"/>
  <c r="EQ4" i="15"/>
  <c r="D4" i="15"/>
  <c r="CJ4" i="15"/>
  <c r="EF4" i="15"/>
  <c r="AX6" i="15"/>
  <c r="FE6" i="15"/>
  <c r="DP7" i="15"/>
  <c r="CA8" i="15"/>
  <c r="AE9" i="15"/>
  <c r="EJ9" i="15"/>
  <c r="BW10" i="15"/>
  <c r="DU10" i="15"/>
  <c r="S4" i="15"/>
  <c r="N6" i="15"/>
  <c r="AN6" i="15"/>
  <c r="BU6" i="15"/>
  <c r="CU6" i="15"/>
  <c r="DU6" i="15"/>
  <c r="FB6" i="15"/>
  <c r="BF7" i="15"/>
  <c r="DF7" i="15"/>
  <c r="EM7" i="15"/>
  <c r="BQ8" i="15"/>
  <c r="DX8" i="15"/>
  <c r="BB9" i="15"/>
  <c r="DI9" i="15"/>
  <c r="P10" i="15"/>
  <c r="DA10" i="15"/>
  <c r="EU10" i="15"/>
  <c r="AN4" i="15"/>
  <c r="BX4" i="15"/>
  <c r="DT4" i="15"/>
  <c r="FD4" i="15"/>
  <c r="DE6" i="15"/>
  <c r="AI7" i="15"/>
  <c r="CP7" i="15"/>
  <c r="AT8" i="15"/>
  <c r="DA8" i="15"/>
  <c r="BL9" i="15"/>
  <c r="C10" i="15"/>
  <c r="BE10" i="15"/>
  <c r="DF10" i="15"/>
  <c r="G4" i="15"/>
  <c r="AQ4" i="15"/>
  <c r="O6" i="15"/>
  <c r="AO6" i="15"/>
  <c r="BV6" i="15"/>
  <c r="CV6" i="15"/>
  <c r="EC6" i="15"/>
  <c r="FC6" i="15"/>
  <c r="Z7" i="15"/>
  <c r="BG7" i="15"/>
  <c r="CG7" i="15"/>
  <c r="DN7" i="15"/>
  <c r="EN7" i="15"/>
  <c r="K8" i="15"/>
  <c r="AR8" i="15"/>
  <c r="BR8" i="15"/>
  <c r="CY8" i="15"/>
  <c r="DY8" i="15"/>
  <c r="EY8" i="15"/>
  <c r="AC9" i="15"/>
  <c r="BC9" i="15"/>
  <c r="CJ9" i="15"/>
  <c r="DJ9" i="15"/>
  <c r="EH9" i="15"/>
  <c r="FD9" i="15"/>
  <c r="Q10" i="15"/>
  <c r="AK10" i="15"/>
  <c r="BA10" i="15"/>
  <c r="BU10" i="15"/>
  <c r="CK10" i="15"/>
  <c r="DC10" i="15"/>
  <c r="DS10" i="15"/>
  <c r="EI10" i="15"/>
  <c r="EV10" i="15"/>
  <c r="E4" i="15"/>
  <c r="Q4" i="15"/>
  <c r="AC4" i="15"/>
  <c r="AO4" i="15"/>
  <c r="BA4" i="15"/>
  <c r="BM4" i="15"/>
  <c r="BY4" i="15"/>
  <c r="CK4" i="15"/>
  <c r="CW4" i="15"/>
  <c r="DI4" i="15"/>
  <c r="DU4" i="15"/>
  <c r="EG4" i="15"/>
  <c r="ES4" i="15"/>
  <c r="FE4" i="15"/>
  <c r="BD10" i="15"/>
  <c r="DT10" i="15"/>
  <c r="EW10" i="15"/>
  <c r="R4" i="15"/>
  <c r="AP4" i="15"/>
  <c r="BN4" i="15"/>
  <c r="CL4" i="15"/>
  <c r="DJ4" i="15"/>
  <c r="EH4" i="15"/>
  <c r="P6" i="15"/>
  <c r="AW6" i="15"/>
  <c r="BW6" i="15"/>
  <c r="CW6" i="15"/>
  <c r="ED6" i="15"/>
  <c r="FD6" i="15"/>
  <c r="AH7" i="15"/>
  <c r="BH7" i="15"/>
  <c r="CH7" i="15"/>
  <c r="DO7" i="15"/>
  <c r="EO7" i="15"/>
  <c r="S8" i="15"/>
  <c r="AS8" i="15"/>
  <c r="BS8" i="15"/>
  <c r="CZ8" i="15"/>
  <c r="DZ8" i="15"/>
  <c r="D9" i="15"/>
  <c r="AD9" i="15"/>
  <c r="BD9" i="15"/>
  <c r="CK9" i="15"/>
  <c r="DK9" i="15"/>
  <c r="EI9" i="15"/>
  <c r="FE9" i="15"/>
  <c r="T10" i="15"/>
  <c r="AL10" i="15"/>
  <c r="BV10" i="15"/>
  <c r="CN10" i="15"/>
  <c r="DE10" i="15"/>
  <c r="EJ10" i="15"/>
  <c r="F4" i="15"/>
  <c r="AD4" i="15"/>
  <c r="BB4" i="15"/>
  <c r="BZ4" i="15"/>
  <c r="CX4" i="15"/>
  <c r="DV4" i="15"/>
  <c r="ET4" i="15"/>
  <c r="AA6" i="15"/>
  <c r="BA6" i="15"/>
  <c r="CH6" i="15"/>
  <c r="DH6" i="15"/>
  <c r="EO6" i="15"/>
  <c r="L7" i="15"/>
  <c r="AL7" i="15"/>
  <c r="BS7" i="15"/>
  <c r="CS7" i="15"/>
  <c r="DZ7" i="15"/>
  <c r="EZ7" i="15"/>
  <c r="W8" i="15"/>
  <c r="BD8" i="15"/>
  <c r="CD8" i="15"/>
  <c r="DK8" i="15"/>
  <c r="EK8" i="15"/>
  <c r="H9" i="15"/>
  <c r="AO9" i="15"/>
  <c r="BO9" i="15"/>
  <c r="CV9" i="15"/>
  <c r="DV9" i="15"/>
  <c r="ER9" i="15"/>
  <c r="H10" i="15"/>
  <c r="Z10" i="15"/>
  <c r="AR10" i="15"/>
  <c r="BJ10" i="15"/>
  <c r="CB10" i="15"/>
  <c r="CT10" i="15"/>
  <c r="DI10" i="15"/>
  <c r="DY10" i="15"/>
  <c r="EO10" i="15"/>
  <c r="FA10" i="15"/>
  <c r="J4" i="15"/>
  <c r="V4" i="15"/>
  <c r="AH4" i="15"/>
  <c r="AT4" i="15"/>
  <c r="BF4" i="15"/>
  <c r="BR4" i="15"/>
  <c r="CD4" i="15"/>
  <c r="CP4" i="15"/>
  <c r="DB4" i="15"/>
  <c r="DN4" i="15"/>
  <c r="DZ4" i="15"/>
  <c r="EL4" i="15"/>
  <c r="EX4" i="15"/>
  <c r="AS4" i="15"/>
  <c r="EW4" i="15"/>
  <c r="DW4" i="15"/>
  <c r="CQ4" i="15"/>
  <c r="BP4" i="15"/>
  <c r="AI4" i="15"/>
  <c r="FB10" i="15"/>
  <c r="DK10" i="15"/>
  <c r="BK10" i="15"/>
  <c r="I10" i="15"/>
  <c r="CW9" i="15"/>
  <c r="P9" i="15"/>
  <c r="CE8" i="15"/>
  <c r="FA7" i="15"/>
  <c r="BT7" i="15"/>
  <c r="EP6" i="15"/>
  <c r="BI6" i="15"/>
  <c r="DX4" i="15"/>
  <c r="FC10" i="15"/>
  <c r="CX9" i="15"/>
  <c r="FB7" i="15"/>
  <c r="CO4" i="15"/>
  <c r="BO4" i="15"/>
  <c r="AG4" i="15"/>
  <c r="EZ10" i="15"/>
  <c r="DH10" i="15"/>
  <c r="BI10" i="15"/>
  <c r="E10" i="15"/>
  <c r="CN9" i="15"/>
  <c r="G9" i="15"/>
  <c r="CC8" i="15"/>
  <c r="EY7" i="15"/>
  <c r="BR7" i="15"/>
  <c r="EG6" i="15"/>
  <c r="AZ6" i="15"/>
  <c r="AP9" i="15"/>
  <c r="M7" i="15"/>
  <c r="EA4" i="15"/>
  <c r="I4" i="15"/>
  <c r="Y10" i="15"/>
  <c r="AN9" i="15"/>
  <c r="CR7" i="15"/>
  <c r="CG6" i="15"/>
  <c r="CY4" i="15"/>
  <c r="H4" i="15"/>
  <c r="BX10" i="15"/>
  <c r="W10" i="15"/>
  <c r="AF9" i="15"/>
  <c r="U8" i="15"/>
  <c r="J7" i="15"/>
  <c r="EY4" i="15"/>
  <c r="DL10" i="15"/>
  <c r="EQ6" i="15"/>
  <c r="DO4" i="15"/>
  <c r="CN4" i="15"/>
  <c r="BH4" i="15"/>
  <c r="AF4" i="15"/>
  <c r="EY10" i="15"/>
  <c r="DG10" i="15"/>
  <c r="BG10" i="15"/>
  <c r="D10" i="15"/>
  <c r="CM9" i="15"/>
  <c r="F9" i="15"/>
  <c r="CB8" i="15"/>
  <c r="EX7" i="15"/>
  <c r="BJ7" i="15"/>
  <c r="EF6" i="15"/>
  <c r="AY6" i="15"/>
  <c r="DW9" i="15"/>
  <c r="CT7" i="15"/>
  <c r="CZ4" i="15"/>
  <c r="BY10" i="15"/>
  <c r="DU9" i="15"/>
  <c r="DC8" i="15"/>
  <c r="V8" i="15"/>
  <c r="K7" i="15"/>
  <c r="EZ4" i="15"/>
  <c r="BS4" i="15"/>
  <c r="BX9" i="15"/>
  <c r="EM8" i="15"/>
  <c r="BF8" i="15"/>
  <c r="EB7" i="15"/>
  <c r="AU7" i="15"/>
  <c r="DQ6" i="15"/>
  <c r="AC6" i="15"/>
  <c r="AA10" i="15"/>
  <c r="AE8" i="15"/>
  <c r="CI6" i="15"/>
  <c r="BT4" i="15"/>
  <c r="CR4" i="15"/>
  <c r="AJ4" i="15"/>
  <c r="K10" i="15"/>
  <c r="CM8" i="15"/>
  <c r="BU7" i="15"/>
  <c r="DP4" i="15"/>
  <c r="DM4" i="15"/>
  <c r="BG4" i="15"/>
  <c r="X4" i="15"/>
  <c r="CV10" i="15"/>
  <c r="AU10" i="15"/>
  <c r="ET9" i="15"/>
  <c r="EM4" i="15"/>
  <c r="DL4" i="15"/>
  <c r="CF4" i="15"/>
  <c r="BE4" i="15"/>
  <c r="W4" i="15"/>
  <c r="EP10" i="15"/>
  <c r="CU10" i="15"/>
  <c r="AS10" i="15"/>
  <c r="ES9" i="15"/>
  <c r="BP9" i="15"/>
  <c r="EL8" i="15"/>
  <c r="BE8" i="15"/>
  <c r="EA7" i="15"/>
  <c r="AT7" i="15"/>
  <c r="DI6" i="15"/>
  <c r="AB6" i="15"/>
  <c r="DY4" i="15"/>
  <c r="AR4" i="15"/>
  <c r="DW10" i="15"/>
  <c r="DT9" i="15"/>
  <c r="DB8" i="15"/>
  <c r="CQ7" i="15"/>
  <c r="BY6" i="15"/>
  <c r="BQ4" i="15"/>
  <c r="BL10" i="15"/>
  <c r="Q9" i="15"/>
  <c r="BJ6" i="15"/>
  <c r="EV4" i="15"/>
  <c r="EU4" i="15"/>
  <c r="EN4" i="15"/>
  <c r="CM4" i="15"/>
  <c r="EQ10" i="15"/>
  <c r="EK4" i="15"/>
  <c r="DK4" i="15"/>
  <c r="CE4" i="15"/>
  <c r="BD4" i="15"/>
  <c r="U4" i="15"/>
  <c r="EN10" i="15"/>
  <c r="CS10" i="15"/>
  <c r="AO10" i="15"/>
  <c r="EP9" i="15"/>
  <c r="BN9" i="15"/>
  <c r="EJ8" i="15"/>
  <c r="BC8" i="15"/>
  <c r="DR7" i="15"/>
  <c r="AK7" i="15"/>
  <c r="DG6" i="15"/>
  <c r="Z6" i="15"/>
  <c r="AN6" i="16"/>
  <c r="AB6" i="16"/>
  <c r="P6" i="16"/>
  <c r="Y8" i="16"/>
  <c r="M8" i="16"/>
  <c r="AL7" i="16"/>
  <c r="Z7" i="16"/>
  <c r="N7" i="16"/>
  <c r="AM6" i="16"/>
  <c r="AA6" i="16"/>
  <c r="O6" i="16"/>
  <c r="AH10" i="16"/>
  <c r="V10" i="16"/>
  <c r="J10" i="16"/>
  <c r="AI9" i="16"/>
  <c r="W9" i="16"/>
  <c r="K9" i="16"/>
  <c r="AJ8" i="16"/>
  <c r="X8" i="16"/>
  <c r="L8" i="16"/>
  <c r="AK7" i="16"/>
  <c r="Y7" i="16"/>
  <c r="M7" i="16"/>
  <c r="AL6" i="16"/>
  <c r="Z6" i="16"/>
  <c r="N6" i="16"/>
  <c r="AG10" i="16"/>
  <c r="U10" i="16"/>
  <c r="I10" i="16"/>
  <c r="AH9" i="16"/>
  <c r="V9" i="16"/>
  <c r="J9" i="16"/>
  <c r="AI8" i="16"/>
  <c r="W8" i="16"/>
  <c r="K8" i="16"/>
  <c r="AJ7" i="16"/>
  <c r="X7" i="16"/>
  <c r="L7" i="16"/>
  <c r="AK6" i="16"/>
  <c r="Y6" i="16"/>
  <c r="M6" i="16"/>
  <c r="AI4" i="16"/>
  <c r="AI14" i="16" s="1"/>
  <c r="W4" i="16"/>
  <c r="K4" i="16"/>
  <c r="AF10" i="16"/>
  <c r="T10" i="16"/>
  <c r="H10" i="16"/>
  <c r="AG9" i="16"/>
  <c r="U9" i="16"/>
  <c r="I9" i="16"/>
  <c r="AH8" i="16"/>
  <c r="V8" i="16"/>
  <c r="J8" i="16"/>
  <c r="AI7" i="16"/>
  <c r="W7" i="16"/>
  <c r="K7" i="16"/>
  <c r="AJ6" i="16"/>
  <c r="X6" i="16"/>
  <c r="L6" i="16"/>
  <c r="AH4" i="16"/>
  <c r="AH14" i="16" s="1"/>
  <c r="V4" i="16"/>
  <c r="V14" i="16" s="1"/>
  <c r="J4" i="16"/>
  <c r="J14" i="16" s="1"/>
  <c r="AE10" i="16"/>
  <c r="S10" i="16"/>
  <c r="G10" i="16"/>
  <c r="AF9" i="16"/>
  <c r="T9" i="16"/>
  <c r="H9" i="16"/>
  <c r="AG8" i="16"/>
  <c r="U8" i="16"/>
  <c r="I8" i="16"/>
  <c r="AH7" i="16"/>
  <c r="V7" i="16"/>
  <c r="J7" i="16"/>
  <c r="AI6" i="16"/>
  <c r="W6" i="16"/>
  <c r="K6" i="16"/>
  <c r="AG4" i="16"/>
  <c r="AG14" i="16" s="1"/>
  <c r="U4" i="16"/>
  <c r="U14" i="16" s="1"/>
  <c r="I4" i="16"/>
  <c r="I14" i="16" s="1"/>
  <c r="AP10" i="16"/>
  <c r="AD10" i="16"/>
  <c r="R10" i="16"/>
  <c r="F10" i="16"/>
  <c r="AE9" i="16"/>
  <c r="S9" i="16"/>
  <c r="G9" i="16"/>
  <c r="AF8" i="16"/>
  <c r="T8" i="16"/>
  <c r="H8" i="16"/>
  <c r="AG7" i="16"/>
  <c r="U7" i="16"/>
  <c r="I7" i="16"/>
  <c r="AH6" i="16"/>
  <c r="V6" i="16"/>
  <c r="J6" i="16"/>
  <c r="AF4" i="16"/>
  <c r="T4" i="16"/>
  <c r="H4" i="16"/>
  <c r="AO10" i="16"/>
  <c r="AC10" i="16"/>
  <c r="Q10" i="16"/>
  <c r="AP9" i="16"/>
  <c r="AD9" i="16"/>
  <c r="R9" i="16"/>
  <c r="F9" i="16"/>
  <c r="AE8" i="16"/>
  <c r="S8" i="16"/>
  <c r="G8" i="16"/>
  <c r="AF7" i="16"/>
  <c r="T7" i="16"/>
  <c r="H7" i="16"/>
  <c r="AG6" i="16"/>
  <c r="U6" i="16"/>
  <c r="I6" i="16"/>
  <c r="AE4" i="16"/>
  <c r="AE14" i="16" s="1"/>
  <c r="S4" i="16"/>
  <c r="G4" i="16"/>
  <c r="AN10" i="16"/>
  <c r="AB10" i="16"/>
  <c r="P10" i="16"/>
  <c r="AO9" i="16"/>
  <c r="AC9" i="16"/>
  <c r="Q9" i="16"/>
  <c r="AP8" i="16"/>
  <c r="AD8" i="16"/>
  <c r="R8" i="16"/>
  <c r="F8" i="16"/>
  <c r="AE7" i="16"/>
  <c r="S7" i="16"/>
  <c r="G7" i="16"/>
  <c r="AF6" i="16"/>
  <c r="T6" i="16"/>
  <c r="H6" i="16"/>
  <c r="AP4" i="16"/>
  <c r="AP14" i="16" s="1"/>
  <c r="AD4" i="16"/>
  <c r="AD14" i="16" s="1"/>
  <c r="R4" i="16"/>
  <c r="R14" i="16" s="1"/>
  <c r="F4" i="16"/>
  <c r="F14" i="16" s="1"/>
  <c r="AM10" i="16"/>
  <c r="AA10" i="16"/>
  <c r="O10" i="16"/>
  <c r="O20" i="16" s="1"/>
  <c r="AN9" i="16"/>
  <c r="AB9" i="16"/>
  <c r="P9" i="16"/>
  <c r="AO8" i="16"/>
  <c r="AC8" i="16"/>
  <c r="Q8" i="16"/>
  <c r="AP7" i="16"/>
  <c r="AD7" i="16"/>
  <c r="R7" i="16"/>
  <c r="F7" i="16"/>
  <c r="AE6" i="16"/>
  <c r="S6" i="16"/>
  <c r="G6" i="16"/>
  <c r="AO4" i="16"/>
  <c r="AC4" i="16"/>
  <c r="Q4" i="16"/>
  <c r="AL10" i="16"/>
  <c r="Z10" i="16"/>
  <c r="N10" i="16"/>
  <c r="AM9" i="16"/>
  <c r="AA9" i="16"/>
  <c r="O9" i="16"/>
  <c r="AN8" i="16"/>
  <c r="AB8" i="16"/>
  <c r="AB18" i="16" s="1"/>
  <c r="P8" i="16"/>
  <c r="AO7" i="16"/>
  <c r="AC7" i="16"/>
  <c r="Q7" i="16"/>
  <c r="AP6" i="16"/>
  <c r="AD6" i="16"/>
  <c r="R6" i="16"/>
  <c r="C2" i="16"/>
  <c r="D2" i="16"/>
  <c r="AS12" i="16" l="1"/>
  <c r="X18" i="16"/>
  <c r="AA19" i="16"/>
  <c r="AL19" i="16"/>
  <c r="O19" i="16"/>
  <c r="O17" i="16"/>
  <c r="Z18" i="16"/>
  <c r="AS8" i="16"/>
  <c r="AT6" i="16"/>
  <c r="AS7" i="16"/>
  <c r="AT9" i="16"/>
  <c r="AS4" i="16"/>
  <c r="AS14" i="16" s="1"/>
  <c r="Y17" i="16"/>
  <c r="AS10" i="16"/>
  <c r="AS9" i="16"/>
  <c r="AM20" i="16"/>
  <c r="AM18" i="16"/>
  <c r="X19" i="16"/>
  <c r="AL20" i="16"/>
  <c r="X20" i="16"/>
  <c r="X17" i="16"/>
  <c r="Z14" i="16"/>
  <c r="Z17" i="16"/>
  <c r="Z20" i="16"/>
  <c r="Z19" i="16"/>
  <c r="K20" i="16"/>
  <c r="CC5" i="15"/>
  <c r="ED5" i="15"/>
  <c r="F5" i="15"/>
  <c r="EC5" i="15"/>
  <c r="AJ5" i="15"/>
  <c r="CQ5" i="15"/>
  <c r="DC5" i="15"/>
  <c r="U20" i="16"/>
  <c r="DT5" i="15"/>
  <c r="ER5" i="15"/>
  <c r="DP5" i="15"/>
  <c r="BB5" i="15"/>
  <c r="H17" i="16"/>
  <c r="W20" i="16"/>
  <c r="EF5" i="15"/>
  <c r="BK5" i="15"/>
  <c r="CI5" i="15"/>
  <c r="DV5" i="15"/>
  <c r="ET5" i="15"/>
  <c r="CX5" i="15"/>
  <c r="N5" i="15"/>
  <c r="AT10" i="16"/>
  <c r="AD5" i="15"/>
  <c r="U16" i="16"/>
  <c r="AT4" i="16"/>
  <c r="AT14" i="16" s="1"/>
  <c r="K19" i="16"/>
  <c r="EN5" i="15"/>
  <c r="V5" i="15"/>
  <c r="EK5" i="15"/>
  <c r="K14" i="16"/>
  <c r="DR5" i="15"/>
  <c r="CR5" i="15"/>
  <c r="BM5" i="15"/>
  <c r="BZ5" i="15"/>
  <c r="AT8" i="16"/>
  <c r="AT7" i="16"/>
  <c r="BN5" i="15"/>
  <c r="W14" i="16"/>
  <c r="AG16" i="16"/>
  <c r="K17" i="16"/>
  <c r="L18" i="16"/>
  <c r="L20" i="16"/>
  <c r="P19" i="16"/>
  <c r="W19" i="16"/>
  <c r="H19" i="16"/>
  <c r="L17" i="16"/>
  <c r="M19" i="16"/>
  <c r="S16" i="16"/>
  <c r="T18" i="16"/>
  <c r="M14" i="16"/>
  <c r="I18" i="16"/>
  <c r="W17" i="16"/>
  <c r="M17" i="16"/>
  <c r="AI17" i="16"/>
  <c r="M20" i="16"/>
  <c r="M18" i="16"/>
  <c r="I19" i="16"/>
  <c r="Y18" i="16"/>
  <c r="BE5" i="15"/>
  <c r="AK18" i="16"/>
  <c r="I17" i="16"/>
  <c r="J18" i="16"/>
  <c r="I20" i="16"/>
  <c r="AK17" i="16"/>
  <c r="J20" i="16"/>
  <c r="I16" i="16"/>
  <c r="L19" i="16"/>
  <c r="O18" i="16"/>
  <c r="J17" i="16"/>
  <c r="DI5" i="15"/>
  <c r="EG5" i="15"/>
  <c r="AB5" i="15"/>
  <c r="DL5" i="15"/>
  <c r="EJ5" i="15"/>
  <c r="M5" i="15"/>
  <c r="R5" i="15"/>
  <c r="Z5" i="15"/>
  <c r="I5" i="15"/>
  <c r="AH5" i="15"/>
  <c r="DM5" i="15"/>
  <c r="BL5" i="15"/>
  <c r="S19" i="16"/>
  <c r="DH5" i="15"/>
  <c r="CW5" i="15"/>
  <c r="N5" i="16"/>
  <c r="N15" i="16" s="1"/>
  <c r="EM5" i="15"/>
  <c r="BI5" i="15"/>
  <c r="DJ5" i="15"/>
  <c r="BY5" i="15"/>
  <c r="AY5" i="15"/>
  <c r="EY5" i="15"/>
  <c r="CN5" i="15"/>
  <c r="DE5" i="15"/>
  <c r="U5" i="15"/>
  <c r="EE5" i="15"/>
  <c r="FA5" i="15"/>
  <c r="AC5" i="15"/>
  <c r="FC5" i="15"/>
  <c r="DS5" i="15"/>
  <c r="X5" i="15"/>
  <c r="CZ5" i="15"/>
  <c r="K5" i="15"/>
  <c r="Y5" i="15"/>
  <c r="AL5" i="15"/>
  <c r="DA5" i="15"/>
  <c r="BU5" i="15"/>
  <c r="EZ5" i="15"/>
  <c r="CE5" i="15"/>
  <c r="CL5" i="15"/>
  <c r="FB5" i="15"/>
  <c r="DO5" i="15"/>
  <c r="BX5" i="15"/>
  <c r="EB5" i="15"/>
  <c r="EQ5" i="15"/>
  <c r="AG5" i="15"/>
  <c r="G17" i="16"/>
  <c r="AD20" i="16"/>
  <c r="W18" i="16"/>
  <c r="S20" i="16"/>
  <c r="CU5" i="15"/>
  <c r="DQ5" i="15"/>
  <c r="AH19" i="16"/>
  <c r="W5" i="15"/>
  <c r="AZ5" i="15"/>
  <c r="BS5" i="15"/>
  <c r="BH5" i="15"/>
  <c r="BV5" i="15"/>
  <c r="AI5" i="15"/>
  <c r="CT5" i="15"/>
  <c r="AM5" i="16"/>
  <c r="AM15" i="16" s="1"/>
  <c r="AP17" i="16"/>
  <c r="FD5" i="15"/>
  <c r="AK5" i="16"/>
  <c r="AK15" i="16" s="1"/>
  <c r="U17" i="16"/>
  <c r="J19" i="16"/>
  <c r="ES5" i="15"/>
  <c r="U18" i="16"/>
  <c r="CJ5" i="15"/>
  <c r="R17" i="16"/>
  <c r="AD18" i="16"/>
  <c r="H5" i="16"/>
  <c r="H15" i="16" s="1"/>
  <c r="CS5" i="15"/>
  <c r="Y5" i="16"/>
  <c r="Y15" i="16" s="1"/>
  <c r="G20" i="16"/>
  <c r="Q18" i="16"/>
  <c r="G19" i="16"/>
  <c r="AE20" i="16"/>
  <c r="EW5" i="15"/>
  <c r="BP5" i="15"/>
  <c r="AV5" i="15"/>
  <c r="DD5" i="15"/>
  <c r="DG5" i="15"/>
  <c r="AC18" i="16"/>
  <c r="S18" i="16"/>
  <c r="J16" i="16"/>
  <c r="AS6" i="16"/>
  <c r="BJ5" i="15"/>
  <c r="G5" i="15"/>
  <c r="CB5" i="15"/>
  <c r="AC5" i="16"/>
  <c r="AC15" i="16" s="1"/>
  <c r="AF5" i="16"/>
  <c r="AF15" i="16" s="1"/>
  <c r="AL5" i="16"/>
  <c r="AL15" i="16" s="1"/>
  <c r="EA5" i="15"/>
  <c r="BW5" i="15"/>
  <c r="EH5" i="15"/>
  <c r="DF5" i="15"/>
  <c r="DU5" i="15"/>
  <c r="FE5" i="15"/>
  <c r="BQ5" i="15"/>
  <c r="CO5" i="15"/>
  <c r="AW5" i="15"/>
  <c r="E5" i="15"/>
  <c r="CF5" i="15"/>
  <c r="BG5" i="15"/>
  <c r="AK5" i="15"/>
  <c r="L5" i="15"/>
  <c r="AA5" i="15"/>
  <c r="AP5" i="15"/>
  <c r="AX5" i="15"/>
  <c r="V17" i="16"/>
  <c r="AH5" i="16"/>
  <c r="AH15" i="16" s="1"/>
  <c r="AO20" i="16"/>
  <c r="AE18" i="16"/>
  <c r="L5" i="16"/>
  <c r="L15" i="16" s="1"/>
  <c r="K18" i="16"/>
  <c r="BA5" i="15"/>
  <c r="EU5" i="15"/>
  <c r="F20" i="16"/>
  <c r="AG19" i="16"/>
  <c r="X5" i="16"/>
  <c r="X15" i="16" s="1"/>
  <c r="DW5" i="15"/>
  <c r="CK5" i="15"/>
  <c r="DY5" i="15"/>
  <c r="CV5" i="15"/>
  <c r="EP5" i="15"/>
  <c r="AP5" i="16"/>
  <c r="AP15" i="16" s="1"/>
  <c r="AJ5" i="16"/>
  <c r="AJ15" i="16" s="1"/>
  <c r="L16" i="16"/>
  <c r="F18" i="16"/>
  <c r="Z5" i="16"/>
  <c r="Z15" i="16" s="1"/>
  <c r="AG20" i="16"/>
  <c r="H18" i="16"/>
  <c r="F5" i="16"/>
  <c r="K5" i="16"/>
  <c r="K15" i="16" s="1"/>
  <c r="M5" i="16"/>
  <c r="M15" i="16" s="1"/>
  <c r="AI20" i="16"/>
  <c r="R5" i="16"/>
  <c r="R15" i="16" s="1"/>
  <c r="W5" i="16"/>
  <c r="W15" i="16" s="1"/>
  <c r="AI5" i="16"/>
  <c r="AI15" i="16" s="1"/>
  <c r="DX5" i="15"/>
  <c r="DK5" i="15"/>
  <c r="F19" i="16"/>
  <c r="AG18" i="16"/>
  <c r="Q5" i="16"/>
  <c r="Q15" i="16" s="1"/>
  <c r="Q20" i="16"/>
  <c r="T5" i="16"/>
  <c r="T15" i="16" s="1"/>
  <c r="U19" i="16"/>
  <c r="V20" i="16"/>
  <c r="CG5" i="15"/>
  <c r="AI18" i="16"/>
  <c r="AG17" i="16"/>
  <c r="AI19" i="16"/>
  <c r="EV5" i="15"/>
  <c r="DB5" i="15"/>
  <c r="CP5" i="15"/>
  <c r="AQ5" i="15"/>
  <c r="AH17" i="16"/>
  <c r="AN5" i="16"/>
  <c r="AN15" i="16" s="1"/>
  <c r="I5" i="16"/>
  <c r="I15" i="16" s="1"/>
  <c r="O5" i="16"/>
  <c r="O15" i="16" s="1"/>
  <c r="AE5" i="15"/>
  <c r="AH16" i="16"/>
  <c r="AD5" i="16"/>
  <c r="AD15" i="16" s="1"/>
  <c r="U5" i="16"/>
  <c r="U15" i="16" s="1"/>
  <c r="AA5" i="16"/>
  <c r="AA15" i="16" s="1"/>
  <c r="Q5" i="15"/>
  <c r="O5" i="15"/>
  <c r="J5" i="15"/>
  <c r="AH18" i="16"/>
  <c r="AH20" i="16"/>
  <c r="C7" i="16"/>
  <c r="AG5" i="16"/>
  <c r="AG15" i="16" s="1"/>
  <c r="AO5" i="15"/>
  <c r="BF5" i="15"/>
  <c r="CM5" i="15"/>
  <c r="AD19" i="16"/>
  <c r="EO5" i="15"/>
  <c r="AT5" i="15"/>
  <c r="CA5" i="15"/>
  <c r="V19" i="16"/>
  <c r="J5" i="16"/>
  <c r="J15" i="16" s="1"/>
  <c r="AM5" i="15"/>
  <c r="DN5" i="15"/>
  <c r="BO5" i="15"/>
  <c r="V5" i="16"/>
  <c r="V15" i="16" s="1"/>
  <c r="EX5" i="15"/>
  <c r="AS5" i="15"/>
  <c r="BC5" i="15"/>
  <c r="V18" i="16"/>
  <c r="G5" i="16"/>
  <c r="G15" i="16" s="1"/>
  <c r="BT5" i="15"/>
  <c r="D9" i="16"/>
  <c r="AO5" i="16"/>
  <c r="AO15" i="16" s="1"/>
  <c r="S5" i="16"/>
  <c r="S15" i="16" s="1"/>
  <c r="D5" i="15"/>
  <c r="CD5" i="15"/>
  <c r="EL5" i="15"/>
  <c r="AE5" i="16"/>
  <c r="AE15" i="16" s="1"/>
  <c r="P5" i="16"/>
  <c r="P15" i="16" s="1"/>
  <c r="C5" i="15"/>
  <c r="BR5" i="15"/>
  <c r="DZ5" i="15"/>
  <c r="S5" i="15"/>
  <c r="AB5" i="16"/>
  <c r="AB15" i="16" s="1"/>
  <c r="EI5" i="15"/>
  <c r="P5" i="15"/>
  <c r="AN5" i="15"/>
  <c r="CY5" i="15"/>
  <c r="AA18" i="16"/>
  <c r="D8" i="16"/>
  <c r="D10" i="16"/>
  <c r="D6" i="16"/>
  <c r="AA20" i="16"/>
  <c r="AA17" i="16"/>
  <c r="AM19" i="16"/>
  <c r="AC17" i="16"/>
  <c r="AE17" i="16"/>
  <c r="AM17" i="16"/>
  <c r="AC20" i="16"/>
  <c r="AK19" i="16"/>
  <c r="C9" i="16"/>
  <c r="AD17" i="16"/>
  <c r="D7" i="16"/>
  <c r="C8" i="16"/>
  <c r="AO18" i="16"/>
  <c r="C10" i="16"/>
  <c r="M16" i="16"/>
  <c r="Q16" i="16"/>
  <c r="AF18" i="16"/>
  <c r="Y16" i="16"/>
  <c r="H14" i="16"/>
  <c r="H16" i="16"/>
  <c r="AR5" i="15"/>
  <c r="AJ14" i="16"/>
  <c r="AJ16" i="16"/>
  <c r="AC16" i="16"/>
  <c r="AK16" i="16"/>
  <c r="X16" i="16"/>
  <c r="AN16" i="16"/>
  <c r="AN14" i="16"/>
  <c r="AN18" i="16"/>
  <c r="D4" i="16"/>
  <c r="D3" i="16"/>
  <c r="D12" i="16" s="1"/>
  <c r="AR10" i="16"/>
  <c r="AR4" i="16"/>
  <c r="AR14" i="16" s="1"/>
  <c r="AR8" i="16"/>
  <c r="AR9" i="16"/>
  <c r="AR7" i="16"/>
  <c r="AR6" i="16"/>
  <c r="AR12" i="16"/>
  <c r="AF5" i="15"/>
  <c r="R19" i="16"/>
  <c r="AB19" i="16"/>
  <c r="AB20" i="16"/>
  <c r="AB14" i="16"/>
  <c r="AU5" i="15"/>
  <c r="T5" i="15"/>
  <c r="AP19" i="16"/>
  <c r="H20" i="16"/>
  <c r="AV10" i="16"/>
  <c r="CH5" i="15"/>
  <c r="T17" i="16"/>
  <c r="N16" i="16"/>
  <c r="P14" i="16"/>
  <c r="P16" i="16"/>
  <c r="S14" i="16"/>
  <c r="S17" i="16"/>
  <c r="H5" i="15"/>
  <c r="AN19" i="16"/>
  <c r="AV7" i="16"/>
  <c r="F17" i="16"/>
  <c r="AF14" i="16"/>
  <c r="AF20" i="16"/>
  <c r="AL14" i="16"/>
  <c r="AL18" i="16"/>
  <c r="AL17" i="16"/>
  <c r="AF16" i="16"/>
  <c r="R16" i="16"/>
  <c r="AF17" i="16"/>
  <c r="Z16" i="16"/>
  <c r="N18" i="16"/>
  <c r="G14" i="16"/>
  <c r="AV4" i="16"/>
  <c r="AV14" i="16" s="1"/>
  <c r="AB16" i="16"/>
  <c r="P20" i="16"/>
  <c r="AO16" i="16"/>
  <c r="AV6" i="16"/>
  <c r="F16" i="16"/>
  <c r="AJ17" i="16"/>
  <c r="AD16" i="16"/>
  <c r="AL16" i="16"/>
  <c r="C4" i="16"/>
  <c r="C6" i="16"/>
  <c r="C3" i="16"/>
  <c r="C12" i="16" s="1"/>
  <c r="R18" i="16"/>
  <c r="G16" i="16"/>
  <c r="AM16" i="16"/>
  <c r="T14" i="16"/>
  <c r="T16" i="16"/>
  <c r="T20" i="16"/>
  <c r="AV8" i="16"/>
  <c r="G18" i="16"/>
  <c r="AP16" i="16"/>
  <c r="T19" i="16"/>
  <c r="AO14" i="16"/>
  <c r="AO17" i="16"/>
  <c r="AO19" i="16"/>
  <c r="P17" i="16"/>
  <c r="R20" i="16"/>
  <c r="AE19" i="16"/>
  <c r="P18" i="16"/>
  <c r="AA16" i="16"/>
  <c r="K16" i="16"/>
  <c r="AF19" i="16"/>
  <c r="AC14" i="16"/>
  <c r="AC19" i="16"/>
  <c r="AN17" i="16"/>
  <c r="AP20" i="16"/>
  <c r="N17" i="16"/>
  <c r="AE16" i="16"/>
  <c r="AN20" i="16"/>
  <c r="V16" i="16"/>
  <c r="BD5" i="15"/>
  <c r="W16" i="16"/>
  <c r="N20" i="16"/>
  <c r="Y14" i="16"/>
  <c r="Y20" i="16"/>
  <c r="Q14" i="16"/>
  <c r="Q17" i="16"/>
  <c r="AP18" i="16"/>
  <c r="Y19" i="16"/>
  <c r="Q19" i="16"/>
  <c r="AJ18" i="16"/>
  <c r="AJ19" i="16"/>
  <c r="N19" i="16"/>
  <c r="AI16" i="16"/>
  <c r="O16" i="16"/>
  <c r="AJ20" i="16"/>
  <c r="AV9" i="16"/>
  <c r="AB17" i="16"/>
  <c r="AK20" i="16"/>
  <c r="AS19" i="16" l="1"/>
  <c r="AS16" i="16"/>
  <c r="AS20" i="16"/>
  <c r="AS18" i="16"/>
  <c r="AS17" i="16"/>
  <c r="AS5" i="16"/>
  <c r="AS15" i="16" s="1"/>
  <c r="AT20" i="16"/>
  <c r="AR5" i="16"/>
  <c r="AR15" i="16" s="1"/>
  <c r="AT17" i="16"/>
  <c r="AT18" i="16"/>
  <c r="AT5" i="16"/>
  <c r="AT15" i="16" s="1"/>
  <c r="AT19" i="16"/>
  <c r="AT16" i="16"/>
  <c r="AR16" i="16"/>
  <c r="AR17" i="16"/>
  <c r="AR18" i="16"/>
  <c r="AR19" i="16"/>
  <c r="AR20" i="16"/>
  <c r="AV20" i="16"/>
  <c r="AV16" i="16"/>
  <c r="AV17" i="16"/>
  <c r="AV19" i="16"/>
  <c r="AV18" i="16"/>
  <c r="C16" i="16"/>
  <c r="AV5" i="16"/>
  <c r="AV15" i="16" s="1"/>
  <c r="F15" i="16"/>
  <c r="C5" i="16"/>
  <c r="C15" i="16" s="1"/>
  <c r="C18" i="16"/>
  <c r="C17" i="16"/>
  <c r="C20" i="16"/>
  <c r="C19" i="16"/>
  <c r="C14" i="16"/>
  <c r="D5" i="16"/>
  <c r="D15" i="16" s="1"/>
  <c r="D14" i="16"/>
  <c r="D17" i="16"/>
  <c r="D18" i="16"/>
  <c r="D20" i="16"/>
  <c r="D19" i="16"/>
  <c r="D16" i="16"/>
  <c r="AT3" i="10" l="1"/>
  <c r="AT3" i="14"/>
  <c r="AT3" i="12"/>
  <c r="B3" i="11"/>
  <c r="B3" i="12"/>
  <c r="C1" i="12"/>
  <c r="B1" i="12"/>
  <c r="C1" i="11"/>
  <c r="B1" i="11"/>
  <c r="B3" i="10"/>
  <c r="B3" i="9"/>
  <c r="B1" i="10"/>
  <c r="B1" i="9"/>
  <c r="B3" i="13"/>
  <c r="B3" i="14"/>
  <c r="B1" i="14"/>
  <c r="B1" i="13"/>
  <c r="EN8" i="13" s="1"/>
  <c r="F11" i="13"/>
  <c r="AF11" i="13"/>
  <c r="DZ11" i="13"/>
  <c r="ES11" i="13"/>
  <c r="BA12" i="13"/>
  <c r="BL12" i="13"/>
  <c r="DH12" i="13"/>
  <c r="DS12" i="13"/>
  <c r="L13" i="13"/>
  <c r="W13" i="13"/>
  <c r="CA13" i="13"/>
  <c r="CL13" i="13"/>
  <c r="EH13" i="13"/>
  <c r="ER13" i="13"/>
  <c r="AK14" i="13"/>
  <c r="AW14" i="13"/>
  <c r="DA14" i="13"/>
  <c r="DC14" i="13"/>
  <c r="DX14" i="13"/>
  <c r="EB14" i="13"/>
  <c r="EW14" i="13"/>
  <c r="EZ14" i="13"/>
  <c r="S15" i="13"/>
  <c r="T15" i="13"/>
  <c r="AF15" i="13"/>
  <c r="AG15" i="13"/>
  <c r="AT15" i="13"/>
  <c r="AV15" i="13"/>
  <c r="BJ15" i="13"/>
  <c r="BK15" i="13"/>
  <c r="BU15" i="13"/>
  <c r="BX15" i="13"/>
  <c r="CG15" i="13"/>
  <c r="CH15" i="13"/>
  <c r="CQ15" i="13"/>
  <c r="CR15" i="13"/>
  <c r="DA15" i="13"/>
  <c r="DD15" i="13"/>
  <c r="DM15" i="13"/>
  <c r="DN15" i="13"/>
  <c r="DW15" i="13"/>
  <c r="DX15" i="13"/>
  <c r="EG15" i="13"/>
  <c r="EJ15" i="13"/>
  <c r="ES15" i="13"/>
  <c r="ET15" i="13"/>
  <c r="FC15" i="13"/>
  <c r="FD15" i="13"/>
  <c r="H16" i="13"/>
  <c r="J16" i="13"/>
  <c r="M16" i="13"/>
  <c r="R16" i="13"/>
  <c r="V16" i="13"/>
  <c r="W16" i="13"/>
  <c r="AD16" i="13"/>
  <c r="AF16" i="13"/>
  <c r="AG16" i="13"/>
  <c r="AM16" i="13"/>
  <c r="AO16" i="13"/>
  <c r="AP16" i="13"/>
  <c r="AV16" i="13"/>
  <c r="AX16" i="13"/>
  <c r="AZ16" i="13"/>
  <c r="BE16" i="13"/>
  <c r="BH16" i="13"/>
  <c r="BI16" i="13"/>
  <c r="BN16" i="13"/>
  <c r="BQ16" i="13"/>
  <c r="BR16" i="13"/>
  <c r="BX16" i="13"/>
  <c r="BZ16" i="13"/>
  <c r="CA16" i="13"/>
  <c r="CG16" i="13"/>
  <c r="CI16" i="13"/>
  <c r="CJ16" i="13"/>
  <c r="CP16" i="13"/>
  <c r="CR16" i="13"/>
  <c r="CS16" i="13"/>
  <c r="CX16" i="13"/>
  <c r="CZ16" i="13"/>
  <c r="DA16" i="13"/>
  <c r="DF16" i="13"/>
  <c r="DH16" i="13"/>
  <c r="DI16" i="13"/>
  <c r="DN16" i="13"/>
  <c r="DP16" i="13"/>
  <c r="DQ16" i="13"/>
  <c r="DS16" i="13"/>
  <c r="DV16" i="13"/>
  <c r="DX16" i="13"/>
  <c r="DY16" i="13"/>
  <c r="DZ16" i="13"/>
  <c r="EA16" i="13"/>
  <c r="ED16" i="13"/>
  <c r="EF16" i="13"/>
  <c r="EG16" i="13"/>
  <c r="EH16" i="13"/>
  <c r="EI16" i="13"/>
  <c r="EK16" i="13"/>
  <c r="EL16" i="13"/>
  <c r="EM16" i="13"/>
  <c r="EN16" i="13"/>
  <c r="EO16" i="13"/>
  <c r="EP16" i="13"/>
  <c r="EQ16" i="13"/>
  <c r="ER16" i="13"/>
  <c r="ES16" i="13"/>
  <c r="ET16" i="13"/>
  <c r="EU16" i="13"/>
  <c r="EV16" i="13"/>
  <c r="EW16" i="13"/>
  <c r="EX16" i="13"/>
  <c r="EY16" i="13"/>
  <c r="EZ16" i="13"/>
  <c r="FA16" i="13"/>
  <c r="FB16" i="13"/>
  <c r="FC16" i="13"/>
  <c r="FD16" i="13"/>
  <c r="FE16" i="13"/>
  <c r="C17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AM17" i="13"/>
  <c r="AN17" i="13"/>
  <c r="AO17" i="13"/>
  <c r="AP17" i="13"/>
  <c r="AQ17" i="13"/>
  <c r="AR17" i="13"/>
  <c r="AS17" i="13"/>
  <c r="AT17" i="13"/>
  <c r="AU17" i="13"/>
  <c r="AV17" i="13"/>
  <c r="AW17" i="13"/>
  <c r="AX17" i="13"/>
  <c r="AY17" i="13"/>
  <c r="AZ17" i="13"/>
  <c r="BA17" i="13"/>
  <c r="BB17" i="13"/>
  <c r="BC17" i="13"/>
  <c r="BD17" i="13"/>
  <c r="BE17" i="13"/>
  <c r="BF17" i="13"/>
  <c r="BG17" i="13"/>
  <c r="BH17" i="13"/>
  <c r="BI17" i="13"/>
  <c r="BJ17" i="13"/>
  <c r="BK17" i="13"/>
  <c r="BL17" i="13"/>
  <c r="BM17" i="13"/>
  <c r="BN17" i="13"/>
  <c r="BO17" i="13"/>
  <c r="BP17" i="13"/>
  <c r="BQ17" i="13"/>
  <c r="BR17" i="13"/>
  <c r="BS17" i="13"/>
  <c r="BT17" i="13"/>
  <c r="BU17" i="13"/>
  <c r="BV17" i="13"/>
  <c r="BW17" i="13"/>
  <c r="BX17" i="13"/>
  <c r="BY17" i="13"/>
  <c r="BZ17" i="13"/>
  <c r="CA17" i="13"/>
  <c r="CB17" i="13"/>
  <c r="CC17" i="13"/>
  <c r="CD17" i="13"/>
  <c r="CE17" i="13"/>
  <c r="CF17" i="13"/>
  <c r="CG17" i="13"/>
  <c r="CH17" i="13"/>
  <c r="CI17" i="13"/>
  <c r="CJ17" i="13"/>
  <c r="CK17" i="13"/>
  <c r="CL17" i="13"/>
  <c r="CM17" i="13"/>
  <c r="CN17" i="13"/>
  <c r="CO17" i="13"/>
  <c r="CP17" i="13"/>
  <c r="CQ17" i="13"/>
  <c r="CR17" i="13"/>
  <c r="CS17" i="13"/>
  <c r="CT17" i="13"/>
  <c r="CU17" i="13"/>
  <c r="CV17" i="13"/>
  <c r="CW17" i="13"/>
  <c r="CX17" i="13"/>
  <c r="CY17" i="13"/>
  <c r="CZ17" i="13"/>
  <c r="DA17" i="13"/>
  <c r="DB17" i="13"/>
  <c r="DC17" i="13"/>
  <c r="DD17" i="13"/>
  <c r="DE17" i="13"/>
  <c r="DF17" i="13"/>
  <c r="DG17" i="13"/>
  <c r="DH17" i="13"/>
  <c r="DI17" i="13"/>
  <c r="DJ17" i="13"/>
  <c r="DK17" i="13"/>
  <c r="DL17" i="13"/>
  <c r="DM17" i="13"/>
  <c r="DN17" i="13"/>
  <c r="DO17" i="13"/>
  <c r="DP17" i="13"/>
  <c r="DQ17" i="13"/>
  <c r="DR17" i="13"/>
  <c r="DS17" i="13"/>
  <c r="DT17" i="13"/>
  <c r="DU17" i="13"/>
  <c r="DV17" i="13"/>
  <c r="DW17" i="13"/>
  <c r="DX17" i="13"/>
  <c r="DY17" i="13"/>
  <c r="DZ17" i="13"/>
  <c r="EA17" i="13"/>
  <c r="EB17" i="13"/>
  <c r="EC17" i="13"/>
  <c r="ED17" i="13"/>
  <c r="EE17" i="13"/>
  <c r="EF17" i="13"/>
  <c r="EG17" i="13"/>
  <c r="EH17" i="13"/>
  <c r="EI17" i="13"/>
  <c r="EJ17" i="13"/>
  <c r="EK17" i="13"/>
  <c r="EL17" i="13"/>
  <c r="EM17" i="13"/>
  <c r="EN17" i="13"/>
  <c r="EO17" i="13"/>
  <c r="EP17" i="13"/>
  <c r="EQ17" i="13"/>
  <c r="ER17" i="13"/>
  <c r="ES17" i="13"/>
  <c r="ET17" i="13"/>
  <c r="EU17" i="13"/>
  <c r="EV17" i="13"/>
  <c r="EW17" i="13"/>
  <c r="EX17" i="13"/>
  <c r="EY17" i="13"/>
  <c r="EZ17" i="13"/>
  <c r="FA17" i="13"/>
  <c r="FB17" i="13"/>
  <c r="FC17" i="13"/>
  <c r="FD17" i="13"/>
  <c r="FE17" i="13"/>
  <c r="C18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AM18" i="13"/>
  <c r="AN18" i="13"/>
  <c r="AO18" i="13"/>
  <c r="AP18" i="13"/>
  <c r="AQ18" i="13"/>
  <c r="AR18" i="13"/>
  <c r="AS18" i="13"/>
  <c r="AT18" i="13"/>
  <c r="AU18" i="13"/>
  <c r="AV18" i="13"/>
  <c r="AW18" i="13"/>
  <c r="AX18" i="13"/>
  <c r="AY18" i="13"/>
  <c r="AZ18" i="13"/>
  <c r="BA18" i="13"/>
  <c r="BB18" i="13"/>
  <c r="BC18" i="13"/>
  <c r="BD18" i="13"/>
  <c r="BE18" i="13"/>
  <c r="BF18" i="13"/>
  <c r="BG18" i="13"/>
  <c r="BH18" i="13"/>
  <c r="BI18" i="13"/>
  <c r="BJ18" i="13"/>
  <c r="BK18" i="13"/>
  <c r="BL18" i="13"/>
  <c r="BM18" i="13"/>
  <c r="BN18" i="13"/>
  <c r="BO18" i="13"/>
  <c r="BP18" i="13"/>
  <c r="BQ18" i="13"/>
  <c r="BR18" i="13"/>
  <c r="BS18" i="13"/>
  <c r="BT18" i="13"/>
  <c r="BU18" i="13"/>
  <c r="BV18" i="13"/>
  <c r="BW18" i="13"/>
  <c r="BX18" i="13"/>
  <c r="BY18" i="13"/>
  <c r="BZ18" i="13"/>
  <c r="CA18" i="13"/>
  <c r="CB18" i="13"/>
  <c r="CC18" i="13"/>
  <c r="CD18" i="13"/>
  <c r="CE18" i="13"/>
  <c r="CF18" i="13"/>
  <c r="CG18" i="13"/>
  <c r="CH18" i="13"/>
  <c r="CI18" i="13"/>
  <c r="CJ18" i="13"/>
  <c r="CK18" i="13"/>
  <c r="CL18" i="13"/>
  <c r="CM18" i="13"/>
  <c r="CN18" i="13"/>
  <c r="CO18" i="13"/>
  <c r="CP18" i="13"/>
  <c r="CQ18" i="13"/>
  <c r="CR18" i="13"/>
  <c r="CS18" i="13"/>
  <c r="CT18" i="13"/>
  <c r="CU18" i="13"/>
  <c r="CV18" i="13"/>
  <c r="CW18" i="13"/>
  <c r="CX18" i="13"/>
  <c r="CY18" i="13"/>
  <c r="CZ18" i="13"/>
  <c r="DA18" i="13"/>
  <c r="DB18" i="13"/>
  <c r="DC18" i="13"/>
  <c r="DD18" i="13"/>
  <c r="DE18" i="13"/>
  <c r="DF18" i="13"/>
  <c r="DG18" i="13"/>
  <c r="DH18" i="13"/>
  <c r="DI18" i="13"/>
  <c r="DJ18" i="13"/>
  <c r="DK18" i="13"/>
  <c r="DL18" i="13"/>
  <c r="DM18" i="13"/>
  <c r="DN18" i="13"/>
  <c r="DO18" i="13"/>
  <c r="DP18" i="13"/>
  <c r="DQ18" i="13"/>
  <c r="DR18" i="13"/>
  <c r="DS18" i="13"/>
  <c r="DT18" i="13"/>
  <c r="DU18" i="13"/>
  <c r="DV18" i="13"/>
  <c r="DW18" i="13"/>
  <c r="DX18" i="13"/>
  <c r="DY18" i="13"/>
  <c r="DZ18" i="13"/>
  <c r="EA18" i="13"/>
  <c r="EB18" i="13"/>
  <c r="EC18" i="13"/>
  <c r="ED18" i="13"/>
  <c r="EE18" i="13"/>
  <c r="EF18" i="13"/>
  <c r="EG18" i="13"/>
  <c r="EH18" i="13"/>
  <c r="EI18" i="13"/>
  <c r="EJ18" i="13"/>
  <c r="EK18" i="13"/>
  <c r="EL18" i="13"/>
  <c r="EM18" i="13"/>
  <c r="EN18" i="13"/>
  <c r="EO18" i="13"/>
  <c r="EP18" i="13"/>
  <c r="EQ18" i="13"/>
  <c r="ER18" i="13"/>
  <c r="ES18" i="13"/>
  <c r="ET18" i="13"/>
  <c r="EU18" i="13"/>
  <c r="EV18" i="13"/>
  <c r="EW18" i="13"/>
  <c r="EX18" i="13"/>
  <c r="EY18" i="13"/>
  <c r="EZ18" i="13"/>
  <c r="FA18" i="13"/>
  <c r="FB18" i="13"/>
  <c r="FC18" i="13"/>
  <c r="FD18" i="13"/>
  <c r="FE18" i="13"/>
  <c r="C19" i="13"/>
  <c r="D19" i="13"/>
  <c r="E19" i="13"/>
  <c r="F19" i="13"/>
  <c r="G19" i="13"/>
  <c r="H19" i="13"/>
  <c r="I19" i="13"/>
  <c r="J19" i="13"/>
  <c r="K19" i="13"/>
  <c r="L19" i="13"/>
  <c r="M19" i="13"/>
  <c r="N19" i="13"/>
  <c r="O19" i="13"/>
  <c r="P19" i="13"/>
  <c r="Q19" i="13"/>
  <c r="R19" i="13"/>
  <c r="S19" i="13"/>
  <c r="T19" i="13"/>
  <c r="U19" i="13"/>
  <c r="V19" i="13"/>
  <c r="W19" i="13"/>
  <c r="X19" i="13"/>
  <c r="Y19" i="13"/>
  <c r="Z19" i="13"/>
  <c r="AA19" i="13"/>
  <c r="AB19" i="13"/>
  <c r="AC19" i="13"/>
  <c r="AD19" i="13"/>
  <c r="AE19" i="13"/>
  <c r="AF19" i="13"/>
  <c r="AG19" i="13"/>
  <c r="AH19" i="13"/>
  <c r="AI19" i="13"/>
  <c r="AJ19" i="13"/>
  <c r="AK19" i="13"/>
  <c r="AL19" i="13"/>
  <c r="AM19" i="13"/>
  <c r="AN19" i="13"/>
  <c r="AO19" i="13"/>
  <c r="AP19" i="13"/>
  <c r="AQ19" i="13"/>
  <c r="AR19" i="13"/>
  <c r="AS19" i="13"/>
  <c r="AT19" i="13"/>
  <c r="AU19" i="13"/>
  <c r="AV19" i="13"/>
  <c r="AW19" i="13"/>
  <c r="AX19" i="13"/>
  <c r="AY19" i="13"/>
  <c r="AZ19" i="13"/>
  <c r="BA19" i="13"/>
  <c r="BB19" i="13"/>
  <c r="BC19" i="13"/>
  <c r="BD19" i="13"/>
  <c r="BE19" i="13"/>
  <c r="BF19" i="13"/>
  <c r="BG19" i="13"/>
  <c r="BH19" i="13"/>
  <c r="BI19" i="13"/>
  <c r="BJ19" i="13"/>
  <c r="BK19" i="13"/>
  <c r="BL19" i="13"/>
  <c r="BM19" i="13"/>
  <c r="BN19" i="13"/>
  <c r="BO19" i="13"/>
  <c r="BP19" i="13"/>
  <c r="BQ19" i="13"/>
  <c r="BR19" i="13"/>
  <c r="BS19" i="13"/>
  <c r="BT19" i="13"/>
  <c r="BU19" i="13"/>
  <c r="BV19" i="13"/>
  <c r="BW19" i="13"/>
  <c r="BX19" i="13"/>
  <c r="BY19" i="13"/>
  <c r="BZ19" i="13"/>
  <c r="CA19" i="13"/>
  <c r="CB19" i="13"/>
  <c r="CC19" i="13"/>
  <c r="CD19" i="13"/>
  <c r="CE19" i="13"/>
  <c r="CF19" i="13"/>
  <c r="CG19" i="13"/>
  <c r="CH19" i="13"/>
  <c r="CI19" i="13"/>
  <c r="CJ19" i="13"/>
  <c r="CK19" i="13"/>
  <c r="CL19" i="13"/>
  <c r="CM19" i="13"/>
  <c r="CN19" i="13"/>
  <c r="CO19" i="13"/>
  <c r="CP19" i="13"/>
  <c r="CQ19" i="13"/>
  <c r="CR19" i="13"/>
  <c r="CS19" i="13"/>
  <c r="CT19" i="13"/>
  <c r="CU19" i="13"/>
  <c r="CV19" i="13"/>
  <c r="CW19" i="13"/>
  <c r="CX19" i="13"/>
  <c r="CY19" i="13"/>
  <c r="CZ19" i="13"/>
  <c r="DA19" i="13"/>
  <c r="DB19" i="13"/>
  <c r="DC19" i="13"/>
  <c r="DD19" i="13"/>
  <c r="DE19" i="13"/>
  <c r="DF19" i="13"/>
  <c r="DG19" i="13"/>
  <c r="DH19" i="13"/>
  <c r="DI19" i="13"/>
  <c r="DJ19" i="13"/>
  <c r="DK19" i="13"/>
  <c r="DL19" i="13"/>
  <c r="DM19" i="13"/>
  <c r="DN19" i="13"/>
  <c r="DO19" i="13"/>
  <c r="DP19" i="13"/>
  <c r="DQ19" i="13"/>
  <c r="DR19" i="13"/>
  <c r="DS19" i="13"/>
  <c r="DT19" i="13"/>
  <c r="DU19" i="13"/>
  <c r="DV19" i="13"/>
  <c r="DW19" i="13"/>
  <c r="DX19" i="13"/>
  <c r="DY19" i="13"/>
  <c r="DZ19" i="13"/>
  <c r="EA19" i="13"/>
  <c r="EB19" i="13"/>
  <c r="EC19" i="13"/>
  <c r="ED19" i="13"/>
  <c r="EE19" i="13"/>
  <c r="EF19" i="13"/>
  <c r="EG19" i="13"/>
  <c r="EH19" i="13"/>
  <c r="EI19" i="13"/>
  <c r="EJ19" i="13"/>
  <c r="EK19" i="13"/>
  <c r="EL19" i="13"/>
  <c r="EM19" i="13"/>
  <c r="EN19" i="13"/>
  <c r="EO19" i="13"/>
  <c r="EP19" i="13"/>
  <c r="EQ19" i="13"/>
  <c r="ER19" i="13"/>
  <c r="ES19" i="13"/>
  <c r="ET19" i="13"/>
  <c r="EU19" i="13"/>
  <c r="EV19" i="13"/>
  <c r="EW19" i="13"/>
  <c r="EX19" i="13"/>
  <c r="EY19" i="13"/>
  <c r="EZ19" i="13"/>
  <c r="FA19" i="13"/>
  <c r="FB19" i="13"/>
  <c r="FC19" i="13"/>
  <c r="FD19" i="13"/>
  <c r="FE19" i="13"/>
  <c r="C20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AM20" i="13"/>
  <c r="AN20" i="13"/>
  <c r="AO20" i="13"/>
  <c r="AP20" i="13"/>
  <c r="AQ20" i="13"/>
  <c r="AR20" i="13"/>
  <c r="AS20" i="13"/>
  <c r="AT20" i="13"/>
  <c r="AU20" i="13"/>
  <c r="AV20" i="13"/>
  <c r="AW20" i="13"/>
  <c r="AX20" i="13"/>
  <c r="AY20" i="13"/>
  <c r="AZ20" i="13"/>
  <c r="BA20" i="13"/>
  <c r="BB20" i="13"/>
  <c r="BC20" i="13"/>
  <c r="BD20" i="13"/>
  <c r="BE20" i="13"/>
  <c r="BF20" i="13"/>
  <c r="BG20" i="13"/>
  <c r="BH20" i="13"/>
  <c r="BI20" i="13"/>
  <c r="BJ20" i="13"/>
  <c r="BK20" i="13"/>
  <c r="BL20" i="13"/>
  <c r="BM20" i="13"/>
  <c r="BN20" i="13"/>
  <c r="BO20" i="13"/>
  <c r="BP20" i="13"/>
  <c r="BQ20" i="13"/>
  <c r="BR20" i="13"/>
  <c r="BS20" i="13"/>
  <c r="BT20" i="13"/>
  <c r="BU20" i="13"/>
  <c r="BV20" i="13"/>
  <c r="BW20" i="13"/>
  <c r="BX20" i="13"/>
  <c r="BY20" i="13"/>
  <c r="BZ20" i="13"/>
  <c r="CA20" i="13"/>
  <c r="CB20" i="13"/>
  <c r="CC20" i="13"/>
  <c r="CD20" i="13"/>
  <c r="CE20" i="13"/>
  <c r="CF20" i="13"/>
  <c r="CG20" i="13"/>
  <c r="CH20" i="13"/>
  <c r="CI20" i="13"/>
  <c r="CJ20" i="13"/>
  <c r="CK20" i="13"/>
  <c r="CL20" i="13"/>
  <c r="CM20" i="13"/>
  <c r="CN20" i="13"/>
  <c r="CO20" i="13"/>
  <c r="CP20" i="13"/>
  <c r="CQ20" i="13"/>
  <c r="CR20" i="13"/>
  <c r="CS20" i="13"/>
  <c r="CT20" i="13"/>
  <c r="CU20" i="13"/>
  <c r="CV20" i="13"/>
  <c r="CW20" i="13"/>
  <c r="CX20" i="13"/>
  <c r="CY20" i="13"/>
  <c r="CZ20" i="13"/>
  <c r="DA20" i="13"/>
  <c r="DB20" i="13"/>
  <c r="DC20" i="13"/>
  <c r="DD20" i="13"/>
  <c r="DE20" i="13"/>
  <c r="DF20" i="13"/>
  <c r="DG20" i="13"/>
  <c r="DH20" i="13"/>
  <c r="DI20" i="13"/>
  <c r="DJ20" i="13"/>
  <c r="DK20" i="13"/>
  <c r="DL20" i="13"/>
  <c r="DM20" i="13"/>
  <c r="DN20" i="13"/>
  <c r="DO20" i="13"/>
  <c r="DP20" i="13"/>
  <c r="DQ20" i="13"/>
  <c r="DR20" i="13"/>
  <c r="DS20" i="13"/>
  <c r="DT20" i="13"/>
  <c r="DU20" i="13"/>
  <c r="DV20" i="13"/>
  <c r="DW20" i="13"/>
  <c r="DX20" i="13"/>
  <c r="DY20" i="13"/>
  <c r="DZ20" i="13"/>
  <c r="EA20" i="13"/>
  <c r="EB20" i="13"/>
  <c r="EC20" i="13"/>
  <c r="ED20" i="13"/>
  <c r="EE20" i="13"/>
  <c r="EF20" i="13"/>
  <c r="EG20" i="13"/>
  <c r="EH20" i="13"/>
  <c r="EI20" i="13"/>
  <c r="EJ20" i="13"/>
  <c r="EK20" i="13"/>
  <c r="EL20" i="13"/>
  <c r="EM20" i="13"/>
  <c r="EN20" i="13"/>
  <c r="EO20" i="13"/>
  <c r="EP20" i="13"/>
  <c r="EQ20" i="13"/>
  <c r="ER20" i="13"/>
  <c r="ES20" i="13"/>
  <c r="ET20" i="13"/>
  <c r="EU20" i="13"/>
  <c r="EV20" i="13"/>
  <c r="EW20" i="13"/>
  <c r="EX20" i="13"/>
  <c r="EY20" i="13"/>
  <c r="EZ20" i="13"/>
  <c r="FA20" i="13"/>
  <c r="FB20" i="13"/>
  <c r="FC20" i="13"/>
  <c r="FD20" i="13"/>
  <c r="FE20" i="13"/>
  <c r="C21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AM21" i="13"/>
  <c r="AN21" i="13"/>
  <c r="AO21" i="13"/>
  <c r="AP21" i="13"/>
  <c r="AQ21" i="13"/>
  <c r="AR21" i="13"/>
  <c r="AS21" i="13"/>
  <c r="AT21" i="13"/>
  <c r="AU21" i="13"/>
  <c r="AV21" i="13"/>
  <c r="AW21" i="13"/>
  <c r="AX21" i="13"/>
  <c r="AY21" i="13"/>
  <c r="AZ21" i="13"/>
  <c r="BA21" i="13"/>
  <c r="BB21" i="13"/>
  <c r="BC21" i="13"/>
  <c r="BD21" i="13"/>
  <c r="BE21" i="13"/>
  <c r="BF21" i="13"/>
  <c r="BG21" i="13"/>
  <c r="BH21" i="13"/>
  <c r="BI21" i="13"/>
  <c r="BJ21" i="13"/>
  <c r="BK21" i="13"/>
  <c r="BL21" i="13"/>
  <c r="BM21" i="13"/>
  <c r="BN21" i="13"/>
  <c r="BO21" i="13"/>
  <c r="BP21" i="13"/>
  <c r="BQ21" i="13"/>
  <c r="BR21" i="13"/>
  <c r="BS21" i="13"/>
  <c r="BT21" i="13"/>
  <c r="BU21" i="13"/>
  <c r="BV21" i="13"/>
  <c r="BW21" i="13"/>
  <c r="BX21" i="13"/>
  <c r="BY21" i="13"/>
  <c r="BZ21" i="13"/>
  <c r="CA21" i="13"/>
  <c r="CB21" i="13"/>
  <c r="CC21" i="13"/>
  <c r="CD21" i="13"/>
  <c r="CE21" i="13"/>
  <c r="CF21" i="13"/>
  <c r="CG21" i="13"/>
  <c r="CH21" i="13"/>
  <c r="CI21" i="13"/>
  <c r="CJ21" i="13"/>
  <c r="CK21" i="13"/>
  <c r="CL21" i="13"/>
  <c r="CM21" i="13"/>
  <c r="CN21" i="13"/>
  <c r="CO21" i="13"/>
  <c r="CP21" i="13"/>
  <c r="CQ21" i="13"/>
  <c r="CR21" i="13"/>
  <c r="CS21" i="13"/>
  <c r="CT21" i="13"/>
  <c r="CU21" i="13"/>
  <c r="CV21" i="13"/>
  <c r="CW21" i="13"/>
  <c r="CX21" i="13"/>
  <c r="CY21" i="13"/>
  <c r="CZ21" i="13"/>
  <c r="DA21" i="13"/>
  <c r="DB21" i="13"/>
  <c r="DC21" i="13"/>
  <c r="DD21" i="13"/>
  <c r="DE21" i="13"/>
  <c r="DF21" i="13"/>
  <c r="DG21" i="13"/>
  <c r="DH21" i="13"/>
  <c r="DI21" i="13"/>
  <c r="DJ21" i="13"/>
  <c r="DK21" i="13"/>
  <c r="DL21" i="13"/>
  <c r="DM21" i="13"/>
  <c r="DN21" i="13"/>
  <c r="DO21" i="13"/>
  <c r="DP21" i="13"/>
  <c r="DQ21" i="13"/>
  <c r="DR21" i="13"/>
  <c r="DS21" i="13"/>
  <c r="DT21" i="13"/>
  <c r="DU21" i="13"/>
  <c r="DV21" i="13"/>
  <c r="DW21" i="13"/>
  <c r="DX21" i="13"/>
  <c r="DY21" i="13"/>
  <c r="DZ21" i="13"/>
  <c r="EA21" i="13"/>
  <c r="EB21" i="13"/>
  <c r="EC21" i="13"/>
  <c r="ED21" i="13"/>
  <c r="EE21" i="13"/>
  <c r="EF21" i="13"/>
  <c r="EG21" i="13"/>
  <c r="EH21" i="13"/>
  <c r="EI21" i="13"/>
  <c r="EJ21" i="13"/>
  <c r="EK21" i="13"/>
  <c r="EL21" i="13"/>
  <c r="EM21" i="13"/>
  <c r="EN21" i="13"/>
  <c r="EO21" i="13"/>
  <c r="EP21" i="13"/>
  <c r="EQ21" i="13"/>
  <c r="ER21" i="13"/>
  <c r="ES21" i="13"/>
  <c r="ET21" i="13"/>
  <c r="EU21" i="13"/>
  <c r="EV21" i="13"/>
  <c r="EW21" i="13"/>
  <c r="EX21" i="13"/>
  <c r="EY21" i="13"/>
  <c r="EZ21" i="13"/>
  <c r="FA21" i="13"/>
  <c r="FB21" i="13"/>
  <c r="FC21" i="13"/>
  <c r="FD21" i="13"/>
  <c r="FE21" i="13"/>
  <c r="C22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AM22" i="13"/>
  <c r="AN22" i="13"/>
  <c r="AO22" i="13"/>
  <c r="AP22" i="13"/>
  <c r="AQ22" i="13"/>
  <c r="AR22" i="13"/>
  <c r="AS22" i="13"/>
  <c r="AT22" i="13"/>
  <c r="AU22" i="13"/>
  <c r="AV22" i="13"/>
  <c r="AW22" i="13"/>
  <c r="AX22" i="13"/>
  <c r="AY22" i="13"/>
  <c r="AZ22" i="13"/>
  <c r="BA22" i="13"/>
  <c r="BB22" i="13"/>
  <c r="BC22" i="13"/>
  <c r="BD22" i="13"/>
  <c r="BE22" i="13"/>
  <c r="BF22" i="13"/>
  <c r="BG22" i="13"/>
  <c r="BH22" i="13"/>
  <c r="BI22" i="13"/>
  <c r="BJ22" i="13"/>
  <c r="BK22" i="13"/>
  <c r="BL22" i="13"/>
  <c r="BM22" i="13"/>
  <c r="BN22" i="13"/>
  <c r="BO22" i="13"/>
  <c r="BP22" i="13"/>
  <c r="BQ22" i="13"/>
  <c r="BR22" i="13"/>
  <c r="BS22" i="13"/>
  <c r="BT22" i="13"/>
  <c r="BU22" i="13"/>
  <c r="BV22" i="13"/>
  <c r="BW22" i="13"/>
  <c r="BX22" i="13"/>
  <c r="BY22" i="13"/>
  <c r="BZ22" i="13"/>
  <c r="CA22" i="13"/>
  <c r="CB22" i="13"/>
  <c r="CC22" i="13"/>
  <c r="CD22" i="13"/>
  <c r="CE22" i="13"/>
  <c r="CF22" i="13"/>
  <c r="CG22" i="13"/>
  <c r="CH22" i="13"/>
  <c r="CI22" i="13"/>
  <c r="CJ22" i="13"/>
  <c r="CK22" i="13"/>
  <c r="CL22" i="13"/>
  <c r="CM22" i="13"/>
  <c r="CN22" i="13"/>
  <c r="CO22" i="13"/>
  <c r="CP22" i="13"/>
  <c r="CQ22" i="13"/>
  <c r="CR22" i="13"/>
  <c r="CS22" i="13"/>
  <c r="CT22" i="13"/>
  <c r="CU22" i="13"/>
  <c r="CV22" i="13"/>
  <c r="CW22" i="13"/>
  <c r="CX22" i="13"/>
  <c r="CY22" i="13"/>
  <c r="CZ22" i="13"/>
  <c r="DA22" i="13"/>
  <c r="DB22" i="13"/>
  <c r="DC22" i="13"/>
  <c r="DD22" i="13"/>
  <c r="DE22" i="13"/>
  <c r="DF22" i="13"/>
  <c r="DG22" i="13"/>
  <c r="DH22" i="13"/>
  <c r="DI22" i="13"/>
  <c r="DJ22" i="13"/>
  <c r="DK22" i="13"/>
  <c r="DL22" i="13"/>
  <c r="DM22" i="13"/>
  <c r="DN22" i="13"/>
  <c r="DO22" i="13"/>
  <c r="DP22" i="13"/>
  <c r="DQ22" i="13"/>
  <c r="DR22" i="13"/>
  <c r="DS22" i="13"/>
  <c r="DT22" i="13"/>
  <c r="DU22" i="13"/>
  <c r="DV22" i="13"/>
  <c r="DW22" i="13"/>
  <c r="DX22" i="13"/>
  <c r="DY22" i="13"/>
  <c r="DZ22" i="13"/>
  <c r="EA22" i="13"/>
  <c r="EB22" i="13"/>
  <c r="EC22" i="13"/>
  <c r="ED22" i="13"/>
  <c r="EE22" i="13"/>
  <c r="EF22" i="13"/>
  <c r="EG22" i="13"/>
  <c r="EH22" i="13"/>
  <c r="EI22" i="13"/>
  <c r="EJ22" i="13"/>
  <c r="EK22" i="13"/>
  <c r="EL22" i="13"/>
  <c r="EM22" i="13"/>
  <c r="EN22" i="13"/>
  <c r="EO22" i="13"/>
  <c r="EP22" i="13"/>
  <c r="EQ22" i="13"/>
  <c r="ER22" i="13"/>
  <c r="ES22" i="13"/>
  <c r="ET22" i="13"/>
  <c r="EU22" i="13"/>
  <c r="EV22" i="13"/>
  <c r="EW22" i="13"/>
  <c r="EX22" i="13"/>
  <c r="EY22" i="13"/>
  <c r="EZ22" i="13"/>
  <c r="FA22" i="13"/>
  <c r="FB22" i="13"/>
  <c r="FC22" i="13"/>
  <c r="FD22" i="13"/>
  <c r="FE22" i="13"/>
  <c r="C23" i="13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AM23" i="13"/>
  <c r="AN23" i="13"/>
  <c r="AO23" i="13"/>
  <c r="AP23" i="13"/>
  <c r="AQ23" i="13"/>
  <c r="AR23" i="13"/>
  <c r="AS23" i="13"/>
  <c r="AT23" i="13"/>
  <c r="AU23" i="13"/>
  <c r="AV23" i="13"/>
  <c r="AW23" i="13"/>
  <c r="AX23" i="13"/>
  <c r="AY23" i="13"/>
  <c r="AZ23" i="13"/>
  <c r="BA23" i="13"/>
  <c r="BB23" i="13"/>
  <c r="BC23" i="13"/>
  <c r="BD23" i="13"/>
  <c r="BE23" i="13"/>
  <c r="BF23" i="13"/>
  <c r="BG23" i="13"/>
  <c r="BH23" i="13"/>
  <c r="BI23" i="13"/>
  <c r="BJ23" i="13"/>
  <c r="BK23" i="13"/>
  <c r="BL23" i="13"/>
  <c r="BM23" i="13"/>
  <c r="BN23" i="13"/>
  <c r="BO23" i="13"/>
  <c r="BP23" i="13"/>
  <c r="BQ23" i="13"/>
  <c r="BR23" i="13"/>
  <c r="BS23" i="13"/>
  <c r="BT23" i="13"/>
  <c r="BU23" i="13"/>
  <c r="BV23" i="13"/>
  <c r="BW23" i="13"/>
  <c r="BX23" i="13"/>
  <c r="BY23" i="13"/>
  <c r="BZ23" i="13"/>
  <c r="CA23" i="13"/>
  <c r="CB23" i="13"/>
  <c r="CC23" i="13"/>
  <c r="CD23" i="13"/>
  <c r="CE23" i="13"/>
  <c r="CF23" i="13"/>
  <c r="CG23" i="13"/>
  <c r="CH23" i="13"/>
  <c r="CI23" i="13"/>
  <c r="CJ23" i="13"/>
  <c r="CK23" i="13"/>
  <c r="CL23" i="13"/>
  <c r="CM23" i="13"/>
  <c r="CN23" i="13"/>
  <c r="CO23" i="13"/>
  <c r="CP23" i="13"/>
  <c r="CQ23" i="13"/>
  <c r="CR23" i="13"/>
  <c r="CS23" i="13"/>
  <c r="CT23" i="13"/>
  <c r="CU23" i="13"/>
  <c r="CV23" i="13"/>
  <c r="CW23" i="13"/>
  <c r="CX23" i="13"/>
  <c r="CY23" i="13"/>
  <c r="CZ23" i="13"/>
  <c r="DA23" i="13"/>
  <c r="DB23" i="13"/>
  <c r="DC23" i="13"/>
  <c r="DD23" i="13"/>
  <c r="DE23" i="13"/>
  <c r="DF23" i="13"/>
  <c r="DG23" i="13"/>
  <c r="DH23" i="13"/>
  <c r="DI23" i="13"/>
  <c r="DJ23" i="13"/>
  <c r="DK23" i="13"/>
  <c r="DL23" i="13"/>
  <c r="DM23" i="13"/>
  <c r="DN23" i="13"/>
  <c r="DO23" i="13"/>
  <c r="DP23" i="13"/>
  <c r="DQ23" i="13"/>
  <c r="DR23" i="13"/>
  <c r="DS23" i="13"/>
  <c r="DT23" i="13"/>
  <c r="DU23" i="13"/>
  <c r="DV23" i="13"/>
  <c r="DW23" i="13"/>
  <c r="DX23" i="13"/>
  <c r="DY23" i="13"/>
  <c r="DZ23" i="13"/>
  <c r="EA23" i="13"/>
  <c r="EB23" i="13"/>
  <c r="EC23" i="13"/>
  <c r="ED23" i="13"/>
  <c r="EE23" i="13"/>
  <c r="EF23" i="13"/>
  <c r="EG23" i="13"/>
  <c r="EH23" i="13"/>
  <c r="EI23" i="13"/>
  <c r="EJ23" i="13"/>
  <c r="EK23" i="13"/>
  <c r="EL23" i="13"/>
  <c r="EM23" i="13"/>
  <c r="EN23" i="13"/>
  <c r="EO23" i="13"/>
  <c r="EP23" i="13"/>
  <c r="EQ23" i="13"/>
  <c r="ER23" i="13"/>
  <c r="ES23" i="13"/>
  <c r="ET23" i="13"/>
  <c r="EU23" i="13"/>
  <c r="EV23" i="13"/>
  <c r="EW23" i="13"/>
  <c r="EX23" i="13"/>
  <c r="EY23" i="13"/>
  <c r="EZ23" i="13"/>
  <c r="FA23" i="13"/>
  <c r="FB23" i="13"/>
  <c r="FC23" i="13"/>
  <c r="FD23" i="13"/>
  <c r="FE23" i="13"/>
  <c r="C24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AH24" i="13"/>
  <c r="AI24" i="13"/>
  <c r="AJ24" i="13"/>
  <c r="AK24" i="13"/>
  <c r="AL24" i="13"/>
  <c r="AM24" i="13"/>
  <c r="AN24" i="13"/>
  <c r="AO24" i="13"/>
  <c r="AP24" i="13"/>
  <c r="AQ24" i="13"/>
  <c r="AR24" i="13"/>
  <c r="AS24" i="13"/>
  <c r="AT24" i="13"/>
  <c r="AU24" i="13"/>
  <c r="AV24" i="13"/>
  <c r="AW24" i="13"/>
  <c r="AX24" i="13"/>
  <c r="AY24" i="13"/>
  <c r="AZ24" i="13"/>
  <c r="BA24" i="13"/>
  <c r="BB24" i="13"/>
  <c r="BC24" i="13"/>
  <c r="BD24" i="13"/>
  <c r="BE24" i="13"/>
  <c r="BF24" i="13"/>
  <c r="BG24" i="13"/>
  <c r="BH24" i="13"/>
  <c r="BI24" i="13"/>
  <c r="BJ24" i="13"/>
  <c r="BK24" i="13"/>
  <c r="BL24" i="13"/>
  <c r="BM24" i="13"/>
  <c r="BN24" i="13"/>
  <c r="BO24" i="13"/>
  <c r="BP24" i="13"/>
  <c r="BQ24" i="13"/>
  <c r="BR24" i="13"/>
  <c r="BS24" i="13"/>
  <c r="BT24" i="13"/>
  <c r="BU24" i="13"/>
  <c r="BV24" i="13"/>
  <c r="BW24" i="13"/>
  <c r="BX24" i="13"/>
  <c r="BY24" i="13"/>
  <c r="BZ24" i="13"/>
  <c r="CA24" i="13"/>
  <c r="CB24" i="13"/>
  <c r="CC24" i="13"/>
  <c r="CD24" i="13"/>
  <c r="CE24" i="13"/>
  <c r="CF24" i="13"/>
  <c r="CG24" i="13"/>
  <c r="CH24" i="13"/>
  <c r="CI24" i="13"/>
  <c r="CJ24" i="13"/>
  <c r="CK24" i="13"/>
  <c r="CL24" i="13"/>
  <c r="CM24" i="13"/>
  <c r="CN24" i="13"/>
  <c r="CO24" i="13"/>
  <c r="CP24" i="13"/>
  <c r="CQ24" i="13"/>
  <c r="CR24" i="13"/>
  <c r="CS24" i="13"/>
  <c r="CT24" i="13"/>
  <c r="CU24" i="13"/>
  <c r="CV24" i="13"/>
  <c r="CW24" i="13"/>
  <c r="CX24" i="13"/>
  <c r="CY24" i="13"/>
  <c r="CZ24" i="13"/>
  <c r="DA24" i="13"/>
  <c r="DB24" i="13"/>
  <c r="DC24" i="13"/>
  <c r="DD24" i="13"/>
  <c r="DE24" i="13"/>
  <c r="DF24" i="13"/>
  <c r="DG24" i="13"/>
  <c r="DH24" i="13"/>
  <c r="DI24" i="13"/>
  <c r="DJ24" i="13"/>
  <c r="DK24" i="13"/>
  <c r="DL24" i="13"/>
  <c r="DM24" i="13"/>
  <c r="DN24" i="13"/>
  <c r="DO24" i="13"/>
  <c r="DP24" i="13"/>
  <c r="DQ24" i="13"/>
  <c r="DR24" i="13"/>
  <c r="DS24" i="13"/>
  <c r="DT24" i="13"/>
  <c r="DU24" i="13"/>
  <c r="DV24" i="13"/>
  <c r="DW24" i="13"/>
  <c r="DX24" i="13"/>
  <c r="DY24" i="13"/>
  <c r="DZ24" i="13"/>
  <c r="EA24" i="13"/>
  <c r="EB24" i="13"/>
  <c r="EC24" i="13"/>
  <c r="ED24" i="13"/>
  <c r="EE24" i="13"/>
  <c r="EF24" i="13"/>
  <c r="EG24" i="13"/>
  <c r="EH24" i="13"/>
  <c r="EI24" i="13"/>
  <c r="EJ24" i="13"/>
  <c r="EK24" i="13"/>
  <c r="EL24" i="13"/>
  <c r="EM24" i="13"/>
  <c r="EN24" i="13"/>
  <c r="EO24" i="13"/>
  <c r="EP24" i="13"/>
  <c r="EQ24" i="13"/>
  <c r="ER24" i="13"/>
  <c r="ES24" i="13"/>
  <c r="ET24" i="13"/>
  <c r="EU24" i="13"/>
  <c r="EV24" i="13"/>
  <c r="EW24" i="13"/>
  <c r="EX24" i="13"/>
  <c r="EY24" i="13"/>
  <c r="EZ24" i="13"/>
  <c r="FA24" i="13"/>
  <c r="FB24" i="13"/>
  <c r="FC24" i="13"/>
  <c r="FD24" i="13"/>
  <c r="FE24" i="13"/>
  <c r="AU48" i="14"/>
  <c r="AQ48" i="14"/>
  <c r="E48" i="14"/>
  <c r="AU47" i="14"/>
  <c r="AQ47" i="14"/>
  <c r="E47" i="14"/>
  <c r="AU46" i="14"/>
  <c r="AQ46" i="14"/>
  <c r="E46" i="14"/>
  <c r="AQ45" i="14"/>
  <c r="E45" i="14"/>
  <c r="AQ44" i="14"/>
  <c r="E44" i="14"/>
  <c r="AQ43" i="14"/>
  <c r="E43" i="14"/>
  <c r="AQ42" i="14"/>
  <c r="E42" i="14"/>
  <c r="AQ41" i="14"/>
  <c r="E41" i="14"/>
  <c r="AQ40" i="14"/>
  <c r="E40" i="14"/>
  <c r="AQ39" i="14"/>
  <c r="E39" i="14"/>
  <c r="AQ38" i="14"/>
  <c r="E38" i="14"/>
  <c r="AQ37" i="14"/>
  <c r="E37" i="14"/>
  <c r="AQ36" i="14"/>
  <c r="E36" i="14"/>
  <c r="AQ35" i="14"/>
  <c r="E35" i="14"/>
  <c r="AQ34" i="14"/>
  <c r="E34" i="14"/>
  <c r="AQ33" i="14"/>
  <c r="E33" i="14"/>
  <c r="AQ32" i="14"/>
  <c r="E32" i="14"/>
  <c r="AQ31" i="14"/>
  <c r="E31" i="14"/>
  <c r="AQ30" i="14"/>
  <c r="E30" i="14"/>
  <c r="AV26" i="14"/>
  <c r="AP26" i="14"/>
  <c r="AO26" i="14"/>
  <c r="AN26" i="14"/>
  <c r="AM26" i="14"/>
  <c r="AL26" i="14"/>
  <c r="AK26" i="14"/>
  <c r="AJ26" i="14"/>
  <c r="AI26" i="14"/>
  <c r="AH26" i="14"/>
  <c r="AG26" i="14"/>
  <c r="AF26" i="14"/>
  <c r="AE26" i="14"/>
  <c r="AD26" i="14"/>
  <c r="AC26" i="14"/>
  <c r="AB26" i="14"/>
  <c r="AA26" i="14"/>
  <c r="Z26" i="14"/>
  <c r="Y26" i="14"/>
  <c r="X26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K26" i="14"/>
  <c r="J26" i="14"/>
  <c r="I26" i="14"/>
  <c r="H26" i="14"/>
  <c r="G26" i="14"/>
  <c r="F26" i="14"/>
  <c r="D2" i="14"/>
  <c r="D3" i="14" s="1"/>
  <c r="D26" i="14" s="1"/>
  <c r="AU48" i="12"/>
  <c r="AQ48" i="12"/>
  <c r="E48" i="12"/>
  <c r="AU47" i="12"/>
  <c r="AQ47" i="12"/>
  <c r="E47" i="12"/>
  <c r="AU46" i="12"/>
  <c r="AQ46" i="12"/>
  <c r="E46" i="12"/>
  <c r="AQ45" i="12"/>
  <c r="E45" i="12"/>
  <c r="AQ44" i="12"/>
  <c r="E44" i="12"/>
  <c r="AQ43" i="12"/>
  <c r="E43" i="12"/>
  <c r="AQ42" i="12"/>
  <c r="E42" i="12"/>
  <c r="AQ41" i="12"/>
  <c r="E41" i="12"/>
  <c r="AQ40" i="12"/>
  <c r="E40" i="12"/>
  <c r="AQ39" i="12"/>
  <c r="E39" i="12"/>
  <c r="AQ38" i="12"/>
  <c r="E38" i="12"/>
  <c r="AQ37" i="12"/>
  <c r="E37" i="12"/>
  <c r="AQ36" i="12"/>
  <c r="E36" i="12"/>
  <c r="AQ35" i="12"/>
  <c r="E35" i="12"/>
  <c r="AQ34" i="12"/>
  <c r="E34" i="12"/>
  <c r="AQ33" i="12"/>
  <c r="E33" i="12"/>
  <c r="AQ32" i="12"/>
  <c r="E32" i="12"/>
  <c r="AQ31" i="12"/>
  <c r="E31" i="12"/>
  <c r="AQ30" i="12"/>
  <c r="E30" i="12"/>
  <c r="AV26" i="12"/>
  <c r="AP26" i="12"/>
  <c r="AO26" i="12"/>
  <c r="AN26" i="12"/>
  <c r="AM26" i="12"/>
  <c r="AL26" i="12"/>
  <c r="AK26" i="12"/>
  <c r="AJ26" i="12"/>
  <c r="AI26" i="12"/>
  <c r="AH26" i="12"/>
  <c r="AG26" i="12"/>
  <c r="AF26" i="12"/>
  <c r="AE26" i="12"/>
  <c r="AD26" i="12"/>
  <c r="AC26" i="12"/>
  <c r="AB26" i="12"/>
  <c r="AA26" i="12"/>
  <c r="Z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AU48" i="10"/>
  <c r="AQ48" i="10"/>
  <c r="E48" i="10"/>
  <c r="AU47" i="10"/>
  <c r="AQ47" i="10"/>
  <c r="E47" i="10"/>
  <c r="AU46" i="10"/>
  <c r="AQ46" i="10"/>
  <c r="E46" i="10"/>
  <c r="AQ45" i="10"/>
  <c r="E45" i="10"/>
  <c r="AQ44" i="10"/>
  <c r="E44" i="10"/>
  <c r="AQ43" i="10"/>
  <c r="E43" i="10"/>
  <c r="AQ42" i="10"/>
  <c r="E42" i="10"/>
  <c r="AQ41" i="10"/>
  <c r="E41" i="10"/>
  <c r="AQ40" i="10"/>
  <c r="E40" i="10"/>
  <c r="AQ39" i="10"/>
  <c r="E39" i="10"/>
  <c r="AQ38" i="10"/>
  <c r="E38" i="10"/>
  <c r="AQ37" i="10"/>
  <c r="E37" i="10"/>
  <c r="AQ36" i="10"/>
  <c r="E36" i="10"/>
  <c r="AQ35" i="10"/>
  <c r="E35" i="10"/>
  <c r="AQ34" i="10"/>
  <c r="E34" i="10"/>
  <c r="AQ33" i="10"/>
  <c r="E33" i="10"/>
  <c r="AQ32" i="10"/>
  <c r="E32" i="10"/>
  <c r="AQ31" i="10"/>
  <c r="E31" i="10"/>
  <c r="AQ30" i="10"/>
  <c r="E30" i="10"/>
  <c r="AV26" i="10"/>
  <c r="AP26" i="10"/>
  <c r="AO26" i="10"/>
  <c r="AN26" i="10"/>
  <c r="AM26" i="10"/>
  <c r="AL26" i="10"/>
  <c r="AK26" i="10"/>
  <c r="AJ26" i="10"/>
  <c r="AI26" i="10"/>
  <c r="AH26" i="10"/>
  <c r="AG26" i="10"/>
  <c r="AF26" i="10"/>
  <c r="AE26" i="10"/>
  <c r="AD26" i="10"/>
  <c r="AC26" i="10"/>
  <c r="AB26" i="10"/>
  <c r="AA26" i="10"/>
  <c r="Z26" i="10"/>
  <c r="Y26" i="10"/>
  <c r="X26" i="10"/>
  <c r="W26" i="10"/>
  <c r="V26" i="10"/>
  <c r="U26" i="10"/>
  <c r="T26" i="10"/>
  <c r="S26" i="10"/>
  <c r="R26" i="10"/>
  <c r="Q26" i="10"/>
  <c r="P26" i="10"/>
  <c r="O26" i="10"/>
  <c r="N26" i="10"/>
  <c r="M26" i="10"/>
  <c r="L26" i="10"/>
  <c r="K26" i="10"/>
  <c r="J26" i="10"/>
  <c r="I26" i="10"/>
  <c r="H26" i="10"/>
  <c r="G26" i="10"/>
  <c r="F26" i="10"/>
  <c r="D2" i="10"/>
  <c r="C2" i="10"/>
  <c r="AS3" i="14" a="1"/>
  <c r="AS3" i="14" l="1"/>
  <c r="AS26" i="14"/>
  <c r="EE16" i="13"/>
  <c r="DW16" i="13"/>
  <c r="DO16" i="13"/>
  <c r="DG16" i="13"/>
  <c r="CY16" i="13"/>
  <c r="CQ16" i="13"/>
  <c r="CH16" i="13"/>
  <c r="BY16" i="13"/>
  <c r="BP16" i="13"/>
  <c r="BF16" i="13"/>
  <c r="AW16" i="13"/>
  <c r="AN16" i="13"/>
  <c r="AE16" i="13"/>
  <c r="U16" i="13"/>
  <c r="I16" i="13"/>
  <c r="FB15" i="13"/>
  <c r="ER15" i="13"/>
  <c r="EF15" i="13"/>
  <c r="DV15" i="13"/>
  <c r="DL15" i="13"/>
  <c r="CZ15" i="13"/>
  <c r="CP15" i="13"/>
  <c r="CF15" i="13"/>
  <c r="BT15" i="13"/>
  <c r="BH15" i="13"/>
  <c r="AS15" i="13"/>
  <c r="AE15" i="13"/>
  <c r="O15" i="13"/>
  <c r="EV14" i="13"/>
  <c r="DW14" i="13"/>
  <c r="CQ14" i="13"/>
  <c r="AJ14" i="13"/>
  <c r="EF13" i="13"/>
  <c r="BO13" i="13"/>
  <c r="G13" i="13"/>
  <c r="DG12" i="13"/>
  <c r="AP12" i="13"/>
  <c r="DX11" i="13"/>
  <c r="E11" i="13"/>
  <c r="FA15" i="13"/>
  <c r="EO15" i="13"/>
  <c r="EE15" i="13"/>
  <c r="DU15" i="13"/>
  <c r="DI15" i="13"/>
  <c r="CY15" i="13"/>
  <c r="CO15" i="13"/>
  <c r="CC15" i="13"/>
  <c r="BS15" i="13"/>
  <c r="BD15" i="13"/>
  <c r="AR15" i="13"/>
  <c r="AD15" i="13"/>
  <c r="L15" i="13"/>
  <c r="EP14" i="13"/>
  <c r="DS14" i="13"/>
  <c r="CF14" i="13"/>
  <c r="Y14" i="13"/>
  <c r="DV13" i="13"/>
  <c r="BC13" i="13"/>
  <c r="FC12" i="13"/>
  <c r="CV12" i="13"/>
  <c r="AC12" i="13"/>
  <c r="DA11" i="13"/>
  <c r="EA10" i="13"/>
  <c r="EC16" i="13"/>
  <c r="DU16" i="13"/>
  <c r="DM16" i="13"/>
  <c r="DE16" i="13"/>
  <c r="CW16" i="13"/>
  <c r="CO16" i="13"/>
  <c r="CF16" i="13"/>
  <c r="BV16" i="13"/>
  <c r="BM16" i="13"/>
  <c r="BD16" i="13"/>
  <c r="AU16" i="13"/>
  <c r="AL16" i="13"/>
  <c r="AC16" i="13"/>
  <c r="Q16" i="13"/>
  <c r="G16" i="13"/>
  <c r="EZ15" i="13"/>
  <c r="EN15" i="13"/>
  <c r="ED15" i="13"/>
  <c r="DT15" i="13"/>
  <c r="DH15" i="13"/>
  <c r="CX15" i="13"/>
  <c r="CN15" i="13"/>
  <c r="CB15" i="13"/>
  <c r="BR15" i="13"/>
  <c r="BC15" i="13"/>
  <c r="AO15" i="13"/>
  <c r="AB15" i="13"/>
  <c r="K15" i="13"/>
  <c r="EO14" i="13"/>
  <c r="DN14" i="13"/>
  <c r="CE14" i="13"/>
  <c r="X14" i="13"/>
  <c r="DJ13" i="13"/>
  <c r="BB13" i="13"/>
  <c r="FB12" i="13"/>
  <c r="CJ12" i="13"/>
  <c r="AB12" i="13"/>
  <c r="CY11" i="13"/>
  <c r="CO10" i="13"/>
  <c r="EJ16" i="13"/>
  <c r="EB16" i="13"/>
  <c r="DT16" i="13"/>
  <c r="DL16" i="13"/>
  <c r="DD16" i="13"/>
  <c r="CV16" i="13"/>
  <c r="CN16" i="13"/>
  <c r="CD16" i="13"/>
  <c r="BU16" i="13"/>
  <c r="BL16" i="13"/>
  <c r="BC16" i="13"/>
  <c r="AT16" i="13"/>
  <c r="AK16" i="13"/>
  <c r="Z16" i="13"/>
  <c r="P16" i="13"/>
  <c r="F16" i="13"/>
  <c r="EW15" i="13"/>
  <c r="EM15" i="13"/>
  <c r="EC15" i="13"/>
  <c r="DQ15" i="13"/>
  <c r="DG15" i="13"/>
  <c r="CW15" i="13"/>
  <c r="CK15" i="13"/>
  <c r="CA15" i="13"/>
  <c r="BP15" i="13"/>
  <c r="BB15" i="13"/>
  <c r="AN15" i="13"/>
  <c r="W15" i="13"/>
  <c r="G15" i="13"/>
  <c r="EM14" i="13"/>
  <c r="DK14" i="13"/>
  <c r="BT14" i="13"/>
  <c r="N14" i="13"/>
  <c r="CX13" i="13"/>
  <c r="AU13" i="13"/>
  <c r="EQ12" i="13"/>
  <c r="BY12" i="13"/>
  <c r="P12" i="13"/>
  <c r="CD11" i="13"/>
  <c r="AY10" i="13"/>
  <c r="DK16" i="13"/>
  <c r="DC16" i="13"/>
  <c r="CU16" i="13"/>
  <c r="CL16" i="13"/>
  <c r="CC16" i="13"/>
  <c r="BT16" i="13"/>
  <c r="BK16" i="13"/>
  <c r="BB16" i="13"/>
  <c r="AS16" i="13"/>
  <c r="AJ16" i="13"/>
  <c r="Y16" i="13"/>
  <c r="O16" i="13"/>
  <c r="E16" i="13"/>
  <c r="EV15" i="13"/>
  <c r="EL15" i="13"/>
  <c r="EB15" i="13"/>
  <c r="DP15" i="13"/>
  <c r="DF15" i="13"/>
  <c r="CV15" i="13"/>
  <c r="CJ15" i="13"/>
  <c r="BZ15" i="13"/>
  <c r="BM15" i="13"/>
  <c r="BA15" i="13"/>
  <c r="AL15" i="13"/>
  <c r="V15" i="13"/>
  <c r="F15" i="13"/>
  <c r="EF14" i="13"/>
  <c r="DH14" i="13"/>
  <c r="BS14" i="13"/>
  <c r="FE13" i="13"/>
  <c r="CW13" i="13"/>
  <c r="AQ13" i="13"/>
  <c r="EE12" i="13"/>
  <c r="BX12" i="13"/>
  <c r="O12" i="13"/>
  <c r="BG11" i="13"/>
  <c r="N10" i="13"/>
  <c r="DR16" i="13"/>
  <c r="DJ16" i="13"/>
  <c r="DB16" i="13"/>
  <c r="CT16" i="13"/>
  <c r="CK16" i="13"/>
  <c r="CB16" i="13"/>
  <c r="BS16" i="13"/>
  <c r="BJ16" i="13"/>
  <c r="BA16" i="13"/>
  <c r="AR16" i="13"/>
  <c r="AH16" i="13"/>
  <c r="X16" i="13"/>
  <c r="N16" i="13"/>
  <c r="FE15" i="13"/>
  <c r="EU15" i="13"/>
  <c r="EK15" i="13"/>
  <c r="DY15" i="13"/>
  <c r="DO15" i="13"/>
  <c r="DE15" i="13"/>
  <c r="AT15" i="14" s="1"/>
  <c r="CS15" i="13"/>
  <c r="CI15" i="13"/>
  <c r="BY15" i="13"/>
  <c r="BL15" i="13"/>
  <c r="AZ15" i="13"/>
  <c r="AJ15" i="13"/>
  <c r="U15" i="13"/>
  <c r="D15" i="13"/>
  <c r="EC14" i="13"/>
  <c r="DD14" i="13"/>
  <c r="BI14" i="13"/>
  <c r="ES13" i="13"/>
  <c r="CM13" i="13"/>
  <c r="AI13" i="13"/>
  <c r="DT12" i="13"/>
  <c r="BM12" i="13"/>
  <c r="D12" i="13"/>
  <c r="AI11" i="13"/>
  <c r="C10" i="13"/>
  <c r="BI15" i="13"/>
  <c r="AW15" i="13"/>
  <c r="AM15" i="13"/>
  <c r="AC15" i="13"/>
  <c r="P15" i="13"/>
  <c r="FD14" i="13"/>
  <c r="EL14" i="13"/>
  <c r="DR14" i="13"/>
  <c r="CZ14" i="13"/>
  <c r="BH14" i="13"/>
  <c r="M14" i="13"/>
  <c r="DU13" i="13"/>
  <c r="BZ13" i="13"/>
  <c r="AE13" i="13"/>
  <c r="EP12" i="13"/>
  <c r="CU12" i="13"/>
  <c r="AZ12" i="13"/>
  <c r="FE11" i="13"/>
  <c r="CC11" i="13"/>
  <c r="DX10" i="13"/>
  <c r="BQ15" i="13"/>
  <c r="BE15" i="13"/>
  <c r="AU15" i="13"/>
  <c r="AK15" i="13"/>
  <c r="X15" i="13"/>
  <c r="M15" i="13"/>
  <c r="EY14" i="13"/>
  <c r="EE14" i="13"/>
  <c r="DM14" i="13"/>
  <c r="CP14" i="13"/>
  <c r="AV14" i="13"/>
  <c r="FD13" i="13"/>
  <c r="DI13" i="13"/>
  <c r="BN13" i="13"/>
  <c r="S13" i="13"/>
  <c r="ED12" i="13"/>
  <c r="CI12" i="13"/>
  <c r="AN12" i="13"/>
  <c r="EO11" i="13"/>
  <c r="BE11" i="13"/>
  <c r="CN10" i="13"/>
  <c r="AZ10" i="13"/>
  <c r="J15" i="13"/>
  <c r="FC14" i="13"/>
  <c r="EU14" i="13"/>
  <c r="EK14" i="13"/>
  <c r="EA14" i="13"/>
  <c r="DQ14" i="13"/>
  <c r="DG14" i="13"/>
  <c r="CY14" i="13"/>
  <c r="CO14" i="13"/>
  <c r="CD14" i="13"/>
  <c r="BR14" i="13"/>
  <c r="BF14" i="13"/>
  <c r="AU14" i="13"/>
  <c r="AI14" i="13"/>
  <c r="W14" i="13"/>
  <c r="L14" i="13"/>
  <c r="FC13" i="13"/>
  <c r="EQ13" i="13"/>
  <c r="EE13" i="13"/>
  <c r="DT13" i="13"/>
  <c r="DH13" i="13"/>
  <c r="CV13" i="13"/>
  <c r="CJ13" i="13"/>
  <c r="BY13" i="13"/>
  <c r="BM13" i="13"/>
  <c r="BA13" i="13"/>
  <c r="AP13" i="13"/>
  <c r="AD13" i="13"/>
  <c r="R13" i="13"/>
  <c r="F13" i="13"/>
  <c r="EX12" i="13"/>
  <c r="EL12" i="13"/>
  <c r="DZ12" i="13"/>
  <c r="DN12" i="13"/>
  <c r="DF12" i="13"/>
  <c r="CT12" i="13"/>
  <c r="CH12" i="13"/>
  <c r="BW12" i="13"/>
  <c r="BK12" i="13"/>
  <c r="AY12" i="13"/>
  <c r="AM12" i="13"/>
  <c r="AA12" i="13"/>
  <c r="N12" i="13"/>
  <c r="FA11" i="13"/>
  <c r="EN11" i="13"/>
  <c r="DV11" i="13"/>
  <c r="CX11" i="13"/>
  <c r="CB11" i="13"/>
  <c r="BA11" i="13"/>
  <c r="AD11" i="13"/>
  <c r="EY10" i="13"/>
  <c r="DS10" i="13"/>
  <c r="CE10" i="13"/>
  <c r="AS10" i="13"/>
  <c r="EZ9" i="13"/>
  <c r="AB16" i="13"/>
  <c r="T16" i="13"/>
  <c r="L16" i="13"/>
  <c r="D16" i="13"/>
  <c r="EY15" i="13"/>
  <c r="EQ15" i="13"/>
  <c r="EI15" i="13"/>
  <c r="EA15" i="13"/>
  <c r="DS15" i="13"/>
  <c r="DK15" i="13"/>
  <c r="DC15" i="13"/>
  <c r="AS15" i="14" s="1"/>
  <c r="CU15" i="13"/>
  <c r="CM15" i="13"/>
  <c r="CE15" i="13"/>
  <c r="BW15" i="13"/>
  <c r="BO15" i="13"/>
  <c r="BG15" i="13"/>
  <c r="AY15" i="13"/>
  <c r="AQ15" i="13"/>
  <c r="AI15" i="13"/>
  <c r="AA15" i="13"/>
  <c r="R15" i="13"/>
  <c r="I15" i="13"/>
  <c r="FB14" i="13"/>
  <c r="ER14" i="13"/>
  <c r="EJ14" i="13"/>
  <c r="DZ14" i="13"/>
  <c r="DP14" i="13"/>
  <c r="DF14" i="13"/>
  <c r="CV14" i="13"/>
  <c r="CN14" i="13"/>
  <c r="CC14" i="13"/>
  <c r="BQ14" i="13"/>
  <c r="BE14" i="13"/>
  <c r="AT14" i="13"/>
  <c r="AH14" i="13"/>
  <c r="V14" i="13"/>
  <c r="J14" i="13"/>
  <c r="FB13" i="13"/>
  <c r="EP13" i="13"/>
  <c r="ED13" i="13"/>
  <c r="DS13" i="13"/>
  <c r="DG13" i="13"/>
  <c r="CU13" i="13"/>
  <c r="CI13" i="13"/>
  <c r="BX13" i="13"/>
  <c r="BL13" i="13"/>
  <c r="AZ13" i="13"/>
  <c r="AN13" i="13"/>
  <c r="AC13" i="13"/>
  <c r="Q13" i="13"/>
  <c r="E13" i="13"/>
  <c r="EW12" i="13"/>
  <c r="EK12" i="13"/>
  <c r="DY12" i="13"/>
  <c r="DM12" i="13"/>
  <c r="DB12" i="13"/>
  <c r="CP12" i="13"/>
  <c r="CD12" i="13"/>
  <c r="BR12" i="13"/>
  <c r="BJ12" i="13"/>
  <c r="AX12" i="13"/>
  <c r="AH12" i="13"/>
  <c r="V12" i="13"/>
  <c r="J12" i="13"/>
  <c r="EZ11" i="13"/>
  <c r="EM11" i="13"/>
  <c r="DU11" i="13"/>
  <c r="CW11" i="13"/>
  <c r="BT11" i="13"/>
  <c r="AW11" i="13"/>
  <c r="AC11" i="13"/>
  <c r="EW10" i="13"/>
  <c r="DM10" i="13"/>
  <c r="CB10" i="13"/>
  <c r="AR10" i="13"/>
  <c r="EY9" i="13"/>
  <c r="EG9" i="13"/>
  <c r="CM16" i="13"/>
  <c r="AS16" i="14" s="1"/>
  <c r="CE16" i="13"/>
  <c r="BW16" i="13"/>
  <c r="BO16" i="13"/>
  <c r="BG16" i="13"/>
  <c r="AY16" i="13"/>
  <c r="AQ16" i="13"/>
  <c r="AI16" i="13"/>
  <c r="AA16" i="13"/>
  <c r="S16" i="13"/>
  <c r="K16" i="13"/>
  <c r="C16" i="13"/>
  <c r="EX15" i="13"/>
  <c r="EP15" i="13"/>
  <c r="EH15" i="13"/>
  <c r="DZ15" i="13"/>
  <c r="DR15" i="13"/>
  <c r="DJ15" i="13"/>
  <c r="DB15" i="13"/>
  <c r="CT15" i="13"/>
  <c r="CL15" i="13"/>
  <c r="CD15" i="13"/>
  <c r="BV15" i="13"/>
  <c r="BN15" i="13"/>
  <c r="BF15" i="13"/>
  <c r="AX15" i="13"/>
  <c r="AP15" i="13"/>
  <c r="AH15" i="13"/>
  <c r="Y15" i="13"/>
  <c r="Q15" i="13"/>
  <c r="H15" i="13"/>
  <c r="FA14" i="13"/>
  <c r="EQ14" i="13"/>
  <c r="EI14" i="13"/>
  <c r="DY14" i="13"/>
  <c r="DO14" i="13"/>
  <c r="DE14" i="13"/>
  <c r="CU14" i="13"/>
  <c r="CJ14" i="13"/>
  <c r="CB14" i="13"/>
  <c r="BP14" i="13"/>
  <c r="BD14" i="13"/>
  <c r="AS14" i="13"/>
  <c r="AG14" i="13"/>
  <c r="U14" i="13"/>
  <c r="I14" i="13"/>
  <c r="FA13" i="13"/>
  <c r="EO13" i="13"/>
  <c r="EC13" i="13"/>
  <c r="DQ13" i="13"/>
  <c r="DF13" i="13"/>
  <c r="CT13" i="13"/>
  <c r="CH13" i="13"/>
  <c r="BW13" i="13"/>
  <c r="BK13" i="13"/>
  <c r="AY13" i="13"/>
  <c r="AM13" i="13"/>
  <c r="AB13" i="13"/>
  <c r="P13" i="13"/>
  <c r="D13" i="13"/>
  <c r="EU12" i="13"/>
  <c r="EJ12" i="13"/>
  <c r="DX12" i="13"/>
  <c r="DL12" i="13"/>
  <c r="DA12" i="13"/>
  <c r="CO12" i="13"/>
  <c r="CC12" i="13"/>
  <c r="BQ12" i="13"/>
  <c r="BF12" i="13"/>
  <c r="AT12" i="13"/>
  <c r="AG12" i="13"/>
  <c r="U12" i="13"/>
  <c r="I12" i="13"/>
  <c r="EY11" i="13"/>
  <c r="EJ11" i="13"/>
  <c r="DP11" i="13"/>
  <c r="CQ11" i="13"/>
  <c r="BR11" i="13"/>
  <c r="AV11" i="13"/>
  <c r="T11" i="13"/>
  <c r="ER10" i="13"/>
  <c r="DL10" i="13"/>
  <c r="BW10" i="13"/>
  <c r="AI10" i="13"/>
  <c r="EE9" i="13"/>
  <c r="CT14" i="13"/>
  <c r="CI14" i="13"/>
  <c r="BX14" i="13"/>
  <c r="BL14" i="13"/>
  <c r="AZ14" i="13"/>
  <c r="AN14" i="13"/>
  <c r="AF14" i="13"/>
  <c r="T14" i="13"/>
  <c r="H14" i="13"/>
  <c r="EZ13" i="13"/>
  <c r="EN13" i="13"/>
  <c r="EB13" i="13"/>
  <c r="DP13" i="13"/>
  <c r="DE13" i="13"/>
  <c r="CS13" i="13"/>
  <c r="CG13" i="13"/>
  <c r="BU13" i="13"/>
  <c r="BJ13" i="13"/>
  <c r="AX13" i="13"/>
  <c r="AL13" i="13"/>
  <c r="AA13" i="13"/>
  <c r="O13" i="13"/>
  <c r="C13" i="13"/>
  <c r="ET12" i="13"/>
  <c r="EI12" i="13"/>
  <c r="DW12" i="13"/>
  <c r="DK12" i="13"/>
  <c r="CY12" i="13"/>
  <c r="CN12" i="13"/>
  <c r="CB12" i="13"/>
  <c r="BP12" i="13"/>
  <c r="BE12" i="13"/>
  <c r="AS12" i="13"/>
  <c r="AF12" i="13"/>
  <c r="T12" i="13"/>
  <c r="G12" i="13"/>
  <c r="EW11" i="13"/>
  <c r="EH11" i="13"/>
  <c r="DL11" i="13"/>
  <c r="CO11" i="13"/>
  <c r="BQ11" i="13"/>
  <c r="AP11" i="13"/>
  <c r="S11" i="13"/>
  <c r="EQ10" i="13"/>
  <c r="DC10" i="13"/>
  <c r="BQ10" i="13"/>
  <c r="AF10" i="13"/>
  <c r="DU9" i="13"/>
  <c r="CS14" i="13"/>
  <c r="CH14" i="13"/>
  <c r="BW14" i="13"/>
  <c r="BK14" i="13"/>
  <c r="AY14" i="13"/>
  <c r="AM14" i="13"/>
  <c r="AB14" i="13"/>
  <c r="P14" i="13"/>
  <c r="D14" i="13"/>
  <c r="EU13" i="13"/>
  <c r="EM13" i="13"/>
  <c r="EA13" i="13"/>
  <c r="DO13" i="13"/>
  <c r="DD13" i="13"/>
  <c r="CR13" i="13"/>
  <c r="CF13" i="13"/>
  <c r="BT13" i="13"/>
  <c r="BI13" i="13"/>
  <c r="AW13" i="13"/>
  <c r="AK13" i="13"/>
  <c r="Y13" i="13"/>
  <c r="N13" i="13"/>
  <c r="FE12" i="13"/>
  <c r="ES12" i="13"/>
  <c r="EH12" i="13"/>
  <c r="DV12" i="13"/>
  <c r="DJ12" i="13"/>
  <c r="CX12" i="13"/>
  <c r="CM12" i="13"/>
  <c r="CA12" i="13"/>
  <c r="BO12" i="13"/>
  <c r="BC12" i="13"/>
  <c r="AR12" i="13"/>
  <c r="AE12" i="13"/>
  <c r="R12" i="13"/>
  <c r="F12" i="13"/>
  <c r="EU11" i="13"/>
  <c r="EC11" i="13"/>
  <c r="DK11" i="13"/>
  <c r="CN11" i="13"/>
  <c r="BM11" i="13"/>
  <c r="AK11" i="13"/>
  <c r="Q11" i="13"/>
  <c r="EK10" i="13"/>
  <c r="CV10" i="13"/>
  <c r="BP10" i="13"/>
  <c r="AA10" i="13"/>
  <c r="AV9" i="13"/>
  <c r="E15" i="13"/>
  <c r="EX14" i="13"/>
  <c r="EN14" i="13"/>
  <c r="ED14" i="13"/>
  <c r="DT14" i="13"/>
  <c r="DL14" i="13"/>
  <c r="DB14" i="13"/>
  <c r="CR14" i="13"/>
  <c r="CG14" i="13"/>
  <c r="BU14" i="13"/>
  <c r="BJ14" i="13"/>
  <c r="AX14" i="13"/>
  <c r="AL14" i="13"/>
  <c r="AA14" i="13"/>
  <c r="O14" i="13"/>
  <c r="C14" i="13"/>
  <c r="ET13" i="13"/>
  <c r="EI13" i="13"/>
  <c r="DW13" i="13"/>
  <c r="DK13" i="13"/>
  <c r="CY13" i="13"/>
  <c r="CQ13" i="13"/>
  <c r="CE13" i="13"/>
  <c r="BS13" i="13"/>
  <c r="BH13" i="13"/>
  <c r="AV13" i="13"/>
  <c r="AJ13" i="13"/>
  <c r="X13" i="13"/>
  <c r="M13" i="13"/>
  <c r="FD12" i="13"/>
  <c r="ER12" i="13"/>
  <c r="EF12" i="13"/>
  <c r="DU12" i="13"/>
  <c r="DI12" i="13"/>
  <c r="CW12" i="13"/>
  <c r="CL12" i="13"/>
  <c r="BZ12" i="13"/>
  <c r="BN12" i="13"/>
  <c r="BB12" i="13"/>
  <c r="AQ12" i="13"/>
  <c r="AD12" i="13"/>
  <c r="Q12" i="13"/>
  <c r="E12" i="13"/>
  <c r="ET11" i="13"/>
  <c r="EB11" i="13"/>
  <c r="DJ11" i="13"/>
  <c r="CE11" i="13"/>
  <c r="BH11" i="13"/>
  <c r="AJ11" i="13"/>
  <c r="L11" i="13"/>
  <c r="EJ10" i="13"/>
  <c r="CU10" i="13"/>
  <c r="BG10" i="13"/>
  <c r="P10" i="13"/>
  <c r="FD18" i="11"/>
  <c r="EA11" i="13"/>
  <c r="DI11" i="13"/>
  <c r="CL11" i="13"/>
  <c r="BP11" i="13"/>
  <c r="AU11" i="13"/>
  <c r="X11" i="13"/>
  <c r="FD10" i="13"/>
  <c r="EE10" i="13"/>
  <c r="DH10" i="13"/>
  <c r="CI10" i="13"/>
  <c r="BL10" i="13"/>
  <c r="AM10" i="13"/>
  <c r="K10" i="13"/>
  <c r="DD9" i="13"/>
  <c r="DD11" i="13"/>
  <c r="CG11" i="13"/>
  <c r="BO11" i="13"/>
  <c r="AS11" i="13"/>
  <c r="V11" i="13"/>
  <c r="FB10" i="13"/>
  <c r="EC10" i="13"/>
  <c r="DF10" i="13"/>
  <c r="CG10" i="13"/>
  <c r="BJ10" i="13"/>
  <c r="AK10" i="13"/>
  <c r="I10" i="13"/>
  <c r="CX9" i="13"/>
  <c r="DY11" i="13"/>
  <c r="DC11" i="13"/>
  <c r="CF11" i="13"/>
  <c r="BN11" i="13"/>
  <c r="AR11" i="13"/>
  <c r="U11" i="13"/>
  <c r="EZ10" i="13"/>
  <c r="EB10" i="13"/>
  <c r="DD10" i="13"/>
  <c r="CF10" i="13"/>
  <c r="BH10" i="13"/>
  <c r="AJ10" i="13"/>
  <c r="D10" i="13"/>
  <c r="BC9" i="13"/>
  <c r="DZ10" i="13"/>
  <c r="DA10" i="13"/>
  <c r="CD10" i="13"/>
  <c r="BE10" i="13"/>
  <c r="AH10" i="13"/>
  <c r="FB9" i="13"/>
  <c r="T9" i="13"/>
  <c r="DT8" i="13"/>
  <c r="AL12" i="13"/>
  <c r="S12" i="13"/>
  <c r="C12" i="13"/>
  <c r="EK11" i="13"/>
  <c r="DN11" i="13"/>
  <c r="CS11" i="13"/>
  <c r="BZ11" i="13"/>
  <c r="BC11" i="13"/>
  <c r="AH11" i="13"/>
  <c r="K11" i="13"/>
  <c r="EP10" i="13"/>
  <c r="DR10" i="13"/>
  <c r="CT10" i="13"/>
  <c r="BV10" i="13"/>
  <c r="AX10" i="13"/>
  <c r="Z10" i="13"/>
  <c r="EM9" i="13"/>
  <c r="DY6" i="13"/>
  <c r="DM11" i="13"/>
  <c r="CR11" i="13"/>
  <c r="BY11" i="13"/>
  <c r="BB11" i="13"/>
  <c r="AG11" i="13"/>
  <c r="I11" i="13"/>
  <c r="EO10" i="13"/>
  <c r="DP10" i="13"/>
  <c r="CS10" i="13"/>
  <c r="BT10" i="13"/>
  <c r="AW10" i="13"/>
  <c r="X10" i="13"/>
  <c r="EH9" i="13"/>
  <c r="J8" i="14"/>
  <c r="G11" i="13"/>
  <c r="EM10" i="13"/>
  <c r="DN10" i="13"/>
  <c r="CQ10" i="13"/>
  <c r="BR10" i="13"/>
  <c r="AU10" i="13"/>
  <c r="V10" i="13"/>
  <c r="DR9" i="13"/>
  <c r="DO8" i="13"/>
  <c r="FE9" i="13"/>
  <c r="DP9" i="13"/>
  <c r="AG8" i="13"/>
  <c r="CU9" i="13"/>
  <c r="U10" i="13"/>
  <c r="ET9" i="13"/>
  <c r="CF9" i="13"/>
  <c r="T10" i="13"/>
  <c r="EQ9" i="13"/>
  <c r="BP9" i="13"/>
  <c r="DS9" i="13"/>
  <c r="CI9" i="13"/>
  <c r="AE9" i="13"/>
  <c r="BC8" i="13"/>
  <c r="BZ9" i="13"/>
  <c r="I9" i="13"/>
  <c r="F8" i="13"/>
  <c r="DJ9" i="13"/>
  <c r="BT9" i="13"/>
  <c r="FC8" i="13"/>
  <c r="EJ7" i="13"/>
  <c r="L10" i="13"/>
  <c r="EO9" i="13"/>
  <c r="DH9" i="13"/>
  <c r="BS9" i="13"/>
  <c r="ER8" i="13"/>
  <c r="DU7" i="13"/>
  <c r="BC7" i="13"/>
  <c r="DC9" i="13"/>
  <c r="BE9" i="13"/>
  <c r="EJ8" i="13"/>
  <c r="R7" i="13"/>
  <c r="EB9" i="13"/>
  <c r="CS9" i="13"/>
  <c r="AU9" i="13"/>
  <c r="DD8" i="13"/>
  <c r="FD9" i="13"/>
  <c r="DW9" i="13"/>
  <c r="CL9" i="13"/>
  <c r="AM9" i="13"/>
  <c r="CZ8" i="13"/>
  <c r="CK9" i="13"/>
  <c r="AG9" i="13"/>
  <c r="CF8" i="13"/>
  <c r="Q9" i="13"/>
  <c r="CA8" i="13"/>
  <c r="O9" i="13"/>
  <c r="BH8" i="13"/>
  <c r="ER9" i="13"/>
  <c r="EC9" i="13"/>
  <c r="DK9" i="13"/>
  <c r="CV9" i="13"/>
  <c r="CG9" i="13"/>
  <c r="BH9" i="13"/>
  <c r="AJ9" i="13"/>
  <c r="L9" i="13"/>
  <c r="DW8" i="13"/>
  <c r="CI8" i="13"/>
  <c r="AS8" i="13"/>
  <c r="BQ7" i="13"/>
  <c r="EP9" i="13"/>
  <c r="EA9" i="13"/>
  <c r="DI9" i="13"/>
  <c r="CT9" i="13"/>
  <c r="CE9" i="13"/>
  <c r="BD9" i="13"/>
  <c r="AF9" i="13"/>
  <c r="H9" i="13"/>
  <c r="DP8" i="13"/>
  <c r="CB8" i="13"/>
  <c r="AE8" i="13"/>
  <c r="AS7" i="13"/>
  <c r="R11" i="13"/>
  <c r="FC10" i="13"/>
  <c r="EN10" i="13"/>
  <c r="DY10" i="13"/>
  <c r="DG10" i="13"/>
  <c r="CR10" i="13"/>
  <c r="CC10" i="13"/>
  <c r="BK10" i="13"/>
  <c r="AV10" i="13"/>
  <c r="AG10" i="13"/>
  <c r="O10" i="13"/>
  <c r="FC9" i="13"/>
  <c r="EN9" i="13"/>
  <c r="DV9" i="13"/>
  <c r="DG9" i="13"/>
  <c r="CR9" i="13"/>
  <c r="BY9" i="13"/>
  <c r="BA9" i="13"/>
  <c r="AC9" i="13"/>
  <c r="EZ8" i="13"/>
  <c r="DL8" i="13"/>
  <c r="BX8" i="13"/>
  <c r="EY7" i="13"/>
  <c r="G7" i="13"/>
  <c r="DF9" i="13"/>
  <c r="CQ9" i="13"/>
  <c r="BX9" i="13"/>
  <c r="AZ9" i="13"/>
  <c r="AB9" i="13"/>
  <c r="EV8" i="13"/>
  <c r="DH8" i="13"/>
  <c r="BT8" i="13"/>
  <c r="EV7" i="13"/>
  <c r="DZ6" i="13"/>
  <c r="EL11" i="13"/>
  <c r="DW11" i="13"/>
  <c r="DE11" i="13"/>
  <c r="CP11" i="13"/>
  <c r="CA11" i="13"/>
  <c r="BI11" i="13"/>
  <c r="AT11" i="13"/>
  <c r="AE11" i="13"/>
  <c r="M11" i="13"/>
  <c r="FA10" i="13"/>
  <c r="EL10" i="13"/>
  <c r="DT10" i="13"/>
  <c r="DE10" i="13"/>
  <c r="CP10" i="13"/>
  <c r="BX10" i="13"/>
  <c r="BI10" i="13"/>
  <c r="AT10" i="13"/>
  <c r="AB10" i="13"/>
  <c r="M10" i="13"/>
  <c r="FA9" i="13"/>
  <c r="EI9" i="13"/>
  <c r="DT9" i="13"/>
  <c r="DE9" i="13"/>
  <c r="CM9" i="13"/>
  <c r="BU9" i="13"/>
  <c r="AW9" i="13"/>
  <c r="U9" i="13"/>
  <c r="EU8" i="13"/>
  <c r="DG8" i="13"/>
  <c r="BK8" i="13"/>
  <c r="EK7" i="13"/>
  <c r="AW6" i="13"/>
  <c r="BW7" i="13"/>
  <c r="G8" i="13"/>
  <c r="BL8" i="13"/>
  <c r="CR8" i="13"/>
  <c r="DX8" i="13"/>
  <c r="FD8" i="13"/>
  <c r="W9" i="13"/>
  <c r="AO9" i="13"/>
  <c r="BI9" i="13"/>
  <c r="CA9" i="13"/>
  <c r="CN9" i="13"/>
  <c r="CZ9" i="13"/>
  <c r="DL9" i="13"/>
  <c r="DX9" i="13"/>
  <c r="EJ9" i="13"/>
  <c r="EV9" i="13"/>
  <c r="E10" i="13"/>
  <c r="Q10" i="13"/>
  <c r="AC10" i="13"/>
  <c r="AO10" i="13"/>
  <c r="BA10" i="13"/>
  <c r="BM10" i="13"/>
  <c r="BY10" i="13"/>
  <c r="CK10" i="13"/>
  <c r="CW10" i="13"/>
  <c r="DI10" i="13"/>
  <c r="DU10" i="13"/>
  <c r="EG10" i="13"/>
  <c r="ES10" i="13"/>
  <c r="FE10" i="13"/>
  <c r="N11" i="13"/>
  <c r="Z11" i="13"/>
  <c r="AL11" i="13"/>
  <c r="AX11" i="13"/>
  <c r="BJ11" i="13"/>
  <c r="BV11" i="13"/>
  <c r="CH11" i="13"/>
  <c r="CT11" i="13"/>
  <c r="DF11" i="13"/>
  <c r="DR11" i="13"/>
  <c r="ED11" i="13"/>
  <c r="EP11" i="13"/>
  <c r="FB11" i="13"/>
  <c r="K12" i="13"/>
  <c r="W12" i="13"/>
  <c r="AI12" i="13"/>
  <c r="AU12" i="13"/>
  <c r="BG12" i="13"/>
  <c r="BS12" i="13"/>
  <c r="CE12" i="13"/>
  <c r="CQ12" i="13"/>
  <c r="DC12" i="13"/>
  <c r="DO12" i="13"/>
  <c r="EA12" i="13"/>
  <c r="EM12" i="13"/>
  <c r="EY12" i="13"/>
  <c r="H13" i="13"/>
  <c r="T13" i="13"/>
  <c r="AF13" i="13"/>
  <c r="AR13" i="13"/>
  <c r="BD13" i="13"/>
  <c r="BP13" i="13"/>
  <c r="CB13" i="13"/>
  <c r="CN13" i="13"/>
  <c r="CZ13" i="13"/>
  <c r="DL13" i="13"/>
  <c r="DX13" i="13"/>
  <c r="EJ13" i="13"/>
  <c r="EV13" i="13"/>
  <c r="E14" i="13"/>
  <c r="Q14" i="13"/>
  <c r="AC14" i="13"/>
  <c r="AO14" i="13"/>
  <c r="BA14" i="13"/>
  <c r="BM14" i="13"/>
  <c r="BY14" i="13"/>
  <c r="CK14" i="13"/>
  <c r="CW14" i="13"/>
  <c r="DI14" i="13"/>
  <c r="DU14" i="13"/>
  <c r="EG14" i="13"/>
  <c r="ES14" i="13"/>
  <c r="FE14" i="13"/>
  <c r="N15" i="13"/>
  <c r="Z15" i="13"/>
  <c r="CK7" i="13"/>
  <c r="T8" i="13"/>
  <c r="BP8" i="13"/>
  <c r="CV8" i="13"/>
  <c r="EB8" i="13"/>
  <c r="E9" i="13"/>
  <c r="X9" i="13"/>
  <c r="AR9" i="13"/>
  <c r="BK9" i="13"/>
  <c r="CB9" i="13"/>
  <c r="CO9" i="13"/>
  <c r="DA9" i="13"/>
  <c r="DM9" i="13"/>
  <c r="DY9" i="13"/>
  <c r="EK9" i="13"/>
  <c r="EW9" i="13"/>
  <c r="F10" i="13"/>
  <c r="R10" i="13"/>
  <c r="AD10" i="13"/>
  <c r="AP10" i="13"/>
  <c r="BB10" i="13"/>
  <c r="BN10" i="13"/>
  <c r="BZ10" i="13"/>
  <c r="CL10" i="13"/>
  <c r="CX10" i="13"/>
  <c r="DJ10" i="13"/>
  <c r="DV10" i="13"/>
  <c r="EH10" i="13"/>
  <c r="ET10" i="13"/>
  <c r="C11" i="13"/>
  <c r="O11" i="13"/>
  <c r="AA11" i="13"/>
  <c r="AM11" i="13"/>
  <c r="AY11" i="13"/>
  <c r="BK11" i="13"/>
  <c r="BW11" i="13"/>
  <c r="CI11" i="13"/>
  <c r="CU11" i="13"/>
  <c r="DG11" i="13"/>
  <c r="DS11" i="13"/>
  <c r="EE11" i="13"/>
  <c r="EQ11" i="13"/>
  <c r="FC11" i="13"/>
  <c r="L12" i="13"/>
  <c r="X12" i="13"/>
  <c r="AJ12" i="13"/>
  <c r="AV12" i="13"/>
  <c r="BH12" i="13"/>
  <c r="BT12" i="13"/>
  <c r="CF12" i="13"/>
  <c r="CR12" i="13"/>
  <c r="DD12" i="13"/>
  <c r="DP12" i="13"/>
  <c r="EB12" i="13"/>
  <c r="EN12" i="13"/>
  <c r="EZ12" i="13"/>
  <c r="I13" i="13"/>
  <c r="U13" i="13"/>
  <c r="AG13" i="13"/>
  <c r="AS13" i="13"/>
  <c r="BE13" i="13"/>
  <c r="BQ13" i="13"/>
  <c r="CC13" i="13"/>
  <c r="CO13" i="13"/>
  <c r="DA13" i="13"/>
  <c r="DM13" i="13"/>
  <c r="DY13" i="13"/>
  <c r="EK13" i="13"/>
  <c r="EW13" i="13"/>
  <c r="F14" i="13"/>
  <c r="R14" i="13"/>
  <c r="AD14" i="13"/>
  <c r="AP14" i="13"/>
  <c r="BB14" i="13"/>
  <c r="BN14" i="13"/>
  <c r="BZ14" i="13"/>
  <c r="CL14" i="13"/>
  <c r="CX14" i="13"/>
  <c r="DJ14" i="13"/>
  <c r="DV14" i="13"/>
  <c r="EH14" i="13"/>
  <c r="ET14" i="13"/>
  <c r="C15" i="13"/>
  <c r="CL7" i="13"/>
  <c r="U8" i="13"/>
  <c r="BS8" i="13"/>
  <c r="CY8" i="13"/>
  <c r="EE8" i="13"/>
  <c r="G9" i="13"/>
  <c r="Y9" i="13"/>
  <c r="AS9" i="13"/>
  <c r="BL9" i="13"/>
  <c r="CC9" i="13"/>
  <c r="CP9" i="13"/>
  <c r="DB9" i="13"/>
  <c r="DN9" i="13"/>
  <c r="DZ9" i="13"/>
  <c r="EL9" i="13"/>
  <c r="EX9" i="13"/>
  <c r="G10" i="13"/>
  <c r="S10" i="13"/>
  <c r="AE10" i="13"/>
  <c r="AQ10" i="13"/>
  <c r="BC10" i="13"/>
  <c r="BO10" i="13"/>
  <c r="CA10" i="13"/>
  <c r="CM10" i="13"/>
  <c r="CY10" i="13"/>
  <c r="DK10" i="13"/>
  <c r="DW10" i="13"/>
  <c r="EI10" i="13"/>
  <c r="EU10" i="13"/>
  <c r="D11" i="13"/>
  <c r="P11" i="13"/>
  <c r="AB11" i="13"/>
  <c r="AN11" i="13"/>
  <c r="AZ11" i="13"/>
  <c r="BL11" i="13"/>
  <c r="BX11" i="13"/>
  <c r="CJ11" i="13"/>
  <c r="CV11" i="13"/>
  <c r="DH11" i="13"/>
  <c r="DT11" i="13"/>
  <c r="EF11" i="13"/>
  <c r="ER11" i="13"/>
  <c r="FD11" i="13"/>
  <c r="M12" i="13"/>
  <c r="Y12" i="13"/>
  <c r="AK12" i="13"/>
  <c r="AW12" i="13"/>
  <c r="BI12" i="13"/>
  <c r="BU12" i="13"/>
  <c r="CG12" i="13"/>
  <c r="CS12" i="13"/>
  <c r="DE12" i="13"/>
  <c r="DQ12" i="13"/>
  <c r="EC12" i="13"/>
  <c r="EO12" i="13"/>
  <c r="FA12" i="13"/>
  <c r="J13" i="13"/>
  <c r="V13" i="13"/>
  <c r="AH13" i="13"/>
  <c r="AT13" i="13"/>
  <c r="BF13" i="13"/>
  <c r="BR13" i="13"/>
  <c r="CD13" i="13"/>
  <c r="CP13" i="13"/>
  <c r="DB13" i="13"/>
  <c r="DN13" i="13"/>
  <c r="DZ13" i="13"/>
  <c r="EL13" i="13"/>
  <c r="EX13" i="13"/>
  <c r="G14" i="13"/>
  <c r="S14" i="13"/>
  <c r="AE14" i="13"/>
  <c r="AQ14" i="13"/>
  <c r="BC14" i="13"/>
  <c r="BO14" i="13"/>
  <c r="CA14" i="13"/>
  <c r="CM14" i="13"/>
  <c r="EX11" i="13"/>
  <c r="EI11" i="13"/>
  <c r="DQ11" i="13"/>
  <c r="DB11" i="13"/>
  <c r="CM11" i="13"/>
  <c r="BU11" i="13"/>
  <c r="BF11" i="13"/>
  <c r="AQ11" i="13"/>
  <c r="Y11" i="13"/>
  <c r="J11" i="13"/>
  <c r="EX10" i="13"/>
  <c r="EF10" i="13"/>
  <c r="DQ10" i="13"/>
  <c r="DB10" i="13"/>
  <c r="CJ10" i="13"/>
  <c r="BU10" i="13"/>
  <c r="BF10" i="13"/>
  <c r="AN10" i="13"/>
  <c r="Y10" i="13"/>
  <c r="J10" i="13"/>
  <c r="EU9" i="13"/>
  <c r="EF9" i="13"/>
  <c r="DQ9" i="13"/>
  <c r="CY9" i="13"/>
  <c r="CJ9" i="13"/>
  <c r="BQ9" i="13"/>
  <c r="AN9" i="13"/>
  <c r="P9" i="13"/>
  <c r="EM8" i="13"/>
  <c r="CQ8" i="13"/>
  <c r="BB8" i="13"/>
  <c r="DR7" i="13"/>
  <c r="CN8" i="13"/>
  <c r="AY8" i="13"/>
  <c r="DE7" i="13"/>
  <c r="BV14" i="13"/>
  <c r="BG14" i="13"/>
  <c r="AR14" i="13"/>
  <c r="Z14" i="13"/>
  <c r="K14" i="13"/>
  <c r="EY13" i="13"/>
  <c r="EG13" i="13"/>
  <c r="DR13" i="13"/>
  <c r="DC13" i="13"/>
  <c r="CK13" i="13"/>
  <c r="BV13" i="13"/>
  <c r="BG13" i="13"/>
  <c r="AO13" i="13"/>
  <c r="Z13" i="13"/>
  <c r="K13" i="13"/>
  <c r="EV12" i="13"/>
  <c r="EG12" i="13"/>
  <c r="DR12" i="13"/>
  <c r="CZ12" i="13"/>
  <c r="CK12" i="13"/>
  <c r="BV12" i="13"/>
  <c r="BD12" i="13"/>
  <c r="AO12" i="13"/>
  <c r="Z12" i="13"/>
  <c r="H12" i="13"/>
  <c r="EV11" i="13"/>
  <c r="EG11" i="13"/>
  <c r="DO11" i="13"/>
  <c r="CZ11" i="13"/>
  <c r="CK11" i="13"/>
  <c r="BS11" i="13"/>
  <c r="BD11" i="13"/>
  <c r="AO11" i="13"/>
  <c r="W11" i="13"/>
  <c r="H11" i="13"/>
  <c r="EV10" i="13"/>
  <c r="ED10" i="13"/>
  <c r="DO10" i="13"/>
  <c r="CZ10" i="13"/>
  <c r="CH10" i="13"/>
  <c r="BS10" i="13"/>
  <c r="BD10" i="13"/>
  <c r="AL10" i="13"/>
  <c r="W10" i="13"/>
  <c r="H10" i="13"/>
  <c r="ES9" i="13"/>
  <c r="ED9" i="13"/>
  <c r="DO9" i="13"/>
  <c r="CW9" i="13"/>
  <c r="CH9" i="13"/>
  <c r="BM9" i="13"/>
  <c r="AK9" i="13"/>
  <c r="M9" i="13"/>
  <c r="EF8" i="13"/>
  <c r="CJ8" i="13"/>
  <c r="AT8" i="13"/>
  <c r="DC7" i="13"/>
  <c r="FB8" i="13"/>
  <c r="ET8" i="13"/>
  <c r="EL8" i="13"/>
  <c r="ED8" i="13"/>
  <c r="DV8" i="13"/>
  <c r="DN8" i="13"/>
  <c r="DF8" i="13"/>
  <c r="CX8" i="13"/>
  <c r="CP8" i="13"/>
  <c r="CH8" i="13"/>
  <c r="BZ8" i="13"/>
  <c r="BR8" i="13"/>
  <c r="BJ8" i="13"/>
  <c r="BA8" i="13"/>
  <c r="AR8" i="13"/>
  <c r="AD8" i="13"/>
  <c r="Q8" i="13"/>
  <c r="E8" i="13"/>
  <c r="ET7" i="13"/>
  <c r="EI7" i="13"/>
  <c r="DQ7" i="13"/>
  <c r="CZ7" i="13"/>
  <c r="CJ7" i="13"/>
  <c r="BO7" i="13"/>
  <c r="AN7" i="13"/>
  <c r="E7" i="13"/>
  <c r="DH6" i="13"/>
  <c r="BR9" i="13"/>
  <c r="BJ9" i="13"/>
  <c r="BB9" i="13"/>
  <c r="AT9" i="13"/>
  <c r="AL9" i="13"/>
  <c r="AD9" i="13"/>
  <c r="V9" i="13"/>
  <c r="N9" i="13"/>
  <c r="F9" i="13"/>
  <c r="FA8" i="13"/>
  <c r="ES8" i="13"/>
  <c r="EK8" i="13"/>
  <c r="EC8" i="13"/>
  <c r="DU8" i="13"/>
  <c r="DM8" i="13"/>
  <c r="DE8" i="13"/>
  <c r="CW8" i="13"/>
  <c r="CO8" i="13"/>
  <c r="CG8" i="13"/>
  <c r="BY8" i="13"/>
  <c r="BQ8" i="13"/>
  <c r="BI8" i="13"/>
  <c r="AZ8" i="13"/>
  <c r="AO8" i="13"/>
  <c r="AC8" i="13"/>
  <c r="O8" i="13"/>
  <c r="D8" i="13"/>
  <c r="ES7" i="13"/>
  <c r="EF7" i="13"/>
  <c r="DP7" i="13"/>
  <c r="CW7" i="13"/>
  <c r="CI7" i="13"/>
  <c r="BN7" i="13"/>
  <c r="AM7" i="13"/>
  <c r="C7" i="13"/>
  <c r="DF6" i="13"/>
  <c r="X6" i="13"/>
  <c r="AM8" i="13"/>
  <c r="AB8" i="13"/>
  <c r="N8" i="13"/>
  <c r="FD7" i="13"/>
  <c r="ER7" i="13"/>
  <c r="EC7" i="13"/>
  <c r="DO7" i="13"/>
  <c r="CU7" i="13"/>
  <c r="CD7" i="13"/>
  <c r="BM7" i="13"/>
  <c r="AK7" i="13"/>
  <c r="EU6" i="13"/>
  <c r="CY6" i="13"/>
  <c r="D9" i="13"/>
  <c r="EY8" i="13"/>
  <c r="EQ8" i="13"/>
  <c r="EI8" i="13"/>
  <c r="EA8" i="13"/>
  <c r="DS8" i="13"/>
  <c r="DK8" i="13"/>
  <c r="DC8" i="13"/>
  <c r="CU8" i="13"/>
  <c r="CM8" i="13"/>
  <c r="CE8" i="13"/>
  <c r="BW8" i="13"/>
  <c r="BO8" i="13"/>
  <c r="BG8" i="13"/>
  <c r="AX8" i="13"/>
  <c r="AL8" i="13"/>
  <c r="Y8" i="13"/>
  <c r="M8" i="13"/>
  <c r="FB7" i="13"/>
  <c r="EQ7" i="13"/>
  <c r="EA7" i="13"/>
  <c r="DJ7" i="13"/>
  <c r="CT7" i="13"/>
  <c r="CB7" i="13"/>
  <c r="BF7" i="13"/>
  <c r="Z7" i="13"/>
  <c r="EO6" i="13"/>
  <c r="BS6" i="13"/>
  <c r="BW9" i="13"/>
  <c r="BO9" i="13"/>
  <c r="BG9" i="13"/>
  <c r="AY9" i="13"/>
  <c r="AQ9" i="13"/>
  <c r="AI9" i="13"/>
  <c r="AA9" i="13"/>
  <c r="S9" i="13"/>
  <c r="K9" i="13"/>
  <c r="C9" i="13"/>
  <c r="EX8" i="13"/>
  <c r="EP8" i="13"/>
  <c r="EH8" i="13"/>
  <c r="DZ8" i="13"/>
  <c r="DR8" i="13"/>
  <c r="DJ8" i="13"/>
  <c r="DB8" i="13"/>
  <c r="CT8" i="13"/>
  <c r="CL8" i="13"/>
  <c r="CD8" i="13"/>
  <c r="BV8" i="13"/>
  <c r="BN8" i="13"/>
  <c r="BF8" i="13"/>
  <c r="AW8" i="13"/>
  <c r="AK8" i="13"/>
  <c r="W8" i="13"/>
  <c r="L8" i="13"/>
  <c r="FA7" i="13"/>
  <c r="EN7" i="13"/>
  <c r="DZ7" i="13"/>
  <c r="DH7" i="13"/>
  <c r="CS7" i="13"/>
  <c r="CA7" i="13"/>
  <c r="BE7" i="13"/>
  <c r="Y7" i="13"/>
  <c r="EN6" i="13"/>
  <c r="BP6" i="13"/>
  <c r="CD9" i="13"/>
  <c r="BV9" i="13"/>
  <c r="BN9" i="13"/>
  <c r="BF9" i="13"/>
  <c r="AX9" i="13"/>
  <c r="AP9" i="13"/>
  <c r="AH9" i="13"/>
  <c r="Z9" i="13"/>
  <c r="R9" i="13"/>
  <c r="J9" i="13"/>
  <c r="FE8" i="13"/>
  <c r="EW8" i="13"/>
  <c r="EO8" i="13"/>
  <c r="EG8" i="13"/>
  <c r="DY8" i="13"/>
  <c r="DQ8" i="13"/>
  <c r="DI8" i="13"/>
  <c r="DA8" i="13"/>
  <c r="CS8" i="13"/>
  <c r="CK8" i="13"/>
  <c r="CC8" i="13"/>
  <c r="BU8" i="13"/>
  <c r="BM8" i="13"/>
  <c r="BE8" i="13"/>
  <c r="AU8" i="13"/>
  <c r="AJ8" i="13"/>
  <c r="V8" i="13"/>
  <c r="I8" i="13"/>
  <c r="EZ7" i="13"/>
  <c r="EL7" i="13"/>
  <c r="DY7" i="13"/>
  <c r="DG7" i="13"/>
  <c r="CO7" i="13"/>
  <c r="BY7" i="13"/>
  <c r="BD7" i="13"/>
  <c r="X7" i="13"/>
  <c r="EB6" i="13"/>
  <c r="AQ8" i="13"/>
  <c r="AI8" i="13"/>
  <c r="AA8" i="13"/>
  <c r="S8" i="13"/>
  <c r="K8" i="13"/>
  <c r="C8" i="13"/>
  <c r="EX7" i="13"/>
  <c r="EP7" i="13"/>
  <c r="EH7" i="13"/>
  <c r="DX7" i="13"/>
  <c r="DM7" i="13"/>
  <c r="DB7" i="13"/>
  <c r="CR7" i="13"/>
  <c r="CG7" i="13"/>
  <c r="BV7" i="13"/>
  <c r="BL7" i="13"/>
  <c r="AX7" i="13"/>
  <c r="AI7" i="13"/>
  <c r="Q7" i="13"/>
  <c r="FE6" i="13"/>
  <c r="EM6" i="13"/>
  <c r="DT6" i="13"/>
  <c r="CX6" i="13"/>
  <c r="AV6" i="13"/>
  <c r="AP8" i="13"/>
  <c r="AH8" i="13"/>
  <c r="Z8" i="13"/>
  <c r="R8" i="13"/>
  <c r="J8" i="13"/>
  <c r="FE7" i="13"/>
  <c r="EW7" i="13"/>
  <c r="EO7" i="13"/>
  <c r="EG7" i="13"/>
  <c r="DW7" i="13"/>
  <c r="DK7" i="13"/>
  <c r="DA7" i="13"/>
  <c r="CQ7" i="13"/>
  <c r="CE7" i="13"/>
  <c r="BU7" i="13"/>
  <c r="BK7" i="13"/>
  <c r="AW7" i="13"/>
  <c r="AH7" i="13"/>
  <c r="P7" i="13"/>
  <c r="EZ6" i="13"/>
  <c r="EL6" i="13"/>
  <c r="DR6" i="13"/>
  <c r="CN6" i="13"/>
  <c r="AU6" i="13"/>
  <c r="BT7" i="13"/>
  <c r="BI7" i="13"/>
  <c r="AV7" i="13"/>
  <c r="AC7" i="13"/>
  <c r="O7" i="13"/>
  <c r="EX6" i="13"/>
  <c r="EJ6" i="13"/>
  <c r="DQ6" i="13"/>
  <c r="CL6" i="13"/>
  <c r="AH6" i="13"/>
  <c r="BD8" i="13"/>
  <c r="AV8" i="13"/>
  <c r="AN8" i="13"/>
  <c r="AF8" i="13"/>
  <c r="X8" i="13"/>
  <c r="P8" i="13"/>
  <c r="H8" i="13"/>
  <c r="FC7" i="13"/>
  <c r="EU7" i="13"/>
  <c r="EM7" i="13"/>
  <c r="EE7" i="13"/>
  <c r="DS7" i="13"/>
  <c r="DI7" i="13"/>
  <c r="CY7" i="13"/>
  <c r="CM7" i="13"/>
  <c r="CC7" i="13"/>
  <c r="BS7" i="13"/>
  <c r="BG7" i="13"/>
  <c r="AU7" i="13"/>
  <c r="AA7" i="13"/>
  <c r="M7" i="13"/>
  <c r="EW6" i="13"/>
  <c r="EE6" i="13"/>
  <c r="DP6" i="13"/>
  <c r="CB6" i="13"/>
  <c r="N6" i="13"/>
  <c r="H7" i="13"/>
  <c r="EV6" i="13"/>
  <c r="ED6" i="13"/>
  <c r="DI6" i="13"/>
  <c r="CA6" i="13"/>
  <c r="R6" i="13"/>
  <c r="CV6" i="13"/>
  <c r="BR6" i="13"/>
  <c r="AL6" i="13"/>
  <c r="V19" i="14"/>
  <c r="BH6" i="13"/>
  <c r="AG6" i="13"/>
  <c r="CK6" i="13"/>
  <c r="BF6" i="13"/>
  <c r="W6" i="13"/>
  <c r="DG6" i="13"/>
  <c r="CC6" i="13"/>
  <c r="BE6" i="13"/>
  <c r="CT6" i="13"/>
  <c r="CJ6" i="13"/>
  <c r="BZ6" i="13"/>
  <c r="BN6" i="13"/>
  <c r="BD6" i="13"/>
  <c r="AT6" i="13"/>
  <c r="AF6" i="13"/>
  <c r="L6" i="13"/>
  <c r="DO6" i="13"/>
  <c r="DD6" i="13"/>
  <c r="CS6" i="13"/>
  <c r="CI6" i="13"/>
  <c r="BX6" i="13"/>
  <c r="BM6" i="13"/>
  <c r="BC6" i="13"/>
  <c r="AR6" i="13"/>
  <c r="AD6" i="13"/>
  <c r="H6" i="13"/>
  <c r="AQ7" i="13"/>
  <c r="AG7" i="13"/>
  <c r="W7" i="13"/>
  <c r="K7" i="13"/>
  <c r="FD6" i="13"/>
  <c r="ET6" i="13"/>
  <c r="EH6" i="13"/>
  <c r="DX6" i="13"/>
  <c r="DN6" i="13"/>
  <c r="DB6" i="13"/>
  <c r="CR6" i="13"/>
  <c r="CH6" i="13"/>
  <c r="BV6" i="13"/>
  <c r="BL6" i="13"/>
  <c r="BB6" i="13"/>
  <c r="AP6" i="13"/>
  <c r="AB6" i="13"/>
  <c r="U24" i="14"/>
  <c r="BA7" i="13"/>
  <c r="AP7" i="13"/>
  <c r="AF7" i="13"/>
  <c r="U7" i="13"/>
  <c r="J7" i="13"/>
  <c r="FC6" i="13"/>
  <c r="ER6" i="13"/>
  <c r="EG6" i="13"/>
  <c r="DW6" i="13"/>
  <c r="DL6" i="13"/>
  <c r="DA6" i="13"/>
  <c r="CQ6" i="13"/>
  <c r="CF6" i="13"/>
  <c r="BU6" i="13"/>
  <c r="BK6" i="13"/>
  <c r="AZ6" i="13"/>
  <c r="AN6" i="13"/>
  <c r="Z6" i="13"/>
  <c r="AY7" i="13"/>
  <c r="AO7" i="13"/>
  <c r="AE7" i="13"/>
  <c r="S7" i="13"/>
  <c r="I7" i="13"/>
  <c r="FB6" i="13"/>
  <c r="EP6" i="13"/>
  <c r="EF6" i="13"/>
  <c r="DV6" i="13"/>
  <c r="DJ6" i="13"/>
  <c r="CZ6" i="13"/>
  <c r="CP6" i="13"/>
  <c r="CD6" i="13"/>
  <c r="BT6" i="13"/>
  <c r="BJ6" i="13"/>
  <c r="AX6" i="13"/>
  <c r="AM6" i="13"/>
  <c r="D6" i="13"/>
  <c r="V6" i="13"/>
  <c r="J6" i="13"/>
  <c r="AK23" i="14"/>
  <c r="AD18" i="14"/>
  <c r="AO6" i="13"/>
  <c r="AE6" i="13"/>
  <c r="T6" i="13"/>
  <c r="I6" i="13"/>
  <c r="P23" i="14"/>
  <c r="AI17" i="14"/>
  <c r="AF22" i="14"/>
  <c r="Z16" i="14"/>
  <c r="Q6" i="13"/>
  <c r="G6" i="13"/>
  <c r="J22" i="14"/>
  <c r="M15" i="14"/>
  <c r="P6" i="13"/>
  <c r="F6" i="13"/>
  <c r="Z21" i="14"/>
  <c r="AD13" i="14"/>
  <c r="AJ6" i="13"/>
  <c r="Y6" i="13"/>
  <c r="O6" i="13"/>
  <c r="AP20" i="14"/>
  <c r="N12" i="14"/>
  <c r="AH24" i="14"/>
  <c r="L20" i="14"/>
  <c r="AF24" i="14"/>
  <c r="S24" i="14"/>
  <c r="AI23" i="14"/>
  <c r="M23" i="14"/>
  <c r="AC22" i="14"/>
  <c r="H22" i="14"/>
  <c r="W21" i="14"/>
  <c r="AL20" i="14"/>
  <c r="J20" i="14"/>
  <c r="Q19" i="14"/>
  <c r="AA18" i="14"/>
  <c r="AF17" i="14"/>
  <c r="S16" i="14"/>
  <c r="J15" i="14"/>
  <c r="W13" i="14"/>
  <c r="AN11" i="14"/>
  <c r="AD24" i="14"/>
  <c r="P24" i="14"/>
  <c r="AF23" i="14"/>
  <c r="K23" i="14"/>
  <c r="Z22" i="14"/>
  <c r="AP21" i="14"/>
  <c r="U21" i="14"/>
  <c r="AH20" i="14"/>
  <c r="F20" i="14"/>
  <c r="O19" i="14"/>
  <c r="V18" i="14"/>
  <c r="Y17" i="14"/>
  <c r="O16" i="14"/>
  <c r="AJ14" i="14"/>
  <c r="T13" i="14"/>
  <c r="AG11" i="14"/>
  <c r="AP24" i="14"/>
  <c r="AC24" i="14"/>
  <c r="N24" i="14"/>
  <c r="AC23" i="14"/>
  <c r="H23" i="14"/>
  <c r="X22" i="14"/>
  <c r="AM21" i="14"/>
  <c r="R21" i="14"/>
  <c r="AE20" i="14"/>
  <c r="AM19" i="14"/>
  <c r="K19" i="14"/>
  <c r="T18" i="14"/>
  <c r="U17" i="14"/>
  <c r="AP15" i="14"/>
  <c r="AC14" i="14"/>
  <c r="I13" i="14"/>
  <c r="AD11" i="14"/>
  <c r="AN24" i="14"/>
  <c r="AA24" i="14"/>
  <c r="K24" i="14"/>
  <c r="AA23" i="14"/>
  <c r="AP22" i="14"/>
  <c r="U22" i="14"/>
  <c r="AK21" i="14"/>
  <c r="O21" i="14"/>
  <c r="AA20" i="14"/>
  <c r="AJ19" i="14"/>
  <c r="G19" i="14"/>
  <c r="P18" i="14"/>
  <c r="J17" i="14"/>
  <c r="AI15" i="14"/>
  <c r="Y14" i="14"/>
  <c r="AM12" i="14"/>
  <c r="AP10" i="14"/>
  <c r="AL24" i="14"/>
  <c r="Z24" i="14"/>
  <c r="H24" i="14"/>
  <c r="X23" i="14"/>
  <c r="AN22" i="14"/>
  <c r="R22" i="14"/>
  <c r="AH21" i="14"/>
  <c r="M21" i="14"/>
  <c r="W20" i="14"/>
  <c r="AF19" i="14"/>
  <c r="AO18" i="14"/>
  <c r="L18" i="14"/>
  <c r="AN16" i="14"/>
  <c r="AE15" i="14"/>
  <c r="O14" i="14"/>
  <c r="AI12" i="14"/>
  <c r="AM9" i="14"/>
  <c r="AK24" i="14"/>
  <c r="X24" i="14"/>
  <c r="F24" i="14"/>
  <c r="U23" i="14"/>
  <c r="AK22" i="14"/>
  <c r="P22" i="14"/>
  <c r="AE21" i="14"/>
  <c r="J21" i="14"/>
  <c r="T20" i="14"/>
  <c r="AB19" i="14"/>
  <c r="AK18" i="14"/>
  <c r="I18" i="14"/>
  <c r="AK16" i="14"/>
  <c r="X15" i="14"/>
  <c r="H14" i="14"/>
  <c r="Y12" i="14"/>
  <c r="Q7" i="14"/>
  <c r="AI24" i="14"/>
  <c r="V24" i="14"/>
  <c r="AN23" i="14"/>
  <c r="S23" i="14"/>
  <c r="AH22" i="14"/>
  <c r="M22" i="14"/>
  <c r="AC21" i="14"/>
  <c r="G21" i="14"/>
  <c r="Q20" i="14"/>
  <c r="Y19" i="14"/>
  <c r="AG18" i="14"/>
  <c r="AP17" i="14"/>
  <c r="AD16" i="14"/>
  <c r="T15" i="14"/>
  <c r="AO13" i="14"/>
  <c r="R12" i="14"/>
  <c r="F4" i="11"/>
  <c r="DZ4" i="11"/>
  <c r="CD4" i="11"/>
  <c r="CN24" i="11"/>
  <c r="AB24" i="11"/>
  <c r="BW23" i="11"/>
  <c r="CZ20" i="11"/>
  <c r="FE4" i="11"/>
  <c r="EW4" i="11"/>
  <c r="EO4" i="11"/>
  <c r="EG4" i="11"/>
  <c r="DY4" i="11"/>
  <c r="DQ4" i="11"/>
  <c r="DI4" i="11"/>
  <c r="DA4" i="11"/>
  <c r="CS4" i="11"/>
  <c r="CK4" i="11"/>
  <c r="CC4" i="11"/>
  <c r="BU4" i="11"/>
  <c r="BM4" i="11"/>
  <c r="BE4" i="11"/>
  <c r="AW4" i="11"/>
  <c r="AO4" i="11"/>
  <c r="AG4" i="11"/>
  <c r="Y4" i="11"/>
  <c r="O4" i="11"/>
  <c r="E4" i="11"/>
  <c r="EV24" i="11"/>
  <c r="EL24" i="11"/>
  <c r="EB24" i="11"/>
  <c r="DP24" i="11"/>
  <c r="DB24" i="11"/>
  <c r="CL24" i="11"/>
  <c r="BV24" i="11"/>
  <c r="BF24" i="11"/>
  <c r="AP24" i="11"/>
  <c r="X24" i="11"/>
  <c r="EY23" i="11"/>
  <c r="DS23" i="11"/>
  <c r="BO23" i="11"/>
  <c r="C23" i="11"/>
  <c r="CT22" i="11"/>
  <c r="AH22" i="11"/>
  <c r="DY21" i="11"/>
  <c r="BM21" i="11"/>
  <c r="FD20" i="11"/>
  <c r="CR20" i="11"/>
  <c r="H6" i="11"/>
  <c r="P6" i="11"/>
  <c r="X6" i="11"/>
  <c r="AF6" i="11"/>
  <c r="AN6" i="11"/>
  <c r="AV6" i="11"/>
  <c r="BD6" i="11"/>
  <c r="BL6" i="11"/>
  <c r="BT6" i="11"/>
  <c r="CB6" i="11"/>
  <c r="CJ6" i="11"/>
  <c r="CR6" i="11"/>
  <c r="CZ6" i="11"/>
  <c r="DH6" i="11"/>
  <c r="DP6" i="11"/>
  <c r="DX6" i="11"/>
  <c r="D6" i="11"/>
  <c r="L6" i="11"/>
  <c r="T6" i="11"/>
  <c r="AB6" i="11"/>
  <c r="AJ6" i="11"/>
  <c r="AR6" i="11"/>
  <c r="AZ6" i="11"/>
  <c r="BH6" i="11"/>
  <c r="BP6" i="11"/>
  <c r="BX6" i="11"/>
  <c r="CF6" i="11"/>
  <c r="CN6" i="11"/>
  <c r="CV6" i="11"/>
  <c r="DD6" i="11"/>
  <c r="DL6" i="11"/>
  <c r="DT6" i="11"/>
  <c r="EB6" i="11"/>
  <c r="G6" i="11"/>
  <c r="R6" i="11"/>
  <c r="AC6" i="11"/>
  <c r="AM6" i="11"/>
  <c r="AX6" i="11"/>
  <c r="BI6" i="11"/>
  <c r="BS6" i="11"/>
  <c r="CD6" i="11"/>
  <c r="CO6" i="11"/>
  <c r="CY6" i="11"/>
  <c r="DJ6" i="11"/>
  <c r="DU6" i="11"/>
  <c r="EE6" i="11"/>
  <c r="EM6" i="11"/>
  <c r="EU6" i="11"/>
  <c r="FC6" i="11"/>
  <c r="H7" i="11"/>
  <c r="P7" i="11"/>
  <c r="X7" i="11"/>
  <c r="AF7" i="11"/>
  <c r="AN7" i="11"/>
  <c r="AV7" i="11"/>
  <c r="BD7" i="11"/>
  <c r="BL7" i="11"/>
  <c r="BT7" i="11"/>
  <c r="CB7" i="11"/>
  <c r="CJ7" i="11"/>
  <c r="CR7" i="11"/>
  <c r="CZ7" i="11"/>
  <c r="DH7" i="11"/>
  <c r="DP7" i="11"/>
  <c r="DX7" i="11"/>
  <c r="EF7" i="11"/>
  <c r="EN7" i="11"/>
  <c r="EV7" i="11"/>
  <c r="FD7" i="11"/>
  <c r="I8" i="11"/>
  <c r="Q8" i="11"/>
  <c r="Y8" i="11"/>
  <c r="AG8" i="11"/>
  <c r="AO8" i="11"/>
  <c r="AW8" i="11"/>
  <c r="BE8" i="11"/>
  <c r="BM8" i="11"/>
  <c r="BU8" i="11"/>
  <c r="CC8" i="11"/>
  <c r="CK8" i="11"/>
  <c r="CS8" i="11"/>
  <c r="DA8" i="11"/>
  <c r="DI8" i="11"/>
  <c r="I6" i="11"/>
  <c r="S6" i="11"/>
  <c r="AD6" i="11"/>
  <c r="AO6" i="11"/>
  <c r="AY6" i="11"/>
  <c r="BJ6" i="11"/>
  <c r="BU6" i="11"/>
  <c r="CE6" i="11"/>
  <c r="CP6" i="11"/>
  <c r="DA6" i="11"/>
  <c r="DK6" i="11"/>
  <c r="DV6" i="11"/>
  <c r="EF6" i="11"/>
  <c r="EN6" i="11"/>
  <c r="EV6" i="11"/>
  <c r="FD6" i="11"/>
  <c r="I7" i="11"/>
  <c r="Q7" i="11"/>
  <c r="Y7" i="11"/>
  <c r="AG7" i="11"/>
  <c r="AO7" i="11"/>
  <c r="AW7" i="11"/>
  <c r="BE7" i="11"/>
  <c r="BM7" i="11"/>
  <c r="BU7" i="11"/>
  <c r="CC7" i="11"/>
  <c r="CK7" i="11"/>
  <c r="CS7" i="11"/>
  <c r="DA7" i="11"/>
  <c r="DI7" i="11"/>
  <c r="DQ7" i="11"/>
  <c r="DY7" i="11"/>
  <c r="EG7" i="11"/>
  <c r="EO7" i="11"/>
  <c r="EW7" i="11"/>
  <c r="FE7" i="11"/>
  <c r="J8" i="11"/>
  <c r="R8" i="11"/>
  <c r="Z8" i="11"/>
  <c r="AH8" i="11"/>
  <c r="AP8" i="11"/>
  <c r="AX8" i="11"/>
  <c r="BF8" i="11"/>
  <c r="BN8" i="11"/>
  <c r="J6" i="11"/>
  <c r="U6" i="11"/>
  <c r="AE6" i="11"/>
  <c r="AP6" i="11"/>
  <c r="BA6" i="11"/>
  <c r="BK6" i="11"/>
  <c r="BV6" i="11"/>
  <c r="CG6" i="11"/>
  <c r="CQ6" i="11"/>
  <c r="DB6" i="11"/>
  <c r="DM6" i="11"/>
  <c r="DW6" i="11"/>
  <c r="EG6" i="11"/>
  <c r="EO6" i="11"/>
  <c r="EW6" i="11"/>
  <c r="FE6" i="11"/>
  <c r="J7" i="11"/>
  <c r="R7" i="11"/>
  <c r="Z7" i="11"/>
  <c r="AH7" i="11"/>
  <c r="AP7" i="11"/>
  <c r="AX7" i="11"/>
  <c r="BF7" i="11"/>
  <c r="BN7" i="11"/>
  <c r="BV7" i="11"/>
  <c r="CD7" i="11"/>
  <c r="CL7" i="11"/>
  <c r="CT7" i="11"/>
  <c r="DB7" i="11"/>
  <c r="DJ7" i="11"/>
  <c r="DR7" i="11"/>
  <c r="DZ7" i="11"/>
  <c r="EH7" i="11"/>
  <c r="EP7" i="11"/>
  <c r="EX7" i="11"/>
  <c r="C8" i="11"/>
  <c r="K8" i="11"/>
  <c r="S8" i="11"/>
  <c r="AA8" i="11"/>
  <c r="AI8" i="11"/>
  <c r="AQ8" i="11"/>
  <c r="AY8" i="11"/>
  <c r="BG8" i="11"/>
  <c r="BO8" i="11"/>
  <c r="K6" i="11"/>
  <c r="V6" i="11"/>
  <c r="AG6" i="11"/>
  <c r="AQ6" i="11"/>
  <c r="BB6" i="11"/>
  <c r="BM6" i="11"/>
  <c r="BW6" i="11"/>
  <c r="CH6" i="11"/>
  <c r="CS6" i="11"/>
  <c r="DC6" i="11"/>
  <c r="DN6" i="11"/>
  <c r="DY6" i="11"/>
  <c r="EH6" i="11"/>
  <c r="EP6" i="11"/>
  <c r="EX6" i="11"/>
  <c r="C7" i="11"/>
  <c r="K7" i="11"/>
  <c r="S7" i="11"/>
  <c r="AA7" i="11"/>
  <c r="AI7" i="11"/>
  <c r="AQ7" i="11"/>
  <c r="AY7" i="11"/>
  <c r="BG7" i="11"/>
  <c r="BO7" i="11"/>
  <c r="BW7" i="11"/>
  <c r="CE7" i="11"/>
  <c r="CM7" i="11"/>
  <c r="CU7" i="11"/>
  <c r="DC7" i="11"/>
  <c r="DK7" i="11"/>
  <c r="DS7" i="11"/>
  <c r="EA7" i="11"/>
  <c r="EI7" i="11"/>
  <c r="EQ7" i="11"/>
  <c r="EY7" i="11"/>
  <c r="D8" i="11"/>
  <c r="L8" i="11"/>
  <c r="T8" i="11"/>
  <c r="AB8" i="11"/>
  <c r="AJ8" i="11"/>
  <c r="AR8" i="11"/>
  <c r="AZ8" i="11"/>
  <c r="BH8" i="11"/>
  <c r="BP8" i="11"/>
  <c r="BX8" i="11"/>
  <c r="CF8" i="11"/>
  <c r="CN8" i="11"/>
  <c r="CV8" i="11"/>
  <c r="DD8" i="11"/>
  <c r="DL8" i="11"/>
  <c r="DT8" i="11"/>
  <c r="EB8" i="11"/>
  <c r="EJ8" i="11"/>
  <c r="ER8" i="11"/>
  <c r="EZ8" i="11"/>
  <c r="E9" i="11"/>
  <c r="M9" i="11"/>
  <c r="U9" i="11"/>
  <c r="AC9" i="11"/>
  <c r="AK9" i="11"/>
  <c r="M6" i="11"/>
  <c r="W6" i="11"/>
  <c r="AH6" i="11"/>
  <c r="AS6" i="11"/>
  <c r="BC6" i="11"/>
  <c r="BN6" i="11"/>
  <c r="BY6" i="11"/>
  <c r="CI6" i="11"/>
  <c r="CT6" i="11"/>
  <c r="DE6" i="11"/>
  <c r="DO6" i="11"/>
  <c r="DZ6" i="11"/>
  <c r="EI6" i="11"/>
  <c r="EQ6" i="11"/>
  <c r="EY6" i="11"/>
  <c r="D7" i="11"/>
  <c r="L7" i="11"/>
  <c r="T7" i="11"/>
  <c r="AB7" i="11"/>
  <c r="AJ7" i="11"/>
  <c r="AR7" i="11"/>
  <c r="AZ7" i="11"/>
  <c r="BH7" i="11"/>
  <c r="BP7" i="11"/>
  <c r="BX7" i="11"/>
  <c r="CF7" i="11"/>
  <c r="CN7" i="11"/>
  <c r="CV7" i="11"/>
  <c r="DD7" i="11"/>
  <c r="DL7" i="11"/>
  <c r="DT7" i="11"/>
  <c r="EB7" i="11"/>
  <c r="EJ7" i="11"/>
  <c r="ER7" i="11"/>
  <c r="EZ7" i="11"/>
  <c r="E8" i="11"/>
  <c r="M8" i="11"/>
  <c r="U8" i="11"/>
  <c r="AC8" i="11"/>
  <c r="AK8" i="11"/>
  <c r="AS8" i="11"/>
  <c r="BA8" i="11"/>
  <c r="BI8" i="11"/>
  <c r="BQ8" i="11"/>
  <c r="BY8" i="11"/>
  <c r="CG8" i="11"/>
  <c r="CO8" i="11"/>
  <c r="CW8" i="11"/>
  <c r="DE8" i="11"/>
  <c r="DM8" i="11"/>
  <c r="DU8" i="11"/>
  <c r="EC8" i="11"/>
  <c r="EK8" i="11"/>
  <c r="ES8" i="11"/>
  <c r="C6" i="11"/>
  <c r="N6" i="11"/>
  <c r="Y6" i="11"/>
  <c r="AI6" i="11"/>
  <c r="AT6" i="11"/>
  <c r="BE6" i="11"/>
  <c r="BO6" i="11"/>
  <c r="BZ6" i="11"/>
  <c r="CK6" i="11"/>
  <c r="CU6" i="11"/>
  <c r="DF6" i="11"/>
  <c r="DQ6" i="11"/>
  <c r="EA6" i="11"/>
  <c r="EJ6" i="11"/>
  <c r="ER6" i="11"/>
  <c r="EZ6" i="11"/>
  <c r="E7" i="11"/>
  <c r="M7" i="11"/>
  <c r="U7" i="11"/>
  <c r="AC7" i="11"/>
  <c r="AK7" i="11"/>
  <c r="AS7" i="11"/>
  <c r="BA7" i="11"/>
  <c r="BI7" i="11"/>
  <c r="BQ7" i="11"/>
  <c r="BY7" i="11"/>
  <c r="CG7" i="11"/>
  <c r="CO7" i="11"/>
  <c r="CW7" i="11"/>
  <c r="DE7" i="11"/>
  <c r="DM7" i="11"/>
  <c r="DU7" i="11"/>
  <c r="EC7" i="11"/>
  <c r="EK7" i="11"/>
  <c r="ES7" i="11"/>
  <c r="FA7" i="11"/>
  <c r="F8" i="11"/>
  <c r="N8" i="11"/>
  <c r="V8" i="11"/>
  <c r="AD8" i="11"/>
  <c r="AL8" i="11"/>
  <c r="AT8" i="11"/>
  <c r="BB8" i="11"/>
  <c r="BJ8" i="11"/>
  <c r="BR8" i="11"/>
  <c r="BZ8" i="11"/>
  <c r="CH8" i="11"/>
  <c r="CP8" i="11"/>
  <c r="CX8" i="11"/>
  <c r="DF8" i="11"/>
  <c r="DN8" i="11"/>
  <c r="DV8" i="11"/>
  <c r="ED8" i="11"/>
  <c r="EL8" i="11"/>
  <c r="ET8" i="11"/>
  <c r="FB8" i="11"/>
  <c r="G9" i="11"/>
  <c r="O9" i="11"/>
  <c r="W9" i="11"/>
  <c r="AE9" i="11"/>
  <c r="AM9" i="11"/>
  <c r="AU9" i="11"/>
  <c r="BC9" i="11"/>
  <c r="BK9" i="11"/>
  <c r="BS9" i="11"/>
  <c r="CA9" i="11"/>
  <c r="CI9" i="11"/>
  <c r="CQ9" i="11"/>
  <c r="CY9" i="11"/>
  <c r="DG9" i="11"/>
  <c r="E6" i="11"/>
  <c r="O6" i="11"/>
  <c r="Z6" i="11"/>
  <c r="AK6" i="11"/>
  <c r="AU6" i="11"/>
  <c r="BF6" i="11"/>
  <c r="BQ6" i="11"/>
  <c r="CA6" i="11"/>
  <c r="CL6" i="11"/>
  <c r="CW6" i="11"/>
  <c r="DG6" i="11"/>
  <c r="DR6" i="11"/>
  <c r="EC6" i="11"/>
  <c r="EK6" i="11"/>
  <c r="ES6" i="11"/>
  <c r="FA6" i="11"/>
  <c r="F7" i="11"/>
  <c r="N7" i="11"/>
  <c r="V7" i="11"/>
  <c r="AD7" i="11"/>
  <c r="AL7" i="11"/>
  <c r="AT7" i="11"/>
  <c r="BB7" i="11"/>
  <c r="BJ7" i="11"/>
  <c r="BR7" i="11"/>
  <c r="BZ7" i="11"/>
  <c r="CH7" i="11"/>
  <c r="CP7" i="11"/>
  <c r="CX7" i="11"/>
  <c r="DF7" i="11"/>
  <c r="DN7" i="11"/>
  <c r="DV7" i="11"/>
  <c r="ED7" i="11"/>
  <c r="EL7" i="11"/>
  <c r="ET7" i="11"/>
  <c r="FB7" i="11"/>
  <c r="G8" i="11"/>
  <c r="O8" i="11"/>
  <c r="W8" i="11"/>
  <c r="AE8" i="11"/>
  <c r="AM8" i="11"/>
  <c r="AU8" i="11"/>
  <c r="BC8" i="11"/>
  <c r="BK8" i="11"/>
  <c r="BS8" i="11"/>
  <c r="CA8" i="11"/>
  <c r="CI8" i="11"/>
  <c r="CQ8" i="11"/>
  <c r="CY8" i="11"/>
  <c r="DG8" i="11"/>
  <c r="DO8" i="11"/>
  <c r="DW8" i="11"/>
  <c r="EE8" i="11"/>
  <c r="EM8" i="11"/>
  <c r="EU8" i="11"/>
  <c r="FC8" i="11"/>
  <c r="H9" i="11"/>
  <c r="P9" i="11"/>
  <c r="X9" i="11"/>
  <c r="AF9" i="11"/>
  <c r="AN9" i="11"/>
  <c r="AV9" i="11"/>
  <c r="BD9" i="11"/>
  <c r="BL9" i="11"/>
  <c r="BT9" i="11"/>
  <c r="CB9" i="11"/>
  <c r="CJ9" i="11"/>
  <c r="CR9" i="11"/>
  <c r="CZ9" i="11"/>
  <c r="DH9" i="11"/>
  <c r="Q6" i="11"/>
  <c r="CX6" i="11"/>
  <c r="O7" i="11"/>
  <c r="CA7" i="11"/>
  <c r="EM7" i="11"/>
  <c r="AV8" i="11"/>
  <c r="CE8" i="11"/>
  <c r="DB8" i="11"/>
  <c r="DS8" i="11"/>
  <c r="EI8" i="11"/>
  <c r="EY8" i="11"/>
  <c r="J9" i="11"/>
  <c r="V9" i="11"/>
  <c r="AI9" i="11"/>
  <c r="AT9" i="11"/>
  <c r="BF9" i="11"/>
  <c r="BP9" i="11"/>
  <c r="BZ9" i="11"/>
  <c r="CL9" i="11"/>
  <c r="CV9" i="11"/>
  <c r="DF9" i="11"/>
  <c r="DP9" i="11"/>
  <c r="DX9" i="11"/>
  <c r="EF9" i="11"/>
  <c r="EN9" i="11"/>
  <c r="EV9" i="11"/>
  <c r="FD9" i="11"/>
  <c r="I10" i="11"/>
  <c r="Q10" i="11"/>
  <c r="Y10" i="11"/>
  <c r="AG10" i="11"/>
  <c r="AO10" i="11"/>
  <c r="AW10" i="11"/>
  <c r="BE10" i="11"/>
  <c r="BM10" i="11"/>
  <c r="BU10" i="11"/>
  <c r="CC10" i="11"/>
  <c r="CK10" i="11"/>
  <c r="CS10" i="11"/>
  <c r="DA10" i="11"/>
  <c r="DI10" i="11"/>
  <c r="DQ10" i="11"/>
  <c r="DY10" i="11"/>
  <c r="EG10" i="11"/>
  <c r="EO10" i="11"/>
  <c r="EW10" i="11"/>
  <c r="FE10" i="11"/>
  <c r="J11" i="11"/>
  <c r="R11" i="11"/>
  <c r="Z11" i="11"/>
  <c r="AH11" i="11"/>
  <c r="AP11" i="11"/>
  <c r="AX11" i="11"/>
  <c r="BF11" i="11"/>
  <c r="BN11" i="11"/>
  <c r="BV11" i="11"/>
  <c r="CD11" i="11"/>
  <c r="CL11" i="11"/>
  <c r="CT11" i="11"/>
  <c r="DB11" i="11"/>
  <c r="DJ11" i="11"/>
  <c r="DR11" i="11"/>
  <c r="DZ11" i="11"/>
  <c r="EH11" i="11"/>
  <c r="EP11" i="11"/>
  <c r="EX11" i="11"/>
  <c r="C12" i="11"/>
  <c r="K12" i="11"/>
  <c r="S12" i="11"/>
  <c r="AA12" i="11"/>
  <c r="AI12" i="11"/>
  <c r="AQ12" i="11"/>
  <c r="AY12" i="11"/>
  <c r="BG12" i="11"/>
  <c r="BO12" i="11"/>
  <c r="BW12" i="11"/>
  <c r="CE12" i="11"/>
  <c r="CM12" i="11"/>
  <c r="CU12" i="11"/>
  <c r="DC12" i="11"/>
  <c r="DK12" i="11"/>
  <c r="DS12" i="11"/>
  <c r="AA6" i="11"/>
  <c r="DI6" i="11"/>
  <c r="W7" i="11"/>
  <c r="CI7" i="11"/>
  <c r="EU7" i="11"/>
  <c r="BD8" i="11"/>
  <c r="CJ8" i="11"/>
  <c r="DC8" i="11"/>
  <c r="DX8" i="11"/>
  <c r="EN8" i="11"/>
  <c r="FA8" i="11"/>
  <c r="K9" i="11"/>
  <c r="Y9" i="11"/>
  <c r="AJ9" i="11"/>
  <c r="AW9" i="11"/>
  <c r="BG9" i="11"/>
  <c r="BQ9" i="11"/>
  <c r="CC9" i="11"/>
  <c r="CM9" i="11"/>
  <c r="CW9" i="11"/>
  <c r="DI9" i="11"/>
  <c r="DQ9" i="11"/>
  <c r="DY9" i="11"/>
  <c r="EG9" i="11"/>
  <c r="EO9" i="11"/>
  <c r="EW9" i="11"/>
  <c r="FE9" i="11"/>
  <c r="J10" i="11"/>
  <c r="R10" i="11"/>
  <c r="Z10" i="11"/>
  <c r="AH10" i="11"/>
  <c r="AP10" i="11"/>
  <c r="AX10" i="11"/>
  <c r="BF10" i="11"/>
  <c r="BN10" i="11"/>
  <c r="BV10" i="11"/>
  <c r="CD10" i="11"/>
  <c r="CL10" i="11"/>
  <c r="CT10" i="11"/>
  <c r="DB10" i="11"/>
  <c r="DJ10" i="11"/>
  <c r="DR10" i="11"/>
  <c r="DZ10" i="11"/>
  <c r="EH10" i="11"/>
  <c r="EP10" i="11"/>
  <c r="EX10" i="11"/>
  <c r="C11" i="11"/>
  <c r="K11" i="11"/>
  <c r="S11" i="11"/>
  <c r="AA11" i="11"/>
  <c r="AI11" i="11"/>
  <c r="AQ11" i="11"/>
  <c r="AY11" i="11"/>
  <c r="BG11" i="11"/>
  <c r="BO11" i="11"/>
  <c r="BW11" i="11"/>
  <c r="CE11" i="11"/>
  <c r="CM11" i="11"/>
  <c r="CU11" i="11"/>
  <c r="DC11" i="11"/>
  <c r="DK11" i="11"/>
  <c r="DS11" i="11"/>
  <c r="EA11" i="11"/>
  <c r="EI11" i="11"/>
  <c r="EQ11" i="11"/>
  <c r="EY11" i="11"/>
  <c r="D12" i="11"/>
  <c r="L12" i="11"/>
  <c r="T12" i="11"/>
  <c r="AB12" i="11"/>
  <c r="AJ12" i="11"/>
  <c r="AR12" i="11"/>
  <c r="AZ12" i="11"/>
  <c r="BH12" i="11"/>
  <c r="BP12" i="11"/>
  <c r="BX12" i="11"/>
  <c r="CF12" i="11"/>
  <c r="CN12" i="11"/>
  <c r="CV12" i="11"/>
  <c r="DD12" i="11"/>
  <c r="AL6" i="11"/>
  <c r="DS6" i="11"/>
  <c r="AE7" i="11"/>
  <c r="CQ7" i="11"/>
  <c r="FC7" i="11"/>
  <c r="BL8" i="11"/>
  <c r="CL8" i="11"/>
  <c r="DH8" i="11"/>
  <c r="DY8" i="11"/>
  <c r="EO8" i="11"/>
  <c r="FD8" i="11"/>
  <c r="L9" i="11"/>
  <c r="Z9" i="11"/>
  <c r="AL9" i="11"/>
  <c r="AX9" i="11"/>
  <c r="BH9" i="11"/>
  <c r="BR9" i="11"/>
  <c r="CD9" i="11"/>
  <c r="CN9" i="11"/>
  <c r="CX9" i="11"/>
  <c r="DJ9" i="11"/>
  <c r="DR9" i="11"/>
  <c r="DZ9" i="11"/>
  <c r="EH9" i="11"/>
  <c r="EP9" i="11"/>
  <c r="EX9" i="11"/>
  <c r="C10" i="11"/>
  <c r="K10" i="11"/>
  <c r="S10" i="11"/>
  <c r="AA10" i="11"/>
  <c r="AI10" i="11"/>
  <c r="AQ10" i="11"/>
  <c r="AY10" i="11"/>
  <c r="BG10" i="11"/>
  <c r="BO10" i="11"/>
  <c r="BW10" i="11"/>
  <c r="CE10" i="11"/>
  <c r="CM10" i="11"/>
  <c r="CU10" i="11"/>
  <c r="DC10" i="11"/>
  <c r="DK10" i="11"/>
  <c r="DS10" i="11"/>
  <c r="EA10" i="11"/>
  <c r="EI10" i="11"/>
  <c r="EQ10" i="11"/>
  <c r="EY10" i="11"/>
  <c r="D11" i="11"/>
  <c r="L11" i="11"/>
  <c r="T11" i="11"/>
  <c r="AB11" i="11"/>
  <c r="AJ11" i="11"/>
  <c r="AR11" i="11"/>
  <c r="AZ11" i="11"/>
  <c r="BH11" i="11"/>
  <c r="BP11" i="11"/>
  <c r="BX11" i="11"/>
  <c r="CF11" i="11"/>
  <c r="CN11" i="11"/>
  <c r="CV11" i="11"/>
  <c r="DD11" i="11"/>
  <c r="DL11" i="11"/>
  <c r="DT11" i="11"/>
  <c r="EB11" i="11"/>
  <c r="EJ11" i="11"/>
  <c r="ER11" i="11"/>
  <c r="EZ11" i="11"/>
  <c r="E12" i="11"/>
  <c r="M12" i="11"/>
  <c r="U12" i="11"/>
  <c r="AC12" i="11"/>
  <c r="AK12" i="11"/>
  <c r="AS12" i="11"/>
  <c r="BA12" i="11"/>
  <c r="BI12" i="11"/>
  <c r="BQ12" i="11"/>
  <c r="BY12" i="11"/>
  <c r="CG12" i="11"/>
  <c r="CO12" i="11"/>
  <c r="CW12" i="11"/>
  <c r="DE12" i="11"/>
  <c r="DM12" i="11"/>
  <c r="DU12" i="11"/>
  <c r="EC12" i="11"/>
  <c r="EK12" i="11"/>
  <c r="ES12" i="11"/>
  <c r="FA12" i="11"/>
  <c r="F13" i="11"/>
  <c r="N13" i="11"/>
  <c r="V13" i="11"/>
  <c r="AD13" i="11"/>
  <c r="AL13" i="11"/>
  <c r="AT13" i="11"/>
  <c r="BB13" i="11"/>
  <c r="BJ13" i="11"/>
  <c r="BR13" i="11"/>
  <c r="BZ13" i="11"/>
  <c r="CH13" i="11"/>
  <c r="CP13" i="11"/>
  <c r="CX13" i="11"/>
  <c r="DF13" i="11"/>
  <c r="DN13" i="11"/>
  <c r="DV13" i="11"/>
  <c r="ED13" i="11"/>
  <c r="EL13" i="11"/>
  <c r="ET13" i="11"/>
  <c r="FB13" i="11"/>
  <c r="G14" i="11"/>
  <c r="AW6" i="11"/>
  <c r="ED6" i="11"/>
  <c r="AM7" i="11"/>
  <c r="CY7" i="11"/>
  <c r="H8" i="11"/>
  <c r="BT8" i="11"/>
  <c r="CM8" i="11"/>
  <c r="DJ8" i="11"/>
  <c r="DZ8" i="11"/>
  <c r="EP8" i="11"/>
  <c r="FE8" i="11"/>
  <c r="N9" i="11"/>
  <c r="AA9" i="11"/>
  <c r="AO9" i="11"/>
  <c r="AY9" i="11"/>
  <c r="BI9" i="11"/>
  <c r="BU9" i="11"/>
  <c r="CE9" i="11"/>
  <c r="CO9" i="11"/>
  <c r="DA9" i="11"/>
  <c r="DK9" i="11"/>
  <c r="DS9" i="11"/>
  <c r="EA9" i="11"/>
  <c r="EI9" i="11"/>
  <c r="EQ9" i="11"/>
  <c r="EY9" i="11"/>
  <c r="D10" i="11"/>
  <c r="L10" i="11"/>
  <c r="T10" i="11"/>
  <c r="AB10" i="11"/>
  <c r="AJ10" i="11"/>
  <c r="AR10" i="11"/>
  <c r="AZ10" i="11"/>
  <c r="BH10" i="11"/>
  <c r="BP10" i="11"/>
  <c r="BX10" i="11"/>
  <c r="CF10" i="11"/>
  <c r="CN10" i="11"/>
  <c r="CV10" i="11"/>
  <c r="DD10" i="11"/>
  <c r="DL10" i="11"/>
  <c r="DT10" i="11"/>
  <c r="EB10" i="11"/>
  <c r="EJ10" i="11"/>
  <c r="ER10" i="11"/>
  <c r="EZ10" i="11"/>
  <c r="E11" i="11"/>
  <c r="M11" i="11"/>
  <c r="U11" i="11"/>
  <c r="AC11" i="11"/>
  <c r="AK11" i="11"/>
  <c r="AS11" i="11"/>
  <c r="BA11" i="11"/>
  <c r="BI11" i="11"/>
  <c r="BQ11" i="11"/>
  <c r="BY11" i="11"/>
  <c r="CG11" i="11"/>
  <c r="CO11" i="11"/>
  <c r="CW11" i="11"/>
  <c r="DE11" i="11"/>
  <c r="DM11" i="11"/>
  <c r="DU11" i="11"/>
  <c r="EC11" i="11"/>
  <c r="EK11" i="11"/>
  <c r="ES11" i="11"/>
  <c r="FA11" i="11"/>
  <c r="F12" i="11"/>
  <c r="N12" i="11"/>
  <c r="V12" i="11"/>
  <c r="AD12" i="11"/>
  <c r="AL12" i="11"/>
  <c r="AT12" i="11"/>
  <c r="BB12" i="11"/>
  <c r="BJ12" i="11"/>
  <c r="BR12" i="11"/>
  <c r="BG6" i="11"/>
  <c r="EL6" i="11"/>
  <c r="AU7" i="11"/>
  <c r="DG7" i="11"/>
  <c r="P8" i="11"/>
  <c r="BV8" i="11"/>
  <c r="CR8" i="11"/>
  <c r="DK8" i="11"/>
  <c r="EA8" i="11"/>
  <c r="EQ8" i="11"/>
  <c r="C9" i="11"/>
  <c r="Q9" i="11"/>
  <c r="AB9" i="11"/>
  <c r="AP9" i="11"/>
  <c r="AZ9" i="11"/>
  <c r="BJ9" i="11"/>
  <c r="BV9" i="11"/>
  <c r="CF9" i="11"/>
  <c r="CP9" i="11"/>
  <c r="DB9" i="11"/>
  <c r="DL9" i="11"/>
  <c r="DT9" i="11"/>
  <c r="EB9" i="11"/>
  <c r="EJ9" i="11"/>
  <c r="ER9" i="11"/>
  <c r="EZ9" i="11"/>
  <c r="E10" i="11"/>
  <c r="M10" i="11"/>
  <c r="U10" i="11"/>
  <c r="AC10" i="11"/>
  <c r="AK10" i="11"/>
  <c r="AS10" i="11"/>
  <c r="BA10" i="11"/>
  <c r="BI10" i="11"/>
  <c r="BQ10" i="11"/>
  <c r="BY10" i="11"/>
  <c r="CG10" i="11"/>
  <c r="CO10" i="11"/>
  <c r="CW10" i="11"/>
  <c r="DE10" i="11"/>
  <c r="DM10" i="11"/>
  <c r="DU10" i="11"/>
  <c r="EC10" i="11"/>
  <c r="EK10" i="11"/>
  <c r="ES10" i="11"/>
  <c r="FA10" i="11"/>
  <c r="F11" i="11"/>
  <c r="N11" i="11"/>
  <c r="V11" i="11"/>
  <c r="AD11" i="11"/>
  <c r="AL11" i="11"/>
  <c r="AT11" i="11"/>
  <c r="BB11" i="11"/>
  <c r="BJ11" i="11"/>
  <c r="BR11" i="11"/>
  <c r="BZ11" i="11"/>
  <c r="CH11" i="11"/>
  <c r="CP11" i="11"/>
  <c r="CX11" i="11"/>
  <c r="DF11" i="11"/>
  <c r="DN11" i="11"/>
  <c r="DV11" i="11"/>
  <c r="ED11" i="11"/>
  <c r="EL11" i="11"/>
  <c r="ET11" i="11"/>
  <c r="FB11" i="11"/>
  <c r="G12" i="11"/>
  <c r="O12" i="11"/>
  <c r="W12" i="11"/>
  <c r="AE12" i="11"/>
  <c r="AM12" i="11"/>
  <c r="AU12" i="11"/>
  <c r="BC12" i="11"/>
  <c r="BK12" i="11"/>
  <c r="BS12" i="11"/>
  <c r="CA12" i="11"/>
  <c r="CI12" i="11"/>
  <c r="CQ12" i="11"/>
  <c r="CY12" i="11"/>
  <c r="DG12" i="11"/>
  <c r="DO12" i="11"/>
  <c r="DW12" i="11"/>
  <c r="EE12" i="11"/>
  <c r="BR6" i="11"/>
  <c r="ET6" i="11"/>
  <c r="BC7" i="11"/>
  <c r="DO7" i="11"/>
  <c r="X8" i="11"/>
  <c r="BW8" i="11"/>
  <c r="CT8" i="11"/>
  <c r="DP8" i="11"/>
  <c r="EF8" i="11"/>
  <c r="EV8" i="11"/>
  <c r="D9" i="11"/>
  <c r="R9" i="11"/>
  <c r="AD9" i="11"/>
  <c r="AQ9" i="11"/>
  <c r="BA9" i="11"/>
  <c r="BM9" i="11"/>
  <c r="BW9" i="11"/>
  <c r="CG9" i="11"/>
  <c r="CS9" i="11"/>
  <c r="DC9" i="11"/>
  <c r="DM9" i="11"/>
  <c r="DU9" i="11"/>
  <c r="EC9" i="11"/>
  <c r="EK9" i="11"/>
  <c r="ES9" i="11"/>
  <c r="FA9" i="11"/>
  <c r="F10" i="11"/>
  <c r="N10" i="11"/>
  <c r="V10" i="11"/>
  <c r="AD10" i="11"/>
  <c r="AL10" i="11"/>
  <c r="AT10" i="11"/>
  <c r="BB10" i="11"/>
  <c r="BJ10" i="11"/>
  <c r="BR10" i="11"/>
  <c r="BZ10" i="11"/>
  <c r="CH10" i="11"/>
  <c r="CP10" i="11"/>
  <c r="CX10" i="11"/>
  <c r="DF10" i="11"/>
  <c r="DN10" i="11"/>
  <c r="DV10" i="11"/>
  <c r="ED10" i="11"/>
  <c r="EL10" i="11"/>
  <c r="ET10" i="11"/>
  <c r="FB10" i="11"/>
  <c r="G11" i="11"/>
  <c r="O11" i="11"/>
  <c r="W11" i="11"/>
  <c r="AE11" i="11"/>
  <c r="AM11" i="11"/>
  <c r="AU11" i="11"/>
  <c r="BC11" i="11"/>
  <c r="BK11" i="11"/>
  <c r="BS11" i="11"/>
  <c r="CA11" i="11"/>
  <c r="CI11" i="11"/>
  <c r="CQ11" i="11"/>
  <c r="CY11" i="11"/>
  <c r="DG11" i="11"/>
  <c r="DO11" i="11"/>
  <c r="DW11" i="11"/>
  <c r="EE11" i="11"/>
  <c r="EM11" i="11"/>
  <c r="EU11" i="11"/>
  <c r="FC11" i="11"/>
  <c r="H12" i="11"/>
  <c r="P12" i="11"/>
  <c r="X12" i="11"/>
  <c r="AF12" i="11"/>
  <c r="AN12" i="11"/>
  <c r="AV12" i="11"/>
  <c r="BD12" i="11"/>
  <c r="BL12" i="11"/>
  <c r="BT12" i="11"/>
  <c r="CB12" i="11"/>
  <c r="CJ12" i="11"/>
  <c r="CR12" i="11"/>
  <c r="CZ12" i="11"/>
  <c r="DH12" i="11"/>
  <c r="CC6" i="11"/>
  <c r="FB6" i="11"/>
  <c r="BK7" i="11"/>
  <c r="DW7" i="11"/>
  <c r="AF8" i="11"/>
  <c r="CB8" i="11"/>
  <c r="CU8" i="11"/>
  <c r="DQ8" i="11"/>
  <c r="EG8" i="11"/>
  <c r="EW8" i="11"/>
  <c r="F9" i="11"/>
  <c r="S9" i="11"/>
  <c r="AG9" i="11"/>
  <c r="AR9" i="11"/>
  <c r="BB9" i="11"/>
  <c r="BN9" i="11"/>
  <c r="BX9" i="11"/>
  <c r="CH9" i="11"/>
  <c r="CT9" i="11"/>
  <c r="DD9" i="11"/>
  <c r="DN9" i="11"/>
  <c r="DV9" i="11"/>
  <c r="ED9" i="11"/>
  <c r="EL9" i="11"/>
  <c r="ET9" i="11"/>
  <c r="FB9" i="11"/>
  <c r="G10" i="11"/>
  <c r="O10" i="11"/>
  <c r="W10" i="11"/>
  <c r="AE10" i="11"/>
  <c r="AM10" i="11"/>
  <c r="AU10" i="11"/>
  <c r="BC10" i="11"/>
  <c r="BK10" i="11"/>
  <c r="BS10" i="11"/>
  <c r="CA10" i="11"/>
  <c r="CI10" i="11"/>
  <c r="CQ10" i="11"/>
  <c r="CY10" i="11"/>
  <c r="DG10" i="11"/>
  <c r="DO10" i="11"/>
  <c r="DW10" i="11"/>
  <c r="EE10" i="11"/>
  <c r="EM10" i="11"/>
  <c r="EU10" i="11"/>
  <c r="FC10" i="11"/>
  <c r="H11" i="11"/>
  <c r="P11" i="11"/>
  <c r="X11" i="11"/>
  <c r="AF11" i="11"/>
  <c r="AN11" i="11"/>
  <c r="AV11" i="11"/>
  <c r="BD11" i="11"/>
  <c r="BL11" i="11"/>
  <c r="BT11" i="11"/>
  <c r="CB11" i="11"/>
  <c r="CJ11" i="11"/>
  <c r="CR11" i="11"/>
  <c r="CZ11" i="11"/>
  <c r="DH11" i="11"/>
  <c r="DP11" i="11"/>
  <c r="DX11" i="11"/>
  <c r="EF11" i="11"/>
  <c r="EN11" i="11"/>
  <c r="EV11" i="11"/>
  <c r="FD11" i="11"/>
  <c r="I12" i="11"/>
  <c r="Q12" i="11"/>
  <c r="Y12" i="11"/>
  <c r="AG12" i="11"/>
  <c r="AO12" i="11"/>
  <c r="AW12" i="11"/>
  <c r="BE12" i="11"/>
  <c r="BM12" i="11"/>
  <c r="BU12" i="11"/>
  <c r="CC12" i="11"/>
  <c r="CK12" i="11"/>
  <c r="CS12" i="11"/>
  <c r="DA12" i="11"/>
  <c r="DI12" i="11"/>
  <c r="DQ12" i="11"/>
  <c r="DY12" i="11"/>
  <c r="EG12" i="11"/>
  <c r="EO12" i="11"/>
  <c r="EW12" i="11"/>
  <c r="FE12" i="11"/>
  <c r="J13" i="11"/>
  <c r="R13" i="11"/>
  <c r="Z13" i="11"/>
  <c r="AH13" i="11"/>
  <c r="AP13" i="11"/>
  <c r="AX13" i="11"/>
  <c r="BF13" i="11"/>
  <c r="BN13" i="11"/>
  <c r="BV13" i="11"/>
  <c r="CD13" i="11"/>
  <c r="CL13" i="11"/>
  <c r="CT13" i="11"/>
  <c r="DB13" i="11"/>
  <c r="DJ13" i="11"/>
  <c r="DR13" i="11"/>
  <c r="DZ13" i="11"/>
  <c r="EH13" i="11"/>
  <c r="EP13" i="11"/>
  <c r="EX13" i="11"/>
  <c r="C14" i="11"/>
  <c r="CZ8" i="11"/>
  <c r="BE9" i="11"/>
  <c r="EE9" i="11"/>
  <c r="AN10" i="11"/>
  <c r="CZ10" i="11"/>
  <c r="I11" i="11"/>
  <c r="BU11" i="11"/>
  <c r="EG11" i="11"/>
  <c r="AP12" i="11"/>
  <c r="CL12" i="11"/>
  <c r="DN12" i="11"/>
  <c r="EB12" i="11"/>
  <c r="EN12" i="11"/>
  <c r="EY12" i="11"/>
  <c r="G13" i="11"/>
  <c r="Q13" i="11"/>
  <c r="AB13" i="11"/>
  <c r="AM13" i="11"/>
  <c r="AW13" i="11"/>
  <c r="BH13" i="11"/>
  <c r="BS13" i="11"/>
  <c r="CC13" i="11"/>
  <c r="CN13" i="11"/>
  <c r="CY13" i="11"/>
  <c r="DI13" i="11"/>
  <c r="DT13" i="11"/>
  <c r="EE13" i="11"/>
  <c r="EO13" i="11"/>
  <c r="EZ13" i="11"/>
  <c r="H14" i="11"/>
  <c r="P14" i="11"/>
  <c r="X14" i="11"/>
  <c r="AF14" i="11"/>
  <c r="AN14" i="11"/>
  <c r="AV14" i="11"/>
  <c r="BD14" i="11"/>
  <c r="BL14" i="11"/>
  <c r="BT14" i="11"/>
  <c r="CB14" i="11"/>
  <c r="CJ14" i="11"/>
  <c r="CR14" i="11"/>
  <c r="CZ14" i="11"/>
  <c r="DH14" i="11"/>
  <c r="DP14" i="11"/>
  <c r="DX14" i="11"/>
  <c r="EF14" i="11"/>
  <c r="EN14" i="11"/>
  <c r="EV14" i="11"/>
  <c r="FD14" i="11"/>
  <c r="I15" i="11"/>
  <c r="Q15" i="11"/>
  <c r="Y15" i="11"/>
  <c r="AG15" i="11"/>
  <c r="AO15" i="11"/>
  <c r="AW15" i="11"/>
  <c r="BE15" i="11"/>
  <c r="BM15" i="11"/>
  <c r="BU15" i="11"/>
  <c r="CC15" i="11"/>
  <c r="CK15" i="11"/>
  <c r="CS15" i="11"/>
  <c r="DA15" i="11"/>
  <c r="DI15" i="11"/>
  <c r="DQ15" i="11"/>
  <c r="DY15" i="11"/>
  <c r="EG15" i="11"/>
  <c r="EO15" i="11"/>
  <c r="EW15" i="11"/>
  <c r="FE15" i="11"/>
  <c r="J16" i="11"/>
  <c r="R16" i="11"/>
  <c r="Z16" i="11"/>
  <c r="AH16" i="11"/>
  <c r="AP16" i="11"/>
  <c r="AX16" i="11"/>
  <c r="BF16" i="11"/>
  <c r="BN16" i="11"/>
  <c r="BV16" i="11"/>
  <c r="CD16" i="11"/>
  <c r="CL16" i="11"/>
  <c r="CT16" i="11"/>
  <c r="DB16" i="11"/>
  <c r="DJ16" i="11"/>
  <c r="DR16" i="11"/>
  <c r="F6" i="11"/>
  <c r="DR8" i="11"/>
  <c r="BO9" i="11"/>
  <c r="EM9" i="11"/>
  <c r="AV10" i="11"/>
  <c r="DH10" i="11"/>
  <c r="Q11" i="11"/>
  <c r="CC11" i="11"/>
  <c r="EO11" i="11"/>
  <c r="AX12" i="11"/>
  <c r="CP12" i="11"/>
  <c r="DP12" i="11"/>
  <c r="ED12" i="11"/>
  <c r="EP12" i="11"/>
  <c r="EZ12" i="11"/>
  <c r="H13" i="11"/>
  <c r="S13" i="11"/>
  <c r="AC13" i="11"/>
  <c r="AN13" i="11"/>
  <c r="AY13" i="11"/>
  <c r="BI13" i="11"/>
  <c r="BT13" i="11"/>
  <c r="CE13" i="11"/>
  <c r="CO13" i="11"/>
  <c r="CZ13" i="11"/>
  <c r="DK13" i="11"/>
  <c r="DU13" i="11"/>
  <c r="EF13" i="11"/>
  <c r="EQ13" i="11"/>
  <c r="FA13" i="11"/>
  <c r="I14" i="11"/>
  <c r="Q14" i="11"/>
  <c r="Y14" i="11"/>
  <c r="AG14" i="11"/>
  <c r="AO14" i="11"/>
  <c r="AW14" i="11"/>
  <c r="BE14" i="11"/>
  <c r="BM14" i="11"/>
  <c r="BU14" i="11"/>
  <c r="CC14" i="11"/>
  <c r="CK14" i="11"/>
  <c r="CS14" i="11"/>
  <c r="DA14" i="11"/>
  <c r="DI14" i="11"/>
  <c r="DQ14" i="11"/>
  <c r="DY14" i="11"/>
  <c r="EG14" i="11"/>
  <c r="EO14" i="11"/>
  <c r="EW14" i="11"/>
  <c r="FE14" i="11"/>
  <c r="J15" i="11"/>
  <c r="R15" i="11"/>
  <c r="Z15" i="11"/>
  <c r="AH15" i="11"/>
  <c r="AP15" i="11"/>
  <c r="AX15" i="11"/>
  <c r="BF15" i="11"/>
  <c r="BN15" i="11"/>
  <c r="BV15" i="11"/>
  <c r="CD15" i="11"/>
  <c r="CL15" i="11"/>
  <c r="CT15" i="11"/>
  <c r="DB15" i="11"/>
  <c r="DJ15" i="11"/>
  <c r="DR15" i="11"/>
  <c r="DZ15" i="11"/>
  <c r="EH15" i="11"/>
  <c r="EP15" i="11"/>
  <c r="CM6" i="11"/>
  <c r="EH8" i="11"/>
  <c r="BY9" i="11"/>
  <c r="EU9" i="11"/>
  <c r="BD10" i="11"/>
  <c r="DP10" i="11"/>
  <c r="Y11" i="11"/>
  <c r="CK11" i="11"/>
  <c r="EW11" i="11"/>
  <c r="BF12" i="11"/>
  <c r="CT12" i="11"/>
  <c r="DR12" i="11"/>
  <c r="EF12" i="11"/>
  <c r="EQ12" i="11"/>
  <c r="FB12" i="11"/>
  <c r="I13" i="11"/>
  <c r="T13" i="11"/>
  <c r="AE13" i="11"/>
  <c r="AO13" i="11"/>
  <c r="AZ13" i="11"/>
  <c r="BK13" i="11"/>
  <c r="BU13" i="11"/>
  <c r="CF13" i="11"/>
  <c r="CQ13" i="11"/>
  <c r="DA13" i="11"/>
  <c r="DL13" i="11"/>
  <c r="DW13" i="11"/>
  <c r="EG13" i="11"/>
  <c r="ER13" i="11"/>
  <c r="FC13" i="11"/>
  <c r="J14" i="11"/>
  <c r="R14" i="11"/>
  <c r="Z14" i="11"/>
  <c r="AH14" i="11"/>
  <c r="AP14" i="11"/>
  <c r="AX14" i="11"/>
  <c r="BF14" i="11"/>
  <c r="BN14" i="11"/>
  <c r="BV14" i="11"/>
  <c r="CD14" i="11"/>
  <c r="CL14" i="11"/>
  <c r="CT14" i="11"/>
  <c r="DB14" i="11"/>
  <c r="DJ14" i="11"/>
  <c r="DR14" i="11"/>
  <c r="DZ14" i="11"/>
  <c r="EH14" i="11"/>
  <c r="EP14" i="11"/>
  <c r="EX14" i="11"/>
  <c r="C15" i="11"/>
  <c r="K15" i="11"/>
  <c r="S15" i="11"/>
  <c r="AA15" i="11"/>
  <c r="AI15" i="11"/>
  <c r="AQ15" i="11"/>
  <c r="AY15" i="11"/>
  <c r="BG15" i="11"/>
  <c r="BO15" i="11"/>
  <c r="BW15" i="11"/>
  <c r="CE15" i="11"/>
  <c r="CM15" i="11"/>
  <c r="CU15" i="11"/>
  <c r="DC15" i="11"/>
  <c r="DK15" i="11"/>
  <c r="DS15" i="11"/>
  <c r="EA15" i="11"/>
  <c r="EI15" i="11"/>
  <c r="EQ15" i="11"/>
  <c r="EY15" i="11"/>
  <c r="D16" i="11"/>
  <c r="L16" i="11"/>
  <c r="T16" i="11"/>
  <c r="AB16" i="11"/>
  <c r="AJ16" i="11"/>
  <c r="AR16" i="11"/>
  <c r="AZ16" i="11"/>
  <c r="BH16" i="11"/>
  <c r="BP16" i="11"/>
  <c r="BX16" i="11"/>
  <c r="G7" i="11"/>
  <c r="EX8" i="11"/>
  <c r="CK9" i="11"/>
  <c r="FC9" i="11"/>
  <c r="BL10" i="11"/>
  <c r="DX10" i="11"/>
  <c r="AG11" i="11"/>
  <c r="CS11" i="11"/>
  <c r="FE11" i="11"/>
  <c r="BN12" i="11"/>
  <c r="CX12" i="11"/>
  <c r="DT12" i="11"/>
  <c r="EH12" i="11"/>
  <c r="ER12" i="11"/>
  <c r="FC12" i="11"/>
  <c r="K13" i="11"/>
  <c r="U13" i="11"/>
  <c r="AF13" i="11"/>
  <c r="AQ13" i="11"/>
  <c r="BA13" i="11"/>
  <c r="BL13" i="11"/>
  <c r="BW13" i="11"/>
  <c r="CG13" i="11"/>
  <c r="CR13" i="11"/>
  <c r="DC13" i="11"/>
  <c r="DM13" i="11"/>
  <c r="DX13" i="11"/>
  <c r="EI13" i="11"/>
  <c r="ES13" i="11"/>
  <c r="FD13" i="11"/>
  <c r="K14" i="11"/>
  <c r="S14" i="11"/>
  <c r="AA14" i="11"/>
  <c r="AI14" i="11"/>
  <c r="AQ14" i="11"/>
  <c r="AY14" i="11"/>
  <c r="BG14" i="11"/>
  <c r="BO14" i="11"/>
  <c r="BW14" i="11"/>
  <c r="CE14" i="11"/>
  <c r="CM14" i="11"/>
  <c r="CU14" i="11"/>
  <c r="DC14" i="11"/>
  <c r="DK14" i="11"/>
  <c r="DS14" i="11"/>
  <c r="EA14" i="11"/>
  <c r="EI14" i="11"/>
  <c r="EQ14" i="11"/>
  <c r="EY14" i="11"/>
  <c r="D15" i="11"/>
  <c r="L15" i="11"/>
  <c r="T15" i="11"/>
  <c r="AB15" i="11"/>
  <c r="AJ15" i="11"/>
  <c r="AR15" i="11"/>
  <c r="AZ15" i="11"/>
  <c r="BH15" i="11"/>
  <c r="BP15" i="11"/>
  <c r="BX15" i="11"/>
  <c r="CF15" i="11"/>
  <c r="CN15" i="11"/>
  <c r="CV15" i="11"/>
  <c r="DD15" i="11"/>
  <c r="DL15" i="11"/>
  <c r="DT15" i="11"/>
  <c r="EB15" i="11"/>
  <c r="EJ15" i="11"/>
  <c r="ER15" i="11"/>
  <c r="EZ15" i="11"/>
  <c r="E16" i="11"/>
  <c r="M16" i="11"/>
  <c r="U16" i="11"/>
  <c r="AC16" i="11"/>
  <c r="AK16" i="11"/>
  <c r="AS16" i="11"/>
  <c r="BA16" i="11"/>
  <c r="BI16" i="11"/>
  <c r="BQ16" i="11"/>
  <c r="BY16" i="11"/>
  <c r="CG16" i="11"/>
  <c r="CO16" i="11"/>
  <c r="CW16" i="11"/>
  <c r="DE16" i="11"/>
  <c r="DM16" i="11"/>
  <c r="DU16" i="11"/>
  <c r="BS7" i="11"/>
  <c r="I9" i="11"/>
  <c r="CU9" i="11"/>
  <c r="H10" i="11"/>
  <c r="BT10" i="11"/>
  <c r="EF10" i="11"/>
  <c r="AO11" i="11"/>
  <c r="DA11" i="11"/>
  <c r="J12" i="11"/>
  <c r="BV12" i="11"/>
  <c r="DB12" i="11"/>
  <c r="DV12" i="11"/>
  <c r="EI12" i="11"/>
  <c r="ET12" i="11"/>
  <c r="FD12" i="11"/>
  <c r="L13" i="11"/>
  <c r="W13" i="11"/>
  <c r="AG13" i="11"/>
  <c r="AR13" i="11"/>
  <c r="BC13" i="11"/>
  <c r="BM13" i="11"/>
  <c r="BX13" i="11"/>
  <c r="CI13" i="11"/>
  <c r="CS13" i="11"/>
  <c r="DD13" i="11"/>
  <c r="DO13" i="11"/>
  <c r="DY13" i="11"/>
  <c r="EJ13" i="11"/>
  <c r="EU13" i="11"/>
  <c r="FE13" i="11"/>
  <c r="L14" i="11"/>
  <c r="T14" i="11"/>
  <c r="AB14" i="11"/>
  <c r="AJ14" i="11"/>
  <c r="AR14" i="11"/>
  <c r="AZ14" i="11"/>
  <c r="BH14" i="11"/>
  <c r="BP14" i="11"/>
  <c r="BX14" i="11"/>
  <c r="CF14" i="11"/>
  <c r="CN14" i="11"/>
  <c r="CV14" i="11"/>
  <c r="DD14" i="11"/>
  <c r="DL14" i="11"/>
  <c r="DT14" i="11"/>
  <c r="EB14" i="11"/>
  <c r="EJ14" i="11"/>
  <c r="ER14" i="11"/>
  <c r="EZ14" i="11"/>
  <c r="E15" i="11"/>
  <c r="M15" i="11"/>
  <c r="U15" i="11"/>
  <c r="AC15" i="11"/>
  <c r="AK15" i="11"/>
  <c r="AS15" i="11"/>
  <c r="BA15" i="11"/>
  <c r="BI15" i="11"/>
  <c r="BQ15" i="11"/>
  <c r="BY15" i="11"/>
  <c r="CG15" i="11"/>
  <c r="CO15" i="11"/>
  <c r="CW15" i="11"/>
  <c r="DE15" i="11"/>
  <c r="DM15" i="11"/>
  <c r="DU15" i="11"/>
  <c r="EC15" i="11"/>
  <c r="EK15" i="11"/>
  <c r="ES15" i="11"/>
  <c r="FA15" i="11"/>
  <c r="F16" i="11"/>
  <c r="N16" i="11"/>
  <c r="V16" i="11"/>
  <c r="AD16" i="11"/>
  <c r="AL16" i="11"/>
  <c r="AT16" i="11"/>
  <c r="BB16" i="11"/>
  <c r="BJ16" i="11"/>
  <c r="BR16" i="11"/>
  <c r="BZ16" i="11"/>
  <c r="CH16" i="11"/>
  <c r="CP16" i="11"/>
  <c r="CX16" i="11"/>
  <c r="DF16" i="11"/>
  <c r="DN16" i="11"/>
  <c r="DV16" i="11"/>
  <c r="ED16" i="11"/>
  <c r="EL16" i="11"/>
  <c r="ET16" i="11"/>
  <c r="FB16" i="11"/>
  <c r="G17" i="11"/>
  <c r="O17" i="11"/>
  <c r="W17" i="11"/>
  <c r="AE17" i="11"/>
  <c r="AM17" i="11"/>
  <c r="AU17" i="11"/>
  <c r="BC17" i="11"/>
  <c r="BK17" i="11"/>
  <c r="BS17" i="11"/>
  <c r="CA17" i="11"/>
  <c r="CI17" i="11"/>
  <c r="EE7" i="11"/>
  <c r="T9" i="11"/>
  <c r="DE9" i="11"/>
  <c r="P10" i="11"/>
  <c r="CB10" i="11"/>
  <c r="EN10" i="11"/>
  <c r="AW11" i="11"/>
  <c r="DI11" i="11"/>
  <c r="R12" i="11"/>
  <c r="BZ12" i="11"/>
  <c r="DF12" i="11"/>
  <c r="DX12" i="11"/>
  <c r="EJ12" i="11"/>
  <c r="EU12" i="11"/>
  <c r="C13" i="11"/>
  <c r="M13" i="11"/>
  <c r="X13" i="11"/>
  <c r="AI13" i="11"/>
  <c r="AS13" i="11"/>
  <c r="BD13" i="11"/>
  <c r="BO13" i="11"/>
  <c r="BY13" i="11"/>
  <c r="CJ13" i="11"/>
  <c r="CU13" i="11"/>
  <c r="DE13" i="11"/>
  <c r="DP13" i="11"/>
  <c r="EA13" i="11"/>
  <c r="EK13" i="11"/>
  <c r="EV13" i="11"/>
  <c r="D14" i="11"/>
  <c r="M14" i="11"/>
  <c r="U14" i="11"/>
  <c r="AC14" i="11"/>
  <c r="AK14" i="11"/>
  <c r="AS14" i="11"/>
  <c r="BA14" i="11"/>
  <c r="BI14" i="11"/>
  <c r="BQ14" i="11"/>
  <c r="BY14" i="11"/>
  <c r="CG14" i="11"/>
  <c r="CO14" i="11"/>
  <c r="CW14" i="11"/>
  <c r="DE14" i="11"/>
  <c r="DM14" i="11"/>
  <c r="DU14" i="11"/>
  <c r="EC14" i="11"/>
  <c r="EK14" i="11"/>
  <c r="ES14" i="11"/>
  <c r="FA14" i="11"/>
  <c r="F15" i="11"/>
  <c r="N15" i="11"/>
  <c r="V15" i="11"/>
  <c r="AD15" i="11"/>
  <c r="AL15" i="11"/>
  <c r="AT15" i="11"/>
  <c r="BB15" i="11"/>
  <c r="BJ15" i="11"/>
  <c r="BR15" i="11"/>
  <c r="BZ15" i="11"/>
  <c r="CH15" i="11"/>
  <c r="CP15" i="11"/>
  <c r="CX15" i="11"/>
  <c r="DF15" i="11"/>
  <c r="DN15" i="11"/>
  <c r="DV15" i="11"/>
  <c r="AN8" i="11"/>
  <c r="AH9" i="11"/>
  <c r="DO9" i="11"/>
  <c r="X10" i="11"/>
  <c r="CJ10" i="11"/>
  <c r="EV10" i="11"/>
  <c r="BE11" i="11"/>
  <c r="DQ11" i="11"/>
  <c r="Z12" i="11"/>
  <c r="CD12" i="11"/>
  <c r="DJ12" i="11"/>
  <c r="DZ12" i="11"/>
  <c r="EL12" i="11"/>
  <c r="EV12" i="11"/>
  <c r="D13" i="11"/>
  <c r="O13" i="11"/>
  <c r="Y13" i="11"/>
  <c r="AJ13" i="11"/>
  <c r="AU13" i="11"/>
  <c r="BE13" i="11"/>
  <c r="BP13" i="11"/>
  <c r="CA13" i="11"/>
  <c r="CK13" i="11"/>
  <c r="CV13" i="11"/>
  <c r="DG13" i="11"/>
  <c r="DQ13" i="11"/>
  <c r="EB13" i="11"/>
  <c r="EM13" i="11"/>
  <c r="EW13" i="11"/>
  <c r="E14" i="11"/>
  <c r="N14" i="11"/>
  <c r="V14" i="11"/>
  <c r="AD14" i="11"/>
  <c r="AL14" i="11"/>
  <c r="AT14" i="11"/>
  <c r="BB14" i="11"/>
  <c r="BJ14" i="11"/>
  <c r="BR14" i="11"/>
  <c r="BZ14" i="11"/>
  <c r="CH14" i="11"/>
  <c r="CP14" i="11"/>
  <c r="CX14" i="11"/>
  <c r="DF14" i="11"/>
  <c r="DN14" i="11"/>
  <c r="DV14" i="11"/>
  <c r="ED14" i="11"/>
  <c r="EL14" i="11"/>
  <c r="ET14" i="11"/>
  <c r="FB14" i="11"/>
  <c r="G15" i="11"/>
  <c r="O15" i="11"/>
  <c r="W15" i="11"/>
  <c r="AE15" i="11"/>
  <c r="AM15" i="11"/>
  <c r="AU15" i="11"/>
  <c r="BC15" i="11"/>
  <c r="BK15" i="11"/>
  <c r="BS15" i="11"/>
  <c r="CA15" i="11"/>
  <c r="CI15" i="11"/>
  <c r="CQ15" i="11"/>
  <c r="CY15" i="11"/>
  <c r="DG15" i="11"/>
  <c r="DO15" i="11"/>
  <c r="DW15" i="11"/>
  <c r="EE15" i="11"/>
  <c r="EM15" i="11"/>
  <c r="EU15" i="11"/>
  <c r="FC15" i="11"/>
  <c r="H16" i="11"/>
  <c r="P16" i="11"/>
  <c r="X16" i="11"/>
  <c r="AF16" i="11"/>
  <c r="AN16" i="11"/>
  <c r="AV16" i="11"/>
  <c r="BD16" i="11"/>
  <c r="BL16" i="11"/>
  <c r="BT16" i="11"/>
  <c r="CB16" i="11"/>
  <c r="CJ16" i="11"/>
  <c r="CR16" i="11"/>
  <c r="CZ16" i="11"/>
  <c r="DH16" i="11"/>
  <c r="DP16" i="11"/>
  <c r="DX16" i="11"/>
  <c r="EF16" i="11"/>
  <c r="EN16" i="11"/>
  <c r="EV16" i="11"/>
  <c r="FD16" i="11"/>
  <c r="I17" i="11"/>
  <c r="Q17" i="11"/>
  <c r="Y17" i="11"/>
  <c r="AG17" i="11"/>
  <c r="AO17" i="11"/>
  <c r="AW17" i="11"/>
  <c r="BE17" i="11"/>
  <c r="BM17" i="11"/>
  <c r="BU17" i="11"/>
  <c r="CC17" i="11"/>
  <c r="CD8" i="11"/>
  <c r="AH12" i="11"/>
  <c r="AA13" i="11"/>
  <c r="DH13" i="11"/>
  <c r="AE14" i="11"/>
  <c r="CQ14" i="11"/>
  <c r="FC14" i="11"/>
  <c r="BL15" i="11"/>
  <c r="DX15" i="11"/>
  <c r="FB15" i="11"/>
  <c r="S16" i="11"/>
  <c r="AO16" i="11"/>
  <c r="BK16" i="11"/>
  <c r="CE16" i="11"/>
  <c r="CU16" i="11"/>
  <c r="DK16" i="11"/>
  <c r="DZ16" i="11"/>
  <c r="EJ16" i="11"/>
  <c r="EU16" i="11"/>
  <c r="C17" i="11"/>
  <c r="M17" i="11"/>
  <c r="X17" i="11"/>
  <c r="AI17" i="11"/>
  <c r="AS17" i="11"/>
  <c r="BD17" i="11"/>
  <c r="BO17" i="11"/>
  <c r="BY17" i="11"/>
  <c r="CJ17" i="11"/>
  <c r="CR17" i="11"/>
  <c r="CZ17" i="11"/>
  <c r="DH17" i="11"/>
  <c r="DP17" i="11"/>
  <c r="DX17" i="11"/>
  <c r="EF17" i="11"/>
  <c r="EN17" i="11"/>
  <c r="EV17" i="11"/>
  <c r="FD17" i="11"/>
  <c r="I18" i="11"/>
  <c r="Q18" i="11"/>
  <c r="Y18" i="11"/>
  <c r="AG18" i="11"/>
  <c r="AO18" i="11"/>
  <c r="AW18" i="11"/>
  <c r="BE18" i="11"/>
  <c r="BM18" i="11"/>
  <c r="BU18" i="11"/>
  <c r="CC18" i="11"/>
  <c r="CK18" i="11"/>
  <c r="CS18" i="11"/>
  <c r="DA18" i="11"/>
  <c r="DI18" i="11"/>
  <c r="DQ18" i="11"/>
  <c r="DY18" i="11"/>
  <c r="EG18" i="11"/>
  <c r="EO18" i="11"/>
  <c r="EW18" i="11"/>
  <c r="FE18" i="11"/>
  <c r="J19" i="11"/>
  <c r="R19" i="11"/>
  <c r="Z19" i="11"/>
  <c r="AH19" i="11"/>
  <c r="AP19" i="11"/>
  <c r="AX19" i="11"/>
  <c r="BF19" i="11"/>
  <c r="BN19" i="11"/>
  <c r="BV19" i="11"/>
  <c r="CD19" i="11"/>
  <c r="CL19" i="11"/>
  <c r="CT19" i="11"/>
  <c r="DB19" i="11"/>
  <c r="DJ19" i="11"/>
  <c r="DR19" i="11"/>
  <c r="DZ19" i="11"/>
  <c r="EH19" i="11"/>
  <c r="EP19" i="11"/>
  <c r="EX19" i="11"/>
  <c r="C20" i="11"/>
  <c r="K20" i="11"/>
  <c r="S20" i="11"/>
  <c r="AA20" i="11"/>
  <c r="AI20" i="11"/>
  <c r="AQ20" i="11"/>
  <c r="AY20" i="11"/>
  <c r="BG20" i="11"/>
  <c r="BO20" i="11"/>
  <c r="AS9" i="11"/>
  <c r="CH12" i="11"/>
  <c r="AK13" i="11"/>
  <c r="DS13" i="11"/>
  <c r="AM14" i="11"/>
  <c r="CY14" i="11"/>
  <c r="H15" i="11"/>
  <c r="BT15" i="11"/>
  <c r="ED15" i="11"/>
  <c r="FD15" i="11"/>
  <c r="W16" i="11"/>
  <c r="AQ16" i="11"/>
  <c r="BM16" i="11"/>
  <c r="CF16" i="11"/>
  <c r="CV16" i="11"/>
  <c r="DL16" i="11"/>
  <c r="EA16" i="11"/>
  <c r="EK16" i="11"/>
  <c r="EW16" i="11"/>
  <c r="D17" i="11"/>
  <c r="N17" i="11"/>
  <c r="Z17" i="11"/>
  <c r="AJ17" i="11"/>
  <c r="AT17" i="11"/>
  <c r="BF17" i="11"/>
  <c r="BP17" i="11"/>
  <c r="BZ17" i="11"/>
  <c r="CK17" i="11"/>
  <c r="CS17" i="11"/>
  <c r="DA17" i="11"/>
  <c r="DI17" i="11"/>
  <c r="DQ17" i="11"/>
  <c r="DY17" i="11"/>
  <c r="EG17" i="11"/>
  <c r="EO17" i="11"/>
  <c r="EW17" i="11"/>
  <c r="FE17" i="11"/>
  <c r="J18" i="11"/>
  <c r="R18" i="11"/>
  <c r="Z18" i="11"/>
  <c r="AH18" i="11"/>
  <c r="AP18" i="11"/>
  <c r="AX18" i="11"/>
  <c r="BF18" i="11"/>
  <c r="BN18" i="11"/>
  <c r="BV18" i="11"/>
  <c r="CD18" i="11"/>
  <c r="CL18" i="11"/>
  <c r="CT18" i="11"/>
  <c r="DB18" i="11"/>
  <c r="DJ18" i="11"/>
  <c r="DR18" i="11"/>
  <c r="DZ18" i="11"/>
  <c r="EH18" i="11"/>
  <c r="EP18" i="11"/>
  <c r="EX18" i="11"/>
  <c r="C19" i="11"/>
  <c r="K19" i="11"/>
  <c r="S19" i="11"/>
  <c r="AA19" i="11"/>
  <c r="AI19" i="11"/>
  <c r="AQ19" i="11"/>
  <c r="AY19" i="11"/>
  <c r="BG19" i="11"/>
  <c r="BO19" i="11"/>
  <c r="BW19" i="11"/>
  <c r="CE19" i="11"/>
  <c r="CM19" i="11"/>
  <c r="CU19" i="11"/>
  <c r="DC19" i="11"/>
  <c r="DK19" i="11"/>
  <c r="DS19" i="11"/>
  <c r="EA19" i="11"/>
  <c r="EI19" i="11"/>
  <c r="EQ19" i="11"/>
  <c r="EY19" i="11"/>
  <c r="D20" i="11"/>
  <c r="L20" i="11"/>
  <c r="T20" i="11"/>
  <c r="AB20" i="11"/>
  <c r="AJ20" i="11"/>
  <c r="AR20" i="11"/>
  <c r="AZ20" i="11"/>
  <c r="BH20" i="11"/>
  <c r="DW9" i="11"/>
  <c r="DL12" i="11"/>
  <c r="AV13" i="11"/>
  <c r="EC13" i="11"/>
  <c r="AU14" i="11"/>
  <c r="DG14" i="11"/>
  <c r="P15" i="11"/>
  <c r="CB15" i="11"/>
  <c r="EF15" i="11"/>
  <c r="C16" i="11"/>
  <c r="Y16" i="11"/>
  <c r="AU16" i="11"/>
  <c r="BO16" i="11"/>
  <c r="CI16" i="11"/>
  <c r="CY16" i="11"/>
  <c r="DO16" i="11"/>
  <c r="EB16" i="11"/>
  <c r="EM16" i="11"/>
  <c r="EX16" i="11"/>
  <c r="E17" i="11"/>
  <c r="P17" i="11"/>
  <c r="AA17" i="11"/>
  <c r="AK17" i="11"/>
  <c r="AV17" i="11"/>
  <c r="BG17" i="11"/>
  <c r="BQ17" i="11"/>
  <c r="CB17" i="11"/>
  <c r="CL17" i="11"/>
  <c r="CT17" i="11"/>
  <c r="DB17" i="11"/>
  <c r="DJ17" i="11"/>
  <c r="DR17" i="11"/>
  <c r="DZ17" i="11"/>
  <c r="EH17" i="11"/>
  <c r="EP17" i="11"/>
  <c r="EX17" i="11"/>
  <c r="C18" i="11"/>
  <c r="K18" i="11"/>
  <c r="S18" i="11"/>
  <c r="AA18" i="11"/>
  <c r="AI18" i="11"/>
  <c r="AQ18" i="11"/>
  <c r="AY18" i="11"/>
  <c r="BG18" i="11"/>
  <c r="BO18" i="11"/>
  <c r="BW18" i="11"/>
  <c r="CE18" i="11"/>
  <c r="CM18" i="11"/>
  <c r="CU18" i="11"/>
  <c r="DC18" i="11"/>
  <c r="DK18" i="11"/>
  <c r="DS18" i="11"/>
  <c r="EA18" i="11"/>
  <c r="EI18" i="11"/>
  <c r="EQ18" i="11"/>
  <c r="EY18" i="11"/>
  <c r="D19" i="11"/>
  <c r="L19" i="11"/>
  <c r="T19" i="11"/>
  <c r="AB19" i="11"/>
  <c r="AJ19" i="11"/>
  <c r="AR19" i="11"/>
  <c r="AZ19" i="11"/>
  <c r="BH19" i="11"/>
  <c r="BP19" i="11"/>
  <c r="BX19" i="11"/>
  <c r="CF19" i="11"/>
  <c r="CN19" i="11"/>
  <c r="CV19" i="11"/>
  <c r="DD19" i="11"/>
  <c r="DL19" i="11"/>
  <c r="DT19" i="11"/>
  <c r="EB19" i="11"/>
  <c r="EJ19" i="11"/>
  <c r="AF10" i="11"/>
  <c r="EA12" i="11"/>
  <c r="BG13" i="11"/>
  <c r="EN13" i="11"/>
  <c r="BC14" i="11"/>
  <c r="DO14" i="11"/>
  <c r="X15" i="11"/>
  <c r="CJ15" i="11"/>
  <c r="EL15" i="11"/>
  <c r="G16" i="11"/>
  <c r="AA16" i="11"/>
  <c r="AW16" i="11"/>
  <c r="BS16" i="11"/>
  <c r="CK16" i="11"/>
  <c r="DA16" i="11"/>
  <c r="DQ16" i="11"/>
  <c r="EC16" i="11"/>
  <c r="EO16" i="11"/>
  <c r="EY16" i="11"/>
  <c r="F17" i="11"/>
  <c r="R17" i="11"/>
  <c r="AB17" i="11"/>
  <c r="AL17" i="11"/>
  <c r="AX17" i="11"/>
  <c r="BH17" i="11"/>
  <c r="BR17" i="11"/>
  <c r="CD17" i="11"/>
  <c r="CM17" i="11"/>
  <c r="CU17" i="11"/>
  <c r="DC17" i="11"/>
  <c r="DK17" i="11"/>
  <c r="DS17" i="11"/>
  <c r="EA17" i="11"/>
  <c r="EI17" i="11"/>
  <c r="EQ17" i="11"/>
  <c r="EY17" i="11"/>
  <c r="D18" i="11"/>
  <c r="L18" i="11"/>
  <c r="T18" i="11"/>
  <c r="AB18" i="11"/>
  <c r="AJ18" i="11"/>
  <c r="AR18" i="11"/>
  <c r="AZ18" i="11"/>
  <c r="BH18" i="11"/>
  <c r="BP18" i="11"/>
  <c r="BX18" i="11"/>
  <c r="CF18" i="11"/>
  <c r="CN18" i="11"/>
  <c r="CV18" i="11"/>
  <c r="DD18" i="11"/>
  <c r="DL18" i="11"/>
  <c r="DT18" i="11"/>
  <c r="EB18" i="11"/>
  <c r="EJ18" i="11"/>
  <c r="ER18" i="11"/>
  <c r="EZ18" i="11"/>
  <c r="E19" i="11"/>
  <c r="M19" i="11"/>
  <c r="U19" i="11"/>
  <c r="AC19" i="11"/>
  <c r="AK19" i="11"/>
  <c r="AS19" i="11"/>
  <c r="BA19" i="11"/>
  <c r="BI19" i="11"/>
  <c r="BQ19" i="11"/>
  <c r="BY19" i="11"/>
  <c r="CG19" i="11"/>
  <c r="CO19" i="11"/>
  <c r="CW19" i="11"/>
  <c r="DE19" i="11"/>
  <c r="DM19" i="11"/>
  <c r="DU19" i="11"/>
  <c r="EC19" i="11"/>
  <c r="EK19" i="11"/>
  <c r="ES19" i="11"/>
  <c r="FA19" i="11"/>
  <c r="F20" i="11"/>
  <c r="N20" i="11"/>
  <c r="V20" i="11"/>
  <c r="AD20" i="11"/>
  <c r="AL20" i="11"/>
  <c r="AT20" i="11"/>
  <c r="BB20" i="11"/>
  <c r="BJ20" i="11"/>
  <c r="BR20" i="11"/>
  <c r="CR10" i="11"/>
  <c r="EM12" i="11"/>
  <c r="BQ13" i="11"/>
  <c r="EY13" i="11"/>
  <c r="BK14" i="11"/>
  <c r="DW14" i="11"/>
  <c r="AF15" i="11"/>
  <c r="CR15" i="11"/>
  <c r="EN15" i="11"/>
  <c r="I16" i="11"/>
  <c r="AE16" i="11"/>
  <c r="AY16" i="11"/>
  <c r="BU16" i="11"/>
  <c r="CM16" i="11"/>
  <c r="DC16" i="11"/>
  <c r="DS16" i="11"/>
  <c r="EE16" i="11"/>
  <c r="EP16" i="11"/>
  <c r="EZ16" i="11"/>
  <c r="H17" i="11"/>
  <c r="S17" i="11"/>
  <c r="AC17" i="11"/>
  <c r="AN17" i="11"/>
  <c r="AY17" i="11"/>
  <c r="BI17" i="11"/>
  <c r="BT17" i="11"/>
  <c r="CE17" i="11"/>
  <c r="CN17" i="11"/>
  <c r="CV17" i="11"/>
  <c r="DD17" i="11"/>
  <c r="DL17" i="11"/>
  <c r="DT17" i="11"/>
  <c r="EB17" i="11"/>
  <c r="EJ17" i="11"/>
  <c r="ER17" i="11"/>
  <c r="EZ17" i="11"/>
  <c r="E18" i="11"/>
  <c r="M18" i="11"/>
  <c r="U18" i="11"/>
  <c r="AC18" i="11"/>
  <c r="AK18" i="11"/>
  <c r="AS18" i="11"/>
  <c r="BA18" i="11"/>
  <c r="BI18" i="11"/>
  <c r="BQ18" i="11"/>
  <c r="BY18" i="11"/>
  <c r="CG18" i="11"/>
  <c r="CO18" i="11"/>
  <c r="CW18" i="11"/>
  <c r="DE18" i="11"/>
  <c r="DM18" i="11"/>
  <c r="DU18" i="11"/>
  <c r="EC18" i="11"/>
  <c r="EK18" i="11"/>
  <c r="ES18" i="11"/>
  <c r="FA18" i="11"/>
  <c r="F19" i="11"/>
  <c r="N19" i="11"/>
  <c r="V19" i="11"/>
  <c r="AD19" i="11"/>
  <c r="AL19" i="11"/>
  <c r="AT19" i="11"/>
  <c r="BB19" i="11"/>
  <c r="BJ19" i="11"/>
  <c r="BR19" i="11"/>
  <c r="BZ19" i="11"/>
  <c r="CH19" i="11"/>
  <c r="CP19" i="11"/>
  <c r="CX19" i="11"/>
  <c r="DF19" i="11"/>
  <c r="DN19" i="11"/>
  <c r="DV19" i="11"/>
  <c r="ED19" i="11"/>
  <c r="EL19" i="11"/>
  <c r="ET19" i="11"/>
  <c r="FB19" i="11"/>
  <c r="G20" i="11"/>
  <c r="O20" i="11"/>
  <c r="W20" i="11"/>
  <c r="AE20" i="11"/>
  <c r="AM20" i="11"/>
  <c r="AU20" i="11"/>
  <c r="BC20" i="11"/>
  <c r="BK20" i="11"/>
  <c r="FD10" i="11"/>
  <c r="EX12" i="11"/>
  <c r="CB13" i="11"/>
  <c r="F14" i="11"/>
  <c r="BS14" i="11"/>
  <c r="EE14" i="11"/>
  <c r="AN15" i="11"/>
  <c r="CZ15" i="11"/>
  <c r="ET15" i="11"/>
  <c r="K16" i="11"/>
  <c r="AG16" i="11"/>
  <c r="BC16" i="11"/>
  <c r="BW16" i="11"/>
  <c r="CN16" i="11"/>
  <c r="DD16" i="11"/>
  <c r="DT16" i="11"/>
  <c r="EG16" i="11"/>
  <c r="EQ16" i="11"/>
  <c r="FA16" i="11"/>
  <c r="J17" i="11"/>
  <c r="T17" i="11"/>
  <c r="AD17" i="11"/>
  <c r="AP17" i="11"/>
  <c r="AZ17" i="11"/>
  <c r="BJ17" i="11"/>
  <c r="BV17" i="11"/>
  <c r="CF17" i="11"/>
  <c r="CO17" i="11"/>
  <c r="CW17" i="11"/>
  <c r="DE17" i="11"/>
  <c r="DM17" i="11"/>
  <c r="DU17" i="11"/>
  <c r="EC17" i="11"/>
  <c r="EK17" i="11"/>
  <c r="ES17" i="11"/>
  <c r="FA17" i="11"/>
  <c r="F18" i="11"/>
  <c r="N18" i="11"/>
  <c r="V18" i="11"/>
  <c r="AD18" i="11"/>
  <c r="AL18" i="11"/>
  <c r="AT18" i="11"/>
  <c r="BB18" i="11"/>
  <c r="BJ18" i="11"/>
  <c r="BR18" i="11"/>
  <c r="BZ18" i="11"/>
  <c r="CH18" i="11"/>
  <c r="CP18" i="11"/>
  <c r="CX18" i="11"/>
  <c r="DF18" i="11"/>
  <c r="DN18" i="11"/>
  <c r="DV18" i="11"/>
  <c r="ED18" i="11"/>
  <c r="EL18" i="11"/>
  <c r="ET18" i="11"/>
  <c r="FB18" i="11"/>
  <c r="G19" i="11"/>
  <c r="O19" i="11"/>
  <c r="W19" i="11"/>
  <c r="AE19" i="11"/>
  <c r="AM19" i="11"/>
  <c r="AU19" i="11"/>
  <c r="BC19" i="11"/>
  <c r="BK19" i="11"/>
  <c r="BS19" i="11"/>
  <c r="CA19" i="11"/>
  <c r="CI19" i="11"/>
  <c r="CQ19" i="11"/>
  <c r="CY19" i="11"/>
  <c r="DG19" i="11"/>
  <c r="DO19" i="11"/>
  <c r="DW19" i="11"/>
  <c r="EE19" i="11"/>
  <c r="EM19" i="11"/>
  <c r="EU19" i="11"/>
  <c r="FC19" i="11"/>
  <c r="H20" i="11"/>
  <c r="P20" i="11"/>
  <c r="X20" i="11"/>
  <c r="AF20" i="11"/>
  <c r="AN20" i="11"/>
  <c r="AV20" i="11"/>
  <c r="BD20" i="11"/>
  <c r="BL20" i="11"/>
  <c r="BT20" i="11"/>
  <c r="BM11" i="11"/>
  <c r="E13" i="11"/>
  <c r="CM13" i="11"/>
  <c r="O14" i="11"/>
  <c r="CA14" i="11"/>
  <c r="EM14" i="11"/>
  <c r="AV15" i="11"/>
  <c r="DH15" i="11"/>
  <c r="EV15" i="11"/>
  <c r="O16" i="11"/>
  <c r="AI16" i="11"/>
  <c r="BE16" i="11"/>
  <c r="CA16" i="11"/>
  <c r="CQ16" i="11"/>
  <c r="DG16" i="11"/>
  <c r="DW16" i="11"/>
  <c r="EH16" i="11"/>
  <c r="ER16" i="11"/>
  <c r="FC16" i="11"/>
  <c r="K17" i="11"/>
  <c r="U17" i="11"/>
  <c r="AF17" i="11"/>
  <c r="AQ17" i="11"/>
  <c r="BA17" i="11"/>
  <c r="BL17" i="11"/>
  <c r="BW17" i="11"/>
  <c r="CG17" i="11"/>
  <c r="CP17" i="11"/>
  <c r="CX17" i="11"/>
  <c r="DF17" i="11"/>
  <c r="DN17" i="11"/>
  <c r="DV17" i="11"/>
  <c r="ED17" i="11"/>
  <c r="EL17" i="11"/>
  <c r="ET17" i="11"/>
  <c r="FB17" i="11"/>
  <c r="G18" i="11"/>
  <c r="O18" i="11"/>
  <c r="W18" i="11"/>
  <c r="AE18" i="11"/>
  <c r="AM18" i="11"/>
  <c r="AU18" i="11"/>
  <c r="BC18" i="11"/>
  <c r="BK18" i="11"/>
  <c r="BS18" i="11"/>
  <c r="CA18" i="11"/>
  <c r="CI18" i="11"/>
  <c r="CQ18" i="11"/>
  <c r="CY18" i="11"/>
  <c r="DG18" i="11"/>
  <c r="DO18" i="11"/>
  <c r="DW18" i="11"/>
  <c r="EE18" i="11"/>
  <c r="EM18" i="11"/>
  <c r="EU18" i="11"/>
  <c r="FC18" i="11"/>
  <c r="H19" i="11"/>
  <c r="P19" i="11"/>
  <c r="X19" i="11"/>
  <c r="AF19" i="11"/>
  <c r="AN19" i="11"/>
  <c r="AV19" i="11"/>
  <c r="BD19" i="11"/>
  <c r="BL19" i="11"/>
  <c r="BT19" i="11"/>
  <c r="CB19" i="11"/>
  <c r="CJ19" i="11"/>
  <c r="CR19" i="11"/>
  <c r="CZ19" i="11"/>
  <c r="DH19" i="11"/>
  <c r="DP19" i="11"/>
  <c r="DX19" i="11"/>
  <c r="EF19" i="11"/>
  <c r="EN19" i="11"/>
  <c r="EV19" i="11"/>
  <c r="FD19" i="11"/>
  <c r="I20" i="11"/>
  <c r="Q20" i="11"/>
  <c r="Y20" i="11"/>
  <c r="AG20" i="11"/>
  <c r="AO20" i="11"/>
  <c r="AW20" i="11"/>
  <c r="BE20" i="11"/>
  <c r="BM20" i="11"/>
  <c r="BU20" i="11"/>
  <c r="DY11" i="11"/>
  <c r="EX15" i="11"/>
  <c r="EI16" i="11"/>
  <c r="BN17" i="11"/>
  <c r="EE17" i="11"/>
  <c r="AN18" i="11"/>
  <c r="CZ18" i="11"/>
  <c r="I19" i="11"/>
  <c r="BU19" i="11"/>
  <c r="EG19" i="11"/>
  <c r="M20" i="11"/>
  <c r="AS20" i="11"/>
  <c r="BS20" i="11"/>
  <c r="CC20" i="11"/>
  <c r="CK20" i="11"/>
  <c r="CS20" i="11"/>
  <c r="DA20" i="11"/>
  <c r="DI20" i="11"/>
  <c r="DQ20" i="11"/>
  <c r="DY20" i="11"/>
  <c r="EG20" i="11"/>
  <c r="EO20" i="11"/>
  <c r="EW20" i="11"/>
  <c r="FE20" i="11"/>
  <c r="J21" i="11"/>
  <c r="R21" i="11"/>
  <c r="Z21" i="11"/>
  <c r="AH21" i="11"/>
  <c r="AP21" i="11"/>
  <c r="AX21" i="11"/>
  <c r="BF21" i="11"/>
  <c r="BN21" i="11"/>
  <c r="BV21" i="11"/>
  <c r="CD21" i="11"/>
  <c r="CL21" i="11"/>
  <c r="CT21" i="11"/>
  <c r="DB21" i="11"/>
  <c r="DJ21" i="11"/>
  <c r="DR21" i="11"/>
  <c r="DZ21" i="11"/>
  <c r="EH21" i="11"/>
  <c r="EP21" i="11"/>
  <c r="EX21" i="11"/>
  <c r="C22" i="11"/>
  <c r="K22" i="11"/>
  <c r="S22" i="11"/>
  <c r="AA22" i="11"/>
  <c r="AI22" i="11"/>
  <c r="AQ22" i="11"/>
  <c r="AY22" i="11"/>
  <c r="BG22" i="11"/>
  <c r="BO22" i="11"/>
  <c r="BW22" i="11"/>
  <c r="CE22" i="11"/>
  <c r="CM22" i="11"/>
  <c r="CU22" i="11"/>
  <c r="DC22" i="11"/>
  <c r="DK22" i="11"/>
  <c r="DS22" i="11"/>
  <c r="EA22" i="11"/>
  <c r="EI22" i="11"/>
  <c r="EQ22" i="11"/>
  <c r="EY22" i="11"/>
  <c r="D23" i="11"/>
  <c r="L23" i="11"/>
  <c r="T23" i="11"/>
  <c r="AB23" i="11"/>
  <c r="AJ23" i="11"/>
  <c r="AR23" i="11"/>
  <c r="AZ23" i="11"/>
  <c r="BH23" i="11"/>
  <c r="BP23" i="11"/>
  <c r="BX23" i="11"/>
  <c r="CF23" i="11"/>
  <c r="CN23" i="11"/>
  <c r="CV23" i="11"/>
  <c r="DD23" i="11"/>
  <c r="DL23" i="11"/>
  <c r="DT23" i="11"/>
  <c r="EB23" i="11"/>
  <c r="EJ23" i="11"/>
  <c r="ER23" i="11"/>
  <c r="EZ23" i="11"/>
  <c r="E24" i="11"/>
  <c r="M24" i="11"/>
  <c r="U24" i="11"/>
  <c r="AC24" i="11"/>
  <c r="AK24" i="11"/>
  <c r="AS24" i="11"/>
  <c r="BA24" i="11"/>
  <c r="BI24" i="11"/>
  <c r="BQ24" i="11"/>
  <c r="BY24" i="11"/>
  <c r="CG24" i="11"/>
  <c r="CO24" i="11"/>
  <c r="CW24" i="11"/>
  <c r="DE24" i="11"/>
  <c r="P13" i="11"/>
  <c r="Q16" i="11"/>
  <c r="ES16" i="11"/>
  <c r="BX17" i="11"/>
  <c r="EM17" i="11"/>
  <c r="AV18" i="11"/>
  <c r="DH18" i="11"/>
  <c r="Q19" i="11"/>
  <c r="CC19" i="11"/>
  <c r="EO19" i="11"/>
  <c r="R20" i="11"/>
  <c r="AX20" i="11"/>
  <c r="BV20" i="11"/>
  <c r="CD20" i="11"/>
  <c r="CL20" i="11"/>
  <c r="CT20" i="11"/>
  <c r="DB20" i="11"/>
  <c r="DJ20" i="11"/>
  <c r="DR20" i="11"/>
  <c r="DZ20" i="11"/>
  <c r="EH20" i="11"/>
  <c r="EP20" i="11"/>
  <c r="EX20" i="11"/>
  <c r="C21" i="11"/>
  <c r="K21" i="11"/>
  <c r="S21" i="11"/>
  <c r="AA21" i="11"/>
  <c r="AI21" i="11"/>
  <c r="AQ21" i="11"/>
  <c r="AY21" i="11"/>
  <c r="BG21" i="11"/>
  <c r="BO21" i="11"/>
  <c r="BW21" i="11"/>
  <c r="CE21" i="11"/>
  <c r="CM21" i="11"/>
  <c r="CU21" i="11"/>
  <c r="DC21" i="11"/>
  <c r="DK21" i="11"/>
  <c r="DS21" i="11"/>
  <c r="EA21" i="11"/>
  <c r="EI21" i="11"/>
  <c r="EQ21" i="11"/>
  <c r="EY21" i="11"/>
  <c r="D22" i="11"/>
  <c r="L22" i="11"/>
  <c r="T22" i="11"/>
  <c r="AB22" i="11"/>
  <c r="AJ22" i="11"/>
  <c r="AR22" i="11"/>
  <c r="AZ22" i="11"/>
  <c r="BH22" i="11"/>
  <c r="BP22" i="11"/>
  <c r="BX22" i="11"/>
  <c r="CF22" i="11"/>
  <c r="CN22" i="11"/>
  <c r="CV22" i="11"/>
  <c r="DD22" i="11"/>
  <c r="DL22" i="11"/>
  <c r="DT22" i="11"/>
  <c r="EB22" i="11"/>
  <c r="EJ22" i="11"/>
  <c r="ER22" i="11"/>
  <c r="EZ22" i="11"/>
  <c r="E23" i="11"/>
  <c r="M23" i="11"/>
  <c r="U23" i="11"/>
  <c r="AC23" i="11"/>
  <c r="AK23" i="11"/>
  <c r="AS23" i="11"/>
  <c r="BA23" i="11"/>
  <c r="BI23" i="11"/>
  <c r="BQ23" i="11"/>
  <c r="BY23" i="11"/>
  <c r="CG23" i="11"/>
  <c r="CO23" i="11"/>
  <c r="CW23" i="11"/>
  <c r="DE23" i="11"/>
  <c r="DM23" i="11"/>
  <c r="DU23" i="11"/>
  <c r="EC23" i="11"/>
  <c r="EK23" i="11"/>
  <c r="ES23" i="11"/>
  <c r="FA23" i="11"/>
  <c r="F24" i="11"/>
  <c r="N24" i="11"/>
  <c r="CW13" i="11"/>
  <c r="AM16" i="11"/>
  <c r="FE16" i="11"/>
  <c r="CH17" i="11"/>
  <c r="EU17" i="11"/>
  <c r="BD18" i="11"/>
  <c r="DP18" i="11"/>
  <c r="Y19" i="11"/>
  <c r="CK19" i="11"/>
  <c r="ER19" i="11"/>
  <c r="U20" i="11"/>
  <c r="BA20" i="11"/>
  <c r="BW20" i="11"/>
  <c r="CE20" i="11"/>
  <c r="CM20" i="11"/>
  <c r="CU20" i="11"/>
  <c r="DC20" i="11"/>
  <c r="DK20" i="11"/>
  <c r="DS20" i="11"/>
  <c r="EA20" i="11"/>
  <c r="EI20" i="11"/>
  <c r="EQ20" i="11"/>
  <c r="EY20" i="11"/>
  <c r="D21" i="11"/>
  <c r="L21" i="11"/>
  <c r="T21" i="11"/>
  <c r="AB21" i="11"/>
  <c r="AJ21" i="11"/>
  <c r="AR21" i="11"/>
  <c r="AZ21" i="11"/>
  <c r="BH21" i="11"/>
  <c r="BP21" i="11"/>
  <c r="BX21" i="11"/>
  <c r="CF21" i="11"/>
  <c r="CN21" i="11"/>
  <c r="CV21" i="11"/>
  <c r="DD21" i="11"/>
  <c r="DL21" i="11"/>
  <c r="DT21" i="11"/>
  <c r="EB21" i="11"/>
  <c r="EJ21" i="11"/>
  <c r="ER21" i="11"/>
  <c r="EZ21" i="11"/>
  <c r="E22" i="11"/>
  <c r="M22" i="11"/>
  <c r="U22" i="11"/>
  <c r="AC22" i="11"/>
  <c r="AK22" i="11"/>
  <c r="AS22" i="11"/>
  <c r="BA22" i="11"/>
  <c r="BI22" i="11"/>
  <c r="BQ22" i="11"/>
  <c r="BY22" i="11"/>
  <c r="CG22" i="11"/>
  <c r="CO22" i="11"/>
  <c r="CW22" i="11"/>
  <c r="DE22" i="11"/>
  <c r="DM22" i="11"/>
  <c r="DU22" i="11"/>
  <c r="EC22" i="11"/>
  <c r="EK22" i="11"/>
  <c r="ES22" i="11"/>
  <c r="FA22" i="11"/>
  <c r="F23" i="11"/>
  <c r="N23" i="11"/>
  <c r="V23" i="11"/>
  <c r="AD23" i="11"/>
  <c r="AL23" i="11"/>
  <c r="AT23" i="11"/>
  <c r="BB23" i="11"/>
  <c r="BJ23" i="11"/>
  <c r="BR23" i="11"/>
  <c r="BZ23" i="11"/>
  <c r="CH23" i="11"/>
  <c r="CP23" i="11"/>
  <c r="CX23" i="11"/>
  <c r="DF23" i="11"/>
  <c r="DN23" i="11"/>
  <c r="DV23" i="11"/>
  <c r="ED23" i="11"/>
  <c r="EL23" i="11"/>
  <c r="ET23" i="11"/>
  <c r="FB23" i="11"/>
  <c r="G24" i="11"/>
  <c r="O24" i="11"/>
  <c r="W24" i="11"/>
  <c r="AE24" i="11"/>
  <c r="AM24" i="11"/>
  <c r="AU24" i="11"/>
  <c r="BC24" i="11"/>
  <c r="BK24" i="11"/>
  <c r="BS24" i="11"/>
  <c r="CA24" i="11"/>
  <c r="CI24" i="11"/>
  <c r="CQ24" i="11"/>
  <c r="CY24" i="11"/>
  <c r="DG24" i="11"/>
  <c r="DO24" i="11"/>
  <c r="W14" i="11"/>
  <c r="BG16" i="11"/>
  <c r="L17" i="11"/>
  <c r="CQ17" i="11"/>
  <c r="FC17" i="11"/>
  <c r="BL18" i="11"/>
  <c r="DX18" i="11"/>
  <c r="AG19" i="11"/>
  <c r="CS19" i="11"/>
  <c r="EW19" i="11"/>
  <c r="Z20" i="11"/>
  <c r="BF20" i="11"/>
  <c r="BX20" i="11"/>
  <c r="CF20" i="11"/>
  <c r="CN20" i="11"/>
  <c r="CV20" i="11"/>
  <c r="DD20" i="11"/>
  <c r="DL20" i="11"/>
  <c r="DT20" i="11"/>
  <c r="EB20" i="11"/>
  <c r="EJ20" i="11"/>
  <c r="ER20" i="11"/>
  <c r="EZ20" i="11"/>
  <c r="E21" i="11"/>
  <c r="M21" i="11"/>
  <c r="U21" i="11"/>
  <c r="AC21" i="11"/>
  <c r="AK21" i="11"/>
  <c r="AS21" i="11"/>
  <c r="BA21" i="11"/>
  <c r="BI21" i="11"/>
  <c r="BQ21" i="11"/>
  <c r="BY21" i="11"/>
  <c r="CG21" i="11"/>
  <c r="CO21" i="11"/>
  <c r="CW21" i="11"/>
  <c r="DE21" i="11"/>
  <c r="DM21" i="11"/>
  <c r="DU21" i="11"/>
  <c r="EC21" i="11"/>
  <c r="EK21" i="11"/>
  <c r="ES21" i="11"/>
  <c r="FA21" i="11"/>
  <c r="F22" i="11"/>
  <c r="N22" i="11"/>
  <c r="V22" i="11"/>
  <c r="AD22" i="11"/>
  <c r="AL22" i="11"/>
  <c r="AT22" i="11"/>
  <c r="BB22" i="11"/>
  <c r="BJ22" i="11"/>
  <c r="BR22" i="11"/>
  <c r="BZ22" i="11"/>
  <c r="CH22" i="11"/>
  <c r="CP22" i="11"/>
  <c r="CX22" i="11"/>
  <c r="DF22" i="11"/>
  <c r="DN22" i="11"/>
  <c r="DV22" i="11"/>
  <c r="ED22" i="11"/>
  <c r="EL22" i="11"/>
  <c r="ET22" i="11"/>
  <c r="FB22" i="11"/>
  <c r="G23" i="11"/>
  <c r="O23" i="11"/>
  <c r="W23" i="11"/>
  <c r="AE23" i="11"/>
  <c r="AM23" i="11"/>
  <c r="AU23" i="11"/>
  <c r="BC23" i="11"/>
  <c r="BK23" i="11"/>
  <c r="BS23" i="11"/>
  <c r="CA23" i="11"/>
  <c r="CI23" i="11"/>
  <c r="CQ23" i="11"/>
  <c r="CY23" i="11"/>
  <c r="DG23" i="11"/>
  <c r="CI14" i="11"/>
  <c r="CC16" i="11"/>
  <c r="V17" i="11"/>
  <c r="CY17" i="11"/>
  <c r="H18" i="11"/>
  <c r="BT18" i="11"/>
  <c r="EF18" i="11"/>
  <c r="AO19" i="11"/>
  <c r="DA19" i="11"/>
  <c r="EZ19" i="11"/>
  <c r="AC20" i="11"/>
  <c r="BI20" i="11"/>
  <c r="BY20" i="11"/>
  <c r="CG20" i="11"/>
  <c r="CO20" i="11"/>
  <c r="CW20" i="11"/>
  <c r="DE20" i="11"/>
  <c r="DM20" i="11"/>
  <c r="DU20" i="11"/>
  <c r="EC20" i="11"/>
  <c r="EK20" i="11"/>
  <c r="ES20" i="11"/>
  <c r="FA20" i="11"/>
  <c r="F21" i="11"/>
  <c r="N21" i="11"/>
  <c r="V21" i="11"/>
  <c r="AD21" i="11"/>
  <c r="AL21" i="11"/>
  <c r="AT21" i="11"/>
  <c r="BB21" i="11"/>
  <c r="BJ21" i="11"/>
  <c r="BR21" i="11"/>
  <c r="BZ21" i="11"/>
  <c r="CH21" i="11"/>
  <c r="CP21" i="11"/>
  <c r="CX21" i="11"/>
  <c r="DF21" i="11"/>
  <c r="DN21" i="11"/>
  <c r="DV21" i="11"/>
  <c r="ED21" i="11"/>
  <c r="EL21" i="11"/>
  <c r="ET21" i="11"/>
  <c r="FB21" i="11"/>
  <c r="G22" i="11"/>
  <c r="O22" i="11"/>
  <c r="W22" i="11"/>
  <c r="AE22" i="11"/>
  <c r="AM22" i="11"/>
  <c r="AU22" i="11"/>
  <c r="BC22" i="11"/>
  <c r="BK22" i="11"/>
  <c r="BS22" i="11"/>
  <c r="CA22" i="11"/>
  <c r="CI22" i="11"/>
  <c r="CQ22" i="11"/>
  <c r="CY22" i="11"/>
  <c r="DG22" i="11"/>
  <c r="DO22" i="11"/>
  <c r="DW22" i="11"/>
  <c r="EE22" i="11"/>
  <c r="EM22" i="11"/>
  <c r="EU22" i="11"/>
  <c r="FC22" i="11"/>
  <c r="H23" i="11"/>
  <c r="P23" i="11"/>
  <c r="X23" i="11"/>
  <c r="AF23" i="11"/>
  <c r="AN23" i="11"/>
  <c r="AV23" i="11"/>
  <c r="BD23" i="11"/>
  <c r="BL23" i="11"/>
  <c r="BT23" i="11"/>
  <c r="CB23" i="11"/>
  <c r="CJ23" i="11"/>
  <c r="CR23" i="11"/>
  <c r="CZ23" i="11"/>
  <c r="DH23" i="11"/>
  <c r="DP23" i="11"/>
  <c r="DX23" i="11"/>
  <c r="EF23" i="11"/>
  <c r="EN23" i="11"/>
  <c r="EV23" i="11"/>
  <c r="FD23" i="11"/>
  <c r="I24" i="11"/>
  <c r="Q24" i="11"/>
  <c r="Y24" i="11"/>
  <c r="AG24" i="11"/>
  <c r="AO24" i="11"/>
  <c r="AW24" i="11"/>
  <c r="BE24" i="11"/>
  <c r="BM24" i="11"/>
  <c r="BU24" i="11"/>
  <c r="CC24" i="11"/>
  <c r="CK24" i="11"/>
  <c r="CS24" i="11"/>
  <c r="DA24" i="11"/>
  <c r="DI24" i="11"/>
  <c r="DQ24" i="11"/>
  <c r="DY24" i="11"/>
  <c r="EG24" i="11"/>
  <c r="EO24" i="11"/>
  <c r="EW24" i="11"/>
  <c r="FE24" i="11"/>
  <c r="J4" i="11"/>
  <c r="R4" i="11"/>
  <c r="EU14" i="11"/>
  <c r="CS16" i="11"/>
  <c r="AH17" i="11"/>
  <c r="DG17" i="11"/>
  <c r="P18" i="11"/>
  <c r="CB18" i="11"/>
  <c r="EN18" i="11"/>
  <c r="AW19" i="11"/>
  <c r="DI19" i="11"/>
  <c r="FE19" i="11"/>
  <c r="AH20" i="11"/>
  <c r="BN20" i="11"/>
  <c r="BZ20" i="11"/>
  <c r="CH20" i="11"/>
  <c r="CP20" i="11"/>
  <c r="CX20" i="11"/>
  <c r="DF20" i="11"/>
  <c r="DN20" i="11"/>
  <c r="DV20" i="11"/>
  <c r="ED20" i="11"/>
  <c r="EL20" i="11"/>
  <c r="ET20" i="11"/>
  <c r="FB20" i="11"/>
  <c r="G21" i="11"/>
  <c r="O21" i="11"/>
  <c r="W21" i="11"/>
  <c r="AE21" i="11"/>
  <c r="AM21" i="11"/>
  <c r="AU21" i="11"/>
  <c r="BC21" i="11"/>
  <c r="BK21" i="11"/>
  <c r="BS21" i="11"/>
  <c r="CA21" i="11"/>
  <c r="CI21" i="11"/>
  <c r="CQ21" i="11"/>
  <c r="CY21" i="11"/>
  <c r="DG21" i="11"/>
  <c r="DO21" i="11"/>
  <c r="DW21" i="11"/>
  <c r="EE21" i="11"/>
  <c r="EM21" i="11"/>
  <c r="EU21" i="11"/>
  <c r="FC21" i="11"/>
  <c r="H22" i="11"/>
  <c r="P22" i="11"/>
  <c r="X22" i="11"/>
  <c r="AF22" i="11"/>
  <c r="AN22" i="11"/>
  <c r="AV22" i="11"/>
  <c r="BD22" i="11"/>
  <c r="BL22" i="11"/>
  <c r="BT22" i="11"/>
  <c r="CB22" i="11"/>
  <c r="CJ22" i="11"/>
  <c r="CR22" i="11"/>
  <c r="CZ22" i="11"/>
  <c r="DH22" i="11"/>
  <c r="DP22" i="11"/>
  <c r="DX22" i="11"/>
  <c r="EF22" i="11"/>
  <c r="EN22" i="11"/>
  <c r="EV22" i="11"/>
  <c r="FD22" i="11"/>
  <c r="I23" i="11"/>
  <c r="Q23" i="11"/>
  <c r="Y23" i="11"/>
  <c r="AG23" i="11"/>
  <c r="AO23" i="11"/>
  <c r="AW23" i="11"/>
  <c r="BE23" i="11"/>
  <c r="BM23" i="11"/>
  <c r="BU23" i="11"/>
  <c r="CC23" i="11"/>
  <c r="CK23" i="11"/>
  <c r="CS23" i="11"/>
  <c r="DA23" i="11"/>
  <c r="DI23" i="11"/>
  <c r="DQ23" i="11"/>
  <c r="DY23" i="11"/>
  <c r="EG23" i="11"/>
  <c r="EO23" i="11"/>
  <c r="EW23" i="11"/>
  <c r="FE23" i="11"/>
  <c r="J24" i="11"/>
  <c r="R24" i="11"/>
  <c r="Z24" i="11"/>
  <c r="BD15" i="11"/>
  <c r="DI16" i="11"/>
  <c r="AR17" i="11"/>
  <c r="DO17" i="11"/>
  <c r="X18" i="11"/>
  <c r="CJ18" i="11"/>
  <c r="EV18" i="11"/>
  <c r="BE19" i="11"/>
  <c r="DQ19" i="11"/>
  <c r="E20" i="11"/>
  <c r="AK20" i="11"/>
  <c r="BP20" i="11"/>
  <c r="CA20" i="11"/>
  <c r="CI20" i="11"/>
  <c r="CQ20" i="11"/>
  <c r="CY20" i="11"/>
  <c r="DG20" i="11"/>
  <c r="DO20" i="11"/>
  <c r="DW20" i="11"/>
  <c r="EE20" i="11"/>
  <c r="EM20" i="11"/>
  <c r="EU20" i="11"/>
  <c r="FC20" i="11"/>
  <c r="H21" i="11"/>
  <c r="P21" i="11"/>
  <c r="X21" i="11"/>
  <c r="AF21" i="11"/>
  <c r="AN21" i="11"/>
  <c r="AV21" i="11"/>
  <c r="BD21" i="11"/>
  <c r="BL21" i="11"/>
  <c r="BT21" i="11"/>
  <c r="CB21" i="11"/>
  <c r="CJ21" i="11"/>
  <c r="CR21" i="11"/>
  <c r="CZ21" i="11"/>
  <c r="DH21" i="11"/>
  <c r="DP21" i="11"/>
  <c r="DX21" i="11"/>
  <c r="EF21" i="11"/>
  <c r="EN21" i="11"/>
  <c r="EV21" i="11"/>
  <c r="FD21" i="11"/>
  <c r="I22" i="11"/>
  <c r="Q22" i="11"/>
  <c r="Y22" i="11"/>
  <c r="AG22" i="11"/>
  <c r="AO22" i="11"/>
  <c r="AW22" i="11"/>
  <c r="BE22" i="11"/>
  <c r="BM22" i="11"/>
  <c r="BU22" i="11"/>
  <c r="CC22" i="11"/>
  <c r="CK22" i="11"/>
  <c r="CS22" i="11"/>
  <c r="DA22" i="11"/>
  <c r="DI22" i="11"/>
  <c r="DQ22" i="11"/>
  <c r="DY22" i="11"/>
  <c r="EG22" i="11"/>
  <c r="EO22" i="11"/>
  <c r="EW22" i="11"/>
  <c r="FE22" i="11"/>
  <c r="J23" i="11"/>
  <c r="R23" i="11"/>
  <c r="Z23" i="11"/>
  <c r="AH23" i="11"/>
  <c r="AP23" i="11"/>
  <c r="AX23" i="11"/>
  <c r="BF23" i="11"/>
  <c r="BN23" i="11"/>
  <c r="BV23" i="11"/>
  <c r="CD23" i="11"/>
  <c r="CL23" i="11"/>
  <c r="CT23" i="11"/>
  <c r="DB23" i="11"/>
  <c r="DJ23" i="11"/>
  <c r="DR23" i="11"/>
  <c r="DZ23" i="11"/>
  <c r="EH23" i="11"/>
  <c r="EP23" i="11"/>
  <c r="EX23" i="11"/>
  <c r="C24" i="11"/>
  <c r="K24" i="11"/>
  <c r="S24" i="11"/>
  <c r="AA24" i="11"/>
  <c r="AI24" i="11"/>
  <c r="AQ24" i="11"/>
  <c r="AY24" i="11"/>
  <c r="BG24" i="11"/>
  <c r="BO24" i="11"/>
  <c r="BW24" i="11"/>
  <c r="CE24" i="11"/>
  <c r="CM24" i="11"/>
  <c r="CU24" i="11"/>
  <c r="DC24" i="11"/>
  <c r="DK24" i="11"/>
  <c r="DS24" i="11"/>
  <c r="EA24" i="11"/>
  <c r="EI24" i="11"/>
  <c r="EQ24" i="11"/>
  <c r="EY24" i="11"/>
  <c r="D4" i="11"/>
  <c r="L4" i="11"/>
  <c r="T4" i="11"/>
  <c r="DR4" i="11"/>
  <c r="DB4" i="11"/>
  <c r="BN4" i="11"/>
  <c r="AH4" i="11"/>
  <c r="EX24" i="11"/>
  <c r="DR24" i="11"/>
  <c r="BH24" i="11"/>
  <c r="DW23" i="11"/>
  <c r="K23" i="11"/>
  <c r="BM19" i="11"/>
  <c r="K6" i="12"/>
  <c r="S6" i="12"/>
  <c r="AA6" i="12"/>
  <c r="AI6" i="12"/>
  <c r="F7" i="12"/>
  <c r="N7" i="12"/>
  <c r="V7" i="12"/>
  <c r="AD7" i="12"/>
  <c r="AL7" i="12"/>
  <c r="I8" i="12"/>
  <c r="Q8" i="12"/>
  <c r="Y8" i="12"/>
  <c r="AG8" i="12"/>
  <c r="AO8" i="12"/>
  <c r="L9" i="12"/>
  <c r="L6" i="12"/>
  <c r="T6" i="12"/>
  <c r="AB6" i="12"/>
  <c r="AJ6" i="12"/>
  <c r="G7" i="12"/>
  <c r="O7" i="12"/>
  <c r="W7" i="12"/>
  <c r="AE7" i="12"/>
  <c r="AM7" i="12"/>
  <c r="J8" i="12"/>
  <c r="R8" i="12"/>
  <c r="Z8" i="12"/>
  <c r="AH8" i="12"/>
  <c r="AP8" i="12"/>
  <c r="M9" i="12"/>
  <c r="U9" i="12"/>
  <c r="AC9" i="12"/>
  <c r="AK9" i="12"/>
  <c r="H10" i="12"/>
  <c r="P10" i="12"/>
  <c r="X10" i="12"/>
  <c r="AF10" i="12"/>
  <c r="AN10" i="12"/>
  <c r="K11" i="12"/>
  <c r="S11" i="12"/>
  <c r="AA11" i="12"/>
  <c r="AI11" i="12"/>
  <c r="F12" i="12"/>
  <c r="N12" i="12"/>
  <c r="V12" i="12"/>
  <c r="AD12" i="12"/>
  <c r="AL12" i="12"/>
  <c r="I13" i="12"/>
  <c r="Q13" i="12"/>
  <c r="Y13" i="12"/>
  <c r="AG13" i="12"/>
  <c r="AO13" i="12"/>
  <c r="L14" i="12"/>
  <c r="T14" i="12"/>
  <c r="AB14" i="12"/>
  <c r="AJ14" i="12"/>
  <c r="G15" i="12"/>
  <c r="O15" i="12"/>
  <c r="W15" i="12"/>
  <c r="AE15" i="12"/>
  <c r="AM15" i="12"/>
  <c r="J16" i="12"/>
  <c r="R16" i="12"/>
  <c r="Z16" i="12"/>
  <c r="AH16" i="12"/>
  <c r="M6" i="12"/>
  <c r="U6" i="12"/>
  <c r="AC6" i="12"/>
  <c r="AK6" i="12"/>
  <c r="H7" i="12"/>
  <c r="P7" i="12"/>
  <c r="X7" i="12"/>
  <c r="AF7" i="12"/>
  <c r="AN7" i="12"/>
  <c r="K8" i="12"/>
  <c r="S8" i="12"/>
  <c r="AA8" i="12"/>
  <c r="AI8" i="12"/>
  <c r="F9" i="12"/>
  <c r="N9" i="12"/>
  <c r="V9" i="12"/>
  <c r="AD9" i="12"/>
  <c r="AL9" i="12"/>
  <c r="I10" i="12"/>
  <c r="Q10" i="12"/>
  <c r="Y10" i="12"/>
  <c r="AG10" i="12"/>
  <c r="AO10" i="12"/>
  <c r="L11" i="12"/>
  <c r="T11" i="12"/>
  <c r="AB11" i="12"/>
  <c r="AJ11" i="12"/>
  <c r="G12" i="12"/>
  <c r="O12" i="12"/>
  <c r="W12" i="12"/>
  <c r="AE12" i="12"/>
  <c r="AM12" i="12"/>
  <c r="J13" i="12"/>
  <c r="R13" i="12"/>
  <c r="Z13" i="12"/>
  <c r="AH13" i="12"/>
  <c r="AP13" i="12"/>
  <c r="M14" i="12"/>
  <c r="U14" i="12"/>
  <c r="AC14" i="12"/>
  <c r="AK14" i="12"/>
  <c r="H15" i="12"/>
  <c r="P15" i="12"/>
  <c r="X15" i="12"/>
  <c r="AF15" i="12"/>
  <c r="AN15" i="12"/>
  <c r="K16" i="12"/>
  <c r="S16" i="12"/>
  <c r="AA16" i="12"/>
  <c r="AI16" i="12"/>
  <c r="F17" i="12"/>
  <c r="N17" i="12"/>
  <c r="V17" i="12"/>
  <c r="AD17" i="12"/>
  <c r="AL17" i="12"/>
  <c r="I18" i="12"/>
  <c r="Q18" i="12"/>
  <c r="F6" i="12"/>
  <c r="N6" i="12"/>
  <c r="V6" i="12"/>
  <c r="AD6" i="12"/>
  <c r="AL6" i="12"/>
  <c r="I7" i="12"/>
  <c r="Q7" i="12"/>
  <c r="Y7" i="12"/>
  <c r="AG7" i="12"/>
  <c r="AO7" i="12"/>
  <c r="L8" i="12"/>
  <c r="T8" i="12"/>
  <c r="AB8" i="12"/>
  <c r="AJ8" i="12"/>
  <c r="G9" i="12"/>
  <c r="O9" i="12"/>
  <c r="W9" i="12"/>
  <c r="AE9" i="12"/>
  <c r="AM9" i="12"/>
  <c r="J10" i="12"/>
  <c r="R10" i="12"/>
  <c r="Z10" i="12"/>
  <c r="AH10" i="12"/>
  <c r="AP10" i="12"/>
  <c r="M11" i="12"/>
  <c r="U11" i="12"/>
  <c r="AC11" i="12"/>
  <c r="AK11" i="12"/>
  <c r="H12" i="12"/>
  <c r="P12" i="12"/>
  <c r="X12" i="12"/>
  <c r="AF12" i="12"/>
  <c r="AN12" i="12"/>
  <c r="K13" i="12"/>
  <c r="S13" i="12"/>
  <c r="AA13" i="12"/>
  <c r="AI13" i="12"/>
  <c r="F14" i="12"/>
  <c r="N14" i="12"/>
  <c r="V14" i="12"/>
  <c r="AD14" i="12"/>
  <c r="AL14" i="12"/>
  <c r="I15" i="12"/>
  <c r="Q15" i="12"/>
  <c r="Y15" i="12"/>
  <c r="AG15" i="12"/>
  <c r="AO15" i="12"/>
  <c r="L16" i="12"/>
  <c r="T16" i="12"/>
  <c r="AB16" i="12"/>
  <c r="AJ16" i="12"/>
  <c r="G17" i="12"/>
  <c r="O17" i="12"/>
  <c r="W17" i="12"/>
  <c r="AE17" i="12"/>
  <c r="AM17" i="12"/>
  <c r="J18" i="12"/>
  <c r="R18" i="12"/>
  <c r="Z18" i="12"/>
  <c r="AH18" i="12"/>
  <c r="AP18" i="12"/>
  <c r="M19" i="12"/>
  <c r="U19" i="12"/>
  <c r="AC19" i="12"/>
  <c r="AK19" i="12"/>
  <c r="H20" i="12"/>
  <c r="P20" i="12"/>
  <c r="X20" i="12"/>
  <c r="AF20" i="12"/>
  <c r="AN20" i="12"/>
  <c r="K21" i="12"/>
  <c r="S21" i="12"/>
  <c r="AA21" i="12"/>
  <c r="AI21" i="12"/>
  <c r="F22" i="12"/>
  <c r="N22" i="12"/>
  <c r="V22" i="12"/>
  <c r="AD22" i="12"/>
  <c r="R6" i="12"/>
  <c r="AH6" i="12"/>
  <c r="M7" i="12"/>
  <c r="AC7" i="12"/>
  <c r="H8" i="12"/>
  <c r="X8" i="12"/>
  <c r="AN8" i="12"/>
  <c r="S9" i="12"/>
  <c r="AG9" i="12"/>
  <c r="G10" i="12"/>
  <c r="U10" i="12"/>
  <c r="AI10" i="12"/>
  <c r="I11" i="12"/>
  <c r="W11" i="12"/>
  <c r="AH11" i="12"/>
  <c r="K12" i="12"/>
  <c r="Y12" i="12"/>
  <c r="AJ12" i="12"/>
  <c r="M13" i="12"/>
  <c r="X13" i="12"/>
  <c r="AL13" i="12"/>
  <c r="O14" i="12"/>
  <c r="Z14" i="12"/>
  <c r="AN14" i="12"/>
  <c r="N15" i="12"/>
  <c r="AB15" i="12"/>
  <c r="AP15" i="12"/>
  <c r="P16" i="12"/>
  <c r="AD16" i="12"/>
  <c r="AO16" i="12"/>
  <c r="P17" i="12"/>
  <c r="Z17" i="12"/>
  <c r="AJ17" i="12"/>
  <c r="K18" i="12"/>
  <c r="U18" i="12"/>
  <c r="AD18" i="12"/>
  <c r="AM18" i="12"/>
  <c r="K19" i="12"/>
  <c r="T19" i="12"/>
  <c r="AD19" i="12"/>
  <c r="AM19" i="12"/>
  <c r="K20" i="12"/>
  <c r="T20" i="12"/>
  <c r="AC20" i="12"/>
  <c r="AL20" i="12"/>
  <c r="J21" i="12"/>
  <c r="T21" i="12"/>
  <c r="AC21" i="12"/>
  <c r="AL21" i="12"/>
  <c r="J22" i="12"/>
  <c r="S22" i="12"/>
  <c r="AB22" i="12"/>
  <c r="AK22" i="12"/>
  <c r="H23" i="12"/>
  <c r="P23" i="12"/>
  <c r="G6" i="12"/>
  <c r="W6" i="12"/>
  <c r="AM6" i="12"/>
  <c r="R7" i="12"/>
  <c r="AH7" i="12"/>
  <c r="M8" i="12"/>
  <c r="AC8" i="12"/>
  <c r="H9" i="12"/>
  <c r="T9" i="12"/>
  <c r="AH9" i="12"/>
  <c r="K10" i="12"/>
  <c r="V10" i="12"/>
  <c r="AJ10" i="12"/>
  <c r="J11" i="12"/>
  <c r="X11" i="12"/>
  <c r="AL11" i="12"/>
  <c r="L12" i="12"/>
  <c r="Z12" i="12"/>
  <c r="AK12" i="12"/>
  <c r="N13" i="12"/>
  <c r="AB13" i="12"/>
  <c r="AM13" i="12"/>
  <c r="P14" i="12"/>
  <c r="AA14" i="12"/>
  <c r="AO14" i="12"/>
  <c r="R15" i="12"/>
  <c r="AC15" i="12"/>
  <c r="F16" i="12"/>
  <c r="Q16" i="12"/>
  <c r="AE16" i="12"/>
  <c r="AP16" i="12"/>
  <c r="Q17" i="12"/>
  <c r="AA17" i="12"/>
  <c r="AK17" i="12"/>
  <c r="L18" i="12"/>
  <c r="V18" i="12"/>
  <c r="AE18" i="12"/>
  <c r="AN18" i="12"/>
  <c r="L19" i="12"/>
  <c r="V19" i="12"/>
  <c r="AE19" i="12"/>
  <c r="AN19" i="12"/>
  <c r="L20" i="12"/>
  <c r="U20" i="12"/>
  <c r="AD20" i="12"/>
  <c r="AM20" i="12"/>
  <c r="L21" i="12"/>
  <c r="U21" i="12"/>
  <c r="AD21" i="12"/>
  <c r="AM21" i="12"/>
  <c r="K22" i="12"/>
  <c r="T22" i="12"/>
  <c r="AC22" i="12"/>
  <c r="AL22" i="12"/>
  <c r="I23" i="12"/>
  <c r="Q23" i="12"/>
  <c r="H6" i="12"/>
  <c r="X6" i="12"/>
  <c r="AN6" i="12"/>
  <c r="S7" i="12"/>
  <c r="AI7" i="12"/>
  <c r="N8" i="12"/>
  <c r="AD8" i="12"/>
  <c r="I9" i="12"/>
  <c r="X9" i="12"/>
  <c r="AI9" i="12"/>
  <c r="L10" i="12"/>
  <c r="W10" i="12"/>
  <c r="AK10" i="12"/>
  <c r="N11" i="12"/>
  <c r="Y11" i="12"/>
  <c r="AM11" i="12"/>
  <c r="M12" i="12"/>
  <c r="AA12" i="12"/>
  <c r="AO12" i="12"/>
  <c r="O13" i="12"/>
  <c r="AC13" i="12"/>
  <c r="AN13" i="12"/>
  <c r="Q14" i="12"/>
  <c r="AE14" i="12"/>
  <c r="AP14" i="12"/>
  <c r="S15" i="12"/>
  <c r="AD15" i="12"/>
  <c r="G16" i="12"/>
  <c r="U16" i="12"/>
  <c r="AF16" i="12"/>
  <c r="H17" i="12"/>
  <c r="R17" i="12"/>
  <c r="AB17" i="12"/>
  <c r="AN17" i="12"/>
  <c r="M18" i="12"/>
  <c r="W18" i="12"/>
  <c r="AF18" i="12"/>
  <c r="AO18" i="12"/>
  <c r="N19" i="12"/>
  <c r="W19" i="12"/>
  <c r="AF19" i="12"/>
  <c r="AO19" i="12"/>
  <c r="M20" i="12"/>
  <c r="V20" i="12"/>
  <c r="AE20" i="12"/>
  <c r="AO20" i="12"/>
  <c r="M21" i="12"/>
  <c r="V21" i="12"/>
  <c r="AE21" i="12"/>
  <c r="AN21" i="12"/>
  <c r="L22" i="12"/>
  <c r="U22" i="12"/>
  <c r="AE22" i="12"/>
  <c r="AM22" i="12"/>
  <c r="J23" i="12"/>
  <c r="R23" i="12"/>
  <c r="Z23" i="12"/>
  <c r="AH23" i="12"/>
  <c r="AP23" i="12"/>
  <c r="M24" i="12"/>
  <c r="U24" i="12"/>
  <c r="AC24" i="12"/>
  <c r="AK24" i="12"/>
  <c r="H4" i="12"/>
  <c r="H28" i="12" s="1"/>
  <c r="P4" i="12"/>
  <c r="P28" i="12" s="1"/>
  <c r="X4" i="12"/>
  <c r="X28" i="12" s="1"/>
  <c r="AF4" i="12"/>
  <c r="AF28" i="12" s="1"/>
  <c r="AN4" i="12"/>
  <c r="I6" i="12"/>
  <c r="Y6" i="12"/>
  <c r="AO6" i="12"/>
  <c r="T7" i="12"/>
  <c r="AJ7" i="12"/>
  <c r="O8" i="12"/>
  <c r="AE8" i="12"/>
  <c r="J9" i="12"/>
  <c r="Y9" i="12"/>
  <c r="AJ9" i="12"/>
  <c r="M10" i="12"/>
  <c r="AA10" i="12"/>
  <c r="AL10" i="12"/>
  <c r="O11" i="12"/>
  <c r="Z11" i="12"/>
  <c r="AN11" i="12"/>
  <c r="Q12" i="12"/>
  <c r="AB12" i="12"/>
  <c r="AP12" i="12"/>
  <c r="P13" i="12"/>
  <c r="AD13" i="12"/>
  <c r="G14" i="12"/>
  <c r="R14" i="12"/>
  <c r="AF14" i="12"/>
  <c r="F15" i="12"/>
  <c r="T15" i="12"/>
  <c r="AH15" i="12"/>
  <c r="H16" i="12"/>
  <c r="V16" i="12"/>
  <c r="AG16" i="12"/>
  <c r="I17" i="12"/>
  <c r="S17" i="12"/>
  <c r="AC17" i="12"/>
  <c r="AO17" i="12"/>
  <c r="N18" i="12"/>
  <c r="X18" i="12"/>
  <c r="AG18" i="12"/>
  <c r="F19" i="12"/>
  <c r="O19" i="12"/>
  <c r="X19" i="12"/>
  <c r="AG19" i="12"/>
  <c r="AP19" i="12"/>
  <c r="N20" i="12"/>
  <c r="W20" i="12"/>
  <c r="AG20" i="12"/>
  <c r="AP20" i="12"/>
  <c r="N21" i="12"/>
  <c r="W21" i="12"/>
  <c r="AF21" i="12"/>
  <c r="AO21" i="12"/>
  <c r="M22" i="12"/>
  <c r="W22" i="12"/>
  <c r="AF22" i="12"/>
  <c r="AN22" i="12"/>
  <c r="K23" i="12"/>
  <c r="S23" i="12"/>
  <c r="AA23" i="12"/>
  <c r="AI23" i="12"/>
  <c r="J6" i="12"/>
  <c r="Z6" i="12"/>
  <c r="AP6" i="12"/>
  <c r="U7" i="12"/>
  <c r="AK7" i="12"/>
  <c r="P8" i="12"/>
  <c r="AF8" i="12"/>
  <c r="K9" i="12"/>
  <c r="Z9" i="12"/>
  <c r="AN9" i="12"/>
  <c r="N10" i="12"/>
  <c r="AB10" i="12"/>
  <c r="AM10" i="12"/>
  <c r="P11" i="12"/>
  <c r="AD11" i="12"/>
  <c r="AO11" i="12"/>
  <c r="R12" i="12"/>
  <c r="AC12" i="12"/>
  <c r="F13" i="12"/>
  <c r="T13" i="12"/>
  <c r="AE13" i="12"/>
  <c r="H14" i="12"/>
  <c r="S14" i="12"/>
  <c r="AG14" i="12"/>
  <c r="J15" i="12"/>
  <c r="U15" i="12"/>
  <c r="AI15" i="12"/>
  <c r="I16" i="12"/>
  <c r="W16" i="12"/>
  <c r="AK16" i="12"/>
  <c r="J17" i="12"/>
  <c r="T17" i="12"/>
  <c r="AF17" i="12"/>
  <c r="AP17" i="12"/>
  <c r="O18" i="12"/>
  <c r="Y18" i="12"/>
  <c r="AI18" i="12"/>
  <c r="G19" i="12"/>
  <c r="P19" i="12"/>
  <c r="Y19" i="12"/>
  <c r="AH19" i="12"/>
  <c r="F20" i="12"/>
  <c r="O20" i="12"/>
  <c r="Y20" i="12"/>
  <c r="AH20" i="12"/>
  <c r="F21" i="12"/>
  <c r="O21" i="12"/>
  <c r="X21" i="12"/>
  <c r="AG21" i="12"/>
  <c r="AP21" i="12"/>
  <c r="O22" i="12"/>
  <c r="X22" i="12"/>
  <c r="AG22" i="12"/>
  <c r="AO22" i="12"/>
  <c r="L23" i="12"/>
  <c r="T23" i="12"/>
  <c r="O6" i="12"/>
  <c r="AE6" i="12"/>
  <c r="J7" i="12"/>
  <c r="Z7" i="12"/>
  <c r="AP7" i="12"/>
  <c r="U8" i="12"/>
  <c r="AK8" i="12"/>
  <c r="P9" i="12"/>
  <c r="AA9" i="12"/>
  <c r="AO9" i="12"/>
  <c r="O10" i="12"/>
  <c r="AC10" i="12"/>
  <c r="F11" i="12"/>
  <c r="Q11" i="12"/>
  <c r="AE11" i="12"/>
  <c r="AP11" i="12"/>
  <c r="S12" i="12"/>
  <c r="AG12" i="12"/>
  <c r="G13" i="12"/>
  <c r="U13" i="12"/>
  <c r="AF13" i="12"/>
  <c r="I14" i="12"/>
  <c r="W14" i="12"/>
  <c r="AH14" i="12"/>
  <c r="K15" i="12"/>
  <c r="V15" i="12"/>
  <c r="AJ15" i="12"/>
  <c r="M16" i="12"/>
  <c r="X16" i="12"/>
  <c r="AL16" i="12"/>
  <c r="K17" i="12"/>
  <c r="U17" i="12"/>
  <c r="AG17" i="12"/>
  <c r="F18" i="12"/>
  <c r="P18" i="12"/>
  <c r="AA18" i="12"/>
  <c r="AJ18" i="12"/>
  <c r="H19" i="12"/>
  <c r="Q19" i="12"/>
  <c r="Z19" i="12"/>
  <c r="AI19" i="12"/>
  <c r="G20" i="12"/>
  <c r="Q20" i="12"/>
  <c r="Z20" i="12"/>
  <c r="AI20" i="12"/>
  <c r="G21" i="12"/>
  <c r="P21" i="12"/>
  <c r="Y21" i="12"/>
  <c r="AH21" i="12"/>
  <c r="G22" i="12"/>
  <c r="P22" i="12"/>
  <c r="Y22" i="12"/>
  <c r="AH22" i="12"/>
  <c r="AP22" i="12"/>
  <c r="M23" i="12"/>
  <c r="U23" i="12"/>
  <c r="P6" i="12"/>
  <c r="AF6" i="12"/>
  <c r="K7" i="12"/>
  <c r="AA7" i="12"/>
  <c r="F8" i="12"/>
  <c r="V8" i="12"/>
  <c r="AL8" i="12"/>
  <c r="Q9" i="12"/>
  <c r="AB9" i="12"/>
  <c r="AP9" i="12"/>
  <c r="S10" i="12"/>
  <c r="AD10" i="12"/>
  <c r="G11" i="12"/>
  <c r="R11" i="12"/>
  <c r="AF11" i="12"/>
  <c r="I12" i="12"/>
  <c r="T12" i="12"/>
  <c r="AH12" i="12"/>
  <c r="H13" i="12"/>
  <c r="V13" i="12"/>
  <c r="AJ13" i="12"/>
  <c r="J14" i="12"/>
  <c r="X14" i="12"/>
  <c r="AI14" i="12"/>
  <c r="L15" i="12"/>
  <c r="Z15" i="12"/>
  <c r="AK15" i="12"/>
  <c r="N16" i="12"/>
  <c r="Y16" i="12"/>
  <c r="AM16" i="12"/>
  <c r="L17" i="12"/>
  <c r="X17" i="12"/>
  <c r="AH17" i="12"/>
  <c r="G18" i="12"/>
  <c r="S18" i="12"/>
  <c r="AB18" i="12"/>
  <c r="AK18" i="12"/>
  <c r="I19" i="12"/>
  <c r="R19" i="12"/>
  <c r="AA19" i="12"/>
  <c r="AJ19" i="12"/>
  <c r="I20" i="12"/>
  <c r="R20" i="12"/>
  <c r="AA20" i="12"/>
  <c r="AJ20" i="12"/>
  <c r="H21" i="12"/>
  <c r="Q21" i="12"/>
  <c r="Z21" i="12"/>
  <c r="AJ21" i="12"/>
  <c r="H22" i="12"/>
  <c r="Q22" i="12"/>
  <c r="Z22" i="12"/>
  <c r="AI22" i="12"/>
  <c r="F23" i="12"/>
  <c r="N23" i="12"/>
  <c r="V23" i="12"/>
  <c r="AD23" i="12"/>
  <c r="AL23" i="12"/>
  <c r="I24" i="12"/>
  <c r="Q24" i="12"/>
  <c r="Y24" i="12"/>
  <c r="AG24" i="12"/>
  <c r="AO24" i="12"/>
  <c r="L4" i="12"/>
  <c r="L28" i="12" s="1"/>
  <c r="T4" i="12"/>
  <c r="T28" i="12" s="1"/>
  <c r="AB4" i="12"/>
  <c r="AB28" i="12" s="1"/>
  <c r="AJ4" i="12"/>
  <c r="AJ28" i="12" s="1"/>
  <c r="R9" i="12"/>
  <c r="J12" i="12"/>
  <c r="AM14" i="12"/>
  <c r="Y17" i="12"/>
  <c r="AB19" i="12"/>
  <c r="AB21" i="12"/>
  <c r="W23" i="12"/>
  <c r="AJ23" i="12"/>
  <c r="J24" i="12"/>
  <c r="T24" i="12"/>
  <c r="AE24" i="12"/>
  <c r="AP24" i="12"/>
  <c r="O4" i="12"/>
  <c r="Z4" i="12"/>
  <c r="Z28" i="12" s="1"/>
  <c r="AK4" i="12"/>
  <c r="AK28" i="12" s="1"/>
  <c r="Q6" i="12"/>
  <c r="AF9" i="12"/>
  <c r="U12" i="12"/>
  <c r="M15" i="12"/>
  <c r="AI17" i="12"/>
  <c r="AL19" i="12"/>
  <c r="AK21" i="12"/>
  <c r="X23" i="12"/>
  <c r="AK23" i="12"/>
  <c r="K24" i="12"/>
  <c r="V24" i="12"/>
  <c r="AF24" i="12"/>
  <c r="F4" i="12"/>
  <c r="F28" i="12" s="1"/>
  <c r="Q4" i="12"/>
  <c r="Q28" i="12" s="1"/>
  <c r="AA4" i="12"/>
  <c r="AA28" i="12" s="1"/>
  <c r="AL4" i="12"/>
  <c r="AG6" i="12"/>
  <c r="F10" i="12"/>
  <c r="AI12" i="12"/>
  <c r="AA15" i="12"/>
  <c r="H18" i="12"/>
  <c r="J20" i="12"/>
  <c r="I22" i="12"/>
  <c r="Y23" i="12"/>
  <c r="AM23" i="12"/>
  <c r="L24" i="12"/>
  <c r="W24" i="12"/>
  <c r="AH24" i="12"/>
  <c r="G4" i="12"/>
  <c r="R4" i="12"/>
  <c r="R28" i="12" s="1"/>
  <c r="AC4" i="12"/>
  <c r="AC28" i="12" s="1"/>
  <c r="AM4" i="12"/>
  <c r="AM28" i="12" s="1"/>
  <c r="L7" i="12"/>
  <c r="T10" i="12"/>
  <c r="L13" i="12"/>
  <c r="AL15" i="12"/>
  <c r="T18" i="12"/>
  <c r="S20" i="12"/>
  <c r="R22" i="12"/>
  <c r="AB23" i="12"/>
  <c r="AN23" i="12"/>
  <c r="N24" i="12"/>
  <c r="X24" i="12"/>
  <c r="AI24" i="12"/>
  <c r="I4" i="12"/>
  <c r="I28" i="12" s="1"/>
  <c r="S4" i="12"/>
  <c r="S28" i="12" s="1"/>
  <c r="AD4" i="12"/>
  <c r="AD28" i="12" s="1"/>
  <c r="AO4" i="12"/>
  <c r="AO28" i="12" s="1"/>
  <c r="AB7" i="12"/>
  <c r="AE10" i="12"/>
  <c r="W13" i="12"/>
  <c r="O16" i="12"/>
  <c r="AC18" i="12"/>
  <c r="AB20" i="12"/>
  <c r="AA22" i="12"/>
  <c r="AC23" i="12"/>
  <c r="AO23" i="12"/>
  <c r="O24" i="12"/>
  <c r="Z24" i="12"/>
  <c r="AJ24" i="12"/>
  <c r="J4" i="12"/>
  <c r="J28" i="12" s="1"/>
  <c r="U4" i="12"/>
  <c r="U28" i="12" s="1"/>
  <c r="AE4" i="12"/>
  <c r="AE28" i="12" s="1"/>
  <c r="AP4" i="12"/>
  <c r="G8" i="12"/>
  <c r="H11" i="12"/>
  <c r="AK13" i="12"/>
  <c r="AC16" i="12"/>
  <c r="AL18" i="12"/>
  <c r="AK20" i="12"/>
  <c r="AJ22" i="12"/>
  <c r="AE23" i="12"/>
  <c r="F24" i="12"/>
  <c r="P24" i="12"/>
  <c r="AA24" i="12"/>
  <c r="AL24" i="12"/>
  <c r="K4" i="12"/>
  <c r="K28" i="12" s="1"/>
  <c r="V4" i="12"/>
  <c r="V28" i="12" s="1"/>
  <c r="AG4" i="12"/>
  <c r="AG28" i="12" s="1"/>
  <c r="W8" i="12"/>
  <c r="V11" i="12"/>
  <c r="K14" i="12"/>
  <c r="AN16" i="12"/>
  <c r="J19" i="12"/>
  <c r="I21" i="12"/>
  <c r="G23" i="12"/>
  <c r="AF23" i="12"/>
  <c r="G24" i="12"/>
  <c r="R24" i="12"/>
  <c r="AB24" i="12"/>
  <c r="AM24" i="12"/>
  <c r="M4" i="12"/>
  <c r="W4" i="12"/>
  <c r="AH4" i="12"/>
  <c r="AH28" i="12" s="1"/>
  <c r="AM8" i="12"/>
  <c r="H24" i="12"/>
  <c r="AG11" i="12"/>
  <c r="S24" i="12"/>
  <c r="Y14" i="12"/>
  <c r="AD24" i="12"/>
  <c r="M17" i="12"/>
  <c r="AN24" i="12"/>
  <c r="S19" i="12"/>
  <c r="N4" i="12"/>
  <c r="N28" i="12" s="1"/>
  <c r="R21" i="12"/>
  <c r="Y4" i="12"/>
  <c r="Y28" i="12" s="1"/>
  <c r="O23" i="12"/>
  <c r="AI4" i="12"/>
  <c r="AI28" i="12" s="1"/>
  <c r="AG23" i="12"/>
  <c r="FD4" i="11"/>
  <c r="EV4" i="11"/>
  <c r="EN4" i="11"/>
  <c r="EF4" i="11"/>
  <c r="DX4" i="11"/>
  <c r="DP4" i="11"/>
  <c r="DH4" i="11"/>
  <c r="CZ4" i="11"/>
  <c r="CR4" i="11"/>
  <c r="CJ4" i="11"/>
  <c r="CB4" i="11"/>
  <c r="BT4" i="11"/>
  <c r="BL4" i="11"/>
  <c r="BD4" i="11"/>
  <c r="AV4" i="11"/>
  <c r="AN4" i="11"/>
  <c r="AF4" i="11"/>
  <c r="X4" i="11"/>
  <c r="N4" i="11"/>
  <c r="C4" i="11"/>
  <c r="EU24" i="11"/>
  <c r="EK24" i="11"/>
  <c r="DZ24" i="11"/>
  <c r="DN24" i="11"/>
  <c r="CZ24" i="11"/>
  <c r="CJ24" i="11"/>
  <c r="BT24" i="11"/>
  <c r="BD24" i="11"/>
  <c r="AN24" i="11"/>
  <c r="V24" i="11"/>
  <c r="EU23" i="11"/>
  <c r="DO23" i="11"/>
  <c r="BG23" i="11"/>
  <c r="EX22" i="11"/>
  <c r="CL22" i="11"/>
  <c r="Z22" i="11"/>
  <c r="DQ21" i="11"/>
  <c r="BE21" i="11"/>
  <c r="EV20" i="11"/>
  <c r="CJ20" i="11"/>
  <c r="CR18" i="11"/>
  <c r="I21" i="11"/>
  <c r="FC4" i="11"/>
  <c r="EU4" i="11"/>
  <c r="EM4" i="11"/>
  <c r="EE4" i="11"/>
  <c r="DW4" i="11"/>
  <c r="DO4" i="11"/>
  <c r="DG4" i="11"/>
  <c r="CY4" i="11"/>
  <c r="CQ4" i="11"/>
  <c r="CI4" i="11"/>
  <c r="CA4" i="11"/>
  <c r="BS4" i="11"/>
  <c r="BK4" i="11"/>
  <c r="BC4" i="11"/>
  <c r="AU4" i="11"/>
  <c r="AM4" i="11"/>
  <c r="AE4" i="11"/>
  <c r="W4" i="11"/>
  <c r="M4" i="11"/>
  <c r="FD24" i="11"/>
  <c r="ET24" i="11"/>
  <c r="EJ24" i="11"/>
  <c r="DX24" i="11"/>
  <c r="DM24" i="11"/>
  <c r="CX24" i="11"/>
  <c r="CH24" i="11"/>
  <c r="BR24" i="11"/>
  <c r="BB24" i="11"/>
  <c r="AL24" i="11"/>
  <c r="T24" i="11"/>
  <c r="EQ23" i="11"/>
  <c r="DK23" i="11"/>
  <c r="AY23" i="11"/>
  <c r="EP22" i="11"/>
  <c r="CD22" i="11"/>
  <c r="R22" i="11"/>
  <c r="DI21" i="11"/>
  <c r="AW21" i="11"/>
  <c r="EN20" i="11"/>
  <c r="CB20" i="11"/>
  <c r="AF18" i="11"/>
  <c r="EP4" i="11"/>
  <c r="BF4" i="11"/>
  <c r="DB22" i="11"/>
  <c r="FB4" i="11"/>
  <c r="ET4" i="11"/>
  <c r="EL4" i="11"/>
  <c r="ED4" i="11"/>
  <c r="DV4" i="11"/>
  <c r="DN4" i="11"/>
  <c r="DF4" i="11"/>
  <c r="CX4" i="11"/>
  <c r="CP4" i="11"/>
  <c r="CH4" i="11"/>
  <c r="BZ4" i="11"/>
  <c r="BR4" i="11"/>
  <c r="BJ4" i="11"/>
  <c r="BB4" i="11"/>
  <c r="AT4" i="11"/>
  <c r="AL4" i="11"/>
  <c r="AD4" i="11"/>
  <c r="V4" i="11"/>
  <c r="K4" i="11"/>
  <c r="FC24" i="11"/>
  <c r="ES24" i="11"/>
  <c r="EH24" i="11"/>
  <c r="DW24" i="11"/>
  <c r="DL24" i="11"/>
  <c r="CV24" i="11"/>
  <c r="CF24" i="11"/>
  <c r="BP24" i="11"/>
  <c r="AZ24" i="11"/>
  <c r="AJ24" i="11"/>
  <c r="P24" i="11"/>
  <c r="EM23" i="11"/>
  <c r="DC23" i="11"/>
  <c r="AQ23" i="11"/>
  <c r="EH22" i="11"/>
  <c r="BV22" i="11"/>
  <c r="J22" i="11"/>
  <c r="DA21" i="11"/>
  <c r="AO21" i="11"/>
  <c r="EF20" i="11"/>
  <c r="BQ20" i="11"/>
  <c r="DW17" i="11"/>
  <c r="EH4" i="11"/>
  <c r="CT4" i="11"/>
  <c r="AP4" i="11"/>
  <c r="DD24" i="11"/>
  <c r="AR24" i="11"/>
  <c r="EG21" i="11"/>
  <c r="FA4" i="11"/>
  <c r="ES4" i="11"/>
  <c r="EK4" i="11"/>
  <c r="EC4" i="11"/>
  <c r="DU4" i="11"/>
  <c r="DM4" i="11"/>
  <c r="DE4" i="11"/>
  <c r="CW4" i="11"/>
  <c r="CO4" i="11"/>
  <c r="CG4" i="11"/>
  <c r="BY4" i="11"/>
  <c r="BQ4" i="11"/>
  <c r="BI4" i="11"/>
  <c r="BA4" i="11"/>
  <c r="AS4" i="11"/>
  <c r="AK4" i="11"/>
  <c r="AC4" i="11"/>
  <c r="U4" i="11"/>
  <c r="I4" i="11"/>
  <c r="FB24" i="11"/>
  <c r="ER24" i="11"/>
  <c r="EF24" i="11"/>
  <c r="DV24" i="11"/>
  <c r="DJ24" i="11"/>
  <c r="CT24" i="11"/>
  <c r="CD24" i="11"/>
  <c r="BN24" i="11"/>
  <c r="AX24" i="11"/>
  <c r="AH24" i="11"/>
  <c r="L24" i="11"/>
  <c r="EI23" i="11"/>
  <c r="CU23" i="11"/>
  <c r="AI23" i="11"/>
  <c r="DZ22" i="11"/>
  <c r="BN22" i="11"/>
  <c r="FE21" i="11"/>
  <c r="CS21" i="11"/>
  <c r="AG21" i="11"/>
  <c r="DX20" i="11"/>
  <c r="AP20" i="11"/>
  <c r="BB17" i="11"/>
  <c r="CL4" i="11"/>
  <c r="AX4" i="11"/>
  <c r="P4" i="11"/>
  <c r="EC24" i="11"/>
  <c r="AP22" i="11"/>
  <c r="EZ4" i="11"/>
  <c r="ER4" i="11"/>
  <c r="EJ4" i="11"/>
  <c r="EB4" i="11"/>
  <c r="DT4" i="11"/>
  <c r="DL4" i="11"/>
  <c r="DD4" i="11"/>
  <c r="CV4" i="11"/>
  <c r="CN4" i="11"/>
  <c r="CF4" i="11"/>
  <c r="BX4" i="11"/>
  <c r="BP4" i="11"/>
  <c r="BH4" i="11"/>
  <c r="AZ4" i="11"/>
  <c r="AR4" i="11"/>
  <c r="AJ4" i="11"/>
  <c r="AB4" i="11"/>
  <c r="S4" i="11"/>
  <c r="H4" i="11"/>
  <c r="FA24" i="11"/>
  <c r="EP24" i="11"/>
  <c r="EE24" i="11"/>
  <c r="DU24" i="11"/>
  <c r="DH24" i="11"/>
  <c r="CR24" i="11"/>
  <c r="CB24" i="11"/>
  <c r="BL24" i="11"/>
  <c r="AV24" i="11"/>
  <c r="AF24" i="11"/>
  <c r="H24" i="11"/>
  <c r="EE23" i="11"/>
  <c r="CM23" i="11"/>
  <c r="AA23" i="11"/>
  <c r="DR22" i="11"/>
  <c r="BF22" i="11"/>
  <c r="EW21" i="11"/>
  <c r="CK21" i="11"/>
  <c r="Y21" i="11"/>
  <c r="DP20" i="11"/>
  <c r="J20" i="11"/>
  <c r="DY16" i="11"/>
  <c r="EX4" i="11"/>
  <c r="DJ4" i="11"/>
  <c r="BV4" i="11"/>
  <c r="Z4" i="11"/>
  <c r="EM24" i="11"/>
  <c r="BX24" i="11"/>
  <c r="FC23" i="11"/>
  <c r="BU21" i="11"/>
  <c r="EY4" i="11"/>
  <c r="EQ4" i="11"/>
  <c r="EI4" i="11"/>
  <c r="EA4" i="11"/>
  <c r="DS4" i="11"/>
  <c r="DK4" i="11"/>
  <c r="DC4" i="11"/>
  <c r="CU4" i="11"/>
  <c r="CM4" i="11"/>
  <c r="CE4" i="11"/>
  <c r="BW4" i="11"/>
  <c r="BO4" i="11"/>
  <c r="BG4" i="11"/>
  <c r="AY4" i="11"/>
  <c r="AQ4" i="11"/>
  <c r="AI4" i="11"/>
  <c r="AA4" i="11"/>
  <c r="Q4" i="11"/>
  <c r="G4" i="11"/>
  <c r="EZ24" i="11"/>
  <c r="EN24" i="11"/>
  <c r="ED24" i="11"/>
  <c r="DT24" i="11"/>
  <c r="DF24" i="11"/>
  <c r="CP24" i="11"/>
  <c r="BZ24" i="11"/>
  <c r="BJ24" i="11"/>
  <c r="AT24" i="11"/>
  <c r="AD24" i="11"/>
  <c r="D24" i="11"/>
  <c r="EA23" i="11"/>
  <c r="CE23" i="11"/>
  <c r="S23" i="11"/>
  <c r="DJ22" i="11"/>
  <c r="AX22" i="11"/>
  <c r="EO21" i="11"/>
  <c r="CC21" i="11"/>
  <c r="Q21" i="11"/>
  <c r="DH20" i="11"/>
  <c r="DY19" i="11"/>
  <c r="DP15" i="11"/>
  <c r="C2" i="12"/>
  <c r="AT20" i="14"/>
  <c r="AS19" i="14"/>
  <c r="AT21" i="14"/>
  <c r="AS20" i="14"/>
  <c r="AT13" i="14"/>
  <c r="AT22" i="14"/>
  <c r="AS21" i="14"/>
  <c r="AS13" i="14"/>
  <c r="AN8" i="14"/>
  <c r="AT23" i="14"/>
  <c r="AS22" i="14"/>
  <c r="R14" i="14"/>
  <c r="M13" i="14"/>
  <c r="G12" i="14"/>
  <c r="AT24" i="14"/>
  <c r="AS23" i="14"/>
  <c r="AT16" i="14"/>
  <c r="AS24" i="14"/>
  <c r="AT17" i="14"/>
  <c r="AS26" i="10"/>
  <c r="AT18" i="14"/>
  <c r="AS17" i="14"/>
  <c r="AP16" i="14"/>
  <c r="P17" i="14"/>
  <c r="Z17" i="14"/>
  <c r="AK17" i="14"/>
  <c r="K18" i="14"/>
  <c r="U18" i="14"/>
  <c r="AF18" i="14"/>
  <c r="F19" i="14"/>
  <c r="P19" i="14"/>
  <c r="AA19" i="14"/>
  <c r="AL19" i="14"/>
  <c r="K20" i="14"/>
  <c r="V20" i="14"/>
  <c r="AG20" i="14"/>
  <c r="F21" i="14"/>
  <c r="N21" i="14"/>
  <c r="V21" i="14"/>
  <c r="AD21" i="14"/>
  <c r="AL21" i="14"/>
  <c r="I22" i="14"/>
  <c r="Q22" i="14"/>
  <c r="Y22" i="14"/>
  <c r="AG22" i="14"/>
  <c r="AO22" i="14"/>
  <c r="L23" i="14"/>
  <c r="T23" i="14"/>
  <c r="AB23" i="14"/>
  <c r="AJ23" i="14"/>
  <c r="G24" i="14"/>
  <c r="O24" i="14"/>
  <c r="W24" i="14"/>
  <c r="AE24" i="14"/>
  <c r="AM24" i="14"/>
  <c r="G15" i="14"/>
  <c r="R15" i="14"/>
  <c r="AB15" i="14"/>
  <c r="AM15" i="14"/>
  <c r="M16" i="14"/>
  <c r="W16" i="14"/>
  <c r="AH16" i="14"/>
  <c r="H17" i="14"/>
  <c r="R17" i="14"/>
  <c r="AC17" i="14"/>
  <c r="AN17" i="14"/>
  <c r="M18" i="14"/>
  <c r="X18" i="14"/>
  <c r="AI18" i="14"/>
  <c r="H19" i="14"/>
  <c r="S19" i="14"/>
  <c r="AD19" i="14"/>
  <c r="AN19" i="14"/>
  <c r="N20" i="14"/>
  <c r="Y20" i="14"/>
  <c r="AI20" i="14"/>
  <c r="H21" i="14"/>
  <c r="P21" i="14"/>
  <c r="X21" i="14"/>
  <c r="AF21" i="14"/>
  <c r="AN21" i="14"/>
  <c r="K22" i="14"/>
  <c r="S22" i="14"/>
  <c r="AA22" i="14"/>
  <c r="AI22" i="14"/>
  <c r="F23" i="14"/>
  <c r="N23" i="14"/>
  <c r="V23" i="14"/>
  <c r="AD23" i="14"/>
  <c r="AL23" i="14"/>
  <c r="I24" i="14"/>
  <c r="Q24" i="14"/>
  <c r="Y24" i="14"/>
  <c r="AG24" i="14"/>
  <c r="AO24" i="14"/>
  <c r="AH14" i="14"/>
  <c r="H15" i="14"/>
  <c r="S15" i="14"/>
  <c r="AC15" i="14"/>
  <c r="AN15" i="14"/>
  <c r="N16" i="14"/>
  <c r="X16" i="14"/>
  <c r="AI16" i="14"/>
  <c r="I17" i="14"/>
  <c r="S17" i="14"/>
  <c r="AD17" i="14"/>
  <c r="AO17" i="14"/>
  <c r="N18" i="14"/>
  <c r="Y18" i="14"/>
  <c r="AJ18" i="14"/>
  <c r="I19" i="14"/>
  <c r="T19" i="14"/>
  <c r="AE19" i="14"/>
  <c r="AO19" i="14"/>
  <c r="O20" i="14"/>
  <c r="Z20" i="14"/>
  <c r="AJ20" i="14"/>
  <c r="I21" i="14"/>
  <c r="Q21" i="14"/>
  <c r="Y21" i="14"/>
  <c r="AG21" i="14"/>
  <c r="AO21" i="14"/>
  <c r="L22" i="14"/>
  <c r="T22" i="14"/>
  <c r="AB22" i="14"/>
  <c r="AJ22" i="14"/>
  <c r="G23" i="14"/>
  <c r="O23" i="14"/>
  <c r="W23" i="14"/>
  <c r="AE23" i="14"/>
  <c r="AM23" i="14"/>
  <c r="J24" i="14"/>
  <c r="R24" i="14"/>
  <c r="AK14" i="14"/>
  <c r="K15" i="14"/>
  <c r="U15" i="14"/>
  <c r="AF15" i="14"/>
  <c r="F16" i="14"/>
  <c r="P16" i="14"/>
  <c r="AA16" i="14"/>
  <c r="AL16" i="14"/>
  <c r="K17" i="14"/>
  <c r="V17" i="14"/>
  <c r="AG17" i="14"/>
  <c r="F18" i="14"/>
  <c r="Q18" i="14"/>
  <c r="AB18" i="14"/>
  <c r="AL18" i="14"/>
  <c r="L19" i="14"/>
  <c r="W19" i="14"/>
  <c r="AG19" i="14"/>
  <c r="G20" i="14"/>
  <c r="R20" i="14"/>
  <c r="AB20" i="14"/>
  <c r="AM20" i="14"/>
  <c r="K21" i="14"/>
  <c r="S21" i="14"/>
  <c r="AA21" i="14"/>
  <c r="AI21" i="14"/>
  <c r="F22" i="14"/>
  <c r="N22" i="14"/>
  <c r="V22" i="14"/>
  <c r="AD22" i="14"/>
  <c r="AL22" i="14"/>
  <c r="I23" i="14"/>
  <c r="Q23" i="14"/>
  <c r="Y23" i="14"/>
  <c r="AG23" i="14"/>
  <c r="AO23" i="14"/>
  <c r="L24" i="14"/>
  <c r="T24" i="14"/>
  <c r="AB24" i="14"/>
  <c r="AJ24" i="14"/>
  <c r="Y7" i="14"/>
  <c r="AD9" i="14"/>
  <c r="P11" i="14"/>
  <c r="AF11" i="14"/>
  <c r="F12" i="14"/>
  <c r="Q12" i="14"/>
  <c r="AA12" i="14"/>
  <c r="AL12" i="14"/>
  <c r="L13" i="14"/>
  <c r="V13" i="14"/>
  <c r="AG13" i="14"/>
  <c r="G14" i="14"/>
  <c r="Q14" i="14"/>
  <c r="AB14" i="14"/>
  <c r="AM14" i="14"/>
  <c r="L15" i="14"/>
  <c r="W15" i="14"/>
  <c r="AH15" i="14"/>
  <c r="G16" i="14"/>
  <c r="R16" i="14"/>
  <c r="AC16" i="14"/>
  <c r="AM16" i="14"/>
  <c r="M17" i="14"/>
  <c r="X17" i="14"/>
  <c r="AH17" i="14"/>
  <c r="H18" i="14"/>
  <c r="S18" i="14"/>
  <c r="AC18" i="14"/>
  <c r="AN18" i="14"/>
  <c r="N19" i="14"/>
  <c r="X19" i="14"/>
  <c r="AI19" i="14"/>
  <c r="I20" i="14"/>
  <c r="S20" i="14"/>
  <c r="AD20" i="14"/>
  <c r="AO20" i="14"/>
  <c r="L21" i="14"/>
  <c r="T21" i="14"/>
  <c r="AB21" i="14"/>
  <c r="AJ21" i="14"/>
  <c r="G22" i="14"/>
  <c r="O22" i="14"/>
  <c r="W22" i="14"/>
  <c r="AE22" i="14"/>
  <c r="AM22" i="14"/>
  <c r="J23" i="14"/>
  <c r="R23" i="14"/>
  <c r="Z23" i="14"/>
  <c r="AH23" i="14"/>
  <c r="AP23" i="14"/>
  <c r="M24" i="14"/>
  <c r="AT19" i="14"/>
  <c r="AS18" i="14"/>
  <c r="N17" i="14"/>
  <c r="H16" i="14"/>
  <c r="AN14" i="14"/>
  <c r="AH13" i="14"/>
  <c r="AB12" i="14"/>
  <c r="Q11" i="14"/>
  <c r="L6" i="14"/>
  <c r="M6" i="14"/>
  <c r="AN7" i="14"/>
  <c r="O9" i="14"/>
  <c r="AD10" i="14"/>
  <c r="Z6" i="14"/>
  <c r="H8" i="14"/>
  <c r="U9" i="14"/>
  <c r="AH10" i="14"/>
  <c r="Z14" i="14"/>
  <c r="P14" i="14"/>
  <c r="AP13" i="14"/>
  <c r="AE13" i="14"/>
  <c r="U13" i="14"/>
  <c r="J13" i="14"/>
  <c r="AJ12" i="14"/>
  <c r="Z12" i="14"/>
  <c r="O12" i="14"/>
  <c r="AO11" i="14"/>
  <c r="AE11" i="14"/>
  <c r="N11" i="14"/>
  <c r="W9" i="14"/>
  <c r="X7" i="14"/>
  <c r="X14" i="14"/>
  <c r="M14" i="14"/>
  <c r="AM13" i="14"/>
  <c r="AC13" i="14"/>
  <c r="R13" i="14"/>
  <c r="G13" i="14"/>
  <c r="AH12" i="14"/>
  <c r="W12" i="14"/>
  <c r="L12" i="14"/>
  <c r="AM11" i="14"/>
  <c r="AB11" i="14"/>
  <c r="AO10" i="14"/>
  <c r="AJ8" i="14"/>
  <c r="M7" i="14"/>
  <c r="AG14" i="14"/>
  <c r="W14" i="14"/>
  <c r="L14" i="14"/>
  <c r="AL13" i="14"/>
  <c r="AB13" i="14"/>
  <c r="Q13" i="14"/>
  <c r="F13" i="14"/>
  <c r="AG12" i="14"/>
  <c r="V12" i="14"/>
  <c r="K12" i="14"/>
  <c r="AL11" i="14"/>
  <c r="Y11" i="14"/>
  <c r="P10" i="14"/>
  <c r="AI8" i="14"/>
  <c r="AC6" i="14"/>
  <c r="AL17" i="14"/>
  <c r="AA17" i="14"/>
  <c r="Q17" i="14"/>
  <c r="F17" i="14"/>
  <c r="AF16" i="14"/>
  <c r="V16" i="14"/>
  <c r="K16" i="14"/>
  <c r="AK15" i="14"/>
  <c r="AA15" i="14"/>
  <c r="P15" i="14"/>
  <c r="AP14" i="14"/>
  <c r="AF14" i="14"/>
  <c r="U14" i="14"/>
  <c r="J14" i="14"/>
  <c r="AK13" i="14"/>
  <c r="Z13" i="14"/>
  <c r="O13" i="14"/>
  <c r="AP12" i="14"/>
  <c r="AE12" i="14"/>
  <c r="T12" i="14"/>
  <c r="J12" i="14"/>
  <c r="AJ11" i="14"/>
  <c r="X11" i="14"/>
  <c r="N10" i="14"/>
  <c r="Z8" i="14"/>
  <c r="AB6" i="14"/>
  <c r="AE16" i="14"/>
  <c r="U16" i="14"/>
  <c r="J16" i="14"/>
  <c r="AJ15" i="14"/>
  <c r="Z15" i="14"/>
  <c r="O15" i="14"/>
  <c r="AO14" i="14"/>
  <c r="AE14" i="14"/>
  <c r="T14" i="14"/>
  <c r="I14" i="14"/>
  <c r="AJ13" i="14"/>
  <c r="Y13" i="14"/>
  <c r="N13" i="14"/>
  <c r="AO12" i="14"/>
  <c r="AD12" i="14"/>
  <c r="S12" i="14"/>
  <c r="I12" i="14"/>
  <c r="AI11" i="14"/>
  <c r="S11" i="14"/>
  <c r="J10" i="14"/>
  <c r="L8" i="14"/>
  <c r="AA11" i="14"/>
  <c r="O11" i="14"/>
  <c r="AF10" i="14"/>
  <c r="I10" i="14"/>
  <c r="S9" i="14"/>
  <c r="AB8" i="14"/>
  <c r="AO7" i="14"/>
  <c r="O7" i="14"/>
  <c r="U6" i="14"/>
  <c r="K11" i="14"/>
  <c r="Z10" i="14"/>
  <c r="AK9" i="14"/>
  <c r="N9" i="14"/>
  <c r="X8" i="14"/>
  <c r="AG7" i="14"/>
  <c r="H7" i="14"/>
  <c r="J6" i="14"/>
  <c r="W11" i="14"/>
  <c r="H11" i="14"/>
  <c r="Y10" i="14"/>
  <c r="AI9" i="14"/>
  <c r="G9" i="14"/>
  <c r="T8" i="14"/>
  <c r="AE7" i="14"/>
  <c r="G7" i="14"/>
  <c r="V11" i="14"/>
  <c r="F11" i="14"/>
  <c r="R10" i="14"/>
  <c r="AE9" i="14"/>
  <c r="AP8" i="14"/>
  <c r="S8" i="14"/>
  <c r="AC7" i="14"/>
  <c r="AJ6" i="14"/>
  <c r="F6" i="14"/>
  <c r="ED7" i="13"/>
  <c r="DV7" i="13"/>
  <c r="DN7" i="13"/>
  <c r="DF7" i="13"/>
  <c r="CX7" i="13"/>
  <c r="CP7" i="13"/>
  <c r="CH7" i="13"/>
  <c r="BZ7" i="13"/>
  <c r="BR7" i="13"/>
  <c r="BJ7" i="13"/>
  <c r="BB7" i="13"/>
  <c r="AT7" i="13"/>
  <c r="AL7" i="13"/>
  <c r="AD7" i="13"/>
  <c r="V7" i="13"/>
  <c r="N7" i="13"/>
  <c r="F7" i="13"/>
  <c r="FA6" i="13"/>
  <c r="ES6" i="13"/>
  <c r="EK6" i="13"/>
  <c r="EC6" i="13"/>
  <c r="DU6" i="13"/>
  <c r="DM6" i="13"/>
  <c r="DE6" i="13"/>
  <c r="CW6" i="13"/>
  <c r="CO6" i="13"/>
  <c r="CG6" i="13"/>
  <c r="BY6" i="13"/>
  <c r="BQ6" i="13"/>
  <c r="BI6" i="13"/>
  <c r="BA6" i="13"/>
  <c r="AS6" i="13"/>
  <c r="AK6" i="13"/>
  <c r="AC6" i="13"/>
  <c r="U6" i="13"/>
  <c r="M6" i="13"/>
  <c r="E6" i="13"/>
  <c r="EB7" i="13"/>
  <c r="DT7" i="13"/>
  <c r="DL7" i="13"/>
  <c r="DD7" i="13"/>
  <c r="CV7" i="13"/>
  <c r="CN7" i="13"/>
  <c r="CF7" i="13"/>
  <c r="BX7" i="13"/>
  <c r="BP7" i="13"/>
  <c r="BH7" i="13"/>
  <c r="AZ7" i="13"/>
  <c r="AR7" i="13"/>
  <c r="AJ7" i="13"/>
  <c r="AB7" i="13"/>
  <c r="T7" i="13"/>
  <c r="L7" i="13"/>
  <c r="D7" i="13"/>
  <c r="EY6" i="13"/>
  <c r="EQ6" i="13"/>
  <c r="EI6" i="13"/>
  <c r="EA6" i="13"/>
  <c r="DS6" i="13"/>
  <c r="DK6" i="13"/>
  <c r="DC6" i="13"/>
  <c r="CU6" i="13"/>
  <c r="CM6" i="13"/>
  <c r="CE6" i="13"/>
  <c r="BW6" i="13"/>
  <c r="BO6" i="13"/>
  <c r="BG6" i="13"/>
  <c r="AY6" i="13"/>
  <c r="AQ6" i="13"/>
  <c r="AI6" i="13"/>
  <c r="AA6" i="13"/>
  <c r="S6" i="13"/>
  <c r="K6" i="13"/>
  <c r="C6" i="13"/>
  <c r="AN20" i="14"/>
  <c r="AF20" i="14"/>
  <c r="X20" i="14"/>
  <c r="P20" i="14"/>
  <c r="H20" i="14"/>
  <c r="AK19" i="14"/>
  <c r="AC19" i="14"/>
  <c r="U19" i="14"/>
  <c r="M19" i="14"/>
  <c r="AP18" i="14"/>
  <c r="AH18" i="14"/>
  <c r="Z18" i="14"/>
  <c r="R18" i="14"/>
  <c r="J18" i="14"/>
  <c r="AM17" i="14"/>
  <c r="AE17" i="14"/>
  <c r="W17" i="14"/>
  <c r="O17" i="14"/>
  <c r="G17" i="14"/>
  <c r="AJ16" i="14"/>
  <c r="AB16" i="14"/>
  <c r="T16" i="14"/>
  <c r="L16" i="14"/>
  <c r="AO15" i="14"/>
  <c r="AG15" i="14"/>
  <c r="Y15" i="14"/>
  <c r="Q15" i="14"/>
  <c r="I15" i="14"/>
  <c r="AL14" i="14"/>
  <c r="AD14" i="14"/>
  <c r="V14" i="14"/>
  <c r="N14" i="14"/>
  <c r="F14" i="14"/>
  <c r="AI13" i="14"/>
  <c r="AA13" i="14"/>
  <c r="S13" i="14"/>
  <c r="K13" i="14"/>
  <c r="AN12" i="14"/>
  <c r="AF12" i="14"/>
  <c r="X12" i="14"/>
  <c r="P12" i="14"/>
  <c r="H12" i="14"/>
  <c r="AK11" i="14"/>
  <c r="AC11" i="14"/>
  <c r="U11" i="14"/>
  <c r="M11" i="14"/>
  <c r="AN10" i="14"/>
  <c r="X10" i="14"/>
  <c r="H10" i="14"/>
  <c r="AC9" i="14"/>
  <c r="M9" i="14"/>
  <c r="AH8" i="14"/>
  <c r="R8" i="14"/>
  <c r="AM7" i="14"/>
  <c r="W7" i="14"/>
  <c r="AP6" i="14"/>
  <c r="T6" i="14"/>
  <c r="T11" i="14"/>
  <c r="L11" i="14"/>
  <c r="AL10" i="14"/>
  <c r="V10" i="14"/>
  <c r="F10" i="14"/>
  <c r="AA9" i="14"/>
  <c r="K9" i="14"/>
  <c r="AF8" i="14"/>
  <c r="P8" i="14"/>
  <c r="AK7" i="14"/>
  <c r="U7" i="14"/>
  <c r="AK6" i="14"/>
  <c r="R6" i="14"/>
  <c r="AK20" i="14"/>
  <c r="AC20" i="14"/>
  <c r="U20" i="14"/>
  <c r="M20" i="14"/>
  <c r="AP19" i="14"/>
  <c r="AH19" i="14"/>
  <c r="Z19" i="14"/>
  <c r="R19" i="14"/>
  <c r="J19" i="14"/>
  <c r="AM18" i="14"/>
  <c r="AE18" i="14"/>
  <c r="W18" i="14"/>
  <c r="O18" i="14"/>
  <c r="G18" i="14"/>
  <c r="AJ17" i="14"/>
  <c r="AB17" i="14"/>
  <c r="T17" i="14"/>
  <c r="L17" i="14"/>
  <c r="AO16" i="14"/>
  <c r="AG16" i="14"/>
  <c r="Y16" i="14"/>
  <c r="Q16" i="14"/>
  <c r="I16" i="14"/>
  <c r="AL15" i="14"/>
  <c r="AD15" i="14"/>
  <c r="V15" i="14"/>
  <c r="N15" i="14"/>
  <c r="F15" i="14"/>
  <c r="AI14" i="14"/>
  <c r="AA14" i="14"/>
  <c r="S14" i="14"/>
  <c r="K14" i="14"/>
  <c r="AN13" i="14"/>
  <c r="AF13" i="14"/>
  <c r="X13" i="14"/>
  <c r="P13" i="14"/>
  <c r="H13" i="14"/>
  <c r="AK12" i="14"/>
  <c r="AC12" i="14"/>
  <c r="U12" i="14"/>
  <c r="M12" i="14"/>
  <c r="AP11" i="14"/>
  <c r="AH11" i="14"/>
  <c r="Z11" i="14"/>
  <c r="R11" i="14"/>
  <c r="I11" i="14"/>
  <c r="AG10" i="14"/>
  <c r="Q10" i="14"/>
  <c r="AL9" i="14"/>
  <c r="V9" i="14"/>
  <c r="F9" i="14"/>
  <c r="AA8" i="14"/>
  <c r="K8" i="14"/>
  <c r="AF7" i="14"/>
  <c r="P7" i="14"/>
  <c r="AH6" i="14"/>
  <c r="J11" i="14"/>
  <c r="AM10" i="14"/>
  <c r="AE10" i="14"/>
  <c r="W10" i="14"/>
  <c r="O10" i="14"/>
  <c r="G10" i="14"/>
  <c r="AJ9" i="14"/>
  <c r="AB9" i="14"/>
  <c r="T9" i="14"/>
  <c r="L9" i="14"/>
  <c r="AO8" i="14"/>
  <c r="AG8" i="14"/>
  <c r="Y8" i="14"/>
  <c r="Q8" i="14"/>
  <c r="I8" i="14"/>
  <c r="AL7" i="14"/>
  <c r="AD7" i="14"/>
  <c r="V7" i="14"/>
  <c r="N7" i="14"/>
  <c r="F7" i="14"/>
  <c r="AI6" i="14"/>
  <c r="AA6" i="14"/>
  <c r="S6" i="14"/>
  <c r="K6" i="14"/>
  <c r="AK10" i="14"/>
  <c r="AC10" i="14"/>
  <c r="U10" i="14"/>
  <c r="M10" i="14"/>
  <c r="AP9" i="14"/>
  <c r="AH9" i="14"/>
  <c r="Z9" i="14"/>
  <c r="R9" i="14"/>
  <c r="J9" i="14"/>
  <c r="AM8" i="14"/>
  <c r="AE8" i="14"/>
  <c r="W8" i="14"/>
  <c r="O8" i="14"/>
  <c r="G8" i="14"/>
  <c r="AJ7" i="14"/>
  <c r="AB7" i="14"/>
  <c r="T7" i="14"/>
  <c r="L7" i="14"/>
  <c r="AO6" i="14"/>
  <c r="AG6" i="14"/>
  <c r="Y6" i="14"/>
  <c r="Q6" i="14"/>
  <c r="I6" i="14"/>
  <c r="G11" i="14"/>
  <c r="AJ10" i="14"/>
  <c r="AB10" i="14"/>
  <c r="T10" i="14"/>
  <c r="L10" i="14"/>
  <c r="AO9" i="14"/>
  <c r="AG9" i="14"/>
  <c r="Y9" i="14"/>
  <c r="Q9" i="14"/>
  <c r="I9" i="14"/>
  <c r="AL8" i="14"/>
  <c r="AD8" i="14"/>
  <c r="V8" i="14"/>
  <c r="N8" i="14"/>
  <c r="F8" i="14"/>
  <c r="AI7" i="14"/>
  <c r="AA7" i="14"/>
  <c r="S7" i="14"/>
  <c r="K7" i="14"/>
  <c r="AN6" i="14"/>
  <c r="AF6" i="14"/>
  <c r="X6" i="14"/>
  <c r="P6" i="14"/>
  <c r="H6" i="14"/>
  <c r="AI10" i="14"/>
  <c r="AA10" i="14"/>
  <c r="S10" i="14"/>
  <c r="K10" i="14"/>
  <c r="AN9" i="14"/>
  <c r="AF9" i="14"/>
  <c r="X9" i="14"/>
  <c r="P9" i="14"/>
  <c r="H9" i="14"/>
  <c r="AK8" i="14"/>
  <c r="AC8" i="14"/>
  <c r="U8" i="14"/>
  <c r="M8" i="14"/>
  <c r="AP7" i="14"/>
  <c r="AH7" i="14"/>
  <c r="Z7" i="14"/>
  <c r="R7" i="14"/>
  <c r="J7" i="14"/>
  <c r="AM6" i="14"/>
  <c r="AE6" i="14"/>
  <c r="W6" i="14"/>
  <c r="O6" i="14"/>
  <c r="G6" i="14"/>
  <c r="I7" i="14"/>
  <c r="AL6" i="14"/>
  <c r="AD6" i="14"/>
  <c r="V6" i="14"/>
  <c r="N6" i="14"/>
  <c r="C2" i="14"/>
  <c r="AT26" i="14"/>
  <c r="C3" i="12"/>
  <c r="C26" i="12" s="1"/>
  <c r="AS26" i="12"/>
  <c r="D2" i="12"/>
  <c r="AT26" i="12"/>
  <c r="C3" i="10"/>
  <c r="C26" i="10" s="1"/>
  <c r="AT26" i="10"/>
  <c r="D3" i="10"/>
  <c r="D26" i="10" s="1"/>
  <c r="AO21" i="10"/>
  <c r="CS23" i="9"/>
  <c r="AS11" i="14" l="1"/>
  <c r="AT8" i="14"/>
  <c r="AT12" i="14"/>
  <c r="AS14" i="14"/>
  <c r="AS12" i="14"/>
  <c r="AT9" i="14"/>
  <c r="AT11" i="14"/>
  <c r="AS10" i="14"/>
  <c r="AS9" i="14"/>
  <c r="AT10" i="14"/>
  <c r="AT14" i="14"/>
  <c r="AS10" i="12"/>
  <c r="AT7" i="14"/>
  <c r="AT24" i="12"/>
  <c r="AT10" i="12"/>
  <c r="AR6" i="14"/>
  <c r="AS7" i="14"/>
  <c r="AS15" i="12"/>
  <c r="AT20" i="12"/>
  <c r="AS7" i="12"/>
  <c r="AS8" i="14"/>
  <c r="AS18" i="12"/>
  <c r="AS6" i="14"/>
  <c r="AS20" i="12"/>
  <c r="AT18" i="12"/>
  <c r="AS8" i="12"/>
  <c r="AT16" i="12"/>
  <c r="AT19" i="12"/>
  <c r="AT15" i="12"/>
  <c r="AT13" i="12"/>
  <c r="AT6" i="14"/>
  <c r="AP39" i="12"/>
  <c r="AS22" i="12"/>
  <c r="AT6" i="12"/>
  <c r="AS4" i="12"/>
  <c r="AS19" i="12"/>
  <c r="AS13" i="12"/>
  <c r="AT12" i="12"/>
  <c r="AT4" i="12"/>
  <c r="AS23" i="12"/>
  <c r="AT8" i="12"/>
  <c r="AS16" i="12"/>
  <c r="AS21" i="12"/>
  <c r="AS9" i="12"/>
  <c r="AT23" i="12"/>
  <c r="AS6" i="12"/>
  <c r="AT21" i="12"/>
  <c r="AS14" i="12"/>
  <c r="AT17" i="12"/>
  <c r="AS17" i="12"/>
  <c r="AT14" i="12"/>
  <c r="AS12" i="12"/>
  <c r="AT9" i="12"/>
  <c r="AT11" i="12"/>
  <c r="AS11" i="12"/>
  <c r="AT22" i="12"/>
  <c r="AS24" i="12"/>
  <c r="AT7" i="12"/>
  <c r="W46" i="12"/>
  <c r="AM45" i="12"/>
  <c r="F39" i="12"/>
  <c r="AR22" i="12"/>
  <c r="AR15" i="12"/>
  <c r="AR9" i="12"/>
  <c r="AR18" i="12"/>
  <c r="AR12" i="12"/>
  <c r="AR10" i="12"/>
  <c r="AR20" i="12"/>
  <c r="AR13" i="12"/>
  <c r="AR24" i="12"/>
  <c r="AR21" i="12"/>
  <c r="AR14" i="12"/>
  <c r="AR6" i="12"/>
  <c r="AR17" i="12"/>
  <c r="AR11" i="12"/>
  <c r="AR7" i="12"/>
  <c r="AR19" i="12"/>
  <c r="AR23" i="12"/>
  <c r="AR8" i="12"/>
  <c r="AM36" i="12"/>
  <c r="AR16" i="12"/>
  <c r="AR4" i="12"/>
  <c r="AF37" i="12"/>
  <c r="O46" i="12"/>
  <c r="D24" i="14"/>
  <c r="D22" i="14"/>
  <c r="D16" i="14"/>
  <c r="D14" i="14"/>
  <c r="D11" i="14"/>
  <c r="D21" i="14"/>
  <c r="D23" i="14"/>
  <c r="S5" i="14"/>
  <c r="G35" i="12"/>
  <c r="AP35" i="12"/>
  <c r="F48" i="12"/>
  <c r="AM33" i="12"/>
  <c r="V35" i="12"/>
  <c r="J31" i="12"/>
  <c r="AL34" i="12"/>
  <c r="AP47" i="12"/>
  <c r="X31" i="12"/>
  <c r="O28" i="12"/>
  <c r="AL44" i="12"/>
  <c r="V33" i="12"/>
  <c r="M43" i="12"/>
  <c r="AF31" i="12"/>
  <c r="G39" i="12"/>
  <c r="AF35" i="12"/>
  <c r="J41" i="12"/>
  <c r="V40" i="12"/>
  <c r="G34" i="12"/>
  <c r="G41" i="12"/>
  <c r="AP34" i="12"/>
  <c r="AP33" i="12"/>
  <c r="G46" i="12"/>
  <c r="AP45" i="12"/>
  <c r="AP41" i="12"/>
  <c r="G38" i="12"/>
  <c r="G42" i="12"/>
  <c r="G47" i="12"/>
  <c r="J44" i="12"/>
  <c r="G33" i="12"/>
  <c r="G28" i="12"/>
  <c r="J43" i="12"/>
  <c r="AM38" i="12"/>
  <c r="AM40" i="12"/>
  <c r="AP46" i="12"/>
  <c r="G45" i="12"/>
  <c r="G43" i="12"/>
  <c r="AN31" i="12"/>
  <c r="M28" i="12"/>
  <c r="AM42" i="12"/>
  <c r="AM46" i="12"/>
  <c r="AM48" i="12"/>
  <c r="AP28" i="12"/>
  <c r="V48" i="12"/>
  <c r="AL43" i="12"/>
  <c r="AM35" i="12"/>
  <c r="AP42" i="12"/>
  <c r="AM44" i="12"/>
  <c r="AP43" i="12"/>
  <c r="AM43" i="12"/>
  <c r="AN28" i="12"/>
  <c r="AP31" i="12"/>
  <c r="AM34" i="12"/>
  <c r="AM31" i="12"/>
  <c r="AP38" i="12"/>
  <c r="AM47" i="12"/>
  <c r="AM32" i="12"/>
  <c r="AE34" i="12"/>
  <c r="J39" i="12"/>
  <c r="AP36" i="12"/>
  <c r="J47" i="12"/>
  <c r="AP40" i="12"/>
  <c r="J45" i="12"/>
  <c r="J34" i="12"/>
  <c r="J40" i="12"/>
  <c r="W31" i="12"/>
  <c r="DE5" i="11"/>
  <c r="AM39" i="12"/>
  <c r="O41" i="12"/>
  <c r="AL28" i="12"/>
  <c r="AM37" i="12"/>
  <c r="V32" i="12"/>
  <c r="V44" i="12"/>
  <c r="V34" i="12"/>
  <c r="Z42" i="12"/>
  <c r="AP44" i="12"/>
  <c r="AM41" i="12"/>
  <c r="AP32" i="12"/>
  <c r="V45" i="12"/>
  <c r="V36" i="12"/>
  <c r="AE31" i="12"/>
  <c r="AE39" i="12"/>
  <c r="Z33" i="12"/>
  <c r="Z46" i="12"/>
  <c r="V41" i="12"/>
  <c r="AP37" i="12"/>
  <c r="ET5" i="11"/>
  <c r="V5" i="11"/>
  <c r="AE42" i="12"/>
  <c r="W47" i="12"/>
  <c r="F35" i="12"/>
  <c r="AP48" i="12"/>
  <c r="Z32" i="12"/>
  <c r="AE45" i="12"/>
  <c r="G40" i="12"/>
  <c r="AE43" i="12"/>
  <c r="G36" i="12"/>
  <c r="G32" i="12"/>
  <c r="Z35" i="12"/>
  <c r="AE40" i="12"/>
  <c r="J38" i="12"/>
  <c r="AE47" i="12"/>
  <c r="W28" i="12"/>
  <c r="AE36" i="12"/>
  <c r="AE35" i="12"/>
  <c r="G48" i="12"/>
  <c r="AE32" i="12"/>
  <c r="Z36" i="12"/>
  <c r="V43" i="12"/>
  <c r="G44" i="12"/>
  <c r="Z38" i="12"/>
  <c r="J48" i="12"/>
  <c r="AE48" i="12"/>
  <c r="V46" i="12"/>
  <c r="J35" i="12"/>
  <c r="Z45" i="12"/>
  <c r="J36" i="12"/>
  <c r="AE37" i="12"/>
  <c r="Z39" i="12"/>
  <c r="AE33" i="12"/>
  <c r="Z34" i="12"/>
  <c r="Z41" i="12"/>
  <c r="Z31" i="12"/>
  <c r="Z43" i="12"/>
  <c r="Z47" i="12"/>
  <c r="Z40" i="12"/>
  <c r="AE46" i="12"/>
  <c r="V31" i="12"/>
  <c r="G37" i="12"/>
  <c r="J37" i="12"/>
  <c r="G31" i="12"/>
  <c r="AE44" i="12"/>
  <c r="AE41" i="12"/>
  <c r="V38" i="12"/>
  <c r="Z48" i="12"/>
  <c r="V42" i="12"/>
  <c r="V39" i="12"/>
  <c r="J32" i="12"/>
  <c r="J33" i="12"/>
  <c r="AE38" i="12"/>
  <c r="Z44" i="12"/>
  <c r="V37" i="12"/>
  <c r="V47" i="12"/>
  <c r="J42" i="12"/>
  <c r="J46" i="12"/>
  <c r="Z37" i="12"/>
  <c r="AR7" i="14"/>
  <c r="AZ5" i="11"/>
  <c r="ER5" i="11"/>
  <c r="CH5" i="11"/>
  <c r="AL31" i="12"/>
  <c r="O43" i="12"/>
  <c r="O38" i="12"/>
  <c r="W44" i="12"/>
  <c r="AL47" i="12"/>
  <c r="W43" i="12"/>
  <c r="AL46" i="12"/>
  <c r="AL33" i="12"/>
  <c r="O45" i="12"/>
  <c r="AL35" i="12"/>
  <c r="W41" i="12"/>
  <c r="O40" i="12"/>
  <c r="AL45" i="12"/>
  <c r="AL42" i="12"/>
  <c r="W30" i="12"/>
  <c r="W42" i="12"/>
  <c r="W40" i="12"/>
  <c r="O39" i="12"/>
  <c r="O48" i="12"/>
  <c r="O42" i="12"/>
  <c r="W36" i="12"/>
  <c r="AL39" i="12"/>
  <c r="AL40" i="12"/>
  <c r="AL48" i="12"/>
  <c r="W45" i="12"/>
  <c r="AJ33" i="12"/>
  <c r="O44" i="12"/>
  <c r="AF33" i="12"/>
  <c r="AL38" i="12"/>
  <c r="W39" i="12"/>
  <c r="W48" i="12"/>
  <c r="O33" i="12"/>
  <c r="W38" i="12"/>
  <c r="W37" i="12"/>
  <c r="O35" i="12"/>
  <c r="W34" i="12"/>
  <c r="O32" i="12"/>
  <c r="O36" i="12"/>
  <c r="AL32" i="12"/>
  <c r="O37" i="12"/>
  <c r="W32" i="12"/>
  <c r="W35" i="12"/>
  <c r="O34" i="12"/>
  <c r="O31" i="12"/>
  <c r="AL36" i="12"/>
  <c r="AL37" i="12"/>
  <c r="AL41" i="12"/>
  <c r="O47" i="12"/>
  <c r="W33" i="12"/>
  <c r="EI22" i="9"/>
  <c r="EK24" i="9"/>
  <c r="ES24" i="9"/>
  <c r="S20" i="10"/>
  <c r="AC18" i="10"/>
  <c r="L15" i="10"/>
  <c r="W8" i="10"/>
  <c r="AH23" i="10"/>
  <c r="AL20" i="10"/>
  <c r="O16" i="10"/>
  <c r="K10" i="10"/>
  <c r="AG23" i="10"/>
  <c r="AD19" i="10"/>
  <c r="DI23" i="9"/>
  <c r="N24" i="10"/>
  <c r="S23" i="10"/>
  <c r="V24" i="10"/>
  <c r="Y14" i="10"/>
  <c r="AB7" i="10"/>
  <c r="Z23" i="10"/>
  <c r="Q20" i="10"/>
  <c r="AE15" i="10"/>
  <c r="P9" i="10"/>
  <c r="Y23" i="10"/>
  <c r="AN17" i="10"/>
  <c r="CD24" i="9"/>
  <c r="I22" i="10"/>
  <c r="AI19" i="10"/>
  <c r="AE22" i="10"/>
  <c r="AD13" i="10"/>
  <c r="I6" i="10"/>
  <c r="R23" i="10"/>
  <c r="AF19" i="10"/>
  <c r="J15" i="10"/>
  <c r="U8" i="10"/>
  <c r="Q23" i="10"/>
  <c r="M16" i="10"/>
  <c r="DL22" i="9"/>
  <c r="EH24" i="9"/>
  <c r="F24" i="10"/>
  <c r="AL24" i="10"/>
  <c r="H18" i="10"/>
  <c r="AI12" i="10"/>
  <c r="AK24" i="10"/>
  <c r="J23" i="10"/>
  <c r="K19" i="10"/>
  <c r="W14" i="10"/>
  <c r="Z7" i="10"/>
  <c r="I23" i="10"/>
  <c r="Y21" i="10"/>
  <c r="K23" i="10"/>
  <c r="X17" i="10"/>
  <c r="AN11" i="10"/>
  <c r="AC24" i="10"/>
  <c r="AM22" i="10"/>
  <c r="AA18" i="10"/>
  <c r="AB13" i="10"/>
  <c r="AJ24" i="10"/>
  <c r="Y22" i="10"/>
  <c r="AG23" i="9"/>
  <c r="FE23" i="9"/>
  <c r="BK6" i="9"/>
  <c r="DW6" i="9"/>
  <c r="BD6" i="9"/>
  <c r="DP6" i="9"/>
  <c r="Y7" i="9"/>
  <c r="CK7" i="9"/>
  <c r="EW7" i="9"/>
  <c r="BF8" i="9"/>
  <c r="AO6" i="9"/>
  <c r="DA6" i="9"/>
  <c r="J7" i="9"/>
  <c r="J6" i="9"/>
  <c r="BV6" i="9"/>
  <c r="EH6" i="9"/>
  <c r="AQ7" i="9"/>
  <c r="DC7" i="9"/>
  <c r="L8" i="9"/>
  <c r="BX8" i="9"/>
  <c r="AY6" i="9"/>
  <c r="DK6" i="9"/>
  <c r="T7" i="9"/>
  <c r="CF7" i="9"/>
  <c r="ER7" i="9"/>
  <c r="BA8" i="9"/>
  <c r="AZ6" i="9"/>
  <c r="DL6" i="9"/>
  <c r="U7" i="9"/>
  <c r="CG7" i="9"/>
  <c r="ES7" i="9"/>
  <c r="BB8" i="9"/>
  <c r="N7" i="9"/>
  <c r="EX7" i="9"/>
  <c r="CV8" i="9"/>
  <c r="E9" i="9"/>
  <c r="BQ9" i="9"/>
  <c r="EC9" i="9"/>
  <c r="AL10" i="9"/>
  <c r="CX10" i="9"/>
  <c r="G11" i="9"/>
  <c r="BS11" i="9"/>
  <c r="EU6" i="9"/>
  <c r="EL7" i="9"/>
  <c r="CO8" i="9"/>
  <c r="FA8" i="9"/>
  <c r="BJ9" i="9"/>
  <c r="DV9" i="9"/>
  <c r="AE10" i="9"/>
  <c r="CQ10" i="9"/>
  <c r="FC10" i="9"/>
  <c r="BL11" i="9"/>
  <c r="BQ6" i="9"/>
  <c r="CQ7" i="9"/>
  <c r="BL8" i="9"/>
  <c r="ED8" i="9"/>
  <c r="AM9" i="9"/>
  <c r="CY9" i="9"/>
  <c r="H10" i="9"/>
  <c r="DL24" i="9"/>
  <c r="DF24" i="9"/>
  <c r="G6" i="9"/>
  <c r="BS6" i="9"/>
  <c r="EE6" i="9"/>
  <c r="BL6" i="9"/>
  <c r="DX6" i="9"/>
  <c r="AG7" i="9"/>
  <c r="CS7" i="9"/>
  <c r="FE7" i="9"/>
  <c r="BN8" i="9"/>
  <c r="AW6" i="9"/>
  <c r="DI6" i="9"/>
  <c r="R7" i="9"/>
  <c r="R6" i="9"/>
  <c r="CD6" i="9"/>
  <c r="EP6" i="9"/>
  <c r="AY7" i="9"/>
  <c r="DK7" i="9"/>
  <c r="T8" i="9"/>
  <c r="CF8" i="9"/>
  <c r="BG6" i="9"/>
  <c r="DS6" i="9"/>
  <c r="AB7" i="9"/>
  <c r="CN7" i="9"/>
  <c r="EZ7" i="9"/>
  <c r="BI8" i="9"/>
  <c r="BH6" i="9"/>
  <c r="DT6" i="9"/>
  <c r="AC7" i="9"/>
  <c r="CO7" i="9"/>
  <c r="FA7" i="9"/>
  <c r="BJ8" i="9"/>
  <c r="AF7" i="9"/>
  <c r="K8" i="9"/>
  <c r="DD8" i="9"/>
  <c r="M9" i="9"/>
  <c r="BY9" i="9"/>
  <c r="EK9" i="9"/>
  <c r="AT10" i="9"/>
  <c r="DF10" i="9"/>
  <c r="O11" i="9"/>
  <c r="CA11" i="9"/>
  <c r="O7" i="9"/>
  <c r="FB7" i="9"/>
  <c r="CW8" i="9"/>
  <c r="F9" i="9"/>
  <c r="BR9" i="9"/>
  <c r="ED9" i="9"/>
  <c r="AM10" i="9"/>
  <c r="CY10" i="9"/>
  <c r="H11" i="9"/>
  <c r="BT11" i="9"/>
  <c r="CW6" i="9"/>
  <c r="DG7" i="9"/>
  <c r="AH24" i="9"/>
  <c r="R24" i="9"/>
  <c r="O6" i="9"/>
  <c r="CA6" i="9"/>
  <c r="H6" i="9"/>
  <c r="BT6" i="9"/>
  <c r="EF6" i="9"/>
  <c r="AO7" i="9"/>
  <c r="DA7" i="9"/>
  <c r="J8" i="9"/>
  <c r="BV8" i="9"/>
  <c r="BE6" i="9"/>
  <c r="DQ6" i="9"/>
  <c r="Z7" i="9"/>
  <c r="Z6" i="9"/>
  <c r="CL6" i="9"/>
  <c r="EX6" i="9"/>
  <c r="BG7" i="9"/>
  <c r="DS7" i="9"/>
  <c r="AB8" i="9"/>
  <c r="C6" i="9"/>
  <c r="BO6" i="9"/>
  <c r="EA6" i="9"/>
  <c r="AJ7" i="9"/>
  <c r="CV7" i="9"/>
  <c r="E8" i="9"/>
  <c r="D6" i="9"/>
  <c r="BP6" i="9"/>
  <c r="EB6" i="9"/>
  <c r="AK7" i="9"/>
  <c r="CW7" i="9"/>
  <c r="F8" i="9"/>
  <c r="E6" i="9"/>
  <c r="BC7" i="9"/>
  <c r="AA8" i="9"/>
  <c r="DL8" i="9"/>
  <c r="U9" i="9"/>
  <c r="CG9" i="9"/>
  <c r="ES9" i="9"/>
  <c r="BB10" i="9"/>
  <c r="DN10" i="9"/>
  <c r="W11" i="9"/>
  <c r="CI11" i="9"/>
  <c r="AL7" i="9"/>
  <c r="O8" i="9"/>
  <c r="DE8" i="9"/>
  <c r="N9" i="9"/>
  <c r="BZ9" i="9"/>
  <c r="EL9" i="9"/>
  <c r="AU10" i="9"/>
  <c r="DG10" i="9"/>
  <c r="P11" i="9"/>
  <c r="CB11" i="9"/>
  <c r="EC6" i="9"/>
  <c r="DW7" i="9"/>
  <c r="CH8" i="9"/>
  <c r="ET8" i="9"/>
  <c r="BC9" i="9"/>
  <c r="DO9" i="9"/>
  <c r="X10" i="9"/>
  <c r="CJ10" i="9"/>
  <c r="EV10" i="9"/>
  <c r="BE11" i="9"/>
  <c r="AL6" i="9"/>
  <c r="CB7" i="9"/>
  <c r="FC6" i="9"/>
  <c r="EP7" i="9"/>
  <c r="CR8" i="9"/>
  <c r="FD8" i="9"/>
  <c r="BM9" i="9"/>
  <c r="DY9" i="9"/>
  <c r="AH10" i="9"/>
  <c r="CT10" i="9"/>
  <c r="C11" i="9"/>
  <c r="BO11" i="9"/>
  <c r="X7" i="9"/>
  <c r="G8" i="9"/>
  <c r="DA8" i="9"/>
  <c r="J9" i="9"/>
  <c r="BV9" i="9"/>
  <c r="EH9" i="9"/>
  <c r="AQ10" i="9"/>
  <c r="DC10" i="9"/>
  <c r="L11" i="9"/>
  <c r="EM6" i="9"/>
  <c r="BM23" i="9"/>
  <c r="AW23" i="9"/>
  <c r="W6" i="9"/>
  <c r="CI6" i="9"/>
  <c r="P6" i="9"/>
  <c r="CB6" i="9"/>
  <c r="EN6" i="9"/>
  <c r="AW7" i="9"/>
  <c r="DI7" i="9"/>
  <c r="R8" i="9"/>
  <c r="CD8" i="9"/>
  <c r="BM6" i="9"/>
  <c r="DY6" i="9"/>
  <c r="AH7" i="9"/>
  <c r="AH6" i="9"/>
  <c r="CT6" i="9"/>
  <c r="C7" i="9"/>
  <c r="BO7" i="9"/>
  <c r="EA7" i="9"/>
  <c r="AJ8" i="9"/>
  <c r="K6" i="9"/>
  <c r="BW6" i="9"/>
  <c r="EI6" i="9"/>
  <c r="AR7" i="9"/>
  <c r="DD7" i="9"/>
  <c r="M8" i="9"/>
  <c r="L6" i="9"/>
  <c r="BX6" i="9"/>
  <c r="EJ6" i="9"/>
  <c r="AS7" i="9"/>
  <c r="DE7" i="9"/>
  <c r="N8" i="9"/>
  <c r="AC6" i="9"/>
  <c r="BV7" i="9"/>
  <c r="AQ8" i="9"/>
  <c r="DT8" i="9"/>
  <c r="AC9" i="9"/>
  <c r="CO9" i="9"/>
  <c r="FA9" i="9"/>
  <c r="BJ10" i="9"/>
  <c r="DV10" i="9"/>
  <c r="AE11" i="9"/>
  <c r="CQ11" i="9"/>
  <c r="BD7" i="9"/>
  <c r="AE8" i="9"/>
  <c r="DM8" i="9"/>
  <c r="V9" i="9"/>
  <c r="CH9" i="9"/>
  <c r="ET9" i="9"/>
  <c r="BC10" i="9"/>
  <c r="DO10" i="9"/>
  <c r="X11" i="9"/>
  <c r="CJ11" i="9"/>
  <c r="FA6" i="9"/>
  <c r="EM7" i="9"/>
  <c r="CP8" i="9"/>
  <c r="FB8" i="9"/>
  <c r="BK9" i="9"/>
  <c r="DW9" i="9"/>
  <c r="AF10" i="9"/>
  <c r="CR10" i="9"/>
  <c r="FD10" i="9"/>
  <c r="BM11" i="9"/>
  <c r="BR6" i="9"/>
  <c r="CR7" i="9"/>
  <c r="W7" i="9"/>
  <c r="C8" i="9"/>
  <c r="CZ8" i="9"/>
  <c r="I9" i="9"/>
  <c r="BU9" i="9"/>
  <c r="EG9" i="9"/>
  <c r="AP10" i="9"/>
  <c r="DB10" i="9"/>
  <c r="K11" i="9"/>
  <c r="BW11" i="9"/>
  <c r="AU7" i="9"/>
  <c r="W8" i="9"/>
  <c r="DI8" i="9"/>
  <c r="R9" i="9"/>
  <c r="CD9" i="9"/>
  <c r="EP9" i="9"/>
  <c r="AY10" i="9"/>
  <c r="DK10" i="9"/>
  <c r="T11" i="9"/>
  <c r="G7" i="9"/>
  <c r="DT24" i="9"/>
  <c r="AE6" i="9"/>
  <c r="CQ6" i="9"/>
  <c r="X6" i="9"/>
  <c r="CJ6" i="9"/>
  <c r="EV6" i="9"/>
  <c r="BE7" i="9"/>
  <c r="DQ7" i="9"/>
  <c r="Z8" i="9"/>
  <c r="I6" i="9"/>
  <c r="BU6" i="9"/>
  <c r="EG6" i="9"/>
  <c r="AP7" i="9"/>
  <c r="AP6" i="9"/>
  <c r="DB6" i="9"/>
  <c r="K7" i="9"/>
  <c r="BW7" i="9"/>
  <c r="EI7" i="9"/>
  <c r="AR8" i="9"/>
  <c r="S6" i="9"/>
  <c r="CE6" i="9"/>
  <c r="EQ6" i="9"/>
  <c r="AZ7" i="9"/>
  <c r="DL7" i="9"/>
  <c r="U8" i="9"/>
  <c r="T6" i="9"/>
  <c r="CF6" i="9"/>
  <c r="ER6" i="9"/>
  <c r="BA7" i="9"/>
  <c r="DM7" i="9"/>
  <c r="V8" i="9"/>
  <c r="BI6" i="9"/>
  <c r="CL7" i="9"/>
  <c r="BG8" i="9"/>
  <c r="EB8" i="9"/>
  <c r="AK9" i="9"/>
  <c r="CW9" i="9"/>
  <c r="F10" i="9"/>
  <c r="BR10" i="9"/>
  <c r="ED10" i="9"/>
  <c r="AM11" i="9"/>
  <c r="AD6" i="9"/>
  <c r="BZ7" i="9"/>
  <c r="AU8" i="9"/>
  <c r="DU8" i="9"/>
  <c r="AD9" i="9"/>
  <c r="CP9" i="9"/>
  <c r="FB9" i="9"/>
  <c r="BK10" i="9"/>
  <c r="DW10" i="9"/>
  <c r="AF11" i="9"/>
  <c r="CR11" i="9"/>
  <c r="P7" i="9"/>
  <c r="FC7" i="9"/>
  <c r="CX8" i="9"/>
  <c r="G9" i="9"/>
  <c r="BS9" i="9"/>
  <c r="EE9" i="9"/>
  <c r="AN10" i="9"/>
  <c r="CZ10" i="9"/>
  <c r="I11" i="9"/>
  <c r="BU11" i="9"/>
  <c r="CX6" i="9"/>
  <c r="DH7" i="9"/>
  <c r="AT7" i="9"/>
  <c r="S8" i="9"/>
  <c r="DH8" i="9"/>
  <c r="Q9" i="9"/>
  <c r="CC9" i="9"/>
  <c r="EO9" i="9"/>
  <c r="AX10" i="9"/>
  <c r="DJ10" i="9"/>
  <c r="S11" i="9"/>
  <c r="AX24" i="9"/>
  <c r="AM6" i="9"/>
  <c r="CY6" i="9"/>
  <c r="AF6" i="9"/>
  <c r="CR6" i="9"/>
  <c r="FD6" i="9"/>
  <c r="BM7" i="9"/>
  <c r="DY7" i="9"/>
  <c r="AH8" i="9"/>
  <c r="Q6" i="9"/>
  <c r="CC6" i="9"/>
  <c r="EO6" i="9"/>
  <c r="AX7" i="9"/>
  <c r="AX6" i="9"/>
  <c r="DJ6" i="9"/>
  <c r="S7" i="9"/>
  <c r="CE7" i="9"/>
  <c r="EQ7" i="9"/>
  <c r="AZ8" i="9"/>
  <c r="AA6" i="9"/>
  <c r="CM6" i="9"/>
  <c r="EY6" i="9"/>
  <c r="BH7" i="9"/>
  <c r="DT7" i="9"/>
  <c r="AC8" i="9"/>
  <c r="AB6" i="9"/>
  <c r="CN6" i="9"/>
  <c r="EZ6" i="9"/>
  <c r="BI7" i="9"/>
  <c r="DU7" i="9"/>
  <c r="AD8" i="9"/>
  <c r="CO6" i="9"/>
  <c r="DB7" i="9"/>
  <c r="BT8" i="9"/>
  <c r="EJ8" i="9"/>
  <c r="AS9" i="9"/>
  <c r="DE9" i="9"/>
  <c r="N10" i="9"/>
  <c r="BZ10" i="9"/>
  <c r="EL10" i="9"/>
  <c r="AU11" i="9"/>
  <c r="BJ6" i="9"/>
  <c r="CP7" i="9"/>
  <c r="BK8" i="9"/>
  <c r="EC8" i="9"/>
  <c r="AL9" i="9"/>
  <c r="CX9" i="9"/>
  <c r="G10" i="9"/>
  <c r="BS10" i="9"/>
  <c r="EE10" i="9"/>
  <c r="AN11" i="9"/>
  <c r="CZ11" i="9"/>
  <c r="AM7" i="9"/>
  <c r="P8" i="9"/>
  <c r="DF8" i="9"/>
  <c r="O9" i="9"/>
  <c r="CA9" i="9"/>
  <c r="EM9" i="9"/>
  <c r="AV10" i="9"/>
  <c r="DH10" i="9"/>
  <c r="Q11" i="9"/>
  <c r="CC11" i="9"/>
  <c r="ED6" i="9"/>
  <c r="M6" i="9"/>
  <c r="BL7" i="9"/>
  <c r="AI8" i="9"/>
  <c r="DP8" i="9"/>
  <c r="Y9" i="9"/>
  <c r="CK9" i="9"/>
  <c r="EW9" i="9"/>
  <c r="BF10" i="9"/>
  <c r="DR10" i="9"/>
  <c r="AA11" i="9"/>
  <c r="AT6" i="9"/>
  <c r="CH7" i="9"/>
  <c r="BC8" i="9"/>
  <c r="DY8" i="9"/>
  <c r="AH9" i="9"/>
  <c r="CT9" i="9"/>
  <c r="C10" i="9"/>
  <c r="BO10" i="9"/>
  <c r="EA10" i="9"/>
  <c r="AJ11" i="9"/>
  <c r="AV7" i="9"/>
  <c r="CC23" i="9"/>
  <c r="EY24" i="9"/>
  <c r="AU6" i="9"/>
  <c r="DG6" i="9"/>
  <c r="AN6" i="9"/>
  <c r="CZ6" i="9"/>
  <c r="I7" i="9"/>
  <c r="BU7" i="9"/>
  <c r="EG7" i="9"/>
  <c r="AP8" i="9"/>
  <c r="Y6" i="9"/>
  <c r="CK6" i="9"/>
  <c r="EW6" i="9"/>
  <c r="BF7" i="9"/>
  <c r="BF6" i="9"/>
  <c r="DR6" i="9"/>
  <c r="AA7" i="9"/>
  <c r="CM7" i="9"/>
  <c r="EY7" i="9"/>
  <c r="BH8" i="9"/>
  <c r="AI6" i="9"/>
  <c r="CU6" i="9"/>
  <c r="D7" i="9"/>
  <c r="BP7" i="9"/>
  <c r="EB7" i="9"/>
  <c r="AK8" i="9"/>
  <c r="AJ6" i="9"/>
  <c r="CV6" i="9"/>
  <c r="E7" i="9"/>
  <c r="BQ7" i="9"/>
  <c r="EC7" i="9"/>
  <c r="AL8" i="9"/>
  <c r="DU6" i="9"/>
  <c r="DR7" i="9"/>
  <c r="CE8" i="9"/>
  <c r="ER8" i="9"/>
  <c r="BA9" i="9"/>
  <c r="DM9" i="9"/>
  <c r="V10" i="9"/>
  <c r="CH10" i="9"/>
  <c r="ET10" i="9"/>
  <c r="BC11" i="9"/>
  <c r="CP6" i="9"/>
  <c r="DF7" i="9"/>
  <c r="BU8" i="9"/>
  <c r="EK8" i="9"/>
  <c r="AT9" i="9"/>
  <c r="DF9" i="9"/>
  <c r="O10" i="9"/>
  <c r="CA10" i="9"/>
  <c r="EM10" i="9"/>
  <c r="AV11" i="9"/>
  <c r="DH11" i="9"/>
  <c r="BJ7" i="9"/>
  <c r="AF8" i="9"/>
  <c r="DN8" i="9"/>
  <c r="W9" i="9"/>
  <c r="CI9" i="9"/>
  <c r="EU9" i="9"/>
  <c r="BD10" i="9"/>
  <c r="DP10" i="9"/>
  <c r="Y11" i="9"/>
  <c r="CK11" i="9"/>
  <c r="FB6" i="9"/>
  <c r="AS6" i="9"/>
  <c r="CD7" i="9"/>
  <c r="AY8" i="9"/>
  <c r="DX8" i="9"/>
  <c r="AG9" i="9"/>
  <c r="CS9" i="9"/>
  <c r="FE9" i="9"/>
  <c r="BN10" i="9"/>
  <c r="DZ10" i="9"/>
  <c r="AI11" i="9"/>
  <c r="BZ6" i="9"/>
  <c r="CX7" i="9"/>
  <c r="BQ8" i="9"/>
  <c r="CX24" i="9"/>
  <c r="BC6" i="9"/>
  <c r="DO6" i="9"/>
  <c r="AV6" i="9"/>
  <c r="DH6" i="9"/>
  <c r="Q7" i="9"/>
  <c r="CC7" i="9"/>
  <c r="EO7" i="9"/>
  <c r="AX8" i="9"/>
  <c r="AG6" i="9"/>
  <c r="CS6" i="9"/>
  <c r="FE6" i="9"/>
  <c r="BN7" i="9"/>
  <c r="BN6" i="9"/>
  <c r="DZ6" i="9"/>
  <c r="AI7" i="9"/>
  <c r="CU7" i="9"/>
  <c r="D8" i="9"/>
  <c r="BP8" i="9"/>
  <c r="AQ6" i="9"/>
  <c r="DC6" i="9"/>
  <c r="L7" i="9"/>
  <c r="BX7" i="9"/>
  <c r="EJ7" i="9"/>
  <c r="AS8" i="9"/>
  <c r="AR6" i="9"/>
  <c r="DD6" i="9"/>
  <c r="M7" i="9"/>
  <c r="BY7" i="9"/>
  <c r="EK7" i="9"/>
  <c r="AT8" i="9"/>
  <c r="ET6" i="9"/>
  <c r="EH7" i="9"/>
  <c r="CN8" i="9"/>
  <c r="EZ8" i="9"/>
  <c r="BI9" i="9"/>
  <c r="DU9" i="9"/>
  <c r="AD10" i="9"/>
  <c r="CP10" i="9"/>
  <c r="FB10" i="9"/>
  <c r="BK11" i="9"/>
  <c r="DV6" i="9"/>
  <c r="DV7" i="9"/>
  <c r="CG8" i="9"/>
  <c r="ES8" i="9"/>
  <c r="BB9" i="9"/>
  <c r="DN9" i="9"/>
  <c r="W10" i="9"/>
  <c r="CI10" i="9"/>
  <c r="EU10" i="9"/>
  <c r="BD11" i="9"/>
  <c r="AK6" i="9"/>
  <c r="CA7" i="9"/>
  <c r="AV8" i="9"/>
  <c r="DV8" i="9"/>
  <c r="AE9" i="9"/>
  <c r="CQ9" i="9"/>
  <c r="FC9" i="9"/>
  <c r="BL10" i="9"/>
  <c r="DX10" i="9"/>
  <c r="AG11" i="9"/>
  <c r="CS11" i="9"/>
  <c r="V7" i="9"/>
  <c r="BY6" i="9"/>
  <c r="CT7" i="9"/>
  <c r="BO8" i="9"/>
  <c r="EF8" i="9"/>
  <c r="AO9" i="9"/>
  <c r="DA9" i="9"/>
  <c r="J10" i="9"/>
  <c r="BV10" i="9"/>
  <c r="EH10" i="9"/>
  <c r="AQ11" i="9"/>
  <c r="DF6" i="9"/>
  <c r="DN7" i="9"/>
  <c r="CA8" i="9"/>
  <c r="EO8" i="9"/>
  <c r="AX9" i="9"/>
  <c r="DJ9" i="9"/>
  <c r="S10" i="9"/>
  <c r="CE10" i="9"/>
  <c r="EQ10" i="9"/>
  <c r="BA6" i="9"/>
  <c r="CI7" i="9"/>
  <c r="DG9" i="9"/>
  <c r="DA11" i="9"/>
  <c r="BZ8" i="9"/>
  <c r="R10" i="9"/>
  <c r="N6" i="9"/>
  <c r="CS8" i="9"/>
  <c r="BN9" i="9"/>
  <c r="AI10" i="9"/>
  <c r="D11" i="9"/>
  <c r="DO7" i="9"/>
  <c r="CB8" i="9"/>
  <c r="EP8" i="9"/>
  <c r="AY9" i="9"/>
  <c r="DK9" i="9"/>
  <c r="Q8" i="9"/>
  <c r="EN9" i="9"/>
  <c r="EZ10" i="9"/>
  <c r="DN11" i="9"/>
  <c r="W12" i="9"/>
  <c r="CI12" i="9"/>
  <c r="EU12" i="9"/>
  <c r="BD13" i="9"/>
  <c r="DP13" i="9"/>
  <c r="Y14" i="9"/>
  <c r="CK14" i="9"/>
  <c r="EQ8" i="9"/>
  <c r="AZ10" i="9"/>
  <c r="BF11" i="9"/>
  <c r="EM11" i="9"/>
  <c r="AV12" i="9"/>
  <c r="DH12" i="9"/>
  <c r="Q13" i="9"/>
  <c r="CC13" i="9"/>
  <c r="EO13" i="9"/>
  <c r="AX14" i="9"/>
  <c r="DJ14" i="9"/>
  <c r="BD9" i="9"/>
  <c r="BH9" i="9"/>
  <c r="CV10" i="9"/>
  <c r="CM11" i="9"/>
  <c r="FE11" i="9"/>
  <c r="BN12" i="9"/>
  <c r="DZ12" i="9"/>
  <c r="AI13" i="9"/>
  <c r="CU13" i="9"/>
  <c r="AE7" i="9"/>
  <c r="CR9" i="9"/>
  <c r="DT10" i="9"/>
  <c r="CY11" i="9"/>
  <c r="K12" i="9"/>
  <c r="BW12" i="9"/>
  <c r="EI12" i="9"/>
  <c r="AR13" i="9"/>
  <c r="DD13" i="9"/>
  <c r="EV7" i="9"/>
  <c r="EB9" i="9"/>
  <c r="ER10" i="9"/>
  <c r="DK11" i="9"/>
  <c r="T12" i="9"/>
  <c r="CF12" i="9"/>
  <c r="ER12" i="9"/>
  <c r="BA13" i="9"/>
  <c r="DM13" i="9"/>
  <c r="BT7" i="9"/>
  <c r="CZ9" i="9"/>
  <c r="DY10" i="9"/>
  <c r="DC11" i="9"/>
  <c r="M12" i="9"/>
  <c r="BY12" i="9"/>
  <c r="EK12" i="9"/>
  <c r="AT13" i="9"/>
  <c r="DF13" i="9"/>
  <c r="EF11" i="9"/>
  <c r="BV13" i="9"/>
  <c r="BB14" i="9"/>
  <c r="EC14" i="9"/>
  <c r="AL15" i="9"/>
  <c r="CX15" i="9"/>
  <c r="G16" i="9"/>
  <c r="BS16" i="9"/>
  <c r="EE16" i="9"/>
  <c r="AN17" i="9"/>
  <c r="CZ17" i="9"/>
  <c r="EK11" i="9"/>
  <c r="CA13" i="9"/>
  <c r="P10" i="9"/>
  <c r="F6" i="9"/>
  <c r="CJ8" i="9"/>
  <c r="Z10" i="9"/>
  <c r="EL6" i="9"/>
  <c r="DQ8" i="9"/>
  <c r="CL9" i="9"/>
  <c r="BG10" i="9"/>
  <c r="AB11" i="9"/>
  <c r="EE7" i="9"/>
  <c r="CL8" i="9"/>
  <c r="EX8" i="9"/>
  <c r="BG9" i="9"/>
  <c r="DS9" i="9"/>
  <c r="BY8" i="9"/>
  <c r="E10" i="9"/>
  <c r="R11" i="9"/>
  <c r="DV11" i="9"/>
  <c r="AE12" i="9"/>
  <c r="CQ12" i="9"/>
  <c r="FC12" i="9"/>
  <c r="BL13" i="9"/>
  <c r="DX13" i="9"/>
  <c r="AG14" i="9"/>
  <c r="CS14" i="9"/>
  <c r="T9" i="9"/>
  <c r="BU10" i="9"/>
  <c r="BV11" i="9"/>
  <c r="EU11" i="9"/>
  <c r="BD12" i="9"/>
  <c r="DP12" i="9"/>
  <c r="Y13" i="9"/>
  <c r="CK13" i="9"/>
  <c r="EW13" i="9"/>
  <c r="BF14" i="9"/>
  <c r="ES6" i="9"/>
  <c r="H7" i="9"/>
  <c r="CN9" i="9"/>
  <c r="DQ10" i="9"/>
  <c r="CX11" i="9"/>
  <c r="J12" i="9"/>
  <c r="BV12" i="9"/>
  <c r="EH12" i="9"/>
  <c r="AQ13" i="9"/>
  <c r="DC13" i="9"/>
  <c r="EN7" i="9"/>
  <c r="DX9" i="9"/>
  <c r="EO10" i="9"/>
  <c r="DJ11" i="9"/>
  <c r="S12" i="9"/>
  <c r="CE12" i="9"/>
  <c r="EQ12" i="9"/>
  <c r="AZ13" i="9"/>
  <c r="DL13" i="9"/>
  <c r="BE8" i="9"/>
  <c r="EZ9" i="9"/>
  <c r="J11" i="9"/>
  <c r="DS11" i="9"/>
  <c r="AB12" i="9"/>
  <c r="CN12" i="9"/>
  <c r="EZ12" i="9"/>
  <c r="BI13" i="9"/>
  <c r="DU13" i="9"/>
  <c r="FD7" i="9"/>
  <c r="EF9" i="9"/>
  <c r="ES10" i="9"/>
  <c r="DL11" i="9"/>
  <c r="U12" i="9"/>
  <c r="CG12" i="9"/>
  <c r="ES12" i="9"/>
  <c r="BB13" i="9"/>
  <c r="DN13" i="9"/>
  <c r="I12" i="9"/>
  <c r="DB13" i="9"/>
  <c r="BL14" i="9"/>
  <c r="EK14" i="9"/>
  <c r="AT15" i="9"/>
  <c r="DF15" i="9"/>
  <c r="O16" i="9"/>
  <c r="CA16" i="9"/>
  <c r="EM16" i="9"/>
  <c r="AV17" i="9"/>
  <c r="DH17" i="9"/>
  <c r="N12" i="9"/>
  <c r="DG13" i="9"/>
  <c r="BT10" i="9"/>
  <c r="AN7" i="9"/>
  <c r="EN8" i="9"/>
  <c r="CD10" i="9"/>
  <c r="F7" i="9"/>
  <c r="EG8" i="9"/>
  <c r="DB9" i="9"/>
  <c r="BW10" i="9"/>
  <c r="U6" i="9"/>
  <c r="EU7" i="9"/>
  <c r="CT8" i="9"/>
  <c r="C9" i="9"/>
  <c r="BO9" i="9"/>
  <c r="EA9" i="9"/>
  <c r="DG8" i="9"/>
  <c r="AB10" i="9"/>
  <c r="AL11" i="9"/>
  <c r="ED11" i="9"/>
  <c r="AM12" i="9"/>
  <c r="CY12" i="9"/>
  <c r="H13" i="9"/>
  <c r="BT13" i="9"/>
  <c r="EF13" i="9"/>
  <c r="AO14" i="9"/>
  <c r="DA14" i="9"/>
  <c r="AZ9" i="9"/>
  <c r="CO10" i="9"/>
  <c r="CH11" i="9"/>
  <c r="FC11" i="9"/>
  <c r="BL12" i="9"/>
  <c r="DX12" i="9"/>
  <c r="AG13" i="9"/>
  <c r="CS13" i="9"/>
  <c r="FE13" i="9"/>
  <c r="BN14" i="9"/>
  <c r="DX7" i="9"/>
  <c r="EF7" i="9"/>
  <c r="DT9" i="9"/>
  <c r="EK10" i="9"/>
  <c r="DI11" i="9"/>
  <c r="R12" i="9"/>
  <c r="CD12" i="9"/>
  <c r="EP12" i="9"/>
  <c r="AY13" i="9"/>
  <c r="DK13" i="9"/>
  <c r="AW8" i="9"/>
  <c r="EY9" i="9"/>
  <c r="F11" i="9"/>
  <c r="DR11" i="9"/>
  <c r="AA12" i="9"/>
  <c r="CM12" i="9"/>
  <c r="EY12" i="9"/>
  <c r="BH13" i="9"/>
  <c r="DT13" i="9"/>
  <c r="CU8" i="9"/>
  <c r="T10" i="9"/>
  <c r="AD11" i="9"/>
  <c r="EA11" i="9"/>
  <c r="AJ12" i="9"/>
  <c r="CB10" i="9"/>
  <c r="BK7" i="9"/>
  <c r="EV8" i="9"/>
  <c r="CL10" i="9"/>
  <c r="BR7" i="9"/>
  <c r="EW8" i="9"/>
  <c r="DR9" i="9"/>
  <c r="CM10" i="9"/>
  <c r="CG6" i="9"/>
  <c r="H8" i="9"/>
  <c r="DB8" i="9"/>
  <c r="K9" i="9"/>
  <c r="BW9" i="9"/>
  <c r="EI9" i="9"/>
  <c r="EM8" i="9"/>
  <c r="AW10" i="9"/>
  <c r="BB11" i="9"/>
  <c r="EL11" i="9"/>
  <c r="AU12" i="9"/>
  <c r="DG12" i="9"/>
  <c r="P13" i="9"/>
  <c r="CB13" i="9"/>
  <c r="EN13" i="9"/>
  <c r="AW14" i="9"/>
  <c r="DN6" i="9"/>
  <c r="CF9" i="9"/>
  <c r="DL10" i="9"/>
  <c r="CV11" i="9"/>
  <c r="H12" i="9"/>
  <c r="BT12" i="9"/>
  <c r="EF12" i="9"/>
  <c r="AO13" i="9"/>
  <c r="DA13" i="9"/>
  <c r="J14" i="9"/>
  <c r="BV14" i="9"/>
  <c r="AG8" i="9"/>
  <c r="AO8" i="9"/>
  <c r="EV9" i="9"/>
  <c r="E11" i="9"/>
  <c r="DQ11" i="9"/>
  <c r="Z12" i="9"/>
  <c r="CL12" i="9"/>
  <c r="EX12" i="9"/>
  <c r="BG13" i="9"/>
  <c r="DS13" i="9"/>
  <c r="CQ8" i="9"/>
  <c r="Q10" i="9"/>
  <c r="AC11" i="9"/>
  <c r="DZ11" i="9"/>
  <c r="AI12" i="9"/>
  <c r="CU12" i="9"/>
  <c r="D13" i="9"/>
  <c r="BP13" i="9"/>
  <c r="EB13" i="9"/>
  <c r="EA8" i="9"/>
  <c r="AO10" i="9"/>
  <c r="AX11" i="9"/>
  <c r="EI11" i="9"/>
  <c r="AR12" i="9"/>
  <c r="DD12" i="9"/>
  <c r="M13" i="9"/>
  <c r="BY13" i="9"/>
  <c r="EK13" i="9"/>
  <c r="CY8" i="9"/>
  <c r="U10" i="9"/>
  <c r="AH11" i="9"/>
  <c r="EB11" i="9"/>
  <c r="AK12" i="9"/>
  <c r="CW12" i="9"/>
  <c r="F13" i="9"/>
  <c r="BR13" i="9"/>
  <c r="CJ9" i="9"/>
  <c r="BU12" i="9"/>
  <c r="EX13" i="9"/>
  <c r="CH14" i="9"/>
  <c r="FA14" i="9"/>
  <c r="BJ15" i="9"/>
  <c r="DV15" i="9"/>
  <c r="AE16" i="9"/>
  <c r="CQ16" i="9"/>
  <c r="FC16" i="9"/>
  <c r="BL17" i="9"/>
  <c r="DD9" i="9"/>
  <c r="BZ12" i="9"/>
  <c r="EF10" i="9"/>
  <c r="DE6" i="9"/>
  <c r="AW9" i="9"/>
  <c r="EP10" i="9"/>
  <c r="ED7" i="9"/>
  <c r="FE8" i="9"/>
  <c r="DZ9" i="9"/>
  <c r="CU10" i="9"/>
  <c r="DM6" i="9"/>
  <c r="X8" i="9"/>
  <c r="DJ8" i="9"/>
  <c r="S9" i="9"/>
  <c r="CE9" i="9"/>
  <c r="V6" i="9"/>
  <c r="P9" i="9"/>
  <c r="BQ10" i="9"/>
  <c r="BR11" i="9"/>
  <c r="ET11" i="9"/>
  <c r="BC12" i="9"/>
  <c r="DO12" i="9"/>
  <c r="X13" i="9"/>
  <c r="CJ13" i="9"/>
  <c r="EV13" i="9"/>
  <c r="BE14" i="9"/>
  <c r="DP7" i="9"/>
  <c r="DL9" i="9"/>
  <c r="EG10" i="9"/>
  <c r="DF11" i="9"/>
  <c r="P12" i="9"/>
  <c r="CB12" i="9"/>
  <c r="EN12" i="9"/>
  <c r="AW13" i="9"/>
  <c r="DI13" i="9"/>
  <c r="R14" i="9"/>
  <c r="CD14" i="9"/>
  <c r="CI8" i="9"/>
  <c r="CM8" i="9"/>
  <c r="M10" i="9"/>
  <c r="Z11" i="9"/>
  <c r="DY11" i="9"/>
  <c r="AH12" i="9"/>
  <c r="CT12" i="9"/>
  <c r="C13" i="9"/>
  <c r="BO13" i="9"/>
  <c r="EA13" i="9"/>
  <c r="DW8" i="9"/>
  <c r="AK10" i="9"/>
  <c r="AT11" i="9"/>
  <c r="EH11" i="9"/>
  <c r="AQ12" i="9"/>
  <c r="DC12" i="9"/>
  <c r="L13" i="9"/>
  <c r="BX13" i="9"/>
  <c r="EJ13" i="9"/>
  <c r="D9" i="9"/>
  <c r="BI10" i="9"/>
  <c r="BN11" i="9"/>
  <c r="EQ11" i="9"/>
  <c r="AZ12" i="9"/>
  <c r="DL12" i="9"/>
  <c r="U13" i="9"/>
  <c r="CG13" i="9"/>
  <c r="ES13" i="9"/>
  <c r="EE8" i="9"/>
  <c r="BW8" i="9"/>
  <c r="EN10" i="9"/>
  <c r="EK6" i="9"/>
  <c r="BE9" i="9"/>
  <c r="EX10" i="9"/>
  <c r="ET7" i="9"/>
  <c r="Z9" i="9"/>
  <c r="EX9" i="9"/>
  <c r="DS10" i="9"/>
  <c r="AD7" i="9"/>
  <c r="AN8" i="9"/>
  <c r="DR8" i="9"/>
  <c r="AA9" i="9"/>
  <c r="CM9" i="9"/>
  <c r="BB6" i="9"/>
  <c r="AV9" i="9"/>
  <c r="CN10" i="9"/>
  <c r="CG11" i="9"/>
  <c r="FB11" i="9"/>
  <c r="BK12" i="9"/>
  <c r="DW12" i="9"/>
  <c r="AF13" i="9"/>
  <c r="CR13" i="9"/>
  <c r="FD13" i="9"/>
  <c r="BM14" i="9"/>
  <c r="Y8" i="9"/>
  <c r="EQ9" i="9"/>
  <c r="FA10" i="9"/>
  <c r="DO11" i="9"/>
  <c r="X12" i="9"/>
  <c r="CJ12" i="9"/>
  <c r="EV12" i="9"/>
  <c r="BE13" i="9"/>
  <c r="DQ13" i="9"/>
  <c r="Z14" i="9"/>
  <c r="CL14" i="9"/>
  <c r="DO8" i="9"/>
  <c r="DS8" i="9"/>
  <c r="AJ10" i="9"/>
  <c r="AS11" i="9"/>
  <c r="EG11" i="9"/>
  <c r="AP12" i="9"/>
  <c r="DB12" i="9"/>
  <c r="K13" i="9"/>
  <c r="BW13" i="9"/>
  <c r="EI13" i="9"/>
  <c r="FC8" i="9"/>
  <c r="BH10" i="9"/>
  <c r="BJ11" i="9"/>
  <c r="EP11" i="9"/>
  <c r="AY12" i="9"/>
  <c r="DK12" i="9"/>
  <c r="T13" i="9"/>
  <c r="CF13" i="9"/>
  <c r="ER13" i="9"/>
  <c r="AJ9" i="9"/>
  <c r="CF10" i="9"/>
  <c r="CD11" i="9"/>
  <c r="EY11" i="9"/>
  <c r="BH12" i="9"/>
  <c r="DT12" i="9"/>
  <c r="AC13" i="9"/>
  <c r="CO13" i="9"/>
  <c r="FA13" i="9"/>
  <c r="H9" i="9"/>
  <c r="BM10" i="9"/>
  <c r="BP11" i="9"/>
  <c r="ER11" i="9"/>
  <c r="BA12" i="9"/>
  <c r="DM12" i="9"/>
  <c r="V13" i="9"/>
  <c r="CH13" i="9"/>
  <c r="DM10" i="9"/>
  <c r="EG12" i="9"/>
  <c r="V14" i="9"/>
  <c r="DD14" i="9"/>
  <c r="N15" i="9"/>
  <c r="BZ15" i="9"/>
  <c r="EL8" i="9"/>
  <c r="AO11" i="9"/>
  <c r="DJ7" i="9"/>
  <c r="DI9" i="9"/>
  <c r="AY11" i="9"/>
  <c r="AM8" i="9"/>
  <c r="AP9" i="9"/>
  <c r="K10" i="9"/>
  <c r="EI10" i="9"/>
  <c r="BS7" i="9"/>
  <c r="BD8" i="9"/>
  <c r="DZ8" i="9"/>
  <c r="AI9" i="9"/>
  <c r="CU9" i="9"/>
  <c r="CH6" i="9"/>
  <c r="CB9" i="9"/>
  <c r="DI10" i="9"/>
  <c r="CU11" i="9"/>
  <c r="G12" i="9"/>
  <c r="BS12" i="9"/>
  <c r="EE12" i="9"/>
  <c r="AN13" i="9"/>
  <c r="CZ13" i="9"/>
  <c r="I14" i="9"/>
  <c r="BU14" i="9"/>
  <c r="CC8" i="9"/>
  <c r="I10" i="9"/>
  <c r="U11" i="9"/>
  <c r="DW11" i="9"/>
  <c r="AF12" i="9"/>
  <c r="CR12" i="9"/>
  <c r="FD12" i="9"/>
  <c r="BM13" i="9"/>
  <c r="DY13" i="9"/>
  <c r="AH14" i="9"/>
  <c r="CT14" i="9"/>
  <c r="EU8" i="9"/>
  <c r="EY8" i="9"/>
  <c r="BE10" i="9"/>
  <c r="BI11" i="9"/>
  <c r="EO11" i="9"/>
  <c r="AX12" i="9"/>
  <c r="DJ12" i="9"/>
  <c r="S13" i="9"/>
  <c r="CE13" i="9"/>
  <c r="EQ13" i="9"/>
  <c r="AF9" i="9"/>
  <c r="CC10" i="9"/>
  <c r="BZ11" i="9"/>
  <c r="EX11" i="9"/>
  <c r="BG12" i="9"/>
  <c r="DS12" i="9"/>
  <c r="AB13" i="9"/>
  <c r="CN13" i="9"/>
  <c r="EZ13" i="9"/>
  <c r="BP9" i="9"/>
  <c r="DA10" i="9"/>
  <c r="CO11" i="9"/>
  <c r="D12" i="9"/>
  <c r="BP12" i="9"/>
  <c r="EB12" i="9"/>
  <c r="AK13" i="9"/>
  <c r="CW13" i="9"/>
  <c r="F14" i="9"/>
  <c r="AN9" i="9"/>
  <c r="CG10" i="9"/>
  <c r="CE11" i="9"/>
  <c r="EZ11" i="9"/>
  <c r="BI12" i="9"/>
  <c r="DU12" i="9"/>
  <c r="AD13" i="9"/>
  <c r="CP13" i="9"/>
  <c r="AR11" i="9"/>
  <c r="J13" i="9"/>
  <c r="AF14" i="9"/>
  <c r="DM14" i="9"/>
  <c r="V15" i="9"/>
  <c r="CH15" i="9"/>
  <c r="ET15" i="9"/>
  <c r="BC16" i="9"/>
  <c r="DO16" i="9"/>
  <c r="X17" i="9"/>
  <c r="CJ17" i="9"/>
  <c r="AU9" i="9"/>
  <c r="AW11" i="9"/>
  <c r="DZ7" i="9"/>
  <c r="DQ9" i="9"/>
  <c r="BG11" i="9"/>
  <c r="CK8" i="9"/>
  <c r="BF9" i="9"/>
  <c r="AA10" i="9"/>
  <c r="EY10" i="9"/>
  <c r="CY7" i="9"/>
  <c r="BR8" i="9"/>
  <c r="EH8" i="9"/>
  <c r="AQ9" i="9"/>
  <c r="DC9" i="9"/>
  <c r="CZ7" i="9"/>
  <c r="DH9" i="9"/>
  <c r="EC10" i="9"/>
  <c r="DE11" i="9"/>
  <c r="O12" i="9"/>
  <c r="CA12" i="9"/>
  <c r="EM12" i="9"/>
  <c r="AV13" i="9"/>
  <c r="DH13" i="9"/>
  <c r="Q14" i="9"/>
  <c r="CC14" i="9"/>
  <c r="DK8" i="9"/>
  <c r="AC10" i="9"/>
  <c r="AP11" i="9"/>
  <c r="EE11" i="9"/>
  <c r="AN12" i="9"/>
  <c r="CZ12" i="9"/>
  <c r="I13" i="9"/>
  <c r="BU13" i="9"/>
  <c r="EG13" i="9"/>
  <c r="AP14" i="9"/>
  <c r="DB14" i="9"/>
  <c r="X9" i="9"/>
  <c r="AB9" i="9"/>
  <c r="BY10" i="9"/>
  <c r="BY11" i="9"/>
  <c r="EW11" i="9"/>
  <c r="BF12" i="9"/>
  <c r="DR12" i="9"/>
  <c r="AA13" i="9"/>
  <c r="CM13" i="9"/>
  <c r="EY13" i="9"/>
  <c r="BL9" i="9"/>
  <c r="CW10" i="9"/>
  <c r="CN11" i="9"/>
  <c r="C12" i="9"/>
  <c r="BO12" i="9"/>
  <c r="EA12" i="9"/>
  <c r="AJ13" i="9"/>
  <c r="CV13" i="9"/>
  <c r="BB7" i="9"/>
  <c r="CV9" i="9"/>
  <c r="DU10" i="9"/>
  <c r="DB11" i="9"/>
  <c r="L12" i="9"/>
  <c r="BX12" i="9"/>
  <c r="EJ12" i="9"/>
  <c r="AS13" i="9"/>
  <c r="DE13" i="9"/>
  <c r="N14" i="9"/>
  <c r="BT9" i="9"/>
  <c r="DD10" i="9"/>
  <c r="CP11" i="9"/>
  <c r="E12" i="9"/>
  <c r="BQ12" i="9"/>
  <c r="EC12" i="9"/>
  <c r="AL13" i="9"/>
  <c r="CX13" i="9"/>
  <c r="CW11" i="9"/>
  <c r="EC13" i="9"/>
  <c r="AC12" i="9"/>
  <c r="CJ7" i="9"/>
  <c r="BX14" i="9"/>
  <c r="CP15" i="9"/>
  <c r="BK16" i="9"/>
  <c r="AF17" i="9"/>
  <c r="BA11" i="9"/>
  <c r="FB13" i="9"/>
  <c r="CI14" i="9"/>
  <c r="FB14" i="9"/>
  <c r="BK15" i="9"/>
  <c r="DW15" i="9"/>
  <c r="AF16" i="9"/>
  <c r="CR16" i="9"/>
  <c r="FD16" i="9"/>
  <c r="BM8" i="9"/>
  <c r="AS12" i="9"/>
  <c r="AG10" i="9"/>
  <c r="CR14" i="9"/>
  <c r="DN15" i="9"/>
  <c r="CI16" i="9"/>
  <c r="BD17" i="9"/>
  <c r="DD11" i="9"/>
  <c r="L14" i="9"/>
  <c r="CU14" i="9"/>
  <c r="G15" i="9"/>
  <c r="BS15" i="9"/>
  <c r="EE15" i="9"/>
  <c r="AN16" i="9"/>
  <c r="CZ16" i="9"/>
  <c r="I17" i="9"/>
  <c r="BU17" i="9"/>
  <c r="DP9" i="9"/>
  <c r="CC12" i="9"/>
  <c r="BQ11" i="9"/>
  <c r="W13" i="9"/>
  <c r="AK14" i="9"/>
  <c r="DP14" i="9"/>
  <c r="Y15" i="9"/>
  <c r="CK15" i="9"/>
  <c r="EW15" i="9"/>
  <c r="BF16" i="9"/>
  <c r="DR16" i="9"/>
  <c r="AA17" i="9"/>
  <c r="CM17" i="9"/>
  <c r="EV11" i="9"/>
  <c r="CL13" i="9"/>
  <c r="BH14" i="9"/>
  <c r="EG14" i="9"/>
  <c r="AP15" i="9"/>
  <c r="DB15" i="9"/>
  <c r="K16" i="9"/>
  <c r="BW16" i="9"/>
  <c r="EI16" i="9"/>
  <c r="CF11" i="9"/>
  <c r="AE13" i="9"/>
  <c r="AM14" i="9"/>
  <c r="CL11" i="9"/>
  <c r="AH13" i="9"/>
  <c r="AN14" i="9"/>
  <c r="DS14" i="9"/>
  <c r="AB15" i="9"/>
  <c r="CN15" i="9"/>
  <c r="EZ15" i="9"/>
  <c r="BI16" i="9"/>
  <c r="DU16" i="9"/>
  <c r="AD17" i="9"/>
  <c r="CP17" i="9"/>
  <c r="AL12" i="9"/>
  <c r="DZ13" i="9"/>
  <c r="BW14" i="9"/>
  <c r="ER14" i="9"/>
  <c r="BA15" i="9"/>
  <c r="DM15" i="9"/>
  <c r="V16" i="9"/>
  <c r="EM14" i="9"/>
  <c r="BM16" i="9"/>
  <c r="BH17" i="9"/>
  <c r="ES17" i="9"/>
  <c r="BB18" i="9"/>
  <c r="DN18" i="9"/>
  <c r="W19" i="9"/>
  <c r="CI19" i="9"/>
  <c r="EU19" i="9"/>
  <c r="BD20" i="9"/>
  <c r="DP20" i="9"/>
  <c r="Y21" i="9"/>
  <c r="CK21" i="9"/>
  <c r="EW21" i="9"/>
  <c r="EP14" i="9"/>
  <c r="BP16" i="9"/>
  <c r="BI17" i="9"/>
  <c r="ET17" i="9"/>
  <c r="BC18" i="9"/>
  <c r="DO18" i="9"/>
  <c r="X19" i="9"/>
  <c r="CJ19" i="9"/>
  <c r="EV19" i="9"/>
  <c r="FD9" i="9"/>
  <c r="CO12" i="9"/>
  <c r="AO12" i="9"/>
  <c r="DU14" i="9"/>
  <c r="ED15" i="9"/>
  <c r="CY16" i="9"/>
  <c r="BT17" i="9"/>
  <c r="AT12" i="9"/>
  <c r="W14" i="9"/>
  <c r="DE14" i="9"/>
  <c r="O15" i="9"/>
  <c r="CA15" i="9"/>
  <c r="EM15" i="9"/>
  <c r="AV16" i="9"/>
  <c r="DH16" i="9"/>
  <c r="Q17" i="9"/>
  <c r="CC17" i="9"/>
  <c r="BA10" i="9"/>
  <c r="DI12" i="9"/>
  <c r="DM11" i="9"/>
  <c r="BC13" i="9"/>
  <c r="AU14" i="9"/>
  <c r="DX14" i="9"/>
  <c r="AG15" i="9"/>
  <c r="CS15" i="9"/>
  <c r="FE15" i="9"/>
  <c r="BN16" i="9"/>
  <c r="DZ16" i="9"/>
  <c r="AI17" i="9"/>
  <c r="CU17" i="9"/>
  <c r="Y12" i="9"/>
  <c r="DR13" i="9"/>
  <c r="BR14" i="9"/>
  <c r="EO14" i="9"/>
  <c r="AX15" i="9"/>
  <c r="DJ15" i="9"/>
  <c r="S16" i="9"/>
  <c r="CE16" i="9"/>
  <c r="EQ16" i="9"/>
  <c r="DU11" i="9"/>
  <c r="BK13" i="9"/>
  <c r="AY14" i="9"/>
  <c r="DX11" i="9"/>
  <c r="BN13" i="9"/>
  <c r="AZ14" i="9"/>
  <c r="EA14" i="9"/>
  <c r="AJ15" i="9"/>
  <c r="CV15" i="9"/>
  <c r="E16" i="9"/>
  <c r="BQ16" i="9"/>
  <c r="EC16" i="9"/>
  <c r="AL17" i="9"/>
  <c r="BX9" i="9"/>
  <c r="BR12" i="9"/>
  <c r="EU13" i="9"/>
  <c r="CG14" i="9"/>
  <c r="EZ14" i="9"/>
  <c r="BI15" i="9"/>
  <c r="DU15" i="9"/>
  <c r="AD16" i="9"/>
  <c r="P15" i="9"/>
  <c r="CH16" i="9"/>
  <c r="BX17" i="9"/>
  <c r="FA17" i="9"/>
  <c r="BJ18" i="9"/>
  <c r="DV18" i="9"/>
  <c r="AE19" i="9"/>
  <c r="CQ19" i="9"/>
  <c r="FC19" i="9"/>
  <c r="BL20" i="9"/>
  <c r="DX20" i="9"/>
  <c r="AG21" i="9"/>
  <c r="CS21" i="9"/>
  <c r="FE21" i="9"/>
  <c r="S15" i="9"/>
  <c r="CK16" i="9"/>
  <c r="BY17" i="9"/>
  <c r="FB17" i="9"/>
  <c r="BK18" i="9"/>
  <c r="DW18" i="9"/>
  <c r="AF19" i="9"/>
  <c r="CR19" i="9"/>
  <c r="FD19" i="9"/>
  <c r="BM20" i="9"/>
  <c r="AR10" i="9"/>
  <c r="DE12" i="9"/>
  <c r="DA12" i="9"/>
  <c r="ES14" i="9"/>
  <c r="EL15" i="9"/>
  <c r="DG16" i="9"/>
  <c r="CB17" i="9"/>
  <c r="DF12" i="9"/>
  <c r="AI14" i="9"/>
  <c r="DN14" i="9"/>
  <c r="W15" i="9"/>
  <c r="CI15" i="9"/>
  <c r="EU15" i="9"/>
  <c r="BD16" i="9"/>
  <c r="DP16" i="9"/>
  <c r="Y17" i="9"/>
  <c r="CK17" i="9"/>
  <c r="EJ10" i="9"/>
  <c r="EO12" i="9"/>
  <c r="ES11" i="9"/>
  <c r="CI13" i="9"/>
  <c r="BG14" i="9"/>
  <c r="EF14" i="9"/>
  <c r="AO15" i="9"/>
  <c r="DA15" i="9"/>
  <c r="J16" i="9"/>
  <c r="BV16" i="9"/>
  <c r="EH16" i="9"/>
  <c r="AQ17" i="9"/>
  <c r="EI8" i="9"/>
  <c r="BE12" i="9"/>
  <c r="EM13" i="9"/>
  <c r="CB14" i="9"/>
  <c r="EW14" i="9"/>
  <c r="BF15" i="9"/>
  <c r="DR15" i="9"/>
  <c r="AA16" i="9"/>
  <c r="CM16" i="9"/>
  <c r="EY16" i="9"/>
  <c r="FA11" i="9"/>
  <c r="CQ13" i="9"/>
  <c r="BI14" i="9"/>
  <c r="FD11" i="9"/>
  <c r="CT13" i="9"/>
  <c r="BJ14" i="9"/>
  <c r="EI14" i="9"/>
  <c r="AR15" i="9"/>
  <c r="DD15" i="9"/>
  <c r="M16" i="9"/>
  <c r="BY16" i="9"/>
  <c r="EK16" i="9"/>
  <c r="AT17" i="9"/>
  <c r="Y10" i="9"/>
  <c r="CX12" i="9"/>
  <c r="H14" i="9"/>
  <c r="CQ14" i="9"/>
  <c r="E15" i="9"/>
  <c r="BQ15" i="9"/>
  <c r="EC15" i="9"/>
  <c r="AX13" i="9"/>
  <c r="AV15" i="9"/>
  <c r="DD16" i="9"/>
  <c r="CN17" i="9"/>
  <c r="F18" i="9"/>
  <c r="BR18" i="9"/>
  <c r="ED18" i="9"/>
  <c r="AM19" i="9"/>
  <c r="CY19" i="9"/>
  <c r="H20" i="9"/>
  <c r="BT20" i="9"/>
  <c r="EF20" i="9"/>
  <c r="AO21" i="9"/>
  <c r="DA21" i="9"/>
  <c r="J22" i="9"/>
  <c r="AY15" i="9"/>
  <c r="DF16" i="9"/>
  <c r="CO17" i="9"/>
  <c r="G18" i="9"/>
  <c r="BS18" i="9"/>
  <c r="EE18" i="9"/>
  <c r="AN19" i="9"/>
  <c r="CZ19" i="9"/>
  <c r="I20" i="9"/>
  <c r="BU20" i="9"/>
  <c r="M11" i="9"/>
  <c r="FA12" i="9"/>
  <c r="AP13" i="9"/>
  <c r="F15" i="9"/>
  <c r="FB15" i="9"/>
  <c r="DW16" i="9"/>
  <c r="CR17" i="9"/>
  <c r="EL12" i="9"/>
  <c r="AS14" i="9"/>
  <c r="DV14" i="9"/>
  <c r="AE15" i="9"/>
  <c r="CQ15" i="9"/>
  <c r="FC15" i="9"/>
  <c r="BL16" i="9"/>
  <c r="DX16" i="9"/>
  <c r="AG17" i="9"/>
  <c r="CS17" i="9"/>
  <c r="BH11" i="9"/>
  <c r="R13" i="9"/>
  <c r="V12" i="9"/>
  <c r="DO13" i="9"/>
  <c r="BQ14" i="9"/>
  <c r="EN14" i="9"/>
  <c r="AW15" i="9"/>
  <c r="DI15" i="9"/>
  <c r="R16" i="9"/>
  <c r="CD16" i="9"/>
  <c r="EP16" i="9"/>
  <c r="AY17" i="9"/>
  <c r="ER9" i="9"/>
  <c r="CK12" i="9"/>
  <c r="D14" i="9"/>
  <c r="CN14" i="9"/>
  <c r="FE14" i="9"/>
  <c r="BN15" i="9"/>
  <c r="DZ15" i="9"/>
  <c r="AI16" i="9"/>
  <c r="CU16" i="9"/>
  <c r="D17" i="9"/>
  <c r="AD12" i="9"/>
  <c r="DV13" i="9"/>
  <c r="BS14" i="9"/>
  <c r="AG12" i="9"/>
  <c r="DW13" i="9"/>
  <c r="BT14" i="9"/>
  <c r="EQ14" i="9"/>
  <c r="AZ15" i="9"/>
  <c r="DL15" i="9"/>
  <c r="U16" i="9"/>
  <c r="CG16" i="9"/>
  <c r="ES16" i="9"/>
  <c r="BB17" i="9"/>
  <c r="DE10" i="9"/>
  <c r="ED12" i="9"/>
  <c r="U14" i="9"/>
  <c r="DC14" i="9"/>
  <c r="M15" i="9"/>
  <c r="BY15" i="9"/>
  <c r="EK15" i="9"/>
  <c r="AT14" i="9"/>
  <c r="CB15" i="9"/>
  <c r="DY16" i="9"/>
  <c r="DB17" i="9"/>
  <c r="N18" i="9"/>
  <c r="BZ18" i="9"/>
  <c r="EL18" i="9"/>
  <c r="AU19" i="9"/>
  <c r="DG19" i="9"/>
  <c r="P20" i="9"/>
  <c r="CB20" i="9"/>
  <c r="EN20" i="9"/>
  <c r="AW21" i="9"/>
  <c r="DI21" i="9"/>
  <c r="R22" i="9"/>
  <c r="CE15" i="9"/>
  <c r="EB16" i="9"/>
  <c r="DC17" i="9"/>
  <c r="O18" i="9"/>
  <c r="CA18" i="9"/>
  <c r="EM18" i="9"/>
  <c r="AV19" i="9"/>
  <c r="DH19" i="9"/>
  <c r="Q20" i="9"/>
  <c r="CC20" i="9"/>
  <c r="EO20" i="9"/>
  <c r="CV12" i="9"/>
  <c r="AZ11" i="9"/>
  <c r="N13" i="9"/>
  <c r="ED13" i="9"/>
  <c r="AD15" i="9"/>
  <c r="W16" i="9"/>
  <c r="EU16" i="9"/>
  <c r="I8" i="9"/>
  <c r="O13" i="9"/>
  <c r="BC14" i="9"/>
  <c r="ED14" i="9"/>
  <c r="AM15" i="9"/>
  <c r="CY15" i="9"/>
  <c r="H16" i="9"/>
  <c r="BT16" i="9"/>
  <c r="EF16" i="9"/>
  <c r="AO17" i="9"/>
  <c r="DA17" i="9"/>
  <c r="DG11" i="9"/>
  <c r="DC8" i="9"/>
  <c r="BB12" i="9"/>
  <c r="EL13" i="9"/>
  <c r="CA14" i="9"/>
  <c r="EV14" i="9"/>
  <c r="BE15" i="9"/>
  <c r="DQ15" i="9"/>
  <c r="Z16" i="9"/>
  <c r="CL16" i="9"/>
  <c r="EX16" i="9"/>
  <c r="BG17" i="9"/>
  <c r="BX10" i="9"/>
  <c r="DQ12" i="9"/>
  <c r="P14" i="9"/>
  <c r="CX14" i="9"/>
  <c r="J15" i="9"/>
  <c r="BV15" i="9"/>
  <c r="EH15" i="9"/>
  <c r="AQ16" i="9"/>
  <c r="DC16" i="9"/>
  <c r="L9" i="9"/>
  <c r="BJ12" i="9"/>
  <c r="EP13" i="9"/>
  <c r="AR9" i="9"/>
  <c r="BM12" i="9"/>
  <c r="ET13" i="9"/>
  <c r="CF14" i="9"/>
  <c r="EY14" i="9"/>
  <c r="BH15" i="9"/>
  <c r="DT15" i="9"/>
  <c r="AC16" i="9"/>
  <c r="CO16" i="9"/>
  <c r="FA16" i="9"/>
  <c r="BJ17" i="9"/>
  <c r="AK11" i="9"/>
  <c r="G13" i="9"/>
  <c r="AE14" i="9"/>
  <c r="DL14" i="9"/>
  <c r="U15" i="9"/>
  <c r="CG15" i="9"/>
  <c r="ES15" i="9"/>
  <c r="CY14" i="9"/>
  <c r="DH15" i="9"/>
  <c r="ET16" i="9"/>
  <c r="DL17" i="9"/>
  <c r="V18" i="9"/>
  <c r="CH18" i="9"/>
  <c r="ET18" i="9"/>
  <c r="BC19" i="9"/>
  <c r="DO19" i="9"/>
  <c r="X20" i="9"/>
  <c r="CJ20" i="9"/>
  <c r="EV20" i="9"/>
  <c r="BE21" i="9"/>
  <c r="DQ21" i="9"/>
  <c r="Z22" i="9"/>
  <c r="DK15" i="9"/>
  <c r="EW16" i="9"/>
  <c r="DM17" i="9"/>
  <c r="W18" i="9"/>
  <c r="CI18" i="9"/>
  <c r="EU18" i="9"/>
  <c r="BD19" i="9"/>
  <c r="DP19" i="9"/>
  <c r="Y20" i="9"/>
  <c r="CK20" i="9"/>
  <c r="E13" i="9"/>
  <c r="DT11" i="9"/>
  <c r="BJ13" i="9"/>
  <c r="K14" i="9"/>
  <c r="BB15" i="9"/>
  <c r="AM16" i="9"/>
  <c r="H17" i="9"/>
  <c r="AS10" i="9"/>
  <c r="AU13" i="9"/>
  <c r="BO14" i="9"/>
  <c r="EL14" i="9"/>
  <c r="AU15" i="9"/>
  <c r="DG15" i="9"/>
  <c r="P16" i="9"/>
  <c r="CB16" i="9"/>
  <c r="EN16" i="9"/>
  <c r="AW17" i="9"/>
  <c r="DI17" i="9"/>
  <c r="EN11" i="9"/>
  <c r="EJ9" i="9"/>
  <c r="CH12" i="9"/>
  <c r="C14" i="9"/>
  <c r="CM14" i="9"/>
  <c r="FD14" i="9"/>
  <c r="BM15" i="9"/>
  <c r="DY15" i="9"/>
  <c r="AH16" i="9"/>
  <c r="CT16" i="9"/>
  <c r="C17" i="9"/>
  <c r="BO17" i="9"/>
  <c r="FE10" i="9"/>
  <c r="EW12" i="9"/>
  <c r="AB14" i="9"/>
  <c r="DH14" i="9"/>
  <c r="R15" i="9"/>
  <c r="CD15" i="9"/>
  <c r="EP15" i="9"/>
  <c r="AY16" i="9"/>
  <c r="DK16" i="9"/>
  <c r="D10" i="9"/>
  <c r="CP12" i="9"/>
  <c r="E14" i="9"/>
  <c r="L10" i="9"/>
  <c r="CS12" i="9"/>
  <c r="G14" i="9"/>
  <c r="CP14" i="9"/>
  <c r="D15" i="9"/>
  <c r="BP15" i="9"/>
  <c r="EB15" i="9"/>
  <c r="AK16" i="9"/>
  <c r="CW16" i="9"/>
  <c r="F17" i="9"/>
  <c r="BR17" i="9"/>
  <c r="CT11" i="9"/>
  <c r="AM13" i="9"/>
  <c r="AQ14" i="9"/>
  <c r="DT14" i="9"/>
  <c r="AC15" i="9"/>
  <c r="CO15" i="9"/>
  <c r="FA15" i="9"/>
  <c r="CD13" i="9"/>
  <c r="EN15" i="9"/>
  <c r="L17" i="9"/>
  <c r="DU17" i="9"/>
  <c r="AD18" i="9"/>
  <c r="CP18" i="9"/>
  <c r="FB18" i="9"/>
  <c r="BK19" i="9"/>
  <c r="DW19" i="9"/>
  <c r="AF20" i="9"/>
  <c r="CR20" i="9"/>
  <c r="FD20" i="9"/>
  <c r="BM21" i="9"/>
  <c r="BQ13" i="9"/>
  <c r="EJ11" i="9"/>
  <c r="BZ13" i="9"/>
  <c r="AR14" i="9"/>
  <c r="BR15" i="9"/>
  <c r="AU16" i="9"/>
  <c r="P17" i="9"/>
  <c r="EB10" i="9"/>
  <c r="EE13" i="9"/>
  <c r="BY14" i="9"/>
  <c r="ET14" i="9"/>
  <c r="BC15" i="9"/>
  <c r="DO15" i="9"/>
  <c r="X16" i="9"/>
  <c r="CJ16" i="9"/>
  <c r="EV16" i="9"/>
  <c r="BE17" i="9"/>
  <c r="DQ17" i="9"/>
  <c r="Q12" i="9"/>
  <c r="BP10" i="9"/>
  <c r="DN12" i="9"/>
  <c r="O14" i="9"/>
  <c r="CW14" i="9"/>
  <c r="I15" i="9"/>
  <c r="BU15" i="9"/>
  <c r="EG15" i="9"/>
  <c r="AP16" i="9"/>
  <c r="DB16" i="9"/>
  <c r="K17" i="9"/>
  <c r="BW17" i="9"/>
  <c r="BX11" i="9"/>
  <c r="Z13" i="9"/>
  <c r="AL14" i="9"/>
  <c r="DQ14" i="9"/>
  <c r="Z15" i="9"/>
  <c r="CL15" i="9"/>
  <c r="EX15" i="9"/>
  <c r="BG16" i="9"/>
  <c r="DS16" i="9"/>
  <c r="CK10" i="9"/>
  <c r="DV12" i="9"/>
  <c r="S14" i="9"/>
  <c r="CS10" i="9"/>
  <c r="DY12" i="9"/>
  <c r="T14" i="9"/>
  <c r="CZ14" i="9"/>
  <c r="L15" i="9"/>
  <c r="BX15" i="9"/>
  <c r="EJ15" i="9"/>
  <c r="AS16" i="9"/>
  <c r="DE16" i="9"/>
  <c r="N17" i="9"/>
  <c r="BZ17" i="9"/>
  <c r="EC11" i="9"/>
  <c r="BS13" i="9"/>
  <c r="BA14" i="9"/>
  <c r="EB14" i="9"/>
  <c r="AK15" i="9"/>
  <c r="CW15" i="9"/>
  <c r="F16" i="9"/>
  <c r="BD14" i="9"/>
  <c r="Q16" i="9"/>
  <c r="AB17" i="9"/>
  <c r="EC17" i="9"/>
  <c r="AL18" i="9"/>
  <c r="CX18" i="9"/>
  <c r="G19" i="9"/>
  <c r="BS19" i="9"/>
  <c r="EE19" i="9"/>
  <c r="AN20" i="9"/>
  <c r="CZ20" i="9"/>
  <c r="I21" i="9"/>
  <c r="BU21" i="9"/>
  <c r="EG21" i="9"/>
  <c r="BP14" i="9"/>
  <c r="T16" i="9"/>
  <c r="EW10" i="9"/>
  <c r="DJ16" i="9"/>
  <c r="CT15" i="9"/>
  <c r="FE12" i="9"/>
  <c r="V17" i="9"/>
  <c r="N16" i="9"/>
  <c r="CA19" i="9"/>
  <c r="DJ13" i="9"/>
  <c r="ED17" i="9"/>
  <c r="FC18" i="9"/>
  <c r="EN19" i="9"/>
  <c r="DQ20" i="9"/>
  <c r="X15" i="9"/>
  <c r="CN16" i="9"/>
  <c r="CA17" i="9"/>
  <c r="FC17" i="9"/>
  <c r="BL18" i="9"/>
  <c r="DX18" i="9"/>
  <c r="AG19" i="9"/>
  <c r="CS19" i="9"/>
  <c r="FE19" i="9"/>
  <c r="BN20" i="9"/>
  <c r="DZ20" i="9"/>
  <c r="AI21" i="9"/>
  <c r="CU21" i="9"/>
  <c r="D22" i="9"/>
  <c r="DS15" i="9"/>
  <c r="FB16" i="9"/>
  <c r="DO17" i="9"/>
  <c r="Y18" i="9"/>
  <c r="CK18" i="9"/>
  <c r="EW18" i="9"/>
  <c r="BF19" i="9"/>
  <c r="DR19" i="9"/>
  <c r="AA20" i="9"/>
  <c r="CM20" i="9"/>
  <c r="AF15" i="9"/>
  <c r="CS16" i="9"/>
  <c r="CF17" i="9"/>
  <c r="FE17" i="9"/>
  <c r="BN18" i="9"/>
  <c r="DZ18" i="9"/>
  <c r="AI19" i="9"/>
  <c r="CU19" i="9"/>
  <c r="D20" i="9"/>
  <c r="BP20" i="9"/>
  <c r="EB20" i="9"/>
  <c r="EA15" i="9"/>
  <c r="E17" i="9"/>
  <c r="DR17" i="9"/>
  <c r="AA18" i="9"/>
  <c r="CM18" i="9"/>
  <c r="EY18" i="9"/>
  <c r="BH19" i="9"/>
  <c r="DT19" i="9"/>
  <c r="AC20" i="9"/>
  <c r="CO20" i="9"/>
  <c r="FA20" i="9"/>
  <c r="BJ21" i="9"/>
  <c r="DV21" i="9"/>
  <c r="H15" i="9"/>
  <c r="CC16" i="9"/>
  <c r="CX17" i="9"/>
  <c r="AS19" i="9"/>
  <c r="ED20" i="9"/>
  <c r="CD21" i="9"/>
  <c r="T22" i="9"/>
  <c r="CG22" i="9"/>
  <c r="ES22" i="9"/>
  <c r="BB23" i="9"/>
  <c r="DN23" i="9"/>
  <c r="W24" i="9"/>
  <c r="CI24" i="9"/>
  <c r="EU24" i="9"/>
  <c r="AS18" i="9"/>
  <c r="EL19" i="9"/>
  <c r="T21" i="9"/>
  <c r="DR21" i="9"/>
  <c r="AT22" i="9"/>
  <c r="ET12" i="9"/>
  <c r="S17" i="9"/>
  <c r="C16" i="9"/>
  <c r="AD14" i="9"/>
  <c r="CH17" i="9"/>
  <c r="DF14" i="9"/>
  <c r="EM19" i="9"/>
  <c r="DI14" i="9"/>
  <c r="EL17" i="9"/>
  <c r="H19" i="9"/>
  <c r="AG20" i="9"/>
  <c r="DY20" i="9"/>
  <c r="BD15" i="9"/>
  <c r="DI16" i="9"/>
  <c r="CQ17" i="9"/>
  <c r="H18" i="9"/>
  <c r="BT18" i="9"/>
  <c r="EF18" i="9"/>
  <c r="AO19" i="9"/>
  <c r="DA19" i="9"/>
  <c r="J20" i="9"/>
  <c r="BV20" i="9"/>
  <c r="EH20" i="9"/>
  <c r="AQ21" i="9"/>
  <c r="DC21" i="9"/>
  <c r="FC13" i="9"/>
  <c r="EY15" i="9"/>
  <c r="R17" i="9"/>
  <c r="DX17" i="9"/>
  <c r="AG18" i="9"/>
  <c r="CS18" i="9"/>
  <c r="FE18" i="9"/>
  <c r="BN19" i="9"/>
  <c r="DZ19" i="9"/>
  <c r="AI20" i="9"/>
  <c r="CU20" i="9"/>
  <c r="BL15" i="9"/>
  <c r="DN16" i="9"/>
  <c r="CV17" i="9"/>
  <c r="J18" i="9"/>
  <c r="BV18" i="9"/>
  <c r="EH18" i="9"/>
  <c r="AQ19" i="9"/>
  <c r="DC19" i="9"/>
  <c r="L20" i="9"/>
  <c r="BX20" i="9"/>
  <c r="X14" i="9"/>
  <c r="D16" i="9"/>
  <c r="U17" i="9"/>
  <c r="DZ17" i="9"/>
  <c r="AI18" i="9"/>
  <c r="CU18" i="9"/>
  <c r="D19" i="9"/>
  <c r="BP19" i="9"/>
  <c r="EB19" i="9"/>
  <c r="AK20" i="9"/>
  <c r="CW20" i="9"/>
  <c r="F21" i="9"/>
  <c r="BR21" i="9"/>
  <c r="ED21" i="9"/>
  <c r="AN15" i="9"/>
  <c r="CX16" i="9"/>
  <c r="EI17" i="9"/>
  <c r="BY19" i="9"/>
  <c r="ET20" i="9"/>
  <c r="CQ21" i="9"/>
  <c r="AC22" i="9"/>
  <c r="CO22" i="9"/>
  <c r="FA22" i="9"/>
  <c r="BJ23" i="9"/>
  <c r="DV23" i="9"/>
  <c r="AE24" i="9"/>
  <c r="CQ24" i="9"/>
  <c r="FC24" i="9"/>
  <c r="BY18" i="9"/>
  <c r="O20" i="9"/>
  <c r="AF21" i="9"/>
  <c r="EE21" i="9"/>
  <c r="BB22" i="9"/>
  <c r="DN22" i="9"/>
  <c r="W23" i="9"/>
  <c r="CI23" i="9"/>
  <c r="EU23" i="9"/>
  <c r="BD24" i="9"/>
  <c r="DP24" i="9"/>
  <c r="AA14" i="9"/>
  <c r="CE17" i="9"/>
  <c r="BO16" i="9"/>
  <c r="DK14" i="9"/>
  <c r="F12" i="9"/>
  <c r="AR16" i="9"/>
  <c r="AV20" i="9"/>
  <c r="EQ15" i="9"/>
  <c r="AE18" i="9"/>
  <c r="P19" i="9"/>
  <c r="AO20" i="9"/>
  <c r="EG20" i="9"/>
  <c r="CJ15" i="9"/>
  <c r="ED16" i="9"/>
  <c r="DD17" i="9"/>
  <c r="P18" i="9"/>
  <c r="CB18" i="9"/>
  <c r="EN18" i="9"/>
  <c r="AW19" i="9"/>
  <c r="DI19" i="9"/>
  <c r="R20" i="9"/>
  <c r="CD20" i="9"/>
  <c r="EP20" i="9"/>
  <c r="AY21" i="9"/>
  <c r="DK21" i="9"/>
  <c r="CE14" i="9"/>
  <c r="AB16" i="9"/>
  <c r="AH17" i="9"/>
  <c r="EF17" i="9"/>
  <c r="AO18" i="9"/>
  <c r="DA18" i="9"/>
  <c r="J19" i="9"/>
  <c r="BV19" i="9"/>
  <c r="EH19" i="9"/>
  <c r="AQ20" i="9"/>
  <c r="DC20" i="9"/>
  <c r="CR15" i="9"/>
  <c r="EJ16" i="9"/>
  <c r="DF17" i="9"/>
  <c r="R18" i="9"/>
  <c r="CD18" i="9"/>
  <c r="EP18" i="9"/>
  <c r="AY19" i="9"/>
  <c r="DK19" i="9"/>
  <c r="T20" i="9"/>
  <c r="CF20" i="9"/>
  <c r="CO14" i="9"/>
  <c r="AJ16" i="9"/>
  <c r="AK17" i="9"/>
  <c r="EH17" i="9"/>
  <c r="AQ18" i="9"/>
  <c r="DC18" i="9"/>
  <c r="L19" i="9"/>
  <c r="BX19" i="9"/>
  <c r="EJ19" i="9"/>
  <c r="AS20" i="9"/>
  <c r="DE20" i="9"/>
  <c r="N21" i="9"/>
  <c r="BZ21" i="9"/>
  <c r="EL21" i="9"/>
  <c r="BT15" i="9"/>
  <c r="DT16" i="9"/>
  <c r="L18" i="9"/>
  <c r="DE19" i="9"/>
  <c r="E21" i="9"/>
  <c r="DD21" i="9"/>
  <c r="AK22" i="9"/>
  <c r="CW22" i="9"/>
  <c r="F23" i="9"/>
  <c r="BR23" i="9"/>
  <c r="ED23" i="9"/>
  <c r="AM24" i="9"/>
  <c r="CY24" i="9"/>
  <c r="K15" i="9"/>
  <c r="DE18" i="9"/>
  <c r="DG14" i="9"/>
  <c r="DP11" i="9"/>
  <c r="EA16" i="9"/>
  <c r="T15" i="9"/>
  <c r="CY13" i="9"/>
  <c r="AS13" i="10" s="1"/>
  <c r="AR17" i="9"/>
  <c r="DH20" i="9"/>
  <c r="AT16" i="9"/>
  <c r="AM18" i="9"/>
  <c r="BL19" i="9"/>
  <c r="AW20" i="9"/>
  <c r="EW20" i="9"/>
  <c r="DP15" i="9"/>
  <c r="EZ16" i="9"/>
  <c r="DN17" i="9"/>
  <c r="X18" i="9"/>
  <c r="CJ18" i="9"/>
  <c r="EV18" i="9"/>
  <c r="BE19" i="9"/>
  <c r="DQ19" i="9"/>
  <c r="Z20" i="9"/>
  <c r="CL20" i="9"/>
  <c r="EX20" i="9"/>
  <c r="BG21" i="9"/>
  <c r="DS21" i="9"/>
  <c r="DR14" i="9"/>
  <c r="AZ16" i="9"/>
  <c r="AX17" i="9"/>
  <c r="EN17" i="9"/>
  <c r="AW18" i="9"/>
  <c r="DI18" i="9"/>
  <c r="R19" i="9"/>
  <c r="CD19" i="9"/>
  <c r="EP19" i="9"/>
  <c r="AY20" i="9"/>
  <c r="DK20" i="9"/>
  <c r="DX15" i="9"/>
  <c r="FE16" i="9"/>
  <c r="DP17" i="9"/>
  <c r="Z18" i="9"/>
  <c r="CL18" i="9"/>
  <c r="EX18" i="9"/>
  <c r="BG19" i="9"/>
  <c r="DS19" i="9"/>
  <c r="AB20" i="9"/>
  <c r="CN20" i="9"/>
  <c r="DZ14" i="9"/>
  <c r="Q15" i="9"/>
  <c r="BF13" i="9"/>
  <c r="N11" i="9"/>
  <c r="CF15" i="9"/>
  <c r="BK14" i="9"/>
  <c r="EK17" i="9"/>
  <c r="Q21" i="9"/>
  <c r="M17" i="9"/>
  <c r="AU18" i="9"/>
  <c r="BT19" i="9"/>
  <c r="BE20" i="9"/>
  <c r="EH13" i="9"/>
  <c r="EV15" i="9"/>
  <c r="O17" i="9"/>
  <c r="DW17" i="9"/>
  <c r="AF18" i="9"/>
  <c r="CR18" i="9"/>
  <c r="FD18" i="9"/>
  <c r="BM19" i="9"/>
  <c r="DY19" i="9"/>
  <c r="AH20" i="9"/>
  <c r="CT20" i="9"/>
  <c r="C21" i="9"/>
  <c r="BO21" i="9"/>
  <c r="EA21" i="9"/>
  <c r="EX14" i="9"/>
  <c r="BU16" i="9"/>
  <c r="BN17" i="9"/>
  <c r="EV17" i="9"/>
  <c r="BE18" i="9"/>
  <c r="DQ18" i="9"/>
  <c r="Z19" i="9"/>
  <c r="CL19" i="9"/>
  <c r="EX19" i="9"/>
  <c r="BG20" i="9"/>
  <c r="M14" i="9"/>
  <c r="FD15" i="9"/>
  <c r="T17" i="9"/>
  <c r="DY17" i="9"/>
  <c r="AH18" i="9"/>
  <c r="CT18" i="9"/>
  <c r="C19" i="9"/>
  <c r="BO19" i="9"/>
  <c r="EA19" i="9"/>
  <c r="AJ20" i="9"/>
  <c r="CV20" i="9"/>
  <c r="C15" i="9"/>
  <c r="BZ16" i="9"/>
  <c r="BQ17" i="9"/>
  <c r="EX17" i="9"/>
  <c r="BG18" i="9"/>
  <c r="DS18" i="9"/>
  <c r="AB19" i="9"/>
  <c r="CN19" i="9"/>
  <c r="EZ19" i="9"/>
  <c r="BI20" i="9"/>
  <c r="DU20" i="9"/>
  <c r="AD21" i="9"/>
  <c r="CP21" i="9"/>
  <c r="FB21" i="9"/>
  <c r="EF15" i="9"/>
  <c r="G17" i="9"/>
  <c r="BX18" i="9"/>
  <c r="N20" i="9"/>
  <c r="AE21" i="9"/>
  <c r="EC21" i="9"/>
  <c r="BA22" i="9"/>
  <c r="DM22" i="9"/>
  <c r="V23" i="9"/>
  <c r="CH23" i="9"/>
  <c r="ET23" i="9"/>
  <c r="BC24" i="9"/>
  <c r="DO24" i="9"/>
  <c r="AP17" i="9"/>
  <c r="N19" i="9"/>
  <c r="DG20" i="9"/>
  <c r="BS21" i="9"/>
  <c r="L22" i="9"/>
  <c r="BZ22" i="9"/>
  <c r="EL22" i="9"/>
  <c r="AU23" i="9"/>
  <c r="BM17" i="9"/>
  <c r="CC15" i="9"/>
  <c r="AV14" i="9"/>
  <c r="FB12" i="9"/>
  <c r="ER15" i="9"/>
  <c r="EJ14" i="9"/>
  <c r="AT18" i="9"/>
  <c r="CC21" i="9"/>
  <c r="AC17" i="9"/>
  <c r="CQ18" i="9"/>
  <c r="CB19" i="9"/>
  <c r="CS20" i="9"/>
  <c r="BZ14" i="9"/>
  <c r="Y16" i="9"/>
  <c r="AE17" i="9"/>
  <c r="EE17" i="9"/>
  <c r="AN18" i="9"/>
  <c r="CZ18" i="9"/>
  <c r="I19" i="9"/>
  <c r="BU19" i="9"/>
  <c r="EG19" i="9"/>
  <c r="AP20" i="9"/>
  <c r="DB20" i="9"/>
  <c r="K21" i="9"/>
  <c r="BW21" i="9"/>
  <c r="EI21" i="9"/>
  <c r="AA15" i="9"/>
  <c r="CP16" i="9"/>
  <c r="CD17" i="9"/>
  <c r="FD17" i="9"/>
  <c r="BM18" i="9"/>
  <c r="DY18" i="9"/>
  <c r="AH19" i="9"/>
  <c r="CT19" i="9"/>
  <c r="C20" i="9"/>
  <c r="BO20" i="9"/>
  <c r="CJ14" i="9"/>
  <c r="AG16" i="9"/>
  <c r="AJ17" i="9"/>
  <c r="EG17" i="9"/>
  <c r="AP18" i="9"/>
  <c r="DB18" i="9"/>
  <c r="K19" i="9"/>
  <c r="BW19" i="9"/>
  <c r="EI19" i="9"/>
  <c r="AR20" i="9"/>
  <c r="DD20" i="9"/>
  <c r="AI15" i="9"/>
  <c r="CV16" i="9"/>
  <c r="CG17" i="9"/>
  <c r="C18" i="9"/>
  <c r="BO18" i="9"/>
  <c r="EA18" i="9"/>
  <c r="AJ19" i="9"/>
  <c r="CV19" i="9"/>
  <c r="E20" i="9"/>
  <c r="BQ20" i="9"/>
  <c r="EC20" i="9"/>
  <c r="AL21" i="9"/>
  <c r="CX21" i="9"/>
  <c r="AJ14" i="9"/>
  <c r="I16" i="9"/>
  <c r="EH14" i="9"/>
  <c r="DD18" i="9"/>
  <c r="AT20" i="9"/>
  <c r="AR21" i="9"/>
  <c r="EP21" i="9"/>
  <c r="BI22" i="9"/>
  <c r="DU22" i="9"/>
  <c r="AD23" i="9"/>
  <c r="CP23" i="9"/>
  <c r="FB23" i="9"/>
  <c r="BK24" i="9"/>
  <c r="DW24" i="9"/>
  <c r="CY17" i="9"/>
  <c r="AT19" i="9"/>
  <c r="EE20" i="9"/>
  <c r="CF21" i="9"/>
  <c r="U22" i="9"/>
  <c r="CH22" i="9"/>
  <c r="ET22" i="9"/>
  <c r="BC23" i="9"/>
  <c r="DO23" i="9"/>
  <c r="X24" i="9"/>
  <c r="CJ24" i="9"/>
  <c r="EV24" i="9"/>
  <c r="BS8" i="9"/>
  <c r="EO15" i="9"/>
  <c r="DY14" i="9"/>
  <c r="AC14" i="9"/>
  <c r="BA16" i="9"/>
  <c r="AS15" i="9"/>
  <c r="DF18" i="9"/>
  <c r="DY21" i="9"/>
  <c r="AS17" i="9"/>
  <c r="CY18" i="9"/>
  <c r="DX19" i="9"/>
  <c r="DA20" i="9"/>
  <c r="DO14" i="9"/>
  <c r="AW16" i="9"/>
  <c r="AU17" i="9"/>
  <c r="EM17" i="9"/>
  <c r="AV18" i="9"/>
  <c r="DH18" i="9"/>
  <c r="Q19" i="9"/>
  <c r="CC19" i="9"/>
  <c r="EO19" i="9"/>
  <c r="AX20" i="9"/>
  <c r="DJ20" i="9"/>
  <c r="S21" i="9"/>
  <c r="CE21" i="9"/>
  <c r="EQ21" i="9"/>
  <c r="BG15" i="9"/>
  <c r="DL16" i="9"/>
  <c r="CT17" i="9"/>
  <c r="I18" i="9"/>
  <c r="BU18" i="9"/>
  <c r="EG18" i="9"/>
  <c r="AP19" i="9"/>
  <c r="DB19" i="9"/>
  <c r="K20" i="9"/>
  <c r="BW20" i="9"/>
  <c r="DW14" i="9"/>
  <c r="BB16" i="9"/>
  <c r="AZ17" i="9"/>
  <c r="EO17" i="9"/>
  <c r="AX18" i="9"/>
  <c r="DJ18" i="9"/>
  <c r="S19" i="9"/>
  <c r="AW12" i="9"/>
  <c r="AX16" i="9"/>
  <c r="AH15" i="9"/>
  <c r="V11" i="9"/>
  <c r="DM16" i="9"/>
  <c r="DE15" i="9"/>
  <c r="O19" i="9"/>
  <c r="EF19" i="9"/>
  <c r="Y19" i="9"/>
  <c r="CM15" i="9"/>
  <c r="S20" i="9"/>
  <c r="AA19" i="9"/>
  <c r="DT20" i="9"/>
  <c r="DG17" i="9"/>
  <c r="EI18" i="9"/>
  <c r="ER19" i="9"/>
  <c r="ES20" i="9"/>
  <c r="CV14" i="9"/>
  <c r="AR18" i="9"/>
  <c r="BQ21" i="9"/>
  <c r="EC22" i="9"/>
  <c r="EL23" i="9"/>
  <c r="EM24" i="9"/>
  <c r="CA20" i="9"/>
  <c r="FD21" i="9"/>
  <c r="DV22" i="9"/>
  <c r="BS23" i="9"/>
  <c r="FC23" i="9"/>
  <c r="CB24" i="9"/>
  <c r="AQ15" i="9"/>
  <c r="DL18" i="9"/>
  <c r="BB20" i="9"/>
  <c r="AU21" i="9"/>
  <c r="ES21" i="9"/>
  <c r="BK22" i="9"/>
  <c r="DW22" i="9"/>
  <c r="AF23" i="9"/>
  <c r="CR23" i="9"/>
  <c r="FD23" i="9"/>
  <c r="BM24" i="9"/>
  <c r="DY24" i="9"/>
  <c r="DK17" i="9"/>
  <c r="BB19" i="9"/>
  <c r="EJ20" i="9"/>
  <c r="CI21" i="9"/>
  <c r="W22" i="9"/>
  <c r="CJ22" i="9"/>
  <c r="EV22" i="9"/>
  <c r="CN18" i="9"/>
  <c r="AD20" i="9"/>
  <c r="AK21" i="9"/>
  <c r="EJ21" i="9"/>
  <c r="BE22" i="9"/>
  <c r="DQ22" i="9"/>
  <c r="Z23" i="9"/>
  <c r="CL23" i="9"/>
  <c r="EX23" i="9"/>
  <c r="BG24" i="9"/>
  <c r="BV17" i="9"/>
  <c r="AD19" i="9"/>
  <c r="DV20" i="9"/>
  <c r="BY21" i="9"/>
  <c r="P22" i="9"/>
  <c r="CD22" i="9"/>
  <c r="CW19" i="9"/>
  <c r="CU22" i="9"/>
  <c r="CG23" i="9"/>
  <c r="BB24" i="9"/>
  <c r="BC21" i="9"/>
  <c r="I23" i="9"/>
  <c r="EG23" i="9"/>
  <c r="DB24" i="9"/>
  <c r="EC19" i="9"/>
  <c r="DC22" i="9"/>
  <c r="CM23" i="9"/>
  <c r="BH24" i="9"/>
  <c r="Z17" i="9"/>
  <c r="I22" i="9"/>
  <c r="AR23" i="9"/>
  <c r="M24" i="9"/>
  <c r="EC24" i="9"/>
  <c r="AB21" i="9"/>
  <c r="EZ22" i="9"/>
  <c r="DU23" i="9"/>
  <c r="CP24" i="9"/>
  <c r="G20" i="9"/>
  <c r="DI20" i="9"/>
  <c r="CK19" i="9"/>
  <c r="EG16" i="9"/>
  <c r="CE20" i="9"/>
  <c r="CE19" i="9"/>
  <c r="BO15" i="9"/>
  <c r="EP17" i="9"/>
  <c r="EQ18" i="9"/>
  <c r="M20" i="9"/>
  <c r="V21" i="9"/>
  <c r="EE14" i="9"/>
  <c r="EJ18" i="9"/>
  <c r="DP21" i="9"/>
  <c r="EK22" i="9"/>
  <c r="G24" i="9"/>
  <c r="CF16" i="9"/>
  <c r="EU20" i="9"/>
  <c r="AD22" i="9"/>
  <c r="ED22" i="9"/>
  <c r="CA23" i="9"/>
  <c r="H24" i="9"/>
  <c r="CR24" i="9"/>
  <c r="DA16" i="9"/>
  <c r="ER18" i="9"/>
  <c r="CH20" i="9"/>
  <c r="BH21" i="9"/>
  <c r="C22" i="9"/>
  <c r="BS22" i="9"/>
  <c r="EE22" i="9"/>
  <c r="AN23" i="9"/>
  <c r="CZ23" i="9"/>
  <c r="I24" i="9"/>
  <c r="BU24" i="9"/>
  <c r="EG24" i="9"/>
  <c r="ER17" i="9"/>
  <c r="CH19" i="9"/>
  <c r="EZ20" i="9"/>
  <c r="CV21" i="9"/>
  <c r="AF22" i="9"/>
  <c r="CR22" i="9"/>
  <c r="DC15" i="9"/>
  <c r="DT18" i="9"/>
  <c r="BJ20" i="9"/>
  <c r="AX21" i="9"/>
  <c r="EV21" i="9"/>
  <c r="BM22" i="9"/>
  <c r="DY22" i="9"/>
  <c r="AH23" i="9"/>
  <c r="CT23" i="9"/>
  <c r="C24" i="9"/>
  <c r="BO24" i="9"/>
  <c r="DT17" i="9"/>
  <c r="BJ19" i="9"/>
  <c r="EM20" i="9"/>
  <c r="CL21" i="9"/>
  <c r="Y22" i="9"/>
  <c r="CL22" i="9"/>
  <c r="BR20" i="9"/>
  <c r="DT22" i="9"/>
  <c r="CW23" i="9"/>
  <c r="BR24" i="9"/>
  <c r="DB21" i="9"/>
  <c r="Y23" i="9"/>
  <c r="EW23" i="9"/>
  <c r="DM24" i="9"/>
  <c r="CX20" i="9"/>
  <c r="EA22" i="9"/>
  <c r="DC23" i="9"/>
  <c r="BX24" i="9"/>
  <c r="AK18" i="9"/>
  <c r="AR22" i="9"/>
  <c r="BH23" i="9"/>
  <c r="AC24" i="9"/>
  <c r="EQ24" i="9"/>
  <c r="CA21" i="9"/>
  <c r="M23" i="9"/>
  <c r="EK23" i="9"/>
  <c r="DE24" i="9"/>
  <c r="EA20" i="9"/>
  <c r="CV18" i="9"/>
  <c r="BG22" i="9"/>
  <c r="BO23" i="9"/>
  <c r="AJ24" i="9"/>
  <c r="ET24" i="9"/>
  <c r="EN21" i="9"/>
  <c r="EU14" i="9"/>
  <c r="EW19" i="9"/>
  <c r="DE17" i="9"/>
  <c r="FC14" i="9"/>
  <c r="CM19" i="9"/>
  <c r="CU15" i="9"/>
  <c r="K18" i="9"/>
  <c r="T19" i="9"/>
  <c r="U20" i="9"/>
  <c r="AT21" i="9"/>
  <c r="CZ15" i="9"/>
  <c r="M19" i="9"/>
  <c r="FC21" i="9"/>
  <c r="N23" i="9"/>
  <c r="O24" i="9"/>
  <c r="EJ17" i="9"/>
  <c r="G21" i="9"/>
  <c r="AL22" i="9"/>
  <c r="FB22" i="9"/>
  <c r="CQ23" i="9"/>
  <c r="P24" i="9"/>
  <c r="CZ24" i="9"/>
  <c r="BC17" i="9"/>
  <c r="U19" i="9"/>
  <c r="DN20" i="9"/>
  <c r="BT21" i="9"/>
  <c r="M22" i="9"/>
  <c r="CA22" i="9"/>
  <c r="EM22" i="9"/>
  <c r="AV23" i="9"/>
  <c r="DH23" i="9"/>
  <c r="Q24" i="9"/>
  <c r="CC24" i="9"/>
  <c r="EO24" i="9"/>
  <c r="U18" i="9"/>
  <c r="DN19" i="9"/>
  <c r="J21" i="9"/>
  <c r="DH21" i="9"/>
  <c r="AN22" i="9"/>
  <c r="CZ22" i="9"/>
  <c r="ER16" i="9"/>
  <c r="EZ18" i="9"/>
  <c r="CP20" i="9"/>
  <c r="BK21" i="9"/>
  <c r="F22" i="9"/>
  <c r="BU22" i="9"/>
  <c r="EG22" i="9"/>
  <c r="AP23" i="9"/>
  <c r="DB23" i="9"/>
  <c r="K24" i="9"/>
  <c r="BW24" i="9"/>
  <c r="EZ17" i="9"/>
  <c r="CP19" i="9"/>
  <c r="FC20" i="9"/>
  <c r="CY21" i="9"/>
  <c r="AH22" i="9"/>
  <c r="CT22" i="9"/>
  <c r="FE20" i="9"/>
  <c r="EQ22" i="9"/>
  <c r="DM23" i="9"/>
  <c r="AO16" i="9"/>
  <c r="FA21" i="9"/>
  <c r="AO23" i="9"/>
  <c r="J24" i="9"/>
  <c r="EA24" i="9"/>
  <c r="O21" i="9"/>
  <c r="EX22" i="9"/>
  <c r="DS23" i="9"/>
  <c r="CN24" i="9"/>
  <c r="F19" i="9"/>
  <c r="BX22" i="9"/>
  <c r="BX23" i="9"/>
  <c r="AS24" i="9"/>
  <c r="FB24" i="9"/>
  <c r="DZ21" i="9"/>
  <c r="AC23" i="9"/>
  <c r="FA23" i="9"/>
  <c r="DS24" i="9"/>
  <c r="AC21" i="9"/>
  <c r="BQ19" i="9"/>
  <c r="CM22" i="9"/>
  <c r="CE23" i="9"/>
  <c r="AZ24" i="9"/>
  <c r="BR16" i="9"/>
  <c r="BF20" i="9"/>
  <c r="Q18" i="9"/>
  <c r="BX16" i="9"/>
  <c r="EQ19" i="9"/>
  <c r="BE16" i="9"/>
  <c r="S18" i="9"/>
  <c r="AR19" i="9"/>
  <c r="BA20" i="9"/>
  <c r="BB21" i="9"/>
  <c r="AL16" i="9"/>
  <c r="EK19" i="9"/>
  <c r="K22" i="9"/>
  <c r="AL23" i="9"/>
  <c r="AU24" i="9"/>
  <c r="M18" i="9"/>
  <c r="AS21" i="9"/>
  <c r="BJ22" i="9"/>
  <c r="G23" i="9"/>
  <c r="CY23" i="9"/>
  <c r="AF24" i="9"/>
  <c r="DH24" i="9"/>
  <c r="DJ17" i="9"/>
  <c r="BA19" i="9"/>
  <c r="EI20" i="9"/>
  <c r="CG21" i="9"/>
  <c r="V22" i="9"/>
  <c r="CI22" i="9"/>
  <c r="EU22" i="9"/>
  <c r="BD23" i="9"/>
  <c r="DP23" i="9"/>
  <c r="Y24" i="9"/>
  <c r="CK24" i="9"/>
  <c r="EW24" i="9"/>
  <c r="BA18" i="9"/>
  <c r="ET19" i="9"/>
  <c r="W21" i="9"/>
  <c r="DU21" i="9"/>
  <c r="AV22" i="9"/>
  <c r="DH22" i="9"/>
  <c r="BS17" i="9"/>
  <c r="AC19" i="9"/>
  <c r="DS20" i="9"/>
  <c r="BX21" i="9"/>
  <c r="O22" i="9"/>
  <c r="CC22" i="9"/>
  <c r="EO22" i="9"/>
  <c r="AX23" i="9"/>
  <c r="DJ23" i="9"/>
  <c r="S24" i="9"/>
  <c r="CE24" i="9"/>
  <c r="AC18" i="9"/>
  <c r="DV19" i="9"/>
  <c r="M21" i="9"/>
  <c r="DL21" i="9"/>
  <c r="AP22" i="9"/>
  <c r="DB22" i="9"/>
  <c r="BA21" i="9"/>
  <c r="E23" i="9"/>
  <c r="EC23" i="9"/>
  <c r="E18" i="9"/>
  <c r="AJ22" i="9"/>
  <c r="BE23" i="9"/>
  <c r="Z24" i="9"/>
  <c r="EL24" i="9"/>
  <c r="BN21" i="9"/>
  <c r="K23" i="9"/>
  <c r="EI23" i="9"/>
  <c r="DC24" i="9"/>
  <c r="ED19" i="9"/>
  <c r="DD22" i="9"/>
  <c r="CN23" i="9"/>
  <c r="BI24" i="9"/>
  <c r="CI17" i="9"/>
  <c r="Q22" i="9"/>
  <c r="AS23" i="9"/>
  <c r="N24" i="9"/>
  <c r="ED24" i="9"/>
  <c r="CB21" i="9"/>
  <c r="AL20" i="9"/>
  <c r="DR22" i="9"/>
  <c r="CU23" i="9"/>
  <c r="BP24" i="9"/>
  <c r="CW18" i="9"/>
  <c r="BH22" i="9"/>
  <c r="BK17" i="9"/>
  <c r="DR20" i="9"/>
  <c r="CC18" i="9"/>
  <c r="BP17" i="9"/>
  <c r="EY19" i="9"/>
  <c r="DQ16" i="9"/>
  <c r="AY18" i="9"/>
  <c r="AZ19" i="9"/>
  <c r="BY20" i="9"/>
  <c r="CH21" i="9"/>
  <c r="BH16" i="9"/>
  <c r="BZ20" i="9"/>
  <c r="AS22" i="9"/>
  <c r="AT23" i="9"/>
  <c r="BS24" i="9"/>
  <c r="EK18" i="9"/>
  <c r="BF21" i="9"/>
  <c r="BR22" i="9"/>
  <c r="O23" i="9"/>
  <c r="DG23" i="9"/>
  <c r="AN24" i="9"/>
  <c r="DX24" i="9"/>
  <c r="EQ17" i="9"/>
  <c r="CG19" i="9"/>
  <c r="EY20" i="9"/>
  <c r="CT21" i="9"/>
  <c r="AE22" i="9"/>
  <c r="CQ22" i="9"/>
  <c r="FC22" i="9"/>
  <c r="BL23" i="9"/>
  <c r="DX23" i="9"/>
  <c r="AG24" i="9"/>
  <c r="CS24" i="9"/>
  <c r="FE24" i="9"/>
  <c r="CG18" i="9"/>
  <c r="W20" i="9"/>
  <c r="AJ21" i="9"/>
  <c r="EH21" i="9"/>
  <c r="BD22" i="9"/>
  <c r="DP22" i="9"/>
  <c r="DS17" i="9"/>
  <c r="BI19" i="9"/>
  <c r="EL20" i="9"/>
  <c r="CJ21" i="9"/>
  <c r="X22" i="9"/>
  <c r="CK22" i="9"/>
  <c r="EW22" i="9"/>
  <c r="BF23" i="9"/>
  <c r="DR23" i="9"/>
  <c r="AA24" i="9"/>
  <c r="CM24" i="9"/>
  <c r="BI18" i="9"/>
  <c r="FB19" i="9"/>
  <c r="Z21" i="9"/>
  <c r="DX21" i="9"/>
  <c r="AX22" i="9"/>
  <c r="DJ22" i="9"/>
  <c r="CZ21" i="9"/>
  <c r="U23" i="9"/>
  <c r="ES23" i="9"/>
  <c r="EC18" i="9"/>
  <c r="BP22" i="9"/>
  <c r="BU23" i="9"/>
  <c r="AP24" i="9"/>
  <c r="EZ24" i="9"/>
  <c r="DM21" i="9"/>
  <c r="AA23" i="9"/>
  <c r="EY23" i="9"/>
  <c r="DN24" i="9"/>
  <c r="CY20" i="9"/>
  <c r="EB22" i="9"/>
  <c r="DD23" i="9"/>
  <c r="BY24" i="9"/>
  <c r="BP18" i="9"/>
  <c r="AY22" i="9"/>
  <c r="BI23" i="9"/>
  <c r="AD24" i="9"/>
  <c r="ER24" i="9"/>
  <c r="EB21" i="9"/>
  <c r="EQ20" i="9"/>
  <c r="EJ22" i="9"/>
  <c r="DK23" i="9"/>
  <c r="CF24" i="9"/>
  <c r="BR19" i="9"/>
  <c r="CN22" i="9"/>
  <c r="EO21" i="9"/>
  <c r="EU17" i="9"/>
  <c r="AA21" i="9"/>
  <c r="EO18" i="9"/>
  <c r="EW17" i="9"/>
  <c r="AZ20" i="9"/>
  <c r="EL16" i="9"/>
  <c r="BW18" i="9"/>
  <c r="CF19" i="9"/>
  <c r="CG20" i="9"/>
  <c r="DF21" i="9"/>
  <c r="EO16" i="9"/>
  <c r="DF20" i="9"/>
  <c r="BQ22" i="9"/>
  <c r="BZ23" i="9"/>
  <c r="CA24" i="9"/>
  <c r="BZ19" i="9"/>
  <c r="CR21" i="9"/>
  <c r="CP22" i="9"/>
  <c r="AE23" i="9"/>
  <c r="DW23" i="9"/>
  <c r="AV24" i="9"/>
  <c r="EF24" i="9"/>
  <c r="T18" i="9"/>
  <c r="DM19" i="9"/>
  <c r="H21" i="9"/>
  <c r="DG21" i="9"/>
  <c r="AM22" i="9"/>
  <c r="CY22" i="9"/>
  <c r="H23" i="9"/>
  <c r="BT23" i="9"/>
  <c r="EF23" i="9"/>
  <c r="AO24" i="9"/>
  <c r="DA24" i="9"/>
  <c r="BW15" i="9"/>
  <c r="DM18" i="9"/>
  <c r="BC20" i="9"/>
  <c r="AV21" i="9"/>
  <c r="EU21" i="9"/>
  <c r="BL22" i="9"/>
  <c r="DX22" i="9"/>
  <c r="EY17" i="9"/>
  <c r="CO19" i="9"/>
  <c r="FB20" i="9"/>
  <c r="CW21" i="9"/>
  <c r="AG22" i="9"/>
  <c r="CS22" i="9"/>
  <c r="FE22" i="9"/>
  <c r="BN23" i="9"/>
  <c r="DZ23" i="9"/>
  <c r="AI24" i="9"/>
  <c r="CU24" i="9"/>
  <c r="CO18" i="9"/>
  <c r="AE20" i="9"/>
  <c r="AM21" i="9"/>
  <c r="EK21" i="9"/>
  <c r="BF22" i="9"/>
  <c r="L16" i="9"/>
  <c r="EZ21" i="9"/>
  <c r="AK23" i="9"/>
  <c r="F24" i="9"/>
  <c r="CX19" i="9"/>
  <c r="CV22" i="9"/>
  <c r="CK23" i="9"/>
  <c r="BF24" i="9"/>
  <c r="W17" i="9"/>
  <c r="H22" i="9"/>
  <c r="AQ23" i="9"/>
  <c r="L24" i="9"/>
  <c r="EB24" i="9"/>
  <c r="P21" i="9"/>
  <c r="EY22" i="9"/>
  <c r="DT23" i="9"/>
  <c r="CO24" i="9"/>
  <c r="AK19" i="9"/>
  <c r="CE22" i="9"/>
  <c r="BY23" i="9"/>
  <c r="AT24" i="9"/>
  <c r="CL17" i="9"/>
  <c r="S22" i="9"/>
  <c r="DV17" i="9"/>
  <c r="BD18" i="9"/>
  <c r="CM21" i="9"/>
  <c r="AX19" i="9"/>
  <c r="BF18" i="9"/>
  <c r="BH20" i="9"/>
  <c r="BA17" i="9"/>
  <c r="CE18" i="9"/>
  <c r="DD19" i="9"/>
  <c r="DM20" i="9"/>
  <c r="DN21" i="9"/>
  <c r="BJ16" i="9"/>
  <c r="R21" i="9"/>
  <c r="BY22" i="9"/>
  <c r="CX23" i="9"/>
  <c r="DG24" i="9"/>
  <c r="DF19" i="9"/>
  <c r="DE21" i="9"/>
  <c r="CX22" i="9"/>
  <c r="AM23" i="9"/>
  <c r="EE23" i="9"/>
  <c r="BL24" i="9"/>
  <c r="EN24" i="9"/>
  <c r="AZ18" i="9"/>
  <c r="ES19" i="9"/>
  <c r="U21" i="9"/>
  <c r="DT21" i="9"/>
  <c r="AU22" i="9"/>
  <c r="DG22" i="9"/>
  <c r="P23" i="9"/>
  <c r="CB23" i="9"/>
  <c r="EN23" i="9"/>
  <c r="AW24" i="9"/>
  <c r="DI24" i="9"/>
  <c r="DV16" i="9"/>
  <c r="ES18" i="9"/>
  <c r="CI20" i="9"/>
  <c r="BI21" i="9"/>
  <c r="E22" i="9"/>
  <c r="BT22" i="9"/>
  <c r="EF22" i="9"/>
  <c r="AB18" i="9"/>
  <c r="DU19" i="9"/>
  <c r="L21" i="9"/>
  <c r="DJ21" i="9"/>
  <c r="AO22" i="9"/>
  <c r="DA22" i="9"/>
  <c r="J23" i="9"/>
  <c r="BV23" i="9"/>
  <c r="EH23" i="9"/>
  <c r="AQ24" i="9"/>
  <c r="EI15" i="9"/>
  <c r="DU18" i="9"/>
  <c r="BK20" i="9"/>
  <c r="AZ21" i="9"/>
  <c r="EX21" i="9"/>
  <c r="BN22" i="9"/>
  <c r="D18" i="9"/>
  <c r="AI22" i="9"/>
  <c r="BA23" i="9"/>
  <c r="V24" i="9"/>
  <c r="BS20" i="9"/>
  <c r="DZ22" i="9"/>
  <c r="DA23" i="9"/>
  <c r="BV24" i="9"/>
  <c r="AJ18" i="9"/>
  <c r="AQ22" i="9"/>
  <c r="BG23" i="9"/>
  <c r="AB24" i="9"/>
  <c r="EP24" i="9"/>
  <c r="BP21" i="9"/>
  <c r="L23" i="9"/>
  <c r="EJ23" i="9"/>
  <c r="DD24" i="9"/>
  <c r="F20" i="9"/>
  <c r="DK22" i="9"/>
  <c r="CO23" i="9"/>
  <c r="DG18" i="9"/>
  <c r="DP18" i="9"/>
  <c r="EY21" i="9"/>
  <c r="DJ19" i="9"/>
  <c r="DR18" i="9"/>
  <c r="DL20" i="9"/>
  <c r="CW17" i="9"/>
  <c r="DK18" i="9"/>
  <c r="DL19" i="9"/>
  <c r="EK20" i="9"/>
  <c r="ET21" i="9"/>
  <c r="AM17" i="9"/>
  <c r="BD21" i="9"/>
  <c r="DE22" i="9"/>
  <c r="DF23" i="9"/>
  <c r="EE24" i="9"/>
  <c r="AU20" i="9"/>
  <c r="ER21" i="9"/>
  <c r="DF22" i="9"/>
  <c r="BK23" i="9"/>
  <c r="EM23" i="9"/>
  <c r="BT24" i="9"/>
  <c r="FD24" i="9"/>
  <c r="CF18" i="9"/>
  <c r="V20" i="9"/>
  <c r="AH21" i="9"/>
  <c r="EF21" i="9"/>
  <c r="BC22" i="9"/>
  <c r="DO22" i="9"/>
  <c r="X23" i="9"/>
  <c r="CJ23" i="9"/>
  <c r="EV23" i="9"/>
  <c r="BE24" i="9"/>
  <c r="DQ24" i="9"/>
  <c r="BF17" i="9"/>
  <c r="V19" i="9"/>
  <c r="DO20" i="9"/>
  <c r="BV21" i="9"/>
  <c r="N22" i="9"/>
  <c r="CB22" i="9"/>
  <c r="EN22" i="9"/>
  <c r="BH18" i="9"/>
  <c r="FA19" i="9"/>
  <c r="X21" i="9"/>
  <c r="DW21" i="9"/>
  <c r="AW22" i="9"/>
  <c r="DI22" i="9"/>
  <c r="R23" i="9"/>
  <c r="CD23" i="9"/>
  <c r="EP23" i="9"/>
  <c r="AY24" i="9"/>
  <c r="J17" i="9"/>
  <c r="FA18" i="9"/>
  <c r="CQ20" i="9"/>
  <c r="BL21" i="9"/>
  <c r="G22" i="9"/>
  <c r="BV22" i="9"/>
  <c r="EB18" i="9"/>
  <c r="BO22" i="9"/>
  <c r="BQ23" i="9"/>
  <c r="AL24" i="9"/>
  <c r="D21" i="9"/>
  <c r="ER22" i="9"/>
  <c r="DQ23" i="9"/>
  <c r="CL24" i="9"/>
  <c r="E19" i="9"/>
  <c r="BW22" i="9"/>
  <c r="BW23" i="9"/>
  <c r="AR24" i="9"/>
  <c r="FA24" i="9"/>
  <c r="DO21" i="9"/>
  <c r="AB23" i="9"/>
  <c r="EZ23" i="9"/>
  <c r="DR24" i="9"/>
  <c r="DW20" i="9"/>
  <c r="EH22" i="9"/>
  <c r="DE23" i="9"/>
  <c r="BZ24" i="9"/>
  <c r="AL19" i="9"/>
  <c r="CF22" i="9"/>
  <c r="AI23" i="9"/>
  <c r="DU24" i="9"/>
  <c r="DS22" i="9"/>
  <c r="CV23" i="9"/>
  <c r="BQ24" i="9"/>
  <c r="EA17" i="9"/>
  <c r="AY23" i="9"/>
  <c r="EI24" i="9"/>
  <c r="EP22" i="9"/>
  <c r="DL23" i="9"/>
  <c r="CG24" i="9"/>
  <c r="AN21" i="9"/>
  <c r="EA23" i="9"/>
  <c r="EB17" i="9"/>
  <c r="D23" i="9"/>
  <c r="EB23" i="9"/>
  <c r="CW24" i="9"/>
  <c r="CN21" i="9"/>
  <c r="EQ23" i="9"/>
  <c r="AM20" i="9"/>
  <c r="T23" i="9"/>
  <c r="ER23" i="9"/>
  <c r="DK24" i="9"/>
  <c r="EM21" i="9"/>
  <c r="D24" i="9"/>
  <c r="ER20" i="9"/>
  <c r="AJ23" i="9"/>
  <c r="E24" i="9"/>
  <c r="DV24" i="9"/>
  <c r="BJ24" i="9"/>
  <c r="AA22" i="9"/>
  <c r="T24" i="9"/>
  <c r="AP21" i="9"/>
  <c r="AZ23" i="9"/>
  <c r="U24" i="9"/>
  <c r="EJ24" i="9"/>
  <c r="BQ18" i="9"/>
  <c r="C23" i="9"/>
  <c r="CV24" i="9"/>
  <c r="CO21" i="9"/>
  <c r="BP23" i="9"/>
  <c r="AK24" i="9"/>
  <c r="EX24" i="9"/>
  <c r="AZ22" i="9"/>
  <c r="S23" i="9"/>
  <c r="DJ24" i="9"/>
  <c r="AB22" i="9"/>
  <c r="CF23" i="9"/>
  <c r="BA24" i="9"/>
  <c r="BN24" i="9"/>
  <c r="FD22" i="9"/>
  <c r="Q23" i="9"/>
  <c r="AI23" i="10"/>
  <c r="N19" i="10"/>
  <c r="AM16" i="10"/>
  <c r="H11" i="10"/>
  <c r="U24" i="10"/>
  <c r="AB22" i="10"/>
  <c r="AP17" i="10"/>
  <c r="AG12" i="10"/>
  <c r="T24" i="10"/>
  <c r="R6" i="10"/>
  <c r="H8" i="10"/>
  <c r="AI9" i="10"/>
  <c r="Y11" i="10"/>
  <c r="O13" i="10"/>
  <c r="AP14" i="10"/>
  <c r="AF16" i="10"/>
  <c r="V18" i="10"/>
  <c r="L20" i="10"/>
  <c r="AM21" i="10"/>
  <c r="F7" i="10"/>
  <c r="AG8" i="10"/>
  <c r="W10" i="10"/>
  <c r="M12" i="10"/>
  <c r="AN13" i="10"/>
  <c r="AD15" i="10"/>
  <c r="T17" i="10"/>
  <c r="J19" i="10"/>
  <c r="AK20" i="10"/>
  <c r="AA22" i="10"/>
  <c r="AE7" i="10"/>
  <c r="U9" i="10"/>
  <c r="K11" i="10"/>
  <c r="AL12" i="10"/>
  <c r="AB14" i="10"/>
  <c r="AF7" i="10"/>
  <c r="V9" i="10"/>
  <c r="L11" i="10"/>
  <c r="AM12" i="10"/>
  <c r="AC14" i="10"/>
  <c r="S16" i="10"/>
  <c r="I18" i="10"/>
  <c r="AJ19" i="10"/>
  <c r="Z21" i="10"/>
  <c r="V6" i="10"/>
  <c r="L8" i="10"/>
  <c r="AM9" i="10"/>
  <c r="AC11" i="10"/>
  <c r="S13" i="10"/>
  <c r="I15" i="10"/>
  <c r="AJ16" i="10"/>
  <c r="Z18" i="10"/>
  <c r="P20" i="10"/>
  <c r="F22" i="10"/>
  <c r="AM6" i="10"/>
  <c r="K7" i="10"/>
  <c r="AL8" i="10"/>
  <c r="AB10" i="10"/>
  <c r="R12" i="10"/>
  <c r="H14" i="10"/>
  <c r="AI15" i="10"/>
  <c r="Y17" i="10"/>
  <c r="O19" i="10"/>
  <c r="AP20" i="10"/>
  <c r="AF22" i="10"/>
  <c r="AO12" i="10"/>
  <c r="K18" i="10"/>
  <c r="AG22" i="10"/>
  <c r="W24" i="10"/>
  <c r="P11" i="10"/>
  <c r="H17" i="10"/>
  <c r="AD21" i="10"/>
  <c r="H24" i="10"/>
  <c r="AF9" i="10"/>
  <c r="AP15" i="10"/>
  <c r="AA20" i="10"/>
  <c r="AD23" i="10"/>
  <c r="G8" i="10"/>
  <c r="AM14" i="10"/>
  <c r="X19" i="10"/>
  <c r="O23" i="10"/>
  <c r="AP24" i="10"/>
  <c r="T13" i="10"/>
  <c r="U18" i="10"/>
  <c r="AK22" i="10"/>
  <c r="AA24" i="10"/>
  <c r="AA12" i="10"/>
  <c r="Z6" i="10"/>
  <c r="P8" i="10"/>
  <c r="F10" i="10"/>
  <c r="AG11" i="10"/>
  <c r="W13" i="10"/>
  <c r="M15" i="10"/>
  <c r="AN16" i="10"/>
  <c r="AD18" i="10"/>
  <c r="T20" i="10"/>
  <c r="J22" i="10"/>
  <c r="N7" i="10"/>
  <c r="AO8" i="10"/>
  <c r="AE10" i="10"/>
  <c r="U12" i="10"/>
  <c r="K14" i="10"/>
  <c r="AL15" i="10"/>
  <c r="AB17" i="10"/>
  <c r="R19" i="10"/>
  <c r="H21" i="10"/>
  <c r="L6" i="10"/>
  <c r="AM7" i="10"/>
  <c r="AC9" i="10"/>
  <c r="S11" i="10"/>
  <c r="I13" i="10"/>
  <c r="M6" i="10"/>
  <c r="AN7" i="10"/>
  <c r="AD9" i="10"/>
  <c r="T11" i="10"/>
  <c r="J13" i="10"/>
  <c r="AK14" i="10"/>
  <c r="AA16" i="10"/>
  <c r="Q18" i="10"/>
  <c r="G20" i="10"/>
  <c r="AH21" i="10"/>
  <c r="AD6" i="10"/>
  <c r="T8" i="10"/>
  <c r="J10" i="10"/>
  <c r="AK11" i="10"/>
  <c r="AA13" i="10"/>
  <c r="Q15" i="10"/>
  <c r="G17" i="10"/>
  <c r="AH18" i="10"/>
  <c r="X20" i="10"/>
  <c r="N22" i="10"/>
  <c r="J7" i="10"/>
  <c r="S7" i="10"/>
  <c r="I9" i="10"/>
  <c r="AJ10" i="10"/>
  <c r="Z12" i="10"/>
  <c r="P14" i="10"/>
  <c r="F16" i="10"/>
  <c r="AG17" i="10"/>
  <c r="W19" i="10"/>
  <c r="M21" i="10"/>
  <c r="Q6" i="10"/>
  <c r="AJ13" i="10"/>
  <c r="AF18" i="10"/>
  <c r="AO22" i="10"/>
  <c r="AE24" i="10"/>
  <c r="K12" i="10"/>
  <c r="AC17" i="10"/>
  <c r="O22" i="10"/>
  <c r="P24" i="10"/>
  <c r="AA10" i="10"/>
  <c r="Z16" i="10"/>
  <c r="L21" i="10"/>
  <c r="AL23" i="10"/>
  <c r="AM8" i="10"/>
  <c r="W15" i="10"/>
  <c r="I20" i="10"/>
  <c r="W23" i="10"/>
  <c r="L7" i="10"/>
  <c r="O14" i="10"/>
  <c r="F19" i="10"/>
  <c r="H23" i="10"/>
  <c r="AI24" i="10"/>
  <c r="V13" i="10"/>
  <c r="X18" i="10"/>
  <c r="AL22" i="10"/>
  <c r="AB24" i="10"/>
  <c r="AH6" i="10"/>
  <c r="X8" i="10"/>
  <c r="N10" i="10"/>
  <c r="AO11" i="10"/>
  <c r="AE13" i="10"/>
  <c r="U15" i="10"/>
  <c r="K17" i="10"/>
  <c r="AL18" i="10"/>
  <c r="AB20" i="10"/>
  <c r="R22" i="10"/>
  <c r="V7" i="10"/>
  <c r="L9" i="10"/>
  <c r="AM10" i="10"/>
  <c r="AC12" i="10"/>
  <c r="S14" i="10"/>
  <c r="I16" i="10"/>
  <c r="AJ17" i="10"/>
  <c r="Z19" i="10"/>
  <c r="P21" i="10"/>
  <c r="T6" i="10"/>
  <c r="J8" i="10"/>
  <c r="AK9" i="10"/>
  <c r="AA11" i="10"/>
  <c r="Q13" i="10"/>
  <c r="U6" i="10"/>
  <c r="K8" i="10"/>
  <c r="AL9" i="10"/>
  <c r="AB11" i="10"/>
  <c r="R13" i="10"/>
  <c r="H15" i="10"/>
  <c r="AI16" i="10"/>
  <c r="Y18" i="10"/>
  <c r="O20" i="10"/>
  <c r="AP21" i="10"/>
  <c r="AL6" i="10"/>
  <c r="AB8" i="10"/>
  <c r="R10" i="10"/>
  <c r="H12" i="10"/>
  <c r="AI13" i="10"/>
  <c r="Y15" i="10"/>
  <c r="O17" i="10"/>
  <c r="AP18" i="10"/>
  <c r="AF20" i="10"/>
  <c r="V22" i="10"/>
  <c r="R7" i="10"/>
  <c r="AA7" i="10"/>
  <c r="Q9" i="10"/>
  <c r="G11" i="10"/>
  <c r="AH12" i="10"/>
  <c r="X14" i="10"/>
  <c r="N16" i="10"/>
  <c r="AO17" i="10"/>
  <c r="AE19" i="10"/>
  <c r="U21" i="10"/>
  <c r="AH7" i="10"/>
  <c r="AE14" i="10"/>
  <c r="P19" i="10"/>
  <c r="L23" i="10"/>
  <c r="AM24" i="10"/>
  <c r="F13" i="10"/>
  <c r="M18" i="10"/>
  <c r="AH22" i="10"/>
  <c r="X24" i="10"/>
  <c r="V11" i="10"/>
  <c r="J17" i="10"/>
  <c r="AG21" i="10"/>
  <c r="I24" i="10"/>
  <c r="AH9" i="10"/>
  <c r="G16" i="10"/>
  <c r="AD20" i="10"/>
  <c r="AE23" i="10"/>
  <c r="M8" i="10"/>
  <c r="AO14" i="10"/>
  <c r="AA19" i="10"/>
  <c r="P23" i="10"/>
  <c r="T7" i="10"/>
  <c r="Q14" i="10"/>
  <c r="H19" i="10"/>
  <c r="AP6" i="10"/>
  <c r="AF8" i="10"/>
  <c r="V10" i="10"/>
  <c r="L12" i="10"/>
  <c r="AM13" i="10"/>
  <c r="AC15" i="10"/>
  <c r="S17" i="10"/>
  <c r="I19" i="10"/>
  <c r="AJ20" i="10"/>
  <c r="Z22" i="10"/>
  <c r="AD7" i="10"/>
  <c r="T9" i="10"/>
  <c r="J11" i="10"/>
  <c r="AK12" i="10"/>
  <c r="AA14" i="10"/>
  <c r="Q16" i="10"/>
  <c r="G18" i="10"/>
  <c r="AH19" i="10"/>
  <c r="X21" i="10"/>
  <c r="AB6" i="10"/>
  <c r="R8" i="10"/>
  <c r="H10" i="10"/>
  <c r="AI11" i="10"/>
  <c r="Y13" i="10"/>
  <c r="AC6" i="10"/>
  <c r="S8" i="10"/>
  <c r="I10" i="10"/>
  <c r="AJ11" i="10"/>
  <c r="Z13" i="10"/>
  <c r="P15" i="10"/>
  <c r="F17" i="10"/>
  <c r="AG18" i="10"/>
  <c r="W20" i="10"/>
  <c r="M22" i="10"/>
  <c r="I7" i="10"/>
  <c r="AJ8" i="10"/>
  <c r="Z10" i="10"/>
  <c r="P12" i="10"/>
  <c r="F14" i="10"/>
  <c r="AG15" i="10"/>
  <c r="W17" i="10"/>
  <c r="M19" i="10"/>
  <c r="AN20" i="10"/>
  <c r="AD22" i="10"/>
  <c r="H6" i="10"/>
  <c r="AI7" i="10"/>
  <c r="Y9" i="10"/>
  <c r="O11" i="10"/>
  <c r="AP12" i="10"/>
  <c r="AF14" i="10"/>
  <c r="V16" i="10"/>
  <c r="L18" i="10"/>
  <c r="AM19" i="10"/>
  <c r="AC21" i="10"/>
  <c r="AC8" i="10"/>
  <c r="O15" i="10"/>
  <c r="AL19" i="10"/>
  <c r="T23" i="10"/>
  <c r="Y6" i="10"/>
  <c r="AL13" i="10"/>
  <c r="AI18" i="10"/>
  <c r="AP22" i="10"/>
  <c r="AF24" i="10"/>
  <c r="Q12" i="10"/>
  <c r="AF17" i="10"/>
  <c r="Q22" i="10"/>
  <c r="Q24" i="10"/>
  <c r="AC10" i="10"/>
  <c r="AC16" i="10"/>
  <c r="N21" i="10"/>
  <c r="AM23" i="10"/>
  <c r="H9" i="10"/>
  <c r="Z15" i="10"/>
  <c r="K20" i="10"/>
  <c r="X23" i="10"/>
  <c r="O8" i="10"/>
  <c r="G15" i="10"/>
  <c r="M7" i="10"/>
  <c r="AN8" i="10"/>
  <c r="AD10" i="10"/>
  <c r="T12" i="10"/>
  <c r="J14" i="10"/>
  <c r="AK15" i="10"/>
  <c r="AA17" i="10"/>
  <c r="Q19" i="10"/>
  <c r="G21" i="10"/>
  <c r="K6" i="10"/>
  <c r="AL7" i="10"/>
  <c r="AB9" i="10"/>
  <c r="R11" i="10"/>
  <c r="H13" i="10"/>
  <c r="AI14" i="10"/>
  <c r="Y16" i="10"/>
  <c r="O18" i="10"/>
  <c r="AP19" i="10"/>
  <c r="AF21" i="10"/>
  <c r="AJ6" i="10"/>
  <c r="Z8" i="10"/>
  <c r="P10" i="10"/>
  <c r="F12" i="10"/>
  <c r="AG13" i="10"/>
  <c r="AK6" i="10"/>
  <c r="AA8" i="10"/>
  <c r="Q10" i="10"/>
  <c r="G12" i="10"/>
  <c r="AH13" i="10"/>
  <c r="X15" i="10"/>
  <c r="N17" i="10"/>
  <c r="AO18" i="10"/>
  <c r="AE20" i="10"/>
  <c r="U22" i="10"/>
  <c r="Q7" i="10"/>
  <c r="G9" i="10"/>
  <c r="AH10" i="10"/>
  <c r="X12" i="10"/>
  <c r="N14" i="10"/>
  <c r="AO15" i="10"/>
  <c r="AE17" i="10"/>
  <c r="U19" i="10"/>
  <c r="K21" i="10"/>
  <c r="G6" i="10"/>
  <c r="P6" i="10"/>
  <c r="F8" i="10"/>
  <c r="AG9" i="10"/>
  <c r="W11" i="10"/>
  <c r="M13" i="10"/>
  <c r="AN14" i="10"/>
  <c r="AD16" i="10"/>
  <c r="T18" i="10"/>
  <c r="J20" i="10"/>
  <c r="AK21" i="10"/>
  <c r="X9" i="10"/>
  <c r="AJ15" i="10"/>
  <c r="V20" i="10"/>
  <c r="AB23" i="10"/>
  <c r="AJ7" i="10"/>
  <c r="AG14" i="10"/>
  <c r="S19" i="10"/>
  <c r="M23" i="10"/>
  <c r="AN24" i="10"/>
  <c r="L13" i="10"/>
  <c r="P18" i="10"/>
  <c r="AI22" i="10"/>
  <c r="Y24" i="10"/>
  <c r="X11" i="10"/>
  <c r="M17" i="10"/>
  <c r="AJ21" i="10"/>
  <c r="J24" i="10"/>
  <c r="AN9" i="10"/>
  <c r="J16" i="10"/>
  <c r="AG20" i="10"/>
  <c r="AF23" i="10"/>
  <c r="J9" i="10"/>
  <c r="AB15" i="10"/>
  <c r="U7" i="10"/>
  <c r="K9" i="10"/>
  <c r="AL10" i="10"/>
  <c r="AB12" i="10"/>
  <c r="R14" i="10"/>
  <c r="H16" i="10"/>
  <c r="AI17" i="10"/>
  <c r="Y19" i="10"/>
  <c r="O21" i="10"/>
  <c r="S6" i="10"/>
  <c r="I8" i="10"/>
  <c r="AJ9" i="10"/>
  <c r="Z11" i="10"/>
  <c r="P13" i="10"/>
  <c r="F15" i="10"/>
  <c r="AG16" i="10"/>
  <c r="W18" i="10"/>
  <c r="M20" i="10"/>
  <c r="AN21" i="10"/>
  <c r="G7" i="10"/>
  <c r="AH8" i="10"/>
  <c r="X10" i="10"/>
  <c r="N12" i="10"/>
  <c r="AO13" i="10"/>
  <c r="H7" i="10"/>
  <c r="AI8" i="10"/>
  <c r="Y10" i="10"/>
  <c r="O12" i="10"/>
  <c r="AP13" i="10"/>
  <c r="AF15" i="10"/>
  <c r="V17" i="10"/>
  <c r="L19" i="10"/>
  <c r="AM20" i="10"/>
  <c r="AC22" i="10"/>
  <c r="Y7" i="10"/>
  <c r="O9" i="10"/>
  <c r="AP10" i="10"/>
  <c r="AF12" i="10"/>
  <c r="V14" i="10"/>
  <c r="L16" i="10"/>
  <c r="AM17" i="10"/>
  <c r="AC19" i="10"/>
  <c r="S21" i="10"/>
  <c r="O6" i="10"/>
  <c r="X6" i="10"/>
  <c r="N8" i="10"/>
  <c r="AO9" i="10"/>
  <c r="AE11" i="10"/>
  <c r="U13" i="10"/>
  <c r="K15" i="10"/>
  <c r="AL16" i="10"/>
  <c r="AB18" i="10"/>
  <c r="R20" i="10"/>
  <c r="H22" i="10"/>
  <c r="S10" i="10"/>
  <c r="U16" i="10"/>
  <c r="F21" i="10"/>
  <c r="AJ23" i="10"/>
  <c r="AE8" i="10"/>
  <c r="R15" i="10"/>
  <c r="AN19" i="10"/>
  <c r="U23" i="10"/>
  <c r="AG6" i="10"/>
  <c r="G14" i="10"/>
  <c r="AK18" i="10"/>
  <c r="F23" i="10"/>
  <c r="AG24" i="10"/>
  <c r="S12" i="10"/>
  <c r="AH17" i="10"/>
  <c r="T22" i="10"/>
  <c r="R24" i="10"/>
  <c r="AI10" i="10"/>
  <c r="AE16" i="10"/>
  <c r="Q21" i="10"/>
  <c r="AN23" i="10"/>
  <c r="AP9" i="10"/>
  <c r="AC7" i="10"/>
  <c r="S9" i="10"/>
  <c r="I11" i="10"/>
  <c r="AJ12" i="10"/>
  <c r="Z14" i="10"/>
  <c r="P16" i="10"/>
  <c r="F18" i="10"/>
  <c r="AG19" i="10"/>
  <c r="W21" i="10"/>
  <c r="AA6" i="10"/>
  <c r="Q8" i="10"/>
  <c r="G10" i="10"/>
  <c r="AH11" i="10"/>
  <c r="X13" i="10"/>
  <c r="N15" i="10"/>
  <c r="AO16" i="10"/>
  <c r="AE18" i="10"/>
  <c r="U20" i="10"/>
  <c r="K22" i="10"/>
  <c r="O7" i="10"/>
  <c r="AP8" i="10"/>
  <c r="AF10" i="10"/>
  <c r="V12" i="10"/>
  <c r="L14" i="10"/>
  <c r="P7" i="10"/>
  <c r="F9" i="10"/>
  <c r="AG10" i="10"/>
  <c r="W12" i="10"/>
  <c r="M14" i="10"/>
  <c r="AN15" i="10"/>
  <c r="AD17" i="10"/>
  <c r="T19" i="10"/>
  <c r="J21" i="10"/>
  <c r="F6" i="10"/>
  <c r="AG7" i="10"/>
  <c r="W9" i="10"/>
  <c r="M11" i="10"/>
  <c r="AN12" i="10"/>
  <c r="AD14" i="10"/>
  <c r="T16" i="10"/>
  <c r="J18" i="10"/>
  <c r="AK19" i="10"/>
  <c r="AA21" i="10"/>
  <c r="W6" i="10"/>
  <c r="AF6" i="10"/>
  <c r="V8" i="10"/>
  <c r="L10" i="10"/>
  <c r="AM11" i="10"/>
  <c r="AC13" i="10"/>
  <c r="S15" i="10"/>
  <c r="I17" i="10"/>
  <c r="AJ18" i="10"/>
  <c r="Z20" i="10"/>
  <c r="P22" i="10"/>
  <c r="N11" i="10"/>
  <c r="AP16" i="10"/>
  <c r="AB21" i="10"/>
  <c r="G24" i="10"/>
  <c r="Z9" i="10"/>
  <c r="AM15" i="10"/>
  <c r="Y20" i="10"/>
  <c r="AC23" i="10"/>
  <c r="AP7" i="10"/>
  <c r="AJ14" i="10"/>
  <c r="V19" i="10"/>
  <c r="N23" i="10"/>
  <c r="AO24" i="10"/>
  <c r="N13" i="10"/>
  <c r="S18" i="10"/>
  <c r="AJ22" i="10"/>
  <c r="Z24" i="10"/>
  <c r="AD11" i="10"/>
  <c r="P17" i="10"/>
  <c r="AL21" i="10"/>
  <c r="K24" i="10"/>
  <c r="AK10" i="10"/>
  <c r="AH16" i="10"/>
  <c r="T21" i="10"/>
  <c r="J6" i="10"/>
  <c r="AK7" i="10"/>
  <c r="AA9" i="10"/>
  <c r="Q11" i="10"/>
  <c r="G13" i="10"/>
  <c r="AH14" i="10"/>
  <c r="X16" i="10"/>
  <c r="N18" i="10"/>
  <c r="AO19" i="10"/>
  <c r="AE21" i="10"/>
  <c r="AI6" i="10"/>
  <c r="Y8" i="10"/>
  <c r="O10" i="10"/>
  <c r="AP11" i="10"/>
  <c r="AF13" i="10"/>
  <c r="V15" i="10"/>
  <c r="L17" i="10"/>
  <c r="AM18" i="10"/>
  <c r="AC20" i="10"/>
  <c r="S22" i="10"/>
  <c r="W7" i="10"/>
  <c r="M9" i="10"/>
  <c r="AN10" i="10"/>
  <c r="AD12" i="10"/>
  <c r="T14" i="10"/>
  <c r="X7" i="10"/>
  <c r="N9" i="10"/>
  <c r="AO10" i="10"/>
  <c r="AE12" i="10"/>
  <c r="U14" i="10"/>
  <c r="K16" i="10"/>
  <c r="AL17" i="10"/>
  <c r="AB19" i="10"/>
  <c r="R21" i="10"/>
  <c r="N6" i="10"/>
  <c r="AO7" i="10"/>
  <c r="AE9" i="10"/>
  <c r="U11" i="10"/>
  <c r="K13" i="10"/>
  <c r="AL14" i="10"/>
  <c r="AB16" i="10"/>
  <c r="R18" i="10"/>
  <c r="H20" i="10"/>
  <c r="AI21" i="10"/>
  <c r="AE6" i="10"/>
  <c r="AN6" i="10"/>
  <c r="AD8" i="10"/>
  <c r="T10" i="10"/>
  <c r="J12" i="10"/>
  <c r="AK13" i="10"/>
  <c r="AA15" i="10"/>
  <c r="Q17" i="10"/>
  <c r="G19" i="10"/>
  <c r="AH20" i="10"/>
  <c r="X22" i="10"/>
  <c r="I12" i="10"/>
  <c r="Z17" i="10"/>
  <c r="L22" i="10"/>
  <c r="O24" i="10"/>
  <c r="U10" i="10"/>
  <c r="W16" i="10"/>
  <c r="I21" i="10"/>
  <c r="AK23" i="10"/>
  <c r="AK8" i="10"/>
  <c r="T15" i="10"/>
  <c r="F20" i="10"/>
  <c r="V23" i="10"/>
  <c r="AO6" i="10"/>
  <c r="I14" i="10"/>
  <c r="AN18" i="10"/>
  <c r="G23" i="10"/>
  <c r="AH24" i="10"/>
  <c r="Y12" i="10"/>
  <c r="AK17" i="10"/>
  <c r="W22" i="10"/>
  <c r="S24" i="10"/>
  <c r="AF11" i="10"/>
  <c r="R17" i="10"/>
  <c r="DZ24" i="9"/>
  <c r="DY23" i="9"/>
  <c r="EO23" i="9"/>
  <c r="AO20" i="10"/>
  <c r="AD24" i="10"/>
  <c r="R16" i="10"/>
  <c r="M10" i="10"/>
  <c r="M24" i="10"/>
  <c r="G22" i="10"/>
  <c r="U17" i="10"/>
  <c r="AL11" i="10"/>
  <c r="L24" i="10"/>
  <c r="AI20" i="10"/>
  <c r="CH24" i="9"/>
  <c r="CT24" i="9"/>
  <c r="AA23" i="10"/>
  <c r="AN22" i="10"/>
  <c r="AH15" i="10"/>
  <c r="R9" i="10"/>
  <c r="AP23" i="10"/>
  <c r="V21" i="10"/>
  <c r="AK16" i="10"/>
  <c r="F11" i="10"/>
  <c r="AO23" i="10"/>
  <c r="N20" i="10"/>
  <c r="ED5" i="11"/>
  <c r="AR9" i="14"/>
  <c r="AR24" i="14"/>
  <c r="AR20" i="14"/>
  <c r="DV5" i="11"/>
  <c r="BJ5" i="11"/>
  <c r="AR5" i="11"/>
  <c r="AI33" i="12"/>
  <c r="AR10" i="14"/>
  <c r="AJ5" i="11"/>
  <c r="AI34" i="12"/>
  <c r="AR8" i="14"/>
  <c r="AR15" i="14"/>
  <c r="AR13" i="14"/>
  <c r="AR19" i="14"/>
  <c r="BR5" i="11"/>
  <c r="ES5" i="11"/>
  <c r="U5" i="11"/>
  <c r="DF5" i="11"/>
  <c r="AT5" i="11"/>
  <c r="AR17" i="14"/>
  <c r="AR14" i="14"/>
  <c r="F5" i="11"/>
  <c r="DN5" i="11"/>
  <c r="AL5" i="11"/>
  <c r="EC5" i="11"/>
  <c r="BQ5" i="11"/>
  <c r="CF5" i="11"/>
  <c r="T5" i="11"/>
  <c r="AR18" i="14"/>
  <c r="BB5" i="11"/>
  <c r="CX5" i="11"/>
  <c r="E5" i="11"/>
  <c r="FB5" i="11"/>
  <c r="CP5" i="11"/>
  <c r="AD5" i="11"/>
  <c r="BX5" i="11"/>
  <c r="AR16" i="14"/>
  <c r="AR23" i="14"/>
  <c r="AR21" i="14"/>
  <c r="AR12" i="14"/>
  <c r="AR22" i="14"/>
  <c r="EL5" i="11"/>
  <c r="BZ5" i="11"/>
  <c r="N5" i="11"/>
  <c r="AS5" i="11"/>
  <c r="C6" i="12"/>
  <c r="AS6" i="10"/>
  <c r="AR11" i="14"/>
  <c r="R33" i="12"/>
  <c r="R40" i="12"/>
  <c r="N39" i="12"/>
  <c r="N35" i="12"/>
  <c r="N48" i="12"/>
  <c r="N33" i="12"/>
  <c r="N31" i="12"/>
  <c r="AD41" i="12"/>
  <c r="L46" i="12"/>
  <c r="H42" i="12"/>
  <c r="AN33" i="12"/>
  <c r="R41" i="12"/>
  <c r="R39" i="12"/>
  <c r="U43" i="12"/>
  <c r="U48" i="12"/>
  <c r="H43" i="12"/>
  <c r="H31" i="12"/>
  <c r="H37" i="12"/>
  <c r="H34" i="12"/>
  <c r="H41" i="12"/>
  <c r="L37" i="12"/>
  <c r="AK44" i="12"/>
  <c r="AD31" i="12"/>
  <c r="AK38" i="12"/>
  <c r="AD37" i="12"/>
  <c r="AH45" i="12"/>
  <c r="AK47" i="12"/>
  <c r="AH42" i="12"/>
  <c r="AH40" i="12"/>
  <c r="AD36" i="12"/>
  <c r="AD39" i="12"/>
  <c r="N41" i="12"/>
  <c r="AD34" i="12"/>
  <c r="R44" i="12"/>
  <c r="AH33" i="12"/>
  <c r="AD48" i="12"/>
  <c r="AH41" i="12"/>
  <c r="N47" i="12"/>
  <c r="AK36" i="12"/>
  <c r="R43" i="12"/>
  <c r="AH39" i="12"/>
  <c r="N45" i="12"/>
  <c r="AK48" i="12"/>
  <c r="U41" i="12"/>
  <c r="N42" i="12"/>
  <c r="P31" i="12"/>
  <c r="AK39" i="12"/>
  <c r="M32" i="12"/>
  <c r="AN35" i="12"/>
  <c r="L35" i="12"/>
  <c r="AI40" i="12"/>
  <c r="AJ47" i="12"/>
  <c r="R31" i="12"/>
  <c r="AK34" i="12"/>
  <c r="H32" i="12"/>
  <c r="AK33" i="12"/>
  <c r="AF38" i="12"/>
  <c r="P37" i="12"/>
  <c r="R35" i="12"/>
  <c r="R37" i="12"/>
  <c r="AD43" i="12"/>
  <c r="N44" i="12"/>
  <c r="AH38" i="12"/>
  <c r="AH47" i="12"/>
  <c r="AD46" i="12"/>
  <c r="T46" i="12"/>
  <c r="AD35" i="12"/>
  <c r="AK32" i="12"/>
  <c r="AH44" i="12"/>
  <c r="R32" i="12"/>
  <c r="AH35" i="12"/>
  <c r="G4" i="9"/>
  <c r="O4" i="9"/>
  <c r="W4" i="9"/>
  <c r="AE4" i="9"/>
  <c r="AM4" i="9"/>
  <c r="AU4" i="9"/>
  <c r="BC4" i="9"/>
  <c r="BK4" i="9"/>
  <c r="BS4" i="9"/>
  <c r="CA4" i="9"/>
  <c r="CI4" i="9"/>
  <c r="CQ4" i="9"/>
  <c r="CY4" i="9"/>
  <c r="DG4" i="9"/>
  <c r="DO4" i="9"/>
  <c r="DW4" i="9"/>
  <c r="EE4" i="9"/>
  <c r="EM4" i="9"/>
  <c r="EU4" i="9"/>
  <c r="FC4" i="9"/>
  <c r="H4" i="9"/>
  <c r="P4" i="9"/>
  <c r="X4" i="9"/>
  <c r="AF4" i="9"/>
  <c r="AN4" i="9"/>
  <c r="AV4" i="9"/>
  <c r="BD4" i="9"/>
  <c r="BL4" i="9"/>
  <c r="BT4" i="9"/>
  <c r="CB4" i="9"/>
  <c r="CJ4" i="9"/>
  <c r="CR4" i="9"/>
  <c r="CZ4" i="9"/>
  <c r="DH4" i="9"/>
  <c r="DP4" i="9"/>
  <c r="DX4" i="9"/>
  <c r="EF4" i="9"/>
  <c r="EN4" i="9"/>
  <c r="EV4" i="9"/>
  <c r="FD4" i="9"/>
  <c r="I4" i="9"/>
  <c r="Q4" i="9"/>
  <c r="Y4" i="9"/>
  <c r="AG4" i="9"/>
  <c r="AO4" i="9"/>
  <c r="AW4" i="9"/>
  <c r="BE4" i="9"/>
  <c r="BM4" i="9"/>
  <c r="BU4" i="9"/>
  <c r="CC4" i="9"/>
  <c r="CK4" i="9"/>
  <c r="CS4" i="9"/>
  <c r="DA4" i="9"/>
  <c r="DI4" i="9"/>
  <c r="DQ4" i="9"/>
  <c r="DY4" i="9"/>
  <c r="EG4" i="9"/>
  <c r="EO4" i="9"/>
  <c r="EW4" i="9"/>
  <c r="FE4" i="9"/>
  <c r="J4" i="9"/>
  <c r="R4" i="9"/>
  <c r="Z4" i="9"/>
  <c r="AH4" i="9"/>
  <c r="AP4" i="9"/>
  <c r="AX4" i="9"/>
  <c r="BF4" i="9"/>
  <c r="BN4" i="9"/>
  <c r="BV4" i="9"/>
  <c r="CD4" i="9"/>
  <c r="CL4" i="9"/>
  <c r="CT4" i="9"/>
  <c r="DB4" i="9"/>
  <c r="DJ4" i="9"/>
  <c r="DR4" i="9"/>
  <c r="DZ4" i="9"/>
  <c r="EH4" i="9"/>
  <c r="EP4" i="9"/>
  <c r="EX4" i="9"/>
  <c r="F4" i="9"/>
  <c r="V4" i="9"/>
  <c r="AL4" i="9"/>
  <c r="BB4" i="9"/>
  <c r="BZ4" i="9"/>
  <c r="CP4" i="9"/>
  <c r="DN4" i="9"/>
  <c r="EL4" i="9"/>
  <c r="C4" i="9"/>
  <c r="K4" i="9"/>
  <c r="S4" i="9"/>
  <c r="AA4" i="9"/>
  <c r="AI4" i="9"/>
  <c r="AQ4" i="9"/>
  <c r="AY4" i="9"/>
  <c r="BG4" i="9"/>
  <c r="BO4" i="9"/>
  <c r="BW4" i="9"/>
  <c r="CE4" i="9"/>
  <c r="CM4" i="9"/>
  <c r="CU4" i="9"/>
  <c r="DC4" i="9"/>
  <c r="DK4" i="9"/>
  <c r="DS4" i="9"/>
  <c r="EA4" i="9"/>
  <c r="EI4" i="9"/>
  <c r="EQ4" i="9"/>
  <c r="EY4" i="9"/>
  <c r="BR4" i="9"/>
  <c r="DF4" i="9"/>
  <c r="ED4" i="9"/>
  <c r="FB4" i="9"/>
  <c r="D4" i="9"/>
  <c r="L4" i="9"/>
  <c r="T4" i="9"/>
  <c r="AB4" i="9"/>
  <c r="AJ4" i="9"/>
  <c r="AR4" i="9"/>
  <c r="AZ4" i="9"/>
  <c r="BH4" i="9"/>
  <c r="BP4" i="9"/>
  <c r="BX4" i="9"/>
  <c r="CF4" i="9"/>
  <c r="CN4" i="9"/>
  <c r="CV4" i="9"/>
  <c r="DD4" i="9"/>
  <c r="DL4" i="9"/>
  <c r="DT4" i="9"/>
  <c r="EB4" i="9"/>
  <c r="EJ4" i="9"/>
  <c r="ER4" i="9"/>
  <c r="EZ4" i="9"/>
  <c r="N4" i="9"/>
  <c r="AD4" i="9"/>
  <c r="AT4" i="9"/>
  <c r="BJ4" i="9"/>
  <c r="CH4" i="9"/>
  <c r="CX4" i="9"/>
  <c r="DV4" i="9"/>
  <c r="ET4" i="9"/>
  <c r="E4" i="9"/>
  <c r="M4" i="9"/>
  <c r="U4" i="9"/>
  <c r="AC4" i="9"/>
  <c r="AK4" i="9"/>
  <c r="AS4" i="9"/>
  <c r="BA4" i="9"/>
  <c r="BI4" i="9"/>
  <c r="BQ4" i="9"/>
  <c r="BY4" i="9"/>
  <c r="CG4" i="9"/>
  <c r="CO4" i="9"/>
  <c r="CW4" i="9"/>
  <c r="DE4" i="9"/>
  <c r="DM4" i="9"/>
  <c r="DU4" i="9"/>
  <c r="EC4" i="9"/>
  <c r="EK4" i="9"/>
  <c r="ES4" i="9"/>
  <c r="FA4" i="9"/>
  <c r="E4" i="13"/>
  <c r="P4" i="13"/>
  <c r="AD4" i="13"/>
  <c r="AQ4" i="13"/>
  <c r="BC4" i="13"/>
  <c r="BQ4" i="13"/>
  <c r="CA4" i="13"/>
  <c r="CK4" i="13"/>
  <c r="CW4" i="13"/>
  <c r="DG4" i="13"/>
  <c r="DQ4" i="13"/>
  <c r="EC4" i="13"/>
  <c r="EM4" i="13"/>
  <c r="EW4" i="13"/>
  <c r="F4" i="13"/>
  <c r="S4" i="13"/>
  <c r="AE4" i="13"/>
  <c r="AS4" i="13"/>
  <c r="BD4" i="13"/>
  <c r="BR4" i="13"/>
  <c r="CB4" i="13"/>
  <c r="CM4" i="13"/>
  <c r="CX4" i="13"/>
  <c r="DH4" i="13"/>
  <c r="DS4" i="13"/>
  <c r="ED4" i="13"/>
  <c r="EN4" i="13"/>
  <c r="EY4" i="13"/>
  <c r="G4" i="13"/>
  <c r="U4" i="13"/>
  <c r="AF4" i="13"/>
  <c r="AT4" i="13"/>
  <c r="BG4" i="13"/>
  <c r="BS4" i="13"/>
  <c r="CC4" i="13"/>
  <c r="CO4" i="13"/>
  <c r="CY4" i="13"/>
  <c r="DI4" i="13"/>
  <c r="DU4" i="13"/>
  <c r="EE4" i="13"/>
  <c r="EO4" i="13"/>
  <c r="FA4" i="13"/>
  <c r="H4" i="13"/>
  <c r="V4" i="13"/>
  <c r="AI4" i="13"/>
  <c r="AU4" i="13"/>
  <c r="BI4" i="13"/>
  <c r="BT4" i="13"/>
  <c r="CE4" i="13"/>
  <c r="CP4" i="13"/>
  <c r="CZ4" i="13"/>
  <c r="DK4" i="13"/>
  <c r="DV4" i="13"/>
  <c r="EF4" i="13"/>
  <c r="EQ4" i="13"/>
  <c r="FB4" i="13"/>
  <c r="AC4" i="13"/>
  <c r="BZ4" i="13"/>
  <c r="DP4" i="13"/>
  <c r="K4" i="13"/>
  <c r="W4" i="13"/>
  <c r="AK4" i="13"/>
  <c r="AV4" i="13"/>
  <c r="BJ4" i="13"/>
  <c r="BU4" i="13"/>
  <c r="CG4" i="13"/>
  <c r="CQ4" i="13"/>
  <c r="DA4" i="13"/>
  <c r="DM4" i="13"/>
  <c r="DW4" i="13"/>
  <c r="EG4" i="13"/>
  <c r="ES4" i="13"/>
  <c r="FC4" i="13"/>
  <c r="AN4" i="13"/>
  <c r="CJ4" i="13"/>
  <c r="EA4" i="13"/>
  <c r="M4" i="13"/>
  <c r="X4" i="13"/>
  <c r="AL4" i="13"/>
  <c r="AY4" i="13"/>
  <c r="BK4" i="13"/>
  <c r="BW4" i="13"/>
  <c r="CH4" i="13"/>
  <c r="CR4" i="13"/>
  <c r="DC4" i="13"/>
  <c r="DN4" i="13"/>
  <c r="DX4" i="13"/>
  <c r="EI4" i="13"/>
  <c r="ET4" i="13"/>
  <c r="FD4" i="13"/>
  <c r="C4" i="13"/>
  <c r="BO4" i="13"/>
  <c r="DF4" i="13"/>
  <c r="EV4" i="13"/>
  <c r="N4" i="13"/>
  <c r="AA4" i="13"/>
  <c r="AM4" i="13"/>
  <c r="BA4" i="13"/>
  <c r="BL4" i="13"/>
  <c r="BY4" i="13"/>
  <c r="CI4" i="13"/>
  <c r="CS4" i="13"/>
  <c r="DE4" i="13"/>
  <c r="DO4" i="13"/>
  <c r="DY4" i="13"/>
  <c r="EK4" i="13"/>
  <c r="EU4" i="13"/>
  <c r="FE4" i="13"/>
  <c r="O4" i="13"/>
  <c r="BB4" i="13"/>
  <c r="CU4" i="13"/>
  <c r="EL4" i="13"/>
  <c r="ER4" i="13"/>
  <c r="CF4" i="13"/>
  <c r="T4" i="13"/>
  <c r="EX4" i="13"/>
  <c r="CL4" i="13"/>
  <c r="Z4" i="13"/>
  <c r="Y4" i="13"/>
  <c r="EJ4" i="13"/>
  <c r="BX4" i="13"/>
  <c r="L4" i="13"/>
  <c r="EP4" i="13"/>
  <c r="CD4" i="13"/>
  <c r="R4" i="13"/>
  <c r="Q4" i="13"/>
  <c r="EB4" i="13"/>
  <c r="BP4" i="13"/>
  <c r="D4" i="13"/>
  <c r="EH4" i="13"/>
  <c r="BV4" i="13"/>
  <c r="J4" i="13"/>
  <c r="DT4" i="13"/>
  <c r="BH4" i="13"/>
  <c r="DZ4" i="13"/>
  <c r="BN4" i="13"/>
  <c r="BM4" i="13"/>
  <c r="DL4" i="13"/>
  <c r="AZ4" i="13"/>
  <c r="DR4" i="13"/>
  <c r="BF4" i="13"/>
  <c r="BE4" i="13"/>
  <c r="DD4" i="13"/>
  <c r="AR4" i="13"/>
  <c r="DJ4" i="13"/>
  <c r="AX4" i="13"/>
  <c r="AW4" i="13"/>
  <c r="CV4" i="13"/>
  <c r="AJ4" i="13"/>
  <c r="DB4" i="13"/>
  <c r="AP4" i="13"/>
  <c r="AO4" i="13"/>
  <c r="I4" i="13"/>
  <c r="EZ4" i="13"/>
  <c r="CT4" i="13"/>
  <c r="CN4" i="13"/>
  <c r="AH4" i="13"/>
  <c r="AB4" i="13"/>
  <c r="AG4" i="13"/>
  <c r="M4" i="14"/>
  <c r="M33" i="14" s="1"/>
  <c r="U4" i="14"/>
  <c r="U48" i="14" s="1"/>
  <c r="AC4" i="14"/>
  <c r="AC46" i="14" s="1"/>
  <c r="AK4" i="14"/>
  <c r="AK36" i="14" s="1"/>
  <c r="F4" i="14"/>
  <c r="F45" i="14" s="1"/>
  <c r="N4" i="14"/>
  <c r="N47" i="14" s="1"/>
  <c r="V4" i="14"/>
  <c r="V44" i="14" s="1"/>
  <c r="AD4" i="14"/>
  <c r="AD33" i="14" s="1"/>
  <c r="AL4" i="14"/>
  <c r="AL30" i="14" s="1"/>
  <c r="G4" i="14"/>
  <c r="G35" i="14" s="1"/>
  <c r="O4" i="14"/>
  <c r="W4" i="14"/>
  <c r="W37" i="14" s="1"/>
  <c r="AE4" i="14"/>
  <c r="AE30" i="14" s="1"/>
  <c r="AM4" i="14"/>
  <c r="H4" i="14"/>
  <c r="H47" i="14" s="1"/>
  <c r="P4" i="14"/>
  <c r="X4" i="14"/>
  <c r="X34" i="14" s="1"/>
  <c r="AF4" i="14"/>
  <c r="AF37" i="14" s="1"/>
  <c r="AN4" i="14"/>
  <c r="AN48" i="14" s="1"/>
  <c r="AJ4" i="14"/>
  <c r="I4" i="14"/>
  <c r="I30" i="14" s="1"/>
  <c r="Q4" i="14"/>
  <c r="Q33" i="14" s="1"/>
  <c r="Y4" i="14"/>
  <c r="Y30" i="14" s="1"/>
  <c r="AG4" i="14"/>
  <c r="AG40" i="14" s="1"/>
  <c r="AO4" i="14"/>
  <c r="AO33" i="14" s="1"/>
  <c r="AB4" i="14"/>
  <c r="AB42" i="14" s="1"/>
  <c r="J4" i="14"/>
  <c r="J37" i="14" s="1"/>
  <c r="R4" i="14"/>
  <c r="R37" i="14" s="1"/>
  <c r="Z4" i="14"/>
  <c r="Z32" i="14" s="1"/>
  <c r="AH4" i="14"/>
  <c r="AH30" i="14" s="1"/>
  <c r="AP4" i="14"/>
  <c r="AP33" i="14" s="1"/>
  <c r="T4" i="14"/>
  <c r="T41" i="14" s="1"/>
  <c r="K4" i="14"/>
  <c r="K33" i="14" s="1"/>
  <c r="S4" i="14"/>
  <c r="AA4" i="14"/>
  <c r="AA38" i="14" s="1"/>
  <c r="AI4" i="14"/>
  <c r="AI31" i="14" s="1"/>
  <c r="L4" i="14"/>
  <c r="L46" i="14" s="1"/>
  <c r="H4" i="10"/>
  <c r="P4" i="10"/>
  <c r="X4" i="10"/>
  <c r="AF4" i="10"/>
  <c r="AN4" i="10"/>
  <c r="I4" i="10"/>
  <c r="Q4" i="10"/>
  <c r="Y4" i="10"/>
  <c r="AG4" i="10"/>
  <c r="AO4" i="10"/>
  <c r="J4" i="10"/>
  <c r="R4" i="10"/>
  <c r="Z4" i="10"/>
  <c r="AH4" i="10"/>
  <c r="AP4" i="10"/>
  <c r="K4" i="10"/>
  <c r="S4" i="10"/>
  <c r="AA4" i="10"/>
  <c r="AI4" i="10"/>
  <c r="G4" i="10"/>
  <c r="W4" i="10"/>
  <c r="L4" i="10"/>
  <c r="T4" i="10"/>
  <c r="AB4" i="10"/>
  <c r="AJ4" i="10"/>
  <c r="M4" i="10"/>
  <c r="U4" i="10"/>
  <c r="AC4" i="10"/>
  <c r="AK4" i="10"/>
  <c r="O4" i="10"/>
  <c r="AE4" i="10"/>
  <c r="F4" i="10"/>
  <c r="N4" i="10"/>
  <c r="V4" i="10"/>
  <c r="AD4" i="10"/>
  <c r="AL4" i="10"/>
  <c r="AM4" i="10"/>
  <c r="T35" i="12"/>
  <c r="P38" i="12"/>
  <c r="U36" i="12"/>
  <c r="U33" i="12"/>
  <c r="AN42" i="12"/>
  <c r="AH34" i="12"/>
  <c r="R38" i="12"/>
  <c r="R47" i="12"/>
  <c r="N46" i="12"/>
  <c r="AB34" i="12"/>
  <c r="X34" i="12"/>
  <c r="N43" i="12"/>
  <c r="X41" i="12"/>
  <c r="AN43" i="12"/>
  <c r="U38" i="12"/>
  <c r="S32" i="12"/>
  <c r="U32" i="12"/>
  <c r="AB38" i="12"/>
  <c r="X42" i="12"/>
  <c r="U35" i="12"/>
  <c r="T37" i="12"/>
  <c r="L33" i="12"/>
  <c r="R34" i="12"/>
  <c r="P32" i="12"/>
  <c r="H33" i="12"/>
  <c r="N40" i="12"/>
  <c r="AK35" i="12"/>
  <c r="AD47" i="12"/>
  <c r="U40" i="12"/>
  <c r="N38" i="12"/>
  <c r="AD44" i="12"/>
  <c r="R48" i="12"/>
  <c r="AK42" i="12"/>
  <c r="AD45" i="12"/>
  <c r="AK41" i="12"/>
  <c r="AD42" i="12"/>
  <c r="R46" i="12"/>
  <c r="AD32" i="12"/>
  <c r="AB31" i="12"/>
  <c r="R36" i="12"/>
  <c r="AN38" i="12"/>
  <c r="X43" i="12"/>
  <c r="AH37" i="12"/>
  <c r="AH31" i="12"/>
  <c r="T33" i="12"/>
  <c r="AJ34" i="12"/>
  <c r="X32" i="12"/>
  <c r="P33" i="12"/>
  <c r="H35" i="12"/>
  <c r="AD40" i="12"/>
  <c r="U42" i="12"/>
  <c r="AH48" i="12"/>
  <c r="U37" i="12"/>
  <c r="U46" i="12"/>
  <c r="N32" i="12"/>
  <c r="M36" i="12"/>
  <c r="AB33" i="12"/>
  <c r="AF32" i="12"/>
  <c r="X33" i="12"/>
  <c r="N37" i="12"/>
  <c r="AK40" i="12"/>
  <c r="AD38" i="12"/>
  <c r="R42" i="12"/>
  <c r="AH46" i="12"/>
  <c r="AN32" i="12"/>
  <c r="X37" i="12"/>
  <c r="X38" i="12"/>
  <c r="AN41" i="12"/>
  <c r="R45" i="12"/>
  <c r="N34" i="12"/>
  <c r="AK37" i="12"/>
  <c r="AK43" i="12"/>
  <c r="U47" i="12"/>
  <c r="AK46" i="12"/>
  <c r="AH36" i="12"/>
  <c r="N36" i="12"/>
  <c r="X5" i="14"/>
  <c r="D8" i="14"/>
  <c r="D9" i="14"/>
  <c r="D12" i="14"/>
  <c r="D6" i="14"/>
  <c r="D10" i="14"/>
  <c r="D17" i="14"/>
  <c r="AI5" i="14"/>
  <c r="D7" i="14"/>
  <c r="C23" i="14"/>
  <c r="C18" i="14"/>
  <c r="C24" i="14"/>
  <c r="C22" i="14"/>
  <c r="C15" i="14"/>
  <c r="C7" i="14"/>
  <c r="C17" i="14"/>
  <c r="C9" i="14"/>
  <c r="C13" i="14"/>
  <c r="C12" i="14"/>
  <c r="C11" i="14"/>
  <c r="C16" i="14"/>
  <c r="C14" i="14"/>
  <c r="C3" i="14"/>
  <c r="C26" i="14" s="1"/>
  <c r="C19" i="14"/>
  <c r="C8" i="14"/>
  <c r="C21" i="14"/>
  <c r="C20" i="14"/>
  <c r="C10" i="14"/>
  <c r="C6" i="14"/>
  <c r="AN5" i="14"/>
  <c r="AK5" i="14"/>
  <c r="AO5" i="14"/>
  <c r="AV18" i="14"/>
  <c r="AV19" i="14"/>
  <c r="G5" i="14"/>
  <c r="AV21" i="14"/>
  <c r="AV23" i="14"/>
  <c r="J5" i="14"/>
  <c r="AV16" i="14"/>
  <c r="K5" i="14"/>
  <c r="O5" i="14"/>
  <c r="AV20" i="14"/>
  <c r="AV15" i="14"/>
  <c r="Z5" i="14"/>
  <c r="D18" i="14"/>
  <c r="AR26" i="14"/>
  <c r="D20" i="14"/>
  <c r="T5" i="14"/>
  <c r="V5" i="14"/>
  <c r="W5" i="14"/>
  <c r="AD5" i="14"/>
  <c r="AH5" i="14"/>
  <c r="AV12" i="14"/>
  <c r="AF5" i="14"/>
  <c r="AG5" i="14"/>
  <c r="Q5" i="14"/>
  <c r="AV11" i="14"/>
  <c r="AE5" i="14"/>
  <c r="Y5" i="14"/>
  <c r="AV17" i="14"/>
  <c r="AV14" i="14"/>
  <c r="I5" i="14"/>
  <c r="P5" i="14"/>
  <c r="D13" i="14"/>
  <c r="L5" i="14"/>
  <c r="H5" i="14"/>
  <c r="AV8" i="14"/>
  <c r="AV10" i="14"/>
  <c r="AP5" i="14"/>
  <c r="AA5" i="14"/>
  <c r="M5" i="14"/>
  <c r="AM5" i="14"/>
  <c r="AV22" i="14"/>
  <c r="AJ5" i="14"/>
  <c r="AV6" i="14"/>
  <c r="D15" i="14"/>
  <c r="R5" i="14"/>
  <c r="AL5" i="14"/>
  <c r="U5" i="14"/>
  <c r="AV13" i="14"/>
  <c r="D19" i="14"/>
  <c r="AV24" i="14"/>
  <c r="AB5" i="14"/>
  <c r="F5" i="14"/>
  <c r="AV7" i="14"/>
  <c r="AC5" i="14"/>
  <c r="AV9" i="14"/>
  <c r="N5" i="14"/>
  <c r="AI30" i="12"/>
  <c r="AI5" i="12"/>
  <c r="AI29" i="12" s="1"/>
  <c r="AC32" i="12"/>
  <c r="Q34" i="12"/>
  <c r="S33" i="12"/>
  <c r="AD5" i="12"/>
  <c r="AD29" i="12" s="1"/>
  <c r="AD30" i="12"/>
  <c r="T34" i="12"/>
  <c r="AG36" i="12"/>
  <c r="AJ39" i="12"/>
  <c r="L43" i="12"/>
  <c r="Y30" i="12"/>
  <c r="Y5" i="12"/>
  <c r="Y29" i="12" s="1"/>
  <c r="D21" i="12"/>
  <c r="D22" i="12"/>
  <c r="D24" i="12"/>
  <c r="D23" i="12"/>
  <c r="D19" i="12"/>
  <c r="D18" i="12"/>
  <c r="D13" i="12"/>
  <c r="D17" i="12"/>
  <c r="D16" i="12"/>
  <c r="D3" i="12"/>
  <c r="D26" i="12" s="1"/>
  <c r="D10" i="12"/>
  <c r="D11" i="12"/>
  <c r="D9" i="12"/>
  <c r="D14" i="12"/>
  <c r="D6" i="12"/>
  <c r="D20" i="12"/>
  <c r="D8" i="12"/>
  <c r="D12" i="12"/>
  <c r="D7" i="12"/>
  <c r="D15" i="12"/>
  <c r="D4" i="12"/>
  <c r="D28" i="12" s="1"/>
  <c r="Z30" i="12"/>
  <c r="Z5" i="12"/>
  <c r="Z29" i="12" s="1"/>
  <c r="L32" i="12"/>
  <c r="L5" i="12"/>
  <c r="L29" i="12" s="1"/>
  <c r="AO33" i="12"/>
  <c r="M38" i="12"/>
  <c r="S48" i="12"/>
  <c r="AI38" i="12"/>
  <c r="AC40" i="12"/>
  <c r="AB42" i="12"/>
  <c r="K48" i="12"/>
  <c r="I42" i="12"/>
  <c r="M44" i="12"/>
  <c r="AB47" i="12"/>
  <c r="AJ36" i="12"/>
  <c r="P40" i="12"/>
  <c r="S45" i="12"/>
  <c r="AA35" i="12"/>
  <c r="AJ40" i="12"/>
  <c r="P43" i="12"/>
  <c r="P46" i="12"/>
  <c r="Q44" i="12"/>
  <c r="AF47" i="12"/>
  <c r="AA44" i="12"/>
  <c r="Y45" i="12"/>
  <c r="K47" i="12"/>
  <c r="AN48" i="12"/>
  <c r="AF44" i="12"/>
  <c r="L48" i="12"/>
  <c r="X5" i="12"/>
  <c r="X29" i="12" s="1"/>
  <c r="U34" i="12"/>
  <c r="AA40" i="12"/>
  <c r="M42" i="12"/>
  <c r="AB46" i="12"/>
  <c r="C15" i="12"/>
  <c r="C20" i="12"/>
  <c r="AJ41" i="12"/>
  <c r="AH32" i="12"/>
  <c r="AI41" i="12"/>
  <c r="AV4" i="12"/>
  <c r="AV28" i="12" s="1"/>
  <c r="AB30" i="12"/>
  <c r="AB5" i="12"/>
  <c r="AB29" i="12" s="1"/>
  <c r="AC36" i="12"/>
  <c r="M39" i="12"/>
  <c r="AO35" i="12"/>
  <c r="AC38" i="12"/>
  <c r="Y42" i="12"/>
  <c r="M30" i="12"/>
  <c r="M5" i="12"/>
  <c r="M29" i="12" s="1"/>
  <c r="AI37" i="12"/>
  <c r="K41" i="12"/>
  <c r="AL30" i="12"/>
  <c r="AL5" i="12"/>
  <c r="AL29" i="12" s="1"/>
  <c r="AC34" i="12"/>
  <c r="K37" i="12"/>
  <c r="I40" i="12"/>
  <c r="AG43" i="12"/>
  <c r="F31" i="12"/>
  <c r="AV7" i="12"/>
  <c r="Q35" i="12"/>
  <c r="L38" i="12"/>
  <c r="S41" i="12"/>
  <c r="AJ46" i="12"/>
  <c r="AH30" i="12"/>
  <c r="AH5" i="12"/>
  <c r="AH29" i="12" s="1"/>
  <c r="T32" i="12"/>
  <c r="F36" i="12"/>
  <c r="AV12" i="12"/>
  <c r="Y38" i="12"/>
  <c r="H39" i="12"/>
  <c r="L45" i="12"/>
  <c r="AA48" i="12"/>
  <c r="T42" i="12"/>
  <c r="AC44" i="12"/>
  <c r="Q48" i="12"/>
  <c r="I37" i="12"/>
  <c r="X40" i="12"/>
  <c r="AF42" i="12"/>
  <c r="AI45" i="12"/>
  <c r="F34" i="12"/>
  <c r="AV10" i="12"/>
  <c r="AI35" i="12"/>
  <c r="AC37" i="12"/>
  <c r="I41" i="12"/>
  <c r="AF46" i="12"/>
  <c r="Y44" i="12"/>
  <c r="K46" i="12"/>
  <c r="AN47" i="12"/>
  <c r="AI44" i="12"/>
  <c r="AC46" i="12"/>
  <c r="AG45" i="12"/>
  <c r="S47" i="12"/>
  <c r="Y41" i="12"/>
  <c r="K43" i="12"/>
  <c r="AN44" i="12"/>
  <c r="T48" i="12"/>
  <c r="X30" i="12"/>
  <c r="U39" i="12"/>
  <c r="AV15" i="12"/>
  <c r="Q32" i="12"/>
  <c r="C18" i="12"/>
  <c r="C21" i="12"/>
  <c r="C24" i="12"/>
  <c r="K40" i="12"/>
  <c r="AH43" i="12"/>
  <c r="AG38" i="12"/>
  <c r="P41" i="12"/>
  <c r="G30" i="12"/>
  <c r="G5" i="12"/>
  <c r="G29" i="12" s="1"/>
  <c r="AC39" i="12"/>
  <c r="I36" i="12"/>
  <c r="AO38" i="12"/>
  <c r="Y43" i="12"/>
  <c r="I34" i="12"/>
  <c r="U30" i="12"/>
  <c r="U5" i="12"/>
  <c r="U29" i="12" s="1"/>
  <c r="Q38" i="12"/>
  <c r="K31" i="12"/>
  <c r="Y40" i="12"/>
  <c r="Y47" i="12"/>
  <c r="AP30" i="12"/>
  <c r="AP5" i="12"/>
  <c r="AP29" i="12" s="1"/>
  <c r="AB32" i="12"/>
  <c r="P34" i="12"/>
  <c r="Q36" i="12"/>
  <c r="P39" i="12"/>
  <c r="F43" i="12"/>
  <c r="AV19" i="12"/>
  <c r="AB45" i="12"/>
  <c r="AG48" i="12"/>
  <c r="Q37" i="12"/>
  <c r="AF40" i="12"/>
  <c r="H46" i="12"/>
  <c r="H36" i="12"/>
  <c r="Q41" i="12"/>
  <c r="AG44" i="12"/>
  <c r="S46" i="12"/>
  <c r="M48" i="12"/>
  <c r="H45" i="12"/>
  <c r="L44" i="12"/>
  <c r="AO45" i="12"/>
  <c r="AA47" i="12"/>
  <c r="AG41" i="12"/>
  <c r="S43" i="12"/>
  <c r="M45" i="12"/>
  <c r="AB48" i="12"/>
  <c r="H38" i="12"/>
  <c r="M34" i="12"/>
  <c r="AK31" i="12"/>
  <c r="X35" i="12"/>
  <c r="C19" i="12"/>
  <c r="C13" i="12"/>
  <c r="AJ38" i="12"/>
  <c r="AJ31" i="12"/>
  <c r="T31" i="12"/>
  <c r="S36" i="12"/>
  <c r="AA34" i="12"/>
  <c r="AC30" i="12"/>
  <c r="AC5" i="12"/>
  <c r="AC29" i="12" s="1"/>
  <c r="I47" i="12"/>
  <c r="S31" i="12"/>
  <c r="M33" i="12"/>
  <c r="AJ37" i="12"/>
  <c r="AO40" i="12"/>
  <c r="AJ45" i="12"/>
  <c r="S42" i="12"/>
  <c r="AJ32" i="12"/>
  <c r="Y34" i="12"/>
  <c r="AA36" i="12"/>
  <c r="L39" i="12"/>
  <c r="X39" i="12"/>
  <c r="Q43" i="12"/>
  <c r="Q46" i="12"/>
  <c r="AO42" i="12"/>
  <c r="Y37" i="12"/>
  <c r="K39" i="12"/>
  <c r="AN40" i="12"/>
  <c r="X46" i="12"/>
  <c r="P36" i="12"/>
  <c r="AA41" i="12"/>
  <c r="F44" i="12"/>
  <c r="AV20" i="12"/>
  <c r="AO44" i="12"/>
  <c r="AA46" i="12"/>
  <c r="P45" i="12"/>
  <c r="T44" i="12"/>
  <c r="F46" i="12"/>
  <c r="AV22" i="12"/>
  <c r="AI47" i="12"/>
  <c r="AO41" i="12"/>
  <c r="AA43" i="12"/>
  <c r="U45" i="12"/>
  <c r="AJ48" i="12"/>
  <c r="T30" i="12"/>
  <c r="AN37" i="12"/>
  <c r="Q31" i="12"/>
  <c r="K33" i="12"/>
  <c r="C23" i="12"/>
  <c r="C22" i="12"/>
  <c r="AA37" i="12"/>
  <c r="M31" i="12"/>
  <c r="AF34" i="12"/>
  <c r="I32" i="12"/>
  <c r="AG31" i="12"/>
  <c r="S37" i="12"/>
  <c r="AG47" i="12"/>
  <c r="AK30" i="12"/>
  <c r="AK5" i="12"/>
  <c r="AK29" i="12" s="1"/>
  <c r="S34" i="12"/>
  <c r="Q39" i="12"/>
  <c r="AC42" i="12"/>
  <c r="AO47" i="12"/>
  <c r="AA31" i="12"/>
  <c r="Y46" i="12"/>
  <c r="K32" i="12"/>
  <c r="I39" i="12"/>
  <c r="Q30" i="12"/>
  <c r="Q5" i="12"/>
  <c r="Q29" i="12" s="1"/>
  <c r="I33" i="12"/>
  <c r="AB39" i="12"/>
  <c r="T45" i="12"/>
  <c r="AF39" i="12"/>
  <c r="AB41" i="12"/>
  <c r="AB43" i="12"/>
  <c r="AG46" i="12"/>
  <c r="L41" i="12"/>
  <c r="I43" i="12"/>
  <c r="AG37" i="12"/>
  <c r="S39" i="12"/>
  <c r="M41" i="12"/>
  <c r="AF43" i="12"/>
  <c r="AN46" i="12"/>
  <c r="X36" i="12"/>
  <c r="AV21" i="12"/>
  <c r="F45" i="12"/>
  <c r="AI46" i="12"/>
  <c r="AC48" i="12"/>
  <c r="X45" i="12"/>
  <c r="AB44" i="12"/>
  <c r="H48" i="12"/>
  <c r="F42" i="12"/>
  <c r="AV18" i="12"/>
  <c r="AI43" i="12"/>
  <c r="AC45" i="12"/>
  <c r="I48" i="12"/>
  <c r="U31" i="12"/>
  <c r="AV24" i="12"/>
  <c r="AI36" i="12"/>
  <c r="AM30" i="12"/>
  <c r="AM5" i="12"/>
  <c r="AM29" i="12" s="1"/>
  <c r="L30" i="12"/>
  <c r="C9" i="12"/>
  <c r="C8" i="12"/>
  <c r="AN5" i="12"/>
  <c r="AN29" i="12" s="1"/>
  <c r="Y36" i="12"/>
  <c r="AJ30" i="12"/>
  <c r="AJ5" i="12"/>
  <c r="AJ29" i="12" s="1"/>
  <c r="AG32" i="12"/>
  <c r="AC31" i="12"/>
  <c r="T5" i="12"/>
  <c r="T29" i="12" s="1"/>
  <c r="F33" i="12"/>
  <c r="AV9" i="12"/>
  <c r="AG30" i="12"/>
  <c r="AG5" i="12"/>
  <c r="AG29" i="12" s="1"/>
  <c r="K30" i="12"/>
  <c r="K5" i="12"/>
  <c r="K29" i="12" s="1"/>
  <c r="AC35" i="12"/>
  <c r="AO36" i="12"/>
  <c r="S40" i="12"/>
  <c r="AG39" i="12"/>
  <c r="F30" i="12"/>
  <c r="AV6" i="12"/>
  <c r="F5" i="12"/>
  <c r="AI31" i="12"/>
  <c r="AC33" i="12"/>
  <c r="AG35" i="12"/>
  <c r="T38" i="12"/>
  <c r="AA32" i="12"/>
  <c r="Y39" i="12"/>
  <c r="AO30" i="12"/>
  <c r="AO5" i="12"/>
  <c r="AO29" i="12" s="1"/>
  <c r="Q33" i="12"/>
  <c r="I35" i="12"/>
  <c r="F37" i="12"/>
  <c r="AV13" i="12"/>
  <c r="Q40" i="12"/>
  <c r="I46" i="12"/>
  <c r="K38" i="12"/>
  <c r="AN39" i="12"/>
  <c r="F47" i="12"/>
  <c r="AV23" i="12"/>
  <c r="T41" i="12"/>
  <c r="T43" i="12"/>
  <c r="L36" i="12"/>
  <c r="AO37" i="12"/>
  <c r="AA39" i="12"/>
  <c r="M47" i="12"/>
  <c r="AF36" i="12"/>
  <c r="L40" i="12"/>
  <c r="P42" i="12"/>
  <c r="H47" i="12"/>
  <c r="AF45" i="12"/>
  <c r="AJ44" i="12"/>
  <c r="P48" i="12"/>
  <c r="H44" i="12"/>
  <c r="AK45" i="12"/>
  <c r="AO32" i="12"/>
  <c r="T47" i="12"/>
  <c r="AJ35" i="12"/>
  <c r="AO34" i="12"/>
  <c r="P30" i="12"/>
  <c r="P5" i="12"/>
  <c r="P29" i="12" s="1"/>
  <c r="AR26" i="12"/>
  <c r="C11" i="12"/>
  <c r="C17" i="12"/>
  <c r="AN30" i="12"/>
  <c r="Y35" i="12"/>
  <c r="O30" i="12"/>
  <c r="O5" i="12"/>
  <c r="O29" i="12" s="1"/>
  <c r="AF5" i="12"/>
  <c r="AF29" i="12" s="1"/>
  <c r="L31" i="12"/>
  <c r="I31" i="12"/>
  <c r="AV11" i="12"/>
  <c r="S30" i="12"/>
  <c r="S5" i="12"/>
  <c r="S29" i="12" s="1"/>
  <c r="F40" i="12"/>
  <c r="AV16" i="12"/>
  <c r="AC43" i="12"/>
  <c r="AA33" i="12"/>
  <c r="N30" i="12"/>
  <c r="N5" i="12"/>
  <c r="N29" i="12" s="1"/>
  <c r="K36" i="12"/>
  <c r="L42" i="12"/>
  <c r="AI48" i="12"/>
  <c r="AI32" i="12"/>
  <c r="AG34" i="12"/>
  <c r="AO39" i="12"/>
  <c r="J30" i="12"/>
  <c r="J5" i="12"/>
  <c r="J29" i="12" s="1"/>
  <c r="Y33" i="12"/>
  <c r="AG40" i="12"/>
  <c r="AO46" i="12"/>
  <c r="S38" i="12"/>
  <c r="M40" i="12"/>
  <c r="T36" i="12"/>
  <c r="F38" i="12"/>
  <c r="AV14" i="12"/>
  <c r="AI39" i="12"/>
  <c r="AF41" i="12"/>
  <c r="AC47" i="12"/>
  <c r="K35" i="12"/>
  <c r="AN36" i="12"/>
  <c r="T40" i="12"/>
  <c r="AA42" i="12"/>
  <c r="K45" i="12"/>
  <c r="P47" i="12"/>
  <c r="K44" i="12"/>
  <c r="AN45" i="12"/>
  <c r="AC41" i="12"/>
  <c r="I45" i="12"/>
  <c r="X48" i="12"/>
  <c r="P44" i="12"/>
  <c r="Y32" i="12"/>
  <c r="AJ42" i="12"/>
  <c r="U44" i="12"/>
  <c r="AO31" i="12"/>
  <c r="C10" i="12"/>
  <c r="C14" i="12"/>
  <c r="C12" i="12"/>
  <c r="AN34" i="12"/>
  <c r="W5" i="12"/>
  <c r="W29" i="12" s="1"/>
  <c r="AF30" i="12"/>
  <c r="AO48" i="12"/>
  <c r="P35" i="12"/>
  <c r="AE30" i="12"/>
  <c r="AE5" i="12"/>
  <c r="AE29" i="12" s="1"/>
  <c r="AD33" i="12"/>
  <c r="Q47" i="12"/>
  <c r="F32" i="12"/>
  <c r="AV8" i="12"/>
  <c r="AA30" i="12"/>
  <c r="AA5" i="12"/>
  <c r="AA29" i="12" s="1"/>
  <c r="Y48" i="12"/>
  <c r="M35" i="12"/>
  <c r="V30" i="12"/>
  <c r="V5" i="12"/>
  <c r="V29" i="12" s="1"/>
  <c r="K34" i="12"/>
  <c r="T39" i="12"/>
  <c r="AG42" i="12"/>
  <c r="I30" i="12"/>
  <c r="I5" i="12"/>
  <c r="I29" i="12" s="1"/>
  <c r="AB37" i="12"/>
  <c r="R30" i="12"/>
  <c r="R5" i="12"/>
  <c r="AG33" i="12"/>
  <c r="AB35" i="12"/>
  <c r="F41" i="12"/>
  <c r="AV17" i="12"/>
  <c r="AA38" i="12"/>
  <c r="Q42" i="12"/>
  <c r="AO43" i="12"/>
  <c r="L47" i="12"/>
  <c r="AB36" i="12"/>
  <c r="H40" i="12"/>
  <c r="K42" i="12"/>
  <c r="S35" i="12"/>
  <c r="M37" i="12"/>
  <c r="AB40" i="12"/>
  <c r="AA45" i="12"/>
  <c r="I44" i="12"/>
  <c r="X47" i="12"/>
  <c r="S44" i="12"/>
  <c r="M46" i="12"/>
  <c r="Q45" i="12"/>
  <c r="AF48" i="12"/>
  <c r="X44" i="12"/>
  <c r="C7" i="12"/>
  <c r="I38" i="12"/>
  <c r="AI42" i="12"/>
  <c r="C4" i="12"/>
  <c r="C28" i="12" s="1"/>
  <c r="C16" i="12"/>
  <c r="AJ43" i="12"/>
  <c r="L34" i="12"/>
  <c r="H30" i="12"/>
  <c r="H5" i="12"/>
  <c r="H29" i="12" s="1"/>
  <c r="Y31" i="12"/>
  <c r="DM5" i="11"/>
  <c r="BA5" i="11"/>
  <c r="EB5" i="11"/>
  <c r="BP5" i="11"/>
  <c r="D5" i="11"/>
  <c r="EQ5" i="11"/>
  <c r="CE5" i="11"/>
  <c r="S5" i="11"/>
  <c r="EX5" i="11"/>
  <c r="CL5" i="11"/>
  <c r="Z5" i="11"/>
  <c r="FE5" i="11"/>
  <c r="CS5" i="11"/>
  <c r="AG5" i="11"/>
  <c r="CZ5" i="11"/>
  <c r="AN5" i="11"/>
  <c r="DO5" i="11"/>
  <c r="BC5" i="11"/>
  <c r="DT5" i="11"/>
  <c r="EI5" i="11"/>
  <c r="BW5" i="11"/>
  <c r="K5" i="11"/>
  <c r="EP5" i="11"/>
  <c r="CD5" i="11"/>
  <c r="R5" i="11"/>
  <c r="EW5" i="11"/>
  <c r="CK5" i="11"/>
  <c r="Y5" i="11"/>
  <c r="FD5" i="11"/>
  <c r="CR5" i="11"/>
  <c r="AF5" i="11"/>
  <c r="DG5" i="11"/>
  <c r="AU5" i="11"/>
  <c r="BH5" i="11"/>
  <c r="CW5" i="11"/>
  <c r="AK5" i="11"/>
  <c r="DL5" i="11"/>
  <c r="EA5" i="11"/>
  <c r="BO5" i="11"/>
  <c r="C5" i="11"/>
  <c r="EH5" i="11"/>
  <c r="BV5" i="11"/>
  <c r="J5" i="11"/>
  <c r="EO5" i="11"/>
  <c r="CC5" i="11"/>
  <c r="Q5" i="11"/>
  <c r="EV5" i="11"/>
  <c r="CJ5" i="11"/>
  <c r="X5" i="11"/>
  <c r="CY5" i="11"/>
  <c r="AM5" i="11"/>
  <c r="AC5" i="11"/>
  <c r="DS5" i="11"/>
  <c r="BG5" i="11"/>
  <c r="DZ5" i="11"/>
  <c r="BN5" i="11"/>
  <c r="EG5" i="11"/>
  <c r="BU5" i="11"/>
  <c r="I5" i="11"/>
  <c r="EN5" i="11"/>
  <c r="CB5" i="11"/>
  <c r="P5" i="11"/>
  <c r="FC5" i="11"/>
  <c r="CQ5" i="11"/>
  <c r="AE5" i="11"/>
  <c r="FA5" i="11"/>
  <c r="DD5" i="11"/>
  <c r="CG5" i="11"/>
  <c r="CV5" i="11"/>
  <c r="DK5" i="11"/>
  <c r="AY5" i="11"/>
  <c r="DR5" i="11"/>
  <c r="BF5" i="11"/>
  <c r="DY5" i="11"/>
  <c r="BM5" i="11"/>
  <c r="EF5" i="11"/>
  <c r="BT5" i="11"/>
  <c r="H5" i="11"/>
  <c r="EU5" i="11"/>
  <c r="CI5" i="11"/>
  <c r="W5" i="11"/>
  <c r="CO5" i="11"/>
  <c r="EK5" i="11"/>
  <c r="BY5" i="11"/>
  <c r="M5" i="11"/>
  <c r="EZ5" i="11"/>
  <c r="CN5" i="11"/>
  <c r="AB5" i="11"/>
  <c r="DC5" i="11"/>
  <c r="AQ5" i="11"/>
  <c r="DJ5" i="11"/>
  <c r="AX5" i="11"/>
  <c r="DQ5" i="11"/>
  <c r="BE5" i="11"/>
  <c r="DX5" i="11"/>
  <c r="BL5" i="11"/>
  <c r="EM5" i="11"/>
  <c r="CA5" i="11"/>
  <c r="O5" i="11"/>
  <c r="CU5" i="11"/>
  <c r="AI5" i="11"/>
  <c r="DB5" i="11"/>
  <c r="AP5" i="11"/>
  <c r="DI5" i="11"/>
  <c r="AW5" i="11"/>
  <c r="DP5" i="11"/>
  <c r="BD5" i="11"/>
  <c r="EE5" i="11"/>
  <c r="BS5" i="11"/>
  <c r="G5" i="11"/>
  <c r="DU5" i="11"/>
  <c r="BI5" i="11"/>
  <c r="EJ5" i="11"/>
  <c r="L5" i="11"/>
  <c r="EY5" i="11"/>
  <c r="CM5" i="11"/>
  <c r="AA5" i="11"/>
  <c r="CT5" i="11"/>
  <c r="AH5" i="11"/>
  <c r="DA5" i="11"/>
  <c r="AO5" i="11"/>
  <c r="DH5" i="11"/>
  <c r="AV5" i="11"/>
  <c r="DW5" i="11"/>
  <c r="BK5" i="11"/>
  <c r="A1" i="5"/>
  <c r="B3" i="8"/>
  <c r="AI4" i="8" s="1"/>
  <c r="AT3" i="8"/>
  <c r="B3" i="7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AS7" i="10" l="1"/>
  <c r="AS9" i="10"/>
  <c r="AS12" i="10"/>
  <c r="AS19" i="10"/>
  <c r="S29" i="14"/>
  <c r="AS22" i="10"/>
  <c r="AS15" i="10"/>
  <c r="AS21" i="10"/>
  <c r="AS11" i="10"/>
  <c r="AL42" i="10"/>
  <c r="AS23" i="10"/>
  <c r="Z47" i="10"/>
  <c r="AS18" i="10"/>
  <c r="AS20" i="10"/>
  <c r="H38" i="10"/>
  <c r="AS24" i="10"/>
  <c r="AT7" i="10"/>
  <c r="Q46" i="10"/>
  <c r="AR4" i="14"/>
  <c r="AR47" i="14" s="1"/>
  <c r="AH34" i="10"/>
  <c r="AT14" i="10"/>
  <c r="AS17" i="10"/>
  <c r="AS16" i="10"/>
  <c r="AS4" i="14"/>
  <c r="AS40" i="14" s="1"/>
  <c r="AS5" i="12"/>
  <c r="AT5" i="12"/>
  <c r="AT4" i="14"/>
  <c r="AT33" i="14" s="1"/>
  <c r="AR5" i="12"/>
  <c r="AT9" i="10"/>
  <c r="AV5" i="9"/>
  <c r="AT16" i="10"/>
  <c r="AT13" i="10"/>
  <c r="AT15" i="10"/>
  <c r="AT18" i="10"/>
  <c r="AS10" i="10"/>
  <c r="AT21" i="10"/>
  <c r="AR4" i="10"/>
  <c r="AR28" i="10" s="1"/>
  <c r="AS4" i="10"/>
  <c r="AS28" i="10" s="1"/>
  <c r="AT4" i="10"/>
  <c r="AT20" i="10"/>
  <c r="AT17" i="10"/>
  <c r="AT11" i="10"/>
  <c r="P30" i="10"/>
  <c r="AT23" i="10"/>
  <c r="AT24" i="10"/>
  <c r="AT12" i="10"/>
  <c r="AT8" i="10"/>
  <c r="AT6" i="10"/>
  <c r="AT19" i="10"/>
  <c r="AS14" i="10"/>
  <c r="AT10" i="10"/>
  <c r="AT22" i="10"/>
  <c r="V33" i="14"/>
  <c r="EV5" i="9"/>
  <c r="AI30" i="10"/>
  <c r="F42" i="14"/>
  <c r="F41" i="14"/>
  <c r="AC32" i="14"/>
  <c r="F35" i="14"/>
  <c r="AC36" i="14"/>
  <c r="F39" i="14"/>
  <c r="F33" i="14"/>
  <c r="I5" i="9"/>
  <c r="S5" i="9"/>
  <c r="Y5" i="9"/>
  <c r="EX5" i="9"/>
  <c r="BC5" i="9"/>
  <c r="Y38" i="10"/>
  <c r="CI5" i="9"/>
  <c r="AF5" i="9"/>
  <c r="AP41" i="10"/>
  <c r="EW5" i="9"/>
  <c r="CC5" i="9"/>
  <c r="I31" i="10"/>
  <c r="AS8" i="10"/>
  <c r="C5" i="9"/>
  <c r="EC5" i="9"/>
  <c r="AM5" i="9"/>
  <c r="CQ5" i="9"/>
  <c r="T5" i="9"/>
  <c r="Z5" i="9"/>
  <c r="AC42" i="14"/>
  <c r="AC48" i="14"/>
  <c r="AC44" i="14"/>
  <c r="V31" i="14"/>
  <c r="Z29" i="14"/>
  <c r="I31" i="14"/>
  <c r="L47" i="14"/>
  <c r="X36" i="14"/>
  <c r="V35" i="14"/>
  <c r="J34" i="14"/>
  <c r="AN39" i="14"/>
  <c r="AN46" i="14"/>
  <c r="AN30" i="14"/>
  <c r="AN35" i="14"/>
  <c r="AC30" i="14"/>
  <c r="J32" i="14"/>
  <c r="J48" i="14"/>
  <c r="J30" i="14"/>
  <c r="J44" i="14"/>
  <c r="AA47" i="14"/>
  <c r="AF41" i="14"/>
  <c r="L45" i="14"/>
  <c r="W32" i="14"/>
  <c r="AB45" i="14"/>
  <c r="AB38" i="14"/>
  <c r="AA48" i="14"/>
  <c r="AB39" i="14"/>
  <c r="U46" i="14"/>
  <c r="R36" i="14"/>
  <c r="W44" i="14"/>
  <c r="AK47" i="14"/>
  <c r="AI44" i="14"/>
  <c r="N46" i="14"/>
  <c r="W31" i="14"/>
  <c r="AK45" i="14"/>
  <c r="AH33" i="14"/>
  <c r="AK48" i="14"/>
  <c r="N30" i="14"/>
  <c r="N40" i="14"/>
  <c r="W45" i="14"/>
  <c r="W46" i="14"/>
  <c r="N35" i="14"/>
  <c r="W30" i="14"/>
  <c r="N32" i="14"/>
  <c r="W38" i="14"/>
  <c r="AA45" i="14"/>
  <c r="W35" i="14"/>
  <c r="AA29" i="14"/>
  <c r="N42" i="14"/>
  <c r="R43" i="14"/>
  <c r="N33" i="14"/>
  <c r="N45" i="14"/>
  <c r="R35" i="14"/>
  <c r="AK29" i="14"/>
  <c r="Q29" i="14"/>
  <c r="N39" i="14"/>
  <c r="BV5" i="9"/>
  <c r="D17" i="10"/>
  <c r="DV5" i="9"/>
  <c r="EH5" i="9"/>
  <c r="AB5" i="9"/>
  <c r="DX5" i="9"/>
  <c r="ET5" i="9"/>
  <c r="CN5" i="9"/>
  <c r="P5" i="9"/>
  <c r="EL5" i="9"/>
  <c r="X33" i="10"/>
  <c r="Q30" i="10"/>
  <c r="BN5" i="9"/>
  <c r="EP5" i="9"/>
  <c r="AZ5" i="9"/>
  <c r="DA5" i="9"/>
  <c r="CB5" i="9"/>
  <c r="EN5" i="9"/>
  <c r="CL5" i="9"/>
  <c r="EY5" i="9"/>
  <c r="BI5" i="9"/>
  <c r="BS5" i="9"/>
  <c r="BR5" i="9"/>
  <c r="AC5" i="9"/>
  <c r="DN5" i="9"/>
  <c r="M5" i="9"/>
  <c r="FC5" i="9"/>
  <c r="BU5" i="9"/>
  <c r="AR5" i="9"/>
  <c r="EM5" i="9"/>
  <c r="DH5" i="9"/>
  <c r="CY5" i="9"/>
  <c r="EG5" i="9"/>
  <c r="R5" i="9"/>
  <c r="BO5" i="9"/>
  <c r="FE5" i="9"/>
  <c r="DI5" i="9"/>
  <c r="CK5" i="9"/>
  <c r="DZ5" i="9"/>
  <c r="CA5" i="9"/>
  <c r="BP5" i="9"/>
  <c r="CW5" i="9"/>
  <c r="CS5" i="9"/>
  <c r="Q5" i="9"/>
  <c r="CD5" i="9"/>
  <c r="V5" i="9"/>
  <c r="AO5" i="9"/>
  <c r="O5" i="9"/>
  <c r="AN39" i="10"/>
  <c r="C7" i="10"/>
  <c r="AV23" i="10"/>
  <c r="D20" i="10"/>
  <c r="D13" i="10"/>
  <c r="C18" i="10"/>
  <c r="C21" i="10"/>
  <c r="X5" i="10"/>
  <c r="X29" i="10" s="1"/>
  <c r="AD5" i="10"/>
  <c r="AD29" i="10" s="1"/>
  <c r="AJ5" i="10"/>
  <c r="AJ29" i="10" s="1"/>
  <c r="C12" i="10"/>
  <c r="AV7" i="10"/>
  <c r="K5" i="10"/>
  <c r="K29" i="10" s="1"/>
  <c r="D11" i="10"/>
  <c r="AG5" i="10"/>
  <c r="AG29" i="10" s="1"/>
  <c r="CV5" i="9"/>
  <c r="AY5" i="9"/>
  <c r="DO5" i="9"/>
  <c r="BL5" i="9"/>
  <c r="BG5" i="9"/>
  <c r="BA5" i="9"/>
  <c r="EI5" i="9"/>
  <c r="ES5" i="9"/>
  <c r="CU5" i="9"/>
  <c r="DM5" i="9"/>
  <c r="AE5" i="9"/>
  <c r="DR5" i="9"/>
  <c r="BE5" i="9"/>
  <c r="DB5" i="9"/>
  <c r="G5" i="9"/>
  <c r="BM5" i="9"/>
  <c r="CR5" i="9"/>
  <c r="CH5" i="9"/>
  <c r="EO5" i="9"/>
  <c r="Y5" i="10"/>
  <c r="Y29" i="10" s="1"/>
  <c r="AV11" i="10"/>
  <c r="EA5" i="9"/>
  <c r="BZ5" i="9"/>
  <c r="FA5" i="9"/>
  <c r="D5" i="9"/>
  <c r="AW5" i="9"/>
  <c r="X5" i="9"/>
  <c r="BT5" i="9"/>
  <c r="DE5" i="9"/>
  <c r="DL5" i="9"/>
  <c r="F5" i="9"/>
  <c r="AI5" i="9"/>
  <c r="DU5" i="9"/>
  <c r="DT5" i="9"/>
  <c r="AK5" i="9"/>
  <c r="H5" i="9"/>
  <c r="CO5" i="9"/>
  <c r="BW5" i="9"/>
  <c r="DG5" i="9"/>
  <c r="DF5" i="9"/>
  <c r="AA5" i="9"/>
  <c r="DD5" i="9"/>
  <c r="AG5" i="9"/>
  <c r="CG5" i="9"/>
  <c r="BH5" i="9"/>
  <c r="N5" i="9"/>
  <c r="DC5" i="9"/>
  <c r="E5" i="9"/>
  <c r="W5" i="9"/>
  <c r="K5" i="9"/>
  <c r="EQ5" i="9"/>
  <c r="BQ5" i="9"/>
  <c r="BX5" i="9"/>
  <c r="J5" i="9"/>
  <c r="AH5" i="9"/>
  <c r="AP5" i="9"/>
  <c r="CZ5" i="9"/>
  <c r="EE5" i="9"/>
  <c r="DP5" i="9"/>
  <c r="AX5" i="9"/>
  <c r="AT5" i="9"/>
  <c r="CX5" i="9"/>
  <c r="CP5" i="9"/>
  <c r="EF5" i="9"/>
  <c r="DY5" i="9"/>
  <c r="AP32" i="10"/>
  <c r="CJ5" i="9"/>
  <c r="Q48" i="10"/>
  <c r="Q47" i="10"/>
  <c r="AP42" i="10"/>
  <c r="M5" i="10"/>
  <c r="M29" i="10" s="1"/>
  <c r="P5" i="10"/>
  <c r="P29" i="10" s="1"/>
  <c r="C15" i="10"/>
  <c r="AV13" i="10"/>
  <c r="T5" i="10"/>
  <c r="T29" i="10" s="1"/>
  <c r="AP39" i="10"/>
  <c r="FD5" i="9"/>
  <c r="DK5" i="9"/>
  <c r="L5" i="9"/>
  <c r="BJ5" i="9"/>
  <c r="CE5" i="9"/>
  <c r="AQ5" i="9"/>
  <c r="FB5" i="9"/>
  <c r="EJ5" i="9"/>
  <c r="EZ5" i="9"/>
  <c r="DJ5" i="9"/>
  <c r="DS5" i="9"/>
  <c r="BF5" i="9"/>
  <c r="BY5" i="9"/>
  <c r="BK5" i="9"/>
  <c r="ED5" i="9"/>
  <c r="AJ5" i="9"/>
  <c r="BD5" i="9"/>
  <c r="CM5" i="9"/>
  <c r="AS5" i="9"/>
  <c r="CT5" i="9"/>
  <c r="U5" i="9"/>
  <c r="EU5" i="9"/>
  <c r="AN5" i="9"/>
  <c r="EK5" i="9"/>
  <c r="BB5" i="9"/>
  <c r="AD5" i="9"/>
  <c r="ER5" i="9"/>
  <c r="I5" i="10"/>
  <c r="I29" i="10" s="1"/>
  <c r="C19" i="10"/>
  <c r="Z5" i="10"/>
  <c r="Z29" i="10" s="1"/>
  <c r="D10" i="10"/>
  <c r="J5" i="10"/>
  <c r="J29" i="10" s="1"/>
  <c r="AC5" i="10"/>
  <c r="EB5" i="9"/>
  <c r="U5" i="10"/>
  <c r="U29" i="10" s="1"/>
  <c r="C23" i="10"/>
  <c r="C24" i="10"/>
  <c r="AA5" i="10"/>
  <c r="AA29" i="10" s="1"/>
  <c r="S5" i="10"/>
  <c r="S29" i="10" s="1"/>
  <c r="AL5" i="10"/>
  <c r="AL29" i="10" s="1"/>
  <c r="H5" i="10"/>
  <c r="H29" i="10" s="1"/>
  <c r="H48" i="10"/>
  <c r="C22" i="10"/>
  <c r="G5" i="10"/>
  <c r="G29" i="10" s="1"/>
  <c r="N45" i="10"/>
  <c r="AG31" i="10"/>
  <c r="Q39" i="10"/>
  <c r="O5" i="10"/>
  <c r="O29" i="10" s="1"/>
  <c r="T30" i="10"/>
  <c r="F5" i="10"/>
  <c r="F29" i="10" s="1"/>
  <c r="D7" i="10"/>
  <c r="AJ43" i="10"/>
  <c r="AV20" i="10"/>
  <c r="L30" i="10"/>
  <c r="AF35" i="10"/>
  <c r="V5" i="10"/>
  <c r="V29" i="10" s="1"/>
  <c r="AV32" i="12"/>
  <c r="D24" i="10"/>
  <c r="AM5" i="10"/>
  <c r="AM29" i="10" s="1"/>
  <c r="L5" i="10"/>
  <c r="L29" i="10" s="1"/>
  <c r="AP5" i="10"/>
  <c r="AP29" i="10" s="1"/>
  <c r="AB5" i="10"/>
  <c r="AB29" i="10" s="1"/>
  <c r="H47" i="10"/>
  <c r="D19" i="10"/>
  <c r="Q42" i="10"/>
  <c r="AP37" i="10"/>
  <c r="D12" i="10"/>
  <c r="C9" i="10"/>
  <c r="AV15" i="10"/>
  <c r="C17" i="10"/>
  <c r="AV10" i="10"/>
  <c r="AV18" i="10"/>
  <c r="C8" i="10"/>
  <c r="AF5" i="10"/>
  <c r="AF29" i="10" s="1"/>
  <c r="C13" i="10"/>
  <c r="Q45" i="10"/>
  <c r="D8" i="10"/>
  <c r="C6" i="10"/>
  <c r="D9" i="10"/>
  <c r="AV12" i="10"/>
  <c r="D22" i="10"/>
  <c r="Q32" i="10"/>
  <c r="AP46" i="10"/>
  <c r="AV22" i="10"/>
  <c r="D21" i="10"/>
  <c r="C20" i="10"/>
  <c r="AK5" i="10"/>
  <c r="AK29" i="10" s="1"/>
  <c r="AV21" i="10"/>
  <c r="D6" i="10"/>
  <c r="C11" i="10"/>
  <c r="C14" i="10"/>
  <c r="AH5" i="10"/>
  <c r="AH29" i="10" s="1"/>
  <c r="W5" i="10"/>
  <c r="W29" i="10" s="1"/>
  <c r="AV14" i="10"/>
  <c r="AE5" i="10"/>
  <c r="AE29" i="10" s="1"/>
  <c r="AV19" i="10"/>
  <c r="D16" i="10"/>
  <c r="Q33" i="10"/>
  <c r="AP44" i="10"/>
  <c r="H43" i="10"/>
  <c r="AP36" i="10"/>
  <c r="D18" i="10"/>
  <c r="AV16" i="10"/>
  <c r="R5" i="10"/>
  <c r="R29" i="10" s="1"/>
  <c r="AV17" i="10"/>
  <c r="Q5" i="10"/>
  <c r="Q29" i="10" s="1"/>
  <c r="AV24" i="10"/>
  <c r="AV6" i="10"/>
  <c r="AV9" i="10"/>
  <c r="N5" i="10"/>
  <c r="N29" i="10" s="1"/>
  <c r="D15" i="10"/>
  <c r="D23" i="10"/>
  <c r="AP47" i="10"/>
  <c r="AN5" i="10"/>
  <c r="AN29" i="10" s="1"/>
  <c r="D14" i="10"/>
  <c r="C10" i="10"/>
  <c r="DQ5" i="9"/>
  <c r="DW5" i="9"/>
  <c r="AI5" i="10"/>
  <c r="AI29" i="10" s="1"/>
  <c r="C16" i="10"/>
  <c r="R45" i="10"/>
  <c r="AL5" i="9"/>
  <c r="AO5" i="10"/>
  <c r="AO29" i="10" s="1"/>
  <c r="CF5" i="9"/>
  <c r="AV8" i="10"/>
  <c r="F30" i="10"/>
  <c r="AB42" i="10"/>
  <c r="AU5" i="9"/>
  <c r="Z48" i="10"/>
  <c r="Z31" i="10"/>
  <c r="Z36" i="10"/>
  <c r="AN42" i="10"/>
  <c r="Z43" i="10"/>
  <c r="AH39" i="10"/>
  <c r="AF39" i="10"/>
  <c r="AF36" i="10"/>
  <c r="AF47" i="10"/>
  <c r="AF44" i="10"/>
  <c r="G39" i="10"/>
  <c r="AF33" i="10"/>
  <c r="H33" i="10"/>
  <c r="AD32" i="14"/>
  <c r="H36" i="10"/>
  <c r="H39" i="14"/>
  <c r="H34" i="10"/>
  <c r="H35" i="10"/>
  <c r="AG45" i="14"/>
  <c r="H45" i="14"/>
  <c r="AR13" i="10"/>
  <c r="AR21" i="10"/>
  <c r="AR8" i="10"/>
  <c r="AR16" i="10"/>
  <c r="AR24" i="10"/>
  <c r="AR11" i="10"/>
  <c r="AR19" i="10"/>
  <c r="AR6" i="10"/>
  <c r="AR14" i="10"/>
  <c r="AR22" i="10"/>
  <c r="AR9" i="10"/>
  <c r="AR17" i="10"/>
  <c r="AR12" i="10"/>
  <c r="AR20" i="10"/>
  <c r="AR7" i="10"/>
  <c r="AR15" i="10"/>
  <c r="AR23" i="10"/>
  <c r="AR10" i="10"/>
  <c r="AR18" i="10"/>
  <c r="AR26" i="10"/>
  <c r="C6" i="7"/>
  <c r="AG41" i="14"/>
  <c r="AD45" i="14"/>
  <c r="T31" i="14"/>
  <c r="X42" i="10"/>
  <c r="G37" i="10"/>
  <c r="R33" i="10"/>
  <c r="R42" i="10"/>
  <c r="G33" i="10"/>
  <c r="AJ41" i="10"/>
  <c r="AF38" i="10"/>
  <c r="AB34" i="14"/>
  <c r="U36" i="14"/>
  <c r="AF29" i="14"/>
  <c r="AF44" i="14"/>
  <c r="AF45" i="10"/>
  <c r="X41" i="10"/>
  <c r="H41" i="10"/>
  <c r="U44" i="14"/>
  <c r="U43" i="14"/>
  <c r="U29" i="14"/>
  <c r="AB33" i="14"/>
  <c r="AF46" i="14"/>
  <c r="S36" i="14"/>
  <c r="M35" i="14"/>
  <c r="R43" i="10"/>
  <c r="G45" i="10"/>
  <c r="AL33" i="14"/>
  <c r="X44" i="10"/>
  <c r="AF37" i="10"/>
  <c r="AB36" i="14"/>
  <c r="AF48" i="10"/>
  <c r="AL47" i="10"/>
  <c r="R32" i="10"/>
  <c r="AF34" i="10"/>
  <c r="AJ33" i="10"/>
  <c r="R36" i="10"/>
  <c r="G44" i="10"/>
  <c r="AB47" i="14"/>
  <c r="U30" i="14"/>
  <c r="AF47" i="14"/>
  <c r="AF32" i="14"/>
  <c r="G30" i="14"/>
  <c r="S40" i="14"/>
  <c r="AF43" i="10"/>
  <c r="X43" i="10"/>
  <c r="AF42" i="10"/>
  <c r="AL43" i="10"/>
  <c r="AL46" i="10"/>
  <c r="AF45" i="14"/>
  <c r="K29" i="14"/>
  <c r="G29" i="14"/>
  <c r="AF31" i="10"/>
  <c r="R44" i="10"/>
  <c r="AF41" i="10"/>
  <c r="R35" i="10"/>
  <c r="AF46" i="10"/>
  <c r="AF31" i="14"/>
  <c r="S34" i="14"/>
  <c r="AF35" i="14"/>
  <c r="AF32" i="10"/>
  <c r="AF40" i="10"/>
  <c r="S31" i="14"/>
  <c r="AF30" i="14"/>
  <c r="AB41" i="14"/>
  <c r="AF43" i="14"/>
  <c r="G47" i="10"/>
  <c r="G46" i="10"/>
  <c r="R30" i="10"/>
  <c r="AF48" i="14"/>
  <c r="AF33" i="14"/>
  <c r="AF40" i="14"/>
  <c r="AL40" i="10"/>
  <c r="P45" i="10"/>
  <c r="AP48" i="10"/>
  <c r="X30" i="10"/>
  <c r="Q41" i="10"/>
  <c r="C40" i="12"/>
  <c r="M39" i="14"/>
  <c r="N44" i="14"/>
  <c r="M30" i="14"/>
  <c r="K34" i="14"/>
  <c r="AG29" i="14"/>
  <c r="N43" i="14"/>
  <c r="AD31" i="14"/>
  <c r="AO29" i="14"/>
  <c r="L41" i="14"/>
  <c r="C4" i="14"/>
  <c r="C28" i="14" s="1"/>
  <c r="X32" i="10"/>
  <c r="AG42" i="14"/>
  <c r="M44" i="14"/>
  <c r="M36" i="14"/>
  <c r="AG30" i="14"/>
  <c r="AG43" i="14"/>
  <c r="T30" i="14"/>
  <c r="AO31" i="14"/>
  <c r="M46" i="14"/>
  <c r="K44" i="14"/>
  <c r="M37" i="14"/>
  <c r="AD39" i="14"/>
  <c r="AD30" i="14"/>
  <c r="T29" i="14"/>
  <c r="AG44" i="14"/>
  <c r="AG47" i="14"/>
  <c r="AG46" i="14"/>
  <c r="X29" i="14"/>
  <c r="AO39" i="14"/>
  <c r="M32" i="14"/>
  <c r="P39" i="10"/>
  <c r="AD35" i="14"/>
  <c r="X37" i="10"/>
  <c r="X31" i="10"/>
  <c r="X36" i="10"/>
  <c r="AD40" i="14"/>
  <c r="M29" i="14"/>
  <c r="K30" i="14"/>
  <c r="AD38" i="14"/>
  <c r="X34" i="10"/>
  <c r="X35" i="10"/>
  <c r="AP45" i="10"/>
  <c r="P37" i="10"/>
  <c r="P35" i="10"/>
  <c r="AP30" i="10"/>
  <c r="N29" i="14"/>
  <c r="AD47" i="14"/>
  <c r="AG32" i="14"/>
  <c r="AD37" i="14"/>
  <c r="K48" i="14"/>
  <c r="AD43" i="14"/>
  <c r="AG48" i="14"/>
  <c r="AG34" i="14"/>
  <c r="T33" i="14"/>
  <c r="AL31" i="14"/>
  <c r="P44" i="10"/>
  <c r="P47" i="10"/>
  <c r="Q31" i="10"/>
  <c r="AD46" i="14"/>
  <c r="AI33" i="14"/>
  <c r="K46" i="14"/>
  <c r="AL29" i="14"/>
  <c r="AI42" i="14"/>
  <c r="AD36" i="14"/>
  <c r="N37" i="14"/>
  <c r="K36" i="14"/>
  <c r="AD48" i="14"/>
  <c r="AP35" i="10"/>
  <c r="AP40" i="10"/>
  <c r="AP43" i="10"/>
  <c r="AD41" i="14"/>
  <c r="P29" i="14"/>
  <c r="AD34" i="14"/>
  <c r="AH30" i="10"/>
  <c r="AH31" i="10"/>
  <c r="AL34" i="10"/>
  <c r="AV47" i="12"/>
  <c r="F46" i="14"/>
  <c r="H37" i="14"/>
  <c r="F32" i="14"/>
  <c r="I45" i="14"/>
  <c r="F38" i="14"/>
  <c r="F36" i="14"/>
  <c r="I46" i="14"/>
  <c r="V29" i="14"/>
  <c r="H31" i="14"/>
  <c r="F44" i="14"/>
  <c r="AP39" i="14"/>
  <c r="F40" i="14"/>
  <c r="V39" i="14"/>
  <c r="L44" i="14"/>
  <c r="Z31" i="14"/>
  <c r="F48" i="10"/>
  <c r="V48" i="14"/>
  <c r="H38" i="14"/>
  <c r="V38" i="14"/>
  <c r="H32" i="14"/>
  <c r="V32" i="14"/>
  <c r="AV4" i="10"/>
  <c r="AV28" i="10" s="1"/>
  <c r="F32" i="10"/>
  <c r="AB31" i="10"/>
  <c r="H43" i="14"/>
  <c r="H29" i="14"/>
  <c r="AH33" i="10"/>
  <c r="AP32" i="14"/>
  <c r="H30" i="14"/>
  <c r="L36" i="14"/>
  <c r="V43" i="14"/>
  <c r="Y34" i="10"/>
  <c r="AH36" i="10"/>
  <c r="AP45" i="14"/>
  <c r="V41" i="14"/>
  <c r="AP37" i="14"/>
  <c r="AP31" i="14"/>
  <c r="AP29" i="14"/>
  <c r="L29" i="14"/>
  <c r="V45" i="14"/>
  <c r="Y32" i="14"/>
  <c r="L33" i="14"/>
  <c r="H36" i="14"/>
  <c r="AE41" i="14"/>
  <c r="AP40" i="14"/>
  <c r="V30" i="14"/>
  <c r="AH37" i="10"/>
  <c r="AB47" i="10"/>
  <c r="F45" i="10"/>
  <c r="AH45" i="10"/>
  <c r="AB32" i="10"/>
  <c r="AH41" i="10"/>
  <c r="AB45" i="10"/>
  <c r="AH44" i="10"/>
  <c r="AV48" i="12"/>
  <c r="F31" i="14"/>
  <c r="F48" i="14"/>
  <c r="AP30" i="14"/>
  <c r="L30" i="14"/>
  <c r="H41" i="14"/>
  <c r="L42" i="14"/>
  <c r="AP44" i="14"/>
  <c r="L48" i="14"/>
  <c r="AP34" i="14"/>
  <c r="H34" i="14"/>
  <c r="F47" i="14"/>
  <c r="F43" i="14"/>
  <c r="F47" i="10"/>
  <c r="AB46" i="10"/>
  <c r="Y29" i="14"/>
  <c r="I33" i="14"/>
  <c r="AB39" i="10"/>
  <c r="V46" i="14"/>
  <c r="AP46" i="14"/>
  <c r="H48" i="14"/>
  <c r="H33" i="14"/>
  <c r="L31" i="14"/>
  <c r="AP35" i="14"/>
  <c r="I29" i="14"/>
  <c r="AE29" i="14"/>
  <c r="AP41" i="14"/>
  <c r="AP42" i="14"/>
  <c r="L39" i="14"/>
  <c r="AP48" i="14"/>
  <c r="V47" i="14"/>
  <c r="Z30" i="14"/>
  <c r="AP47" i="14"/>
  <c r="H35" i="14"/>
  <c r="L34" i="14"/>
  <c r="F40" i="10"/>
  <c r="V37" i="14"/>
  <c r="AH35" i="10"/>
  <c r="F44" i="10"/>
  <c r="F46" i="10"/>
  <c r="AH32" i="10"/>
  <c r="F34" i="10"/>
  <c r="AH43" i="10"/>
  <c r="AB48" i="10"/>
  <c r="AB40" i="10"/>
  <c r="F42" i="10"/>
  <c r="H40" i="14"/>
  <c r="F37" i="14"/>
  <c r="F34" i="14"/>
  <c r="AI34" i="14"/>
  <c r="AA39" i="14"/>
  <c r="AV37" i="12"/>
  <c r="D39" i="12"/>
  <c r="R29" i="14"/>
  <c r="AI36" i="14"/>
  <c r="J46" i="14"/>
  <c r="M36" i="10"/>
  <c r="M44" i="10"/>
  <c r="M30" i="10"/>
  <c r="M28" i="10"/>
  <c r="M33" i="10"/>
  <c r="M43" i="10"/>
  <c r="M39" i="10"/>
  <c r="M41" i="10"/>
  <c r="M31" i="10"/>
  <c r="M47" i="10"/>
  <c r="M32" i="10"/>
  <c r="M46" i="10"/>
  <c r="M40" i="10"/>
  <c r="M35" i="10"/>
  <c r="M48" i="10"/>
  <c r="M34" i="10"/>
  <c r="M42" i="10"/>
  <c r="M45" i="10"/>
  <c r="M38" i="10"/>
  <c r="M37" i="10"/>
  <c r="AO42" i="10"/>
  <c r="AO28" i="10"/>
  <c r="AO45" i="10"/>
  <c r="AO30" i="10"/>
  <c r="AO44" i="10"/>
  <c r="AO39" i="10"/>
  <c r="AO41" i="10"/>
  <c r="AO34" i="10"/>
  <c r="AO36" i="10"/>
  <c r="AO40" i="10"/>
  <c r="AO37" i="10"/>
  <c r="AO33" i="10"/>
  <c r="AO43" i="10"/>
  <c r="AO35" i="10"/>
  <c r="AO47" i="10"/>
  <c r="AO46" i="10"/>
  <c r="AO32" i="10"/>
  <c r="AO38" i="10"/>
  <c r="AO48" i="10"/>
  <c r="P40" i="10"/>
  <c r="P38" i="10"/>
  <c r="P33" i="10"/>
  <c r="P43" i="10"/>
  <c r="P28" i="10"/>
  <c r="P31" i="10"/>
  <c r="P41" i="10"/>
  <c r="P32" i="10"/>
  <c r="P42" i="10"/>
  <c r="P36" i="10"/>
  <c r="P48" i="10"/>
  <c r="P34" i="10"/>
  <c r="P46" i="10"/>
  <c r="V41" i="10"/>
  <c r="V28" i="10"/>
  <c r="V31" i="10"/>
  <c r="V38" i="10"/>
  <c r="V40" i="10"/>
  <c r="V42" i="10"/>
  <c r="V43" i="10"/>
  <c r="V33" i="10"/>
  <c r="V37" i="10"/>
  <c r="V30" i="10"/>
  <c r="V34" i="10"/>
  <c r="V47" i="10"/>
  <c r="V46" i="10"/>
  <c r="V32" i="10"/>
  <c r="V36" i="10"/>
  <c r="V39" i="10"/>
  <c r="V48" i="10"/>
  <c r="V35" i="10"/>
  <c r="V45" i="10"/>
  <c r="V44" i="10"/>
  <c r="AA37" i="10"/>
  <c r="AA28" i="10"/>
  <c r="AA32" i="10"/>
  <c r="AA34" i="10"/>
  <c r="AA39" i="10"/>
  <c r="AA36" i="10"/>
  <c r="AA45" i="10"/>
  <c r="AA35" i="10"/>
  <c r="AA47" i="10"/>
  <c r="AA33" i="10"/>
  <c r="AA38" i="10"/>
  <c r="AA41" i="10"/>
  <c r="AA43" i="10"/>
  <c r="AA44" i="10"/>
  <c r="AA40" i="10"/>
  <c r="AA42" i="10"/>
  <c r="AA48" i="10"/>
  <c r="AA31" i="10"/>
  <c r="AA46" i="10"/>
  <c r="AA30" i="10"/>
  <c r="AO31" i="10"/>
  <c r="AV41" i="12"/>
  <c r="AV44" i="12"/>
  <c r="W39" i="14"/>
  <c r="W36" i="14"/>
  <c r="W28" i="10"/>
  <c r="W36" i="10"/>
  <c r="W43" i="10"/>
  <c r="W30" i="10"/>
  <c r="W45" i="10"/>
  <c r="W32" i="10"/>
  <c r="W46" i="10"/>
  <c r="W40" i="10"/>
  <c r="W44" i="10"/>
  <c r="W37" i="10"/>
  <c r="W39" i="10"/>
  <c r="W41" i="10"/>
  <c r="W48" i="10"/>
  <c r="W34" i="10"/>
  <c r="W35" i="10"/>
  <c r="W42" i="10"/>
  <c r="W38" i="10"/>
  <c r="W31" i="10"/>
  <c r="W33" i="10"/>
  <c r="W47" i="10"/>
  <c r="AI48" i="14"/>
  <c r="AI39" i="14"/>
  <c r="AI40" i="14"/>
  <c r="AI47" i="14"/>
  <c r="AI38" i="14"/>
  <c r="AI46" i="14"/>
  <c r="AI30" i="14"/>
  <c r="AI32" i="14"/>
  <c r="AI28" i="14"/>
  <c r="AI41" i="14"/>
  <c r="AI43" i="14"/>
  <c r="AI37" i="14"/>
  <c r="AI45" i="14"/>
  <c r="R46" i="14"/>
  <c r="R48" i="14"/>
  <c r="R28" i="14"/>
  <c r="R41" i="14"/>
  <c r="R44" i="14"/>
  <c r="R42" i="14"/>
  <c r="R34" i="14"/>
  <c r="R30" i="14"/>
  <c r="R39" i="14"/>
  <c r="R31" i="14"/>
  <c r="R32" i="14"/>
  <c r="R40" i="14"/>
  <c r="R45" i="14"/>
  <c r="R38" i="14"/>
  <c r="R33" i="14"/>
  <c r="R47" i="14"/>
  <c r="AJ32" i="14"/>
  <c r="AJ28" i="14"/>
  <c r="AJ43" i="14"/>
  <c r="AJ34" i="14"/>
  <c r="AJ46" i="14"/>
  <c r="AJ35" i="14"/>
  <c r="AJ40" i="14"/>
  <c r="AJ31" i="14"/>
  <c r="AJ48" i="14"/>
  <c r="AJ41" i="14"/>
  <c r="AJ45" i="14"/>
  <c r="AJ38" i="14"/>
  <c r="AJ42" i="14"/>
  <c r="AJ37" i="14"/>
  <c r="AJ44" i="14"/>
  <c r="AJ39" i="14"/>
  <c r="AJ33" i="14"/>
  <c r="AJ47" i="14"/>
  <c r="AJ36" i="14"/>
  <c r="AJ30" i="14"/>
  <c r="W28" i="14"/>
  <c r="W42" i="14"/>
  <c r="W33" i="14"/>
  <c r="W47" i="14"/>
  <c r="W40" i="14"/>
  <c r="W41" i="14"/>
  <c r="W48" i="14"/>
  <c r="W43" i="14"/>
  <c r="W34" i="14"/>
  <c r="AK39" i="14"/>
  <c r="AK38" i="14"/>
  <c r="AK28" i="14"/>
  <c r="AK42" i="14"/>
  <c r="AK41" i="14"/>
  <c r="AK40" i="14"/>
  <c r="AK43" i="14"/>
  <c r="AK35" i="14"/>
  <c r="AK37" i="14"/>
  <c r="AK33" i="14"/>
  <c r="AK32" i="14"/>
  <c r="AK34" i="14"/>
  <c r="AK30" i="14"/>
  <c r="AK46" i="14"/>
  <c r="AK44" i="14"/>
  <c r="AK31" i="14"/>
  <c r="AK36" i="10"/>
  <c r="AK28" i="10"/>
  <c r="AK34" i="10"/>
  <c r="AK31" i="10"/>
  <c r="AK37" i="10"/>
  <c r="AK32" i="10"/>
  <c r="AK47" i="10"/>
  <c r="AK41" i="10"/>
  <c r="AK30" i="10"/>
  <c r="AK46" i="10"/>
  <c r="AK42" i="10"/>
  <c r="AK35" i="10"/>
  <c r="AK48" i="10"/>
  <c r="AK39" i="10"/>
  <c r="AK45" i="10"/>
  <c r="AK43" i="10"/>
  <c r="AK33" i="10"/>
  <c r="AK38" i="10"/>
  <c r="AK40" i="10"/>
  <c r="AK44" i="10"/>
  <c r="AI35" i="14"/>
  <c r="AA37" i="14"/>
  <c r="AA32" i="14"/>
  <c r="AA33" i="14"/>
  <c r="AA28" i="14"/>
  <c r="AA43" i="14"/>
  <c r="AA35" i="14"/>
  <c r="AA41" i="14"/>
  <c r="AA40" i="14"/>
  <c r="AA46" i="14"/>
  <c r="AA44" i="14"/>
  <c r="AA36" i="14"/>
  <c r="AA42" i="14"/>
  <c r="AA34" i="14"/>
  <c r="AA31" i="14"/>
  <c r="AA30" i="14"/>
  <c r="J36" i="14"/>
  <c r="J38" i="14"/>
  <c r="J28" i="14"/>
  <c r="J43" i="14"/>
  <c r="AV4" i="14"/>
  <c r="AV28" i="14" s="1"/>
  <c r="J41" i="14"/>
  <c r="J47" i="14"/>
  <c r="J40" i="14"/>
  <c r="J33" i="14"/>
  <c r="J35" i="14"/>
  <c r="J42" i="14"/>
  <c r="J31" i="14"/>
  <c r="J45" i="14"/>
  <c r="J39" i="14"/>
  <c r="AN31" i="14"/>
  <c r="AN28" i="14"/>
  <c r="AN41" i="14"/>
  <c r="AN37" i="14"/>
  <c r="AN34" i="14"/>
  <c r="AN33" i="14"/>
  <c r="AN42" i="14"/>
  <c r="AN43" i="14"/>
  <c r="AN47" i="14"/>
  <c r="AN36" i="14"/>
  <c r="AN40" i="14"/>
  <c r="AN38" i="14"/>
  <c r="AN44" i="14"/>
  <c r="AN32" i="14"/>
  <c r="AN45" i="14"/>
  <c r="O28" i="14"/>
  <c r="O41" i="14"/>
  <c r="O43" i="14"/>
  <c r="O33" i="14"/>
  <c r="O48" i="14"/>
  <c r="O32" i="14"/>
  <c r="O36" i="14"/>
  <c r="O37" i="14"/>
  <c r="O38" i="14"/>
  <c r="O46" i="14"/>
  <c r="O45" i="14"/>
  <c r="O39" i="14"/>
  <c r="O35" i="14"/>
  <c r="O31" i="14"/>
  <c r="O42" i="14"/>
  <c r="O34" i="14"/>
  <c r="O44" i="14"/>
  <c r="O47" i="14"/>
  <c r="O40" i="14"/>
  <c r="O30" i="14"/>
  <c r="AC41" i="14"/>
  <c r="AC47" i="14"/>
  <c r="AC39" i="14"/>
  <c r="AC35" i="14"/>
  <c r="AC38" i="14"/>
  <c r="AC28" i="14"/>
  <c r="AC45" i="14"/>
  <c r="AC40" i="14"/>
  <c r="AC43" i="14"/>
  <c r="AC37" i="14"/>
  <c r="AC31" i="14"/>
  <c r="AC34" i="14"/>
  <c r="AC33" i="14"/>
  <c r="AM28" i="10"/>
  <c r="AM47" i="10"/>
  <c r="AM46" i="10"/>
  <c r="AM30" i="10"/>
  <c r="AM34" i="10"/>
  <c r="AM36" i="10"/>
  <c r="AM43" i="10"/>
  <c r="AM35" i="10"/>
  <c r="AM41" i="10"/>
  <c r="AM48" i="10"/>
  <c r="AM45" i="10"/>
  <c r="AM38" i="10"/>
  <c r="AM31" i="10"/>
  <c r="AM42" i="10"/>
  <c r="AM44" i="10"/>
  <c r="AM39" i="10"/>
  <c r="AM33" i="10"/>
  <c r="AM40" i="10"/>
  <c r="AM32" i="10"/>
  <c r="AM37" i="10"/>
  <c r="AD28" i="10"/>
  <c r="AD39" i="10"/>
  <c r="AD44" i="10"/>
  <c r="AD30" i="10"/>
  <c r="AD37" i="10"/>
  <c r="AD45" i="10"/>
  <c r="AD34" i="10"/>
  <c r="AD35" i="10"/>
  <c r="AD48" i="10"/>
  <c r="AD38" i="10"/>
  <c r="AD36" i="10"/>
  <c r="AD32" i="10"/>
  <c r="AD40" i="10"/>
  <c r="AD42" i="10"/>
  <c r="AD33" i="10"/>
  <c r="AD31" i="10"/>
  <c r="AD46" i="10"/>
  <c r="AD47" i="10"/>
  <c r="AD41" i="10"/>
  <c r="AD43" i="10"/>
  <c r="D4" i="10"/>
  <c r="D28" i="10" s="1"/>
  <c r="U48" i="10"/>
  <c r="U46" i="10"/>
  <c r="U28" i="10"/>
  <c r="U44" i="10"/>
  <c r="U38" i="10"/>
  <c r="U41" i="10"/>
  <c r="U31" i="10"/>
  <c r="U42" i="10"/>
  <c r="U35" i="10"/>
  <c r="U32" i="10"/>
  <c r="U30" i="10"/>
  <c r="U39" i="10"/>
  <c r="U33" i="10"/>
  <c r="U34" i="10"/>
  <c r="U45" i="10"/>
  <c r="U37" i="10"/>
  <c r="U40" i="10"/>
  <c r="U36" i="10"/>
  <c r="U47" i="10"/>
  <c r="U43" i="10"/>
  <c r="AI36" i="10"/>
  <c r="AI28" i="10"/>
  <c r="AI32" i="10"/>
  <c r="AI34" i="10"/>
  <c r="AI33" i="10"/>
  <c r="AI48" i="10"/>
  <c r="AI45" i="10"/>
  <c r="AI41" i="10"/>
  <c r="AI43" i="10"/>
  <c r="AI31" i="10"/>
  <c r="AI44" i="10"/>
  <c r="AI39" i="10"/>
  <c r="AI37" i="10"/>
  <c r="AI40" i="10"/>
  <c r="AI46" i="10"/>
  <c r="AI35" i="10"/>
  <c r="AI42" i="10"/>
  <c r="AI47" i="10"/>
  <c r="AI38" i="10"/>
  <c r="J28" i="10"/>
  <c r="J32" i="10"/>
  <c r="J31" i="10"/>
  <c r="J47" i="10"/>
  <c r="J46" i="10"/>
  <c r="J35" i="10"/>
  <c r="J44" i="10"/>
  <c r="J41" i="10"/>
  <c r="J37" i="10"/>
  <c r="J34" i="10"/>
  <c r="J45" i="10"/>
  <c r="J42" i="10"/>
  <c r="J43" i="10"/>
  <c r="J38" i="10"/>
  <c r="J40" i="10"/>
  <c r="J33" i="10"/>
  <c r="J36" i="10"/>
  <c r="J48" i="10"/>
  <c r="J39" i="10"/>
  <c r="J30" i="10"/>
  <c r="X38" i="10"/>
  <c r="X45" i="10"/>
  <c r="X39" i="10"/>
  <c r="X47" i="10"/>
  <c r="X40" i="10"/>
  <c r="X46" i="10"/>
  <c r="X28" i="10"/>
  <c r="X48" i="10"/>
  <c r="Z35" i="10"/>
  <c r="Z42" i="10"/>
  <c r="Z32" i="10"/>
  <c r="Z34" i="10"/>
  <c r="Z39" i="10"/>
  <c r="Z45" i="10"/>
  <c r="Z28" i="10"/>
  <c r="Z37" i="10"/>
  <c r="Z33" i="10"/>
  <c r="Z38" i="10"/>
  <c r="AH34" i="14"/>
  <c r="AH28" i="14"/>
  <c r="AH38" i="14"/>
  <c r="AH48" i="14"/>
  <c r="AH35" i="14"/>
  <c r="AH39" i="14"/>
  <c r="AH40" i="14"/>
  <c r="AH46" i="14"/>
  <c r="AH43" i="14"/>
  <c r="AH42" i="14"/>
  <c r="AH47" i="14"/>
  <c r="AH31" i="14"/>
  <c r="AH36" i="14"/>
  <c r="AH37" i="14"/>
  <c r="AH32" i="14"/>
  <c r="AH45" i="14"/>
  <c r="AH44" i="14"/>
  <c r="AH41" i="14"/>
  <c r="Q28" i="14"/>
  <c r="Q31" i="14"/>
  <c r="Q37" i="14"/>
  <c r="Q32" i="14"/>
  <c r="Q41" i="14"/>
  <c r="Q47" i="14"/>
  <c r="Q36" i="14"/>
  <c r="Q42" i="14"/>
  <c r="Q38" i="14"/>
  <c r="Q46" i="14"/>
  <c r="Q43" i="14"/>
  <c r="Q40" i="14"/>
  <c r="Q34" i="14"/>
  <c r="Q39" i="14"/>
  <c r="Q48" i="14"/>
  <c r="Q45" i="14"/>
  <c r="Q35" i="14"/>
  <c r="Q44" i="14"/>
  <c r="AM28" i="14"/>
  <c r="AM38" i="14"/>
  <c r="AM46" i="14"/>
  <c r="AM47" i="14"/>
  <c r="AM39" i="14"/>
  <c r="AM33" i="14"/>
  <c r="AM34" i="14"/>
  <c r="AM35" i="14"/>
  <c r="AM45" i="14"/>
  <c r="AM43" i="14"/>
  <c r="AM36" i="14"/>
  <c r="AM40" i="14"/>
  <c r="AM42" i="14"/>
  <c r="AM44" i="14"/>
  <c r="AM37" i="14"/>
  <c r="AM31" i="14"/>
  <c r="AM41" i="14"/>
  <c r="AM32" i="14"/>
  <c r="AM48" i="14"/>
  <c r="N31" i="14"/>
  <c r="N28" i="14"/>
  <c r="AN31" i="10"/>
  <c r="AN40" i="10"/>
  <c r="AN28" i="10"/>
  <c r="AN43" i="10"/>
  <c r="AN35" i="10"/>
  <c r="AN37" i="10"/>
  <c r="AN36" i="10"/>
  <c r="AN30" i="10"/>
  <c r="AN46" i="10"/>
  <c r="AN33" i="10"/>
  <c r="Z41" i="10"/>
  <c r="AN32" i="10"/>
  <c r="AN41" i="10"/>
  <c r="AC29" i="14"/>
  <c r="Q30" i="14"/>
  <c r="AH29" i="14"/>
  <c r="W29" i="14"/>
  <c r="S42" i="14"/>
  <c r="S32" i="14"/>
  <c r="AL37" i="10"/>
  <c r="AL28" i="10"/>
  <c r="AL31" i="10"/>
  <c r="AL38" i="10"/>
  <c r="AL36" i="10"/>
  <c r="AL33" i="10"/>
  <c r="AL44" i="10"/>
  <c r="AL39" i="10"/>
  <c r="AL35" i="10"/>
  <c r="AL41" i="10"/>
  <c r="AC38" i="10"/>
  <c r="AC28" i="10"/>
  <c r="AC44" i="10"/>
  <c r="AC34" i="10"/>
  <c r="AC47" i="10"/>
  <c r="AC43" i="10"/>
  <c r="AC41" i="10"/>
  <c r="AC48" i="10"/>
  <c r="AC33" i="10"/>
  <c r="AC30" i="10"/>
  <c r="AC37" i="10"/>
  <c r="AC32" i="10"/>
  <c r="AC39" i="10"/>
  <c r="AC46" i="10"/>
  <c r="AC42" i="10"/>
  <c r="AC35" i="10"/>
  <c r="AC45" i="10"/>
  <c r="AC36" i="10"/>
  <c r="AC31" i="10"/>
  <c r="AC40" i="10"/>
  <c r="G28" i="10"/>
  <c r="G32" i="10"/>
  <c r="G40" i="10"/>
  <c r="G41" i="10"/>
  <c r="G43" i="10"/>
  <c r="G36" i="10"/>
  <c r="G38" i="10"/>
  <c r="G35" i="10"/>
  <c r="G34" i="10"/>
  <c r="G42" i="10"/>
  <c r="G30" i="10"/>
  <c r="R38" i="10"/>
  <c r="R39" i="10"/>
  <c r="R40" i="10"/>
  <c r="R47" i="10"/>
  <c r="R37" i="10"/>
  <c r="R48" i="10"/>
  <c r="R41" i="10"/>
  <c r="R31" i="10"/>
  <c r="R34" i="10"/>
  <c r="R28" i="10"/>
  <c r="R46" i="10"/>
  <c r="AF28" i="10"/>
  <c r="AF30" i="10"/>
  <c r="L28" i="14"/>
  <c r="L35" i="14"/>
  <c r="L32" i="14"/>
  <c r="L40" i="14"/>
  <c r="L43" i="14"/>
  <c r="L37" i="14"/>
  <c r="L38" i="14"/>
  <c r="Z33" i="14"/>
  <c r="Z41" i="14"/>
  <c r="Z46" i="14"/>
  <c r="Z28" i="14"/>
  <c r="Z39" i="14"/>
  <c r="Z40" i="14"/>
  <c r="Z35" i="14"/>
  <c r="Z36" i="14"/>
  <c r="Z47" i="14"/>
  <c r="Z48" i="14"/>
  <c r="Z44" i="14"/>
  <c r="Z37" i="14"/>
  <c r="Z34" i="14"/>
  <c r="Z38" i="14"/>
  <c r="Z45" i="14"/>
  <c r="Z43" i="14"/>
  <c r="Z42" i="14"/>
  <c r="I44" i="14"/>
  <c r="I28" i="14"/>
  <c r="I47" i="14"/>
  <c r="I32" i="14"/>
  <c r="I37" i="14"/>
  <c r="I42" i="14"/>
  <c r="I43" i="14"/>
  <c r="I40" i="14"/>
  <c r="I34" i="14"/>
  <c r="I35" i="14"/>
  <c r="I41" i="14"/>
  <c r="I48" i="14"/>
  <c r="I36" i="14"/>
  <c r="I38" i="14"/>
  <c r="I39" i="14"/>
  <c r="AE28" i="14"/>
  <c r="AE48" i="14"/>
  <c r="AE32" i="14"/>
  <c r="AE47" i="14"/>
  <c r="AE39" i="14"/>
  <c r="AE38" i="14"/>
  <c r="AE34" i="14"/>
  <c r="AE46" i="14"/>
  <c r="AE45" i="14"/>
  <c r="AE43" i="14"/>
  <c r="AE31" i="14"/>
  <c r="AE36" i="14"/>
  <c r="AE37" i="14"/>
  <c r="AE40" i="14"/>
  <c r="AE44" i="14"/>
  <c r="AE35" i="14"/>
  <c r="AE42" i="14"/>
  <c r="AE33" i="14"/>
  <c r="F28" i="14"/>
  <c r="F30" i="14"/>
  <c r="AB28" i="14"/>
  <c r="AB48" i="14"/>
  <c r="AB46" i="14"/>
  <c r="AF42" i="14"/>
  <c r="AF36" i="14"/>
  <c r="AF39" i="14"/>
  <c r="AF28" i="14"/>
  <c r="AF34" i="14"/>
  <c r="AF38" i="14"/>
  <c r="G28" i="14"/>
  <c r="G44" i="14"/>
  <c r="G40" i="14"/>
  <c r="G45" i="14"/>
  <c r="G41" i="14"/>
  <c r="G37" i="14"/>
  <c r="G31" i="14"/>
  <c r="G48" i="14"/>
  <c r="G32" i="14"/>
  <c r="G47" i="14"/>
  <c r="G34" i="14"/>
  <c r="G38" i="14"/>
  <c r="G42" i="14"/>
  <c r="G36" i="14"/>
  <c r="G46" i="14"/>
  <c r="G43" i="14"/>
  <c r="G33" i="14"/>
  <c r="G39" i="14"/>
  <c r="U35" i="14"/>
  <c r="U45" i="14"/>
  <c r="U34" i="14"/>
  <c r="U42" i="14"/>
  <c r="U41" i="14"/>
  <c r="U40" i="14"/>
  <c r="U33" i="14"/>
  <c r="U31" i="14"/>
  <c r="U37" i="14"/>
  <c r="U32" i="14"/>
  <c r="U38" i="14"/>
  <c r="U28" i="14"/>
  <c r="U39" i="14"/>
  <c r="U47" i="14"/>
  <c r="N28" i="10"/>
  <c r="N32" i="10"/>
  <c r="N41" i="10"/>
  <c r="N43" i="10"/>
  <c r="N33" i="10"/>
  <c r="N35" i="10"/>
  <c r="N37" i="10"/>
  <c r="N48" i="10"/>
  <c r="N44" i="10"/>
  <c r="N46" i="10"/>
  <c r="N38" i="10"/>
  <c r="N47" i="10"/>
  <c r="N39" i="10"/>
  <c r="N36" i="10"/>
  <c r="N42" i="10"/>
  <c r="N40" i="10"/>
  <c r="N31" i="10"/>
  <c r="N34" i="10"/>
  <c r="AG48" i="10"/>
  <c r="AG32" i="10"/>
  <c r="AG34" i="10"/>
  <c r="AG28" i="10"/>
  <c r="AG40" i="10"/>
  <c r="AG47" i="10"/>
  <c r="AG36" i="10"/>
  <c r="AG44" i="10"/>
  <c r="AG39" i="10"/>
  <c r="AG41" i="10"/>
  <c r="AG43" i="10"/>
  <c r="AG38" i="10"/>
  <c r="AG30" i="10"/>
  <c r="AG35" i="10"/>
  <c r="AG46" i="10"/>
  <c r="AG33" i="10"/>
  <c r="AG42" i="10"/>
  <c r="AG37" i="10"/>
  <c r="AG45" i="10"/>
  <c r="K36" i="10"/>
  <c r="K28" i="10"/>
  <c r="K31" i="10"/>
  <c r="K32" i="10"/>
  <c r="K39" i="10"/>
  <c r="K35" i="10"/>
  <c r="K45" i="10"/>
  <c r="K30" i="10"/>
  <c r="K37" i="10"/>
  <c r="K34" i="10"/>
  <c r="K47" i="10"/>
  <c r="K44" i="10"/>
  <c r="K46" i="10"/>
  <c r="K41" i="10"/>
  <c r="K43" i="10"/>
  <c r="K38" i="10"/>
  <c r="K40" i="10"/>
  <c r="K33" i="10"/>
  <c r="K48" i="10"/>
  <c r="K42" i="10"/>
  <c r="Y30" i="10"/>
  <c r="Y33" i="10"/>
  <c r="Y44" i="10"/>
  <c r="Y45" i="10"/>
  <c r="Y36" i="10"/>
  <c r="Y42" i="10"/>
  <c r="Y39" i="10"/>
  <c r="Y41" i="10"/>
  <c r="Y46" i="10"/>
  <c r="Y35" i="10"/>
  <c r="Y43" i="10"/>
  <c r="Y48" i="10"/>
  <c r="Y37" i="10"/>
  <c r="Y31" i="10"/>
  <c r="Y40" i="10"/>
  <c r="Y47" i="10"/>
  <c r="Y28" i="10"/>
  <c r="K40" i="14"/>
  <c r="K39" i="14"/>
  <c r="K45" i="14"/>
  <c r="K37" i="14"/>
  <c r="K43" i="14"/>
  <c r="K32" i="14"/>
  <c r="K31" i="14"/>
  <c r="K41" i="14"/>
  <c r="K28" i="14"/>
  <c r="K38" i="14"/>
  <c r="K35" i="14"/>
  <c r="AO28" i="14"/>
  <c r="AO32" i="14"/>
  <c r="AO42" i="14"/>
  <c r="AO37" i="14"/>
  <c r="AO44" i="14"/>
  <c r="AO43" i="14"/>
  <c r="AO40" i="14"/>
  <c r="AO34" i="14"/>
  <c r="AO35" i="14"/>
  <c r="AO48" i="14"/>
  <c r="AO36" i="14"/>
  <c r="AO46" i="14"/>
  <c r="AO38" i="14"/>
  <c r="AO47" i="14"/>
  <c r="AO45" i="14"/>
  <c r="AO41" i="14"/>
  <c r="AO30" i="14"/>
  <c r="X28" i="14"/>
  <c r="X41" i="14"/>
  <c r="X48" i="14"/>
  <c r="X31" i="14"/>
  <c r="X39" i="14"/>
  <c r="X32" i="14"/>
  <c r="X38" i="14"/>
  <c r="X46" i="14"/>
  <c r="X33" i="14"/>
  <c r="X30" i="14"/>
  <c r="X40" i="14"/>
  <c r="X45" i="14"/>
  <c r="X35" i="14"/>
  <c r="X44" i="14"/>
  <c r="X42" i="14"/>
  <c r="X37" i="14"/>
  <c r="X43" i="14"/>
  <c r="X47" i="14"/>
  <c r="AL28" i="14"/>
  <c r="AL47" i="14"/>
  <c r="AL34" i="14"/>
  <c r="AL41" i="14"/>
  <c r="AL35" i="14"/>
  <c r="AL46" i="14"/>
  <c r="AL36" i="14"/>
  <c r="AL37" i="14"/>
  <c r="AL45" i="14"/>
  <c r="AL44" i="14"/>
  <c r="AL40" i="14"/>
  <c r="AL42" i="14"/>
  <c r="AL32" i="14"/>
  <c r="AL39" i="14"/>
  <c r="AL38" i="14"/>
  <c r="AL48" i="14"/>
  <c r="AL43" i="14"/>
  <c r="M47" i="14"/>
  <c r="M48" i="14"/>
  <c r="M31" i="14"/>
  <c r="M41" i="14"/>
  <c r="M45" i="14"/>
  <c r="M34" i="14"/>
  <c r="M40" i="14"/>
  <c r="M38" i="14"/>
  <c r="M43" i="14"/>
  <c r="M28" i="14"/>
  <c r="M42" i="14"/>
  <c r="AJ29" i="14"/>
  <c r="J29" i="14"/>
  <c r="AN29" i="14"/>
  <c r="S32" i="10"/>
  <c r="S28" i="10"/>
  <c r="S34" i="10"/>
  <c r="S40" i="10"/>
  <c r="S47" i="10"/>
  <c r="S48" i="10"/>
  <c r="S38" i="10"/>
  <c r="S30" i="10"/>
  <c r="S33" i="10"/>
  <c r="S37" i="10"/>
  <c r="S31" i="10"/>
  <c r="S42" i="10"/>
  <c r="S36" i="10"/>
  <c r="S44" i="10"/>
  <c r="S46" i="10"/>
  <c r="S45" i="10"/>
  <c r="S41" i="10"/>
  <c r="S35" i="10"/>
  <c r="S39" i="10"/>
  <c r="S43" i="10"/>
  <c r="H46" i="10"/>
  <c r="H28" i="10"/>
  <c r="H45" i="10"/>
  <c r="H30" i="10"/>
  <c r="H40" i="10"/>
  <c r="H37" i="10"/>
  <c r="AN38" i="10"/>
  <c r="AN47" i="10"/>
  <c r="H42" i="10"/>
  <c r="AN44" i="10"/>
  <c r="H32" i="10"/>
  <c r="AB32" i="14"/>
  <c r="AM29" i="14"/>
  <c r="S44" i="14"/>
  <c r="AB28" i="10"/>
  <c r="AB43" i="10"/>
  <c r="AB41" i="10"/>
  <c r="AB37" i="10"/>
  <c r="AB33" i="10"/>
  <c r="AB34" i="10"/>
  <c r="AB44" i="10"/>
  <c r="AB36" i="10"/>
  <c r="AL30" i="10"/>
  <c r="AL45" i="10"/>
  <c r="AB38" i="10"/>
  <c r="AL32" i="10"/>
  <c r="C4" i="10"/>
  <c r="C28" i="10" s="1"/>
  <c r="N36" i="14"/>
  <c r="AB44" i="14"/>
  <c r="AB29" i="14"/>
  <c r="AB37" i="14"/>
  <c r="AM30" i="14"/>
  <c r="AB43" i="14"/>
  <c r="AB31" i="14"/>
  <c r="AI29" i="14"/>
  <c r="AE36" i="10"/>
  <c r="AE28" i="10"/>
  <c r="AE46" i="10"/>
  <c r="AE38" i="10"/>
  <c r="AE44" i="10"/>
  <c r="AE37" i="10"/>
  <c r="AE39" i="10"/>
  <c r="AE43" i="10"/>
  <c r="AE48" i="10"/>
  <c r="AE35" i="10"/>
  <c r="AE41" i="10"/>
  <c r="AE40" i="10"/>
  <c r="AE30" i="10"/>
  <c r="AE34" i="10"/>
  <c r="AE47" i="10"/>
  <c r="AE31" i="10"/>
  <c r="AE45" i="10"/>
  <c r="AE42" i="10"/>
  <c r="AE33" i="10"/>
  <c r="AE32" i="10"/>
  <c r="T33" i="10"/>
  <c r="T42" i="10"/>
  <c r="T41" i="10"/>
  <c r="T28" i="10"/>
  <c r="T34" i="10"/>
  <c r="T39" i="10"/>
  <c r="T44" i="10"/>
  <c r="T35" i="10"/>
  <c r="T32" i="10"/>
  <c r="T31" i="10"/>
  <c r="T46" i="10"/>
  <c r="T48" i="10"/>
  <c r="T45" i="10"/>
  <c r="T47" i="10"/>
  <c r="T37" i="10"/>
  <c r="T38" i="10"/>
  <c r="T40" i="10"/>
  <c r="T36" i="10"/>
  <c r="T43" i="10"/>
  <c r="AP28" i="10"/>
  <c r="AP34" i="10"/>
  <c r="AP31" i="10"/>
  <c r="AP33" i="10"/>
  <c r="AP38" i="10"/>
  <c r="Q35" i="10"/>
  <c r="Q40" i="10"/>
  <c r="Q36" i="10"/>
  <c r="Q38" i="10"/>
  <c r="Q34" i="10"/>
  <c r="Q37" i="10"/>
  <c r="Q43" i="10"/>
  <c r="Q44" i="10"/>
  <c r="Q28" i="10"/>
  <c r="T28" i="14"/>
  <c r="T47" i="14"/>
  <c r="T46" i="14"/>
  <c r="T35" i="14"/>
  <c r="T37" i="14"/>
  <c r="T44" i="14"/>
  <c r="T40" i="14"/>
  <c r="T32" i="14"/>
  <c r="T43" i="14"/>
  <c r="T38" i="14"/>
  <c r="T48" i="14"/>
  <c r="T36" i="14"/>
  <c r="T42" i="14"/>
  <c r="T34" i="14"/>
  <c r="T39" i="14"/>
  <c r="T45" i="14"/>
  <c r="AG35" i="14"/>
  <c r="AG38" i="14"/>
  <c r="AG39" i="14"/>
  <c r="AG31" i="14"/>
  <c r="AG36" i="14"/>
  <c r="AG33" i="14"/>
  <c r="AG37" i="14"/>
  <c r="AG28" i="14"/>
  <c r="P28" i="14"/>
  <c r="P30" i="14"/>
  <c r="P42" i="14"/>
  <c r="P43" i="14"/>
  <c r="P37" i="14"/>
  <c r="P41" i="14"/>
  <c r="P40" i="14"/>
  <c r="P39" i="14"/>
  <c r="P47" i="14"/>
  <c r="P33" i="14"/>
  <c r="P34" i="14"/>
  <c r="P46" i="14"/>
  <c r="P32" i="14"/>
  <c r="P31" i="14"/>
  <c r="P36" i="14"/>
  <c r="P45" i="14"/>
  <c r="P44" i="14"/>
  <c r="P38" i="14"/>
  <c r="P35" i="14"/>
  <c r="P48" i="14"/>
  <c r="AD28" i="14"/>
  <c r="AD42" i="14"/>
  <c r="D4" i="14"/>
  <c r="D31" i="14" s="1"/>
  <c r="AD44" i="14"/>
  <c r="AJ47" i="10"/>
  <c r="AJ28" i="10"/>
  <c r="AJ31" i="10"/>
  <c r="AJ48" i="10"/>
  <c r="AJ32" i="10"/>
  <c r="AJ46" i="10"/>
  <c r="AJ34" i="10"/>
  <c r="AJ36" i="10"/>
  <c r="AJ39" i="10"/>
  <c r="AJ42" i="10"/>
  <c r="AJ38" i="10"/>
  <c r="AJ40" i="10"/>
  <c r="AJ44" i="10"/>
  <c r="AJ35" i="10"/>
  <c r="AJ37" i="10"/>
  <c r="AJ45" i="10"/>
  <c r="S37" i="14"/>
  <c r="S33" i="14"/>
  <c r="S48" i="14"/>
  <c r="S47" i="14"/>
  <c r="S43" i="14"/>
  <c r="S39" i="14"/>
  <c r="S35" i="14"/>
  <c r="S46" i="14"/>
  <c r="S41" i="14"/>
  <c r="S28" i="14"/>
  <c r="S38" i="14"/>
  <c r="S30" i="14"/>
  <c r="S45" i="14"/>
  <c r="H31" i="10"/>
  <c r="Z30" i="10"/>
  <c r="H39" i="10"/>
  <c r="O29" i="14"/>
  <c r="F28" i="10"/>
  <c r="F36" i="10"/>
  <c r="F35" i="10"/>
  <c r="F39" i="10"/>
  <c r="F31" i="10"/>
  <c r="F37" i="10"/>
  <c r="F33" i="10"/>
  <c r="F43" i="10"/>
  <c r="F41" i="10"/>
  <c r="F38" i="10"/>
  <c r="Z40" i="10"/>
  <c r="AB30" i="10"/>
  <c r="Y32" i="10"/>
  <c r="AN45" i="10"/>
  <c r="Z44" i="10"/>
  <c r="AN48" i="10"/>
  <c r="H44" i="10"/>
  <c r="G48" i="10"/>
  <c r="AL48" i="10"/>
  <c r="AN34" i="10"/>
  <c r="AB35" i="10"/>
  <c r="N30" i="10"/>
  <c r="Z46" i="10"/>
  <c r="G31" i="10"/>
  <c r="AJ30" i="10"/>
  <c r="N34" i="14"/>
  <c r="N48" i="14"/>
  <c r="AB30" i="14"/>
  <c r="N41" i="14"/>
  <c r="N38" i="14"/>
  <c r="AB40" i="14"/>
  <c r="AB35" i="14"/>
  <c r="K47" i="14"/>
  <c r="K42" i="14"/>
  <c r="O28" i="10"/>
  <c r="O36" i="10"/>
  <c r="O31" i="10"/>
  <c r="O46" i="10"/>
  <c r="O41" i="10"/>
  <c r="O48" i="10"/>
  <c r="O44" i="10"/>
  <c r="O37" i="10"/>
  <c r="O39" i="10"/>
  <c r="O40" i="10"/>
  <c r="O42" i="10"/>
  <c r="O38" i="10"/>
  <c r="O32" i="10"/>
  <c r="O47" i="10"/>
  <c r="O33" i="10"/>
  <c r="O30" i="10"/>
  <c r="O34" i="10"/>
  <c r="O45" i="10"/>
  <c r="O35" i="10"/>
  <c r="O43" i="10"/>
  <c r="L28" i="10"/>
  <c r="L36" i="10"/>
  <c r="L47" i="10"/>
  <c r="L39" i="10"/>
  <c r="L38" i="10"/>
  <c r="L40" i="10"/>
  <c r="L33" i="10"/>
  <c r="L34" i="10"/>
  <c r="L35" i="10"/>
  <c r="L41" i="10"/>
  <c r="L32" i="10"/>
  <c r="L48" i="10"/>
  <c r="L45" i="10"/>
  <c r="L44" i="10"/>
  <c r="L42" i="10"/>
  <c r="L31" i="10"/>
  <c r="L43" i="10"/>
  <c r="L37" i="10"/>
  <c r="L46" i="10"/>
  <c r="AH40" i="10"/>
  <c r="AH28" i="10"/>
  <c r="AH46" i="10"/>
  <c r="AH42" i="10"/>
  <c r="AH38" i="10"/>
  <c r="AH48" i="10"/>
  <c r="AH47" i="10"/>
  <c r="I37" i="10"/>
  <c r="I28" i="10"/>
  <c r="I38" i="10"/>
  <c r="I34" i="10"/>
  <c r="I44" i="10"/>
  <c r="I35" i="10"/>
  <c r="I47" i="10"/>
  <c r="I46" i="10"/>
  <c r="I42" i="10"/>
  <c r="I40" i="10"/>
  <c r="I45" i="10"/>
  <c r="I36" i="10"/>
  <c r="I30" i="10"/>
  <c r="I48" i="10"/>
  <c r="I32" i="10"/>
  <c r="I41" i="10"/>
  <c r="I33" i="10"/>
  <c r="I43" i="10"/>
  <c r="I39" i="10"/>
  <c r="AP36" i="14"/>
  <c r="AP28" i="14"/>
  <c r="AP38" i="14"/>
  <c r="AP43" i="14"/>
  <c r="Y28" i="14"/>
  <c r="Y36" i="14"/>
  <c r="Y42" i="14"/>
  <c r="Y35" i="14"/>
  <c r="Y31" i="14"/>
  <c r="Y43" i="14"/>
  <c r="Y39" i="14"/>
  <c r="Y40" i="14"/>
  <c r="Y34" i="14"/>
  <c r="Y48" i="14"/>
  <c r="Y38" i="14"/>
  <c r="Y44" i="14"/>
  <c r="Y33" i="14"/>
  <c r="Y41" i="14"/>
  <c r="Y45" i="14"/>
  <c r="Y47" i="14"/>
  <c r="Y37" i="14"/>
  <c r="Y46" i="14"/>
  <c r="H46" i="14"/>
  <c r="H42" i="14"/>
  <c r="H28" i="14"/>
  <c r="H44" i="14"/>
  <c r="V36" i="14"/>
  <c r="V42" i="14"/>
  <c r="V28" i="14"/>
  <c r="V34" i="14"/>
  <c r="V40" i="14"/>
  <c r="C5" i="14"/>
  <c r="F29" i="14"/>
  <c r="AV5" i="14"/>
  <c r="AD29" i="14"/>
  <c r="D5" i="14"/>
  <c r="C31" i="12"/>
  <c r="C36" i="12"/>
  <c r="AV30" i="12"/>
  <c r="AV42" i="12"/>
  <c r="AV45" i="12"/>
  <c r="AV36" i="12"/>
  <c r="C44" i="12"/>
  <c r="D32" i="12"/>
  <c r="D5" i="12"/>
  <c r="D29" i="12" s="1"/>
  <c r="D46" i="12"/>
  <c r="R29" i="12"/>
  <c r="C5" i="12"/>
  <c r="C29" i="12" s="1"/>
  <c r="C38" i="12"/>
  <c r="AV39" i="12"/>
  <c r="AV31" i="12"/>
  <c r="C39" i="12"/>
  <c r="D44" i="12"/>
  <c r="D40" i="12"/>
  <c r="D45" i="12"/>
  <c r="C34" i="12"/>
  <c r="AV40" i="12"/>
  <c r="AV33" i="12"/>
  <c r="D30" i="12"/>
  <c r="D41" i="12"/>
  <c r="C32" i="12"/>
  <c r="C46" i="12"/>
  <c r="C37" i="12"/>
  <c r="AV43" i="12"/>
  <c r="AV34" i="12"/>
  <c r="D38" i="12"/>
  <c r="D37" i="12"/>
  <c r="C33" i="12"/>
  <c r="C47" i="12"/>
  <c r="C43" i="12"/>
  <c r="D33" i="12"/>
  <c r="D42" i="12"/>
  <c r="C48" i="12"/>
  <c r="D35" i="12"/>
  <c r="D43" i="12"/>
  <c r="AV38" i="12"/>
  <c r="AV35" i="12"/>
  <c r="C41" i="12"/>
  <c r="C45" i="12"/>
  <c r="D31" i="12"/>
  <c r="D34" i="12"/>
  <c r="D47" i="12"/>
  <c r="C35" i="12"/>
  <c r="F29" i="12"/>
  <c r="AV5" i="12"/>
  <c r="AV29" i="12" s="1"/>
  <c r="AV46" i="12"/>
  <c r="C42" i="12"/>
  <c r="D36" i="12"/>
  <c r="D48" i="12"/>
  <c r="C30" i="12"/>
  <c r="R4" i="8"/>
  <c r="C2" i="8"/>
  <c r="C3" i="8" s="1"/>
  <c r="C26" i="8" s="1"/>
  <c r="D2" i="8"/>
  <c r="D3" i="8" s="1"/>
  <c r="D26" i="8" s="1"/>
  <c r="M4" i="8"/>
  <c r="AA4" i="8"/>
  <c r="U4" i="8"/>
  <c r="F4" i="8"/>
  <c r="K4" i="8"/>
  <c r="AK4" i="8"/>
  <c r="J4" i="8"/>
  <c r="Z4" i="8"/>
  <c r="AH4" i="8"/>
  <c r="AP4" i="8"/>
  <c r="L4" i="8"/>
  <c r="T4" i="8"/>
  <c r="AB4" i="8"/>
  <c r="AJ4" i="8"/>
  <c r="N4" i="8"/>
  <c r="V4" i="8"/>
  <c r="AD4" i="8"/>
  <c r="AL4" i="8"/>
  <c r="G4" i="8"/>
  <c r="O4" i="8"/>
  <c r="W4" i="8"/>
  <c r="AE4" i="8"/>
  <c r="AM4" i="8"/>
  <c r="H4" i="8"/>
  <c r="P4" i="8"/>
  <c r="X4" i="8"/>
  <c r="AF4" i="8"/>
  <c r="AN4" i="8"/>
  <c r="I4" i="8"/>
  <c r="Q4" i="8"/>
  <c r="Y4" i="8"/>
  <c r="AG4" i="8"/>
  <c r="AO4" i="8"/>
  <c r="AC4" i="8"/>
  <c r="S4" i="8"/>
  <c r="AS37" i="10" l="1"/>
  <c r="AR47" i="10"/>
  <c r="AS35" i="10"/>
  <c r="AR38" i="10"/>
  <c r="AR39" i="14"/>
  <c r="AT32" i="14"/>
  <c r="AR42" i="14"/>
  <c r="AR31" i="14"/>
  <c r="AR37" i="10"/>
  <c r="AR38" i="14"/>
  <c r="AR34" i="14"/>
  <c r="AR35" i="14"/>
  <c r="AR33" i="14"/>
  <c r="AR44" i="14"/>
  <c r="AR46" i="14"/>
  <c r="AR30" i="14"/>
  <c r="AS37" i="14"/>
  <c r="AS31" i="14"/>
  <c r="AS32" i="14"/>
  <c r="AT36" i="10"/>
  <c r="AS47" i="14"/>
  <c r="AS33" i="14"/>
  <c r="AS44" i="14"/>
  <c r="AS43" i="14"/>
  <c r="AS34" i="14"/>
  <c r="AS35" i="14"/>
  <c r="AS41" i="14"/>
  <c r="AS36" i="14"/>
  <c r="AR48" i="14"/>
  <c r="AR43" i="14"/>
  <c r="AR36" i="14"/>
  <c r="AR40" i="14"/>
  <c r="AS42" i="14"/>
  <c r="AS46" i="14"/>
  <c r="AR45" i="14"/>
  <c r="AS38" i="14"/>
  <c r="AS30" i="14"/>
  <c r="AS45" i="14"/>
  <c r="AS48" i="14"/>
  <c r="AR41" i="14"/>
  <c r="AS39" i="14"/>
  <c r="AS28" i="14"/>
  <c r="AR32" i="14"/>
  <c r="AR37" i="14"/>
  <c r="AR28" i="14"/>
  <c r="AT46" i="14"/>
  <c r="AT5" i="10"/>
  <c r="AT29" i="10" s="1"/>
  <c r="AR39" i="10"/>
  <c r="AR30" i="10"/>
  <c r="AR31" i="10"/>
  <c r="AR44" i="10"/>
  <c r="AR35" i="10"/>
  <c r="AR36" i="10"/>
  <c r="AR48" i="10"/>
  <c r="AR41" i="10"/>
  <c r="AR42" i="10"/>
  <c r="AR33" i="10"/>
  <c r="AR32" i="10"/>
  <c r="AR34" i="10"/>
  <c r="AR46" i="10"/>
  <c r="AR45" i="10"/>
  <c r="AT45" i="10"/>
  <c r="AT37" i="14"/>
  <c r="AT28" i="14"/>
  <c r="AT45" i="14"/>
  <c r="AT41" i="14"/>
  <c r="AT34" i="14"/>
  <c r="AT38" i="14"/>
  <c r="AT47" i="14"/>
  <c r="AT40" i="14"/>
  <c r="AT42" i="14"/>
  <c r="AS40" i="10"/>
  <c r="AT35" i="14"/>
  <c r="AT38" i="10"/>
  <c r="AS32" i="10"/>
  <c r="AS39" i="10"/>
  <c r="AS36" i="10"/>
  <c r="AT48" i="14"/>
  <c r="AS47" i="10"/>
  <c r="AS38" i="10"/>
  <c r="AS46" i="10"/>
  <c r="AS42" i="10"/>
  <c r="AS44" i="10"/>
  <c r="AS41" i="10"/>
  <c r="AT36" i="14"/>
  <c r="AT43" i="14"/>
  <c r="AT31" i="14"/>
  <c r="AS45" i="10"/>
  <c r="AV44" i="10"/>
  <c r="AT39" i="14"/>
  <c r="AS30" i="10"/>
  <c r="AS43" i="10"/>
  <c r="AS31" i="10"/>
  <c r="AT44" i="14"/>
  <c r="AT30" i="14"/>
  <c r="AS48" i="10"/>
  <c r="AT46" i="10"/>
  <c r="AT41" i="10"/>
  <c r="AT40" i="10"/>
  <c r="AT31" i="10"/>
  <c r="AT34" i="10"/>
  <c r="AT37" i="10"/>
  <c r="AT39" i="10"/>
  <c r="AT33" i="10"/>
  <c r="AT30" i="10"/>
  <c r="AT48" i="10"/>
  <c r="AT43" i="10"/>
  <c r="AT35" i="10"/>
  <c r="AT32" i="10"/>
  <c r="AT44" i="10"/>
  <c r="AT28" i="10"/>
  <c r="AS33" i="10"/>
  <c r="AS34" i="10"/>
  <c r="AT42" i="10"/>
  <c r="AV39" i="10"/>
  <c r="AT47" i="10"/>
  <c r="AR5" i="10"/>
  <c r="AR29" i="10" s="1"/>
  <c r="AR43" i="10"/>
  <c r="AR40" i="10"/>
  <c r="AS5" i="10"/>
  <c r="AS29" i="10" s="1"/>
  <c r="C29" i="14"/>
  <c r="C30" i="14"/>
  <c r="C37" i="14"/>
  <c r="C38" i="14"/>
  <c r="C47" i="14"/>
  <c r="C34" i="14"/>
  <c r="C36" i="14"/>
  <c r="C41" i="14"/>
  <c r="C45" i="14"/>
  <c r="C31" i="14"/>
  <c r="C33" i="14"/>
  <c r="C43" i="14"/>
  <c r="C48" i="14"/>
  <c r="C35" i="14"/>
  <c r="C46" i="14"/>
  <c r="C40" i="14"/>
  <c r="AV42" i="14"/>
  <c r="C44" i="14"/>
  <c r="C32" i="14"/>
  <c r="C39" i="14"/>
  <c r="C42" i="14"/>
  <c r="AV38" i="10"/>
  <c r="AV41" i="10"/>
  <c r="D5" i="10"/>
  <c r="D29" i="10" s="1"/>
  <c r="D32" i="10"/>
  <c r="AC29" i="10"/>
  <c r="AV5" i="10"/>
  <c r="AV29" i="10" s="1"/>
  <c r="C5" i="10"/>
  <c r="C29" i="10" s="1"/>
  <c r="AV34" i="10"/>
  <c r="AV36" i="10"/>
  <c r="AV45" i="10"/>
  <c r="AV46" i="10"/>
  <c r="AV33" i="10"/>
  <c r="AV37" i="10"/>
  <c r="AV30" i="10"/>
  <c r="AV42" i="10"/>
  <c r="AV40" i="10"/>
  <c r="AV35" i="10"/>
  <c r="AV32" i="10"/>
  <c r="AV31" i="10"/>
  <c r="AV47" i="10"/>
  <c r="D29" i="14"/>
  <c r="D44" i="10"/>
  <c r="C36" i="10"/>
  <c r="C48" i="10"/>
  <c r="D36" i="10"/>
  <c r="C45" i="10"/>
  <c r="D33" i="10"/>
  <c r="D40" i="10"/>
  <c r="D39" i="10"/>
  <c r="D35" i="10"/>
  <c r="C38" i="10"/>
  <c r="D30" i="10"/>
  <c r="C33" i="10"/>
  <c r="D45" i="10"/>
  <c r="D47" i="10"/>
  <c r="D46" i="10"/>
  <c r="D48" i="10"/>
  <c r="C44" i="10"/>
  <c r="AV48" i="10"/>
  <c r="D38" i="10"/>
  <c r="C35" i="10"/>
  <c r="D43" i="10"/>
  <c r="AV43" i="10"/>
  <c r="D41" i="10"/>
  <c r="D31" i="10"/>
  <c r="C31" i="10"/>
  <c r="D37" i="10"/>
  <c r="D34" i="10"/>
  <c r="D42" i="10"/>
  <c r="C47" i="10"/>
  <c r="C43" i="10"/>
  <c r="AV45" i="14"/>
  <c r="AV46" i="14"/>
  <c r="AV40" i="14"/>
  <c r="C46" i="10"/>
  <c r="C39" i="10"/>
  <c r="AV31" i="14"/>
  <c r="AV35" i="14"/>
  <c r="AV33" i="14"/>
  <c r="AV48" i="14"/>
  <c r="AV32" i="14"/>
  <c r="AV47" i="14"/>
  <c r="AV44" i="14"/>
  <c r="C41" i="10"/>
  <c r="AV30" i="14"/>
  <c r="AV34" i="14"/>
  <c r="AV39" i="14"/>
  <c r="AV37" i="14"/>
  <c r="C32" i="10"/>
  <c r="C30" i="10"/>
  <c r="C34" i="10"/>
  <c r="AV43" i="14"/>
  <c r="AV36" i="14"/>
  <c r="C37" i="10"/>
  <c r="AV41" i="14"/>
  <c r="C40" i="10"/>
  <c r="AV29" i="14"/>
  <c r="AV38" i="14"/>
  <c r="D28" i="14"/>
  <c r="D33" i="14"/>
  <c r="D38" i="14"/>
  <c r="D48" i="14"/>
  <c r="D46" i="14"/>
  <c r="D35" i="14"/>
  <c r="D32" i="14"/>
  <c r="D47" i="14"/>
  <c r="D45" i="14"/>
  <c r="D40" i="14"/>
  <c r="C42" i="10"/>
  <c r="D36" i="14"/>
  <c r="D44" i="14"/>
  <c r="D30" i="14"/>
  <c r="D41" i="14"/>
  <c r="D39" i="14"/>
  <c r="D34" i="14"/>
  <c r="D43" i="14"/>
  <c r="D37" i="14"/>
  <c r="D42" i="14"/>
  <c r="C4" i="8"/>
  <c r="C28" i="8" s="1"/>
  <c r="D4" i="8"/>
  <c r="D28" i="8" s="1"/>
  <c r="DN4" i="7"/>
  <c r="CX4" i="7"/>
  <c r="AU48" i="8"/>
  <c r="AQ48" i="8"/>
  <c r="AU47" i="8"/>
  <c r="AQ47" i="8"/>
  <c r="AU46" i="8"/>
  <c r="AQ46" i="8"/>
  <c r="AQ45" i="8"/>
  <c r="AQ44" i="8"/>
  <c r="AQ43" i="8"/>
  <c r="AQ42" i="8"/>
  <c r="AQ41" i="8"/>
  <c r="AQ40" i="8"/>
  <c r="AQ39" i="8"/>
  <c r="AQ38" i="8"/>
  <c r="AQ37" i="8"/>
  <c r="AQ36" i="8"/>
  <c r="AQ35" i="8"/>
  <c r="AQ34" i="8"/>
  <c r="AQ33" i="8"/>
  <c r="AQ32" i="8"/>
  <c r="AQ31" i="8"/>
  <c r="AQ30" i="8"/>
  <c r="AP28" i="8"/>
  <c r="AO28" i="8"/>
  <c r="AN28" i="8"/>
  <c r="AM28" i="8"/>
  <c r="AL28" i="8"/>
  <c r="AK28" i="8"/>
  <c r="AJ28" i="8"/>
  <c r="AI28" i="8"/>
  <c r="AH28" i="8"/>
  <c r="AG28" i="8"/>
  <c r="AF28" i="8"/>
  <c r="AE28" i="8"/>
  <c r="AD28" i="8"/>
  <c r="AC28" i="8"/>
  <c r="AB28" i="8"/>
  <c r="AA28" i="8"/>
  <c r="Z28" i="8"/>
  <c r="Y28" i="8"/>
  <c r="X28" i="8"/>
  <c r="W28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AV26" i="8"/>
  <c r="AT26" i="8"/>
  <c r="AS26" i="8"/>
  <c r="AR26" i="8"/>
  <c r="AP26" i="8"/>
  <c r="AO26" i="8"/>
  <c r="AN26" i="8"/>
  <c r="AM26" i="8"/>
  <c r="AL26" i="8"/>
  <c r="AK26" i="8"/>
  <c r="AJ26" i="8"/>
  <c r="AI26" i="8"/>
  <c r="AH26" i="8"/>
  <c r="AG26" i="8"/>
  <c r="AF26" i="8"/>
  <c r="AE26" i="8"/>
  <c r="AD26" i="8"/>
  <c r="AC26" i="8"/>
  <c r="AB26" i="8"/>
  <c r="AA26" i="8"/>
  <c r="Z26" i="8"/>
  <c r="Y26" i="8"/>
  <c r="X26" i="8"/>
  <c r="W26" i="8"/>
  <c r="V26" i="8"/>
  <c r="U26" i="8"/>
  <c r="T26" i="8"/>
  <c r="S26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AV4" i="8"/>
  <c r="AV28" i="8" l="1"/>
  <c r="DF4" i="7"/>
  <c r="FB4" i="7"/>
  <c r="N4" i="7"/>
  <c r="G4" i="7"/>
  <c r="EL4" i="7"/>
  <c r="DV4" i="7"/>
  <c r="CH4" i="7"/>
  <c r="BR4" i="7"/>
  <c r="BJ4" i="7"/>
  <c r="AT4" i="7"/>
  <c r="V4" i="7"/>
  <c r="F4" i="7"/>
  <c r="FA4" i="7"/>
  <c r="ES4" i="7"/>
  <c r="EK4" i="7"/>
  <c r="EC4" i="7"/>
  <c r="DU4" i="7"/>
  <c r="DM4" i="7"/>
  <c r="DE4" i="7"/>
  <c r="CW4" i="7"/>
  <c r="CO4" i="7"/>
  <c r="CG4" i="7"/>
  <c r="BY4" i="7"/>
  <c r="BQ4" i="7"/>
  <c r="BI4" i="7"/>
  <c r="BA4" i="7"/>
  <c r="AS4" i="7"/>
  <c r="AK4" i="7"/>
  <c r="AC4" i="7"/>
  <c r="U4" i="7"/>
  <c r="M4" i="7"/>
  <c r="E4" i="7"/>
  <c r="ET4" i="7"/>
  <c r="ED4" i="7"/>
  <c r="CP4" i="7"/>
  <c r="BZ4" i="7"/>
  <c r="BB4" i="7"/>
  <c r="AL4" i="7"/>
  <c r="AD4" i="7"/>
  <c r="EZ4" i="7"/>
  <c r="ER4" i="7"/>
  <c r="EJ4" i="7"/>
  <c r="EB4" i="7"/>
  <c r="DT4" i="7"/>
  <c r="DL4" i="7"/>
  <c r="DD4" i="7"/>
  <c r="CV4" i="7"/>
  <c r="CN4" i="7"/>
  <c r="CF4" i="7"/>
  <c r="BX4" i="7"/>
  <c r="BP4" i="7"/>
  <c r="BH4" i="7"/>
  <c r="AZ4" i="7"/>
  <c r="AR4" i="7"/>
  <c r="AJ4" i="7"/>
  <c r="AB4" i="7"/>
  <c r="T4" i="7"/>
  <c r="L4" i="7"/>
  <c r="D4" i="7"/>
  <c r="EY4" i="7"/>
  <c r="EQ4" i="7"/>
  <c r="EI4" i="7"/>
  <c r="EA4" i="7"/>
  <c r="DS4" i="7"/>
  <c r="DK4" i="7"/>
  <c r="DC4" i="7"/>
  <c r="CU4" i="7"/>
  <c r="CM4" i="7"/>
  <c r="CE4" i="7"/>
  <c r="BW4" i="7"/>
  <c r="BO4" i="7"/>
  <c r="BG4" i="7"/>
  <c r="AY4" i="7"/>
  <c r="AQ4" i="7"/>
  <c r="AI4" i="7"/>
  <c r="AA4" i="7"/>
  <c r="S4" i="7"/>
  <c r="K4" i="7"/>
  <c r="C4" i="7"/>
  <c r="EX4" i="7"/>
  <c r="EP4" i="7"/>
  <c r="EH4" i="7"/>
  <c r="DZ4" i="7"/>
  <c r="DR4" i="7"/>
  <c r="DJ4" i="7"/>
  <c r="DB4" i="7"/>
  <c r="CT4" i="7"/>
  <c r="CL4" i="7"/>
  <c r="CD4" i="7"/>
  <c r="BV4" i="7"/>
  <c r="BN4" i="7"/>
  <c r="BF4" i="7"/>
  <c r="AX4" i="7"/>
  <c r="AP4" i="7"/>
  <c r="AH4" i="7"/>
  <c r="Z4" i="7"/>
  <c r="R4" i="7"/>
  <c r="J4" i="7"/>
  <c r="FE4" i="7"/>
  <c r="EW4" i="7"/>
  <c r="EO4" i="7"/>
  <c r="EG4" i="7"/>
  <c r="DY4" i="7"/>
  <c r="DQ4" i="7"/>
  <c r="DI4" i="7"/>
  <c r="DA4" i="7"/>
  <c r="CS4" i="7"/>
  <c r="CK4" i="7"/>
  <c r="CC4" i="7"/>
  <c r="BU4" i="7"/>
  <c r="BM4" i="7"/>
  <c r="BE4" i="7"/>
  <c r="AW4" i="7"/>
  <c r="AO4" i="7"/>
  <c r="AG4" i="7"/>
  <c r="Y4" i="7"/>
  <c r="Q4" i="7"/>
  <c r="I4" i="7"/>
  <c r="FD4" i="7"/>
  <c r="EV4" i="7"/>
  <c r="EN4" i="7"/>
  <c r="EF4" i="7"/>
  <c r="DX4" i="7"/>
  <c r="DP4" i="7"/>
  <c r="DH4" i="7"/>
  <c r="CZ4" i="7"/>
  <c r="CR4" i="7"/>
  <c r="CJ4" i="7"/>
  <c r="CB4" i="7"/>
  <c r="BT4" i="7"/>
  <c r="BL4" i="7"/>
  <c r="BD4" i="7"/>
  <c r="AV4" i="7"/>
  <c r="AN4" i="7"/>
  <c r="AF4" i="7"/>
  <c r="X4" i="7"/>
  <c r="P4" i="7"/>
  <c r="H4" i="7"/>
  <c r="FC4" i="7"/>
  <c r="EU4" i="7"/>
  <c r="EM4" i="7"/>
  <c r="EE4" i="7"/>
  <c r="DW4" i="7"/>
  <c r="DO4" i="7"/>
  <c r="DG4" i="7"/>
  <c r="CY4" i="7"/>
  <c r="CQ4" i="7"/>
  <c r="CI4" i="7"/>
  <c r="CA4" i="7"/>
  <c r="BS4" i="7"/>
  <c r="BK4" i="7"/>
  <c r="BC4" i="7"/>
  <c r="AU4" i="7"/>
  <c r="AM4" i="7"/>
  <c r="AE4" i="7"/>
  <c r="W4" i="7"/>
  <c r="O4" i="7"/>
  <c r="AR28" i="12" l="1"/>
  <c r="AS28" i="12"/>
  <c r="AT28" i="12"/>
  <c r="R7" i="8"/>
  <c r="R24" i="8"/>
  <c r="R18" i="8"/>
  <c r="R10" i="8"/>
  <c r="R16" i="8"/>
  <c r="R14" i="8"/>
  <c r="R8" i="8"/>
  <c r="R21" i="8"/>
  <c r="R22" i="8"/>
  <c r="R20" i="8"/>
  <c r="R13" i="8"/>
  <c r="R12" i="8"/>
  <c r="R6" i="8"/>
  <c r="R23" i="8"/>
  <c r="R19" i="8"/>
  <c r="R17" i="8"/>
  <c r="R15" i="8"/>
  <c r="R11" i="8"/>
  <c r="R9" i="8"/>
  <c r="AN16" i="8"/>
  <c r="AN40" i="8" s="1"/>
  <c r="Z11" i="8"/>
  <c r="Z35" i="8" s="1"/>
  <c r="AD19" i="8"/>
  <c r="AF21" i="8"/>
  <c r="F6" i="8"/>
  <c r="M14" i="8"/>
  <c r="Q10" i="8"/>
  <c r="N20" i="8"/>
  <c r="N44" i="8" s="1"/>
  <c r="W19" i="8"/>
  <c r="W43" i="8" s="1"/>
  <c r="I21" i="8"/>
  <c r="I45" i="8" s="1"/>
  <c r="N23" i="8"/>
  <c r="N47" i="8" s="1"/>
  <c r="Z14" i="8"/>
  <c r="I17" i="8"/>
  <c r="I41" i="8" s="1"/>
  <c r="J23" i="8"/>
  <c r="AA23" i="8"/>
  <c r="V7" i="8"/>
  <c r="V31" i="8" s="1"/>
  <c r="I13" i="8"/>
  <c r="I37" i="8" s="1"/>
  <c r="AF15" i="8"/>
  <c r="AF39" i="8" s="1"/>
  <c r="AO12" i="8"/>
  <c r="O7" i="8"/>
  <c r="AK17" i="8"/>
  <c r="AK41" i="8" s="1"/>
  <c r="U17" i="8"/>
  <c r="V12" i="8"/>
  <c r="AO11" i="8"/>
  <c r="AO35" i="8" s="1"/>
  <c r="P15" i="8"/>
  <c r="P39" i="8" s="1"/>
  <c r="S13" i="8"/>
  <c r="S37" i="8" s="1"/>
  <c r="N8" i="8"/>
  <c r="N32" i="8" s="1"/>
  <c r="Y22" i="8"/>
  <c r="T19" i="8"/>
  <c r="T43" i="8" s="1"/>
  <c r="AO8" i="8"/>
  <c r="F23" i="8"/>
  <c r="Q21" i="8"/>
  <c r="Q45" i="8" s="1"/>
  <c r="P20" i="8"/>
  <c r="P44" i="8" s="1"/>
  <c r="AG6" i="8"/>
  <c r="F13" i="8"/>
  <c r="AH14" i="8"/>
  <c r="AD18" i="8"/>
  <c r="AD42" i="8" s="1"/>
  <c r="P13" i="8"/>
  <c r="I20" i="8"/>
  <c r="X8" i="8"/>
  <c r="X32" i="8" s="1"/>
  <c r="AJ23" i="8"/>
  <c r="AJ47" i="8" s="1"/>
  <c r="AM7" i="8"/>
  <c r="AM31" i="8" s="1"/>
  <c r="K10" i="8"/>
  <c r="K34" i="8" s="1"/>
  <c r="N6" i="8"/>
  <c r="AB22" i="8"/>
  <c r="AB46" i="8" s="1"/>
  <c r="AE22" i="8"/>
  <c r="P22" i="8"/>
  <c r="AJ22" i="8"/>
  <c r="AJ46" i="8" s="1"/>
  <c r="AB13" i="8"/>
  <c r="AB37" i="8" s="1"/>
  <c r="W22" i="8"/>
  <c r="W46" i="8" s="1"/>
  <c r="AJ15" i="8"/>
  <c r="AA22" i="8"/>
  <c r="AO20" i="8"/>
  <c r="AO44" i="8" s="1"/>
  <c r="AL17" i="8"/>
  <c r="P16" i="8"/>
  <c r="AF20" i="8"/>
  <c r="AF44" i="8" s="1"/>
  <c r="AK24" i="8"/>
  <c r="AK48" i="8" s="1"/>
  <c r="Z15" i="8"/>
  <c r="Z39" i="8" s="1"/>
  <c r="T6" i="8"/>
  <c r="AK6" i="8"/>
  <c r="L23" i="8"/>
  <c r="L47" i="8" s="1"/>
  <c r="X23" i="8"/>
  <c r="AB16" i="8"/>
  <c r="AE14" i="8"/>
  <c r="AE38" i="8" s="1"/>
  <c r="L11" i="8"/>
  <c r="L35" i="8" s="1"/>
  <c r="AD11" i="8"/>
  <c r="AD35" i="8" s="1"/>
  <c r="AO23" i="8"/>
  <c r="AO47" i="8" s="1"/>
  <c r="L16" i="8"/>
  <c r="O14" i="8"/>
  <c r="O38" i="8" s="1"/>
  <c r="AC23" i="8"/>
  <c r="Y6" i="8"/>
  <c r="Z9" i="8"/>
  <c r="Z33" i="8" s="1"/>
  <c r="AH15" i="8"/>
  <c r="AH39" i="8" s="1"/>
  <c r="Y9" i="8"/>
  <c r="Y33" i="8" s="1"/>
  <c r="U13" i="8"/>
  <c r="AL10" i="8"/>
  <c r="AJ7" i="8"/>
  <c r="AJ31" i="8" s="1"/>
  <c r="J17" i="8"/>
  <c r="F22" i="8"/>
  <c r="AG10" i="8"/>
  <c r="AG34" i="8" s="1"/>
  <c r="AD15" i="8"/>
  <c r="AD39" i="8" s="1"/>
  <c r="M11" i="8"/>
  <c r="M35" i="8" s="1"/>
  <c r="X19" i="8"/>
  <c r="X43" i="8" s="1"/>
  <c r="AA15" i="8"/>
  <c r="AK9" i="8"/>
  <c r="AK33" i="8" s="1"/>
  <c r="P17" i="8"/>
  <c r="H18" i="8"/>
  <c r="S15" i="8"/>
  <c r="S39" i="8" s="1"/>
  <c r="Q22" i="8"/>
  <c r="Q46" i="8" s="1"/>
  <c r="AE17" i="8"/>
  <c r="AE41" i="8" s="1"/>
  <c r="O24" i="8"/>
  <c r="O48" i="8" s="1"/>
  <c r="AH12" i="8"/>
  <c r="AE19" i="8"/>
  <c r="AE43" i="8" s="1"/>
  <c r="H21" i="8"/>
  <c r="L21" i="8"/>
  <c r="AG11" i="8"/>
  <c r="AG35" i="8" s="1"/>
  <c r="G21" i="8"/>
  <c r="G45" i="8" s="1"/>
  <c r="U11" i="8"/>
  <c r="U35" i="8" s="1"/>
  <c r="AO13" i="8"/>
  <c r="AO37" i="8" s="1"/>
  <c r="AH9" i="8"/>
  <c r="H13" i="8"/>
  <c r="H37" i="8" s="1"/>
  <c r="K11" i="8"/>
  <c r="AP9" i="8"/>
  <c r="J8" i="8"/>
  <c r="J32" i="8" s="1"/>
  <c r="AK18" i="8"/>
  <c r="AK42" i="8" s="1"/>
  <c r="AB12" i="8"/>
  <c r="AB36" i="8" s="1"/>
  <c r="AE10" i="8"/>
  <c r="AE34" i="8" s="1"/>
  <c r="V18" i="8"/>
  <c r="K21" i="8"/>
  <c r="K45" i="8" s="1"/>
  <c r="AL24" i="8"/>
  <c r="P14" i="8"/>
  <c r="AL6" i="8"/>
  <c r="AG20" i="8"/>
  <c r="AG44" i="8" s="1"/>
  <c r="O12" i="8"/>
  <c r="O36" i="8" s="1"/>
  <c r="Q8" i="8"/>
  <c r="Q32" i="8" s="1"/>
  <c r="J20" i="8"/>
  <c r="K18" i="8"/>
  <c r="K42" i="8" s="1"/>
  <c r="AN15" i="8"/>
  <c r="X12" i="8"/>
  <c r="AH11" i="8"/>
  <c r="AH35" i="8" s="1"/>
  <c r="L24" i="8"/>
  <c r="L48" i="8" s="1"/>
  <c r="M13" i="8"/>
  <c r="M37" i="8" s="1"/>
  <c r="G16" i="8"/>
  <c r="G40" i="8" s="1"/>
  <c r="AL7" i="8"/>
  <c r="J22" i="8"/>
  <c r="J46" i="8" s="1"/>
  <c r="K20" i="8"/>
  <c r="AN17" i="8"/>
  <c r="AB9" i="8"/>
  <c r="AB33" i="8" s="1"/>
  <c r="AN6" i="8"/>
  <c r="Z23" i="8"/>
  <c r="Z47" i="8" s="1"/>
  <c r="AC10" i="8"/>
  <c r="AC34" i="8" s="1"/>
  <c r="AO7" i="8"/>
  <c r="AO31" i="8" s="1"/>
  <c r="AI19" i="8"/>
  <c r="AI43" i="8" s="1"/>
  <c r="V13" i="8"/>
  <c r="AE9" i="8"/>
  <c r="X7" i="8"/>
  <c r="X31" i="8" s="1"/>
  <c r="F12" i="8"/>
  <c r="AK22" i="8"/>
  <c r="AK46" i="8" s="1"/>
  <c r="AG23" i="8"/>
  <c r="AG47" i="8" s="1"/>
  <c r="Q17" i="8"/>
  <c r="V8" i="8"/>
  <c r="V32" i="8" s="1"/>
  <c r="W16" i="8"/>
  <c r="J10" i="8"/>
  <c r="S6" i="8"/>
  <c r="AA20" i="8"/>
  <c r="AA44" i="8" s="1"/>
  <c r="T18" i="8"/>
  <c r="T42" i="8" s="1"/>
  <c r="L15" i="8"/>
  <c r="AO9" i="8"/>
  <c r="F17" i="8"/>
  <c r="U20" i="8"/>
  <c r="AK11" i="8"/>
  <c r="K13" i="8"/>
  <c r="K37" i="8" s="1"/>
  <c r="Z8" i="8"/>
  <c r="Z32" i="8" s="1"/>
  <c r="AJ13" i="8"/>
  <c r="AJ37" i="8" s="1"/>
  <c r="AF22" i="8"/>
  <c r="V16" i="8"/>
  <c r="V40" i="8" s="1"/>
  <c r="Q9" i="8"/>
  <c r="Q33" i="8" s="1"/>
  <c r="AC8" i="8"/>
  <c r="AC32" i="8" s="1"/>
  <c r="AE18" i="8"/>
  <c r="J14" i="8"/>
  <c r="J38" i="8" s="1"/>
  <c r="K12" i="8"/>
  <c r="K36" i="8" s="1"/>
  <c r="L8" i="8"/>
  <c r="L32" i="8" s="1"/>
  <c r="T22" i="8"/>
  <c r="T46" i="8" s="1"/>
  <c r="AB11" i="8"/>
  <c r="AB35" i="8" s="1"/>
  <c r="I18" i="8"/>
  <c r="I42" i="8" s="1"/>
  <c r="AM15" i="8"/>
  <c r="AJ17" i="8"/>
  <c r="AJ41" i="8" s="1"/>
  <c r="AC17" i="8"/>
  <c r="AC41" i="8" s="1"/>
  <c r="K16" i="8"/>
  <c r="K40" i="8" s="1"/>
  <c r="T15" i="8"/>
  <c r="T39" i="8" s="1"/>
  <c r="Y19" i="8"/>
  <c r="AN18" i="8"/>
  <c r="AN42" i="8" s="1"/>
  <c r="Z13" i="8"/>
  <c r="Z37" i="8" s="1"/>
  <c r="J21" i="8"/>
  <c r="T24" i="8"/>
  <c r="M17" i="8"/>
  <c r="M41" i="8" s="1"/>
  <c r="G14" i="8"/>
  <c r="G38" i="8" s="1"/>
  <c r="AD7" i="8"/>
  <c r="AD31" i="8" s="1"/>
  <c r="AL21" i="8"/>
  <c r="AM19" i="8"/>
  <c r="F21" i="8"/>
  <c r="AL22" i="8"/>
  <c r="H20" i="8"/>
  <c r="AG21" i="8"/>
  <c r="AG45" i="8" s="1"/>
  <c r="AC9" i="8"/>
  <c r="AC33" i="8" s="1"/>
  <c r="AI17" i="8"/>
  <c r="AI41" i="8" s="1"/>
  <c r="AD9" i="8"/>
  <c r="AD33" i="8" s="1"/>
  <c r="AE7" i="8"/>
  <c r="AE31" i="8" s="1"/>
  <c r="AM21" i="8"/>
  <c r="AM45" i="8" s="1"/>
  <c r="AF19" i="8"/>
  <c r="AE24" i="8"/>
  <c r="AN24" i="8"/>
  <c r="AN48" i="8" s="1"/>
  <c r="V14" i="8"/>
  <c r="V38" i="8" s="1"/>
  <c r="AH17" i="8"/>
  <c r="AH41" i="8" s="1"/>
  <c r="F7" i="8"/>
  <c r="S7" i="8"/>
  <c r="S31" i="8" s="1"/>
  <c r="AA21" i="8"/>
  <c r="AA45" i="8" s="1"/>
  <c r="N15" i="8"/>
  <c r="W11" i="8"/>
  <c r="P9" i="8"/>
  <c r="P33" i="8" s="1"/>
  <c r="Q24" i="8"/>
  <c r="Q48" i="8" s="1"/>
  <c r="T13" i="8"/>
  <c r="T37" i="8" s="1"/>
  <c r="AL20" i="8"/>
  <c r="AG13" i="8"/>
  <c r="U6" i="8"/>
  <c r="O18" i="8"/>
  <c r="O42" i="8" s="1"/>
  <c r="AL11" i="8"/>
  <c r="K8" i="8"/>
  <c r="K32" i="8" s="1"/>
  <c r="S22" i="8"/>
  <c r="S46" i="8" s="1"/>
  <c r="L20" i="8"/>
  <c r="L44" i="8" s="1"/>
  <c r="T23" i="8"/>
  <c r="T47" i="8" s="1"/>
  <c r="Z21" i="8"/>
  <c r="Y23" i="8"/>
  <c r="Y47" i="8" s="1"/>
  <c r="AK16" i="8"/>
  <c r="Z7" i="8"/>
  <c r="AM14" i="8"/>
  <c r="AM38" i="8" s="1"/>
  <c r="AO21" i="8"/>
  <c r="AO45" i="8" s="1"/>
  <c r="J13" i="8"/>
  <c r="J37" i="8" s="1"/>
  <c r="AL12" i="8"/>
  <c r="AL36" i="8" s="1"/>
  <c r="S24" i="8"/>
  <c r="O6" i="8"/>
  <c r="W20" i="8"/>
  <c r="AL15" i="8"/>
  <c r="AM13" i="8"/>
  <c r="AM37" i="8" s="1"/>
  <c r="AN9" i="8"/>
  <c r="AN33" i="8" s="1"/>
  <c r="AF8" i="8"/>
  <c r="AF32" i="8" s="1"/>
  <c r="AI11" i="8"/>
  <c r="AI20" i="8"/>
  <c r="AI44" i="8" s="1"/>
  <c r="H16" i="8"/>
  <c r="H40" i="8" s="1"/>
  <c r="G12" i="8"/>
  <c r="O21" i="8"/>
  <c r="X10" i="8"/>
  <c r="X34" i="8" s="1"/>
  <c r="Q7" i="8"/>
  <c r="Q31" i="8" s="1"/>
  <c r="G24" i="8"/>
  <c r="G48" i="8" s="1"/>
  <c r="AP17" i="8"/>
  <c r="AA13" i="8"/>
  <c r="AA37" i="8" s="1"/>
  <c r="O17" i="8"/>
  <c r="O41" i="8" s="1"/>
  <c r="AJ19" i="8"/>
  <c r="AP21" i="8"/>
  <c r="N7" i="8"/>
  <c r="N31" i="8" s="1"/>
  <c r="AL23" i="8"/>
  <c r="AL47" i="8" s="1"/>
  <c r="W15" i="8"/>
  <c r="W39" i="8" s="1"/>
  <c r="AN20" i="8"/>
  <c r="AN44" i="8" s="1"/>
  <c r="AO10" i="8"/>
  <c r="AO34" i="8" s="1"/>
  <c r="N19" i="8"/>
  <c r="N43" i="8" s="1"/>
  <c r="P19" i="8"/>
  <c r="I16" i="8"/>
  <c r="AL19" i="8"/>
  <c r="AL43" i="8" s="1"/>
  <c r="AD12" i="8"/>
  <c r="AD36" i="8" s="1"/>
  <c r="AJ11" i="8"/>
  <c r="AJ35" i="8" s="1"/>
  <c r="Z19" i="8"/>
  <c r="I8" i="8"/>
  <c r="I32" i="8" s="1"/>
  <c r="L12" i="8"/>
  <c r="L36" i="8" s="1"/>
  <c r="X24" i="8"/>
  <c r="X48" i="8" s="1"/>
  <c r="AB23" i="8"/>
  <c r="V10" i="8"/>
  <c r="V34" i="8" s="1"/>
  <c r="M22" i="8"/>
  <c r="M46" i="8" s="1"/>
  <c r="AC13" i="8"/>
  <c r="AC37" i="8" s="1"/>
  <c r="AI15" i="8"/>
  <c r="V9" i="8"/>
  <c r="W7" i="8"/>
  <c r="W31" i="8" s="1"/>
  <c r="AE21" i="8"/>
  <c r="AF18" i="8"/>
  <c r="Y13" i="8"/>
  <c r="Y37" i="8" s="1"/>
  <c r="T9" i="8"/>
  <c r="T33" i="8" s="1"/>
  <c r="M18" i="8"/>
  <c r="M42" i="8" s="1"/>
  <c r="AG7" i="8"/>
  <c r="AG31" i="8" s="1"/>
  <c r="AA19" i="8"/>
  <c r="AA43" i="8" s="1"/>
  <c r="V11" i="8"/>
  <c r="V35" i="8" s="1"/>
  <c r="W9" i="8"/>
  <c r="P7" i="8"/>
  <c r="X21" i="8"/>
  <c r="X45" i="8" s="1"/>
  <c r="AG22" i="8"/>
  <c r="AG46" i="8" s="1"/>
  <c r="T17" i="8"/>
  <c r="T41" i="8" s="1"/>
  <c r="AD24" i="8"/>
  <c r="AD48" i="8" s="1"/>
  <c r="N14" i="8"/>
  <c r="N38" i="8" s="1"/>
  <c r="O23" i="8"/>
  <c r="O47" i="8" s="1"/>
  <c r="K9" i="8"/>
  <c r="AO6" i="8"/>
  <c r="AP16" i="8"/>
  <c r="AP40" i="8" s="1"/>
  <c r="O13" i="8"/>
  <c r="O37" i="8" s="1"/>
  <c r="H11" i="8"/>
  <c r="H35" i="8" s="1"/>
  <c r="M16" i="8"/>
  <c r="H24" i="8"/>
  <c r="H48" i="8" s="1"/>
  <c r="M10" i="8"/>
  <c r="M34" i="8" s="1"/>
  <c r="M8" i="8"/>
  <c r="G20" i="8"/>
  <c r="AD13" i="8"/>
  <c r="AD37" i="8" s="1"/>
  <c r="AM9" i="8"/>
  <c r="AM33" i="8" s="1"/>
  <c r="AF7" i="8"/>
  <c r="AF31" i="8" s="1"/>
  <c r="AN21" i="8"/>
  <c r="AN45" i="8" s="1"/>
  <c r="AH23" i="8"/>
  <c r="AH47" i="8" s="1"/>
  <c r="M12" i="8"/>
  <c r="M36" i="8" s="1"/>
  <c r="V20" i="8"/>
  <c r="Q13" i="8"/>
  <c r="AC6" i="8"/>
  <c r="AE16" i="8"/>
  <c r="AE40" i="8" s="1"/>
  <c r="J12" i="8"/>
  <c r="J36" i="8" s="1"/>
  <c r="U18" i="8"/>
  <c r="V22" i="8"/>
  <c r="I22" i="8"/>
  <c r="I46" i="8" s="1"/>
  <c r="G8" i="8"/>
  <c r="O22" i="8"/>
  <c r="AD17" i="8"/>
  <c r="AD41" i="8" s="1"/>
  <c r="AE15" i="8"/>
  <c r="AE39" i="8" s="1"/>
  <c r="AF11" i="8"/>
  <c r="AF35" i="8" s="1"/>
  <c r="H22" i="8"/>
  <c r="H46" i="8" s="1"/>
  <c r="F15" i="8"/>
  <c r="AM18" i="8"/>
  <c r="AM42" i="8" s="1"/>
  <c r="AF9" i="8"/>
  <c r="Q19" i="8"/>
  <c r="K19" i="8"/>
  <c r="K43" i="8" s="1"/>
  <c r="L10" i="8"/>
  <c r="L34" i="8" s="1"/>
  <c r="W24" i="8"/>
  <c r="W48" i="8" s="1"/>
  <c r="AI13" i="8"/>
  <c r="AI37" i="8" s="1"/>
  <c r="Y12" i="8"/>
  <c r="Y36" i="8" s="1"/>
  <c r="AC24" i="8"/>
  <c r="AC48" i="8" s="1"/>
  <c r="AE20" i="8"/>
  <c r="W21" i="8"/>
  <c r="X14" i="8"/>
  <c r="X38" i="8" s="1"/>
  <c r="AG24" i="8"/>
  <c r="AG48" i="8" s="1"/>
  <c r="AL13" i="8"/>
  <c r="AL37" i="8" s="1"/>
  <c r="H14" i="8"/>
  <c r="X17" i="8"/>
  <c r="X41" i="8" s="1"/>
  <c r="N24" i="8"/>
  <c r="N48" i="8" s="1"/>
  <c r="AK8" i="8"/>
  <c r="AI8" i="8"/>
  <c r="L22" i="8"/>
  <c r="L46" i="8" s="1"/>
  <c r="AC11" i="8"/>
  <c r="AC35" i="8" s="1"/>
  <c r="S14" i="8"/>
  <c r="S38" i="8" s="1"/>
  <c r="H6" i="8"/>
  <c r="Q14" i="8"/>
  <c r="Q38" i="8" s="1"/>
  <c r="AO15" i="8"/>
  <c r="AO39" i="8" s="1"/>
  <c r="AP8" i="8"/>
  <c r="AJ16" i="8"/>
  <c r="AC19" i="8"/>
  <c r="AC43" i="8" s="1"/>
  <c r="AH19" i="8"/>
  <c r="AH43" i="8" s="1"/>
  <c r="AF14" i="8"/>
  <c r="AF38" i="8" s="1"/>
  <c r="U24" i="8"/>
  <c r="U48" i="8" s="1"/>
  <c r="AC18" i="8"/>
  <c r="AC42" i="8" s="1"/>
  <c r="I10" i="8"/>
  <c r="I34" i="8" s="1"/>
  <c r="AA17" i="8"/>
  <c r="N11" i="8"/>
  <c r="O9" i="8"/>
  <c r="O33" i="8" s="1"/>
  <c r="H7" i="8"/>
  <c r="H31" i="8" s="1"/>
  <c r="J9" i="8"/>
  <c r="J33" i="8" s="1"/>
  <c r="I24" i="8"/>
  <c r="I48" i="8" s="1"/>
  <c r="M24" i="8"/>
  <c r="M48" i="8" s="1"/>
  <c r="AC14" i="8"/>
  <c r="AC38" i="8" s="1"/>
  <c r="K7" i="8"/>
  <c r="S21" i="8"/>
  <c r="N13" i="8"/>
  <c r="N37" i="8" s="1"/>
  <c r="O11" i="8"/>
  <c r="O35" i="8" s="1"/>
  <c r="H9" i="8"/>
  <c r="H33" i="8" s="1"/>
  <c r="F14" i="8"/>
  <c r="M19" i="8"/>
  <c r="M43" i="8" s="1"/>
  <c r="V6" i="8"/>
  <c r="AD16" i="8"/>
  <c r="AD10" i="8"/>
  <c r="AD34" i="8" s="1"/>
  <c r="AK19" i="8"/>
  <c r="AK43" i="8" s="1"/>
  <c r="AM10" i="8"/>
  <c r="AM34" i="8" s="1"/>
  <c r="AG8" i="8"/>
  <c r="AG32" i="8" s="1"/>
  <c r="AH18" i="8"/>
  <c r="AH42" i="8" s="1"/>
  <c r="G15" i="8"/>
  <c r="G39" i="8" s="1"/>
  <c r="AJ12" i="8"/>
  <c r="AJ36" i="8" s="1"/>
  <c r="F19" i="8"/>
  <c r="AB15" i="8"/>
  <c r="AH13" i="8"/>
  <c r="AH37" i="8" s="1"/>
  <c r="AI24" i="8"/>
  <c r="AI48" i="8" s="1"/>
  <c r="AA7" i="8"/>
  <c r="AA31" i="8" s="1"/>
  <c r="AI21" i="8"/>
  <c r="AI45" i="8" s="1"/>
  <c r="V15" i="8"/>
  <c r="V39" i="8" s="1"/>
  <c r="AE11" i="8"/>
  <c r="AE35" i="8" s="1"/>
  <c r="X9" i="8"/>
  <c r="X33" i="8" s="1"/>
  <c r="AH24" i="8"/>
  <c r="AL14" i="8"/>
  <c r="AL38" i="8" s="1"/>
  <c r="U23" i="8"/>
  <c r="U47" i="8" s="1"/>
  <c r="AL16" i="8"/>
  <c r="AL40" i="8" s="1"/>
  <c r="AG9" i="8"/>
  <c r="AG33" i="8" s="1"/>
  <c r="U8" i="8"/>
  <c r="U32" i="8" s="1"/>
  <c r="W18" i="8"/>
  <c r="W42" i="8" s="1"/>
  <c r="F18" i="8"/>
  <c r="AK23" i="8"/>
  <c r="F8" i="8"/>
  <c r="Y18" i="8"/>
  <c r="Y42" i="8" s="1"/>
  <c r="AI9" i="8"/>
  <c r="AI33" i="8" s="1"/>
  <c r="AC7" i="8"/>
  <c r="AC31" i="8" s="1"/>
  <c r="V19" i="8"/>
  <c r="V43" i="8" s="1"/>
  <c r="W17" i="8"/>
  <c r="W41" i="8" s="1"/>
  <c r="X13" i="8"/>
  <c r="X37" i="8" s="1"/>
  <c r="X18" i="8"/>
  <c r="X42" i="8" s="1"/>
  <c r="H12" i="8"/>
  <c r="H36" i="8" s="1"/>
  <c r="AP10" i="8"/>
  <c r="AP34" i="8" s="1"/>
  <c r="AN13" i="8"/>
  <c r="AN37" i="8" s="1"/>
  <c r="AK10" i="8"/>
  <c r="Z12" i="8"/>
  <c r="H15" i="8"/>
  <c r="H39" i="8" s="1"/>
  <c r="U21" i="8"/>
  <c r="U45" i="8" s="1"/>
  <c r="Q6" i="8"/>
  <c r="S17" i="8"/>
  <c r="S41" i="8" s="1"/>
  <c r="AP11" i="8"/>
  <c r="AP35" i="8" s="1"/>
  <c r="I6" i="8"/>
  <c r="L6" i="8"/>
  <c r="H10" i="8"/>
  <c r="H34" i="8" s="1"/>
  <c r="AL18" i="8"/>
  <c r="AL42" i="8" s="1"/>
  <c r="S8" i="8"/>
  <c r="S32" i="8" s="1"/>
  <c r="L9" i="8"/>
  <c r="L33" i="8" s="1"/>
  <c r="AB21" i="8"/>
  <c r="AB45" i="8" s="1"/>
  <c r="H8" i="8"/>
  <c r="H32" i="8" s="1"/>
  <c r="O8" i="8"/>
  <c r="O32" i="8" s="1"/>
  <c r="AE13" i="8"/>
  <c r="AD23" i="8"/>
  <c r="AD47" i="8" s="1"/>
  <c r="J7" i="8"/>
  <c r="J31" i="8" s="1"/>
  <c r="T8" i="8"/>
  <c r="AN12" i="8"/>
  <c r="AN36" i="8" s="1"/>
  <c r="AN10" i="8"/>
  <c r="AN34" i="8" s="1"/>
  <c r="U10" i="8"/>
  <c r="U34" i="8" s="1"/>
  <c r="AF24" i="8"/>
  <c r="AF48" i="8" s="1"/>
  <c r="N22" i="8"/>
  <c r="N46" i="8" s="1"/>
  <c r="I15" i="8"/>
  <c r="I39" i="8" s="1"/>
  <c r="Y7" i="8"/>
  <c r="Y31" i="8" s="1"/>
  <c r="S19" i="8"/>
  <c r="S43" i="8" s="1"/>
  <c r="AP12" i="8"/>
  <c r="AP36" i="8" s="1"/>
  <c r="G11" i="8"/>
  <c r="G35" i="8" s="1"/>
  <c r="AJ8" i="8"/>
  <c r="AJ32" i="8" s="1"/>
  <c r="F20" i="8"/>
  <c r="AG15" i="8"/>
  <c r="AG39" i="8" s="1"/>
  <c r="AH21" i="8"/>
  <c r="AH45" i="8" s="1"/>
  <c r="I11" i="8"/>
  <c r="I35" i="8" s="1"/>
  <c r="AM8" i="8"/>
  <c r="AM32" i="8" s="1"/>
  <c r="K23" i="8"/>
  <c r="AP14" i="8"/>
  <c r="AP38" i="8" s="1"/>
  <c r="G13" i="8"/>
  <c r="G37" i="8" s="1"/>
  <c r="AJ10" i="8"/>
  <c r="AJ34" i="8" s="1"/>
  <c r="V23" i="8"/>
  <c r="V47" i="8" s="1"/>
  <c r="AC15" i="8"/>
  <c r="AC39" i="8" s="1"/>
  <c r="I23" i="8"/>
  <c r="I47" i="8" s="1"/>
  <c r="AN23" i="8"/>
  <c r="AN47" i="8" s="1"/>
  <c r="Q16" i="8"/>
  <c r="AE12" i="8"/>
  <c r="AE36" i="8" s="1"/>
  <c r="Z20" i="8"/>
  <c r="Z44" i="8" s="1"/>
  <c r="AI16" i="8"/>
  <c r="AI40" i="8" s="1"/>
  <c r="AB14" i="8"/>
  <c r="AB38" i="8" s="1"/>
  <c r="AD20" i="8"/>
  <c r="AD44" i="8" s="1"/>
  <c r="AF10" i="8"/>
  <c r="AF34" i="8" s="1"/>
  <c r="N10" i="8"/>
  <c r="N34" i="8" s="1"/>
  <c r="AO22" i="8"/>
  <c r="AO46" i="8" s="1"/>
  <c r="S9" i="8"/>
  <c r="S33" i="8" s="1"/>
  <c r="M7" i="8"/>
  <c r="M31" i="8" s="1"/>
  <c r="N17" i="8"/>
  <c r="N41" i="8" s="1"/>
  <c r="W13" i="8"/>
  <c r="W37" i="8" s="1"/>
  <c r="P11" i="8"/>
  <c r="P35" i="8" s="1"/>
  <c r="AN22" i="8"/>
  <c r="AN46" i="8" s="1"/>
  <c r="P24" i="8"/>
  <c r="P48" i="8" s="1"/>
  <c r="U14" i="8"/>
  <c r="U38" i="8" s="1"/>
  <c r="AA24" i="8"/>
  <c r="AA48" i="8" s="1"/>
  <c r="G6" i="8"/>
  <c r="O20" i="8"/>
  <c r="O44" i="8" s="1"/>
  <c r="M23" i="8"/>
  <c r="M47" i="8" s="1"/>
  <c r="P18" i="8"/>
  <c r="P42" i="8" s="1"/>
  <c r="AP13" i="8"/>
  <c r="AP37" i="8" s="1"/>
  <c r="P23" i="8"/>
  <c r="P47" i="8" s="1"/>
  <c r="AO14" i="8"/>
  <c r="AA11" i="8"/>
  <c r="AA35" i="8" s="1"/>
  <c r="AP6" i="8"/>
  <c r="N21" i="8"/>
  <c r="N45" i="8" s="1"/>
  <c r="O19" i="8"/>
  <c r="O43" i="8" s="1"/>
  <c r="AG19" i="8"/>
  <c r="L19" i="8"/>
  <c r="L43" i="8" s="1"/>
  <c r="J15" i="8"/>
  <c r="J39" i="8" s="1"/>
  <c r="AF6" i="8"/>
  <c r="AE8" i="8"/>
  <c r="AE32" i="8" s="1"/>
  <c r="AM22" i="8"/>
  <c r="AM46" i="8" s="1"/>
  <c r="Z16" i="8"/>
  <c r="Z40" i="8" s="1"/>
  <c r="AA14" i="8"/>
  <c r="AA38" i="8" s="1"/>
  <c r="T12" i="8"/>
  <c r="T36" i="8" s="1"/>
  <c r="AN8" i="8"/>
  <c r="AN32" i="8" s="1"/>
  <c r="AO17" i="8"/>
  <c r="AO41" i="8" s="1"/>
  <c r="AD14" i="8"/>
  <c r="AD38" i="8" s="1"/>
  <c r="Q20" i="8"/>
  <c r="Q44" i="8" s="1"/>
  <c r="W12" i="8"/>
  <c r="W36" i="8" s="1"/>
  <c r="Y8" i="8"/>
  <c r="Y32" i="8" s="1"/>
  <c r="Z18" i="8"/>
  <c r="Z42" i="8" s="1"/>
  <c r="AA16" i="8"/>
  <c r="AA40" i="8" s="1"/>
  <c r="T14" i="8"/>
  <c r="T38" i="8" s="1"/>
  <c r="AF16" i="8"/>
  <c r="AF40" i="8" s="1"/>
  <c r="AO24" i="8"/>
  <c r="AJ21" i="8"/>
  <c r="AJ45" i="8" s="1"/>
  <c r="L7" i="8"/>
  <c r="L31" i="8" s="1"/>
  <c r="AG17" i="8"/>
  <c r="AG41" i="8" s="1"/>
  <c r="M9" i="8"/>
  <c r="M33" i="8" s="1"/>
  <c r="O16" i="8"/>
  <c r="O40" i="8" s="1"/>
  <c r="AL9" i="8"/>
  <c r="AL33" i="8" s="1"/>
  <c r="K6" i="8"/>
  <c r="S20" i="8"/>
  <c r="V24" i="8"/>
  <c r="V48" i="8" s="1"/>
  <c r="AC20" i="8"/>
  <c r="AC44" i="8" s="1"/>
  <c r="Z17" i="8"/>
  <c r="Z41" i="8" s="1"/>
  <c r="AF23" i="8"/>
  <c r="AF47" i="8" s="1"/>
  <c r="AK15" i="8"/>
  <c r="AK39" i="8" s="1"/>
  <c r="AM12" i="8"/>
  <c r="AM36" i="8" s="1"/>
  <c r="Z6" i="8"/>
  <c r="AH20" i="8"/>
  <c r="AH44" i="8" s="1"/>
  <c r="G17" i="8"/>
  <c r="G41" i="8" s="1"/>
  <c r="AJ14" i="8"/>
  <c r="AJ38" i="8" s="1"/>
  <c r="M20" i="8"/>
  <c r="M44" i="8" s="1"/>
  <c r="P6" i="8"/>
  <c r="F10" i="8"/>
  <c r="F16" i="8"/>
  <c r="AO18" i="8"/>
  <c r="AO42" i="8" s="1"/>
  <c r="AA9" i="8"/>
  <c r="AA33" i="8" s="1"/>
  <c r="U7" i="8"/>
  <c r="U31" i="8" s="1"/>
  <c r="T21" i="8"/>
  <c r="T45" i="8" s="1"/>
  <c r="X20" i="8"/>
  <c r="X44" i="8" s="1"/>
  <c r="Q23" i="8"/>
  <c r="Q47" i="8" s="1"/>
  <c r="U16" i="8"/>
  <c r="U40" i="8" s="1"/>
  <c r="AD6" i="8"/>
  <c r="K15" i="8"/>
  <c r="K39" i="8" s="1"/>
  <c r="Z10" i="8"/>
  <c r="Z34" i="8" s="1"/>
  <c r="AA8" i="8"/>
  <c r="AA32" i="8" s="1"/>
  <c r="AI22" i="8"/>
  <c r="AI46" i="8" s="1"/>
  <c r="AJ18" i="8"/>
  <c r="AJ42" i="8" s="1"/>
  <c r="X6" i="8"/>
  <c r="AB24" i="8"/>
  <c r="AB48" i="8" s="1"/>
  <c r="AA6" i="8"/>
  <c r="AP24" i="8"/>
  <c r="AP48" i="8" s="1"/>
  <c r="AP22" i="8"/>
  <c r="G7" i="8"/>
  <c r="G31" i="8" s="1"/>
  <c r="Z24" i="8"/>
  <c r="Z48" i="8" s="1"/>
  <c r="U9" i="8"/>
  <c r="U33" i="8" s="1"/>
  <c r="AB6" i="8"/>
  <c r="Q18" i="8"/>
  <c r="Q42" i="8" s="1"/>
  <c r="Y14" i="8"/>
  <c r="Y38" i="8" s="1"/>
  <c r="AH22" i="8"/>
  <c r="AH46" i="8" s="1"/>
  <c r="AB18" i="8"/>
  <c r="AB42" i="8" s="1"/>
  <c r="AO16" i="8"/>
  <c r="AO40" i="8" s="1"/>
  <c r="I14" i="8"/>
  <c r="I38" i="8" s="1"/>
  <c r="X11" i="8"/>
  <c r="X35" i="8" s="1"/>
  <c r="AP7" i="8"/>
  <c r="AP31" i="8" s="1"/>
  <c r="AK21" i="8"/>
  <c r="AK45" i="8" s="1"/>
  <c r="AH7" i="8"/>
  <c r="AH31" i="8" s="1"/>
  <c r="AK7" i="8"/>
  <c r="AK31" i="8" s="1"/>
  <c r="AJ6" i="8"/>
  <c r="P8" i="8"/>
  <c r="P32" i="8" s="1"/>
  <c r="Y15" i="8"/>
  <c r="Y39" i="8" s="1"/>
  <c r="L17" i="8"/>
  <c r="L41" i="8" s="1"/>
  <c r="AP20" i="8"/>
  <c r="AP44" i="8" s="1"/>
  <c r="AC12" i="8"/>
  <c r="AC36" i="8" s="1"/>
  <c r="AB17" i="8"/>
  <c r="AB41" i="8" s="1"/>
  <c r="AK14" i="8"/>
  <c r="AK38" i="8" s="1"/>
  <c r="U15" i="8"/>
  <c r="U39" i="8" s="1"/>
  <c r="J6" i="8"/>
  <c r="F11" i="8"/>
  <c r="AF13" i="8"/>
  <c r="AF37" i="8" s="1"/>
  <c r="AG18" i="8"/>
  <c r="AG42" i="8" s="1"/>
  <c r="K17" i="8"/>
  <c r="K41" i="8" s="1"/>
  <c r="M15" i="8"/>
  <c r="M39" i="8" s="1"/>
  <c r="AN7" i="8"/>
  <c r="AN31" i="8" s="1"/>
  <c r="W8" i="8"/>
  <c r="W32" i="8" s="1"/>
  <c r="T20" i="8"/>
  <c r="T44" i="8" s="1"/>
  <c r="N9" i="8"/>
  <c r="N33" i="8" s="1"/>
  <c r="T16" i="8"/>
  <c r="T40" i="8" s="1"/>
  <c r="K24" i="8"/>
  <c r="K48" i="8" s="1"/>
  <c r="J16" i="8"/>
  <c r="J40" i="8" s="1"/>
  <c r="AM20" i="8"/>
  <c r="AM44" i="8" s="1"/>
  <c r="J24" i="8"/>
  <c r="J48" i="8" s="1"/>
  <c r="W6" i="8"/>
  <c r="H19" i="8"/>
  <c r="H43" i="8" s="1"/>
  <c r="L18" i="8"/>
  <c r="L42" i="8" s="1"/>
  <c r="AJ20" i="8"/>
  <c r="AJ44" i="8" s="1"/>
  <c r="AI23" i="8"/>
  <c r="AI47" i="8" s="1"/>
  <c r="S10" i="8"/>
  <c r="S34" i="8" s="1"/>
  <c r="AK12" i="8"/>
  <c r="AK36" i="8" s="1"/>
  <c r="AH6" i="8"/>
  <c r="X16" i="8"/>
  <c r="X40" i="8" s="1"/>
  <c r="AI18" i="8"/>
  <c r="AI42" i="8" s="1"/>
  <c r="Q12" i="8"/>
  <c r="Q36" i="8" s="1"/>
  <c r="N16" i="8"/>
  <c r="N40" i="8" s="1"/>
  <c r="G18" i="8"/>
  <c r="G42" i="8" s="1"/>
  <c r="N12" i="8"/>
  <c r="N36" i="8" s="1"/>
  <c r="S18" i="8"/>
  <c r="S42" i="8" s="1"/>
  <c r="AG16" i="8"/>
  <c r="AG40" i="8" s="1"/>
  <c r="L14" i="8"/>
  <c r="L38" i="8" s="1"/>
  <c r="W10" i="8"/>
  <c r="W34" i="8" s="1"/>
  <c r="P10" i="8"/>
  <c r="P34" i="8" s="1"/>
  <c r="AM24" i="8"/>
  <c r="AM48" i="8" s="1"/>
  <c r="AL8" i="8"/>
  <c r="AL32" i="8" s="1"/>
  <c r="H17" i="8"/>
  <c r="H41" i="8" s="1"/>
  <c r="L13" i="8"/>
  <c r="L37" i="8" s="1"/>
  <c r="AA10" i="8"/>
  <c r="AA34" i="8" s="1"/>
  <c r="P12" i="8"/>
  <c r="AC21" i="8"/>
  <c r="AC45" i="8" s="1"/>
  <c r="S23" i="8"/>
  <c r="S47" i="8" s="1"/>
  <c r="G19" i="8"/>
  <c r="G43" i="8" s="1"/>
  <c r="I9" i="8"/>
  <c r="I33" i="8" s="1"/>
  <c r="AB8" i="8"/>
  <c r="AB32" i="8" s="1"/>
  <c r="G10" i="8"/>
  <c r="G34" i="8" s="1"/>
  <c r="AN11" i="8"/>
  <c r="AN35" i="8" s="1"/>
  <c r="I19" i="8"/>
  <c r="I43" i="8" s="1"/>
  <c r="U12" i="8"/>
  <c r="U36" i="8" s="1"/>
  <c r="AE6" i="8"/>
  <c r="P21" i="8"/>
  <c r="P45" i="8" s="1"/>
  <c r="I7" i="8"/>
  <c r="I31" i="8" s="1"/>
  <c r="AA12" i="8"/>
  <c r="AA36" i="8" s="1"/>
  <c r="AM11" i="8"/>
  <c r="AM35" i="8" s="1"/>
  <c r="AF17" i="8"/>
  <c r="AF41" i="8" s="1"/>
  <c r="T11" i="8"/>
  <c r="T35" i="8" s="1"/>
  <c r="AI6" i="8"/>
  <c r="AO19" i="8"/>
  <c r="AO43" i="8" s="1"/>
  <c r="G22" i="8"/>
  <c r="G46" i="8" s="1"/>
  <c r="Y24" i="8"/>
  <c r="Y48" i="8" s="1"/>
  <c r="O15" i="8"/>
  <c r="O39" i="8" s="1"/>
  <c r="U19" i="8"/>
  <c r="U43" i="8" s="1"/>
  <c r="AP23" i="8"/>
  <c r="AP47" i="8" s="1"/>
  <c r="W14" i="8"/>
  <c r="Q11" i="8"/>
  <c r="Q35" i="8" s="1"/>
  <c r="AI14" i="8"/>
  <c r="AI38" i="8" s="1"/>
  <c r="W23" i="8"/>
  <c r="W47" i="8" s="1"/>
  <c r="AB10" i="8"/>
  <c r="AB34" i="8" s="1"/>
  <c r="AM6" i="8"/>
  <c r="Q15" i="8"/>
  <c r="Q39" i="8" s="1"/>
  <c r="AP15" i="8"/>
  <c r="AP39" i="8" s="1"/>
  <c r="AG14" i="8"/>
  <c r="AG38" i="8" s="1"/>
  <c r="S12" i="8"/>
  <c r="S36" i="8" s="1"/>
  <c r="AM16" i="8"/>
  <c r="AM40" i="8" s="1"/>
  <c r="AH10" i="8"/>
  <c r="AH34" i="8" s="1"/>
  <c r="X22" i="8"/>
  <c r="X46" i="8" s="1"/>
  <c r="J19" i="8"/>
  <c r="J43" i="8" s="1"/>
  <c r="T7" i="8"/>
  <c r="T31" i="8" s="1"/>
  <c r="K14" i="8"/>
  <c r="K38" i="8" s="1"/>
  <c r="Y10" i="8"/>
  <c r="Y34" i="8" s="1"/>
  <c r="O10" i="8"/>
  <c r="O34" i="8" s="1"/>
  <c r="U22" i="8"/>
  <c r="U46" i="8" s="1"/>
  <c r="G23" i="8"/>
  <c r="G47" i="8" s="1"/>
  <c r="AD22" i="8"/>
  <c r="AD46" i="8" s="1"/>
  <c r="Y16" i="8"/>
  <c r="Y40" i="8" s="1"/>
  <c r="AD8" i="8"/>
  <c r="AD32" i="8" s="1"/>
  <c r="X15" i="8"/>
  <c r="X39" i="8" s="1"/>
  <c r="AB7" i="8"/>
  <c r="AB31" i="8" s="1"/>
  <c r="J18" i="8"/>
  <c r="J42" i="8" s="1"/>
  <c r="AD21" i="8"/>
  <c r="AD45" i="8" s="1"/>
  <c r="AI10" i="8"/>
  <c r="AI34" i="8" s="1"/>
  <c r="AN14" i="8"/>
  <c r="AN38" i="8" s="1"/>
  <c r="AP19" i="8"/>
  <c r="AP43" i="8" s="1"/>
  <c r="S11" i="8"/>
  <c r="S35" i="8" s="1"/>
  <c r="Z22" i="8"/>
  <c r="Z46" i="8" s="1"/>
  <c r="AK20" i="8"/>
  <c r="AK44" i="8" s="1"/>
  <c r="K22" i="8"/>
  <c r="K46" i="8" s="1"/>
  <c r="M6" i="8"/>
  <c r="Y17" i="8"/>
  <c r="Y41" i="8" s="1"/>
  <c r="J11" i="8"/>
  <c r="J35" i="8" s="1"/>
  <c r="S16" i="8"/>
  <c r="S40" i="8" s="1"/>
  <c r="AE23" i="8"/>
  <c r="AE47" i="8" s="1"/>
  <c r="AK13" i="8"/>
  <c r="AK37" i="8" s="1"/>
  <c r="M21" i="8"/>
  <c r="M45" i="8" s="1"/>
  <c r="AN19" i="8"/>
  <c r="AN43" i="8" s="1"/>
  <c r="Y21" i="8"/>
  <c r="Y45" i="8" s="1"/>
  <c r="AF12" i="8"/>
  <c r="AF36" i="8" s="1"/>
  <c r="G9" i="8"/>
  <c r="G33" i="8" s="1"/>
  <c r="AM23" i="8"/>
  <c r="AM47" i="8" s="1"/>
  <c r="AJ24" i="8"/>
  <c r="AJ48" i="8" s="1"/>
  <c r="AM17" i="8"/>
  <c r="AM41" i="8" s="1"/>
  <c r="AC16" i="8"/>
  <c r="AC40" i="8" s="1"/>
  <c r="Y20" i="8"/>
  <c r="Y44" i="8" s="1"/>
  <c r="H23" i="8"/>
  <c r="H47" i="8" s="1"/>
  <c r="T10" i="8"/>
  <c r="T34" i="8" s="1"/>
  <c r="AC22" i="8"/>
  <c r="AC46" i="8" s="1"/>
  <c r="AJ9" i="8"/>
  <c r="AJ33" i="8" s="1"/>
  <c r="V17" i="8"/>
  <c r="V41" i="8" s="1"/>
  <c r="V21" i="8"/>
  <c r="V45" i="8" s="1"/>
  <c r="AB20" i="8"/>
  <c r="AH8" i="8"/>
  <c r="AH32" i="8" s="1"/>
  <c r="F9" i="8"/>
  <c r="AI7" i="8"/>
  <c r="AI31" i="8" s="1"/>
  <c r="AB19" i="8"/>
  <c r="AB43" i="8" s="1"/>
  <c r="AP18" i="8"/>
  <c r="AP42" i="8" s="1"/>
  <c r="F24" i="8"/>
  <c r="AA18" i="8"/>
  <c r="AA42" i="8" s="1"/>
  <c r="AG12" i="8"/>
  <c r="AG36" i="8" s="1"/>
  <c r="I12" i="8"/>
  <c r="I36" i="8" s="1"/>
  <c r="AH16" i="8"/>
  <c r="AH40" i="8" s="1"/>
  <c r="N18" i="8"/>
  <c r="N42" i="8" s="1"/>
  <c r="AI12" i="8"/>
  <c r="AI36" i="8" s="1"/>
  <c r="Y11" i="8"/>
  <c r="Y35" i="8" s="1"/>
  <c r="AT4" i="8"/>
  <c r="AT28" i="8" s="1"/>
  <c r="AR4" i="8"/>
  <c r="AR28" i="8" s="1"/>
  <c r="J6" i="7"/>
  <c r="R6" i="7"/>
  <c r="Z6" i="7"/>
  <c r="AH6" i="7"/>
  <c r="AP6" i="7"/>
  <c r="AX6" i="7"/>
  <c r="BF6" i="7"/>
  <c r="BN6" i="7"/>
  <c r="BV6" i="7"/>
  <c r="CD6" i="7"/>
  <c r="CL6" i="7"/>
  <c r="CT6" i="7"/>
  <c r="DB6" i="7"/>
  <c r="DJ6" i="7"/>
  <c r="DR6" i="7"/>
  <c r="DZ6" i="7"/>
  <c r="EH6" i="7"/>
  <c r="EP6" i="7"/>
  <c r="EX6" i="7"/>
  <c r="C7" i="7"/>
  <c r="K7" i="7"/>
  <c r="S7" i="7"/>
  <c r="AA7" i="7"/>
  <c r="AI7" i="7"/>
  <c r="AQ7" i="7"/>
  <c r="AY7" i="7"/>
  <c r="BG7" i="7"/>
  <c r="BO7" i="7"/>
  <c r="BW7" i="7"/>
  <c r="CE7" i="7"/>
  <c r="CM7" i="7"/>
  <c r="CU7" i="7"/>
  <c r="DC7" i="7"/>
  <c r="DK7" i="7"/>
  <c r="DS7" i="7"/>
  <c r="EA7" i="7"/>
  <c r="EI7" i="7"/>
  <c r="EQ7" i="7"/>
  <c r="EY7" i="7"/>
  <c r="D8" i="7"/>
  <c r="L8" i="7"/>
  <c r="T8" i="7"/>
  <c r="AB8" i="7"/>
  <c r="AJ8" i="7"/>
  <c r="AR8" i="7"/>
  <c r="AZ8" i="7"/>
  <c r="BH8" i="7"/>
  <c r="BP8" i="7"/>
  <c r="BX8" i="7"/>
  <c r="CF8" i="7"/>
  <c r="CN8" i="7"/>
  <c r="CV8" i="7"/>
  <c r="DD8" i="7"/>
  <c r="DL8" i="7"/>
  <c r="DT8" i="7"/>
  <c r="EB8" i="7"/>
  <c r="EJ8" i="7"/>
  <c r="ER8" i="7"/>
  <c r="EZ8" i="7"/>
  <c r="E9" i="7"/>
  <c r="M9" i="7"/>
  <c r="U9" i="7"/>
  <c r="AC9" i="7"/>
  <c r="AK9" i="7"/>
  <c r="AS9" i="7"/>
  <c r="BA9" i="7"/>
  <c r="BI9" i="7"/>
  <c r="BQ9" i="7"/>
  <c r="BY9" i="7"/>
  <c r="CG9" i="7"/>
  <c r="CO9" i="7"/>
  <c r="CW9" i="7"/>
  <c r="DE9" i="7"/>
  <c r="DM9" i="7"/>
  <c r="DU9" i="7"/>
  <c r="K6" i="7"/>
  <c r="S6" i="7"/>
  <c r="AA6" i="7"/>
  <c r="AI6" i="7"/>
  <c r="AQ6" i="7"/>
  <c r="AY6" i="7"/>
  <c r="BG6" i="7"/>
  <c r="BO6" i="7"/>
  <c r="BW6" i="7"/>
  <c r="CE6" i="7"/>
  <c r="CM6" i="7"/>
  <c r="CU6" i="7"/>
  <c r="DC6" i="7"/>
  <c r="DK6" i="7"/>
  <c r="DS6" i="7"/>
  <c r="EA6" i="7"/>
  <c r="EI6" i="7"/>
  <c r="EQ6" i="7"/>
  <c r="EY6" i="7"/>
  <c r="D7" i="7"/>
  <c r="L7" i="7"/>
  <c r="T7" i="7"/>
  <c r="AB7" i="7"/>
  <c r="AJ7" i="7"/>
  <c r="AR7" i="7"/>
  <c r="AZ7" i="7"/>
  <c r="BH7" i="7"/>
  <c r="BP7" i="7"/>
  <c r="BX7" i="7"/>
  <c r="CF7" i="7"/>
  <c r="CN7" i="7"/>
  <c r="CV7" i="7"/>
  <c r="DD7" i="7"/>
  <c r="DL7" i="7"/>
  <c r="DT7" i="7"/>
  <c r="EB7" i="7"/>
  <c r="EJ7" i="7"/>
  <c r="ER7" i="7"/>
  <c r="EZ7" i="7"/>
  <c r="E8" i="7"/>
  <c r="M8" i="7"/>
  <c r="U8" i="7"/>
  <c r="AC8" i="7"/>
  <c r="AK8" i="7"/>
  <c r="AS8" i="7"/>
  <c r="BA8" i="7"/>
  <c r="BI8" i="7"/>
  <c r="BQ8" i="7"/>
  <c r="BY8" i="7"/>
  <c r="CG8" i="7"/>
  <c r="CO8" i="7"/>
  <c r="CW8" i="7"/>
  <c r="DE8" i="7"/>
  <c r="DM8" i="7"/>
  <c r="DU8" i="7"/>
  <c r="EC8" i="7"/>
  <c r="EK8" i="7"/>
  <c r="ES8" i="7"/>
  <c r="FA8" i="7"/>
  <c r="F9" i="7"/>
  <c r="N9" i="7"/>
  <c r="V9" i="7"/>
  <c r="AD9" i="7"/>
  <c r="AL9" i="7"/>
  <c r="AT9" i="7"/>
  <c r="BB9" i="7"/>
  <c r="BJ9" i="7"/>
  <c r="BR9" i="7"/>
  <c r="BZ9" i="7"/>
  <c r="CH9" i="7"/>
  <c r="AR33" i="12" s="1"/>
  <c r="CP9" i="7"/>
  <c r="CX9" i="7"/>
  <c r="DF9" i="7"/>
  <c r="DN9" i="7"/>
  <c r="DV9" i="7"/>
  <c r="ED9" i="7"/>
  <c r="EL9" i="7"/>
  <c r="ET9" i="7"/>
  <c r="FB9" i="7"/>
  <c r="G10" i="7"/>
  <c r="O10" i="7"/>
  <c r="W10" i="7"/>
  <c r="AE10" i="7"/>
  <c r="D6" i="7"/>
  <c r="L6" i="7"/>
  <c r="T6" i="7"/>
  <c r="AB6" i="7"/>
  <c r="AJ6" i="7"/>
  <c r="AR6" i="7"/>
  <c r="AZ6" i="7"/>
  <c r="BH6" i="7"/>
  <c r="BP6" i="7"/>
  <c r="BX6" i="7"/>
  <c r="CF6" i="7"/>
  <c r="CN6" i="7"/>
  <c r="CV6" i="7"/>
  <c r="DD6" i="7"/>
  <c r="DL6" i="7"/>
  <c r="DT6" i="7"/>
  <c r="EB6" i="7"/>
  <c r="EJ6" i="7"/>
  <c r="ER6" i="7"/>
  <c r="EZ6" i="7"/>
  <c r="E7" i="7"/>
  <c r="M7" i="7"/>
  <c r="U7" i="7"/>
  <c r="AC7" i="7"/>
  <c r="AK7" i="7"/>
  <c r="AS7" i="7"/>
  <c r="BA7" i="7"/>
  <c r="BI7" i="7"/>
  <c r="BQ7" i="7"/>
  <c r="BY7" i="7"/>
  <c r="CG7" i="7"/>
  <c r="CO7" i="7"/>
  <c r="CW7" i="7"/>
  <c r="DE7" i="7"/>
  <c r="DM7" i="7"/>
  <c r="DU7" i="7"/>
  <c r="EC7" i="7"/>
  <c r="EK7" i="7"/>
  <c r="ES7" i="7"/>
  <c r="FA7" i="7"/>
  <c r="F8" i="7"/>
  <c r="N8" i="7"/>
  <c r="V8" i="7"/>
  <c r="AD8" i="7"/>
  <c r="AL8" i="7"/>
  <c r="AT8" i="7"/>
  <c r="BB8" i="7"/>
  <c r="BJ8" i="7"/>
  <c r="BR8" i="7"/>
  <c r="BZ8" i="7"/>
  <c r="CH8" i="7"/>
  <c r="AR32" i="12" s="1"/>
  <c r="CP8" i="7"/>
  <c r="CX8" i="7"/>
  <c r="DF8" i="7"/>
  <c r="DN8" i="7"/>
  <c r="DV8" i="7"/>
  <c r="ED8" i="7"/>
  <c r="EL8" i="7"/>
  <c r="ET8" i="7"/>
  <c r="FB8" i="7"/>
  <c r="G9" i="7"/>
  <c r="O9" i="7"/>
  <c r="W9" i="7"/>
  <c r="AE9" i="7"/>
  <c r="AM9" i="7"/>
  <c r="AU9" i="7"/>
  <c r="BC9" i="7"/>
  <c r="BK9" i="7"/>
  <c r="BS9" i="7"/>
  <c r="CA9" i="7"/>
  <c r="CI9" i="7"/>
  <c r="AS33" i="12" s="1"/>
  <c r="CQ9" i="7"/>
  <c r="CY9" i="7"/>
  <c r="DG9" i="7"/>
  <c r="DO9" i="7"/>
  <c r="DW9" i="7"/>
  <c r="EE9" i="7"/>
  <c r="EM9" i="7"/>
  <c r="EU9" i="7"/>
  <c r="FC9" i="7"/>
  <c r="H10" i="7"/>
  <c r="P10" i="7"/>
  <c r="E6" i="7"/>
  <c r="M6" i="7"/>
  <c r="U6" i="7"/>
  <c r="AC6" i="7"/>
  <c r="AK6" i="7"/>
  <c r="AS6" i="7"/>
  <c r="BA6" i="7"/>
  <c r="BI6" i="7"/>
  <c r="BQ6" i="7"/>
  <c r="BY6" i="7"/>
  <c r="CG6" i="7"/>
  <c r="CO6" i="7"/>
  <c r="CW6" i="7"/>
  <c r="DE6" i="7"/>
  <c r="DM6" i="7"/>
  <c r="DU6" i="7"/>
  <c r="EC6" i="7"/>
  <c r="EK6" i="7"/>
  <c r="ES6" i="7"/>
  <c r="FA6" i="7"/>
  <c r="F7" i="7"/>
  <c r="N7" i="7"/>
  <c r="V7" i="7"/>
  <c r="AD7" i="7"/>
  <c r="AL7" i="7"/>
  <c r="AT7" i="7"/>
  <c r="BB7" i="7"/>
  <c r="BJ7" i="7"/>
  <c r="BR7" i="7"/>
  <c r="BZ7" i="7"/>
  <c r="CH7" i="7"/>
  <c r="AR31" i="12" s="1"/>
  <c r="CP7" i="7"/>
  <c r="CX7" i="7"/>
  <c r="DF7" i="7"/>
  <c r="DN7" i="7"/>
  <c r="DV7" i="7"/>
  <c r="ED7" i="7"/>
  <c r="EL7" i="7"/>
  <c r="ET7" i="7"/>
  <c r="FB7" i="7"/>
  <c r="G8" i="7"/>
  <c r="O8" i="7"/>
  <c r="W8" i="7"/>
  <c r="AE8" i="7"/>
  <c r="AM8" i="7"/>
  <c r="AU8" i="7"/>
  <c r="BC8" i="7"/>
  <c r="BK8" i="7"/>
  <c r="BS8" i="7"/>
  <c r="CA8" i="7"/>
  <c r="CI8" i="7"/>
  <c r="AS32" i="12" s="1"/>
  <c r="CQ8" i="7"/>
  <c r="CY8" i="7"/>
  <c r="DG8" i="7"/>
  <c r="DO8" i="7"/>
  <c r="DW8" i="7"/>
  <c r="EE8" i="7"/>
  <c r="EM8" i="7"/>
  <c r="EU8" i="7"/>
  <c r="FC8" i="7"/>
  <c r="H9" i="7"/>
  <c r="P9" i="7"/>
  <c r="X9" i="7"/>
  <c r="AF9" i="7"/>
  <c r="AN9" i="7"/>
  <c r="AV9" i="7"/>
  <c r="BD9" i="7"/>
  <c r="BL9" i="7"/>
  <c r="BT9" i="7"/>
  <c r="CB9" i="7"/>
  <c r="CJ9" i="7"/>
  <c r="AT33" i="12" s="1"/>
  <c r="CR9" i="7"/>
  <c r="CZ9" i="7"/>
  <c r="DH9" i="7"/>
  <c r="DP9" i="7"/>
  <c r="DX9" i="7"/>
  <c r="EF9" i="7"/>
  <c r="EN9" i="7"/>
  <c r="EV9" i="7"/>
  <c r="FD9" i="7"/>
  <c r="I10" i="7"/>
  <c r="Q10" i="7"/>
  <c r="Y10" i="7"/>
  <c r="F6" i="7"/>
  <c r="N6" i="7"/>
  <c r="V6" i="7"/>
  <c r="AD6" i="7"/>
  <c r="AL6" i="7"/>
  <c r="AT6" i="7"/>
  <c r="BB6" i="7"/>
  <c r="BJ6" i="7"/>
  <c r="BR6" i="7"/>
  <c r="BZ6" i="7"/>
  <c r="CH6" i="7"/>
  <c r="AR30" i="12" s="1"/>
  <c r="CP6" i="7"/>
  <c r="CX6" i="7"/>
  <c r="DF6" i="7"/>
  <c r="DN6" i="7"/>
  <c r="DV6" i="7"/>
  <c r="ED6" i="7"/>
  <c r="EL6" i="7"/>
  <c r="ET6" i="7"/>
  <c r="FB6" i="7"/>
  <c r="G7" i="7"/>
  <c r="O7" i="7"/>
  <c r="W7" i="7"/>
  <c r="AE7" i="7"/>
  <c r="AM7" i="7"/>
  <c r="AU7" i="7"/>
  <c r="BC7" i="7"/>
  <c r="BK7" i="7"/>
  <c r="BS7" i="7"/>
  <c r="CA7" i="7"/>
  <c r="CI7" i="7"/>
  <c r="AS31" i="12" s="1"/>
  <c r="CQ7" i="7"/>
  <c r="CY7" i="7"/>
  <c r="DG7" i="7"/>
  <c r="DO7" i="7"/>
  <c r="DW7" i="7"/>
  <c r="EE7" i="7"/>
  <c r="EM7" i="7"/>
  <c r="EU7" i="7"/>
  <c r="FC7" i="7"/>
  <c r="H8" i="7"/>
  <c r="P8" i="7"/>
  <c r="X8" i="7"/>
  <c r="AF8" i="7"/>
  <c r="AN8" i="7"/>
  <c r="AV8" i="7"/>
  <c r="BD8" i="7"/>
  <c r="BL8" i="7"/>
  <c r="BT8" i="7"/>
  <c r="CB8" i="7"/>
  <c r="CJ8" i="7"/>
  <c r="AT32" i="12" s="1"/>
  <c r="CR8" i="7"/>
  <c r="CZ8" i="7"/>
  <c r="DH8" i="7"/>
  <c r="DP8" i="7"/>
  <c r="DX8" i="7"/>
  <c r="EF8" i="7"/>
  <c r="EN8" i="7"/>
  <c r="EV8" i="7"/>
  <c r="FD8" i="7"/>
  <c r="I9" i="7"/>
  <c r="Q9" i="7"/>
  <c r="Y9" i="7"/>
  <c r="AG9" i="7"/>
  <c r="AO9" i="7"/>
  <c r="AW9" i="7"/>
  <c r="BE9" i="7"/>
  <c r="BM9" i="7"/>
  <c r="BU9" i="7"/>
  <c r="CC9" i="7"/>
  <c r="CK9" i="7"/>
  <c r="CS9" i="7"/>
  <c r="DA9" i="7"/>
  <c r="DI9" i="7"/>
  <c r="DQ9" i="7"/>
  <c r="DY9" i="7"/>
  <c r="EG9" i="7"/>
  <c r="EO9" i="7"/>
  <c r="EW9" i="7"/>
  <c r="FE9" i="7"/>
  <c r="J10" i="7"/>
  <c r="R10" i="7"/>
  <c r="Z10" i="7"/>
  <c r="G6" i="7"/>
  <c r="O6" i="7"/>
  <c r="W6" i="7"/>
  <c r="AE6" i="7"/>
  <c r="H6" i="7"/>
  <c r="P6" i="7"/>
  <c r="X6" i="7"/>
  <c r="AF6" i="7"/>
  <c r="AN6" i="7"/>
  <c r="AV6" i="7"/>
  <c r="BD6" i="7"/>
  <c r="BL6" i="7"/>
  <c r="BT6" i="7"/>
  <c r="CB6" i="7"/>
  <c r="CJ6" i="7"/>
  <c r="AT30" i="12" s="1"/>
  <c r="CR6" i="7"/>
  <c r="CZ6" i="7"/>
  <c r="DH6" i="7"/>
  <c r="DP6" i="7"/>
  <c r="DX6" i="7"/>
  <c r="EF6" i="7"/>
  <c r="EN6" i="7"/>
  <c r="EV6" i="7"/>
  <c r="FD6" i="7"/>
  <c r="I7" i="7"/>
  <c r="Q7" i="7"/>
  <c r="Y7" i="7"/>
  <c r="AG7" i="7"/>
  <c r="AO7" i="7"/>
  <c r="AW7" i="7"/>
  <c r="BE7" i="7"/>
  <c r="BM7" i="7"/>
  <c r="BU7" i="7"/>
  <c r="CC7" i="7"/>
  <c r="CK7" i="7"/>
  <c r="CS7" i="7"/>
  <c r="DA7" i="7"/>
  <c r="DI7" i="7"/>
  <c r="DQ7" i="7"/>
  <c r="DY7" i="7"/>
  <c r="EG7" i="7"/>
  <c r="EO7" i="7"/>
  <c r="EW7" i="7"/>
  <c r="FE7" i="7"/>
  <c r="J8" i="7"/>
  <c r="R8" i="7"/>
  <c r="Z8" i="7"/>
  <c r="AH8" i="7"/>
  <c r="AP8" i="7"/>
  <c r="AX8" i="7"/>
  <c r="BF8" i="7"/>
  <c r="BN8" i="7"/>
  <c r="BV8" i="7"/>
  <c r="CD8" i="7"/>
  <c r="CL8" i="7"/>
  <c r="CT8" i="7"/>
  <c r="DB8" i="7"/>
  <c r="DJ8" i="7"/>
  <c r="DR8" i="7"/>
  <c r="DZ8" i="7"/>
  <c r="EH8" i="7"/>
  <c r="EP8" i="7"/>
  <c r="EX8" i="7"/>
  <c r="C9" i="7"/>
  <c r="K9" i="7"/>
  <c r="S9" i="7"/>
  <c r="AA9" i="7"/>
  <c r="AI9" i="7"/>
  <c r="AQ9" i="7"/>
  <c r="AY9" i="7"/>
  <c r="BG9" i="7"/>
  <c r="I6" i="7"/>
  <c r="Q6" i="7"/>
  <c r="Y6" i="7"/>
  <c r="AG6" i="7"/>
  <c r="AO6" i="7"/>
  <c r="AW6" i="7"/>
  <c r="BE6" i="7"/>
  <c r="BM6" i="7"/>
  <c r="BU6" i="7"/>
  <c r="CC6" i="7"/>
  <c r="CK6" i="7"/>
  <c r="CS6" i="7"/>
  <c r="DA6" i="7"/>
  <c r="DI6" i="7"/>
  <c r="DQ6" i="7"/>
  <c r="DY6" i="7"/>
  <c r="EG6" i="7"/>
  <c r="EO6" i="7"/>
  <c r="EW6" i="7"/>
  <c r="FE6" i="7"/>
  <c r="J7" i="7"/>
  <c r="R7" i="7"/>
  <c r="Z7" i="7"/>
  <c r="AH7" i="7"/>
  <c r="AP7" i="7"/>
  <c r="AX7" i="7"/>
  <c r="BF7" i="7"/>
  <c r="BN7" i="7"/>
  <c r="BV7" i="7"/>
  <c r="CD7" i="7"/>
  <c r="CL7" i="7"/>
  <c r="CT7" i="7"/>
  <c r="DB7" i="7"/>
  <c r="DJ7" i="7"/>
  <c r="DR7" i="7"/>
  <c r="DZ7" i="7"/>
  <c r="EH7" i="7"/>
  <c r="EP7" i="7"/>
  <c r="EX7" i="7"/>
  <c r="C8" i="7"/>
  <c r="K8" i="7"/>
  <c r="S8" i="7"/>
  <c r="AA8" i="7"/>
  <c r="AI8" i="7"/>
  <c r="AQ8" i="7"/>
  <c r="AY8" i="7"/>
  <c r="BG8" i="7"/>
  <c r="BO8" i="7"/>
  <c r="BW8" i="7"/>
  <c r="CE8" i="7"/>
  <c r="CM8" i="7"/>
  <c r="CU8" i="7"/>
  <c r="DC8" i="7"/>
  <c r="DK8" i="7"/>
  <c r="DS8" i="7"/>
  <c r="EA8" i="7"/>
  <c r="EI8" i="7"/>
  <c r="EQ8" i="7"/>
  <c r="EY8" i="7"/>
  <c r="D9" i="7"/>
  <c r="L9" i="7"/>
  <c r="T9" i="7"/>
  <c r="AB9" i="7"/>
  <c r="AJ9" i="7"/>
  <c r="AR9" i="7"/>
  <c r="AZ9" i="7"/>
  <c r="BH9" i="7"/>
  <c r="BP9" i="7"/>
  <c r="BX9" i="7"/>
  <c r="CF9" i="7"/>
  <c r="CN9" i="7"/>
  <c r="CV9" i="7"/>
  <c r="DD9" i="7"/>
  <c r="DL9" i="7"/>
  <c r="DT9" i="7"/>
  <c r="EB9" i="7"/>
  <c r="BK6" i="7"/>
  <c r="DW6" i="7"/>
  <c r="AF7" i="7"/>
  <c r="CR7" i="7"/>
  <c r="FD7" i="7"/>
  <c r="BM8" i="7"/>
  <c r="DY8" i="7"/>
  <c r="AH9" i="7"/>
  <c r="CD9" i="7"/>
  <c r="DJ9" i="7"/>
  <c r="EI9" i="7"/>
  <c r="EY9" i="7"/>
  <c r="L10" i="7"/>
  <c r="AA10" i="7"/>
  <c r="AJ10" i="7"/>
  <c r="AR10" i="7"/>
  <c r="AZ10" i="7"/>
  <c r="BH10" i="7"/>
  <c r="BP10" i="7"/>
  <c r="BX10" i="7"/>
  <c r="CF10" i="7"/>
  <c r="CN10" i="7"/>
  <c r="CV10" i="7"/>
  <c r="DD10" i="7"/>
  <c r="DL10" i="7"/>
  <c r="DT10" i="7"/>
  <c r="EB10" i="7"/>
  <c r="EJ10" i="7"/>
  <c r="ER10" i="7"/>
  <c r="EZ10" i="7"/>
  <c r="E11" i="7"/>
  <c r="M11" i="7"/>
  <c r="U11" i="7"/>
  <c r="AC11" i="7"/>
  <c r="AK11" i="7"/>
  <c r="AS11" i="7"/>
  <c r="BA11" i="7"/>
  <c r="BI11" i="7"/>
  <c r="BQ11" i="7"/>
  <c r="BY11" i="7"/>
  <c r="CG11" i="7"/>
  <c r="CO11" i="7"/>
  <c r="CW11" i="7"/>
  <c r="DE11" i="7"/>
  <c r="DM11" i="7"/>
  <c r="DU11" i="7"/>
  <c r="EC11" i="7"/>
  <c r="EK11" i="7"/>
  <c r="ES11" i="7"/>
  <c r="FA11" i="7"/>
  <c r="F12" i="7"/>
  <c r="N12" i="7"/>
  <c r="V12" i="7"/>
  <c r="AD12" i="7"/>
  <c r="AL12" i="7"/>
  <c r="AT12" i="7"/>
  <c r="BB12" i="7"/>
  <c r="BJ12" i="7"/>
  <c r="BR12" i="7"/>
  <c r="BZ12" i="7"/>
  <c r="CH12" i="7"/>
  <c r="AR36" i="12" s="1"/>
  <c r="CP12" i="7"/>
  <c r="CX12" i="7"/>
  <c r="DF12" i="7"/>
  <c r="DN12" i="7"/>
  <c r="DV12" i="7"/>
  <c r="ED12" i="7"/>
  <c r="EL12" i="7"/>
  <c r="ET12" i="7"/>
  <c r="FB12" i="7"/>
  <c r="G13" i="7"/>
  <c r="O13" i="7"/>
  <c r="W13" i="7"/>
  <c r="AE13" i="7"/>
  <c r="AM13" i="7"/>
  <c r="AU13" i="7"/>
  <c r="BC13" i="7"/>
  <c r="BK13" i="7"/>
  <c r="BS13" i="7"/>
  <c r="CA13" i="7"/>
  <c r="CI13" i="7"/>
  <c r="AS37" i="12" s="1"/>
  <c r="CQ13" i="7"/>
  <c r="CY13" i="7"/>
  <c r="DG13" i="7"/>
  <c r="DO13" i="7"/>
  <c r="DW13" i="7"/>
  <c r="EE13" i="7"/>
  <c r="EM13" i="7"/>
  <c r="EU13" i="7"/>
  <c r="FC13" i="7"/>
  <c r="H14" i="7"/>
  <c r="P14" i="7"/>
  <c r="X14" i="7"/>
  <c r="AF14" i="7"/>
  <c r="AN14" i="7"/>
  <c r="AV14" i="7"/>
  <c r="BD14" i="7"/>
  <c r="BL14" i="7"/>
  <c r="BT14" i="7"/>
  <c r="CB14" i="7"/>
  <c r="CJ14" i="7"/>
  <c r="AT38" i="12" s="1"/>
  <c r="CR14" i="7"/>
  <c r="CZ14" i="7"/>
  <c r="BS6" i="7"/>
  <c r="EE6" i="7"/>
  <c r="AN7" i="7"/>
  <c r="CZ7" i="7"/>
  <c r="I8" i="7"/>
  <c r="BU8" i="7"/>
  <c r="EG8" i="7"/>
  <c r="AP9" i="7"/>
  <c r="CE9" i="7"/>
  <c r="DK9" i="7"/>
  <c r="EJ9" i="7"/>
  <c r="EZ9" i="7"/>
  <c r="M10" i="7"/>
  <c r="AB10" i="7"/>
  <c r="AK10" i="7"/>
  <c r="AS10" i="7"/>
  <c r="BA10" i="7"/>
  <c r="BI10" i="7"/>
  <c r="BQ10" i="7"/>
  <c r="BY10" i="7"/>
  <c r="CG10" i="7"/>
  <c r="CO10" i="7"/>
  <c r="CW10" i="7"/>
  <c r="DE10" i="7"/>
  <c r="DM10" i="7"/>
  <c r="DU10" i="7"/>
  <c r="EC10" i="7"/>
  <c r="EK10" i="7"/>
  <c r="ES10" i="7"/>
  <c r="FA10" i="7"/>
  <c r="F11" i="7"/>
  <c r="N11" i="7"/>
  <c r="V11" i="7"/>
  <c r="AD11" i="7"/>
  <c r="AL11" i="7"/>
  <c r="AT11" i="7"/>
  <c r="BB11" i="7"/>
  <c r="BJ11" i="7"/>
  <c r="BR11" i="7"/>
  <c r="BZ11" i="7"/>
  <c r="CH11" i="7"/>
  <c r="AR35" i="12" s="1"/>
  <c r="CP11" i="7"/>
  <c r="CX11" i="7"/>
  <c r="DF11" i="7"/>
  <c r="DN11" i="7"/>
  <c r="DV11" i="7"/>
  <c r="ED11" i="7"/>
  <c r="EL11" i="7"/>
  <c r="ET11" i="7"/>
  <c r="FB11" i="7"/>
  <c r="G12" i="7"/>
  <c r="O12" i="7"/>
  <c r="W12" i="7"/>
  <c r="AE12" i="7"/>
  <c r="AM12" i="7"/>
  <c r="AU12" i="7"/>
  <c r="BC12" i="7"/>
  <c r="BK12" i="7"/>
  <c r="BS12" i="7"/>
  <c r="CA12" i="7"/>
  <c r="CI12" i="7"/>
  <c r="AS36" i="12" s="1"/>
  <c r="CQ12" i="7"/>
  <c r="CY12" i="7"/>
  <c r="DG12" i="7"/>
  <c r="DO12" i="7"/>
  <c r="DW12" i="7"/>
  <c r="EE12" i="7"/>
  <c r="EM12" i="7"/>
  <c r="EU12" i="7"/>
  <c r="FC12" i="7"/>
  <c r="H13" i="7"/>
  <c r="P13" i="7"/>
  <c r="X13" i="7"/>
  <c r="AF13" i="7"/>
  <c r="AN13" i="7"/>
  <c r="AV13" i="7"/>
  <c r="BD13" i="7"/>
  <c r="BL13" i="7"/>
  <c r="BT13" i="7"/>
  <c r="CB13" i="7"/>
  <c r="CJ13" i="7"/>
  <c r="AT37" i="12" s="1"/>
  <c r="CR13" i="7"/>
  <c r="CZ13" i="7"/>
  <c r="DH13" i="7"/>
  <c r="DP13" i="7"/>
  <c r="DX13" i="7"/>
  <c r="EF13" i="7"/>
  <c r="EN13" i="7"/>
  <c r="EV13" i="7"/>
  <c r="FD13" i="7"/>
  <c r="I14" i="7"/>
  <c r="Q14" i="7"/>
  <c r="Y14" i="7"/>
  <c r="AG14" i="7"/>
  <c r="AO14" i="7"/>
  <c r="AW14" i="7"/>
  <c r="BE14" i="7"/>
  <c r="BM14" i="7"/>
  <c r="BU14" i="7"/>
  <c r="CC14" i="7"/>
  <c r="CK14" i="7"/>
  <c r="CS14" i="7"/>
  <c r="DA14" i="7"/>
  <c r="DI14" i="7"/>
  <c r="CA6" i="7"/>
  <c r="EM6" i="7"/>
  <c r="AV7" i="7"/>
  <c r="DH7" i="7"/>
  <c r="Q8" i="7"/>
  <c r="CC8" i="7"/>
  <c r="EO8" i="7"/>
  <c r="AX9" i="7"/>
  <c r="CL9" i="7"/>
  <c r="DR9" i="7"/>
  <c r="EK9" i="7"/>
  <c r="FA9" i="7"/>
  <c r="N10" i="7"/>
  <c r="AC10" i="7"/>
  <c r="AL10" i="7"/>
  <c r="AT10" i="7"/>
  <c r="BB10" i="7"/>
  <c r="BJ10" i="7"/>
  <c r="BR10" i="7"/>
  <c r="BZ10" i="7"/>
  <c r="CH10" i="7"/>
  <c r="AR34" i="12" s="1"/>
  <c r="CP10" i="7"/>
  <c r="CX10" i="7"/>
  <c r="DF10" i="7"/>
  <c r="DN10" i="7"/>
  <c r="DV10" i="7"/>
  <c r="ED10" i="7"/>
  <c r="EL10" i="7"/>
  <c r="ET10" i="7"/>
  <c r="FB10" i="7"/>
  <c r="G11" i="7"/>
  <c r="O11" i="7"/>
  <c r="W11" i="7"/>
  <c r="AE11" i="7"/>
  <c r="AM11" i="7"/>
  <c r="AU11" i="7"/>
  <c r="BC11" i="7"/>
  <c r="BK11" i="7"/>
  <c r="BS11" i="7"/>
  <c r="CA11" i="7"/>
  <c r="CI11" i="7"/>
  <c r="AS35" i="12" s="1"/>
  <c r="CQ11" i="7"/>
  <c r="CY11" i="7"/>
  <c r="DG11" i="7"/>
  <c r="DO11" i="7"/>
  <c r="DW11" i="7"/>
  <c r="EE11" i="7"/>
  <c r="EM11" i="7"/>
  <c r="EU11" i="7"/>
  <c r="FC11" i="7"/>
  <c r="H12" i="7"/>
  <c r="P12" i="7"/>
  <c r="X12" i="7"/>
  <c r="AF12" i="7"/>
  <c r="AN12" i="7"/>
  <c r="AV12" i="7"/>
  <c r="BD12" i="7"/>
  <c r="BL12" i="7"/>
  <c r="BT12" i="7"/>
  <c r="CB12" i="7"/>
  <c r="CJ12" i="7"/>
  <c r="AT36" i="12" s="1"/>
  <c r="CR12" i="7"/>
  <c r="CZ12" i="7"/>
  <c r="DH12" i="7"/>
  <c r="DP12" i="7"/>
  <c r="DX12" i="7"/>
  <c r="EF12" i="7"/>
  <c r="EN12" i="7"/>
  <c r="EV12" i="7"/>
  <c r="FD12" i="7"/>
  <c r="I13" i="7"/>
  <c r="Q13" i="7"/>
  <c r="Y13" i="7"/>
  <c r="AG13" i="7"/>
  <c r="AO13" i="7"/>
  <c r="AW13" i="7"/>
  <c r="BE13" i="7"/>
  <c r="BM13" i="7"/>
  <c r="CI6" i="7"/>
  <c r="AS30" i="12" s="1"/>
  <c r="EU6" i="7"/>
  <c r="BD7" i="7"/>
  <c r="DP7" i="7"/>
  <c r="Y8" i="7"/>
  <c r="CK8" i="7"/>
  <c r="EW8" i="7"/>
  <c r="BF9" i="7"/>
  <c r="CM9" i="7"/>
  <c r="DS9" i="7"/>
  <c r="EP9" i="7"/>
  <c r="C10" i="7"/>
  <c r="S10" i="7"/>
  <c r="AD10" i="7"/>
  <c r="AM10" i="7"/>
  <c r="AU10" i="7"/>
  <c r="BC10" i="7"/>
  <c r="BK10" i="7"/>
  <c r="BS10" i="7"/>
  <c r="CA10" i="7"/>
  <c r="CI10" i="7"/>
  <c r="AS34" i="12" s="1"/>
  <c r="CQ10" i="7"/>
  <c r="CY10" i="7"/>
  <c r="DG10" i="7"/>
  <c r="DO10" i="7"/>
  <c r="DW10" i="7"/>
  <c r="EE10" i="7"/>
  <c r="EM10" i="7"/>
  <c r="EU10" i="7"/>
  <c r="FC10" i="7"/>
  <c r="H11" i="7"/>
  <c r="P11" i="7"/>
  <c r="X11" i="7"/>
  <c r="AF11" i="7"/>
  <c r="AN11" i="7"/>
  <c r="AV11" i="7"/>
  <c r="BD11" i="7"/>
  <c r="BL11" i="7"/>
  <c r="BT11" i="7"/>
  <c r="CB11" i="7"/>
  <c r="CJ11" i="7"/>
  <c r="AT35" i="12" s="1"/>
  <c r="CR11" i="7"/>
  <c r="CZ11" i="7"/>
  <c r="DH11" i="7"/>
  <c r="DP11" i="7"/>
  <c r="DX11" i="7"/>
  <c r="EF11" i="7"/>
  <c r="EN11" i="7"/>
  <c r="EV11" i="7"/>
  <c r="FD11" i="7"/>
  <c r="I12" i="7"/>
  <c r="Q12" i="7"/>
  <c r="Y12" i="7"/>
  <c r="AG12" i="7"/>
  <c r="AO12" i="7"/>
  <c r="AW12" i="7"/>
  <c r="BE12" i="7"/>
  <c r="BM12" i="7"/>
  <c r="BU12" i="7"/>
  <c r="CC12" i="7"/>
  <c r="CK12" i="7"/>
  <c r="CS12" i="7"/>
  <c r="DA12" i="7"/>
  <c r="DI12" i="7"/>
  <c r="DQ12" i="7"/>
  <c r="DY12" i="7"/>
  <c r="EG12" i="7"/>
  <c r="EO12" i="7"/>
  <c r="EW12" i="7"/>
  <c r="FE12" i="7"/>
  <c r="J13" i="7"/>
  <c r="R13" i="7"/>
  <c r="Z13" i="7"/>
  <c r="AH13" i="7"/>
  <c r="AP13" i="7"/>
  <c r="AX13" i="7"/>
  <c r="BF13" i="7"/>
  <c r="BN13" i="7"/>
  <c r="BV13" i="7"/>
  <c r="CD13" i="7"/>
  <c r="CL13" i="7"/>
  <c r="CT13" i="7"/>
  <c r="DB13" i="7"/>
  <c r="DJ13" i="7"/>
  <c r="DR13" i="7"/>
  <c r="DZ13" i="7"/>
  <c r="EH13" i="7"/>
  <c r="EP13" i="7"/>
  <c r="EX13" i="7"/>
  <c r="C14" i="7"/>
  <c r="K14" i="7"/>
  <c r="S14" i="7"/>
  <c r="AA14" i="7"/>
  <c r="AI14" i="7"/>
  <c r="AQ14" i="7"/>
  <c r="AY14" i="7"/>
  <c r="BG14" i="7"/>
  <c r="BO14" i="7"/>
  <c r="BW14" i="7"/>
  <c r="CE14" i="7"/>
  <c r="CM14" i="7"/>
  <c r="CQ6" i="7"/>
  <c r="FC6" i="7"/>
  <c r="BL7" i="7"/>
  <c r="DX7" i="7"/>
  <c r="AG8" i="7"/>
  <c r="AM6" i="7"/>
  <c r="AU6" i="7"/>
  <c r="DG6" i="7"/>
  <c r="P7" i="7"/>
  <c r="CB7" i="7"/>
  <c r="EN7" i="7"/>
  <c r="AW8" i="7"/>
  <c r="DI8" i="7"/>
  <c r="R9" i="7"/>
  <c r="BV9" i="7"/>
  <c r="DB9" i="7"/>
  <c r="EC9" i="7"/>
  <c r="ES9" i="7"/>
  <c r="F10" i="7"/>
  <c r="V10" i="7"/>
  <c r="AH10" i="7"/>
  <c r="AP10" i="7"/>
  <c r="AX10" i="7"/>
  <c r="BF10" i="7"/>
  <c r="BN10" i="7"/>
  <c r="BV10" i="7"/>
  <c r="CD10" i="7"/>
  <c r="CL10" i="7"/>
  <c r="CT10" i="7"/>
  <c r="DB10" i="7"/>
  <c r="DJ10" i="7"/>
  <c r="DR10" i="7"/>
  <c r="DZ10" i="7"/>
  <c r="EH10" i="7"/>
  <c r="EP10" i="7"/>
  <c r="EX10" i="7"/>
  <c r="C11" i="7"/>
  <c r="K11" i="7"/>
  <c r="S11" i="7"/>
  <c r="AA11" i="7"/>
  <c r="AI11" i="7"/>
  <c r="AQ11" i="7"/>
  <c r="AY11" i="7"/>
  <c r="BG11" i="7"/>
  <c r="BO11" i="7"/>
  <c r="BW11" i="7"/>
  <c r="CE11" i="7"/>
  <c r="CM11" i="7"/>
  <c r="CU11" i="7"/>
  <c r="DC11" i="7"/>
  <c r="DK11" i="7"/>
  <c r="DS11" i="7"/>
  <c r="EA11" i="7"/>
  <c r="EI11" i="7"/>
  <c r="EQ11" i="7"/>
  <c r="EY11" i="7"/>
  <c r="D12" i="7"/>
  <c r="L12" i="7"/>
  <c r="T12" i="7"/>
  <c r="AB12" i="7"/>
  <c r="AJ12" i="7"/>
  <c r="AR12" i="7"/>
  <c r="AZ12" i="7"/>
  <c r="BH12" i="7"/>
  <c r="BP12" i="7"/>
  <c r="BX12" i="7"/>
  <c r="CF12" i="7"/>
  <c r="CN12" i="7"/>
  <c r="CV12" i="7"/>
  <c r="DD12" i="7"/>
  <c r="DL12" i="7"/>
  <c r="DT12" i="7"/>
  <c r="EB12" i="7"/>
  <c r="EJ12" i="7"/>
  <c r="ER12" i="7"/>
  <c r="EZ12" i="7"/>
  <c r="E13" i="7"/>
  <c r="M13" i="7"/>
  <c r="U13" i="7"/>
  <c r="AC13" i="7"/>
  <c r="AK13" i="7"/>
  <c r="AS13" i="7"/>
  <c r="BC6" i="7"/>
  <c r="DO6" i="7"/>
  <c r="X7" i="7"/>
  <c r="CJ7" i="7"/>
  <c r="AT31" i="12" s="1"/>
  <c r="EV7" i="7"/>
  <c r="BE8" i="7"/>
  <c r="DQ8" i="7"/>
  <c r="Z9" i="7"/>
  <c r="BW9" i="7"/>
  <c r="DC9" i="7"/>
  <c r="EH9" i="7"/>
  <c r="EX9" i="7"/>
  <c r="K10" i="7"/>
  <c r="X10" i="7"/>
  <c r="AI10" i="7"/>
  <c r="AQ10" i="7"/>
  <c r="AY10" i="7"/>
  <c r="BG10" i="7"/>
  <c r="BO10" i="7"/>
  <c r="BW10" i="7"/>
  <c r="CE10" i="7"/>
  <c r="CM10" i="7"/>
  <c r="CU10" i="7"/>
  <c r="DC10" i="7"/>
  <c r="DK10" i="7"/>
  <c r="DS10" i="7"/>
  <c r="EA10" i="7"/>
  <c r="EI10" i="7"/>
  <c r="EQ10" i="7"/>
  <c r="EY10" i="7"/>
  <c r="D11" i="7"/>
  <c r="L11" i="7"/>
  <c r="T11" i="7"/>
  <c r="AB11" i="7"/>
  <c r="AJ11" i="7"/>
  <c r="AR11" i="7"/>
  <c r="AZ11" i="7"/>
  <c r="BH11" i="7"/>
  <c r="BP11" i="7"/>
  <c r="BX11" i="7"/>
  <c r="CF11" i="7"/>
  <c r="CN11" i="7"/>
  <c r="CV11" i="7"/>
  <c r="DD11" i="7"/>
  <c r="DL11" i="7"/>
  <c r="DT11" i="7"/>
  <c r="EB11" i="7"/>
  <c r="EJ11" i="7"/>
  <c r="ER11" i="7"/>
  <c r="EZ11" i="7"/>
  <c r="E12" i="7"/>
  <c r="M12" i="7"/>
  <c r="U12" i="7"/>
  <c r="AC12" i="7"/>
  <c r="AK12" i="7"/>
  <c r="AS12" i="7"/>
  <c r="BA12" i="7"/>
  <c r="BI12" i="7"/>
  <c r="BQ12" i="7"/>
  <c r="BY12" i="7"/>
  <c r="CG12" i="7"/>
  <c r="CO12" i="7"/>
  <c r="CW12" i="7"/>
  <c r="DE12" i="7"/>
  <c r="DM12" i="7"/>
  <c r="DU12" i="7"/>
  <c r="EC12" i="7"/>
  <c r="EK12" i="7"/>
  <c r="ES12" i="7"/>
  <c r="FA12" i="7"/>
  <c r="F13" i="7"/>
  <c r="N13" i="7"/>
  <c r="V13" i="7"/>
  <c r="AD13" i="7"/>
  <c r="AL13" i="7"/>
  <c r="AT13" i="7"/>
  <c r="BB13" i="7"/>
  <c r="BJ13" i="7"/>
  <c r="BR13" i="7"/>
  <c r="BZ13" i="7"/>
  <c r="CH13" i="7"/>
  <c r="AR37" i="12" s="1"/>
  <c r="CP13" i="7"/>
  <c r="CX13" i="7"/>
  <c r="DF13" i="7"/>
  <c r="DN13" i="7"/>
  <c r="EF7" i="7"/>
  <c r="CT9" i="7"/>
  <c r="T10" i="7"/>
  <c r="BD10" i="7"/>
  <c r="CJ10" i="7"/>
  <c r="AT34" i="12" s="1"/>
  <c r="DP10" i="7"/>
  <c r="EV10" i="7"/>
  <c r="Y11" i="7"/>
  <c r="BE11" i="7"/>
  <c r="CK11" i="7"/>
  <c r="DQ11" i="7"/>
  <c r="EW11" i="7"/>
  <c r="Z12" i="7"/>
  <c r="BF12" i="7"/>
  <c r="CL12" i="7"/>
  <c r="DR12" i="7"/>
  <c r="EX12" i="7"/>
  <c r="AA13" i="7"/>
  <c r="BA13" i="7"/>
  <c r="BW13" i="7"/>
  <c r="CM13" i="7"/>
  <c r="DC13" i="7"/>
  <c r="DS13" i="7"/>
  <c r="ED13" i="7"/>
  <c r="ER13" i="7"/>
  <c r="FE13" i="7"/>
  <c r="N14" i="7"/>
  <c r="AB14" i="7"/>
  <c r="AM14" i="7"/>
  <c r="BA14" i="7"/>
  <c r="BN14" i="7"/>
  <c r="BZ14" i="7"/>
  <c r="CN14" i="7"/>
  <c r="CX14" i="7"/>
  <c r="DH14" i="7"/>
  <c r="DQ14" i="7"/>
  <c r="DY14" i="7"/>
  <c r="EG14" i="7"/>
  <c r="EO14" i="7"/>
  <c r="EW14" i="7"/>
  <c r="FE14" i="7"/>
  <c r="J15" i="7"/>
  <c r="R15" i="7"/>
  <c r="Z15" i="7"/>
  <c r="AH15" i="7"/>
  <c r="AP15" i="7"/>
  <c r="AX15" i="7"/>
  <c r="BF15" i="7"/>
  <c r="BN15" i="7"/>
  <c r="BV15" i="7"/>
  <c r="CD15" i="7"/>
  <c r="CL15" i="7"/>
  <c r="CT15" i="7"/>
  <c r="DB15" i="7"/>
  <c r="DJ15" i="7"/>
  <c r="DR15" i="7"/>
  <c r="DZ15" i="7"/>
  <c r="EH15" i="7"/>
  <c r="EP15" i="7"/>
  <c r="EX15" i="7"/>
  <c r="C16" i="7"/>
  <c r="K16" i="7"/>
  <c r="S16" i="7"/>
  <c r="AA16" i="7"/>
  <c r="AI16" i="7"/>
  <c r="AQ16" i="7"/>
  <c r="AY16" i="7"/>
  <c r="BG16" i="7"/>
  <c r="BO16" i="7"/>
  <c r="BW16" i="7"/>
  <c r="CE16" i="7"/>
  <c r="CM16" i="7"/>
  <c r="CU16" i="7"/>
  <c r="DC16" i="7"/>
  <c r="DK16" i="7"/>
  <c r="DS16" i="7"/>
  <c r="AO8" i="7"/>
  <c r="CU9" i="7"/>
  <c r="U10" i="7"/>
  <c r="BE10" i="7"/>
  <c r="CK10" i="7"/>
  <c r="DQ10" i="7"/>
  <c r="EW10" i="7"/>
  <c r="Z11" i="7"/>
  <c r="BF11" i="7"/>
  <c r="CL11" i="7"/>
  <c r="DR11" i="7"/>
  <c r="EX11" i="7"/>
  <c r="AA12" i="7"/>
  <c r="BG12" i="7"/>
  <c r="CM12" i="7"/>
  <c r="DS12" i="7"/>
  <c r="EY12" i="7"/>
  <c r="AB13" i="7"/>
  <c r="BG13" i="7"/>
  <c r="BX13" i="7"/>
  <c r="CN13" i="7"/>
  <c r="DD13" i="7"/>
  <c r="DT13" i="7"/>
  <c r="EG13" i="7"/>
  <c r="ES13" i="7"/>
  <c r="D14" i="7"/>
  <c r="O14" i="7"/>
  <c r="AC14" i="7"/>
  <c r="AP14" i="7"/>
  <c r="BB14" i="7"/>
  <c r="BP14" i="7"/>
  <c r="CA14" i="7"/>
  <c r="CO14" i="7"/>
  <c r="CY14" i="7"/>
  <c r="DJ14" i="7"/>
  <c r="DR14" i="7"/>
  <c r="DZ14" i="7"/>
  <c r="EH14" i="7"/>
  <c r="EP14" i="7"/>
  <c r="EX14" i="7"/>
  <c r="C15" i="7"/>
  <c r="K15" i="7"/>
  <c r="S15" i="7"/>
  <c r="AA15" i="7"/>
  <c r="AI15" i="7"/>
  <c r="AQ15" i="7"/>
  <c r="AY15" i="7"/>
  <c r="BG15" i="7"/>
  <c r="BO15" i="7"/>
  <c r="BW15" i="7"/>
  <c r="CE15" i="7"/>
  <c r="CM15" i="7"/>
  <c r="CU15" i="7"/>
  <c r="DC15" i="7"/>
  <c r="DK15" i="7"/>
  <c r="DS15" i="7"/>
  <c r="EA15" i="7"/>
  <c r="EI15" i="7"/>
  <c r="EQ15" i="7"/>
  <c r="EY15" i="7"/>
  <c r="D16" i="7"/>
  <c r="L16" i="7"/>
  <c r="T16" i="7"/>
  <c r="AB16" i="7"/>
  <c r="AJ16" i="7"/>
  <c r="AR16" i="7"/>
  <c r="AZ16" i="7"/>
  <c r="BH16" i="7"/>
  <c r="BP16" i="7"/>
  <c r="BX16" i="7"/>
  <c r="CF16" i="7"/>
  <c r="CN16" i="7"/>
  <c r="CV16" i="7"/>
  <c r="DD16" i="7"/>
  <c r="DL16" i="7"/>
  <c r="DT16" i="7"/>
  <c r="EB16" i="7"/>
  <c r="EJ16" i="7"/>
  <c r="ER16" i="7"/>
  <c r="EZ16" i="7"/>
  <c r="E17" i="7"/>
  <c r="M17" i="7"/>
  <c r="U17" i="7"/>
  <c r="AC17" i="7"/>
  <c r="AK17" i="7"/>
  <c r="AS17" i="7"/>
  <c r="BA17" i="7"/>
  <c r="BI17" i="7"/>
  <c r="CS8" i="7"/>
  <c r="DZ9" i="7"/>
  <c r="AF10" i="7"/>
  <c r="BL10" i="7"/>
  <c r="CR10" i="7"/>
  <c r="DX10" i="7"/>
  <c r="FD10" i="7"/>
  <c r="AG11" i="7"/>
  <c r="BM11" i="7"/>
  <c r="CS11" i="7"/>
  <c r="DY11" i="7"/>
  <c r="FE11" i="7"/>
  <c r="AH12" i="7"/>
  <c r="BN12" i="7"/>
  <c r="CT12" i="7"/>
  <c r="DZ12" i="7"/>
  <c r="C13" i="7"/>
  <c r="AI13" i="7"/>
  <c r="BH13" i="7"/>
  <c r="BY13" i="7"/>
  <c r="CO13" i="7"/>
  <c r="DE13" i="7"/>
  <c r="DU13" i="7"/>
  <c r="EI13" i="7"/>
  <c r="ET13" i="7"/>
  <c r="E14" i="7"/>
  <c r="R14" i="7"/>
  <c r="AD14" i="7"/>
  <c r="AR14" i="7"/>
  <c r="BC14" i="7"/>
  <c r="BQ14" i="7"/>
  <c r="CD14" i="7"/>
  <c r="CP14" i="7"/>
  <c r="DB14" i="7"/>
  <c r="DK14" i="7"/>
  <c r="DS14" i="7"/>
  <c r="EA14" i="7"/>
  <c r="EI14" i="7"/>
  <c r="EQ14" i="7"/>
  <c r="EY14" i="7"/>
  <c r="D15" i="7"/>
  <c r="L15" i="7"/>
  <c r="T15" i="7"/>
  <c r="AB15" i="7"/>
  <c r="AJ15" i="7"/>
  <c r="AR15" i="7"/>
  <c r="AZ15" i="7"/>
  <c r="BH15" i="7"/>
  <c r="BP15" i="7"/>
  <c r="BX15" i="7"/>
  <c r="CF15" i="7"/>
  <c r="CN15" i="7"/>
  <c r="CV15" i="7"/>
  <c r="DD15" i="7"/>
  <c r="DL15" i="7"/>
  <c r="DT15" i="7"/>
  <c r="EB15" i="7"/>
  <c r="EJ15" i="7"/>
  <c r="ER15" i="7"/>
  <c r="EZ15" i="7"/>
  <c r="E16" i="7"/>
  <c r="M16" i="7"/>
  <c r="U16" i="7"/>
  <c r="AC16" i="7"/>
  <c r="AK16" i="7"/>
  <c r="AS16" i="7"/>
  <c r="BA16" i="7"/>
  <c r="BI16" i="7"/>
  <c r="BQ16" i="7"/>
  <c r="BY16" i="7"/>
  <c r="CG16" i="7"/>
  <c r="CO16" i="7"/>
  <c r="CW16" i="7"/>
  <c r="DE16" i="7"/>
  <c r="DM16" i="7"/>
  <c r="DU16" i="7"/>
  <c r="EC16" i="7"/>
  <c r="EK16" i="7"/>
  <c r="ES16" i="7"/>
  <c r="FA16" i="7"/>
  <c r="F17" i="7"/>
  <c r="N17" i="7"/>
  <c r="V17" i="7"/>
  <c r="AD17" i="7"/>
  <c r="AL17" i="7"/>
  <c r="DA8" i="7"/>
  <c r="EA9" i="7"/>
  <c r="AG10" i="7"/>
  <c r="BM10" i="7"/>
  <c r="CS10" i="7"/>
  <c r="DY10" i="7"/>
  <c r="FE10" i="7"/>
  <c r="AH11" i="7"/>
  <c r="BN11" i="7"/>
  <c r="CT11" i="7"/>
  <c r="DZ11" i="7"/>
  <c r="C12" i="7"/>
  <c r="AI12" i="7"/>
  <c r="BO12" i="7"/>
  <c r="CU12" i="7"/>
  <c r="EA12" i="7"/>
  <c r="D13" i="7"/>
  <c r="AJ13" i="7"/>
  <c r="BI13" i="7"/>
  <c r="CC13" i="7"/>
  <c r="CS13" i="7"/>
  <c r="DI13" i="7"/>
  <c r="DV13" i="7"/>
  <c r="EJ13" i="7"/>
  <c r="EW13" i="7"/>
  <c r="F14" i="7"/>
  <c r="T14" i="7"/>
  <c r="AE14" i="7"/>
  <c r="AS14" i="7"/>
  <c r="BF14" i="7"/>
  <c r="BR14" i="7"/>
  <c r="CF14" i="7"/>
  <c r="CQ14" i="7"/>
  <c r="DC14" i="7"/>
  <c r="DL14" i="7"/>
  <c r="DT14" i="7"/>
  <c r="EB14" i="7"/>
  <c r="EJ14" i="7"/>
  <c r="ER14" i="7"/>
  <c r="EZ14" i="7"/>
  <c r="E15" i="7"/>
  <c r="M15" i="7"/>
  <c r="U15" i="7"/>
  <c r="AC15" i="7"/>
  <c r="AK15" i="7"/>
  <c r="AS15" i="7"/>
  <c r="BA15" i="7"/>
  <c r="BI15" i="7"/>
  <c r="BQ15" i="7"/>
  <c r="BY15" i="7"/>
  <c r="CG15" i="7"/>
  <c r="CO15" i="7"/>
  <c r="CW15" i="7"/>
  <c r="DE15" i="7"/>
  <c r="DM15" i="7"/>
  <c r="DU15" i="7"/>
  <c r="EC15" i="7"/>
  <c r="EK15" i="7"/>
  <c r="ES15" i="7"/>
  <c r="FA15" i="7"/>
  <c r="F16" i="7"/>
  <c r="N16" i="7"/>
  <c r="V16" i="7"/>
  <c r="AD16" i="7"/>
  <c r="AL16" i="7"/>
  <c r="AT16" i="7"/>
  <c r="BB16" i="7"/>
  <c r="BJ16" i="7"/>
  <c r="BR16" i="7"/>
  <c r="BZ16" i="7"/>
  <c r="CH16" i="7"/>
  <c r="AR40" i="12" s="1"/>
  <c r="CP16" i="7"/>
  <c r="CX16" i="7"/>
  <c r="DF16" i="7"/>
  <c r="DN16" i="7"/>
  <c r="DV16" i="7"/>
  <c r="ED16" i="7"/>
  <c r="EL16" i="7"/>
  <c r="ET16" i="7"/>
  <c r="FB16" i="7"/>
  <c r="G17" i="7"/>
  <c r="O17" i="7"/>
  <c r="W17" i="7"/>
  <c r="AE17" i="7"/>
  <c r="AM17" i="7"/>
  <c r="FE8" i="7"/>
  <c r="EQ9" i="7"/>
  <c r="AN10" i="7"/>
  <c r="BT10" i="7"/>
  <c r="CZ10" i="7"/>
  <c r="EF10" i="7"/>
  <c r="I11" i="7"/>
  <c r="AO11" i="7"/>
  <c r="BU11" i="7"/>
  <c r="DA11" i="7"/>
  <c r="EG11" i="7"/>
  <c r="J12" i="7"/>
  <c r="AP12" i="7"/>
  <c r="BV12" i="7"/>
  <c r="DB12" i="7"/>
  <c r="EH12" i="7"/>
  <c r="K13" i="7"/>
  <c r="AQ13" i="7"/>
  <c r="BO13" i="7"/>
  <c r="CE13" i="7"/>
  <c r="CU13" i="7"/>
  <c r="DK13" i="7"/>
  <c r="DY13" i="7"/>
  <c r="EK13" i="7"/>
  <c r="EY13" i="7"/>
  <c r="G14" i="7"/>
  <c r="U14" i="7"/>
  <c r="AH14" i="7"/>
  <c r="AT14" i="7"/>
  <c r="BH14" i="7"/>
  <c r="BS14" i="7"/>
  <c r="CG14" i="7"/>
  <c r="CT14" i="7"/>
  <c r="DD14" i="7"/>
  <c r="DM14" i="7"/>
  <c r="DU14" i="7"/>
  <c r="EC14" i="7"/>
  <c r="CY6" i="7"/>
  <c r="J9" i="7"/>
  <c r="ER9" i="7"/>
  <c r="AO10" i="7"/>
  <c r="BU10" i="7"/>
  <c r="DA10" i="7"/>
  <c r="EG10" i="7"/>
  <c r="J11" i="7"/>
  <c r="AP11" i="7"/>
  <c r="BV11" i="7"/>
  <c r="DB11" i="7"/>
  <c r="EH11" i="7"/>
  <c r="K12" i="7"/>
  <c r="AQ12" i="7"/>
  <c r="BW12" i="7"/>
  <c r="DC12" i="7"/>
  <c r="EI12" i="7"/>
  <c r="L13" i="7"/>
  <c r="AR13" i="7"/>
  <c r="BP13" i="7"/>
  <c r="CF13" i="7"/>
  <c r="CV13" i="7"/>
  <c r="DL13" i="7"/>
  <c r="EA13" i="7"/>
  <c r="EL13" i="7"/>
  <c r="EZ13" i="7"/>
  <c r="J14" i="7"/>
  <c r="V14" i="7"/>
  <c r="AJ14" i="7"/>
  <c r="AU14" i="7"/>
  <c r="BI14" i="7"/>
  <c r="BV14" i="7"/>
  <c r="CH14" i="7"/>
  <c r="AR38" i="12" s="1"/>
  <c r="CU14" i="7"/>
  <c r="DE14" i="7"/>
  <c r="DN14" i="7"/>
  <c r="DV14" i="7"/>
  <c r="ED14" i="7"/>
  <c r="EL14" i="7"/>
  <c r="ET14" i="7"/>
  <c r="FB14" i="7"/>
  <c r="G15" i="7"/>
  <c r="O15" i="7"/>
  <c r="W15" i="7"/>
  <c r="AE15" i="7"/>
  <c r="AM15" i="7"/>
  <c r="AU15" i="7"/>
  <c r="BC15" i="7"/>
  <c r="BK15" i="7"/>
  <c r="BS15" i="7"/>
  <c r="CA15" i="7"/>
  <c r="CI15" i="7"/>
  <c r="AS39" i="12" s="1"/>
  <c r="CQ15" i="7"/>
  <c r="CY15" i="7"/>
  <c r="DG15" i="7"/>
  <c r="DO15" i="7"/>
  <c r="DW15" i="7"/>
  <c r="EE15" i="7"/>
  <c r="EM15" i="7"/>
  <c r="H7" i="7"/>
  <c r="BN9" i="7"/>
  <c r="D10" i="7"/>
  <c r="AV10" i="7"/>
  <c r="CB10" i="7"/>
  <c r="DH10" i="7"/>
  <c r="EN10" i="7"/>
  <c r="Q11" i="7"/>
  <c r="AW11" i="7"/>
  <c r="CC11" i="7"/>
  <c r="DI11" i="7"/>
  <c r="EO11" i="7"/>
  <c r="R12" i="7"/>
  <c r="AX12" i="7"/>
  <c r="CD12" i="7"/>
  <c r="DJ12" i="7"/>
  <c r="EP12" i="7"/>
  <c r="S13" i="7"/>
  <c r="AY13" i="7"/>
  <c r="BQ13" i="7"/>
  <c r="CG13" i="7"/>
  <c r="CW13" i="7"/>
  <c r="DM13" i="7"/>
  <c r="EB13" i="7"/>
  <c r="EO13" i="7"/>
  <c r="FA13" i="7"/>
  <c r="L14" i="7"/>
  <c r="W14" i="7"/>
  <c r="AK14" i="7"/>
  <c r="AX14" i="7"/>
  <c r="BJ14" i="7"/>
  <c r="BX14" i="7"/>
  <c r="CI14" i="7"/>
  <c r="AS38" i="12" s="1"/>
  <c r="CV14" i="7"/>
  <c r="DF14" i="7"/>
  <c r="DO14" i="7"/>
  <c r="DW14" i="7"/>
  <c r="EE14" i="7"/>
  <c r="EM14" i="7"/>
  <c r="EU14" i="7"/>
  <c r="FC14" i="7"/>
  <c r="H15" i="7"/>
  <c r="P15" i="7"/>
  <c r="X15" i="7"/>
  <c r="AF15" i="7"/>
  <c r="AN15" i="7"/>
  <c r="AV15" i="7"/>
  <c r="BD15" i="7"/>
  <c r="BL15" i="7"/>
  <c r="BT15" i="7"/>
  <c r="CB15" i="7"/>
  <c r="CJ15" i="7"/>
  <c r="AT39" i="12" s="1"/>
  <c r="CR15" i="7"/>
  <c r="CZ15" i="7"/>
  <c r="DH15" i="7"/>
  <c r="DP15" i="7"/>
  <c r="DX15" i="7"/>
  <c r="EF15" i="7"/>
  <c r="EN15" i="7"/>
  <c r="EV15" i="7"/>
  <c r="FD15" i="7"/>
  <c r="I16" i="7"/>
  <c r="Q16" i="7"/>
  <c r="Y16" i="7"/>
  <c r="AG16" i="7"/>
  <c r="AO16" i="7"/>
  <c r="AW16" i="7"/>
  <c r="BE16" i="7"/>
  <c r="BM16" i="7"/>
  <c r="BU16" i="7"/>
  <c r="CC16" i="7"/>
  <c r="CK16" i="7"/>
  <c r="CS16" i="7"/>
  <c r="DA16" i="7"/>
  <c r="DI16" i="7"/>
  <c r="DQ16" i="7"/>
  <c r="DY16" i="7"/>
  <c r="EG16" i="7"/>
  <c r="EO16" i="7"/>
  <c r="EW16" i="7"/>
  <c r="FE16" i="7"/>
  <c r="J17" i="7"/>
  <c r="R17" i="7"/>
  <c r="Z17" i="7"/>
  <c r="AH17" i="7"/>
  <c r="AP17" i="7"/>
  <c r="AX17" i="7"/>
  <c r="BF17" i="7"/>
  <c r="BN17" i="7"/>
  <c r="AW10" i="7"/>
  <c r="EP11" i="7"/>
  <c r="BU13" i="7"/>
  <c r="Z14" i="7"/>
  <c r="DP14" i="7"/>
  <c r="FD14" i="7"/>
  <c r="AG15" i="7"/>
  <c r="BM15" i="7"/>
  <c r="CS15" i="7"/>
  <c r="DY15" i="7"/>
  <c r="FB15" i="7"/>
  <c r="R16" i="7"/>
  <c r="AN16" i="7"/>
  <c r="BK16" i="7"/>
  <c r="CD16" i="7"/>
  <c r="CZ16" i="7"/>
  <c r="DW16" i="7"/>
  <c r="EM16" i="7"/>
  <c r="FC16" i="7"/>
  <c r="P17" i="7"/>
  <c r="AF17" i="7"/>
  <c r="AT17" i="7"/>
  <c r="BD17" i="7"/>
  <c r="BO17" i="7"/>
  <c r="BW17" i="7"/>
  <c r="CE17" i="7"/>
  <c r="CM17" i="7"/>
  <c r="CU17" i="7"/>
  <c r="DC17" i="7"/>
  <c r="DK17" i="7"/>
  <c r="DS17" i="7"/>
  <c r="EA17" i="7"/>
  <c r="EI17" i="7"/>
  <c r="EQ17" i="7"/>
  <c r="EY17" i="7"/>
  <c r="D18" i="7"/>
  <c r="L18" i="7"/>
  <c r="T18" i="7"/>
  <c r="AB18" i="7"/>
  <c r="AJ18" i="7"/>
  <c r="AR18" i="7"/>
  <c r="AZ18" i="7"/>
  <c r="BH18" i="7"/>
  <c r="BP18" i="7"/>
  <c r="BX18" i="7"/>
  <c r="CF18" i="7"/>
  <c r="CN18" i="7"/>
  <c r="CV18" i="7"/>
  <c r="DD18" i="7"/>
  <c r="DL18" i="7"/>
  <c r="DT18" i="7"/>
  <c r="EB18" i="7"/>
  <c r="EJ18" i="7"/>
  <c r="ER18" i="7"/>
  <c r="EZ18" i="7"/>
  <c r="E19" i="7"/>
  <c r="M19" i="7"/>
  <c r="U19" i="7"/>
  <c r="AC19" i="7"/>
  <c r="AK19" i="7"/>
  <c r="AS19" i="7"/>
  <c r="BA19" i="7"/>
  <c r="BI19" i="7"/>
  <c r="BQ19" i="7"/>
  <c r="BY19" i="7"/>
  <c r="CG19" i="7"/>
  <c r="CO19" i="7"/>
  <c r="CW19" i="7"/>
  <c r="DE19" i="7"/>
  <c r="DM19" i="7"/>
  <c r="DU19" i="7"/>
  <c r="EC19" i="7"/>
  <c r="EK19" i="7"/>
  <c r="ES19" i="7"/>
  <c r="FA19" i="7"/>
  <c r="F20" i="7"/>
  <c r="N20" i="7"/>
  <c r="V20" i="7"/>
  <c r="AD20" i="7"/>
  <c r="AL20" i="7"/>
  <c r="AT20" i="7"/>
  <c r="BB20" i="7"/>
  <c r="BJ20" i="7"/>
  <c r="BR20" i="7"/>
  <c r="BZ20" i="7"/>
  <c r="CH20" i="7"/>
  <c r="AR44" i="12" s="1"/>
  <c r="CP20" i="7"/>
  <c r="CX20" i="7"/>
  <c r="CC10" i="7"/>
  <c r="S12" i="7"/>
  <c r="CK13" i="7"/>
  <c r="AL14" i="7"/>
  <c r="DX14" i="7"/>
  <c r="F15" i="7"/>
  <c r="AL15" i="7"/>
  <c r="BR15" i="7"/>
  <c r="CX15" i="7"/>
  <c r="ED15" i="7"/>
  <c r="FC15" i="7"/>
  <c r="W16" i="7"/>
  <c r="AP16" i="7"/>
  <c r="BL16" i="7"/>
  <c r="CI16" i="7"/>
  <c r="AS40" i="12" s="1"/>
  <c r="DB16" i="7"/>
  <c r="DX16" i="7"/>
  <c r="EN16" i="7"/>
  <c r="FD16" i="7"/>
  <c r="Q17" i="7"/>
  <c r="AG17" i="7"/>
  <c r="AU17" i="7"/>
  <c r="BE17" i="7"/>
  <c r="BP17" i="7"/>
  <c r="BX17" i="7"/>
  <c r="CF17" i="7"/>
  <c r="CN17" i="7"/>
  <c r="CV17" i="7"/>
  <c r="DD17" i="7"/>
  <c r="DL17" i="7"/>
  <c r="DT17" i="7"/>
  <c r="EB17" i="7"/>
  <c r="EJ17" i="7"/>
  <c r="ER17" i="7"/>
  <c r="EZ17" i="7"/>
  <c r="E18" i="7"/>
  <c r="M18" i="7"/>
  <c r="U18" i="7"/>
  <c r="AC18" i="7"/>
  <c r="AK18" i="7"/>
  <c r="AS18" i="7"/>
  <c r="BA18" i="7"/>
  <c r="BI18" i="7"/>
  <c r="BQ18" i="7"/>
  <c r="BY18" i="7"/>
  <c r="CG18" i="7"/>
  <c r="CO18" i="7"/>
  <c r="CW18" i="7"/>
  <c r="DE18" i="7"/>
  <c r="DM18" i="7"/>
  <c r="DU18" i="7"/>
  <c r="EC18" i="7"/>
  <c r="EK18" i="7"/>
  <c r="ES18" i="7"/>
  <c r="FA18" i="7"/>
  <c r="F19" i="7"/>
  <c r="N19" i="7"/>
  <c r="V19" i="7"/>
  <c r="AD19" i="7"/>
  <c r="AL19" i="7"/>
  <c r="AT19" i="7"/>
  <c r="BB19" i="7"/>
  <c r="BJ19" i="7"/>
  <c r="BR19" i="7"/>
  <c r="BZ19" i="7"/>
  <c r="CH19" i="7"/>
  <c r="AR43" i="12" s="1"/>
  <c r="CP19" i="7"/>
  <c r="CX19" i="7"/>
  <c r="DF19" i="7"/>
  <c r="DN19" i="7"/>
  <c r="DV19" i="7"/>
  <c r="ED19" i="7"/>
  <c r="EL19" i="7"/>
  <c r="ET19" i="7"/>
  <c r="FB19" i="7"/>
  <c r="G20" i="7"/>
  <c r="O20" i="7"/>
  <c r="W20" i="7"/>
  <c r="AE20" i="7"/>
  <c r="AM20" i="7"/>
  <c r="AU20" i="7"/>
  <c r="BC20" i="7"/>
  <c r="BK20" i="7"/>
  <c r="BS20" i="7"/>
  <c r="CA20" i="7"/>
  <c r="CI20" i="7"/>
  <c r="AS44" i="12" s="1"/>
  <c r="DI10" i="7"/>
  <c r="AY12" i="7"/>
  <c r="DA13" i="7"/>
  <c r="AZ14" i="7"/>
  <c r="EF14" i="7"/>
  <c r="I15" i="7"/>
  <c r="AO15" i="7"/>
  <c r="BU15" i="7"/>
  <c r="DA15" i="7"/>
  <c r="EG15" i="7"/>
  <c r="FE15" i="7"/>
  <c r="X16" i="7"/>
  <c r="AU16" i="7"/>
  <c r="BN16" i="7"/>
  <c r="CJ16" i="7"/>
  <c r="AT40" i="12" s="1"/>
  <c r="DG16" i="7"/>
  <c r="DZ16" i="7"/>
  <c r="EP16" i="7"/>
  <c r="C17" i="7"/>
  <c r="S17" i="7"/>
  <c r="AI17" i="7"/>
  <c r="AV17" i="7"/>
  <c r="BG17" i="7"/>
  <c r="BQ17" i="7"/>
  <c r="BY17" i="7"/>
  <c r="CG17" i="7"/>
  <c r="CO17" i="7"/>
  <c r="CW17" i="7"/>
  <c r="DE17" i="7"/>
  <c r="DM17" i="7"/>
  <c r="DU17" i="7"/>
  <c r="EC17" i="7"/>
  <c r="EK17" i="7"/>
  <c r="ES17" i="7"/>
  <c r="FA17" i="7"/>
  <c r="F18" i="7"/>
  <c r="N18" i="7"/>
  <c r="V18" i="7"/>
  <c r="AD18" i="7"/>
  <c r="AL18" i="7"/>
  <c r="AT18" i="7"/>
  <c r="BB18" i="7"/>
  <c r="BJ18" i="7"/>
  <c r="BR18" i="7"/>
  <c r="BZ18" i="7"/>
  <c r="CH18" i="7"/>
  <c r="AR42" i="12" s="1"/>
  <c r="CP18" i="7"/>
  <c r="CX18" i="7"/>
  <c r="DF18" i="7"/>
  <c r="DN18" i="7"/>
  <c r="DV18" i="7"/>
  <c r="ED18" i="7"/>
  <c r="EL18" i="7"/>
  <c r="ET18" i="7"/>
  <c r="FB18" i="7"/>
  <c r="G19" i="7"/>
  <c r="O19" i="7"/>
  <c r="W19" i="7"/>
  <c r="AE19" i="7"/>
  <c r="AM19" i="7"/>
  <c r="AU19" i="7"/>
  <c r="BC19" i="7"/>
  <c r="BK19" i="7"/>
  <c r="BS19" i="7"/>
  <c r="CA19" i="7"/>
  <c r="CI19" i="7"/>
  <c r="AS43" i="12" s="1"/>
  <c r="CQ19" i="7"/>
  <c r="CY19" i="7"/>
  <c r="DG19" i="7"/>
  <c r="DO19" i="7"/>
  <c r="DW19" i="7"/>
  <c r="EE19" i="7"/>
  <c r="EM19" i="7"/>
  <c r="EU19" i="7"/>
  <c r="FC19" i="7"/>
  <c r="H20" i="7"/>
  <c r="P20" i="7"/>
  <c r="X20" i="7"/>
  <c r="AF20" i="7"/>
  <c r="AN20" i="7"/>
  <c r="AV20" i="7"/>
  <c r="BD20" i="7"/>
  <c r="BL20" i="7"/>
  <c r="BT20" i="7"/>
  <c r="CB20" i="7"/>
  <c r="CJ20" i="7"/>
  <c r="AT44" i="12" s="1"/>
  <c r="CR20" i="7"/>
  <c r="CZ20" i="7"/>
  <c r="EO10" i="7"/>
  <c r="CE12" i="7"/>
  <c r="DQ13" i="7"/>
  <c r="BK14" i="7"/>
  <c r="EK14" i="7"/>
  <c r="N15" i="7"/>
  <c r="AT15" i="7"/>
  <c r="BZ15" i="7"/>
  <c r="DF15" i="7"/>
  <c r="EL15" i="7"/>
  <c r="G16" i="7"/>
  <c r="Z16" i="7"/>
  <c r="AV16" i="7"/>
  <c r="BS16" i="7"/>
  <c r="CL16" i="7"/>
  <c r="DH16" i="7"/>
  <c r="EA16" i="7"/>
  <c r="EQ16" i="7"/>
  <c r="D17" i="7"/>
  <c r="T17" i="7"/>
  <c r="AJ17" i="7"/>
  <c r="AW17" i="7"/>
  <c r="BH17" i="7"/>
  <c r="BR17" i="7"/>
  <c r="BZ17" i="7"/>
  <c r="CH17" i="7"/>
  <c r="AR41" i="12" s="1"/>
  <c r="CP17" i="7"/>
  <c r="CX17" i="7"/>
  <c r="DF17" i="7"/>
  <c r="DN17" i="7"/>
  <c r="DV17" i="7"/>
  <c r="ED17" i="7"/>
  <c r="EL17" i="7"/>
  <c r="ET17" i="7"/>
  <c r="FB17" i="7"/>
  <c r="G18" i="7"/>
  <c r="O18" i="7"/>
  <c r="W18" i="7"/>
  <c r="AE18" i="7"/>
  <c r="AM18" i="7"/>
  <c r="AU18" i="7"/>
  <c r="BC18" i="7"/>
  <c r="BK18" i="7"/>
  <c r="BS18" i="7"/>
  <c r="CA18" i="7"/>
  <c r="CI18" i="7"/>
  <c r="AS42" i="12" s="1"/>
  <c r="CQ18" i="7"/>
  <c r="CY18" i="7"/>
  <c r="DG18" i="7"/>
  <c r="DO18" i="7"/>
  <c r="DW18" i="7"/>
  <c r="EE18" i="7"/>
  <c r="EM18" i="7"/>
  <c r="EU18" i="7"/>
  <c r="FC18" i="7"/>
  <c r="H19" i="7"/>
  <c r="P19" i="7"/>
  <c r="X19" i="7"/>
  <c r="AF19" i="7"/>
  <c r="AN19" i="7"/>
  <c r="AV19" i="7"/>
  <c r="BD19" i="7"/>
  <c r="BL19" i="7"/>
  <c r="BT19" i="7"/>
  <c r="CB19" i="7"/>
  <c r="CJ19" i="7"/>
  <c r="AT43" i="12" s="1"/>
  <c r="CR19" i="7"/>
  <c r="CZ19" i="7"/>
  <c r="DH19" i="7"/>
  <c r="DP19" i="7"/>
  <c r="DX19" i="7"/>
  <c r="EF19" i="7"/>
  <c r="EN19" i="7"/>
  <c r="EV19" i="7"/>
  <c r="FD19" i="7"/>
  <c r="I20" i="7"/>
  <c r="Q20" i="7"/>
  <c r="Y20" i="7"/>
  <c r="AG20" i="7"/>
  <c r="AO20" i="7"/>
  <c r="AW20" i="7"/>
  <c r="BE20" i="7"/>
  <c r="BM20" i="7"/>
  <c r="BU20" i="7"/>
  <c r="CC20" i="7"/>
  <c r="CK20" i="7"/>
  <c r="R11" i="7"/>
  <c r="DK12" i="7"/>
  <c r="EC13" i="7"/>
  <c r="BY14" i="7"/>
  <c r="EN14" i="7"/>
  <c r="Q15" i="7"/>
  <c r="AW15" i="7"/>
  <c r="CC15" i="7"/>
  <c r="DI15" i="7"/>
  <c r="EO15" i="7"/>
  <c r="H16" i="7"/>
  <c r="AE16" i="7"/>
  <c r="AX16" i="7"/>
  <c r="BT16" i="7"/>
  <c r="CQ16" i="7"/>
  <c r="DJ16" i="7"/>
  <c r="EE16" i="7"/>
  <c r="EU16" i="7"/>
  <c r="H17" i="7"/>
  <c r="X17" i="7"/>
  <c r="AN17" i="7"/>
  <c r="AY17" i="7"/>
  <c r="BJ17" i="7"/>
  <c r="BS17" i="7"/>
  <c r="CA17" i="7"/>
  <c r="CI17" i="7"/>
  <c r="AS41" i="12" s="1"/>
  <c r="CQ17" i="7"/>
  <c r="CY17" i="7"/>
  <c r="DG17" i="7"/>
  <c r="DO17" i="7"/>
  <c r="DW17" i="7"/>
  <c r="EE17" i="7"/>
  <c r="EM17" i="7"/>
  <c r="EU17" i="7"/>
  <c r="FC17" i="7"/>
  <c r="H18" i="7"/>
  <c r="P18" i="7"/>
  <c r="X18" i="7"/>
  <c r="AF18" i="7"/>
  <c r="AN18" i="7"/>
  <c r="AV18" i="7"/>
  <c r="BD18" i="7"/>
  <c r="BL18" i="7"/>
  <c r="BT18" i="7"/>
  <c r="CB18" i="7"/>
  <c r="CJ18" i="7"/>
  <c r="AT42" i="12" s="1"/>
  <c r="CR18" i="7"/>
  <c r="CZ18" i="7"/>
  <c r="DH18" i="7"/>
  <c r="DP18" i="7"/>
  <c r="DX18" i="7"/>
  <c r="EF18" i="7"/>
  <c r="EN18" i="7"/>
  <c r="EV18" i="7"/>
  <c r="FD18" i="7"/>
  <c r="I19" i="7"/>
  <c r="Q19" i="7"/>
  <c r="Y19" i="7"/>
  <c r="AG19" i="7"/>
  <c r="AO19" i="7"/>
  <c r="AW19" i="7"/>
  <c r="BE19" i="7"/>
  <c r="BM19" i="7"/>
  <c r="BU19" i="7"/>
  <c r="CC19" i="7"/>
  <c r="CK19" i="7"/>
  <c r="CS19" i="7"/>
  <c r="DA19" i="7"/>
  <c r="DI19" i="7"/>
  <c r="DQ19" i="7"/>
  <c r="DY19" i="7"/>
  <c r="EG19" i="7"/>
  <c r="EO19" i="7"/>
  <c r="EW19" i="7"/>
  <c r="FE19" i="7"/>
  <c r="J20" i="7"/>
  <c r="R20" i="7"/>
  <c r="Z20" i="7"/>
  <c r="AH20" i="7"/>
  <c r="AP20" i="7"/>
  <c r="AX20" i="7"/>
  <c r="BF20" i="7"/>
  <c r="BN20" i="7"/>
  <c r="BV20" i="7"/>
  <c r="CD20" i="7"/>
  <c r="BT7" i="7"/>
  <c r="AX11" i="7"/>
  <c r="EQ12" i="7"/>
  <c r="EQ13" i="7"/>
  <c r="CL14" i="7"/>
  <c r="ES14" i="7"/>
  <c r="V15" i="7"/>
  <c r="BB15" i="7"/>
  <c r="CH15" i="7"/>
  <c r="AR39" i="12" s="1"/>
  <c r="DN15" i="7"/>
  <c r="ET15" i="7"/>
  <c r="J16" i="7"/>
  <c r="AF16" i="7"/>
  <c r="BC16" i="7"/>
  <c r="BV16" i="7"/>
  <c r="CR16" i="7"/>
  <c r="DO16" i="7"/>
  <c r="EF16" i="7"/>
  <c r="EV16" i="7"/>
  <c r="I17" i="7"/>
  <c r="Y17" i="7"/>
  <c r="AO17" i="7"/>
  <c r="AZ17" i="7"/>
  <c r="BK17" i="7"/>
  <c r="BT17" i="7"/>
  <c r="CB17" i="7"/>
  <c r="CJ17" i="7"/>
  <c r="AT41" i="12" s="1"/>
  <c r="CR17" i="7"/>
  <c r="CZ17" i="7"/>
  <c r="DH17" i="7"/>
  <c r="DP17" i="7"/>
  <c r="DX17" i="7"/>
  <c r="EF17" i="7"/>
  <c r="EN17" i="7"/>
  <c r="EV17" i="7"/>
  <c r="FD17" i="7"/>
  <c r="I18" i="7"/>
  <c r="Q18" i="7"/>
  <c r="Y18" i="7"/>
  <c r="AG18" i="7"/>
  <c r="AO18" i="7"/>
  <c r="AW18" i="7"/>
  <c r="BE18" i="7"/>
  <c r="BM18" i="7"/>
  <c r="BU18" i="7"/>
  <c r="CC18" i="7"/>
  <c r="CK18" i="7"/>
  <c r="CS18" i="7"/>
  <c r="DA18" i="7"/>
  <c r="DI18" i="7"/>
  <c r="DQ18" i="7"/>
  <c r="DY18" i="7"/>
  <c r="EG18" i="7"/>
  <c r="EO18" i="7"/>
  <c r="EW18" i="7"/>
  <c r="FE18" i="7"/>
  <c r="J19" i="7"/>
  <c r="R19" i="7"/>
  <c r="Z19" i="7"/>
  <c r="AH19" i="7"/>
  <c r="AP19" i="7"/>
  <c r="AX19" i="7"/>
  <c r="BF19" i="7"/>
  <c r="BN19" i="7"/>
  <c r="BV19" i="7"/>
  <c r="CD19" i="7"/>
  <c r="CL19" i="7"/>
  <c r="CT19" i="7"/>
  <c r="DB19" i="7"/>
  <c r="DJ19" i="7"/>
  <c r="DR19" i="7"/>
  <c r="DZ19" i="7"/>
  <c r="EH19" i="7"/>
  <c r="EP19" i="7"/>
  <c r="EX19" i="7"/>
  <c r="C20" i="7"/>
  <c r="K20" i="7"/>
  <c r="S20" i="7"/>
  <c r="AA20" i="7"/>
  <c r="AI20" i="7"/>
  <c r="AQ20" i="7"/>
  <c r="AY20" i="7"/>
  <c r="BG20" i="7"/>
  <c r="BO20" i="7"/>
  <c r="BW20" i="7"/>
  <c r="BO9" i="7"/>
  <c r="CD11" i="7"/>
  <c r="T13" i="7"/>
  <c r="FB13" i="7"/>
  <c r="BE15" i="7"/>
  <c r="O16" i="7"/>
  <c r="CT16" i="7"/>
  <c r="K17" i="7"/>
  <c r="BL17" i="7"/>
  <c r="CS17" i="7"/>
  <c r="DY17" i="7"/>
  <c r="FE17" i="7"/>
  <c r="AH18" i="7"/>
  <c r="BN18" i="7"/>
  <c r="CT18" i="7"/>
  <c r="DZ18" i="7"/>
  <c r="C19" i="7"/>
  <c r="AI19" i="7"/>
  <c r="BO19" i="7"/>
  <c r="CU19" i="7"/>
  <c r="EA19" i="7"/>
  <c r="D20" i="7"/>
  <c r="AJ20" i="7"/>
  <c r="BP20" i="7"/>
  <c r="CM20" i="7"/>
  <c r="CW20" i="7"/>
  <c r="DG20" i="7"/>
  <c r="DO20" i="7"/>
  <c r="DW20" i="7"/>
  <c r="EE20" i="7"/>
  <c r="EM20" i="7"/>
  <c r="EU20" i="7"/>
  <c r="FC20" i="7"/>
  <c r="H21" i="7"/>
  <c r="P21" i="7"/>
  <c r="X21" i="7"/>
  <c r="AF21" i="7"/>
  <c r="AN21" i="7"/>
  <c r="AV21" i="7"/>
  <c r="BD21" i="7"/>
  <c r="BL21" i="7"/>
  <c r="BT21" i="7"/>
  <c r="CB21" i="7"/>
  <c r="CJ21" i="7"/>
  <c r="AT45" i="12" s="1"/>
  <c r="CR21" i="7"/>
  <c r="CZ21" i="7"/>
  <c r="DH21" i="7"/>
  <c r="DP21" i="7"/>
  <c r="DX21" i="7"/>
  <c r="EF21" i="7"/>
  <c r="EN21" i="7"/>
  <c r="EV21" i="7"/>
  <c r="FD21" i="7"/>
  <c r="I22" i="7"/>
  <c r="Q22" i="7"/>
  <c r="Y22" i="7"/>
  <c r="AG22" i="7"/>
  <c r="AO22" i="7"/>
  <c r="AW22" i="7"/>
  <c r="BE22" i="7"/>
  <c r="BM22" i="7"/>
  <c r="BU22" i="7"/>
  <c r="CC22" i="7"/>
  <c r="CK22" i="7"/>
  <c r="CS22" i="7"/>
  <c r="DA22" i="7"/>
  <c r="DI22" i="7"/>
  <c r="DQ22" i="7"/>
  <c r="DY22" i="7"/>
  <c r="EG22" i="7"/>
  <c r="EO22" i="7"/>
  <c r="EW22" i="7"/>
  <c r="FE22" i="7"/>
  <c r="J23" i="7"/>
  <c r="R23" i="7"/>
  <c r="Z23" i="7"/>
  <c r="AH23" i="7"/>
  <c r="AP23" i="7"/>
  <c r="AX23" i="7"/>
  <c r="BF23" i="7"/>
  <c r="BN23" i="7"/>
  <c r="BV23" i="7"/>
  <c r="CD23" i="7"/>
  <c r="CL23" i="7"/>
  <c r="CT23" i="7"/>
  <c r="DB23" i="7"/>
  <c r="DJ23" i="7"/>
  <c r="DR23" i="7"/>
  <c r="DZ23" i="7"/>
  <c r="EH23" i="7"/>
  <c r="EP23" i="7"/>
  <c r="EX23" i="7"/>
  <c r="C24" i="7"/>
  <c r="K24" i="7"/>
  <c r="S24" i="7"/>
  <c r="AA24" i="7"/>
  <c r="AI24" i="7"/>
  <c r="AQ24" i="7"/>
  <c r="AY24" i="7"/>
  <c r="BG24" i="7"/>
  <c r="BO24" i="7"/>
  <c r="BW24" i="7"/>
  <c r="CE24" i="7"/>
  <c r="CM24" i="7"/>
  <c r="CU24" i="7"/>
  <c r="DC24" i="7"/>
  <c r="DK24" i="7"/>
  <c r="DS24" i="7"/>
  <c r="EA24" i="7"/>
  <c r="EI24" i="7"/>
  <c r="EQ24" i="7"/>
  <c r="EY24" i="7"/>
  <c r="M14" i="7"/>
  <c r="BJ15" i="7"/>
  <c r="P16" i="7"/>
  <c r="CY16" i="7"/>
  <c r="L17" i="7"/>
  <c r="BM17" i="7"/>
  <c r="CT17" i="7"/>
  <c r="DZ17" i="7"/>
  <c r="C18" i="7"/>
  <c r="AI18" i="7"/>
  <c r="BO18" i="7"/>
  <c r="CU18" i="7"/>
  <c r="EA18" i="7"/>
  <c r="D19" i="7"/>
  <c r="AJ19" i="7"/>
  <c r="BP19" i="7"/>
  <c r="CV19" i="7"/>
  <c r="EB19" i="7"/>
  <c r="E20" i="7"/>
  <c r="AK20" i="7"/>
  <c r="BQ20" i="7"/>
  <c r="CN20" i="7"/>
  <c r="CY20" i="7"/>
  <c r="DH20" i="7"/>
  <c r="DP20" i="7"/>
  <c r="DX20" i="7"/>
  <c r="EF20" i="7"/>
  <c r="EN20" i="7"/>
  <c r="EV20" i="7"/>
  <c r="FD20" i="7"/>
  <c r="I21" i="7"/>
  <c r="Q21" i="7"/>
  <c r="Y21" i="7"/>
  <c r="AG21" i="7"/>
  <c r="AO21" i="7"/>
  <c r="AW21" i="7"/>
  <c r="BE21" i="7"/>
  <c r="BM21" i="7"/>
  <c r="BU21" i="7"/>
  <c r="CC21" i="7"/>
  <c r="CK21" i="7"/>
  <c r="CS21" i="7"/>
  <c r="DA21" i="7"/>
  <c r="DI21" i="7"/>
  <c r="DQ21" i="7"/>
  <c r="DY21" i="7"/>
  <c r="EG21" i="7"/>
  <c r="EO21" i="7"/>
  <c r="EW21" i="7"/>
  <c r="FE21" i="7"/>
  <c r="J22" i="7"/>
  <c r="R22" i="7"/>
  <c r="Z22" i="7"/>
  <c r="AH22" i="7"/>
  <c r="AP22" i="7"/>
  <c r="AX22" i="7"/>
  <c r="BF22" i="7"/>
  <c r="BN22" i="7"/>
  <c r="BV22" i="7"/>
  <c r="CD22" i="7"/>
  <c r="CL22" i="7"/>
  <c r="CT22" i="7"/>
  <c r="DB22" i="7"/>
  <c r="DJ22" i="7"/>
  <c r="DR22" i="7"/>
  <c r="DZ22" i="7"/>
  <c r="EH22" i="7"/>
  <c r="EP22" i="7"/>
  <c r="EX22" i="7"/>
  <c r="C23" i="7"/>
  <c r="K23" i="7"/>
  <c r="S23" i="7"/>
  <c r="AA23" i="7"/>
  <c r="AI23" i="7"/>
  <c r="AQ23" i="7"/>
  <c r="AY23" i="7"/>
  <c r="BG23" i="7"/>
  <c r="BO23" i="7"/>
  <c r="BW23" i="7"/>
  <c r="CE23" i="7"/>
  <c r="CM23" i="7"/>
  <c r="CU23" i="7"/>
  <c r="DC23" i="7"/>
  <c r="DK23" i="7"/>
  <c r="DS23" i="7"/>
  <c r="EA23" i="7"/>
  <c r="EI23" i="7"/>
  <c r="EQ23" i="7"/>
  <c r="EY23" i="7"/>
  <c r="D24" i="7"/>
  <c r="L24" i="7"/>
  <c r="T24" i="7"/>
  <c r="AB24" i="7"/>
  <c r="AJ24" i="7"/>
  <c r="AR24" i="7"/>
  <c r="AZ24" i="7"/>
  <c r="BH24" i="7"/>
  <c r="BP24" i="7"/>
  <c r="BX24" i="7"/>
  <c r="CF24" i="7"/>
  <c r="CN24" i="7"/>
  <c r="CV24" i="7"/>
  <c r="DD24" i="7"/>
  <c r="DL24" i="7"/>
  <c r="DT24" i="7"/>
  <c r="EB24" i="7"/>
  <c r="EJ24" i="7"/>
  <c r="ER24" i="7"/>
  <c r="EZ24" i="7"/>
  <c r="CW14" i="7"/>
  <c r="CK15" i="7"/>
  <c r="AH16" i="7"/>
  <c r="DP16" i="7"/>
  <c r="AA17" i="7"/>
  <c r="BU17" i="7"/>
  <c r="DA17" i="7"/>
  <c r="EG17" i="7"/>
  <c r="J18" i="7"/>
  <c r="AP18" i="7"/>
  <c r="BV18" i="7"/>
  <c r="DB18" i="7"/>
  <c r="EH18" i="7"/>
  <c r="K19" i="7"/>
  <c r="AQ19" i="7"/>
  <c r="BW19" i="7"/>
  <c r="DC19" i="7"/>
  <c r="EI19" i="7"/>
  <c r="L20" i="7"/>
  <c r="AR20" i="7"/>
  <c r="BX20" i="7"/>
  <c r="CO20" i="7"/>
  <c r="DA20" i="7"/>
  <c r="DI20" i="7"/>
  <c r="DQ20" i="7"/>
  <c r="DY20" i="7"/>
  <c r="EG20" i="7"/>
  <c r="EO20" i="7"/>
  <c r="EW20" i="7"/>
  <c r="FE20" i="7"/>
  <c r="J21" i="7"/>
  <c r="R21" i="7"/>
  <c r="Z21" i="7"/>
  <c r="AH21" i="7"/>
  <c r="AP21" i="7"/>
  <c r="AX21" i="7"/>
  <c r="BF21" i="7"/>
  <c r="BN21" i="7"/>
  <c r="BV21" i="7"/>
  <c r="CD21" i="7"/>
  <c r="CL21" i="7"/>
  <c r="CT21" i="7"/>
  <c r="DB21" i="7"/>
  <c r="DJ21" i="7"/>
  <c r="DR21" i="7"/>
  <c r="DZ21" i="7"/>
  <c r="EH21" i="7"/>
  <c r="EP21" i="7"/>
  <c r="EX21" i="7"/>
  <c r="C22" i="7"/>
  <c r="K22" i="7"/>
  <c r="S22" i="7"/>
  <c r="AA22" i="7"/>
  <c r="AI22" i="7"/>
  <c r="AQ22" i="7"/>
  <c r="AY22" i="7"/>
  <c r="BG22" i="7"/>
  <c r="BO22" i="7"/>
  <c r="BW22" i="7"/>
  <c r="CE22" i="7"/>
  <c r="CM22" i="7"/>
  <c r="CU22" i="7"/>
  <c r="DC22" i="7"/>
  <c r="DK22" i="7"/>
  <c r="DS22" i="7"/>
  <c r="EA22" i="7"/>
  <c r="EI22" i="7"/>
  <c r="EQ22" i="7"/>
  <c r="EY22" i="7"/>
  <c r="D23" i="7"/>
  <c r="L23" i="7"/>
  <c r="T23" i="7"/>
  <c r="AB23" i="7"/>
  <c r="AJ23" i="7"/>
  <c r="AR23" i="7"/>
  <c r="AZ23" i="7"/>
  <c r="BH23" i="7"/>
  <c r="BP23" i="7"/>
  <c r="BX23" i="7"/>
  <c r="CF23" i="7"/>
  <c r="CN23" i="7"/>
  <c r="CV23" i="7"/>
  <c r="DD23" i="7"/>
  <c r="DL23" i="7"/>
  <c r="DT23" i="7"/>
  <c r="EB23" i="7"/>
  <c r="EJ23" i="7"/>
  <c r="ER23" i="7"/>
  <c r="EZ23" i="7"/>
  <c r="E24" i="7"/>
  <c r="M24" i="7"/>
  <c r="U24" i="7"/>
  <c r="AC24" i="7"/>
  <c r="AK24" i="7"/>
  <c r="AS24" i="7"/>
  <c r="BA24" i="7"/>
  <c r="BI24" i="7"/>
  <c r="BQ24" i="7"/>
  <c r="BY24" i="7"/>
  <c r="CG24" i="7"/>
  <c r="CO24" i="7"/>
  <c r="CW24" i="7"/>
  <c r="DE24" i="7"/>
  <c r="DM24" i="7"/>
  <c r="DU24" i="7"/>
  <c r="EC24" i="7"/>
  <c r="EK24" i="7"/>
  <c r="ES24" i="7"/>
  <c r="FA24" i="7"/>
  <c r="DG14" i="7"/>
  <c r="CP15" i="7"/>
  <c r="AM16" i="7"/>
  <c r="DR16" i="7"/>
  <c r="AB17" i="7"/>
  <c r="BV17" i="7"/>
  <c r="DB17" i="7"/>
  <c r="EH17" i="7"/>
  <c r="K18" i="7"/>
  <c r="AQ18" i="7"/>
  <c r="BW18" i="7"/>
  <c r="DC18" i="7"/>
  <c r="EI18" i="7"/>
  <c r="L19" i="7"/>
  <c r="AR19" i="7"/>
  <c r="BX19" i="7"/>
  <c r="DD19" i="7"/>
  <c r="EJ19" i="7"/>
  <c r="M20" i="7"/>
  <c r="AS20" i="7"/>
  <c r="BY20" i="7"/>
  <c r="CQ20" i="7"/>
  <c r="DB20" i="7"/>
  <c r="DJ20" i="7"/>
  <c r="DR20" i="7"/>
  <c r="DZ20" i="7"/>
  <c r="EH20" i="7"/>
  <c r="EP20" i="7"/>
  <c r="EX20" i="7"/>
  <c r="C21" i="7"/>
  <c r="K21" i="7"/>
  <c r="S21" i="7"/>
  <c r="AA21" i="7"/>
  <c r="AI21" i="7"/>
  <c r="AQ21" i="7"/>
  <c r="AY21" i="7"/>
  <c r="BG21" i="7"/>
  <c r="BO21" i="7"/>
  <c r="BW21" i="7"/>
  <c r="CE21" i="7"/>
  <c r="CM21" i="7"/>
  <c r="CU21" i="7"/>
  <c r="DC21" i="7"/>
  <c r="DK21" i="7"/>
  <c r="DS21" i="7"/>
  <c r="EA21" i="7"/>
  <c r="EI21" i="7"/>
  <c r="EQ21" i="7"/>
  <c r="EY21" i="7"/>
  <c r="D22" i="7"/>
  <c r="L22" i="7"/>
  <c r="T22" i="7"/>
  <c r="AB22" i="7"/>
  <c r="AJ22" i="7"/>
  <c r="AR22" i="7"/>
  <c r="AZ22" i="7"/>
  <c r="BH22" i="7"/>
  <c r="BP22" i="7"/>
  <c r="BX22" i="7"/>
  <c r="CF22" i="7"/>
  <c r="CN22" i="7"/>
  <c r="CV22" i="7"/>
  <c r="DD22" i="7"/>
  <c r="DL22" i="7"/>
  <c r="DT22" i="7"/>
  <c r="EB22" i="7"/>
  <c r="EJ22" i="7"/>
  <c r="ER22" i="7"/>
  <c r="EZ22" i="7"/>
  <c r="E23" i="7"/>
  <c r="M23" i="7"/>
  <c r="U23" i="7"/>
  <c r="AC23" i="7"/>
  <c r="AK23" i="7"/>
  <c r="AS23" i="7"/>
  <c r="BA23" i="7"/>
  <c r="BI23" i="7"/>
  <c r="BQ23" i="7"/>
  <c r="BY23" i="7"/>
  <c r="CG23" i="7"/>
  <c r="CO23" i="7"/>
  <c r="CW23" i="7"/>
  <c r="DE23" i="7"/>
  <c r="DM23" i="7"/>
  <c r="DU23" i="7"/>
  <c r="EC23" i="7"/>
  <c r="EK23" i="7"/>
  <c r="ES23" i="7"/>
  <c r="FA23" i="7"/>
  <c r="F24" i="7"/>
  <c r="N24" i="7"/>
  <c r="V24" i="7"/>
  <c r="AD24" i="7"/>
  <c r="AL24" i="7"/>
  <c r="AT24" i="7"/>
  <c r="BB24" i="7"/>
  <c r="BJ24" i="7"/>
  <c r="BR24" i="7"/>
  <c r="BZ24" i="7"/>
  <c r="CH24" i="7"/>
  <c r="AR48" i="12" s="1"/>
  <c r="CP24" i="7"/>
  <c r="CX24" i="7"/>
  <c r="DF24" i="7"/>
  <c r="DN24" i="7"/>
  <c r="DV24" i="7"/>
  <c r="ED24" i="7"/>
  <c r="EL24" i="7"/>
  <c r="ET24" i="7"/>
  <c r="FB24" i="7"/>
  <c r="EV14" i="7"/>
  <c r="DQ15" i="7"/>
  <c r="BD16" i="7"/>
  <c r="EH16" i="7"/>
  <c r="AQ17" i="7"/>
  <c r="CC17" i="7"/>
  <c r="DI17" i="7"/>
  <c r="EO17" i="7"/>
  <c r="R18" i="7"/>
  <c r="AX18" i="7"/>
  <c r="CD18" i="7"/>
  <c r="DJ18" i="7"/>
  <c r="EP18" i="7"/>
  <c r="S19" i="7"/>
  <c r="AY19" i="7"/>
  <c r="CE19" i="7"/>
  <c r="DK19" i="7"/>
  <c r="EQ19" i="7"/>
  <c r="T20" i="7"/>
  <c r="AZ20" i="7"/>
  <c r="CE20" i="7"/>
  <c r="CS20" i="7"/>
  <c r="DC20" i="7"/>
  <c r="DK20" i="7"/>
  <c r="DS20" i="7"/>
  <c r="EA20" i="7"/>
  <c r="EI20" i="7"/>
  <c r="EQ20" i="7"/>
  <c r="EY20" i="7"/>
  <c r="D21" i="7"/>
  <c r="L21" i="7"/>
  <c r="T21" i="7"/>
  <c r="AB21" i="7"/>
  <c r="AJ21" i="7"/>
  <c r="AR21" i="7"/>
  <c r="AZ21" i="7"/>
  <c r="BH21" i="7"/>
  <c r="BP21" i="7"/>
  <c r="BX21" i="7"/>
  <c r="CF21" i="7"/>
  <c r="CN21" i="7"/>
  <c r="CV21" i="7"/>
  <c r="DD21" i="7"/>
  <c r="DL21" i="7"/>
  <c r="DT21" i="7"/>
  <c r="EB21" i="7"/>
  <c r="EJ21" i="7"/>
  <c r="ER21" i="7"/>
  <c r="EZ21" i="7"/>
  <c r="E22" i="7"/>
  <c r="M22" i="7"/>
  <c r="U22" i="7"/>
  <c r="AC22" i="7"/>
  <c r="AK22" i="7"/>
  <c r="AS22" i="7"/>
  <c r="BA22" i="7"/>
  <c r="BI22" i="7"/>
  <c r="BQ22" i="7"/>
  <c r="BY22" i="7"/>
  <c r="CG22" i="7"/>
  <c r="CO22" i="7"/>
  <c r="CW22" i="7"/>
  <c r="DE22" i="7"/>
  <c r="DM22" i="7"/>
  <c r="DU22" i="7"/>
  <c r="EC22" i="7"/>
  <c r="EK22" i="7"/>
  <c r="ES22" i="7"/>
  <c r="FA22" i="7"/>
  <c r="F23" i="7"/>
  <c r="N23" i="7"/>
  <c r="V23" i="7"/>
  <c r="AD23" i="7"/>
  <c r="AL23" i="7"/>
  <c r="AT23" i="7"/>
  <c r="BB23" i="7"/>
  <c r="BJ23" i="7"/>
  <c r="BR23" i="7"/>
  <c r="BZ23" i="7"/>
  <c r="CH23" i="7"/>
  <c r="AR47" i="12" s="1"/>
  <c r="CP23" i="7"/>
  <c r="CX23" i="7"/>
  <c r="DF23" i="7"/>
  <c r="DN23" i="7"/>
  <c r="DV23" i="7"/>
  <c r="ED23" i="7"/>
  <c r="EL23" i="7"/>
  <c r="ET23" i="7"/>
  <c r="FB23" i="7"/>
  <c r="G24" i="7"/>
  <c r="O24" i="7"/>
  <c r="W24" i="7"/>
  <c r="AE24" i="7"/>
  <c r="E10" i="7"/>
  <c r="FA14" i="7"/>
  <c r="DV15" i="7"/>
  <c r="BF16" i="7"/>
  <c r="EI16" i="7"/>
  <c r="AR17" i="7"/>
  <c r="CD17" i="7"/>
  <c r="DJ17" i="7"/>
  <c r="EP17" i="7"/>
  <c r="S18" i="7"/>
  <c r="AY18" i="7"/>
  <c r="CE18" i="7"/>
  <c r="DK18" i="7"/>
  <c r="EQ18" i="7"/>
  <c r="T19" i="7"/>
  <c r="AZ19" i="7"/>
  <c r="CF19" i="7"/>
  <c r="DL19" i="7"/>
  <c r="ER19" i="7"/>
  <c r="U20" i="7"/>
  <c r="BA20" i="7"/>
  <c r="CF20" i="7"/>
  <c r="CT20" i="7"/>
  <c r="DD20" i="7"/>
  <c r="DL20" i="7"/>
  <c r="DT20" i="7"/>
  <c r="EB20" i="7"/>
  <c r="EJ20" i="7"/>
  <c r="ER20" i="7"/>
  <c r="EZ20" i="7"/>
  <c r="E21" i="7"/>
  <c r="M21" i="7"/>
  <c r="U21" i="7"/>
  <c r="AC21" i="7"/>
  <c r="AK21" i="7"/>
  <c r="AS21" i="7"/>
  <c r="BA21" i="7"/>
  <c r="BI21" i="7"/>
  <c r="BQ21" i="7"/>
  <c r="BY21" i="7"/>
  <c r="CG21" i="7"/>
  <c r="CO21" i="7"/>
  <c r="CW21" i="7"/>
  <c r="DE21" i="7"/>
  <c r="DM21" i="7"/>
  <c r="DU21" i="7"/>
  <c r="EC21" i="7"/>
  <c r="EK21" i="7"/>
  <c r="ES21" i="7"/>
  <c r="FA21" i="7"/>
  <c r="F22" i="7"/>
  <c r="N22" i="7"/>
  <c r="V22" i="7"/>
  <c r="AD22" i="7"/>
  <c r="AL22" i="7"/>
  <c r="AT22" i="7"/>
  <c r="BB22" i="7"/>
  <c r="BJ22" i="7"/>
  <c r="BR22" i="7"/>
  <c r="BZ22" i="7"/>
  <c r="CH22" i="7"/>
  <c r="AR46" i="12" s="1"/>
  <c r="CP22" i="7"/>
  <c r="CX22" i="7"/>
  <c r="DF22" i="7"/>
  <c r="DN22" i="7"/>
  <c r="DV22" i="7"/>
  <c r="ED22" i="7"/>
  <c r="EL22" i="7"/>
  <c r="ET22" i="7"/>
  <c r="FB22" i="7"/>
  <c r="G23" i="7"/>
  <c r="O23" i="7"/>
  <c r="W23" i="7"/>
  <c r="AE23" i="7"/>
  <c r="AM23" i="7"/>
  <c r="AU23" i="7"/>
  <c r="BC23" i="7"/>
  <c r="BK23" i="7"/>
  <c r="BS23" i="7"/>
  <c r="CA23" i="7"/>
  <c r="CI23" i="7"/>
  <c r="AS47" i="12" s="1"/>
  <c r="CQ23" i="7"/>
  <c r="CY23" i="7"/>
  <c r="DG23" i="7"/>
  <c r="DO23" i="7"/>
  <c r="DW23" i="7"/>
  <c r="EE23" i="7"/>
  <c r="EM23" i="7"/>
  <c r="EU23" i="7"/>
  <c r="FC23" i="7"/>
  <c r="H24" i="7"/>
  <c r="P24" i="7"/>
  <c r="X24" i="7"/>
  <c r="AF24" i="7"/>
  <c r="AN24" i="7"/>
  <c r="AV24" i="7"/>
  <c r="BD24" i="7"/>
  <c r="BL24" i="7"/>
  <c r="BT24" i="7"/>
  <c r="CB24" i="7"/>
  <c r="CJ24" i="7"/>
  <c r="AT48" i="12" s="1"/>
  <c r="CR24" i="7"/>
  <c r="CZ24" i="7"/>
  <c r="DH24" i="7"/>
  <c r="DP24" i="7"/>
  <c r="DX24" i="7"/>
  <c r="EF24" i="7"/>
  <c r="EN24" i="7"/>
  <c r="EV24" i="7"/>
  <c r="FD24" i="7"/>
  <c r="DJ11" i="7"/>
  <c r="Y15" i="7"/>
  <c r="EU15" i="7"/>
  <c r="CA16" i="7"/>
  <c r="EX16" i="7"/>
  <c r="BB17" i="7"/>
  <c r="CK17" i="7"/>
  <c r="DQ17" i="7"/>
  <c r="EW17" i="7"/>
  <c r="Z18" i="7"/>
  <c r="BF18" i="7"/>
  <c r="CL18" i="7"/>
  <c r="DR18" i="7"/>
  <c r="EX18" i="7"/>
  <c r="AA19" i="7"/>
  <c r="BG19" i="7"/>
  <c r="CM19" i="7"/>
  <c r="DS19" i="7"/>
  <c r="EY19" i="7"/>
  <c r="AB20" i="7"/>
  <c r="BH20" i="7"/>
  <c r="CG20" i="7"/>
  <c r="CU20" i="7"/>
  <c r="DE20" i="7"/>
  <c r="DM20" i="7"/>
  <c r="DU20" i="7"/>
  <c r="EC20" i="7"/>
  <c r="EK20" i="7"/>
  <c r="ES20" i="7"/>
  <c r="FA20" i="7"/>
  <c r="F21" i="7"/>
  <c r="N21" i="7"/>
  <c r="V21" i="7"/>
  <c r="AD21" i="7"/>
  <c r="AL21" i="7"/>
  <c r="AT21" i="7"/>
  <c r="BB21" i="7"/>
  <c r="BJ21" i="7"/>
  <c r="BR21" i="7"/>
  <c r="BZ21" i="7"/>
  <c r="CH21" i="7"/>
  <c r="AR45" i="12" s="1"/>
  <c r="CP21" i="7"/>
  <c r="CX21" i="7"/>
  <c r="DF21" i="7"/>
  <c r="DN21" i="7"/>
  <c r="DV21" i="7"/>
  <c r="ED21" i="7"/>
  <c r="EL21" i="7"/>
  <c r="ET21" i="7"/>
  <c r="FB21" i="7"/>
  <c r="G22" i="7"/>
  <c r="O22" i="7"/>
  <c r="W22" i="7"/>
  <c r="AE22" i="7"/>
  <c r="AM22" i="7"/>
  <c r="AU22" i="7"/>
  <c r="BC22" i="7"/>
  <c r="BK22" i="7"/>
  <c r="BS22" i="7"/>
  <c r="CA22" i="7"/>
  <c r="CI22" i="7"/>
  <c r="AS46" i="12" s="1"/>
  <c r="CQ22" i="7"/>
  <c r="CY22" i="7"/>
  <c r="DG22" i="7"/>
  <c r="DO22" i="7"/>
  <c r="DW22" i="7"/>
  <c r="EE22" i="7"/>
  <c r="EM22" i="7"/>
  <c r="EU22" i="7"/>
  <c r="FC22" i="7"/>
  <c r="CB16" i="7"/>
  <c r="CM18" i="7"/>
  <c r="AC20" i="7"/>
  <c r="EL20" i="7"/>
  <c r="AU21" i="7"/>
  <c r="DG21" i="7"/>
  <c r="P22" i="7"/>
  <c r="CB22" i="7"/>
  <c r="EN22" i="7"/>
  <c r="Y23" i="7"/>
  <c r="BE23" i="7"/>
  <c r="CK23" i="7"/>
  <c r="DQ23" i="7"/>
  <c r="EW23" i="7"/>
  <c r="Z24" i="7"/>
  <c r="AX24" i="7"/>
  <c r="BU24" i="7"/>
  <c r="CQ24" i="7"/>
  <c r="DJ24" i="7"/>
  <c r="EG24" i="7"/>
  <c r="FC24" i="7"/>
  <c r="EY16" i="7"/>
  <c r="DS18" i="7"/>
  <c r="BI20" i="7"/>
  <c r="ET20" i="7"/>
  <c r="BC21" i="7"/>
  <c r="DO21" i="7"/>
  <c r="X22" i="7"/>
  <c r="CJ22" i="7"/>
  <c r="AT46" i="12" s="1"/>
  <c r="EV22" i="7"/>
  <c r="AF23" i="7"/>
  <c r="BL23" i="7"/>
  <c r="CR23" i="7"/>
  <c r="DX23" i="7"/>
  <c r="FD23" i="7"/>
  <c r="AG24" i="7"/>
  <c r="BC24" i="7"/>
  <c r="BV24" i="7"/>
  <c r="CS24" i="7"/>
  <c r="DO24" i="7"/>
  <c r="EH24" i="7"/>
  <c r="FE24" i="7"/>
  <c r="BC17" i="7"/>
  <c r="EY18" i="7"/>
  <c r="CL20" i="7"/>
  <c r="FB20" i="7"/>
  <c r="BK21" i="7"/>
  <c r="DW21" i="7"/>
  <c r="AF22" i="7"/>
  <c r="CR22" i="7"/>
  <c r="FD22" i="7"/>
  <c r="AG23" i="7"/>
  <c r="BM23" i="7"/>
  <c r="CS23" i="7"/>
  <c r="DY23" i="7"/>
  <c r="FE23" i="7"/>
  <c r="AH24" i="7"/>
  <c r="BE24" i="7"/>
  <c r="CA24" i="7"/>
  <c r="CT24" i="7"/>
  <c r="DQ24" i="7"/>
  <c r="EM24" i="7"/>
  <c r="CL17" i="7"/>
  <c r="AB19" i="7"/>
  <c r="CV20" i="7"/>
  <c r="G21" i="7"/>
  <c r="BS21" i="7"/>
  <c r="EE21" i="7"/>
  <c r="AN22" i="7"/>
  <c r="CZ22" i="7"/>
  <c r="H23" i="7"/>
  <c r="AN23" i="7"/>
  <c r="BT23" i="7"/>
  <c r="CZ23" i="7"/>
  <c r="EF23" i="7"/>
  <c r="I24" i="7"/>
  <c r="AM24" i="7"/>
  <c r="BF24" i="7"/>
  <c r="CC24" i="7"/>
  <c r="CY24" i="7"/>
  <c r="DR24" i="7"/>
  <c r="EO24" i="7"/>
  <c r="DR17" i="7"/>
  <c r="BH19" i="7"/>
  <c r="DF20" i="7"/>
  <c r="O21" i="7"/>
  <c r="CA21" i="7"/>
  <c r="EM21" i="7"/>
  <c r="AV22" i="7"/>
  <c r="DH22" i="7"/>
  <c r="I23" i="7"/>
  <c r="AO23" i="7"/>
  <c r="BU23" i="7"/>
  <c r="DA23" i="7"/>
  <c r="EG23" i="7"/>
  <c r="J24" i="7"/>
  <c r="AO24" i="7"/>
  <c r="BK24" i="7"/>
  <c r="CD24" i="7"/>
  <c r="DA24" i="7"/>
  <c r="DW24" i="7"/>
  <c r="EP24" i="7"/>
  <c r="EX17" i="7"/>
  <c r="ED20" i="7"/>
  <c r="FC21" i="7"/>
  <c r="P23" i="7"/>
  <c r="CJ23" i="7"/>
  <c r="AT47" i="12" s="1"/>
  <c r="R24" i="7"/>
  <c r="CI24" i="7"/>
  <c r="AS48" i="12" s="1"/>
  <c r="EE24" i="7"/>
  <c r="EF22" i="7"/>
  <c r="AA18" i="7"/>
  <c r="W21" i="7"/>
  <c r="H22" i="7"/>
  <c r="Q23" i="7"/>
  <c r="DH23" i="7"/>
  <c r="Y24" i="7"/>
  <c r="CK24" i="7"/>
  <c r="EU24" i="7"/>
  <c r="DN20" i="7"/>
  <c r="EV23" i="7"/>
  <c r="DY24" i="7"/>
  <c r="DV20" i="7"/>
  <c r="BS24" i="7"/>
  <c r="BG18" i="7"/>
  <c r="AE21" i="7"/>
  <c r="BD22" i="7"/>
  <c r="X23" i="7"/>
  <c r="DI23" i="7"/>
  <c r="AP24" i="7"/>
  <c r="CL24" i="7"/>
  <c r="EW24" i="7"/>
  <c r="CY21" i="7"/>
  <c r="BN24" i="7"/>
  <c r="Q24" i="7"/>
  <c r="CN19" i="7"/>
  <c r="AM21" i="7"/>
  <c r="BL22" i="7"/>
  <c r="AV23" i="7"/>
  <c r="DP23" i="7"/>
  <c r="AU24" i="7"/>
  <c r="DB24" i="7"/>
  <c r="EX24" i="7"/>
  <c r="DX22" i="7"/>
  <c r="EU21" i="7"/>
  <c r="DT19" i="7"/>
  <c r="CI21" i="7"/>
  <c r="AS45" i="12" s="1"/>
  <c r="BT22" i="7"/>
  <c r="AW23" i="7"/>
  <c r="EN23" i="7"/>
  <c r="AW24" i="7"/>
  <c r="DG24" i="7"/>
  <c r="AZ13" i="7"/>
  <c r="EZ19" i="7"/>
  <c r="CQ21" i="7"/>
  <c r="DP22" i="7"/>
  <c r="BD23" i="7"/>
  <c r="EO23" i="7"/>
  <c r="BM24" i="7"/>
  <c r="DI24" i="7"/>
  <c r="AD15" i="7"/>
  <c r="CB23" i="7"/>
  <c r="CC23" i="7"/>
  <c r="DZ24" i="7"/>
  <c r="EW15" i="7"/>
  <c r="P31" i="8"/>
  <c r="T32" i="8"/>
  <c r="AF33" i="8"/>
  <c r="P37" i="8"/>
  <c r="M32" i="8"/>
  <c r="AK32" i="8"/>
  <c r="AO33" i="8"/>
  <c r="AK34" i="8"/>
  <c r="Q37" i="8"/>
  <c r="AG37" i="8"/>
  <c r="M38" i="8"/>
  <c r="M40" i="8"/>
  <c r="AK40" i="8"/>
  <c r="Q41" i="8"/>
  <c r="U42" i="8"/>
  <c r="Q43" i="8"/>
  <c r="Y43" i="8"/>
  <c r="Z31" i="8"/>
  <c r="AH33" i="8"/>
  <c r="AP33" i="8"/>
  <c r="K31" i="8"/>
  <c r="G32" i="8"/>
  <c r="K33" i="8"/>
  <c r="K35" i="8"/>
  <c r="AI35" i="8"/>
  <c r="G36" i="8"/>
  <c r="W38" i="8"/>
  <c r="AA39" i="8"/>
  <c r="AI39" i="8"/>
  <c r="W40" i="8"/>
  <c r="AA41" i="8"/>
  <c r="AE42" i="8"/>
  <c r="P36" i="8"/>
  <c r="X36" i="8"/>
  <c r="H38" i="8"/>
  <c r="P38" i="8"/>
  <c r="L39" i="8"/>
  <c r="AB39" i="8"/>
  <c r="AJ39" i="8"/>
  <c r="P40" i="8"/>
  <c r="H42" i="8"/>
  <c r="AO32" i="8"/>
  <c r="Q34" i="8"/>
  <c r="AK35" i="8"/>
  <c r="AO36" i="8"/>
  <c r="U37" i="8"/>
  <c r="AO38" i="8"/>
  <c r="I40" i="8"/>
  <c r="Q40" i="8"/>
  <c r="U41" i="8"/>
  <c r="I44" i="8"/>
  <c r="Y46" i="8"/>
  <c r="AL31" i="8"/>
  <c r="AP32" i="8"/>
  <c r="V33" i="8"/>
  <c r="J34" i="8"/>
  <c r="N35" i="8"/>
  <c r="AL35" i="8"/>
  <c r="Z36" i="8"/>
  <c r="AH36" i="8"/>
  <c r="V37" i="8"/>
  <c r="Z38" i="8"/>
  <c r="AH38" i="8"/>
  <c r="N39" i="8"/>
  <c r="AL39" i="8"/>
  <c r="AL41" i="8"/>
  <c r="AD43" i="8"/>
  <c r="J44" i="8"/>
  <c r="AL45" i="8"/>
  <c r="AP46" i="8"/>
  <c r="AE33" i="8"/>
  <c r="AL34" i="8"/>
  <c r="AD40" i="8"/>
  <c r="P41" i="8"/>
  <c r="V42" i="8"/>
  <c r="H44" i="8"/>
  <c r="Z45" i="8"/>
  <c r="V46" i="8"/>
  <c r="AF46" i="8"/>
  <c r="AA47" i="8"/>
  <c r="AE37" i="8"/>
  <c r="L40" i="8"/>
  <c r="AN41" i="8"/>
  <c r="K44" i="8"/>
  <c r="U44" i="8"/>
  <c r="AE44" i="8"/>
  <c r="AJ40" i="8"/>
  <c r="AP41" i="8"/>
  <c r="AJ43" i="8"/>
  <c r="V44" i="8"/>
  <c r="H45" i="8"/>
  <c r="J47" i="8"/>
  <c r="AI32" i="8"/>
  <c r="Z43" i="8"/>
  <c r="AM43" i="8"/>
  <c r="W44" i="8"/>
  <c r="S45" i="8"/>
  <c r="AE45" i="8"/>
  <c r="O46" i="8"/>
  <c r="AA46" i="8"/>
  <c r="O31" i="8"/>
  <c r="AF42" i="8"/>
  <c r="J45" i="8"/>
  <c r="AF45" i="8"/>
  <c r="AP45" i="8"/>
  <c r="P46" i="8"/>
  <c r="AL46" i="8"/>
  <c r="T48" i="8"/>
  <c r="W35" i="8"/>
  <c r="AM39" i="8"/>
  <c r="V36" i="8"/>
  <c r="AN39" i="8"/>
  <c r="G44" i="8"/>
  <c r="AL44" i="8"/>
  <c r="AL48" i="8"/>
  <c r="P43" i="8"/>
  <c r="S48" i="8"/>
  <c r="AO48" i="8"/>
  <c r="AB40" i="8"/>
  <c r="S44" i="8"/>
  <c r="L45" i="8"/>
  <c r="X47" i="8"/>
  <c r="AE48" i="8"/>
  <c r="AF43" i="8"/>
  <c r="O45" i="8"/>
  <c r="AK47" i="8"/>
  <c r="K47" i="8"/>
  <c r="AH48" i="8"/>
  <c r="W33" i="8"/>
  <c r="AG43" i="8"/>
  <c r="AB47" i="8"/>
  <c r="AB44" i="8"/>
  <c r="AC47" i="8"/>
  <c r="W45" i="8"/>
  <c r="AE46" i="8"/>
  <c r="J41" i="8"/>
  <c r="AS4" i="8"/>
  <c r="AS28" i="8" s="1"/>
  <c r="D7" i="8" l="1"/>
  <c r="D31" i="8" s="1"/>
  <c r="C6" i="8"/>
  <c r="C30" i="8" s="1"/>
  <c r="AV24" i="8"/>
  <c r="AV48" i="8" s="1"/>
  <c r="AV16" i="8"/>
  <c r="AV40" i="8" s="1"/>
  <c r="AV21" i="8"/>
  <c r="AV45" i="8" s="1"/>
  <c r="AV17" i="8"/>
  <c r="AV41" i="8" s="1"/>
  <c r="AV6" i="8"/>
  <c r="AV30" i="8" s="1"/>
  <c r="AV10" i="8"/>
  <c r="AV34" i="8" s="1"/>
  <c r="AV15" i="8"/>
  <c r="AV39" i="8" s="1"/>
  <c r="AV14" i="8"/>
  <c r="AV38" i="8" s="1"/>
  <c r="AV7" i="8"/>
  <c r="AV31" i="8" s="1"/>
  <c r="AV13" i="8"/>
  <c r="AV37" i="8" s="1"/>
  <c r="AV20" i="8"/>
  <c r="AV44" i="8" s="1"/>
  <c r="AV9" i="8"/>
  <c r="AV33" i="8" s="1"/>
  <c r="AV11" i="8"/>
  <c r="AV35" i="8" s="1"/>
  <c r="AV12" i="8"/>
  <c r="AV36" i="8" s="1"/>
  <c r="AV8" i="8"/>
  <c r="AV32" i="8" s="1"/>
  <c r="AV22" i="8"/>
  <c r="AV46" i="8" s="1"/>
  <c r="AV23" i="8"/>
  <c r="AV47" i="8" s="1"/>
  <c r="AV18" i="8"/>
  <c r="AV42" i="8" s="1"/>
  <c r="AV19" i="8"/>
  <c r="AV43" i="8" s="1"/>
  <c r="AT8" i="8"/>
  <c r="AT32" i="8" s="1"/>
  <c r="C17" i="8"/>
  <c r="C41" i="8" s="1"/>
  <c r="C14" i="8"/>
  <c r="C38" i="8" s="1"/>
  <c r="D22" i="8"/>
  <c r="D46" i="8" s="1"/>
  <c r="C8" i="8"/>
  <c r="C32" i="8" s="1"/>
  <c r="D14" i="8"/>
  <c r="D38" i="8" s="1"/>
  <c r="C13" i="8"/>
  <c r="C37" i="8" s="1"/>
  <c r="C22" i="8"/>
  <c r="C46" i="8" s="1"/>
  <c r="C11" i="8"/>
  <c r="C35" i="8" s="1"/>
  <c r="D21" i="8"/>
  <c r="D45" i="8" s="1"/>
  <c r="C18" i="8"/>
  <c r="C42" i="8" s="1"/>
  <c r="D6" i="8"/>
  <c r="D30" i="8" s="1"/>
  <c r="D24" i="8"/>
  <c r="D48" i="8" s="1"/>
  <c r="C23" i="8"/>
  <c r="C47" i="8" s="1"/>
  <c r="D17" i="8"/>
  <c r="D41" i="8" s="1"/>
  <c r="D18" i="8"/>
  <c r="D42" i="8" s="1"/>
  <c r="C19" i="8"/>
  <c r="C43" i="8" s="1"/>
  <c r="D20" i="8"/>
  <c r="D44" i="8" s="1"/>
  <c r="C7" i="8"/>
  <c r="C31" i="8" s="1"/>
  <c r="D10" i="8"/>
  <c r="D34" i="8" s="1"/>
  <c r="D13" i="8"/>
  <c r="D37" i="8" s="1"/>
  <c r="D12" i="8"/>
  <c r="D36" i="8" s="1"/>
  <c r="C24" i="8"/>
  <c r="C48" i="8" s="1"/>
  <c r="D9" i="8"/>
  <c r="D33" i="8" s="1"/>
  <c r="C15" i="8"/>
  <c r="C39" i="8" s="1"/>
  <c r="D16" i="8"/>
  <c r="D40" i="8" s="1"/>
  <c r="C21" i="8"/>
  <c r="C45" i="8" s="1"/>
  <c r="C16" i="8"/>
  <c r="C40" i="8" s="1"/>
  <c r="C20" i="8"/>
  <c r="C44" i="8" s="1"/>
  <c r="D8" i="8"/>
  <c r="D32" i="8" s="1"/>
  <c r="D23" i="8"/>
  <c r="D47" i="8" s="1"/>
  <c r="C10" i="8"/>
  <c r="C34" i="8" s="1"/>
  <c r="D11" i="8"/>
  <c r="D35" i="8" s="1"/>
  <c r="C12" i="8"/>
  <c r="C36" i="8" s="1"/>
  <c r="C9" i="8"/>
  <c r="C33" i="8" s="1"/>
  <c r="D15" i="8"/>
  <c r="D39" i="8" s="1"/>
  <c r="D19" i="8"/>
  <c r="D43" i="8" s="1"/>
  <c r="G5" i="8"/>
  <c r="G29" i="8" s="1"/>
  <c r="AT15" i="8"/>
  <c r="AT39" i="8" s="1"/>
  <c r="AS24" i="8"/>
  <c r="AS48" i="8" s="1"/>
  <c r="AS23" i="8"/>
  <c r="AS47" i="8" s="1"/>
  <c r="AT21" i="8"/>
  <c r="AT45" i="8" s="1"/>
  <c r="AR15" i="8"/>
  <c r="AR39" i="8" s="1"/>
  <c r="AT18" i="8"/>
  <c r="AT42" i="8" s="1"/>
  <c r="AR19" i="8"/>
  <c r="AR43" i="8" s="1"/>
  <c r="AS10" i="8"/>
  <c r="AS34" i="8" s="1"/>
  <c r="AS8" i="8"/>
  <c r="AS32" i="8" s="1"/>
  <c r="AR16" i="8"/>
  <c r="AR40" i="8" s="1"/>
  <c r="AT19" i="8"/>
  <c r="AT43" i="8" s="1"/>
  <c r="AR17" i="8"/>
  <c r="AR41" i="8" s="1"/>
  <c r="AS19" i="8"/>
  <c r="AS43" i="8" s="1"/>
  <c r="AS15" i="8"/>
  <c r="AS39" i="8" s="1"/>
  <c r="AS7" i="8"/>
  <c r="AS31" i="8" s="1"/>
  <c r="AS11" i="8"/>
  <c r="AS35" i="8" s="1"/>
  <c r="AT13" i="8"/>
  <c r="AT37" i="8" s="1"/>
  <c r="AR11" i="8"/>
  <c r="AR35" i="8" s="1"/>
  <c r="AR8" i="8"/>
  <c r="AR32" i="8" s="1"/>
  <c r="AR9" i="8"/>
  <c r="AR33" i="8" s="1"/>
  <c r="AT24" i="8"/>
  <c r="AT48" i="8" s="1"/>
  <c r="AR22" i="8"/>
  <c r="AR46" i="8" s="1"/>
  <c r="AS16" i="8"/>
  <c r="AS40" i="8" s="1"/>
  <c r="AS17" i="8"/>
  <c r="AS41" i="8" s="1"/>
  <c r="AS20" i="8"/>
  <c r="AS44" i="8" s="1"/>
  <c r="AR20" i="8"/>
  <c r="AR44" i="8" s="1"/>
  <c r="AT10" i="8"/>
  <c r="AT34" i="8" s="1"/>
  <c r="AT11" i="8"/>
  <c r="AT35" i="8" s="1"/>
  <c r="AT9" i="8"/>
  <c r="AT33" i="8" s="1"/>
  <c r="AR7" i="8"/>
  <c r="AR31" i="8" s="1"/>
  <c r="AR23" i="8"/>
  <c r="AR47" i="8" s="1"/>
  <c r="AT16" i="8"/>
  <c r="AT40" i="8" s="1"/>
  <c r="AR14" i="8"/>
  <c r="AR38" i="8" s="1"/>
  <c r="AR12" i="8"/>
  <c r="AR36" i="8" s="1"/>
  <c r="AR24" i="8"/>
  <c r="AR48" i="8" s="1"/>
  <c r="AT17" i="8"/>
  <c r="AT41" i="8" s="1"/>
  <c r="AS18" i="8"/>
  <c r="AS42" i="8" s="1"/>
  <c r="AT20" i="8"/>
  <c r="AT44" i="8" s="1"/>
  <c r="AR18" i="8"/>
  <c r="AR42" i="8" s="1"/>
  <c r="AT12" i="8"/>
  <c r="AT36" i="8" s="1"/>
  <c r="AR10" i="8"/>
  <c r="AR34" i="8" s="1"/>
  <c r="AS12" i="8"/>
  <c r="AS36" i="8" s="1"/>
  <c r="AS9" i="8"/>
  <c r="AS33" i="8" s="1"/>
  <c r="AT23" i="8"/>
  <c r="AT47" i="8" s="1"/>
  <c r="F43" i="8"/>
  <c r="R41" i="8"/>
  <c r="R36" i="8"/>
  <c r="AJ5" i="8"/>
  <c r="AJ29" i="8" s="1"/>
  <c r="AJ30" i="8"/>
  <c r="F33" i="8"/>
  <c r="F31" i="8"/>
  <c r="F41" i="8"/>
  <c r="F39" i="8"/>
  <c r="F5" i="8"/>
  <c r="F30" i="8"/>
  <c r="AI5" i="8"/>
  <c r="AI29" i="8" s="1"/>
  <c r="AI30" i="8"/>
  <c r="F44" i="8"/>
  <c r="R32" i="8"/>
  <c r="Z5" i="8"/>
  <c r="Z29" i="8" s="1"/>
  <c r="Z30" i="8"/>
  <c r="I5" i="8"/>
  <c r="I29" i="8" s="1"/>
  <c r="I30" i="8"/>
  <c r="P5" i="8"/>
  <c r="P29" i="8" s="1"/>
  <c r="P30" i="8"/>
  <c r="V5" i="8"/>
  <c r="V29" i="8" s="1"/>
  <c r="V30" i="8"/>
  <c r="AB5" i="8"/>
  <c r="AB29" i="8" s="1"/>
  <c r="AB30" i="8"/>
  <c r="DO5" i="7"/>
  <c r="AR6" i="8"/>
  <c r="AR30" i="8" s="1"/>
  <c r="CI5" i="7"/>
  <c r="AS29" i="12" s="1"/>
  <c r="EO5" i="7"/>
  <c r="CC5" i="7"/>
  <c r="Q5" i="7"/>
  <c r="CZ5" i="7"/>
  <c r="AN5" i="7"/>
  <c r="G5" i="7"/>
  <c r="FB5" i="7"/>
  <c r="CP5" i="7"/>
  <c r="AD5" i="7"/>
  <c r="DM5" i="7"/>
  <c r="BA5" i="7"/>
  <c r="EB5" i="7"/>
  <c r="BP5" i="7"/>
  <c r="D5" i="7"/>
  <c r="CU5" i="7"/>
  <c r="AI5" i="7"/>
  <c r="DZ5" i="7"/>
  <c r="BN5" i="7"/>
  <c r="R40" i="8"/>
  <c r="R35" i="8"/>
  <c r="R34" i="8"/>
  <c r="G30" i="8"/>
  <c r="AD5" i="8"/>
  <c r="AD29" i="8" s="1"/>
  <c r="AD30" i="8"/>
  <c r="F34" i="8"/>
  <c r="F38" i="8"/>
  <c r="F47" i="8"/>
  <c r="F36" i="8"/>
  <c r="R47" i="8"/>
  <c r="R46" i="8"/>
  <c r="R5" i="8"/>
  <c r="R30" i="8"/>
  <c r="H5" i="8"/>
  <c r="H29" i="8" s="1"/>
  <c r="H30" i="8"/>
  <c r="N5" i="8"/>
  <c r="N29" i="8" s="1"/>
  <c r="N30" i="8"/>
  <c r="T5" i="8"/>
  <c r="T29" i="8" s="1"/>
  <c r="T30" i="8"/>
  <c r="CY5" i="7"/>
  <c r="BC5" i="7"/>
  <c r="AS14" i="8"/>
  <c r="AS38" i="8" s="1"/>
  <c r="AT14" i="8"/>
  <c r="AT38" i="8" s="1"/>
  <c r="EG5" i="7"/>
  <c r="BU5" i="7"/>
  <c r="I5" i="7"/>
  <c r="FD5" i="7"/>
  <c r="CR5" i="7"/>
  <c r="AF5" i="7"/>
  <c r="ET5" i="7"/>
  <c r="CH5" i="7"/>
  <c r="AR29" i="12" s="1"/>
  <c r="V5" i="7"/>
  <c r="DE5" i="7"/>
  <c r="AS5" i="7"/>
  <c r="DT5" i="7"/>
  <c r="BH5" i="7"/>
  <c r="EY5" i="7"/>
  <c r="CM5" i="7"/>
  <c r="AA5" i="7"/>
  <c r="DR5" i="7"/>
  <c r="BF5" i="7"/>
  <c r="R48" i="8"/>
  <c r="AF5" i="8"/>
  <c r="AF29" i="8" s="1"/>
  <c r="AF30" i="8"/>
  <c r="M5" i="8"/>
  <c r="M29" i="8" s="1"/>
  <c r="M30" i="8"/>
  <c r="R37" i="8"/>
  <c r="AA5" i="8"/>
  <c r="AA29" i="8" s="1"/>
  <c r="AA30" i="8"/>
  <c r="K5" i="8"/>
  <c r="K29" i="8" s="1"/>
  <c r="K30" i="8"/>
  <c r="R44" i="8"/>
  <c r="L5" i="8"/>
  <c r="L29" i="8" s="1"/>
  <c r="L30" i="8"/>
  <c r="FC5" i="7"/>
  <c r="DY5" i="7"/>
  <c r="BM5" i="7"/>
  <c r="EV5" i="7"/>
  <c r="AS6" i="8"/>
  <c r="AS30" i="8" s="1"/>
  <c r="CJ5" i="7"/>
  <c r="AT29" i="12" s="1"/>
  <c r="AT6" i="8"/>
  <c r="AT30" i="8" s="1"/>
  <c r="X5" i="7"/>
  <c r="EL5" i="7"/>
  <c r="BZ5" i="7"/>
  <c r="N5" i="7"/>
  <c r="CW5" i="7"/>
  <c r="AK5" i="7"/>
  <c r="DL5" i="7"/>
  <c r="AZ5" i="7"/>
  <c r="EQ5" i="7"/>
  <c r="CE5" i="7"/>
  <c r="S5" i="7"/>
  <c r="DJ5" i="7"/>
  <c r="AX5" i="7"/>
  <c r="R43" i="8"/>
  <c r="AP5" i="8"/>
  <c r="AP29" i="8" s="1"/>
  <c r="AP30" i="8"/>
  <c r="Y5" i="8"/>
  <c r="Y29" i="8" s="1"/>
  <c r="Y30" i="8"/>
  <c r="AL5" i="8"/>
  <c r="AL29" i="8" s="1"/>
  <c r="AL30" i="8"/>
  <c r="F46" i="8"/>
  <c r="F37" i="8"/>
  <c r="J5" i="8"/>
  <c r="J29" i="8" s="1"/>
  <c r="J30" i="8"/>
  <c r="F35" i="8"/>
  <c r="R45" i="8"/>
  <c r="R42" i="8"/>
  <c r="AM5" i="8"/>
  <c r="AM29" i="8" s="1"/>
  <c r="AM30" i="8"/>
  <c r="R33" i="8"/>
  <c r="AK5" i="8"/>
  <c r="AK29" i="8" s="1"/>
  <c r="AK30" i="8"/>
  <c r="AS22" i="8"/>
  <c r="AS46" i="8" s="1"/>
  <c r="AT22" i="8"/>
  <c r="AT46" i="8" s="1"/>
  <c r="CQ5" i="7"/>
  <c r="DQ5" i="7"/>
  <c r="BE5" i="7"/>
  <c r="EN5" i="7"/>
  <c r="CB5" i="7"/>
  <c r="P5" i="7"/>
  <c r="ED5" i="7"/>
  <c r="BR5" i="7"/>
  <c r="F5" i="7"/>
  <c r="FA5" i="7"/>
  <c r="CO5" i="7"/>
  <c r="AC5" i="7"/>
  <c r="DD5" i="7"/>
  <c r="AR5" i="7"/>
  <c r="EI5" i="7"/>
  <c r="BW5" i="7"/>
  <c r="K5" i="7"/>
  <c r="DB5" i="7"/>
  <c r="AP5" i="7"/>
  <c r="DG5" i="7"/>
  <c r="DW5" i="7"/>
  <c r="DI5" i="7"/>
  <c r="AW5" i="7"/>
  <c r="EF5" i="7"/>
  <c r="BT5" i="7"/>
  <c r="H5" i="7"/>
  <c r="DV5" i="7"/>
  <c r="BJ5" i="7"/>
  <c r="ES5" i="7"/>
  <c r="CG5" i="7"/>
  <c r="U5" i="7"/>
  <c r="CV5" i="7"/>
  <c r="AJ5" i="7"/>
  <c r="EA5" i="7"/>
  <c r="BO5" i="7"/>
  <c r="C5" i="7"/>
  <c r="CT5" i="7"/>
  <c r="AH5" i="7"/>
  <c r="AO5" i="8"/>
  <c r="AO29" i="8" s="1"/>
  <c r="AO30" i="8"/>
  <c r="AE5" i="8"/>
  <c r="AE29" i="8" s="1"/>
  <c r="AE30" i="8"/>
  <c r="R31" i="8"/>
  <c r="AC5" i="8"/>
  <c r="AC29" i="8" s="1"/>
  <c r="AC30" i="8"/>
  <c r="F45" i="8"/>
  <c r="F40" i="8"/>
  <c r="R39" i="8"/>
  <c r="S5" i="8"/>
  <c r="S29" i="8" s="1"/>
  <c r="S30" i="8"/>
  <c r="R38" i="8"/>
  <c r="AG5" i="8"/>
  <c r="AG29" i="8" s="1"/>
  <c r="AG30" i="8"/>
  <c r="AN5" i="8"/>
  <c r="AN29" i="8" s="1"/>
  <c r="AN30" i="8"/>
  <c r="W5" i="8"/>
  <c r="W29" i="8" s="1"/>
  <c r="W30" i="8"/>
  <c r="U5" i="8"/>
  <c r="U29" i="8" s="1"/>
  <c r="U30" i="8"/>
  <c r="AR21" i="8"/>
  <c r="AR45" i="8" s="1"/>
  <c r="AS21" i="8"/>
  <c r="AS45" i="8" s="1"/>
  <c r="AU5" i="7"/>
  <c r="EM5" i="7"/>
  <c r="EE5" i="7"/>
  <c r="AR13" i="8"/>
  <c r="AR37" i="8" s="1"/>
  <c r="AS13" i="8"/>
  <c r="AS37" i="8" s="1"/>
  <c r="BK5" i="7"/>
  <c r="DA5" i="7"/>
  <c r="AO5" i="7"/>
  <c r="DX5" i="7"/>
  <c r="BL5" i="7"/>
  <c r="AE5" i="7"/>
  <c r="DN5" i="7"/>
  <c r="BB5" i="7"/>
  <c r="EK5" i="7"/>
  <c r="BY5" i="7"/>
  <c r="M5" i="7"/>
  <c r="EZ5" i="7"/>
  <c r="CN5" i="7"/>
  <c r="AB5" i="7"/>
  <c r="DS5" i="7"/>
  <c r="BG5" i="7"/>
  <c r="EX5" i="7"/>
  <c r="CL5" i="7"/>
  <c r="Z5" i="7"/>
  <c r="F32" i="8"/>
  <c r="AM5" i="7"/>
  <c r="CA5" i="7"/>
  <c r="BS5" i="7"/>
  <c r="FE5" i="7"/>
  <c r="CS5" i="7"/>
  <c r="AG5" i="7"/>
  <c r="AT7" i="8"/>
  <c r="AT31" i="8" s="1"/>
  <c r="DP5" i="7"/>
  <c r="BD5" i="7"/>
  <c r="W5" i="7"/>
  <c r="DF5" i="7"/>
  <c r="AT5" i="7"/>
  <c r="EC5" i="7"/>
  <c r="BQ5" i="7"/>
  <c r="E5" i="7"/>
  <c r="ER5" i="7"/>
  <c r="CF5" i="7"/>
  <c r="T5" i="7"/>
  <c r="DK5" i="7"/>
  <c r="AY5" i="7"/>
  <c r="EP5" i="7"/>
  <c r="CD5" i="7"/>
  <c r="R5" i="7"/>
  <c r="F48" i="8"/>
  <c r="O5" i="8"/>
  <c r="O29" i="8" s="1"/>
  <c r="O30" i="8"/>
  <c r="F42" i="8"/>
  <c r="AH5" i="8"/>
  <c r="AH29" i="8" s="1"/>
  <c r="AH30" i="8"/>
  <c r="Q5" i="8"/>
  <c r="Q29" i="8" s="1"/>
  <c r="Q30" i="8"/>
  <c r="X5" i="8"/>
  <c r="X29" i="8" s="1"/>
  <c r="X30" i="8"/>
  <c r="EU5" i="7"/>
  <c r="EW5" i="7"/>
  <c r="CK5" i="7"/>
  <c r="Y5" i="7"/>
  <c r="DH5" i="7"/>
  <c r="AV5" i="7"/>
  <c r="O5" i="7"/>
  <c r="CX5" i="7"/>
  <c r="AL5" i="7"/>
  <c r="DU5" i="7"/>
  <c r="BI5" i="7"/>
  <c r="EJ5" i="7"/>
  <c r="BX5" i="7"/>
  <c r="L5" i="7"/>
  <c r="DC5" i="7"/>
  <c r="AQ5" i="7"/>
  <c r="EH5" i="7"/>
  <c r="BV5" i="7"/>
  <c r="J5" i="7"/>
  <c r="C5" i="8" l="1"/>
  <c r="C29" i="8" s="1"/>
  <c r="D5" i="8"/>
  <c r="D29" i="8" s="1"/>
  <c r="AT5" i="8"/>
  <c r="AT29" i="8" s="1"/>
  <c r="R29" i="8"/>
  <c r="F29" i="8"/>
  <c r="AV5" i="8"/>
  <c r="AV29" i="8" s="1"/>
  <c r="AR5" i="8"/>
  <c r="AR29" i="8" s="1"/>
  <c r="AS5" i="8"/>
  <c r="AS29" i="8" s="1"/>
  <c r="EC5" i="13"/>
  <c r="AZ5" i="13"/>
  <c r="D5" i="13"/>
  <c r="CV5" i="13"/>
  <c r="AK5" i="13"/>
  <c r="DJ5" i="13"/>
  <c r="CD5" i="13"/>
  <c r="FB5" i="13"/>
  <c r="DF5" i="13"/>
  <c r="X5" i="13"/>
  <c r="DI5" i="13"/>
  <c r="BN5" i="13"/>
  <c r="FC5" i="13"/>
  <c r="CJ5" i="13"/>
  <c r="Z5" i="13"/>
  <c r="DS5" i="13"/>
  <c r="AN5" i="13"/>
  <c r="EW5" i="13"/>
  <c r="CZ5" i="13"/>
  <c r="V5" i="13"/>
  <c r="C5" i="13"/>
  <c r="EI5" i="13"/>
  <c r="AC5" i="13"/>
  <c r="AW5" i="13"/>
  <c r="CI5" i="13"/>
  <c r="AF5" i="13"/>
  <c r="CH5" i="13"/>
  <c r="CW5" i="13"/>
  <c r="EL5" i="13"/>
  <c r="J5" i="13"/>
  <c r="AO5" i="13"/>
  <c r="AA5" i="13"/>
  <c r="BR5" i="13"/>
  <c r="E5" i="13"/>
  <c r="AV5" i="13"/>
  <c r="BW5" i="13"/>
  <c r="DG5" i="13"/>
  <c r="CO5" i="13"/>
  <c r="BM5" i="13"/>
  <c r="DQ5" i="13"/>
  <c r="BC5" i="13"/>
  <c r="EH5" i="13"/>
  <c r="BX5" i="13"/>
  <c r="AJ5" i="13"/>
  <c r="DX5" i="13"/>
  <c r="BH5" i="13"/>
  <c r="EM5" i="13"/>
  <c r="BQ5" i="13"/>
  <c r="N5" i="13"/>
  <c r="DT5" i="13"/>
  <c r="AP5" i="13"/>
  <c r="EN5" i="13"/>
  <c r="BV5" i="13"/>
  <c r="AI5" i="13"/>
  <c r="DD5" i="13"/>
  <c r="BA5" i="13"/>
  <c r="EQ5" i="13"/>
  <c r="CB5" i="13"/>
  <c r="K5" i="13"/>
  <c r="DL5" i="13"/>
  <c r="FE5" i="13"/>
  <c r="G5" i="13"/>
  <c r="AU5" i="13"/>
  <c r="BP5" i="13"/>
  <c r="DW5" i="13"/>
  <c r="BF5" i="13"/>
  <c r="CF5" i="13"/>
  <c r="DR5" i="13"/>
  <c r="EY5" i="13"/>
  <c r="AE5" i="13"/>
  <c r="CQ5" i="13"/>
  <c r="ES5" i="13"/>
  <c r="DO5" i="13"/>
  <c r="FA5" i="13"/>
  <c r="AD5" i="13"/>
  <c r="AT5" i="13"/>
  <c r="ED5" i="13"/>
  <c r="BB5" i="13"/>
  <c r="CA5" i="13"/>
  <c r="CS5" i="13"/>
  <c r="BE5" i="13"/>
  <c r="EA5" i="13"/>
  <c r="BK5" i="13"/>
  <c r="EU5" i="13"/>
  <c r="DA5" i="13"/>
  <c r="M5" i="13"/>
  <c r="DU5" i="13"/>
  <c r="BJ5" i="13"/>
  <c r="EV5" i="13"/>
  <c r="DC5" i="13"/>
  <c r="O5" i="13"/>
  <c r="DM5" i="13"/>
  <c r="CC5" i="13"/>
  <c r="EP5" i="13"/>
  <c r="CT5" i="13"/>
  <c r="I5" i="13"/>
  <c r="DH5" i="13"/>
  <c r="AY5" i="13"/>
  <c r="EB5" i="13"/>
  <c r="BZ5" i="13"/>
  <c r="CY5" i="13"/>
  <c r="DK5" i="13"/>
  <c r="ET5" i="13"/>
  <c r="L5" i="13"/>
  <c r="EG5" i="13"/>
  <c r="Q5" i="13"/>
  <c r="AQ5" i="13"/>
  <c r="BO5" i="13"/>
  <c r="CK5" i="13"/>
  <c r="FD5" i="13"/>
  <c r="BD5" i="13"/>
  <c r="BS5" i="13"/>
  <c r="CP5" i="13"/>
  <c r="DN5" i="13"/>
  <c r="F5" i="13"/>
  <c r="AG5" i="13"/>
  <c r="BY5" i="13"/>
  <c r="W5" i="13"/>
  <c r="ER5" i="13"/>
  <c r="CU5" i="13"/>
  <c r="Y5" i="13"/>
  <c r="DE5" i="13"/>
  <c r="BI5" i="13"/>
  <c r="EK5" i="13"/>
  <c r="BT5" i="13"/>
  <c r="U5" i="13"/>
  <c r="DP5" i="13"/>
  <c r="AM5" i="13"/>
  <c r="EO5" i="13"/>
  <c r="CG5" i="13"/>
  <c r="T5" i="13"/>
  <c r="CX5" i="13"/>
  <c r="AX5" i="13"/>
  <c r="EX5" i="13"/>
  <c r="BU5" i="13"/>
  <c r="H5" i="13"/>
  <c r="CR5" i="13"/>
  <c r="AR5" i="13"/>
  <c r="CM5" i="13"/>
  <c r="AH5" i="13"/>
  <c r="BL5" i="13"/>
  <c r="DB5" i="13"/>
  <c r="EF5" i="13"/>
  <c r="EZ5" i="13"/>
  <c r="CL5" i="13"/>
  <c r="EJ5" i="13"/>
  <c r="P5" i="13"/>
  <c r="AS5" i="13"/>
  <c r="CE5" i="13"/>
  <c r="DV5" i="13"/>
  <c r="DY5" i="13"/>
  <c r="S5" i="13"/>
  <c r="BG5" i="13"/>
  <c r="CN5" i="13"/>
  <c r="EE5" i="13"/>
  <c r="AL5" i="13"/>
  <c r="R5" i="13"/>
  <c r="AB5" i="13"/>
  <c r="DZ5" i="13"/>
  <c r="AR5" i="14" l="1"/>
  <c r="AR29" i="14" s="1"/>
  <c r="AT5" i="14"/>
  <c r="AT29" i="14" s="1"/>
  <c r="AS5" i="14"/>
  <c r="AS29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<sst xmlns="http://schemas.openxmlformats.org/spreadsheetml/2006/main" count="41980" uniqueCount="8427">
  <si>
    <t>No</t>
  </si>
  <si>
    <t>ConfirmationWC</t>
  </si>
  <si>
    <t>OccurredWC</t>
  </si>
  <si>
    <t>source</t>
  </si>
  <si>
    <t>OccurredDate</t>
  </si>
  <si>
    <t>ConfirmDate</t>
  </si>
  <si>
    <t>TVPlant</t>
  </si>
  <si>
    <t>LineName</t>
  </si>
  <si>
    <t>Position</t>
  </si>
  <si>
    <t>SetName</t>
  </si>
  <si>
    <t>ModelName</t>
  </si>
  <si>
    <t>ModuleID</t>
  </si>
  <si>
    <t>WeekCode</t>
  </si>
  <si>
    <t>SonyPN</t>
  </si>
  <si>
    <t>SITE</t>
  </si>
  <si>
    <t>CellModel</t>
  </si>
  <si>
    <t>CellID</t>
  </si>
  <si>
    <t>NoticedSymptom</t>
  </si>
  <si>
    <t>OSSorFFAjudgement</t>
  </si>
  <si>
    <t>Classify</t>
  </si>
  <si>
    <t>FY_mod</t>
  </si>
  <si>
    <t>na</t>
  </si>
  <si>
    <t>Inprocess</t>
  </si>
  <si>
    <t>TV</t>
  </si>
  <si>
    <t>CTTI</t>
  </si>
  <si>
    <t>FBC</t>
  </si>
  <si>
    <t>FSK</t>
  </si>
  <si>
    <t>INZ</t>
  </si>
  <si>
    <t>Line</t>
  </si>
  <si>
    <t>SBI</t>
  </si>
  <si>
    <t>SF12</t>
  </si>
  <si>
    <t>QA</t>
  </si>
  <si>
    <t>IQC</t>
  </si>
  <si>
    <t>R4</t>
  </si>
  <si>
    <t>R7</t>
  </si>
  <si>
    <t>LINE</t>
  </si>
  <si>
    <t>I5</t>
  </si>
  <si>
    <t>I9</t>
  </si>
  <si>
    <t>WB1</t>
  </si>
  <si>
    <t>P1</t>
  </si>
  <si>
    <t>I1</t>
  </si>
  <si>
    <t>NVM</t>
  </si>
  <si>
    <t>I8</t>
  </si>
  <si>
    <t>WB2</t>
  </si>
  <si>
    <t>I10</t>
  </si>
  <si>
    <t>P14</t>
  </si>
  <si>
    <t>P6</t>
  </si>
  <si>
    <t>P5</t>
  </si>
  <si>
    <t>I4</t>
  </si>
  <si>
    <t>P2</t>
  </si>
  <si>
    <t>I2</t>
  </si>
  <si>
    <t>I6</t>
  </si>
  <si>
    <t>75APH</t>
  </si>
  <si>
    <t>75AR</t>
  </si>
  <si>
    <t>75AQ</t>
  </si>
  <si>
    <t>85AQ</t>
  </si>
  <si>
    <t>75AG</t>
  </si>
  <si>
    <t>85NB</t>
  </si>
  <si>
    <t>55NH</t>
  </si>
  <si>
    <t>75NH</t>
  </si>
  <si>
    <t>75NB</t>
  </si>
  <si>
    <t>65NH</t>
  </si>
  <si>
    <t>75NX</t>
  </si>
  <si>
    <t>85NXB</t>
  </si>
  <si>
    <t>85NX</t>
  </si>
  <si>
    <t>75NXB</t>
  </si>
  <si>
    <t>75AX</t>
  </si>
  <si>
    <t>85AG</t>
  </si>
  <si>
    <t>85AX</t>
  </si>
  <si>
    <t>65AG</t>
  </si>
  <si>
    <t>75NE</t>
  </si>
  <si>
    <t>YSBM075CNO02</t>
  </si>
  <si>
    <t>YDBM075DCS02</t>
  </si>
  <si>
    <t>HDBO075DDU02</t>
  </si>
  <si>
    <t>HDBO085DDU02</t>
  </si>
  <si>
    <t>YDBO075DAS02</t>
  </si>
  <si>
    <t>NB85_YSAS085CNU02</t>
  </si>
  <si>
    <t>SBL2_YD9S049DND01</t>
  </si>
  <si>
    <t>NH55_YDAS055DNU02</t>
  </si>
  <si>
    <t>NH75_YDAS075DNN02</t>
  </si>
  <si>
    <t>NB75_YSAS075CNO02_B</t>
  </si>
  <si>
    <t>NH65_YDAS065DNU02</t>
  </si>
  <si>
    <t>NX75_YDAS075DNS02_C</t>
  </si>
  <si>
    <t>SB2H_YD9S085DTU01</t>
  </si>
  <si>
    <t>NX75_YDAS075DND02_S</t>
  </si>
  <si>
    <t>NXB85_YDAS085DNU01</t>
  </si>
  <si>
    <t>NX85_YDAS085DNU01</t>
  </si>
  <si>
    <t>NXB75_YDAS075DNS02_C</t>
  </si>
  <si>
    <t>APH75_YSBM075CNO02</t>
  </si>
  <si>
    <t>NB75_YSAS075CNG02_S</t>
  </si>
  <si>
    <t>AR75_YDBM075DCS02_4S</t>
  </si>
  <si>
    <t>AX75_YDBM075CCS02_4S</t>
  </si>
  <si>
    <t>AX75_YDBM075CCS02_2S</t>
  </si>
  <si>
    <t>AG85_YDBO085DAU02</t>
  </si>
  <si>
    <t>AX85_YDBM085CNU02</t>
  </si>
  <si>
    <t>AR75_YDBM075DCS02_2S</t>
  </si>
  <si>
    <t>AG75_YDBO075DAS02</t>
  </si>
  <si>
    <t>AQ85_HDBO085DDU02</t>
  </si>
  <si>
    <t>AQ75_HDBO075DDU02</t>
  </si>
  <si>
    <t>AG65_YDBO065DBU02</t>
  </si>
  <si>
    <t>YDAS055DNU02</t>
  </si>
  <si>
    <t>YDAS065DNU02</t>
  </si>
  <si>
    <t>YDAS055DNU02(1)</t>
  </si>
  <si>
    <t>YDBO085DAU02</t>
  </si>
  <si>
    <t>YSAS085CNU02</t>
  </si>
  <si>
    <t>YDAS085DNU02</t>
  </si>
  <si>
    <t>YDAS085DNU01</t>
  </si>
  <si>
    <t>YDBM085CNU02</t>
  </si>
  <si>
    <t>YSAS075CNO02</t>
  </si>
  <si>
    <t>YDBM075CCS02</t>
  </si>
  <si>
    <t>YSAS075CNG02</t>
  </si>
  <si>
    <t>YDAS075DND01</t>
  </si>
  <si>
    <t>A5027725A$0003059_2112</t>
  </si>
  <si>
    <t>A5027725A$0000318_2102</t>
  </si>
  <si>
    <t>A5027725A$0008179_2115</t>
  </si>
  <si>
    <t>A5027725A$0002870_2115</t>
  </si>
  <si>
    <t>A5027725A$0010980_2117</t>
  </si>
  <si>
    <t>A5027725A$0016093_2123</t>
  </si>
  <si>
    <t>A5027707A$0006021_2120-YDBM075DCS02</t>
  </si>
  <si>
    <t>A5028174A$0000089_2108</t>
  </si>
  <si>
    <t>A5028174A$0000390_2111</t>
  </si>
  <si>
    <t>A5028174A$0000389_2111</t>
  </si>
  <si>
    <t>A5028174A$0000388_2111</t>
  </si>
  <si>
    <t>A5028174A$0000387_2111</t>
  </si>
  <si>
    <t>A5028174A$0000386_2111</t>
  </si>
  <si>
    <t>A5028174A$0000385_2111</t>
  </si>
  <si>
    <t>A5028174A$0000384_2111</t>
  </si>
  <si>
    <t>A5028174A$0000383_2111</t>
  </si>
  <si>
    <t>A5028174A$0000382_2111</t>
  </si>
  <si>
    <t>A5028174A$0000381_2111</t>
  </si>
  <si>
    <t>A5028174A$0000380_2111</t>
  </si>
  <si>
    <t>A5028174A$0000379_2111</t>
  </si>
  <si>
    <t>A5028174A$0000043_2108</t>
  </si>
  <si>
    <t>A5028174A$0000044_2108</t>
  </si>
  <si>
    <t>A5028174A$0000342_2111</t>
  </si>
  <si>
    <t>A5028174A$0000341_2111</t>
  </si>
  <si>
    <t>A5028174A$0000340_2111</t>
  </si>
  <si>
    <t>A5028174A$0000339_2111</t>
  </si>
  <si>
    <t>A5028174A$0000338_2111</t>
  </si>
  <si>
    <t>A5028174A$0000337_2111</t>
  </si>
  <si>
    <t>A5028174A$0000336_2111</t>
  </si>
  <si>
    <t>A5028174A$0000335_2111</t>
  </si>
  <si>
    <t>A5028174A$0000334_2111</t>
  </si>
  <si>
    <t>A5028174A$0000054_2108</t>
  </si>
  <si>
    <t>A5028174A$0000333_2111</t>
  </si>
  <si>
    <t>A5028174A$0000332_2111</t>
  </si>
  <si>
    <t>A5028174A$0000331_2111</t>
  </si>
  <si>
    <t>A5028174A$0000330_2111</t>
  </si>
  <si>
    <t>A5028174A$0000329_2111</t>
  </si>
  <si>
    <t>A5028174A$0000328_2111</t>
  </si>
  <si>
    <t>A5028174A$0000327_2111</t>
  </si>
  <si>
    <t>A5028174A$0000326_2111</t>
  </si>
  <si>
    <t>A5028174A$0000325_2111</t>
  </si>
  <si>
    <t>A5028174A$0000324_2111</t>
  </si>
  <si>
    <t>A5028174A$0000323_2111</t>
  </si>
  <si>
    <t>A5028174A$0000322_2111</t>
  </si>
  <si>
    <t>A5028174A$0000321_2111</t>
  </si>
  <si>
    <t>A5028174A$0000320_2111</t>
  </si>
  <si>
    <t>A5028174A$0000319_2111</t>
  </si>
  <si>
    <t>A5028174A$0000316_2111</t>
  </si>
  <si>
    <t>A5028174A$0000318_2111</t>
  </si>
  <si>
    <t>A5028174A$0000317_2111</t>
  </si>
  <si>
    <t>A5028174A$0000315_2111</t>
  </si>
  <si>
    <t>A5028174A$0000314_2111</t>
  </si>
  <si>
    <t>A5028174A$0000313_2111</t>
  </si>
  <si>
    <t>A5028174A$0000312_2111</t>
  </si>
  <si>
    <t>A5028174A$0000311_2111</t>
  </si>
  <si>
    <t>A5028174A$0000310_2111</t>
  </si>
  <si>
    <t>A5028174A$0000187_2109</t>
  </si>
  <si>
    <t>A5028174A$0000188_2109</t>
  </si>
  <si>
    <t>A5028174A$0000189_2109</t>
  </si>
  <si>
    <t>A5028174A$0000190_2109</t>
  </si>
  <si>
    <t>A5028174A$0000191_2109</t>
  </si>
  <si>
    <t>A5028174A$0000192_2109</t>
  </si>
  <si>
    <t>A5028174A$0000193_2109</t>
  </si>
  <si>
    <t>A5028174A$0000194_2109</t>
  </si>
  <si>
    <t>A5028174A$0000195_2109</t>
  </si>
  <si>
    <t>A5028174A$0000196_2109</t>
  </si>
  <si>
    <t>A5028174A$0000197_2109</t>
  </si>
  <si>
    <t>A5028174A$0000198_2109</t>
  </si>
  <si>
    <t>A5028174A$0000199_2109</t>
  </si>
  <si>
    <t>A5028174A$0000200_2109</t>
  </si>
  <si>
    <t>A5028174A$0000201_2109</t>
  </si>
  <si>
    <t>A5028174A$0000202_2109</t>
  </si>
  <si>
    <t>A5028174A$0000203_2109</t>
  </si>
  <si>
    <t>A5028174A$0000204_2109</t>
  </si>
  <si>
    <t>A5028174A$0000205_2109</t>
  </si>
  <si>
    <t>A5028174A$0000206_2109</t>
  </si>
  <si>
    <t>A5028174A$0000207_2109</t>
  </si>
  <si>
    <t>A5028174A$0000208_2109</t>
  </si>
  <si>
    <t>A5028174A$0000209_2109</t>
  </si>
  <si>
    <t>A5028174A$0000210_2109</t>
  </si>
  <si>
    <t>A5028174A$0000125_2109</t>
  </si>
  <si>
    <t>A5028174A$0000126_2109</t>
  </si>
  <si>
    <t>A5028174A$0000123_2109</t>
  </si>
  <si>
    <t>A5028174A$0000124_2109</t>
  </si>
  <si>
    <t>A5028174A$0000118_2109</t>
  </si>
  <si>
    <t>A5028174A$0000117_2109</t>
  </si>
  <si>
    <t>A5028174A$0000119_2109</t>
  </si>
  <si>
    <t>A5028174A$0000120_2109</t>
  </si>
  <si>
    <t>A5028174A$0000121_2109</t>
  </si>
  <si>
    <t>A5028174A$0000122_2109</t>
  </si>
  <si>
    <t>A5028174A$0000116_2109</t>
  </si>
  <si>
    <t>A5028174A$0000115_2109</t>
  </si>
  <si>
    <t>A5028174A$0000091_2109</t>
  </si>
  <si>
    <t>A5028174A$0000092_2109</t>
  </si>
  <si>
    <t>A5028174A$0000099_2109</t>
  </si>
  <si>
    <t>A5028174A$0000100_2109</t>
  </si>
  <si>
    <t>A5028174A$0000101_2109</t>
  </si>
  <si>
    <t>A5028174A$0000102_2109</t>
  </si>
  <si>
    <t>A5028174A$0000093_2109</t>
  </si>
  <si>
    <t>A5028174A$0000094_2109</t>
  </si>
  <si>
    <t>A5028174A$0000095_2109</t>
  </si>
  <si>
    <t>A5028174A$0000096_2109</t>
  </si>
  <si>
    <t>A5028174A$0000098_2109</t>
  </si>
  <si>
    <t>A5028174A$0000097_2109</t>
  </si>
  <si>
    <t>A5028174A$0000211_2111</t>
  </si>
  <si>
    <t>A5028174A$0000212_2111</t>
  </si>
  <si>
    <t>A5028174A$0000213_2111</t>
  </si>
  <si>
    <t>A5028174A$0000214_2111</t>
  </si>
  <si>
    <t>A5028174A$0000215_2111</t>
  </si>
  <si>
    <t>A5028174A$0000216_2111</t>
  </si>
  <si>
    <t>A5028174A$0000217_2111</t>
  </si>
  <si>
    <t>A5028174A$0000218_2111</t>
  </si>
  <si>
    <t>A5028174A$0000219_2111</t>
  </si>
  <si>
    <t>A5028174A$0000220_2111</t>
  </si>
  <si>
    <t>A5028174A$0000221_2111</t>
  </si>
  <si>
    <t>A5028174A$0000222_2111</t>
  </si>
  <si>
    <t>A5028174A$0000223_2111</t>
  </si>
  <si>
    <t>A5028174A$0000224_2111</t>
  </si>
  <si>
    <t>A5028174A$0000225_2111</t>
  </si>
  <si>
    <t>A5028174A$0000226_2111</t>
  </si>
  <si>
    <t>A5028174A$0000227_2111</t>
  </si>
  <si>
    <t>A5028174A$0000228_2111</t>
  </si>
  <si>
    <t>A5028174A$0000229_2111</t>
  </si>
  <si>
    <t>A5028174A$0000230_2111</t>
  </si>
  <si>
    <t>A5028174A$0000231_2111</t>
  </si>
  <si>
    <t>A5028174A$0000232_2111</t>
  </si>
  <si>
    <t>A5028174A$0000233_2111</t>
  </si>
  <si>
    <t>A5028174A$0000234_2111</t>
  </si>
  <si>
    <t>A5028174A$0000235_2111</t>
  </si>
  <si>
    <t>A5028174A$0000236_2111</t>
  </si>
  <si>
    <t>A5028174A$0000237_2111</t>
  </si>
  <si>
    <t>A5028174A$0000238_2111</t>
  </si>
  <si>
    <t>A5028174A$0000239_2111</t>
  </si>
  <si>
    <t>A5028174A$0000240_2111</t>
  </si>
  <si>
    <t>A5028174A$0000241_2111</t>
  </si>
  <si>
    <t>A5028174A$0000242_2111</t>
  </si>
  <si>
    <t>A5028174A$0000243_2111</t>
  </si>
  <si>
    <t>A5028174A$0000244_2111</t>
  </si>
  <si>
    <t>A5028174A$0000245_2111</t>
  </si>
  <si>
    <t>A5028174A$0000246_2111</t>
  </si>
  <si>
    <t>A5028174A$0000247_2111</t>
  </si>
  <si>
    <t>A5028174A$0000248_2111</t>
  </si>
  <si>
    <t>A5028174A$0000249_2111</t>
  </si>
  <si>
    <t>A5028174A$0000250_2111</t>
  </si>
  <si>
    <t>A5028174A$0000251_2111</t>
  </si>
  <si>
    <t>A5028174A$0000252_2111</t>
  </si>
  <si>
    <t>A5028174A$0000253_2111</t>
  </si>
  <si>
    <t>A5028174A$0000254_2111</t>
  </si>
  <si>
    <t>A5028174A$0000255_2111</t>
  </si>
  <si>
    <t>A5028174A$0000256_2111</t>
  </si>
  <si>
    <t>A5028174A$0000257_2111</t>
  </si>
  <si>
    <t>A5028174A$0000258_2111</t>
  </si>
  <si>
    <t>A5028174A$0000259_2111</t>
  </si>
  <si>
    <t>A5028174A$0000260_2111</t>
  </si>
  <si>
    <t>A5028174A$0000261_2111</t>
  </si>
  <si>
    <t>A5028174A$0000262_2111</t>
  </si>
  <si>
    <t>A5028174A$0000263_2111</t>
  </si>
  <si>
    <t>A5028174A$0000264_2111</t>
  </si>
  <si>
    <t>A5028174A$0000265_2111</t>
  </si>
  <si>
    <t>A5028174A$0000266_2111</t>
  </si>
  <si>
    <t>A5028174A$0000267_2111</t>
  </si>
  <si>
    <t>A5028174A$0000268_2111</t>
  </si>
  <si>
    <t>A5028174A$0000269_2111</t>
  </si>
  <si>
    <t>A5028174A$0000270_2111</t>
  </si>
  <si>
    <t>A5028174A$0000271_2111</t>
  </si>
  <si>
    <t>A5028174A$0000272_2111</t>
  </si>
  <si>
    <t>A5028174A$0000273_2111</t>
  </si>
  <si>
    <t>A5028174A$0000274_2111</t>
  </si>
  <si>
    <t>A5028174A$0000275_2111</t>
  </si>
  <si>
    <t>A5028174A$0000276_2111</t>
  </si>
  <si>
    <t>A5028174A$0000277_2111</t>
  </si>
  <si>
    <t>A5028174A$0000278_2111</t>
  </si>
  <si>
    <t>A5028174A$0000279_2111</t>
  </si>
  <si>
    <t>A5028174A$0000280_2111</t>
  </si>
  <si>
    <t>A5028174A$0000281_2111</t>
  </si>
  <si>
    <t>A5028174A$0000282_2111</t>
  </si>
  <si>
    <t>A5028174A$0000283_2111</t>
  </si>
  <si>
    <t>A5028174A$0000284_2111</t>
  </si>
  <si>
    <t>A5028174A$0000285_2111</t>
  </si>
  <si>
    <t>A5028174A$0000286_2111</t>
  </si>
  <si>
    <t>A5028174A$0000287_2111</t>
  </si>
  <si>
    <t>A5028174A$0000288_2111</t>
  </si>
  <si>
    <t>A5028174A$0000289_2111</t>
  </si>
  <si>
    <t>A5028174A$0000290_2111</t>
  </si>
  <si>
    <t>A5028174A$0000291_2111</t>
  </si>
  <si>
    <t>A5028174A$0000292_2111</t>
  </si>
  <si>
    <t>A5028174A$0000293_2111</t>
  </si>
  <si>
    <t>A5028174A$0000294_2111</t>
  </si>
  <si>
    <t>A5028174A$0000295_2111</t>
  </si>
  <si>
    <t>A5028174A$0000296_2111</t>
  </si>
  <si>
    <t>A5028174A$0000297_2111</t>
  </si>
  <si>
    <t>A5028174A$0000298_2111</t>
  </si>
  <si>
    <t>A5028174A$0000299_2111</t>
  </si>
  <si>
    <t>A5028174A$0000300_2111</t>
  </si>
  <si>
    <t>A5028174A$0000301_2111</t>
  </si>
  <si>
    <t>A5028174A$0000302_2111</t>
  </si>
  <si>
    <t>A5028174A$0000303_2111</t>
  </si>
  <si>
    <t>A5028174A$0000304_2111</t>
  </si>
  <si>
    <t>A5028174A$0000305_2111</t>
  </si>
  <si>
    <t>A5028174A$0000306_2111</t>
  </si>
  <si>
    <t>A5028174A$0000307_2111</t>
  </si>
  <si>
    <t>A5028174A$0000308_2111</t>
  </si>
  <si>
    <t>A5028174A$0000309_2111</t>
  </si>
  <si>
    <t>A5028177A$0000091_2109</t>
  </si>
  <si>
    <t>A5028177A$0000092_2109</t>
  </si>
  <si>
    <t>A5028177A$0000093_2109</t>
  </si>
  <si>
    <t>A5028177A$0000094_2109</t>
  </si>
  <si>
    <t>A5028177A$0000095_2109</t>
  </si>
  <si>
    <t>A5028177A$0000096_2109</t>
  </si>
  <si>
    <t>A5028177A$0000097_2109</t>
  </si>
  <si>
    <t>A5028177A$0000098_2109</t>
  </si>
  <si>
    <t>A5028177A$0000099_2109</t>
  </si>
  <si>
    <t>A5028177A$0000100_2109</t>
  </si>
  <si>
    <t>A5028177A$0000101_2109</t>
  </si>
  <si>
    <t>A5028177A$0000102_2109</t>
  </si>
  <si>
    <t>A5028177A$0000079_2109</t>
  </si>
  <si>
    <t>A5028177A$0000078_2109</t>
  </si>
  <si>
    <t>A5028177A$0000077_2109</t>
  </si>
  <si>
    <t>A5028177A$0000076_2109</t>
  </si>
  <si>
    <t>A5028177A$0000075_2109</t>
  </si>
  <si>
    <t>A5028177A$0000074_2109</t>
  </si>
  <si>
    <t>A5028177A$0000070_2109</t>
  </si>
  <si>
    <t>A5028177A$0000069_2109</t>
  </si>
  <si>
    <t>A5028177A$0000068_2109</t>
  </si>
  <si>
    <t>A5030081B$0003190_2121</t>
  </si>
  <si>
    <t>A5030081B$0002447_2120-</t>
  </si>
  <si>
    <t>A5030081B$0002477_2120-</t>
  </si>
  <si>
    <t>A5030081B$0002747_2120</t>
  </si>
  <si>
    <t>A5030081B$0002410_2120</t>
  </si>
  <si>
    <t>A5030081B$0002419_2120</t>
  </si>
  <si>
    <t>A5030081B$0002692_2120</t>
  </si>
  <si>
    <t>A5030081B$0002865_2120</t>
  </si>
  <si>
    <t>A5030081B$0001465_2119</t>
  </si>
  <si>
    <t>A5030081B$0003552_2126</t>
  </si>
  <si>
    <t>A5028174A$0000458_2126</t>
  </si>
  <si>
    <t>A5013703A$0019316_2042-YSAS085CNU02</t>
  </si>
  <si>
    <t>A5014743A$0055007_2046-YD9S049DND01</t>
  </si>
  <si>
    <t>A5013700A$0055739_2045-YDAS055DNU02</t>
  </si>
  <si>
    <t>A5013674A$0015287_2048-YDAS075DNN02</t>
  </si>
  <si>
    <t>A5023872B$0002238_2048-YSAS075CNO02</t>
  </si>
  <si>
    <t>A5013677A$0055688_2046-YDAS065DNU02</t>
  </si>
  <si>
    <t>A5023872B$0004174_2048-YSAS075CNO02</t>
  </si>
  <si>
    <t>A5024285B$0001256_2047-YDAS075DNS02</t>
  </si>
  <si>
    <t>A5024285B$0000833_2047-YDAS075DNS02</t>
  </si>
  <si>
    <t>A5023872B$0003543_2048-YSAS075CNO02</t>
  </si>
  <si>
    <t>A5024285B$0000904_2047-YDAS075DNS02</t>
  </si>
  <si>
    <t>A5013700A$0057602_2047-YDAS055DNU02</t>
  </si>
  <si>
    <t>A5013703A$0022256_2048-YSAS085CNU02</t>
  </si>
  <si>
    <t>A5013677A$0057133_2047-YDAS065DNU02</t>
  </si>
  <si>
    <t>A5013677A$0053486_2046-YDAS065DNU02</t>
  </si>
  <si>
    <t>A5013677A$0056890_2047-YDAS065DNU02</t>
  </si>
  <si>
    <t>A5013703A$0025891_2050-YSAS085CNU02</t>
  </si>
  <si>
    <t>A5023872B$0002758_2048-YSAS075CNO02</t>
  </si>
  <si>
    <t>A5013700B$0001597_2049-YDAS055DNU02</t>
  </si>
  <si>
    <t>A5024285B$0000986_2047-YDAS075DNS02</t>
  </si>
  <si>
    <t>A5024285B$0002577_2047-YDAS075DNS02</t>
  </si>
  <si>
    <t>A5014097A$0022579_2049-YD9S085DTU01</t>
  </si>
  <si>
    <t>A5013700B$0002607_2049-YDAS055DNU02</t>
  </si>
  <si>
    <t>A5013700B$0002379_2049-YDAS055DNU02</t>
  </si>
  <si>
    <t>A5013700B$0006108_2050-YDAS055DNU02</t>
  </si>
  <si>
    <t>A5013677A$0059156_2048-YDAS065DNU02</t>
  </si>
  <si>
    <t>A5014743A$0064747_2053-YD9S049DND01</t>
  </si>
  <si>
    <t>A5013700B$0001954_2049-YDAS055DNU02</t>
  </si>
  <si>
    <t>A5013700B$0001955_2049-YDAS055DNU02</t>
  </si>
  <si>
    <t>A5013700B$0001960_2049-YDAS055DNU02</t>
  </si>
  <si>
    <t>A5013700B$0001946_2049-YDAS055DNU02</t>
  </si>
  <si>
    <t>A5024285B$0002819_2047-YDAS075DNS02</t>
  </si>
  <si>
    <t>A5013700B$0001947_2049-YDAS055DNU02</t>
  </si>
  <si>
    <t>A5013677A$0059939_2050-YDAS065DNU02</t>
  </si>
  <si>
    <t>A5013700B$0003831_2050-YDAS055DNU02</t>
  </si>
  <si>
    <t>A5013700B$0004858_2050-YDAS055DNU02</t>
  </si>
  <si>
    <t>A5014743A$0058298_2050-YD9S049DND01</t>
  </si>
  <si>
    <t>A5013700B$0005258_2050-YDAS055DNU02</t>
  </si>
  <si>
    <t>A5024285B$0004536_2051-YDAS075DNS02</t>
  </si>
  <si>
    <t>A5025367A$0020209_2101-YD9S049DND01</t>
  </si>
  <si>
    <t>A5025367A$0020103_2053-YD9S049DND01</t>
  </si>
  <si>
    <t>A5013674A$0018875_2101-YDAS075DNN02</t>
  </si>
  <si>
    <t>A5024285B$0003810_2051-YDAS075DNS02</t>
  </si>
  <si>
    <t>A5016527B$0001305_2051-YDAS075DND02</t>
  </si>
  <si>
    <t>A5014097A$0026959_2102-YD9S085DTU01</t>
  </si>
  <si>
    <t>A5013700A$0056665_2046-YDAS055DNU02</t>
  </si>
  <si>
    <t>A5013677B$0006959_2051-YDAS065DNU02</t>
  </si>
  <si>
    <t>A5013700B$0008394_2051-YDAS055DNU02</t>
  </si>
  <si>
    <t>A5013677A$0063250_2052-YDAS065DNU02</t>
  </si>
  <si>
    <t>A5014743A$0064374_2052-YD9S049DND01</t>
  </si>
  <si>
    <t>A5024285B$0005840_2052-YDAS075DNS02</t>
  </si>
  <si>
    <t>A5024285B$0005875_2052-YDAS075DNS02</t>
  </si>
  <si>
    <t>A5013677B$0010580_2052-YDAS065DNU02</t>
  </si>
  <si>
    <t>A5023872B$0008984_2052-YSAS075CNO02</t>
  </si>
  <si>
    <t>A5013700B$0011248_2052-YDAS055DNU02</t>
  </si>
  <si>
    <t>A5013677A$0062158_2052-YDAS065DNU02</t>
  </si>
  <si>
    <t>A5013700B$0012624_2053-YDAS055DNU02</t>
  </si>
  <si>
    <t>A5013700B$0011986_2053-YDAS055DNU02</t>
  </si>
  <si>
    <t>A5013677A$0062363_2052-YDAS065DNU02</t>
  </si>
  <si>
    <t>A5013677B$0011773_2053-YDAS065DNU02</t>
  </si>
  <si>
    <t>A5016564A$0002276_2101-YDAS085DNU02</t>
  </si>
  <si>
    <t>A5023872B$0015387_2101-YSAS075CNO02</t>
  </si>
  <si>
    <t>A5023872B$0012677_2101-YSAS075CNO02</t>
  </si>
  <si>
    <t>A5016535A$0028986_2102-YDAS085DNU02</t>
  </si>
  <si>
    <t>A5024285B$0008719_2103-YDAS075DNS02</t>
  </si>
  <si>
    <t>A5024285B$0008358_2103-YDAS075DNS02</t>
  </si>
  <si>
    <t>A5013703A$0024199_2048-YSAS085CNU02</t>
  </si>
  <si>
    <t>A5023872B$0016955_2102-YSAS075CNO02</t>
  </si>
  <si>
    <t>A5024285B$0008970_2103-YDAS075DNS02</t>
  </si>
  <si>
    <t>A5013703A$0033487_2104-YSAS085CNU02</t>
  </si>
  <si>
    <t>A5024290B$0000767_2053-YDAS075DNS02</t>
  </si>
  <si>
    <t>A5016535A$0031100_2103-YDAS085DNU02</t>
  </si>
  <si>
    <t>A5027728A$0001707_2105-YSBM075CNO02</t>
  </si>
  <si>
    <t>A5027728A$0000685_2105-YSBM075CNO02</t>
  </si>
  <si>
    <t>A5024285B$0012962_2104-YDAS075DNS02</t>
  </si>
  <si>
    <t>A5024285B$0016484_2109-YDAS075DNS02</t>
  </si>
  <si>
    <t>A5024285B$0016596_2109-YDAS075DNS02</t>
  </si>
  <si>
    <t>A5024285B$0016441_2109-YDAS075DNS02</t>
  </si>
  <si>
    <t>A5024285B$0016514_2109-YDAS075DNS02</t>
  </si>
  <si>
    <t>A5024285B$0016250_2106-YDAS075DNS02</t>
  </si>
  <si>
    <t>A5024285B$0016385_2109-YDAS075DNS02</t>
  </si>
  <si>
    <t>A5024285B$0015337_2105-YDAS075DNS02</t>
  </si>
  <si>
    <t>A5024285B$0015000_2105-YDAS075DNS02</t>
  </si>
  <si>
    <t>A5024285B$0014761_2105-YDAS075DNS02</t>
  </si>
  <si>
    <t>A5024285B$0014792_2105-YDAS075DNS02</t>
  </si>
  <si>
    <t>A5024285B$0015616_2106-YDAS075DNS02</t>
  </si>
  <si>
    <t>A5016535A$0035163_2108-YDAS085DNU02</t>
  </si>
  <si>
    <t>A5024285B$0017608_2110-YDAS075DNS02</t>
  </si>
  <si>
    <t>A5027728A$0003526_2110-YSBM075CNO02</t>
  </si>
  <si>
    <t>A5016535A$0035871_2109-YDAS085DNU02</t>
  </si>
  <si>
    <t>A5013706B$0002265_2110-YSAS075CNG02</t>
  </si>
  <si>
    <t>A5027710A$0000204_2112-YDBM075DCS02</t>
  </si>
  <si>
    <t>A5016535A$0039817_2113-YDAS085DNU02</t>
  </si>
  <si>
    <t>A5024285B$0019574_2112-YDAS075DNS02</t>
  </si>
  <si>
    <t>A5027722A$0000234_2112-YDBM075CCS02</t>
  </si>
  <si>
    <t>A5027719A$0000746_2113-YDBM075CCS02</t>
  </si>
  <si>
    <t>A5027719A$0000738_2113-YDBM075CCS02</t>
  </si>
  <si>
    <t>A5027719A$0000833_2113-YDBM075CCS02</t>
  </si>
  <si>
    <t>A5013706B$0008839_2115-YSAS075CNG02</t>
  </si>
  <si>
    <t>A5013706B$0006912_2113-YSAS075CNG02</t>
  </si>
  <si>
    <t>A5013706B$0007388_2113-YSAS075CNG02</t>
  </si>
  <si>
    <t>A5016535A$0038806_2113-YDAS085DNU02</t>
  </si>
  <si>
    <t>A5016535A$0039504_2113-YDAS085DNU02</t>
  </si>
  <si>
    <t>A5030086B$0000974_2119-YDBO085DAU02</t>
  </si>
  <si>
    <t>A5027716A$0000634_2114-YDBM085CNU02</t>
  </si>
  <si>
    <t>A5024285B$0020125_2114-YDAS075DNS02</t>
  </si>
  <si>
    <t>A5024285B$0019868_2112-YDAS075DNS02</t>
  </si>
  <si>
    <t>A5024285B$0020110_2114-YDAS075DNS02</t>
  </si>
  <si>
    <t>A5027728A$0007558_2115-YSBM075CNO02</t>
  </si>
  <si>
    <t>A5027728A$0008154_2115-YSBM075CNO02</t>
  </si>
  <si>
    <t>A5016535B$0001267_2115-YDAS085DNU02</t>
  </si>
  <si>
    <t>A5027728A$0008194_2115-YSBM075CNO02</t>
  </si>
  <si>
    <t>A5016535A$0036876_2110-YDAS085DNU02</t>
  </si>
  <si>
    <t>A5013706B$0009314_2115-YSAS075CNG02</t>
  </si>
  <si>
    <t>A5027707B$0000619_2116-YDBM075DCS02</t>
  </si>
  <si>
    <t>A5027728A$0008103_2115-YSBM075CNO02</t>
  </si>
  <si>
    <t>A5039502A$0001258_2121-YDBO075DAS02</t>
  </si>
  <si>
    <t>A5027710B$0001547_2118-YDBM075DCS02</t>
  </si>
  <si>
    <t>A5039495A$0000386_2123-HDBO085DDU02</t>
  </si>
  <si>
    <t>A5013706B$0012253_2117-YSAS075CNG02</t>
  </si>
  <si>
    <t>A5027728A$0009541_2119-YSBM075CNO02</t>
  </si>
  <si>
    <t>A5027716A$0002784_2117-YDBM085CNU02</t>
  </si>
  <si>
    <t>A5027719A$0005015_2118-YDBM075CCS02</t>
  </si>
  <si>
    <t>A5027719A$0005074_2118-YDBM075CCS02</t>
  </si>
  <si>
    <t>A5027728A$0008426_2119-YSBM075CNO02</t>
  </si>
  <si>
    <t>A5027716A$0002962_2117-YDBM085CNU02</t>
  </si>
  <si>
    <t>A5039491A$0000069_2121-HDBO075DDU02</t>
  </si>
  <si>
    <t>A5027707A$0006482_2120-YDBM075DCS02</t>
  </si>
  <si>
    <t>A5027728A$0010962_2120-YSBM075CNO02</t>
  </si>
  <si>
    <t>A5027722A$0002607_2119-YDBM075CCS02</t>
  </si>
  <si>
    <t>A5027722A$0002186_2117-YDBM075CCS02</t>
  </si>
  <si>
    <t>A5027710B$0002963_2118-YDBM075DCS02</t>
  </si>
  <si>
    <t>A5027710B$0002942_2118-YDBM075DCS02</t>
  </si>
  <si>
    <t>A5027728A$0012597_2121-YSBM075CNO02</t>
  </si>
  <si>
    <t>A5027728A$0011684_2120-YSBM075CNO02</t>
  </si>
  <si>
    <t>A5027722A$0003860_2121-YDBM075CCS02</t>
  </si>
  <si>
    <t>A5013706B$0015178_2121-YSAS075CNG02</t>
  </si>
  <si>
    <t>A5024285B$0023022_2117-YDAS075DNS02</t>
  </si>
  <si>
    <t>A5013706B$0014576_2120-YSAS075CNG02</t>
  </si>
  <si>
    <t>A5013706B$0013177_2118-YSAS075CNG02</t>
  </si>
  <si>
    <t>A5013706B$0014309_2120-YSAS075CNG02</t>
  </si>
  <si>
    <t>A5027722A$0004072_2121-YDBM075CCS02</t>
  </si>
  <si>
    <t>A5027728A$0013555_2122-YSBM075CNO02</t>
  </si>
  <si>
    <t>A5027728A$0013573_2122-YSBM075CNO02</t>
  </si>
  <si>
    <t>A5027728A$0012922_2121-YSBM075CNO02</t>
  </si>
  <si>
    <t>A5039507A$0000852_2121-YDBO085DAU02</t>
  </si>
  <si>
    <t>A5039507A$0000864_2121-YDBO085DAU02</t>
  </si>
  <si>
    <t>A5027728A$0013983_2122-YSBM075CNO02</t>
  </si>
  <si>
    <t>A5027728A$0010859_2121-YSBM075CNO02</t>
  </si>
  <si>
    <t>A5027728A$0013713_2122-YSBM075CNO02</t>
  </si>
  <si>
    <t>A5027728A$0010885_2121-YSBM075CNO02</t>
  </si>
  <si>
    <t>A5027728A$0013326_2122-YSBM075CNO02</t>
  </si>
  <si>
    <t>A5027728A$0014910_2123-YSBM075CNO02</t>
  </si>
  <si>
    <t>A5027710A$0004454_2124-YDBM075DCS02</t>
  </si>
  <si>
    <t>A5039502A$0003395_2123-YDBO075DAS02</t>
  </si>
  <si>
    <t>A5039502A$0002192_2122-YDBO075DAS02</t>
  </si>
  <si>
    <t>A5027722A$0007412_2126-YDBM075CCS02</t>
  </si>
  <si>
    <t>A5027722A$0005246_2124-YDBM075CCS02</t>
  </si>
  <si>
    <t>A5030081A$0000500_2114-YDBO075DAS02</t>
  </si>
  <si>
    <t>A5027722A$0007561_2126-YDBM075CCS02</t>
  </si>
  <si>
    <t>A5032151A$0000278_2120-YDBO065DBU02</t>
  </si>
  <si>
    <t>A5027707A$0006767_2120-YDBM075DCS02</t>
  </si>
  <si>
    <t>A5027722A$0006021_2126-YDBM075CCS02</t>
  </si>
  <si>
    <t>A5027710A$0005984_2125-YDBM075DCS02</t>
  </si>
  <si>
    <t>A5016535B$0006605_2126-YDAS085DNU02</t>
  </si>
  <si>
    <t>A5030081A$0000553_2114-YDBO075DAS02</t>
  </si>
  <si>
    <t>A5030081A$0001475_2115-YDBO075DAS02</t>
  </si>
  <si>
    <t>A5027722A$0006634_2126-YDBM075CCS02</t>
  </si>
  <si>
    <t>A5027722A$0007516_2126-YDBM075CCS02</t>
  </si>
  <si>
    <t>A5027722A$0007074_2126-YDBM075CCS02</t>
  </si>
  <si>
    <t>A5027710A$0005800_2124-YDBM075DCS02</t>
  </si>
  <si>
    <t>A5013700A$0003057_2003</t>
  </si>
  <si>
    <t>A5013677A$0003118_2003</t>
  </si>
  <si>
    <t>A5013677A$0003151_2003</t>
  </si>
  <si>
    <t>A5013677A$0003164_2003</t>
  </si>
  <si>
    <t>A5013700A$0003090_2003</t>
  </si>
  <si>
    <t>A5013700A$0003004_2003</t>
  </si>
  <si>
    <t>A5013677A$0015565_2027</t>
  </si>
  <si>
    <t>A5013700A$0034805_2034</t>
  </si>
  <si>
    <t>A5013700A$0048432_2043</t>
  </si>
  <si>
    <t>A5013700A$0057503_2047</t>
  </si>
  <si>
    <t>A5013677A$0056273_2047</t>
  </si>
  <si>
    <t>A5013700B$0008767_2052</t>
  </si>
  <si>
    <t>A5039507A$0003007_2124</t>
  </si>
  <si>
    <t>A5028174A$0000391_2111</t>
  </si>
  <si>
    <t>A5028495A$0000477_2123</t>
  </si>
  <si>
    <t>A5039502A$0003081_2123</t>
  </si>
  <si>
    <t>A5039502A$0003091_2123</t>
  </si>
  <si>
    <t>A5027707A$0000670_2113</t>
  </si>
  <si>
    <t>A5027707A$0005533_2119</t>
  </si>
  <si>
    <t>A5027707A$0005822_2119</t>
  </si>
  <si>
    <t>A5027707A$0005825_2119</t>
  </si>
  <si>
    <t>A5027707A$0006231_2119</t>
  </si>
  <si>
    <t>A5027707A$0006235_2119</t>
  </si>
  <si>
    <t>A5027707A$0010309_2124</t>
  </si>
  <si>
    <t>A5013700A$0002379_2003-YDAS055DNU02</t>
  </si>
  <si>
    <t>A5013677A$0003047_2003-YDAS065DNU02</t>
  </si>
  <si>
    <t>A5013700A$0004031_2008-YDAS055DNU02</t>
  </si>
  <si>
    <t>A5013677A$0003757_2009-YDAS065DNU02</t>
  </si>
  <si>
    <t>A5013677A$0002601_2003-YDAS065DNU02</t>
  </si>
  <si>
    <t>A5013677A$0003823_2009-YDAS065DNU02</t>
  </si>
  <si>
    <t>A5013700A$0004788_2010-YDAS055DNU02</t>
  </si>
  <si>
    <t>A5013700A$0007358_2011-YDAS055DNU02</t>
  </si>
  <si>
    <t>A5013677A$0004972_2011-YDAS065DNU02</t>
  </si>
  <si>
    <t>A5013700A$0008698_2013-YDAS055DNU02</t>
  </si>
  <si>
    <t>A5013700A$0009268_2014-YDAS055DNU02</t>
  </si>
  <si>
    <t>A5013700A$0008593_2013-YDAS055DNU02</t>
  </si>
  <si>
    <t>A5013677A$0004738_2011-YDAS065DNU02</t>
  </si>
  <si>
    <t>A5013700A$0008256_2013-YDAS055DNU02</t>
  </si>
  <si>
    <t>A5013677A$0011559_2017-YDAS065DNU02</t>
  </si>
  <si>
    <t>A5013677A$0012244_2017-YDAS065DNU02</t>
  </si>
  <si>
    <t>A5013677A$0011813_2017-YDAS065DNU02</t>
  </si>
  <si>
    <t>A5013700A$0011255_2016-YDAS055DNU02</t>
  </si>
  <si>
    <t>A5013700A$0010843_2016-YDAS055DNU02</t>
  </si>
  <si>
    <t>A5013700A$0010989_2016-YDAS055DNU02</t>
  </si>
  <si>
    <t>A5013700A$0013987_2023-YDAS055DNU02</t>
  </si>
  <si>
    <t>A5013700A$0014613_2024-YDAS055DNU02</t>
  </si>
  <si>
    <t>A5013700A$0016751_2024-YDAS055DNU02</t>
  </si>
  <si>
    <t>A5013677A$0014854_2024-YDAS065DNU02</t>
  </si>
  <si>
    <t>A5013677A$0014744_2024-YDAS065DNU02</t>
  </si>
  <si>
    <t>A5013677A$0014462_2022-YDAS065DNU02</t>
  </si>
  <si>
    <t>A5013677A$0017793_2027-YDAS065DNU02</t>
  </si>
  <si>
    <t>A5013677A$0017758_2027-YDAS065DNU02</t>
  </si>
  <si>
    <t>A5013677A$0017787_2027-YDAS065DNU02</t>
  </si>
  <si>
    <t>A5013677A$0020250_2029-YDAS065DNU02</t>
  </si>
  <si>
    <t>A5013677A$0020221_2029-YDAS065DNU02</t>
  </si>
  <si>
    <t>A5013700A$0021986_2026-YDAS055DNU02</t>
  </si>
  <si>
    <t>A5013677A$0019815_2028-YDAS065DNU02</t>
  </si>
  <si>
    <t>A5013677A$0020912_2029-YDAS065DNU02</t>
  </si>
  <si>
    <t>A5013700A$0024977_2027-YDAS055DNU02</t>
  </si>
  <si>
    <t>A5013677A$0024472_2030-YDAS065DNU02</t>
  </si>
  <si>
    <t>A5013677A$0025650_2030-YDAS065DNU02</t>
  </si>
  <si>
    <t>A5013700A$0030181_2032-YDAS055DNU02</t>
  </si>
  <si>
    <t>A5013700A$0029135_2032-YDAS055DNU02</t>
  </si>
  <si>
    <t>A5013700A$0034570_2034-YDAS055DNU02</t>
  </si>
  <si>
    <t>A5013700A$0016798_2024-YDAS055DNU02</t>
  </si>
  <si>
    <t>A5013700A$0036108_2036-YDAS055DNU02</t>
  </si>
  <si>
    <t>A5013677A$0036779_2037-YDAS065DNU02</t>
  </si>
  <si>
    <t>A5013700A$0040355_2039-YDAS055DNU02</t>
  </si>
  <si>
    <t>A5013700A$0040944_2039-YDAS055DNU02</t>
  </si>
  <si>
    <t>A5013677A$0044981_2041-YDAS065DNU02</t>
  </si>
  <si>
    <t>A5013677A$0048287_2042-YDAS065DNU02</t>
  </si>
  <si>
    <t>A5013677A$0047621_2042-YDAS065DNU02</t>
  </si>
  <si>
    <t>A5013677A$0047509_2042-YDAS065DNU02</t>
  </si>
  <si>
    <t>A5013677A$0058539_2047-YDAS065DNU02</t>
  </si>
  <si>
    <t>A5013677B$0000579_2048-YDAS065DNU02</t>
  </si>
  <si>
    <t>A5013700B$0007272_2051-YDAS055DNU02</t>
  </si>
  <si>
    <t>A5013677B$0013141_2101-YDAS065DNU02</t>
  </si>
  <si>
    <t>A5013677B$0013201_2101-YDAS065DNU02</t>
  </si>
  <si>
    <t>A5013677B$0013266_2101-YDAS065DNU02</t>
  </si>
  <si>
    <t>A5013677B$0015599_2104-YDAS065DNU02</t>
  </si>
  <si>
    <t>A5013677B$0015083_2103-YDAS065DNU02</t>
  </si>
  <si>
    <t>A5013677B$0013884_2102-YDAS065DNU02</t>
  </si>
  <si>
    <t>A5013677B$0014705_2103-YDAS065DNU02</t>
  </si>
  <si>
    <t>A5013677B$0014817_2103-YDAS065DNU02</t>
  </si>
  <si>
    <t>A5013677B$0017093_2108-YDAS065DNU02</t>
  </si>
  <si>
    <t>A5013677B$0016693_2107-YDAS065DNU02</t>
  </si>
  <si>
    <t>A5013677B$0016471_2104-YDAS065DNU02</t>
  </si>
  <si>
    <t>A5013677B$0016524_2104-YDAS065DNU02</t>
  </si>
  <si>
    <t>A5013677B$0020312_2109-YDAS065DNU02</t>
  </si>
  <si>
    <t>A5013677B$0029128_2116-YDAS065DNU02</t>
  </si>
  <si>
    <t>A5013703A$0002970_2009-YSAS085CNU02</t>
  </si>
  <si>
    <t>A5013703A$0000021_1947-YSAS085CNU02</t>
  </si>
  <si>
    <t>A5013703A$0008247_2022-YSAS085CNU02</t>
  </si>
  <si>
    <t>A5013703A$0011560_2027-YSAS085CNU02</t>
  </si>
  <si>
    <t>A5013703A$0012523_2028-YSAS085CNU02</t>
  </si>
  <si>
    <t>A5013703A$0011785_2027-YSAS085CNU02</t>
  </si>
  <si>
    <t>A5013703A$0014583_2032-YSAS085CNU02</t>
  </si>
  <si>
    <t>A5013703A$0015893_2033-YSAS085CNU02</t>
  </si>
  <si>
    <t>A5013703A$0015896_2033-YSAS085CNU02</t>
  </si>
  <si>
    <t>A5013703A$0018362_2039-YSAS085CNU02</t>
  </si>
  <si>
    <t>A5013703A$0018273_2038-YSAS085CNU02</t>
  </si>
  <si>
    <t>A5013703A$0018198_2039-YSAS085CNU02</t>
  </si>
  <si>
    <t>A5013703A$0018252_2039-YSAS085CNU02</t>
  </si>
  <si>
    <t>A5013703A$0021282_2045-YSAS085CNU02</t>
  </si>
  <si>
    <t>A5013703A$0021018_2045-YSAS085CNU02</t>
  </si>
  <si>
    <t>A5013703A$0035318_2108-YSAS085CNU02</t>
  </si>
  <si>
    <t>A5013703A$0035044_2107-YSAS085CNU02</t>
  </si>
  <si>
    <t>A5013703B$0000070_2115-YSAS085CNU02</t>
  </si>
  <si>
    <t>A5016564A$0000314_2024-YDAS085DNU02</t>
  </si>
  <si>
    <t>A5016535A$0004215_2023-YDAS085DNU02</t>
  </si>
  <si>
    <t>A5016535A$0003891_2023-YDAS085DNU02</t>
  </si>
  <si>
    <t>A5016535A$0004188_2023-YDAS085DNU02</t>
  </si>
  <si>
    <t>A5016535A$0006211_2028-YDAS085DNU02</t>
  </si>
  <si>
    <t>A5016535A$0006615_2028-YDAS085DNU02</t>
  </si>
  <si>
    <t>A5016535A$0006827_2029-YDAS085DNU02</t>
  </si>
  <si>
    <t>A5016535A$0008187_2030-YDAS085DNU02</t>
  </si>
  <si>
    <t>A5016535A$0008748_2030-YDAS085DNU02</t>
  </si>
  <si>
    <t>A5016535A$0008749_2030-YDAS085DNU02</t>
  </si>
  <si>
    <t>A5016535A$0008750_2030-YDAS085DNU02</t>
  </si>
  <si>
    <t>A5016535A$0008590_2030-YDAS085DNU02</t>
  </si>
  <si>
    <t>A5016535A$0008645_2030-YDAS085DNU02</t>
  </si>
  <si>
    <t>A5016535A$0009210_2030-YDAS085DNU02</t>
  </si>
  <si>
    <t>A5016535A$0010910_2032-YDAS085DNU02</t>
  </si>
  <si>
    <t>A5016535A$0014964_2038-YDAS085DNU02</t>
  </si>
  <si>
    <t>A5016535A$0017210_2040-YDAS085DNU02</t>
  </si>
  <si>
    <t>A5016535A$0021128_2043-YDAS085DNU02</t>
  </si>
  <si>
    <t>A5016535A$0023292_2049-YDAS085DNU02</t>
  </si>
  <si>
    <t>A5016535A$0024415_2050-YDAS085DNU02</t>
  </si>
  <si>
    <t>A5016535A$0030123_2103-YDAS085DNU02</t>
  </si>
  <si>
    <t>A5016535A$0030693_2103-YDAS085DNU02</t>
  </si>
  <si>
    <t>A5016535A$0024803_2051-YDAS085DNU02</t>
  </si>
  <si>
    <t>A5016535A$0034840_2108-YDAS085DNU02</t>
  </si>
  <si>
    <t>A5016535A$0033473_2105-YDAS085DNU02</t>
  </si>
  <si>
    <t>A5016535A$0037626_2111-YDAS085DNU02</t>
  </si>
  <si>
    <t>A5016535B$0000713_2115-YDAS085DNU02</t>
  </si>
  <si>
    <t>A5016564A$0001989_2051-YDAS085DNU02</t>
  </si>
  <si>
    <t>A5016535B$0006115_2122-YDAS085DNU02</t>
  </si>
  <si>
    <t>A5032151A$0000348_2120-YDBO065DBU02</t>
  </si>
  <si>
    <t>A5030086B$0000050_2117-YDBO085DAU02</t>
  </si>
  <si>
    <t>A5039507A$0000723_2120-YDBO085DAU02</t>
  </si>
  <si>
    <t>A5039507A$0001544_2121-YDBO085DAU02</t>
  </si>
  <si>
    <t>A5039507A$0001670_2121-YDBO085DAU02</t>
  </si>
  <si>
    <t>A5039507A$0001521_2121-YDBO085DAU02</t>
  </si>
  <si>
    <t>A5039507A$0001909_2121-YDBO085DAU03</t>
  </si>
  <si>
    <t>A5039507A$0001676_2121-YDBO085DAU02</t>
  </si>
  <si>
    <t>A5039507A$0002444_2124-YDBO085DAU02</t>
  </si>
  <si>
    <t>A5039507A$0002798_2124-YDBO085DAU02</t>
  </si>
  <si>
    <t>A5027713A$0000039_2110-YDBM085CNU02</t>
  </si>
  <si>
    <t>A5027713A$0000051_2110-YDBM085CNU02</t>
  </si>
  <si>
    <t>A5027713A$0000599_2114-YDBM085CNU02</t>
  </si>
  <si>
    <t>A5027713A$0002417_2116-YDBM085CNU02</t>
  </si>
  <si>
    <t>A5027713A$0004174_2117-YDBM085CNU02</t>
  </si>
  <si>
    <t>A5027713A$0004251_2117-YDBM085CNU02</t>
  </si>
  <si>
    <t>A5027713A$0001712_2115-YDBM085CNU02</t>
  </si>
  <si>
    <t>A5027713A$0003832_2117-YDBM085CNU02</t>
  </si>
  <si>
    <t>A5027713A$0005791_2119-YDBM085CNU02</t>
  </si>
  <si>
    <t>A5027713A$0006030_2120-YDBM085CNU02</t>
  </si>
  <si>
    <t>A5027713A$0007602_2124-YDBM085CNU02</t>
  </si>
  <si>
    <t>A5023872A$0002758_2032-YSAS075CNO02</t>
  </si>
  <si>
    <t>A5023872A$0006469_2033-YSAS075CNO02</t>
  </si>
  <si>
    <t>A5023872A$0014476_2036-YSAS075CNO02</t>
  </si>
  <si>
    <t>A5023872A$0013803_2036-YSAS075CNO02</t>
  </si>
  <si>
    <t>A5023872A$0014538_2036-YSAS075CNO02</t>
  </si>
  <si>
    <t>A5023872A$0013900_2036-YSAS075CNO02</t>
  </si>
  <si>
    <t>A5023872A$0014678_2036-YSAS075CNO02</t>
  </si>
  <si>
    <t>A5023872A$0023962_2039-YSAS075CNO02</t>
  </si>
  <si>
    <t>A5023872A$0021170_2038-YSAS075CNO02</t>
  </si>
  <si>
    <t>A5023872A$0024149_2039-YSAS075CNO02</t>
  </si>
  <si>
    <t>A5023872A$0033945_2046-YSAS075CNO02</t>
  </si>
  <si>
    <t>A5023872B$0001140_2048-YSAS075CNO02</t>
  </si>
  <si>
    <t>A5023872A$0033251_2046-YSAS075CNO02</t>
  </si>
  <si>
    <t>A5023872B$0001968_2048-YSAS075CNO02</t>
  </si>
  <si>
    <t>A5023872B$0007500_2050-YSAS075CNO02</t>
  </si>
  <si>
    <t>A5023872B$0008702_2051-YSAS075CNO02</t>
  </si>
  <si>
    <t>A5023872B$0010445_2053-YSAS075CNO02</t>
  </si>
  <si>
    <t>A5023872B$0009574_2053-YSAS075CNO02</t>
  </si>
  <si>
    <t>A5023872B$0014277_2101-YSAS075CNO02</t>
  </si>
  <si>
    <t>A5023872B$0018782_2103-YSAS075CNO02</t>
  </si>
  <si>
    <t>A5023872B$0025426_2109-YSAS075CNO02</t>
  </si>
  <si>
    <t>A5023872B$0024866_2109-YSAS075CNO02</t>
  </si>
  <si>
    <t>A5027725A$0000923_2110_YSBM075CNO02</t>
  </si>
  <si>
    <t>A5027725A$00001381_2110_YSBM075CNO02</t>
  </si>
  <si>
    <t>A5027725A$00002263_2111_YSBM075CNO02</t>
  </si>
  <si>
    <t>A5027725A$0004835_2113_YSBM075CNO02</t>
  </si>
  <si>
    <t>A5027725A$0004724_2113_YSBM075CNO02</t>
  </si>
  <si>
    <t>A5027725A$0006564_2113_YSBM075CNO02</t>
  </si>
  <si>
    <t>A5027725A$0006925_2114_YSBM075CNO02</t>
  </si>
  <si>
    <t>A5027725A$0002964_2112_YSBM075CNO02</t>
  </si>
  <si>
    <t>A5027725A$0009114_2116_YSBM075CNO02</t>
  </si>
  <si>
    <t>A5027725A$0011548_2117_YSBM075CNO02</t>
  </si>
  <si>
    <t>A5027725A$0012965_2119_YSBM075CNO02</t>
  </si>
  <si>
    <t>A5027725A$0012863_2119_YSBM075CNO02</t>
  </si>
  <si>
    <t>A5027725A$0012423_2119_YSBM075CNO02</t>
  </si>
  <si>
    <t>A5027725A$0014456_2120_YSBM075CNO02</t>
  </si>
  <si>
    <t>A5027725A$0013640_2120_YSBM075CNO02</t>
  </si>
  <si>
    <t>A5027725A$0015537_2121_YSBM075CNO02</t>
  </si>
  <si>
    <t>A5027725A$0016114_2123_YSBM075CNO02</t>
  </si>
  <si>
    <t>A5027725A$0016452_2123_YSBM075CNO02</t>
  </si>
  <si>
    <t>A5027725A$0017002_2123_YSBM075CNO02</t>
  </si>
  <si>
    <t>A5027725A$0018544_2125_YSBM075CNO02</t>
  </si>
  <si>
    <t>A5027725A$0018096_2124_YSBM075CNO02</t>
  </si>
  <si>
    <t>A5039502A$0000166_2121-YDBO075DAS02</t>
  </si>
  <si>
    <t>A5027707A$0001758_2114-YDBM075DCS02</t>
  </si>
  <si>
    <t>A5027707A$0001236_2114-YDBM075DCS02</t>
  </si>
  <si>
    <t>A5027707A$0002707_2115-YDBM075DCS02</t>
  </si>
  <si>
    <t>A5027707B$0000428_2116-YDBM075DCS02</t>
  </si>
  <si>
    <t>A5027707A$0005871_2119-YDBM075DCS02</t>
  </si>
  <si>
    <t>A5027707B$0002167_2117-YDBM075DCS02</t>
  </si>
  <si>
    <t>A5027707B$0001973_2117-YDBM075DCS02</t>
  </si>
  <si>
    <t>A5027707A$0006609_2120-YDBM075DCS02</t>
  </si>
  <si>
    <t>A5027707A$0007646_2121-YDBM075DCS02</t>
  </si>
  <si>
    <t>A5027707A$0008663_2123-YDBM075DCS02</t>
  </si>
  <si>
    <t>A5027707A$0008509_2123-YDBM075DCS02</t>
  </si>
  <si>
    <t>A5027707A$0008154_2122-YDBM075DCS02</t>
  </si>
  <si>
    <t>A5027719A$0001855_2115-YDBM075CCS02</t>
  </si>
  <si>
    <t>A5027719A$0002625_2116-YDBM075CCS02</t>
  </si>
  <si>
    <t>A5027719A$0003412_2117-YDBM075CCS02</t>
  </si>
  <si>
    <t>A5027719A$0005720_2118-YDBM075CCS02</t>
  </si>
  <si>
    <t>A5027719A$0004209_2118-YDBM075CCS02</t>
  </si>
  <si>
    <t>A5027719A$0007554_2120-YDBM075CCS02</t>
  </si>
  <si>
    <t>A5027719A$0009817_2125-YDBM075CCS02</t>
  </si>
  <si>
    <t>A5027719A$0008286_2124-YDBM075CCS02</t>
  </si>
  <si>
    <t>A5027719A$0008569_2124-YDBM075CCS02</t>
  </si>
  <si>
    <t>A5027719A$0009036_2124-YDBM075CCS02</t>
  </si>
  <si>
    <t>A5013706A$0001189_1951-YSAS075CNG02</t>
  </si>
  <si>
    <t>A5013706A$0001298_1951-YSAS075CNG02</t>
  </si>
  <si>
    <t>A5013706A$0007692_2007-YSAS075CNG02</t>
  </si>
  <si>
    <t>A5013706A$0007660_2007-YSAS075CNG02</t>
  </si>
  <si>
    <t>A5013706A$0008342_2011_YSAS075CNG02</t>
  </si>
  <si>
    <t>A5013706A$0008413_2011-YSAS075CNG02</t>
  </si>
  <si>
    <t>A5013706A$0000059_1949-YSAS075CNG02</t>
  </si>
  <si>
    <t>A5013706A$0008925_2011-YSAS075CNG02</t>
  </si>
  <si>
    <t>A5013706A$0008372_2011-YSAS075CNG02</t>
  </si>
  <si>
    <t>A5013706A$0010696_2014-YSAS075CNG02</t>
  </si>
  <si>
    <t>A5013706A$0011147_2015-YSAS075CNG02</t>
  </si>
  <si>
    <t>A5013706A$0011973_2015-YSAS075CNG02</t>
  </si>
  <si>
    <t>A5013706A$0010430_2014-YSAS075CNG02</t>
  </si>
  <si>
    <t>A5013706A$0011698_2015-YSAS075CNG02</t>
  </si>
  <si>
    <t>A5013706A$0010972_2014-YSAS075CNG02</t>
  </si>
  <si>
    <t>A5013706A$0010854_2014-YSAS075CNG02</t>
  </si>
  <si>
    <t>A5013706A$0015615_2020-YSAS075CNG02</t>
  </si>
  <si>
    <t>A5013706A$0009162_2012-YSAS075CNG02</t>
  </si>
  <si>
    <t>A5013706A$0023389_2026-YSAS075CNG02</t>
  </si>
  <si>
    <t>A5013706A$0023139_2025-YSAS075CNG02</t>
  </si>
  <si>
    <t>A5013706A$0023923_2026-YSAS075CNG02</t>
  </si>
  <si>
    <t>A5013706A$0029061_2029-YSAS075CNG02</t>
  </si>
  <si>
    <t>A5013706A$0029216_2029-YSAS075CNG02</t>
  </si>
  <si>
    <t>A5013706A$0028862_2029-YSAS075CNG02</t>
  </si>
  <si>
    <t>A5013706A$0029263_2029-YSAS075CNG02</t>
  </si>
  <si>
    <t>A5013706A$0023998_2026-YSAS075CNG02</t>
  </si>
  <si>
    <t>A5013706A$0028834_2029-YSAS075CNG02</t>
  </si>
  <si>
    <t>A5013706A$0028725_2029-YSAS075CNG02</t>
  </si>
  <si>
    <t>A5013706A$0024074_2026-YSAS075CNG02</t>
  </si>
  <si>
    <t>A5013706A$0031247_2029-YSAS075CNG02</t>
  </si>
  <si>
    <t>A5013706A$0027438_2027-YSAS075CNG02</t>
  </si>
  <si>
    <t>A5013706A$0027119_2027-YSAS075CNG02</t>
  </si>
  <si>
    <t>A5013706A$0034654_2030-YSAS075CNG02</t>
  </si>
  <si>
    <t>A5013706A$0036188_2030-YSAS075CNG02</t>
  </si>
  <si>
    <t>A5013706A$0035622_2030-YSAS075CNG02</t>
  </si>
  <si>
    <t>A5013706A$0038719_2031-YSAS075CNG02</t>
  </si>
  <si>
    <t>A5013706A$0040065_2032-YSAS075CNG02</t>
  </si>
  <si>
    <t>A5013706A$0039880_2032-YSAS075CNG02</t>
  </si>
  <si>
    <t>A5013706A$0900056_2034_YSAS075CNG02</t>
  </si>
  <si>
    <t>A5013706A$0900052_2034_YSAS075CNG02</t>
  </si>
  <si>
    <t>A5013706A$0001981_2110_YSAS075CNG02</t>
  </si>
  <si>
    <t>A5013706A$0000472_2119_YSAS075CNG02</t>
  </si>
  <si>
    <t>A5013706B$0003001_2110_YSAS075CNG02</t>
  </si>
  <si>
    <t>A5013706B$0007916_2114_YSAS075CNG02</t>
  </si>
  <si>
    <t>A5016527A$0008262_2024-YDAS075DND02</t>
  </si>
  <si>
    <t>A5016527A$0008544_2024-YDAS075DND02</t>
  </si>
  <si>
    <t>A5016527A$0012817_2028-YDAS075DND02</t>
  </si>
  <si>
    <t>A5016527A$0012773_2028-YDAS075DND02</t>
  </si>
  <si>
    <t>A5016527A$0015550_2028-YDAS075DND02</t>
  </si>
  <si>
    <t>A5016527A$0016492_2028-YDAS075DND02</t>
  </si>
  <si>
    <t>A5016527A$0020676_2031-YDAS075DND02</t>
  </si>
  <si>
    <t>A5016527A$0019855_2031-YDAS075DND02</t>
  </si>
  <si>
    <t>A5016527A$0024098_2033-YDAS075DND02</t>
  </si>
  <si>
    <t>A5016527A$0029012_2038-YDAS075DND02</t>
  </si>
  <si>
    <t>A5016527A$0029836_2039-YDAS075DND02</t>
  </si>
  <si>
    <t>A5016527A$0029837_2039-YDAS075DND02</t>
  </si>
  <si>
    <t>A5016527B$0000020_2044-YDAS075DND02</t>
  </si>
  <si>
    <t>A5016527B$0000921_2046-YDAS075DND02</t>
  </si>
  <si>
    <t>A5016527B$0007987_2052-YDAS075DND02</t>
  </si>
  <si>
    <t>A5016527B$0010600_2104-YDAS075DND02</t>
  </si>
  <si>
    <t>A5016527B$0010847_2105-YDAS075DND02</t>
  </si>
  <si>
    <t>A5016527B$0011971_2110-YDAS075DND02</t>
  </si>
  <si>
    <t>A5016527B$0012532_2110-YDAS075DND02</t>
  </si>
  <si>
    <t>A-5027-725-A</t>
  </si>
  <si>
    <t>A-5027-707-**</t>
  </si>
  <si>
    <t>A-5028-174-**</t>
  </si>
  <si>
    <t>A-5028-177-**</t>
  </si>
  <si>
    <t>A-5030-081-**</t>
  </si>
  <si>
    <t>EA5013703A</t>
  </si>
  <si>
    <t>EA5014743A</t>
  </si>
  <si>
    <t>EA5013700A</t>
  </si>
  <si>
    <t>EA5013674A</t>
  </si>
  <si>
    <t>EA5023872B</t>
  </si>
  <si>
    <t>EA5013677A</t>
  </si>
  <si>
    <t>EA5024285B</t>
  </si>
  <si>
    <t>EA5013700B</t>
  </si>
  <si>
    <t>EA5014097A</t>
  </si>
  <si>
    <t>EA5025367A</t>
  </si>
  <si>
    <t>EA5016527B</t>
  </si>
  <si>
    <t>EA5013677B</t>
  </si>
  <si>
    <t>EA5016564A</t>
  </si>
  <si>
    <t>EA5016535A</t>
  </si>
  <si>
    <t>EA5024290B</t>
  </si>
  <si>
    <t>EA5027728A</t>
  </si>
  <si>
    <t>EA5013706B</t>
  </si>
  <si>
    <t>EA5027710A</t>
  </si>
  <si>
    <t>EA5027722A</t>
  </si>
  <si>
    <t>EA5027719A</t>
  </si>
  <si>
    <t>EA5030086B</t>
  </si>
  <si>
    <t>EA5027716A</t>
  </si>
  <si>
    <t>EA5016535B</t>
  </si>
  <si>
    <t>EA5027707B</t>
  </si>
  <si>
    <t>EA5039502A</t>
  </si>
  <si>
    <t>EA5027710B</t>
  </si>
  <si>
    <t>EA5039495A</t>
  </si>
  <si>
    <t>EA5039491A</t>
  </si>
  <si>
    <t>EA5027707A</t>
  </si>
  <si>
    <t>EA5039507A</t>
  </si>
  <si>
    <t>EA5030081A</t>
  </si>
  <si>
    <t>EA5032151A</t>
  </si>
  <si>
    <t>A-5013-700-A</t>
  </si>
  <si>
    <t>A-5013-677-A</t>
  </si>
  <si>
    <t>A-5013-700-B</t>
  </si>
  <si>
    <t>A-5039-507-A</t>
  </si>
  <si>
    <t>A-5028-174-A</t>
  </si>
  <si>
    <t>A-5028-495-A</t>
  </si>
  <si>
    <t>A-5039-502-A</t>
  </si>
  <si>
    <t>A-5027-707-A</t>
  </si>
  <si>
    <t>A5013677*</t>
  </si>
  <si>
    <t>A5013700*</t>
  </si>
  <si>
    <t>A-5013-704-**</t>
  </si>
  <si>
    <t>A5016564*</t>
  </si>
  <si>
    <t>A5016535*</t>
  </si>
  <si>
    <t>A-5032-151-X</t>
  </si>
  <si>
    <t>A-5030-086-X</t>
  </si>
  <si>
    <t>A-5039-507-X</t>
  </si>
  <si>
    <t>A-5027-713-X</t>
  </si>
  <si>
    <t>A-5013-706-**</t>
  </si>
  <si>
    <t>A-5027-725-X</t>
  </si>
  <si>
    <t>A-5030-081-X</t>
  </si>
  <si>
    <t>A-5027-707-X</t>
  </si>
  <si>
    <t>A-5027-719-X</t>
  </si>
  <si>
    <t>A5016527*</t>
  </si>
  <si>
    <t>SSVE</t>
  </si>
  <si>
    <t>SSV</t>
  </si>
  <si>
    <t xml:space="preserve">Pol particle </t>
  </si>
  <si>
    <t>No display (O-Cell)</t>
  </si>
  <si>
    <t xml:space="preserve">Line etc </t>
  </si>
  <si>
    <t>LED etc</t>
  </si>
  <si>
    <t>Raf Contaminate</t>
  </si>
  <si>
    <t>B/L Particle</t>
  </si>
  <si>
    <t>Led Fail</t>
  </si>
  <si>
    <t>D/L Defect</t>
  </si>
  <si>
    <t>Black Spot</t>
  </si>
  <si>
    <t>White Spot</t>
  </si>
  <si>
    <t>G/L Defect</t>
  </si>
  <si>
    <t>Pol Scratch</t>
  </si>
  <si>
    <t>Bezel Dent</t>
  </si>
  <si>
    <t>No display</t>
  </si>
  <si>
    <t>LED fail</t>
  </si>
  <si>
    <t>D/L Open On/Off</t>
  </si>
  <si>
    <t>W/B data fail</t>
  </si>
  <si>
    <t>B/L Sheet Wrinkle</t>
  </si>
  <si>
    <t>D/B Defect</t>
  </si>
  <si>
    <t>Chassis bent</t>
  </si>
  <si>
    <t>LD board fail</t>
  </si>
  <si>
    <t>Pol Bubble</t>
  </si>
  <si>
    <t>Drain Open</t>
  </si>
  <si>
    <t>A/D</t>
  </si>
  <si>
    <t>O-Cell A/D</t>
  </si>
  <si>
    <t>W/B NG</t>
  </si>
  <si>
    <t>Half picture</t>
  </si>
  <si>
    <t>Bezel etc</t>
  </si>
  <si>
    <t>B/L Scratch</t>
  </si>
  <si>
    <t>EDID fail</t>
  </si>
  <si>
    <t>Visual App.</t>
  </si>
  <si>
    <t>B/L CNT etc</t>
  </si>
  <si>
    <t>H-dot etc</t>
  </si>
  <si>
    <t>Glass Broken</t>
  </si>
  <si>
    <t>Aluminium Frame Gap</t>
  </si>
  <si>
    <t>B/L CNT broken</t>
  </si>
  <si>
    <t>B/L wire broken</t>
  </si>
  <si>
    <t>D/C short</t>
  </si>
  <si>
    <t>TAPE etc</t>
  </si>
  <si>
    <t>Bezel NG</t>
  </si>
  <si>
    <t>Bezel Scratch</t>
  </si>
  <si>
    <t>T-CON A/D</t>
  </si>
  <si>
    <t>B/L light leakage</t>
  </si>
  <si>
    <t>Color fail</t>
  </si>
  <si>
    <t>D/D short</t>
  </si>
  <si>
    <t>Panel light leak</t>
  </si>
  <si>
    <t>Aluminium Frame Dent</t>
  </si>
  <si>
    <t>Aluminium Frame etc</t>
  </si>
  <si>
    <t>B/L particle</t>
  </si>
  <si>
    <t>D/L open</t>
  </si>
  <si>
    <t xml:space="preserve">Pol scratch </t>
  </si>
  <si>
    <t>G/L defect</t>
  </si>
  <si>
    <t>A/D etc</t>
  </si>
  <si>
    <t>Standby 5x</t>
  </si>
  <si>
    <t>No display (T-con)</t>
  </si>
  <si>
    <t>D/L defect</t>
  </si>
  <si>
    <t>Black spot</t>
  </si>
  <si>
    <t>Mura etc</t>
  </si>
  <si>
    <t>D/B defect</t>
  </si>
  <si>
    <t xml:space="preserve">Pol bubble </t>
  </si>
  <si>
    <t>B/L scratch</t>
  </si>
  <si>
    <t>G/C short</t>
  </si>
  <si>
    <t>G/G short</t>
  </si>
  <si>
    <t>Half Picture</t>
  </si>
  <si>
    <t>B/L Sheet fail</t>
  </si>
  <si>
    <t>S-CNT broken</t>
  </si>
  <si>
    <t>Screw floating</t>
  </si>
  <si>
    <t>Bracket fail</t>
  </si>
  <si>
    <t>LD board CNT fail</t>
  </si>
  <si>
    <t>Pol stain</t>
  </si>
  <si>
    <t>Drain open</t>
  </si>
  <si>
    <t>White spot</t>
  </si>
  <si>
    <t>G/D short</t>
  </si>
  <si>
    <t>Pol dent</t>
  </si>
  <si>
    <t>Standby 6x</t>
  </si>
  <si>
    <t>G/B defect</t>
  </si>
  <si>
    <t>H-dot G over</t>
  </si>
  <si>
    <t>B/L stain</t>
  </si>
  <si>
    <t>Visual app.</t>
  </si>
  <si>
    <t>Chassis Gap</t>
  </si>
  <si>
    <t>B/L sheet wrinkle</t>
  </si>
  <si>
    <t>Pol</t>
  </si>
  <si>
    <t>LED</t>
  </si>
  <si>
    <t>F/M</t>
  </si>
  <si>
    <t>Uni</t>
  </si>
  <si>
    <t>P-App</t>
  </si>
  <si>
    <t>Bezel</t>
  </si>
  <si>
    <t>BLU</t>
  </si>
  <si>
    <t>App</t>
  </si>
  <si>
    <t>Dot</t>
  </si>
  <si>
    <t>AL-Frame</t>
  </si>
  <si>
    <t>-</t>
  </si>
  <si>
    <t>T-con A/D</t>
  </si>
  <si>
    <t>FY21</t>
  </si>
  <si>
    <t>FY20</t>
  </si>
  <si>
    <t>FY19</t>
  </si>
  <si>
    <t>QTY</t>
  </si>
  <si>
    <t>FY_MM</t>
  </si>
  <si>
    <t>SOEM</t>
  </si>
  <si>
    <t>85NE</t>
  </si>
  <si>
    <t>SB85</t>
  </si>
  <si>
    <t>SBL49</t>
  </si>
  <si>
    <t>21 Mar</t>
  </si>
  <si>
    <t>21 Apr</t>
  </si>
  <si>
    <t>21 May</t>
  </si>
  <si>
    <t>21 Jun</t>
  </si>
  <si>
    <t>21 Jul</t>
  </si>
  <si>
    <t>21 Aug</t>
  </si>
  <si>
    <t>21 Feb</t>
  </si>
  <si>
    <t>21 Jan</t>
  </si>
  <si>
    <t>20 Apr</t>
  </si>
  <si>
    <t>20 May</t>
  </si>
  <si>
    <t>20 Jun</t>
  </si>
  <si>
    <t>20 Jul</t>
  </si>
  <si>
    <t>20 Aug</t>
  </si>
  <si>
    <t>20 Sep</t>
  </si>
  <si>
    <t>20 Oct</t>
  </si>
  <si>
    <t>20 Nov</t>
  </si>
  <si>
    <t>20 Dec</t>
  </si>
  <si>
    <t>20 Mar</t>
  </si>
  <si>
    <t>20 Feb</t>
  </si>
  <si>
    <t>20 Jan</t>
  </si>
  <si>
    <t>Prod_Qty</t>
  </si>
  <si>
    <t>TTL_Defects</t>
  </si>
  <si>
    <t>Air Bubble</t>
  </si>
  <si>
    <t>etc</t>
  </si>
  <si>
    <t>Hold</t>
  </si>
  <si>
    <t>NDF</t>
  </si>
  <si>
    <t>Others</t>
  </si>
  <si>
    <t>V-Band</t>
  </si>
  <si>
    <t>21 Sep</t>
  </si>
  <si>
    <t>21 Oct</t>
  </si>
  <si>
    <t>21 Nov</t>
  </si>
  <si>
    <t>21 Dec</t>
  </si>
  <si>
    <t>22 Jan</t>
  </si>
  <si>
    <t>22 Feb</t>
  </si>
  <si>
    <t>22 Mar</t>
  </si>
  <si>
    <t>22 Apr</t>
  </si>
  <si>
    <t>22 May</t>
  </si>
  <si>
    <t>22 Jun</t>
  </si>
  <si>
    <t>22 Jul</t>
  </si>
  <si>
    <t>22 Aug</t>
  </si>
  <si>
    <t>22 Sep</t>
  </si>
  <si>
    <t>22 Oct</t>
  </si>
  <si>
    <t>22 Nov</t>
  </si>
  <si>
    <t>22 Dec</t>
  </si>
  <si>
    <t>23 Jan</t>
  </si>
  <si>
    <t>Target</t>
  </si>
  <si>
    <t>ConfirmationWC_Classify_FY_Mod</t>
  </si>
  <si>
    <t>WeekCode_FY_mod</t>
  </si>
  <si>
    <t>Classify_ProductLine_FYMM</t>
  </si>
  <si>
    <t>ratio</t>
  </si>
  <si>
    <t>FY_Mod</t>
  </si>
  <si>
    <t>YYWW</t>
  </si>
  <si>
    <t>FY_mod_FY_MM</t>
  </si>
  <si>
    <t>49SBL2</t>
  </si>
  <si>
    <t>85SB2H</t>
  </si>
  <si>
    <t>TTL</t>
  </si>
  <si>
    <t>FY22</t>
  </si>
  <si>
    <t>A5027725A$0016065_2123</t>
  </si>
  <si>
    <t>A5027725A$0018723_2125</t>
  </si>
  <si>
    <t>A5027725A$0020024_2126</t>
  </si>
  <si>
    <t>A5027725A$0021900_2127</t>
  </si>
  <si>
    <t xml:space="preserve">Others </t>
  </si>
  <si>
    <t>A5028495A$0000064_2120</t>
  </si>
  <si>
    <t>A5028177A$0000187_2109</t>
  </si>
  <si>
    <t>A-5028-177-A</t>
  </si>
  <si>
    <t>A5028177A$0000188_2109</t>
  </si>
  <si>
    <t>A5028177A$0000189_2109</t>
  </si>
  <si>
    <t>A5028177A$0000190_2109</t>
  </si>
  <si>
    <t>A5028177A$0000191_2109</t>
  </si>
  <si>
    <t>A5028177A$0000192_2109</t>
  </si>
  <si>
    <t>A5028177A$0000193_2109</t>
  </si>
  <si>
    <t>A5028177A$0000194_2109</t>
  </si>
  <si>
    <t>A5028177A$0000195_2109</t>
  </si>
  <si>
    <t>A5028177A$0000196_2109</t>
  </si>
  <si>
    <t>A5027707A$0013829_2127</t>
  </si>
  <si>
    <t>Noise</t>
  </si>
  <si>
    <t>O-Cell A/DFY21na21 Apr</t>
  </si>
  <si>
    <t>F/MFY21na21 Jun</t>
  </si>
  <si>
    <t>O-Cell A/DFY21na21 Jun</t>
  </si>
  <si>
    <t>AppFY20na20 Apr</t>
  </si>
  <si>
    <t>-FY21na21 Jun</t>
  </si>
  <si>
    <t>UniFY21na21 Apr</t>
  </si>
  <si>
    <t>2116O-Cell A/DFY21na</t>
  </si>
  <si>
    <t>2123F/MFY21na</t>
  </si>
  <si>
    <t>2123O-Cell A/DFY21na</t>
  </si>
  <si>
    <t>2009AppFY20na</t>
  </si>
  <si>
    <t>2009BezelFY20na</t>
  </si>
  <si>
    <t>2015AppFY20na</t>
  </si>
  <si>
    <t>2123-FY21na</t>
  </si>
  <si>
    <t>2125-FY21na</t>
  </si>
  <si>
    <t>2116UniFY21na</t>
  </si>
  <si>
    <t>2126-FY21na</t>
  </si>
  <si>
    <t>2118PolFY21line</t>
  </si>
  <si>
    <t>PolFY21line21 May</t>
  </si>
  <si>
    <t>2120O-Cell A/DFY21line</t>
  </si>
  <si>
    <t>O-Cell A/DFY21line21 May</t>
  </si>
  <si>
    <t>2123O-Cell A/DFY21line</t>
  </si>
  <si>
    <t>O-Cell A/DFY21line21 Jun</t>
  </si>
  <si>
    <t>2123LineFY21line</t>
  </si>
  <si>
    <t>LineFY21line21 Jun</t>
  </si>
  <si>
    <t>2127LEDFY21line</t>
  </si>
  <si>
    <t>LEDFY21line21 Jul</t>
  </si>
  <si>
    <t>2129O-Cell A/DFY21line</t>
  </si>
  <si>
    <t>O-Cell A/DFY21line21 Jul</t>
  </si>
  <si>
    <t>2130O-Cell A/DFY21line</t>
  </si>
  <si>
    <t>2133PolFY21line</t>
  </si>
  <si>
    <t>PolFY21line21 Aug</t>
  </si>
  <si>
    <t>2126PolFY21line</t>
  </si>
  <si>
    <t>PolFY21line21 Jun</t>
  </si>
  <si>
    <t>2129LEDFY21line</t>
  </si>
  <si>
    <t>2132O-Cell A/DFY21line</t>
  </si>
  <si>
    <t>O-Cell A/DFY21line21 Aug</t>
  </si>
  <si>
    <t>2101LineFY20line</t>
  </si>
  <si>
    <t>LineFY20line21 Jan</t>
  </si>
  <si>
    <t>2101UniFY19line</t>
  </si>
  <si>
    <t>UniFY19line21 Jan</t>
  </si>
  <si>
    <t>2101UniFY20line</t>
  </si>
  <si>
    <t>UniFY20line21 Jan</t>
  </si>
  <si>
    <t>2102LineFY20line</t>
  </si>
  <si>
    <t>2102F/MFY20line</t>
  </si>
  <si>
    <t>F/MFY20line21 Jan</t>
  </si>
  <si>
    <t>2102P-AppFY20line</t>
  </si>
  <si>
    <t>P-AppFY20line21 Jan</t>
  </si>
  <si>
    <t>2102BezelFY20line</t>
  </si>
  <si>
    <t>BezelFY20line21 Jan</t>
  </si>
  <si>
    <t>2102T-CON A/DFY20line</t>
  </si>
  <si>
    <t>T-CON A/DFY20line21 Jan</t>
  </si>
  <si>
    <t>2102LEDFY20line</t>
  </si>
  <si>
    <t>LEDFY20line21 Jan</t>
  </si>
  <si>
    <t>2103F/MFY20line</t>
  </si>
  <si>
    <t>2103T-CON A/DFY20line</t>
  </si>
  <si>
    <t>2103LineFY20line</t>
  </si>
  <si>
    <t>2103LEDFY20line</t>
  </si>
  <si>
    <t>2104T-CON A/DFY19line</t>
  </si>
  <si>
    <t>T-CON A/DFY19line21 Jan</t>
  </si>
  <si>
    <t>2104BLUFY20line</t>
  </si>
  <si>
    <t>BLUFY20line21 Jan</t>
  </si>
  <si>
    <t>2104P-AppFY20line</t>
  </si>
  <si>
    <t>2104LineFY19line</t>
  </si>
  <si>
    <t>LineFY19line21 Jan</t>
  </si>
  <si>
    <t>2104T-CON A/DFY20line</t>
  </si>
  <si>
    <t>2104LineFY20line</t>
  </si>
  <si>
    <t>2105LEDFY20line</t>
  </si>
  <si>
    <t>LEDFY20line21 Feb</t>
  </si>
  <si>
    <t>2105F/MFY20line</t>
  </si>
  <si>
    <t>F/MFY20line21 Feb</t>
  </si>
  <si>
    <t>2105AppFY19line</t>
  </si>
  <si>
    <t>AppFY19line21 Feb</t>
  </si>
  <si>
    <t>2105O-Cell A/DFY20line</t>
  </si>
  <si>
    <t>O-Cell A/DFY20line21 Feb</t>
  </si>
  <si>
    <t>2105BLUFY19line</t>
  </si>
  <si>
    <t>BLUFY19line21 Feb</t>
  </si>
  <si>
    <t>2105LineFY20line</t>
  </si>
  <si>
    <t>LineFY20line21 Feb</t>
  </si>
  <si>
    <t>2105F/MFY19line</t>
  </si>
  <si>
    <t>F/MFY19line21 Feb</t>
  </si>
  <si>
    <t>2106T-CON A/DFY20line</t>
  </si>
  <si>
    <t>T-CON A/DFY20line21 Feb</t>
  </si>
  <si>
    <t>2106LineFY20line</t>
  </si>
  <si>
    <t>2106LEDFY20line</t>
  </si>
  <si>
    <t>2107P-AppFY20line</t>
  </si>
  <si>
    <t>P-AppFY20line21 Feb</t>
  </si>
  <si>
    <t>2107T-CON A/DFY19line</t>
  </si>
  <si>
    <t>T-CON A/DFY19line21 Feb</t>
  </si>
  <si>
    <t>2107T-CON A/DFY20line</t>
  </si>
  <si>
    <t>2107LineFY20line</t>
  </si>
  <si>
    <t>2107UniFY20line</t>
  </si>
  <si>
    <t>UniFY20line21 Feb</t>
  </si>
  <si>
    <t>2107O-Cell A/DFY20line</t>
  </si>
  <si>
    <t>2108T-CON A/DFY20line</t>
  </si>
  <si>
    <t>2109LEDFY20line</t>
  </si>
  <si>
    <t>LEDFY20line21 Mar</t>
  </si>
  <si>
    <t>2109T-CON A/DFY20line</t>
  </si>
  <si>
    <t>T-CON A/DFY20line21 Mar</t>
  </si>
  <si>
    <t>2110T-CON A/DFY20line</t>
  </si>
  <si>
    <t>2110LineFY20line</t>
  </si>
  <si>
    <t>LineFY20line21 Mar</t>
  </si>
  <si>
    <t>2111LineFY20line</t>
  </si>
  <si>
    <t>2111F/MFY20line</t>
  </si>
  <si>
    <t>F/MFY20line21 Mar</t>
  </si>
  <si>
    <t>2112T-CON A/DFY20line</t>
  </si>
  <si>
    <t>2112BezelFY20line</t>
  </si>
  <si>
    <t>BezelFY20line21 Mar</t>
  </si>
  <si>
    <t>2112AppFY21line</t>
  </si>
  <si>
    <t>AppFY21line21 Mar</t>
  </si>
  <si>
    <t>2112T-CON A/DFY21line</t>
  </si>
  <si>
    <t>T-CON A/DFY21line21 Mar</t>
  </si>
  <si>
    <t>2113T-CON A/DFY20line</t>
  </si>
  <si>
    <t>2116T-CON A/DFY20line</t>
  </si>
  <si>
    <t>T-CON A/DFY20line21 Apr</t>
  </si>
  <si>
    <t>2116LineFY20line</t>
  </si>
  <si>
    <t>LineFY20line21 Apr</t>
  </si>
  <si>
    <t>2117T-CON A/DFY20line</t>
  </si>
  <si>
    <t>2118BLUFY20line</t>
  </si>
  <si>
    <t>BLUFY20line21 May</t>
  </si>
  <si>
    <t>2118LineFY21line</t>
  </si>
  <si>
    <t>LineFY21line21 May</t>
  </si>
  <si>
    <t>2119LineFY20line</t>
  </si>
  <si>
    <t>LineFY20line21 May</t>
  </si>
  <si>
    <t>2120F/MFY21line</t>
  </si>
  <si>
    <t>F/MFY21line21 May</t>
  </si>
  <si>
    <t>2120T-CON A/DFY20line</t>
  </si>
  <si>
    <t>T-CON A/DFY20line21 May</t>
  </si>
  <si>
    <t>2121T-CON A/DFY21line</t>
  </si>
  <si>
    <t>T-CON A/DFY21line21 May</t>
  </si>
  <si>
    <t>2121BLUFY21line</t>
  </si>
  <si>
    <t>BLUFY21line21 May</t>
  </si>
  <si>
    <t>2121T-CON A/DFY20line</t>
  </si>
  <si>
    <t>2121O-Cell A/DFY20line</t>
  </si>
  <si>
    <t>O-Cell A/DFY20line21 May</t>
  </si>
  <si>
    <t>2121F/MFY20line</t>
  </si>
  <si>
    <t>F/MFY20line21 May</t>
  </si>
  <si>
    <t>2122F/MFY21line</t>
  </si>
  <si>
    <t>2122LEDFY21line</t>
  </si>
  <si>
    <t>LEDFY21line21 May</t>
  </si>
  <si>
    <t>2122AppFY20line</t>
  </si>
  <si>
    <t>AppFY20line21 May</t>
  </si>
  <si>
    <t>2122T-CON A/DFY20line</t>
  </si>
  <si>
    <t>2123T-CON A/DFY20line</t>
  </si>
  <si>
    <t>T-CON A/DFY20line21 Jun</t>
  </si>
  <si>
    <t>2123AppFY21line</t>
  </si>
  <si>
    <t>AppFY21line21 Jun</t>
  </si>
  <si>
    <t>2123LEDFY20line</t>
  </si>
  <si>
    <t>LEDFY20line21 Jun</t>
  </si>
  <si>
    <t>2123LEDFY21line</t>
  </si>
  <si>
    <t>LEDFY21line21 Jun</t>
  </si>
  <si>
    <t>2124T-CON A/DFY21line</t>
  </si>
  <si>
    <t>T-CON A/DFY21line21 Jun</t>
  </si>
  <si>
    <t>2124DotFY21line</t>
  </si>
  <si>
    <t>DotFY21line21 Jun</t>
  </si>
  <si>
    <t>2125T-CON A/DFY21line</t>
  </si>
  <si>
    <t>2126LineFY21line</t>
  </si>
  <si>
    <t>2126AppFY20line</t>
  </si>
  <si>
    <t>AppFY20line21 Jun</t>
  </si>
  <si>
    <t>2126LEDFY21line</t>
  </si>
  <si>
    <t>2126AL-FrameFY21line</t>
  </si>
  <si>
    <t>AL-FrameFY21line21 Jun</t>
  </si>
  <si>
    <t>2126F/MFY21line</t>
  </si>
  <si>
    <t>F/MFY21line21 Jun</t>
  </si>
  <si>
    <t>2126T-CON A/DFY21line</t>
  </si>
  <si>
    <t>2126O-Cell A/DFY21line</t>
  </si>
  <si>
    <t>2127T-CON A/DFY21line</t>
  </si>
  <si>
    <t>T-CON A/DFY21line21 Jul</t>
  </si>
  <si>
    <t>2127LineFY21line</t>
  </si>
  <si>
    <t>LineFY21line21 Jul</t>
  </si>
  <si>
    <t>2127F/MFY21line</t>
  </si>
  <si>
    <t>F/MFY21line21 Jul</t>
  </si>
  <si>
    <t>2128LEDFY21line</t>
  </si>
  <si>
    <t>2128LineFY21line</t>
  </si>
  <si>
    <t>2128LEDFY20line</t>
  </si>
  <si>
    <t>LEDFY20line21 Jul</t>
  </si>
  <si>
    <t>2128T-CON A/DFY20line</t>
  </si>
  <si>
    <t>T-CON A/DFY20line21 Jul</t>
  </si>
  <si>
    <t>2129T-CON A/DFY20line</t>
  </si>
  <si>
    <t>2129LineFY21line</t>
  </si>
  <si>
    <t>2129AppFY21line</t>
  </si>
  <si>
    <t>AppFY21line21 Jul</t>
  </si>
  <si>
    <t>2129F/MFY21line</t>
  </si>
  <si>
    <t>2129AL-FrameFY21line</t>
  </si>
  <si>
    <t>AL-FrameFY21line21 Jul</t>
  </si>
  <si>
    <t>2129T-CON A/DFY21line</t>
  </si>
  <si>
    <t>2132LineFY21line</t>
  </si>
  <si>
    <t>LineFY21line21 Aug</t>
  </si>
  <si>
    <t>2132T-CON A/DFY21line</t>
  </si>
  <si>
    <t>T-CON A/DFY21line21 Aug</t>
  </si>
  <si>
    <t>2132LEDFY21line</t>
  </si>
  <si>
    <t>LEDFY21line21 Aug</t>
  </si>
  <si>
    <t>2132AppFY21line</t>
  </si>
  <si>
    <t>AppFY21line21 Aug</t>
  </si>
  <si>
    <t>2133P-AppFY21line</t>
  </si>
  <si>
    <t>P-AppFY21line21 Aug</t>
  </si>
  <si>
    <t>2133F/MFY21line</t>
  </si>
  <si>
    <t>F/MFY21line21 Aug</t>
  </si>
  <si>
    <t>2133T-CON A/DFY21line</t>
  </si>
  <si>
    <t>2133F/MFY20line</t>
  </si>
  <si>
    <t>F/MFY20line21 Aug</t>
  </si>
  <si>
    <t>2133O-Cell A/DFY21line</t>
  </si>
  <si>
    <t>2133LineFY21line</t>
  </si>
  <si>
    <t>2133DotFY21line</t>
  </si>
  <si>
    <t>DotFY21line21 Aug</t>
  </si>
  <si>
    <t>AppFY20na20 Mar</t>
  </si>
  <si>
    <t>BezelFY20na20 Mar</t>
  </si>
  <si>
    <t>2019T-con A/DFY20line</t>
  </si>
  <si>
    <t>T-con A/DFY20line20 May</t>
  </si>
  <si>
    <t>2023LEDFY20line</t>
  </si>
  <si>
    <t>LEDFY20line20 Jun</t>
  </si>
  <si>
    <t>2034O-Cell A/DFY20line</t>
  </si>
  <si>
    <t>O-Cell A/DFY20line20 Aug</t>
  </si>
  <si>
    <t>2040AppFY20line</t>
  </si>
  <si>
    <t>AppFY20line20 Oct</t>
  </si>
  <si>
    <t>2049T-con A/DFY20line</t>
  </si>
  <si>
    <t>T-con A/DFY20line20 Dec</t>
  </si>
  <si>
    <t>2052T-con A/DFY20line</t>
  </si>
  <si>
    <t>2106T-con A/DFY20line</t>
  </si>
  <si>
    <t>T-con A/DFY20line21 Feb</t>
  </si>
  <si>
    <t>2133-FY21line</t>
  </si>
  <si>
    <t>-FY21line21 Aug</t>
  </si>
  <si>
    <t>2130T-con A/DFY21line</t>
  </si>
  <si>
    <t>T-con A/DFY21line21 Jul</t>
  </si>
  <si>
    <t>2009AL-FrameFY20line</t>
  </si>
  <si>
    <t>AL-FrameFY20line20 Mar</t>
  </si>
  <si>
    <t>2021F/MFY20line</t>
  </si>
  <si>
    <t>F/MFY20line20 May</t>
  </si>
  <si>
    <t>2024F/MFY20line</t>
  </si>
  <si>
    <t>F/MFY20line20 Jun</t>
  </si>
  <si>
    <t>2024LineFY20line</t>
  </si>
  <si>
    <t>LineFY20line20 Jun</t>
  </si>
  <si>
    <t>2025P-AppFY20line</t>
  </si>
  <si>
    <t>P-AppFY20line20 Jun</t>
  </si>
  <si>
    <t>2025LineFY20line</t>
  </si>
  <si>
    <t>2025LEDFY20line</t>
  </si>
  <si>
    <t>2026LineFY20line</t>
  </si>
  <si>
    <t>2026F/MFY20line</t>
  </si>
  <si>
    <t>2026O-Cell A/DFY20line</t>
  </si>
  <si>
    <t>O-Cell A/DFY20line20 Jun</t>
  </si>
  <si>
    <t>2028T-con A/DFY20line</t>
  </si>
  <si>
    <t>T-con A/DFY20line20 Jul</t>
  </si>
  <si>
    <t>2028LineFY20line</t>
  </si>
  <si>
    <t>LineFY20line20 Jul</t>
  </si>
  <si>
    <t>2028F/MFY20line</t>
  </si>
  <si>
    <t>F/MFY20line20 Jul</t>
  </si>
  <si>
    <t>2029F/MFY20line</t>
  </si>
  <si>
    <t>2029T-con A/DFY20line</t>
  </si>
  <si>
    <t>2031F/MFY20line</t>
  </si>
  <si>
    <t>F/MFY20line20 Aug</t>
  </si>
  <si>
    <t>2032F/MFY20line</t>
  </si>
  <si>
    <t>2033F/MFY20line</t>
  </si>
  <si>
    <t>2033LineFY20line</t>
  </si>
  <si>
    <t>LineFY20line20 Aug</t>
  </si>
  <si>
    <t>2035T-con A/DFY20line</t>
  </si>
  <si>
    <t>T-con A/DFY20line20 Aug</t>
  </si>
  <si>
    <t>2036LineFY20line</t>
  </si>
  <si>
    <t>LineFY20line20 Sep</t>
  </si>
  <si>
    <t>2036UniFY20line</t>
  </si>
  <si>
    <t>UniFY20line20 Sep</t>
  </si>
  <si>
    <t>2037UniFY20line</t>
  </si>
  <si>
    <t>2038LEDFY20line</t>
  </si>
  <si>
    <t>LEDFY20line20 Sep</t>
  </si>
  <si>
    <t>2039T-con A/DFY20line</t>
  </si>
  <si>
    <t>T-con A/DFY20line20 Sep</t>
  </si>
  <si>
    <t>2040F/MFY20line</t>
  </si>
  <si>
    <t>F/MFY20line20 Oct</t>
  </si>
  <si>
    <t>2040O-Cell A/DFY20line</t>
  </si>
  <si>
    <t>O-Cell A/DFY20line20 Oct</t>
  </si>
  <si>
    <t>2041LineFY20line</t>
  </si>
  <si>
    <t>LineFY20line20 Oct</t>
  </si>
  <si>
    <t>2041F/MFY20line</t>
  </si>
  <si>
    <t>2043F/MFY20line</t>
  </si>
  <si>
    <t>2049O-Cell A/DFY20line</t>
  </si>
  <si>
    <t>O-Cell A/DFY20line20 Dec</t>
  </si>
  <si>
    <t>2049LEDFY20line</t>
  </si>
  <si>
    <t>LEDFY20line20 Dec</t>
  </si>
  <si>
    <t>2052LineFY20line</t>
  </si>
  <si>
    <t>LineFY20line20 Dec</t>
  </si>
  <si>
    <t>2101F/MFY20line</t>
  </si>
  <si>
    <t>2104O-Cell A/DFY20line</t>
  </si>
  <si>
    <t>O-Cell A/DFY20line21 Jan</t>
  </si>
  <si>
    <t>2106AL-FrameFY20line</t>
  </si>
  <si>
    <t>AL-FrameFY20line21 Feb</t>
  </si>
  <si>
    <t>2106F/MFY20line</t>
  </si>
  <si>
    <t>2106P-AppFY20line</t>
  </si>
  <si>
    <t>2108T-con A/DFY20line</t>
  </si>
  <si>
    <t>2109O-Cell A/DFY20line</t>
  </si>
  <si>
    <t>O-Cell A/DFY20line21 Mar</t>
  </si>
  <si>
    <t>2112T-con A/DFY20line</t>
  </si>
  <si>
    <t>T-con A/DFY20line21 Mar</t>
  </si>
  <si>
    <t>2112F/MFY20line</t>
  </si>
  <si>
    <t>2113LEDFY20line</t>
  </si>
  <si>
    <t>2113F/MFY20line</t>
  </si>
  <si>
    <t>2115BLUFY20line</t>
  </si>
  <si>
    <t>BLUFY20line21 Apr</t>
  </si>
  <si>
    <t>2115LineFY20line</t>
  </si>
  <si>
    <t>2125LineFY20line</t>
  </si>
  <si>
    <t>LineFY20line21 Jun</t>
  </si>
  <si>
    <t>2022LEDFY20line</t>
  </si>
  <si>
    <t>2030F/MFY20line</t>
  </si>
  <si>
    <t>2030UniFY20line</t>
  </si>
  <si>
    <t>UniFY20line20 Jul</t>
  </si>
  <si>
    <t>2032LEDFY20line</t>
  </si>
  <si>
    <t>LEDFY20line20 Aug</t>
  </si>
  <si>
    <t>2034UniFY20line</t>
  </si>
  <si>
    <t>UniFY20line20 Aug</t>
  </si>
  <si>
    <t>2034LineFY20line</t>
  </si>
  <si>
    <t>2038F/MFY20line</t>
  </si>
  <si>
    <t>F/MFY20line20 Sep</t>
  </si>
  <si>
    <t>2038LineFY20line</t>
  </si>
  <si>
    <t>2049LineFY20line</t>
  </si>
  <si>
    <t>2051O-Cell A/DFY20line</t>
  </si>
  <si>
    <t>2051T-con A/DFY20line</t>
  </si>
  <si>
    <t>2112LEDFY20line</t>
  </si>
  <si>
    <t>2113T-con A/DFY20line</t>
  </si>
  <si>
    <t>2121LineFY20line</t>
  </si>
  <si>
    <t>2031UniFY20line</t>
  </si>
  <si>
    <t>2032UniFY20line</t>
  </si>
  <si>
    <t>2032LineFY20line</t>
  </si>
  <si>
    <t>2033T-con A/DFY20line</t>
  </si>
  <si>
    <t>2034BLUFY20line</t>
  </si>
  <si>
    <t>BLUFY20line20 Aug</t>
  </si>
  <si>
    <t>2035LineFY20line</t>
  </si>
  <si>
    <t>2037F/MFY20line</t>
  </si>
  <si>
    <t>2042LineFY20line</t>
  </si>
  <si>
    <t>2043LEDFY20line</t>
  </si>
  <si>
    <t>LEDFY20line20 Oct</t>
  </si>
  <si>
    <t>2102BLUFY20line</t>
  </si>
  <si>
    <t>2108LineFY20line</t>
  </si>
  <si>
    <t>2108LEDFY20line</t>
  </si>
  <si>
    <t>2111T-con A/DFY20line</t>
  </si>
  <si>
    <t>2113AppFY20line</t>
  </si>
  <si>
    <t>AppFY20line21 Mar</t>
  </si>
  <si>
    <t>2130LineFY20line</t>
  </si>
  <si>
    <t>LineFY20line21 Jul</t>
  </si>
  <si>
    <t>2121AppFY21line</t>
  </si>
  <si>
    <t>AppFY21line21 May</t>
  </si>
  <si>
    <t>2125LineFY21line</t>
  </si>
  <si>
    <t>2130F/MFY21line</t>
  </si>
  <si>
    <t>2131LineFY21line</t>
  </si>
  <si>
    <t>2131AppFY21line</t>
  </si>
  <si>
    <t>2115BezelFY21line</t>
  </si>
  <si>
    <t>BezelFY21line21 Apr</t>
  </si>
  <si>
    <t>2115AppFY21line</t>
  </si>
  <si>
    <t>AppFY21line21 Apr</t>
  </si>
  <si>
    <t>2118UniFY21line</t>
  </si>
  <si>
    <t>UniFY21line21 May</t>
  </si>
  <si>
    <t>2122UniFY21line</t>
  </si>
  <si>
    <t>2122PolFY21line</t>
  </si>
  <si>
    <t>2122LineFY21line</t>
  </si>
  <si>
    <t>2126BLUFY21line</t>
  </si>
  <si>
    <t>BLUFY21line21 Jun</t>
  </si>
  <si>
    <t>2133LEDFY21line</t>
  </si>
  <si>
    <t>2037LineFY20line</t>
  </si>
  <si>
    <t>2040LineFY20line</t>
  </si>
  <si>
    <t>2041LEDFY20line</t>
  </si>
  <si>
    <t>2041O-Cell A/DFY20line</t>
  </si>
  <si>
    <t>2044LineFY20line</t>
  </si>
  <si>
    <t>LineFY20line20 Nov</t>
  </si>
  <si>
    <t>2044BLUFY20line</t>
  </si>
  <si>
    <t>BLUFY20line20 Nov</t>
  </si>
  <si>
    <t>2049UniFY20line</t>
  </si>
  <si>
    <t>UniFY20line20 Dec</t>
  </si>
  <si>
    <t>2101LEDFY20line</t>
  </si>
  <si>
    <t>2109BLUFY20line</t>
  </si>
  <si>
    <t>BLUFY20line21 Mar</t>
  </si>
  <si>
    <t>2113LineFY20line</t>
  </si>
  <si>
    <t>2114F/MFY21line</t>
  </si>
  <si>
    <t>F/MFY21line21 Apr</t>
  </si>
  <si>
    <t>2115LEDFY21line</t>
  </si>
  <si>
    <t>LEDFY21line21 Apr</t>
  </si>
  <si>
    <t>2115LineFY21line</t>
  </si>
  <si>
    <t>LineFY21line21 Apr</t>
  </si>
  <si>
    <t>2116LineFY21line</t>
  </si>
  <si>
    <t>2117PolFY21line</t>
  </si>
  <si>
    <t>PolFY21line21 Apr</t>
  </si>
  <si>
    <t>2117LineFY21line</t>
  </si>
  <si>
    <t>2117F/MFY21line</t>
  </si>
  <si>
    <t>2118AppFY21line</t>
  </si>
  <si>
    <t>2121LineFY21line</t>
  </si>
  <si>
    <t>2125BLUFY21line</t>
  </si>
  <si>
    <t>2130LineFY21line</t>
  </si>
  <si>
    <t>2130BezelFY21line</t>
  </si>
  <si>
    <t>BezelFY21line21 Jul</t>
  </si>
  <si>
    <t>2130P-AppFY21line</t>
  </si>
  <si>
    <t>P-AppFY21line21 Jul</t>
  </si>
  <si>
    <t>2118F/MFY21line</t>
  </si>
  <si>
    <t>2118T-con A/DFY21line</t>
  </si>
  <si>
    <t>T-con A/DFY21line21 May</t>
  </si>
  <si>
    <t>2124BLUFY21line</t>
  </si>
  <si>
    <t>2124LineFY21line</t>
  </si>
  <si>
    <t>2131F/MFY21line</t>
  </si>
  <si>
    <t>2131O-Cell A/DFY21line</t>
  </si>
  <si>
    <t>2120P-AppFY21line</t>
  </si>
  <si>
    <t>P-AppFY21line21 May</t>
  </si>
  <si>
    <t>2120BLUFY21line</t>
  </si>
  <si>
    <t>2123BLUFY21line</t>
  </si>
  <si>
    <t>2123F/MFY21line</t>
  </si>
  <si>
    <t>2132BLUFY21line</t>
  </si>
  <si>
    <t>BLUFY21line21 Aug</t>
  </si>
  <si>
    <t>2133AppFY21line</t>
  </si>
  <si>
    <t>2007LEDFY20line</t>
  </si>
  <si>
    <t>LEDFY20line20 Feb</t>
  </si>
  <si>
    <t>2007T-con A/DFY20line</t>
  </si>
  <si>
    <t>T-con A/DFY20line20 Feb</t>
  </si>
  <si>
    <t>2020LineFY20line</t>
  </si>
  <si>
    <t>LineFY20line20 May</t>
  </si>
  <si>
    <t>2021O-Cell A/DFY20line</t>
  </si>
  <si>
    <t>O-Cell A/DFY20line20 May</t>
  </si>
  <si>
    <t>2023BLUFY20line</t>
  </si>
  <si>
    <t>BLUFY20line20 Jun</t>
  </si>
  <si>
    <t>2023AppFY20line</t>
  </si>
  <si>
    <t>AppFY20line20 Jun</t>
  </si>
  <si>
    <t>2024PolFY20line</t>
  </si>
  <si>
    <t>PolFY20line20 Jun</t>
  </si>
  <si>
    <t>2025PolFY20line</t>
  </si>
  <si>
    <t>2026UniFY20line</t>
  </si>
  <si>
    <t>UniFY20line20 Jun</t>
  </si>
  <si>
    <t>2030LineFY20line</t>
  </si>
  <si>
    <t>2030O-Cell A/DFY20line</t>
  </si>
  <si>
    <t>O-Cell A/DFY20line20 Jul</t>
  </si>
  <si>
    <t>2032PolFY20line</t>
  </si>
  <si>
    <t>PolFY20line20 Aug</t>
  </si>
  <si>
    <t>2032O-Cell A/DFY20line</t>
  </si>
  <si>
    <t>2032BLUFY20line</t>
  </si>
  <si>
    <t>2035O-Cell A/DFY20line</t>
  </si>
  <si>
    <t>2036F/MFY20line</t>
  </si>
  <si>
    <t>2109F/MFY20line</t>
  </si>
  <si>
    <t>2114UniFY20line</t>
  </si>
  <si>
    <t>UniFY20line21 Apr</t>
  </si>
  <si>
    <t>2114BLUFY20line</t>
  </si>
  <si>
    <t>2114PolFY20line</t>
  </si>
  <si>
    <t>PolFY20line21 Apr</t>
  </si>
  <si>
    <t>2133LineFY20line</t>
  </si>
  <si>
    <t>LineFY20line21 Aug</t>
  </si>
  <si>
    <t>2030DotFY20line</t>
  </si>
  <si>
    <t>DotFY20line20 Jul</t>
  </si>
  <si>
    <t>2032T-con A/DFY20line</t>
  </si>
  <si>
    <t>2035UniFY20line</t>
  </si>
  <si>
    <t>2035BLUFY20line</t>
  </si>
  <si>
    <t>2042F/MFY20line</t>
  </si>
  <si>
    <t>2043UniFY20line</t>
  </si>
  <si>
    <t>UniFY20line20 Oct</t>
  </si>
  <si>
    <t>2043LineFY20line</t>
  </si>
  <si>
    <t>2103O-Cell A/DFY20line</t>
  </si>
  <si>
    <t>2105T-con A/DFY20line</t>
  </si>
  <si>
    <t>2112LineFY20line</t>
  </si>
  <si>
    <t>2112AppFY20line</t>
  </si>
  <si>
    <t>2115PolFY20line</t>
  </si>
  <si>
    <t>2122UniFY20line</t>
  </si>
  <si>
    <t>UniFY20line21 May</t>
  </si>
  <si>
    <t>2112FY21</t>
  </si>
  <si>
    <t>FY2121 Mar</t>
  </si>
  <si>
    <t>2113FY21</t>
  </si>
  <si>
    <t>2114FY21</t>
  </si>
  <si>
    <t>FY2121 Apr</t>
  </si>
  <si>
    <t>2116FY21</t>
  </si>
  <si>
    <t>2118FY21</t>
  </si>
  <si>
    <t>FY2121 May</t>
  </si>
  <si>
    <t>2120FY21</t>
  </si>
  <si>
    <t>2123FY21</t>
  </si>
  <si>
    <t>FY2121 Jun</t>
  </si>
  <si>
    <t>2127FY21</t>
  </si>
  <si>
    <t>FY2121 Jul</t>
  </si>
  <si>
    <t>2128FY21</t>
  </si>
  <si>
    <t>2129FY21</t>
  </si>
  <si>
    <t>2130FY21</t>
  </si>
  <si>
    <t>2133FY21</t>
  </si>
  <si>
    <t>FY2121 Aug</t>
  </si>
  <si>
    <t>2126FY21</t>
  </si>
  <si>
    <t>2131FY21</t>
  </si>
  <si>
    <t>2132FY21</t>
  </si>
  <si>
    <t>2119FY21</t>
  </si>
  <si>
    <t>2121FY21</t>
  </si>
  <si>
    <t>2122FY21</t>
  </si>
  <si>
    <t>2115FY21</t>
  </si>
  <si>
    <t>2124FY21</t>
  </si>
  <si>
    <t>2125FY21</t>
  </si>
  <si>
    <t>2108FY21</t>
  </si>
  <si>
    <t>FY2121 Feb</t>
  </si>
  <si>
    <t>2109FY21</t>
  </si>
  <si>
    <t>2111FY21</t>
  </si>
  <si>
    <t>2117FY21</t>
  </si>
  <si>
    <t>2116FY20</t>
  </si>
  <si>
    <t>FY2021 Apr</t>
  </si>
  <si>
    <t>2118FY20</t>
  </si>
  <si>
    <t>FY2021 May</t>
  </si>
  <si>
    <t>2119FY20</t>
  </si>
  <si>
    <t>2121FY20</t>
  </si>
  <si>
    <t>2122FY20</t>
  </si>
  <si>
    <t>2123FY20</t>
  </si>
  <si>
    <t>FY2021 Jun</t>
  </si>
  <si>
    <t>2124FY20</t>
  </si>
  <si>
    <t>2125FY20</t>
  </si>
  <si>
    <t>2126FY20</t>
  </si>
  <si>
    <t>2128FY20</t>
  </si>
  <si>
    <t>FY2021 Jul</t>
  </si>
  <si>
    <t>2129FY20</t>
  </si>
  <si>
    <t>2102FY20</t>
  </si>
  <si>
    <t>FY2021 Jan</t>
  </si>
  <si>
    <t>2103FY20</t>
  </si>
  <si>
    <t>2104FY20</t>
  </si>
  <si>
    <t>2105FY20</t>
  </si>
  <si>
    <t>FY2021 Feb</t>
  </si>
  <si>
    <t>2106FY20</t>
  </si>
  <si>
    <t>2107FY20</t>
  </si>
  <si>
    <t>2108FY20</t>
  </si>
  <si>
    <t>2109FY20</t>
  </si>
  <si>
    <t>FY2021 Mar</t>
  </si>
  <si>
    <t>2110FY20</t>
  </si>
  <si>
    <t>2111FY20</t>
  </si>
  <si>
    <t>2112FY20</t>
  </si>
  <si>
    <t>2113FY20</t>
  </si>
  <si>
    <t>2114FY20</t>
  </si>
  <si>
    <t>2115FY20</t>
  </si>
  <si>
    <t>2117FY20</t>
  </si>
  <si>
    <t>2101FY20</t>
  </si>
  <si>
    <t>2133FY20</t>
  </si>
  <si>
    <t>FY2021 Aug</t>
  </si>
  <si>
    <t>2120FY20</t>
  </si>
  <si>
    <t>2127FY20</t>
  </si>
  <si>
    <t>2132FY20</t>
  </si>
  <si>
    <t>2102FY19</t>
  </si>
  <si>
    <t>FY1921 Jan</t>
  </si>
  <si>
    <t>2103FY19</t>
  </si>
  <si>
    <t>2104FY19</t>
  </si>
  <si>
    <t>2105FY19</t>
  </si>
  <si>
    <t>FY1921 Feb</t>
  </si>
  <si>
    <t>2106FY19</t>
  </si>
  <si>
    <t>2107FY19</t>
  </si>
  <si>
    <t>2108FY19</t>
  </si>
  <si>
    <t>2101FY19</t>
  </si>
  <si>
    <t>2015FY20</t>
  </si>
  <si>
    <t>FY2020 Apr</t>
  </si>
  <si>
    <t>2020FY20</t>
  </si>
  <si>
    <t>FY2020 May</t>
  </si>
  <si>
    <t>2022FY20</t>
  </si>
  <si>
    <t>FY2020 Jun</t>
  </si>
  <si>
    <t>2023FY20</t>
  </si>
  <si>
    <t>2024FY20</t>
  </si>
  <si>
    <t>2025FY20</t>
  </si>
  <si>
    <t>2027FY20</t>
  </si>
  <si>
    <t>FY2020 Jul</t>
  </si>
  <si>
    <t>2028FY20</t>
  </si>
  <si>
    <t>2029FY20</t>
  </si>
  <si>
    <t>2032FY20</t>
  </si>
  <si>
    <t>FY2020 Aug</t>
  </si>
  <si>
    <t>2035FY20</t>
  </si>
  <si>
    <t>2036FY20</t>
  </si>
  <si>
    <t>FY2020 Sep</t>
  </si>
  <si>
    <t>2041FY20</t>
  </si>
  <si>
    <t>FY2020 Oct</t>
  </si>
  <si>
    <t>2042FY20</t>
  </si>
  <si>
    <t>2044FY20</t>
  </si>
  <si>
    <t>FY2020 Nov</t>
  </si>
  <si>
    <t>2045FY20</t>
  </si>
  <si>
    <t>2047FY20</t>
  </si>
  <si>
    <t>2049FY20</t>
  </si>
  <si>
    <t>FY2020 Dec</t>
  </si>
  <si>
    <t>2051FY20</t>
  </si>
  <si>
    <t>2052FY20</t>
  </si>
  <si>
    <t>2017FY20</t>
  </si>
  <si>
    <t>2021FY20</t>
  </si>
  <si>
    <t>2026FY20</t>
  </si>
  <si>
    <t>2030FY20</t>
  </si>
  <si>
    <t>2034FY20</t>
  </si>
  <si>
    <t>2037FY20</t>
  </si>
  <si>
    <t>2038FY20</t>
  </si>
  <si>
    <t>2039FY20</t>
  </si>
  <si>
    <t>2040FY20</t>
  </si>
  <si>
    <t>2043FY20</t>
  </si>
  <si>
    <t>2050FY20</t>
  </si>
  <si>
    <t>2013FY20</t>
  </si>
  <si>
    <t>FY2020 Mar</t>
  </si>
  <si>
    <t>2016FY20</t>
  </si>
  <si>
    <t>2019FY20</t>
  </si>
  <si>
    <t>2031FY20</t>
  </si>
  <si>
    <t>2033FY20</t>
  </si>
  <si>
    <t>2046FY20</t>
  </si>
  <si>
    <t>2131FY20</t>
  </si>
  <si>
    <t>2048FY20</t>
  </si>
  <si>
    <t>2130FY20</t>
  </si>
  <si>
    <t>2007FY20</t>
  </si>
  <si>
    <t>FY2020 Feb</t>
  </si>
  <si>
    <t>2009FY20</t>
  </si>
  <si>
    <t>2010FY20</t>
  </si>
  <si>
    <t>2053FY20</t>
  </si>
  <si>
    <t>2002FY20</t>
  </si>
  <si>
    <t>FY2020 Jan</t>
  </si>
  <si>
    <t>2004FY20</t>
  </si>
  <si>
    <t>2008FY20</t>
  </si>
  <si>
    <t>2011FY20</t>
  </si>
  <si>
    <t>2012FY20</t>
  </si>
  <si>
    <t>ConfirmationWC_Classify_FY_Mod_TVPlant</t>
  </si>
  <si>
    <t>Classify_ProductLine_FYMM_TVPlant</t>
  </si>
  <si>
    <t>ConfirmationWC_Classify_FY_Mod_TVPlant_Setname</t>
  </si>
  <si>
    <t>Classify_ProductLine_FYMM_TVPlant_Setname</t>
  </si>
  <si>
    <t>WeekCode_FY_mod_TVPlant</t>
  </si>
  <si>
    <t>FY_mod_FY_MM_TVPlant</t>
  </si>
  <si>
    <t>WeekCode_FY_mod_TVPlant_ModelName</t>
  </si>
  <si>
    <t>FY_mod_FY_MM_TVPlant_ModelName</t>
  </si>
  <si>
    <t>ConfirmationWC_Classify_FY_Mod_Setname</t>
  </si>
  <si>
    <t>Classify_ProductLine_FYMM_Setname</t>
  </si>
  <si>
    <t>WeekCode_FY_mod_ModelName</t>
  </si>
  <si>
    <t>FY_mod_FY_MM_ModelName</t>
  </si>
  <si>
    <t>Pmod</t>
  </si>
  <si>
    <t>2118PolFY21lineCTTI</t>
  </si>
  <si>
    <t>PolFY21line21 MayCTTI</t>
  </si>
  <si>
    <t>2118PolFY21lineCTTI75APH</t>
  </si>
  <si>
    <t>PolFY21line21 MayCTTI75APH</t>
  </si>
  <si>
    <t>2118PolFY21line75APH</t>
  </si>
  <si>
    <t>PolFY21line21 May75APH</t>
  </si>
  <si>
    <t>2120O-Cell A/DFY21lineCTTI</t>
  </si>
  <si>
    <t>O-Cell A/DFY21line21 MayCTTI</t>
  </si>
  <si>
    <t>2120O-Cell A/DFY21lineCTTI75APH</t>
  </si>
  <si>
    <t>O-Cell A/DFY21line21 MayCTTI75APH</t>
  </si>
  <si>
    <t>2120O-Cell A/DFY21line75APH</t>
  </si>
  <si>
    <t>O-Cell A/DFY21line21 May75APH</t>
  </si>
  <si>
    <t>2123O-Cell A/DFY21lineCTTI</t>
  </si>
  <si>
    <t>O-Cell A/DFY21line21 JunCTTI</t>
  </si>
  <si>
    <t>2123O-Cell A/DFY21lineCTTI75APH</t>
  </si>
  <si>
    <t>O-Cell A/DFY21line21 JunCTTI75APH</t>
  </si>
  <si>
    <t>2123O-Cell A/DFY21line75APH</t>
  </si>
  <si>
    <t>O-Cell A/DFY21line21 Jun75APH</t>
  </si>
  <si>
    <t>2123LineFY21lineCTTI</t>
  </si>
  <si>
    <t>LineFY21line21 JunCTTI</t>
  </si>
  <si>
    <t>2123LineFY21lineCTTI75APH</t>
  </si>
  <si>
    <t>LineFY21line21 JunCTTI75APH</t>
  </si>
  <si>
    <t>2123LineFY21line75APH</t>
  </si>
  <si>
    <t>LineFY21line21 Jun75APH</t>
  </si>
  <si>
    <t>2127LEDFY21lineCTTI</t>
  </si>
  <si>
    <t>LEDFY21line21 JulCTTI</t>
  </si>
  <si>
    <t>2127LEDFY21lineCTTI75APH</t>
  </si>
  <si>
    <t>LEDFY21line21 JulCTTI75APH</t>
  </si>
  <si>
    <t>2127LEDFY21line75APH</t>
  </si>
  <si>
    <t>LEDFY21line21 Jul75APH</t>
  </si>
  <si>
    <t>2129O-Cell A/DFY21lineCTTI</t>
  </si>
  <si>
    <t>O-Cell A/DFY21line21 JulCTTI</t>
  </si>
  <si>
    <t>2129O-Cell A/DFY21lineCTTI75APH</t>
  </si>
  <si>
    <t>O-Cell A/DFY21line21 JulCTTI75APH</t>
  </si>
  <si>
    <t>2129O-Cell A/DFY21line75APH</t>
  </si>
  <si>
    <t>O-Cell A/DFY21line21 Jul75APH</t>
  </si>
  <si>
    <t>2130O-Cell A/DFY21lineCTTI</t>
  </si>
  <si>
    <t>2130O-Cell A/DFY21lineCTTI75APH</t>
  </si>
  <si>
    <t>2130O-Cell A/DFY21line75APH</t>
  </si>
  <si>
    <t>2133PolFY21lineCTTI</t>
  </si>
  <si>
    <t>PolFY21line21 AugCTTI</t>
  </si>
  <si>
    <t>2133PolFY21lineCTTI75APH</t>
  </si>
  <si>
    <t>PolFY21line21 AugCTTI75APH</t>
  </si>
  <si>
    <t>2133PolFY21line75APH</t>
  </si>
  <si>
    <t>PolFY21line21 Aug75APH</t>
  </si>
  <si>
    <t>2126PolFY21lineCTTI</t>
  </si>
  <si>
    <t>PolFY21line21 JunCTTI</t>
  </si>
  <si>
    <t>2126PolFY21lineCTTI75AR</t>
  </si>
  <si>
    <t>PolFY21line21 JunCTTI75AR</t>
  </si>
  <si>
    <t>2126PolFY21line75AR</t>
  </si>
  <si>
    <t>PolFY21line21 Jun75AR</t>
  </si>
  <si>
    <t>2116O-Cell A/DFY21naFBC</t>
  </si>
  <si>
    <t>O-Cell A/DFY21na21 AprFBC</t>
  </si>
  <si>
    <t>2116O-Cell A/DFY21naFBC75AQ</t>
  </si>
  <si>
    <t>O-Cell A/DFY21na21 AprFBC75AQ</t>
  </si>
  <si>
    <t>2116O-Cell A/DFY21na75AQ</t>
  </si>
  <si>
    <t>O-Cell A/DFY21na21 Apr75AQ</t>
  </si>
  <si>
    <t>2116O-Cell A/DFY21naFBC85AQ</t>
  </si>
  <si>
    <t>O-Cell A/DFY21na21 AprFBC85AQ</t>
  </si>
  <si>
    <t>2116O-Cell A/DFY21na85AQ</t>
  </si>
  <si>
    <t>O-Cell A/DFY21na21 Apr85AQ</t>
  </si>
  <si>
    <t>2123F/MFY21naFBC</t>
  </si>
  <si>
    <t>F/MFY21na21 JunFBC</t>
  </si>
  <si>
    <t>2123F/MFY21naFBC75AG</t>
  </si>
  <si>
    <t>F/MFY21na21 JunFBC75AG</t>
  </si>
  <si>
    <t>2123F/MFY21na75AG</t>
  </si>
  <si>
    <t>F/MFY21na21 Jun75AG</t>
  </si>
  <si>
    <t>2123O-Cell A/DFY21naFBC</t>
  </si>
  <si>
    <t>O-Cell A/DFY21na21 JunFBC</t>
  </si>
  <si>
    <t>2123O-Cell A/DFY21naFBC75AG</t>
  </si>
  <si>
    <t>O-Cell A/DFY21na21 JunFBC75AG</t>
  </si>
  <si>
    <t>2123O-Cell A/DFY21na75AG</t>
  </si>
  <si>
    <t>O-Cell A/DFY21na21 Jun75AG</t>
  </si>
  <si>
    <t>2129LEDFY21lineFBC</t>
  </si>
  <si>
    <t>LEDFY21line21 JulFBC</t>
  </si>
  <si>
    <t>2129LEDFY21lineFBC75AG</t>
  </si>
  <si>
    <t>LEDFY21line21 JulFBC75AG</t>
  </si>
  <si>
    <t>2129LEDFY21line75AG</t>
  </si>
  <si>
    <t>LEDFY21line21 Jul75AG</t>
  </si>
  <si>
    <t>2132O-Cell A/DFY21lineFBC</t>
  </si>
  <si>
    <t>O-Cell A/DFY21line21 AugFBC</t>
  </si>
  <si>
    <t>2132O-Cell A/DFY21lineFBC75AG</t>
  </si>
  <si>
    <t>O-Cell A/DFY21line21 AugFBC75AG</t>
  </si>
  <si>
    <t>2132O-Cell A/DFY21line75AG</t>
  </si>
  <si>
    <t>O-Cell A/DFY21line21 Aug75AG</t>
  </si>
  <si>
    <t>2101LineFY20lineFSK</t>
  </si>
  <si>
    <t>LineFY20line21 JanFSK</t>
  </si>
  <si>
    <t>2101LineFY20lineFSK85NB</t>
  </si>
  <si>
    <t>LineFY20line21 JanFSK85NB</t>
  </si>
  <si>
    <t>2101LineFY20line85NB</t>
  </si>
  <si>
    <t>LineFY20line21 Jan85NB</t>
  </si>
  <si>
    <t>2101UniFY19lineFSK</t>
  </si>
  <si>
    <t>UniFY19line21 JanFSK</t>
  </si>
  <si>
    <t>2101UniFY19lineFSK49SBL2</t>
  </si>
  <si>
    <t>UniFY19line21 JanFSK49SBL2</t>
  </si>
  <si>
    <t>2101UniFY19line49SBL2</t>
  </si>
  <si>
    <t>UniFY19line21 Jan49SBL2</t>
  </si>
  <si>
    <t>2101UniFY20lineFSK</t>
  </si>
  <si>
    <t>UniFY20line21 JanFSK</t>
  </si>
  <si>
    <t>2101UniFY20lineFSK55NH</t>
  </si>
  <si>
    <t>UniFY20line21 JanFSK55NH</t>
  </si>
  <si>
    <t>2101UniFY20line55NH</t>
  </si>
  <si>
    <t>UniFY20line21 Jan55NH</t>
  </si>
  <si>
    <t>2102LineFY20lineFSK</t>
  </si>
  <si>
    <t>2102LineFY20lineFSK75NH</t>
  </si>
  <si>
    <t>LineFY20line21 JanFSK75NH</t>
  </si>
  <si>
    <t>2102LineFY20line75NH</t>
  </si>
  <si>
    <t>LineFY20line21 Jan75NH</t>
  </si>
  <si>
    <t>2102F/MFY20lineFSK</t>
  </si>
  <si>
    <t>F/MFY20line21 JanFSK</t>
  </si>
  <si>
    <t>2102F/MFY20lineFSK75NB</t>
  </si>
  <si>
    <t>F/MFY20line21 JanFSK75NB</t>
  </si>
  <si>
    <t>2102F/MFY20line75NB</t>
  </si>
  <si>
    <t>F/MFY20line21 Jan75NB</t>
  </si>
  <si>
    <t>2102P-AppFY20lineFSK</t>
  </si>
  <si>
    <t>P-AppFY20line21 JanFSK</t>
  </si>
  <si>
    <t>2102P-AppFY20lineFSK65NH</t>
  </si>
  <si>
    <t>P-AppFY20line21 JanFSK65NH</t>
  </si>
  <si>
    <t>2102P-AppFY20line65NH</t>
  </si>
  <si>
    <t>P-AppFY20line21 Jan65NH</t>
  </si>
  <si>
    <t>2102BezelFY20lineFSK</t>
  </si>
  <si>
    <t>BezelFY20line21 JanFSK</t>
  </si>
  <si>
    <t>2102BezelFY20lineFSK75NB</t>
  </si>
  <si>
    <t>BezelFY20line21 JanFSK75NB</t>
  </si>
  <si>
    <t>2102BezelFY20line75NB</t>
  </si>
  <si>
    <t>BezelFY20line21 Jan75NB</t>
  </si>
  <si>
    <t>2102T-CON A/DFY20lineFSK</t>
  </si>
  <si>
    <t>T-CON A/DFY20line21 JanFSK</t>
  </si>
  <si>
    <t>2102T-CON A/DFY20lineFSK75NX</t>
  </si>
  <si>
    <t>T-CON A/DFY20line21 JanFSK75NX</t>
  </si>
  <si>
    <t>2102T-CON A/DFY20line75NX</t>
  </si>
  <si>
    <t>T-CON A/DFY20line21 Jan75NX</t>
  </si>
  <si>
    <t>2102F/MFY20lineFSK75NX</t>
  </si>
  <si>
    <t>F/MFY20line21 JanFSK75NX</t>
  </si>
  <si>
    <t>2102F/MFY20line75NX</t>
  </si>
  <si>
    <t>F/MFY20line21 Jan75NX</t>
  </si>
  <si>
    <t>2102LineFY20lineFSK75NB</t>
  </si>
  <si>
    <t>LineFY20line21 JanFSK75NB</t>
  </si>
  <si>
    <t>2102LineFY20line75NB</t>
  </si>
  <si>
    <t>LineFY20line21 Jan75NB</t>
  </si>
  <si>
    <t>2102LineFY20lineFSK75NX</t>
  </si>
  <si>
    <t>LineFY20line21 JanFSK75NX</t>
  </si>
  <si>
    <t>2102LineFY20line75NX</t>
  </si>
  <si>
    <t>LineFY20line21 Jan75NX</t>
  </si>
  <si>
    <t>2102LEDFY20lineFSK</t>
  </si>
  <si>
    <t>LEDFY20line21 JanFSK</t>
  </si>
  <si>
    <t>2102LEDFY20lineFSK55NH</t>
  </si>
  <si>
    <t>LEDFY20line21 JanFSK55NH</t>
  </si>
  <si>
    <t>2102LEDFY20line55NH</t>
  </si>
  <si>
    <t>LEDFY20line21 Jan55NH</t>
  </si>
  <si>
    <t>2102LineFY20lineFSK85NB</t>
  </si>
  <si>
    <t>2102LineFY20line85NB</t>
  </si>
  <si>
    <t>2103F/MFY20lineFSK</t>
  </si>
  <si>
    <t>2103F/MFY20lineFSK65NH</t>
  </si>
  <si>
    <t>F/MFY20line21 JanFSK65NH</t>
  </si>
  <si>
    <t>2103F/MFY20line65NH</t>
  </si>
  <si>
    <t>F/MFY20line21 Jan65NH</t>
  </si>
  <si>
    <t>2103T-CON A/DFY20lineFSK</t>
  </si>
  <si>
    <t>2103T-CON A/DFY20lineFSK65NH</t>
  </si>
  <si>
    <t>T-CON A/DFY20line21 JanFSK65NH</t>
  </si>
  <si>
    <t>2103T-CON A/DFY20line65NH</t>
  </si>
  <si>
    <t>T-CON A/DFY20line21 Jan65NH</t>
  </si>
  <si>
    <t>2103LineFY20lineFSK</t>
  </si>
  <si>
    <t>2103LineFY20lineFSK85NB</t>
  </si>
  <si>
    <t>2103LineFY20line85NB</t>
  </si>
  <si>
    <t>2103LEDFY20lineFSK</t>
  </si>
  <si>
    <t>2103LEDFY20lineFSK75NB</t>
  </si>
  <si>
    <t>LEDFY20line21 JanFSK75NB</t>
  </si>
  <si>
    <t>2103LEDFY20line75NB</t>
  </si>
  <si>
    <t>LEDFY20line21 Jan75NB</t>
  </si>
  <si>
    <t>2103T-CON A/DFY20lineFSK55NH</t>
  </si>
  <si>
    <t>T-CON A/DFY20line21 JanFSK55NH</t>
  </si>
  <si>
    <t>2103T-CON A/DFY20line55NH</t>
  </si>
  <si>
    <t>T-CON A/DFY20line21 Jan55NH</t>
  </si>
  <si>
    <t>2103T-CON A/DFY20lineFSK75NX</t>
  </si>
  <si>
    <t>2103T-CON A/DFY20line75NX</t>
  </si>
  <si>
    <t>2104T-CON A/DFY19lineFSK</t>
  </si>
  <si>
    <t>T-CON A/DFY19line21 JanFSK</t>
  </si>
  <si>
    <t>2104T-CON A/DFY19lineFSK85SB2H</t>
  </si>
  <si>
    <t>T-CON A/DFY19line21 JanFSK85SB2H</t>
  </si>
  <si>
    <t>2104T-CON A/DFY19line85SB2H</t>
  </si>
  <si>
    <t>T-CON A/DFY19line21 Jan85SB2H</t>
  </si>
  <si>
    <t>2104BLUFY20lineFSK</t>
  </si>
  <si>
    <t>BLUFY20line21 JanFSK</t>
  </si>
  <si>
    <t>2104BLUFY20lineFSK55NH</t>
  </si>
  <si>
    <t>BLUFY20line21 JanFSK55NH</t>
  </si>
  <si>
    <t>2104BLUFY20line55NH</t>
  </si>
  <si>
    <t>BLUFY20line21 Jan55NH</t>
  </si>
  <si>
    <t>2104P-AppFY20lineFSK</t>
  </si>
  <si>
    <t>2104P-AppFY20lineFSK65NH</t>
  </si>
  <si>
    <t>2104P-AppFY20line65NH</t>
  </si>
  <si>
    <t>2104LineFY19lineFSK</t>
  </si>
  <si>
    <t>LineFY19line21 JanFSK</t>
  </si>
  <si>
    <t>2104LineFY19lineFSK49SBL2</t>
  </si>
  <si>
    <t>LineFY19line21 JanFSK49SBL2</t>
  </si>
  <si>
    <t>2104LineFY19line49SBL2</t>
  </si>
  <si>
    <t>LineFY19line21 Jan49SBL2</t>
  </si>
  <si>
    <t>2104T-CON A/DFY20lineFSK</t>
  </si>
  <si>
    <t>2104T-CON A/DFY20lineFSK75NX</t>
  </si>
  <si>
    <t>2104T-CON A/DFY20line75NX</t>
  </si>
  <si>
    <t>2104LineFY20lineFSK</t>
  </si>
  <si>
    <t>2104LineFY20lineFSK65NH</t>
  </si>
  <si>
    <t>LineFY20line21 JanFSK65NH</t>
  </si>
  <si>
    <t>2104LineFY20line65NH</t>
  </si>
  <si>
    <t>LineFY20line21 Jan65NH</t>
  </si>
  <si>
    <t>2105LEDFY20lineFSK</t>
  </si>
  <si>
    <t>LEDFY20line21 FebFSK</t>
  </si>
  <si>
    <t>2105LEDFY20lineFSK55NH</t>
  </si>
  <si>
    <t>LEDFY20line21 FebFSK55NH</t>
  </si>
  <si>
    <t>2105LEDFY20line55NH</t>
  </si>
  <si>
    <t>LEDFY20line21 Feb55NH</t>
  </si>
  <si>
    <t>2105F/MFY20lineFSK</t>
  </si>
  <si>
    <t>F/MFY20line21 FebFSK</t>
  </si>
  <si>
    <t>2105F/MFY20lineFSK55NH</t>
  </si>
  <si>
    <t>F/MFY20line21 FebFSK55NH</t>
  </si>
  <si>
    <t>2105F/MFY20line55NH</t>
  </si>
  <si>
    <t>F/MFY20line21 Feb55NH</t>
  </si>
  <si>
    <t>2105AppFY19lineFSK</t>
  </si>
  <si>
    <t>AppFY19line21 FebFSK</t>
  </si>
  <si>
    <t>2105AppFY19lineFSK49SBL2</t>
  </si>
  <si>
    <t>AppFY19line21 FebFSK49SBL2</t>
  </si>
  <si>
    <t>2105AppFY19line49SBL2</t>
  </si>
  <si>
    <t>AppFY19line21 Feb49SBL2</t>
  </si>
  <si>
    <t>2105O-Cell A/DFY20lineFSK</t>
  </si>
  <si>
    <t>O-Cell A/DFY20line21 FebFSK</t>
  </si>
  <si>
    <t>2105O-Cell A/DFY20lineFSK75NX</t>
  </si>
  <si>
    <t>O-Cell A/DFY20line21 FebFSK75NX</t>
  </si>
  <si>
    <t>2105O-Cell A/DFY20line75NX</t>
  </si>
  <si>
    <t>O-Cell A/DFY20line21 Feb75NX</t>
  </si>
  <si>
    <t>2105BLUFY19lineFSK</t>
  </si>
  <si>
    <t>BLUFY19line21 FebFSK</t>
  </si>
  <si>
    <t>2105BLUFY19lineFSK49SBL2</t>
  </si>
  <si>
    <t>BLUFY19line21 FebFSK49SBL2</t>
  </si>
  <si>
    <t>2105BLUFY19line49SBL2</t>
  </si>
  <si>
    <t>BLUFY19line21 Feb49SBL2</t>
  </si>
  <si>
    <t>2105F/MFY20lineFSK75NH</t>
  </si>
  <si>
    <t>F/MFY20line21 FebFSK75NH</t>
  </si>
  <si>
    <t>2105F/MFY20line75NH</t>
  </si>
  <si>
    <t>F/MFY20line21 Feb75NH</t>
  </si>
  <si>
    <t>2105LEDFY20lineFSK75NX</t>
  </si>
  <si>
    <t>LEDFY20line21 FebFSK75NX</t>
  </si>
  <si>
    <t>2105LEDFY20line75NX</t>
  </si>
  <si>
    <t>LEDFY20line21 Feb75NX</t>
  </si>
  <si>
    <t>2105LineFY20lineFSK</t>
  </si>
  <si>
    <t>LineFY20line21 FebFSK</t>
  </si>
  <si>
    <t>2105LineFY20lineFSK75NX</t>
  </si>
  <si>
    <t>LineFY20line21 FebFSK75NX</t>
  </si>
  <si>
    <t>2105LineFY20line75NX</t>
  </si>
  <si>
    <t>LineFY20line21 Feb75NX</t>
  </si>
  <si>
    <t>2105F/MFY19lineFSK</t>
  </si>
  <si>
    <t>F/MFY19line21 FebFSK</t>
  </si>
  <si>
    <t>2105F/MFY19lineFSK85SB2H</t>
  </si>
  <si>
    <t>F/MFY19line21 FebFSK85SB2H</t>
  </si>
  <si>
    <t>2105F/MFY19line85SB2H</t>
  </si>
  <si>
    <t>F/MFY19line21 Feb85SB2H</t>
  </si>
  <si>
    <t>2106T-CON A/DFY20lineFSK</t>
  </si>
  <si>
    <t>T-CON A/DFY20line21 FebFSK</t>
  </si>
  <si>
    <t>2106T-CON A/DFY20lineFSK55NH</t>
  </si>
  <si>
    <t>T-CON A/DFY20line21 FebFSK55NH</t>
  </si>
  <si>
    <t>2106T-CON A/DFY20line55NH</t>
  </si>
  <si>
    <t>T-CON A/DFY20line21 Feb55NH</t>
  </si>
  <si>
    <t>2106LineFY20lineFSK</t>
  </si>
  <si>
    <t>2106LineFY20lineFSK65NH</t>
  </si>
  <si>
    <t>LineFY20line21 FebFSK65NH</t>
  </si>
  <si>
    <t>2106LineFY20line65NH</t>
  </si>
  <si>
    <t>LineFY20line21 Feb65NH</t>
  </si>
  <si>
    <t>2106LEDFY20lineFSK</t>
  </si>
  <si>
    <t>2106LEDFY20lineFSK55NH</t>
  </si>
  <si>
    <t>2106LEDFY20line55NH</t>
  </si>
  <si>
    <t>2107P-AppFY20lineFSK</t>
  </si>
  <si>
    <t>P-AppFY20line21 FebFSK</t>
  </si>
  <si>
    <t>2107P-AppFY20lineFSK65NH</t>
  </si>
  <si>
    <t>P-AppFY20line21 FebFSK65NH</t>
  </si>
  <si>
    <t>2107P-AppFY20line65NH</t>
  </si>
  <si>
    <t>P-AppFY20line21 Feb65NH</t>
  </si>
  <si>
    <t>2107T-CON A/DFY19lineFSK</t>
  </si>
  <si>
    <t>T-CON A/DFY19line21 FebFSK</t>
  </si>
  <si>
    <t>2107T-CON A/DFY19lineFSK49SBL2</t>
  </si>
  <si>
    <t>T-CON A/DFY19line21 FebFSK49SBL2</t>
  </si>
  <si>
    <t>2107T-CON A/DFY19line49SBL2</t>
  </si>
  <si>
    <t>T-CON A/DFY19line21 Feb49SBL2</t>
  </si>
  <si>
    <t>2107T-CON A/DFY20lineFSK</t>
  </si>
  <si>
    <t>2107T-CON A/DFY20lineFSK75NX</t>
  </si>
  <si>
    <t>T-CON A/DFY20line21 FebFSK75NX</t>
  </si>
  <si>
    <t>2107T-CON A/DFY20line75NX</t>
  </si>
  <si>
    <t>T-CON A/DFY20line21 Feb75NX</t>
  </si>
  <si>
    <t>2107LineFY20lineFSK</t>
  </si>
  <si>
    <t>2107LineFY20lineFSK75NX</t>
  </si>
  <si>
    <t>2107LineFY20line75NX</t>
  </si>
  <si>
    <t>2107T-CON A/DFY20lineFSK65NH</t>
  </si>
  <si>
    <t>T-CON A/DFY20line21 FebFSK65NH</t>
  </si>
  <si>
    <t>2107T-CON A/DFY20line65NH</t>
  </si>
  <si>
    <t>T-CON A/DFY20line21 Feb65NH</t>
  </si>
  <si>
    <t>2107UniFY20lineFSK</t>
  </si>
  <si>
    <t>UniFY20line21 FebFSK</t>
  </si>
  <si>
    <t>2107UniFY20lineFSK75NB</t>
  </si>
  <si>
    <t>UniFY20line21 FebFSK75NB</t>
  </si>
  <si>
    <t>2107UniFY20line75NB</t>
  </si>
  <si>
    <t>UniFY20line21 Feb75NB</t>
  </si>
  <si>
    <t>2107T-CON A/DFY20lineFSK55NH</t>
  </si>
  <si>
    <t>2107T-CON A/DFY20line55NH</t>
  </si>
  <si>
    <t>2107LineFY20lineFSK65NH</t>
  </si>
  <si>
    <t>2107LineFY20line65NH</t>
  </si>
  <si>
    <t>2107O-Cell A/DFY20lineFSK</t>
  </si>
  <si>
    <t>2107O-Cell A/DFY20lineFSK55NH</t>
  </si>
  <si>
    <t>O-Cell A/DFY20line21 FebFSK55NH</t>
  </si>
  <si>
    <t>2107O-Cell A/DFY20line55NH</t>
  </si>
  <si>
    <t>O-Cell A/DFY20line21 Feb55NH</t>
  </si>
  <si>
    <t>2108T-CON A/DFY20lineFSK</t>
  </si>
  <si>
    <t>2108T-CON A/DFY20lineFSK65NH</t>
  </si>
  <si>
    <t>2108T-CON A/DFY20line65NH</t>
  </si>
  <si>
    <t>2109LEDFY20lineFSK</t>
  </si>
  <si>
    <t>LEDFY20line21 MarFSK</t>
  </si>
  <si>
    <t>2109LEDFY20lineFSK85NXB</t>
  </si>
  <si>
    <t>LEDFY20line21 MarFSK85NXB</t>
  </si>
  <si>
    <t>2109LEDFY20line85NXB</t>
  </si>
  <si>
    <t>LEDFY20line21 Mar85NXB</t>
  </si>
  <si>
    <t>2109T-CON A/DFY20lineFSK</t>
  </si>
  <si>
    <t>T-CON A/DFY20line21 MarFSK</t>
  </si>
  <si>
    <t>2109T-CON A/DFY20lineFSK75NB</t>
  </si>
  <si>
    <t>T-CON A/DFY20line21 MarFSK75NB</t>
  </si>
  <si>
    <t>2109T-CON A/DFY20line75NB</t>
  </si>
  <si>
    <t>T-CON A/DFY20line21 Mar75NB</t>
  </si>
  <si>
    <t>2110T-CON A/DFY20lineFSK</t>
  </si>
  <si>
    <t>2110T-CON A/DFY20lineFSK75NB</t>
  </si>
  <si>
    <t>2110T-CON A/DFY20line75NB</t>
  </si>
  <si>
    <t>2110LineFY20lineFSK</t>
  </si>
  <si>
    <t>LineFY20line21 MarFSK</t>
  </si>
  <si>
    <t>2110LineFY20lineFSK85NX</t>
  </si>
  <si>
    <t>LineFY20line21 MarFSK85NX</t>
  </si>
  <si>
    <t>2110LineFY20line85NX</t>
  </si>
  <si>
    <t>LineFY20line21 Mar85NX</t>
  </si>
  <si>
    <t>2110T-CON A/DFY20lineFSK75NX</t>
  </si>
  <si>
    <t>T-CON A/DFY20line21 MarFSK75NX</t>
  </si>
  <si>
    <t>2110T-CON A/DFY20line75NX</t>
  </si>
  <si>
    <t>T-CON A/DFY20line21 Mar75NX</t>
  </si>
  <si>
    <t>2111LineFY20lineFSK</t>
  </si>
  <si>
    <t>2111LineFY20lineFSK85NB</t>
  </si>
  <si>
    <t>LineFY20line21 MarFSK85NB</t>
  </si>
  <si>
    <t>2111LineFY20line85NB</t>
  </si>
  <si>
    <t>LineFY20line21 Mar85NB</t>
  </si>
  <si>
    <t>2111LineFY20lineFSK75NB</t>
  </si>
  <si>
    <t>LineFY20line21 MarFSK75NB</t>
  </si>
  <si>
    <t>2111LineFY20line75NB</t>
  </si>
  <si>
    <t>LineFY20line21 Mar75NB</t>
  </si>
  <si>
    <t>2111F/MFY20lineFSK</t>
  </si>
  <si>
    <t>F/MFY20line21 MarFSK</t>
  </si>
  <si>
    <t>2111F/MFY20lineFSK75NX</t>
  </si>
  <si>
    <t>F/MFY20line21 MarFSK75NX</t>
  </si>
  <si>
    <t>2111F/MFY20line75NX</t>
  </si>
  <si>
    <t>F/MFY20line21 Mar75NX</t>
  </si>
  <si>
    <t>2112T-CON A/DFY20lineFSK</t>
  </si>
  <si>
    <t>2112T-CON A/DFY20lineFSK85NB</t>
  </si>
  <si>
    <t>T-CON A/DFY20line21 MarFSK85NB</t>
  </si>
  <si>
    <t>2112T-CON A/DFY20line85NB</t>
  </si>
  <si>
    <t>T-CON A/DFY20line21 Mar85NB</t>
  </si>
  <si>
    <t>2112BezelFY20lineFSK</t>
  </si>
  <si>
    <t>BezelFY20line21 MarFSK</t>
  </si>
  <si>
    <t>2112BezelFY20lineFSK75NXB</t>
  </si>
  <si>
    <t>BezelFY20line21 MarFSK75NXB</t>
  </si>
  <si>
    <t>2112BezelFY20line75NXB</t>
  </si>
  <si>
    <t>BezelFY20line21 Mar75NXB</t>
  </si>
  <si>
    <t>2112T-CON A/DFY20lineFSK85NX</t>
  </si>
  <si>
    <t>T-CON A/DFY20line21 MarFSK85NX</t>
  </si>
  <si>
    <t>2112T-CON A/DFY20line85NX</t>
  </si>
  <si>
    <t>T-CON A/DFY20line21 Mar85NX</t>
  </si>
  <si>
    <t>2112AppFY21lineFSK</t>
  </si>
  <si>
    <t>AppFY21line21 MarFSK</t>
  </si>
  <si>
    <t>2112AppFY21lineFSK75APH</t>
  </si>
  <si>
    <t>AppFY21line21 MarFSK75APH</t>
  </si>
  <si>
    <t>2112AppFY21line75APH</t>
  </si>
  <si>
    <t>AppFY21line21 Mar75APH</t>
  </si>
  <si>
    <t>2112T-CON A/DFY21lineFSK</t>
  </si>
  <si>
    <t>T-CON A/DFY21line21 MarFSK</t>
  </si>
  <si>
    <t>2112T-CON A/DFY21lineFSK75APH</t>
  </si>
  <si>
    <t>T-CON A/DFY21line21 MarFSK75APH</t>
  </si>
  <si>
    <t>2112T-CON A/DFY21line75APH</t>
  </si>
  <si>
    <t>T-CON A/DFY21line21 Mar75APH</t>
  </si>
  <si>
    <t>2113T-CON A/DFY20lineFSK</t>
  </si>
  <si>
    <t>2113T-CON A/DFY20lineFSK75NX</t>
  </si>
  <si>
    <t>2113T-CON A/DFY20line75NX</t>
  </si>
  <si>
    <t>2116T-CON A/DFY20lineFSK</t>
  </si>
  <si>
    <t>T-CON A/DFY20line21 AprFSK</t>
  </si>
  <si>
    <t>2116T-CON A/DFY20lineFSK75NX</t>
  </si>
  <si>
    <t>T-CON A/DFY20line21 AprFSK75NX</t>
  </si>
  <si>
    <t>2116T-CON A/DFY20line75NX</t>
  </si>
  <si>
    <t>T-CON A/DFY20line21 Apr75NX</t>
  </si>
  <si>
    <t>2116LineFY20lineFSK</t>
  </si>
  <si>
    <t>LineFY20line21 AprFSK</t>
  </si>
  <si>
    <t>2116LineFY20lineFSK75NX</t>
  </si>
  <si>
    <t>LineFY20line21 AprFSK75NX</t>
  </si>
  <si>
    <t>2116LineFY20line75NX</t>
  </si>
  <si>
    <t>LineFY20line21 Apr75NX</t>
  </si>
  <si>
    <t>2117T-CON A/DFY20lineFSK</t>
  </si>
  <si>
    <t>2117T-CON A/DFY20lineFSK85NX</t>
  </si>
  <si>
    <t>T-CON A/DFY20line21 AprFSK85NX</t>
  </si>
  <si>
    <t>2117T-CON A/DFY20line85NX</t>
  </si>
  <si>
    <t>T-CON A/DFY20line21 Apr85NX</t>
  </si>
  <si>
    <t>2118BLUFY20lineFSK</t>
  </si>
  <si>
    <t>BLUFY20line21 MayFSK</t>
  </si>
  <si>
    <t>2118BLUFY20lineFSK75NX</t>
  </si>
  <si>
    <t>BLUFY20line21 MayFSK75NX</t>
  </si>
  <si>
    <t>2118BLUFY20line75NX</t>
  </si>
  <si>
    <t>BLUFY20line21 May75NX</t>
  </si>
  <si>
    <t>2118LineFY21lineFSK</t>
  </si>
  <si>
    <t>LineFY21line21 MayFSK</t>
  </si>
  <si>
    <t>2118LineFY21lineFSK75APH</t>
  </si>
  <si>
    <t>LineFY21line21 MayFSK75APH</t>
  </si>
  <si>
    <t>2118LineFY21line75APH</t>
  </si>
  <si>
    <t>LineFY21line21 May75APH</t>
  </si>
  <si>
    <t>2118BLUFY20lineFSK85NX</t>
  </si>
  <si>
    <t>BLUFY20line21 MayFSK85NX</t>
  </si>
  <si>
    <t>2118BLUFY20line85NX</t>
  </si>
  <si>
    <t>BLUFY20line21 May85NX</t>
  </si>
  <si>
    <t>2119LineFY20lineFSK</t>
  </si>
  <si>
    <t>LineFY20line21 MayFSK</t>
  </si>
  <si>
    <t>2119LineFY20lineFSK75NB</t>
  </si>
  <si>
    <t>LineFY20line21 MayFSK75NB</t>
  </si>
  <si>
    <t>2119LineFY20line75NB</t>
  </si>
  <si>
    <t>LineFY20line21 May75NB</t>
  </si>
  <si>
    <t>2120F/MFY21lineFSK</t>
  </si>
  <si>
    <t>F/MFY21line21 MayFSK</t>
  </si>
  <si>
    <t>2120F/MFY21lineFSK75AR</t>
  </si>
  <si>
    <t>F/MFY21line21 MayFSK75AR</t>
  </si>
  <si>
    <t>2120F/MFY21line75AR</t>
  </si>
  <si>
    <t>F/MFY21line21 May75AR</t>
  </si>
  <si>
    <t>2120T-CON A/DFY20lineFSK</t>
  </si>
  <si>
    <t>T-CON A/DFY20line21 MayFSK</t>
  </si>
  <si>
    <t>2120T-CON A/DFY20lineFSK85NX</t>
  </si>
  <si>
    <t>T-CON A/DFY20line21 MayFSK85NX</t>
  </si>
  <si>
    <t>2120T-CON A/DFY20line85NX</t>
  </si>
  <si>
    <t>T-CON A/DFY20line21 May85NX</t>
  </si>
  <si>
    <t>2120T-CON A/DFY20lineFSK75NX</t>
  </si>
  <si>
    <t>T-CON A/DFY20line21 MayFSK75NX</t>
  </si>
  <si>
    <t>2120T-CON A/DFY20line75NX</t>
  </si>
  <si>
    <t>T-CON A/DFY20line21 May75NX</t>
  </si>
  <si>
    <t>2121T-CON A/DFY21lineFSK</t>
  </si>
  <si>
    <t>T-CON A/DFY21line21 MayFSK</t>
  </si>
  <si>
    <t>2121T-CON A/DFY21lineFSK75AX</t>
  </si>
  <si>
    <t>T-CON A/DFY21line21 MayFSK75AX</t>
  </si>
  <si>
    <t>2121T-CON A/DFY21line75AX</t>
  </si>
  <si>
    <t>T-CON A/DFY21line21 May75AX</t>
  </si>
  <si>
    <t>2121BLUFY21lineFSK</t>
  </si>
  <si>
    <t>BLUFY21line21 MayFSK</t>
  </si>
  <si>
    <t>2121BLUFY21lineFSK75AX</t>
  </si>
  <si>
    <t>BLUFY21line21 MayFSK75AX</t>
  </si>
  <si>
    <t>2121BLUFY21line75AX</t>
  </si>
  <si>
    <t>BLUFY21line21 May75AX</t>
  </si>
  <si>
    <t>2121T-CON A/DFY20lineFSK</t>
  </si>
  <si>
    <t>2121T-CON A/DFY20lineFSK75NB</t>
  </si>
  <si>
    <t>T-CON A/DFY20line21 MayFSK75NB</t>
  </si>
  <si>
    <t>2121T-CON A/DFY20line75NB</t>
  </si>
  <si>
    <t>T-CON A/DFY20line21 May75NB</t>
  </si>
  <si>
    <t>2121O-Cell A/DFY20lineFSK</t>
  </si>
  <si>
    <t>O-Cell A/DFY20line21 MayFSK</t>
  </si>
  <si>
    <t>2121O-Cell A/DFY20lineFSK85NX</t>
  </si>
  <si>
    <t>O-Cell A/DFY20line21 MayFSK85NX</t>
  </si>
  <si>
    <t>2121O-Cell A/DFY20line85NX</t>
  </si>
  <si>
    <t>O-Cell A/DFY20line21 May85NX</t>
  </si>
  <si>
    <t>2121F/MFY20lineFSK</t>
  </si>
  <si>
    <t>F/MFY20line21 MayFSK</t>
  </si>
  <si>
    <t>2121F/MFY20lineFSK85NX</t>
  </si>
  <si>
    <t>F/MFY20line21 MayFSK85NX</t>
  </si>
  <si>
    <t>2121F/MFY20line85NX</t>
  </si>
  <si>
    <t>F/MFY20line21 May85NX</t>
  </si>
  <si>
    <t>2122F/MFY21lineFSK</t>
  </si>
  <si>
    <t>2122F/MFY21lineFSK85AG</t>
  </si>
  <si>
    <t>F/MFY21line21 MayFSK85AG</t>
  </si>
  <si>
    <t>2122F/MFY21line85AG</t>
  </si>
  <si>
    <t>F/MFY21line21 May85AG</t>
  </si>
  <si>
    <t>2122LEDFY21lineFSK</t>
  </si>
  <si>
    <t>LEDFY21line21 MayFSK</t>
  </si>
  <si>
    <t>2122LEDFY21lineFSK85AX</t>
  </si>
  <si>
    <t>LEDFY21line21 MayFSK85AX</t>
  </si>
  <si>
    <t>2122LEDFY21line85AX</t>
  </si>
  <si>
    <t>LEDFY21line21 May85AX</t>
  </si>
  <si>
    <t>2122AppFY20lineFSK</t>
  </si>
  <si>
    <t>AppFY20line21 MayFSK</t>
  </si>
  <si>
    <t>2122AppFY20lineFSK75NX</t>
  </si>
  <si>
    <t>AppFY20line21 MayFSK75NX</t>
  </si>
  <si>
    <t>2122AppFY20line75NX</t>
  </si>
  <si>
    <t>AppFY20line21 May75NX</t>
  </si>
  <si>
    <t>2122T-CON A/DFY20lineFSK</t>
  </si>
  <si>
    <t>2122T-CON A/DFY20lineFSK75NX</t>
  </si>
  <si>
    <t>2122T-CON A/DFY20line75NX</t>
  </si>
  <si>
    <t>2123T-CON A/DFY20lineFSK</t>
  </si>
  <si>
    <t>T-CON A/DFY20line21 JunFSK</t>
  </si>
  <si>
    <t>2123T-CON A/DFY20lineFSK75NX</t>
  </si>
  <si>
    <t>T-CON A/DFY20line21 JunFSK75NX</t>
  </si>
  <si>
    <t>2123T-CON A/DFY20line75NX</t>
  </si>
  <si>
    <t>T-CON A/DFY20line21 Jun75NX</t>
  </si>
  <si>
    <t>2123AppFY21lineFSK</t>
  </si>
  <si>
    <t>AppFY21line21 JunFSK</t>
  </si>
  <si>
    <t>2123AppFY21lineFSK75APH</t>
  </si>
  <si>
    <t>AppFY21line21 JunFSK75APH</t>
  </si>
  <si>
    <t>2123AppFY21line75APH</t>
  </si>
  <si>
    <t>AppFY21line21 Jun75APH</t>
  </si>
  <si>
    <t>2123T-CON A/DFY20lineFSK85NX</t>
  </si>
  <si>
    <t>T-CON A/DFY20line21 JunFSK85NX</t>
  </si>
  <si>
    <t>2123T-CON A/DFY20line85NX</t>
  </si>
  <si>
    <t>T-CON A/DFY20line21 Jun85NX</t>
  </si>
  <si>
    <t>2123LEDFY20lineFSK</t>
  </si>
  <si>
    <t>LEDFY20line21 JunFSK</t>
  </si>
  <si>
    <t>2123LEDFY20lineFSK75NB</t>
  </si>
  <si>
    <t>LEDFY20line21 JunFSK75NB</t>
  </si>
  <si>
    <t>2123LEDFY20line75NB</t>
  </si>
  <si>
    <t>LEDFY20line21 Jun75NB</t>
  </si>
  <si>
    <t>2123LEDFY21lineFSK</t>
  </si>
  <si>
    <t>LEDFY21line21 JunFSK</t>
  </si>
  <si>
    <t>2123LEDFY21lineFSK75AR</t>
  </si>
  <si>
    <t>LEDFY21line21 JunFSK75AR</t>
  </si>
  <si>
    <t>2123LEDFY21line75AR</t>
  </si>
  <si>
    <t>LEDFY21line21 Jun75AR</t>
  </si>
  <si>
    <t>2124T-CON A/DFY21lineFSK</t>
  </si>
  <si>
    <t>T-CON A/DFY21line21 JunFSK</t>
  </si>
  <si>
    <t>2124T-CON A/DFY21lineFSK75APH</t>
  </si>
  <si>
    <t>T-CON A/DFY21line21 JunFSK75APH</t>
  </si>
  <si>
    <t>2124T-CON A/DFY21line75APH</t>
  </si>
  <si>
    <t>T-CON A/DFY21line21 Jun75APH</t>
  </si>
  <si>
    <t>2124DotFY21lineFSK</t>
  </si>
  <si>
    <t>DotFY21line21 JunFSK</t>
  </si>
  <si>
    <t>2124DotFY21lineFSK75AG</t>
  </si>
  <si>
    <t>DotFY21line21 JunFSK75AG</t>
  </si>
  <si>
    <t>2124DotFY21line75AG</t>
  </si>
  <si>
    <t>DotFY21line21 Jun75AG</t>
  </si>
  <si>
    <t>2125T-CON A/DFY21lineFSK</t>
  </si>
  <si>
    <t>2125T-CON A/DFY21lineFSK75AR</t>
  </si>
  <si>
    <t>T-CON A/DFY21line21 JunFSK75AR</t>
  </si>
  <si>
    <t>2125T-CON A/DFY21line75AR</t>
  </si>
  <si>
    <t>T-CON A/DFY21line21 Jun75AR</t>
  </si>
  <si>
    <t>2126LineFY21lineFSK</t>
  </si>
  <si>
    <t>LineFY21line21 JunFSK</t>
  </si>
  <si>
    <t>2126LineFY21lineFSK85AQ</t>
  </si>
  <si>
    <t>LineFY21line21 JunFSK85AQ</t>
  </si>
  <si>
    <t>2126LineFY21line85AQ</t>
  </si>
  <si>
    <t>LineFY21line21 Jun85AQ</t>
  </si>
  <si>
    <t>2126AppFY20lineFSK</t>
  </si>
  <si>
    <t>AppFY20line21 JunFSK</t>
  </si>
  <si>
    <t>2126AppFY20lineFSK75NB</t>
  </si>
  <si>
    <t>AppFY20line21 JunFSK75NB</t>
  </si>
  <si>
    <t>2126AppFY20line75NB</t>
  </si>
  <si>
    <t>AppFY20line21 Jun75NB</t>
  </si>
  <si>
    <t>2126LEDFY21lineFSK</t>
  </si>
  <si>
    <t>2126LEDFY21lineFSK75APH</t>
  </si>
  <si>
    <t>LEDFY21line21 JunFSK75APH</t>
  </si>
  <si>
    <t>2126LEDFY21line75APH</t>
  </si>
  <si>
    <t>LEDFY21line21 Jun75APH</t>
  </si>
  <si>
    <t>2126AL-FrameFY21lineFSK</t>
  </si>
  <si>
    <t>AL-FrameFY21line21 JunFSK</t>
  </si>
  <si>
    <t>2126AL-FrameFY21lineFSK85AX</t>
  </si>
  <si>
    <t>AL-FrameFY21line21 JunFSK85AX</t>
  </si>
  <si>
    <t>2126AL-FrameFY21line85AX</t>
  </si>
  <si>
    <t>AL-FrameFY21line21 Jun85AX</t>
  </si>
  <si>
    <t>2126F/MFY21lineFSK</t>
  </si>
  <si>
    <t>F/MFY21line21 JunFSK</t>
  </si>
  <si>
    <t>2126F/MFY21lineFSK75AX</t>
  </si>
  <si>
    <t>F/MFY21line21 JunFSK75AX</t>
  </si>
  <si>
    <t>2126F/MFY21line75AX</t>
  </si>
  <si>
    <t>F/MFY21line21 Jun75AX</t>
  </si>
  <si>
    <t>2126T-CON A/DFY21lineFSK</t>
  </si>
  <si>
    <t>2126T-CON A/DFY21lineFSK75AX</t>
  </si>
  <si>
    <t>T-CON A/DFY21line21 JunFSK75AX</t>
  </si>
  <si>
    <t>2126T-CON A/DFY21line75AX</t>
  </si>
  <si>
    <t>T-CON A/DFY21line21 Jun75AX</t>
  </si>
  <si>
    <t>2126O-Cell A/DFY21lineFSK</t>
  </si>
  <si>
    <t>O-Cell A/DFY21line21 JunFSK</t>
  </si>
  <si>
    <t>2126O-Cell A/DFY21lineFSK85AX</t>
  </si>
  <si>
    <t>O-Cell A/DFY21line21 JunFSK85AX</t>
  </si>
  <si>
    <t>2126O-Cell A/DFY21line85AX</t>
  </si>
  <si>
    <t>O-Cell A/DFY21line21 Jun85AX</t>
  </si>
  <si>
    <t>2127LEDFY21lineFSK</t>
  </si>
  <si>
    <t>LEDFY21line21 JulFSK</t>
  </si>
  <si>
    <t>2127LEDFY21lineFSK75AQ</t>
  </si>
  <si>
    <t>LEDFY21line21 JulFSK75AQ</t>
  </si>
  <si>
    <t>2127LEDFY21line75AQ</t>
  </si>
  <si>
    <t>LEDFY21line21 Jul75AQ</t>
  </si>
  <si>
    <t>2127T-CON A/DFY21lineFSK</t>
  </si>
  <si>
    <t>T-CON A/DFY21line21 JulFSK</t>
  </si>
  <si>
    <t>2127T-CON A/DFY21lineFSK75AR</t>
  </si>
  <si>
    <t>T-CON A/DFY21line21 JulFSK75AR</t>
  </si>
  <si>
    <t>2127T-CON A/DFY21line75AR</t>
  </si>
  <si>
    <t>T-CON A/DFY21line21 Jul75AR</t>
  </si>
  <si>
    <t>2127T-CON A/DFY21lineFSK75APH</t>
  </si>
  <si>
    <t>T-CON A/DFY21line21 JulFSK75APH</t>
  </si>
  <si>
    <t>2127T-CON A/DFY21line75APH</t>
  </si>
  <si>
    <t>T-CON A/DFY21line21 Jul75APH</t>
  </si>
  <si>
    <t>2127LineFY21lineFSK</t>
  </si>
  <si>
    <t>LineFY21line21 JulFSK</t>
  </si>
  <si>
    <t>2127LineFY21lineFSK75AX</t>
  </si>
  <si>
    <t>LineFY21line21 JulFSK75AX</t>
  </si>
  <si>
    <t>2127LineFY21line75AX</t>
  </si>
  <si>
    <t>LineFY21line21 Jul75AX</t>
  </si>
  <si>
    <t>2127LEDFY21lineFSK75AX</t>
  </si>
  <si>
    <t>LEDFY21line21 JulFSK75AX</t>
  </si>
  <si>
    <t>2127LEDFY21line75AX</t>
  </si>
  <si>
    <t>LEDFY21line21 Jul75AX</t>
  </si>
  <si>
    <t>2127F/MFY21lineFSK</t>
  </si>
  <si>
    <t>F/MFY21line21 JulFSK</t>
  </si>
  <si>
    <t>2127F/MFY21lineFSK75AR</t>
  </si>
  <si>
    <t>F/MFY21line21 JulFSK75AR</t>
  </si>
  <si>
    <t>2127F/MFY21line75AR</t>
  </si>
  <si>
    <t>F/MFY21line21 Jul75AR</t>
  </si>
  <si>
    <t>2128LEDFY21lineFSK</t>
  </si>
  <si>
    <t>2128LEDFY21lineFSK75AR</t>
  </si>
  <si>
    <t>LEDFY21line21 JulFSK75AR</t>
  </si>
  <si>
    <t>2128LEDFY21line75AR</t>
  </si>
  <si>
    <t>LEDFY21line21 Jul75AR</t>
  </si>
  <si>
    <t>2128LineFY21lineFSK</t>
  </si>
  <si>
    <t>2128LineFY21lineFSK75APH</t>
  </si>
  <si>
    <t>LineFY21line21 JulFSK75APH</t>
  </si>
  <si>
    <t>2128LineFY21line75APH</t>
  </si>
  <si>
    <t>LineFY21line21 Jul75APH</t>
  </si>
  <si>
    <t>2128LEDFY21lineFSK75AX</t>
  </si>
  <si>
    <t>2128LEDFY21line75AX</t>
  </si>
  <si>
    <t>2128LEDFY20lineFSK</t>
  </si>
  <si>
    <t>LEDFY20line21 JulFSK</t>
  </si>
  <si>
    <t>2128LEDFY20lineFSK75NB</t>
  </si>
  <si>
    <t>LEDFY20line21 JulFSK75NB</t>
  </si>
  <si>
    <t>2128LEDFY20line75NB</t>
  </si>
  <si>
    <t>LEDFY20line21 Jul75NB</t>
  </si>
  <si>
    <t>2128T-CON A/DFY20lineFSK</t>
  </si>
  <si>
    <t>T-CON A/DFY20line21 JulFSK</t>
  </si>
  <si>
    <t>2128T-CON A/DFY20lineFSK75NX</t>
  </si>
  <si>
    <t>T-CON A/DFY20line21 JulFSK75NX</t>
  </si>
  <si>
    <t>2128T-CON A/DFY20line75NX</t>
  </si>
  <si>
    <t>T-CON A/DFY20line21 Jul75NX</t>
  </si>
  <si>
    <t>2128T-CON A/DFY20lineFSK75NB</t>
  </si>
  <si>
    <t>T-CON A/DFY20line21 JulFSK75NB</t>
  </si>
  <si>
    <t>2128T-CON A/DFY20line75NB</t>
  </si>
  <si>
    <t>T-CON A/DFY20line21 Jul75NB</t>
  </si>
  <si>
    <t>2129T-CON A/DFY20lineFSK</t>
  </si>
  <si>
    <t>2129T-CON A/DFY20lineFSK75NB</t>
  </si>
  <si>
    <t>2129T-CON A/DFY20line75NB</t>
  </si>
  <si>
    <t>2129LineFY21lineFSK</t>
  </si>
  <si>
    <t>2129LineFY21lineFSK75AX</t>
  </si>
  <si>
    <t>2129LineFY21line75AX</t>
  </si>
  <si>
    <t>2129AppFY21lineFSK</t>
  </si>
  <si>
    <t>AppFY21line21 JulFSK</t>
  </si>
  <si>
    <t>2129AppFY21lineFSK75APH</t>
  </si>
  <si>
    <t>AppFY21line21 JulFSK75APH</t>
  </si>
  <si>
    <t>2129AppFY21line75APH</t>
  </si>
  <si>
    <t>AppFY21line21 Jul75APH</t>
  </si>
  <si>
    <t>2129F/MFY21lineFSK</t>
  </si>
  <si>
    <t>2129F/MFY21lineFSK75APH</t>
  </si>
  <si>
    <t>F/MFY21line21 JulFSK75APH</t>
  </si>
  <si>
    <t>2129F/MFY21line75APH</t>
  </si>
  <si>
    <t>F/MFY21line21 Jul75APH</t>
  </si>
  <si>
    <t>2129LEDFY21lineFSK</t>
  </si>
  <si>
    <t>2129LEDFY21lineFSK85AG</t>
  </si>
  <si>
    <t>LEDFY21line21 JulFSK85AG</t>
  </si>
  <si>
    <t>2129LEDFY21line85AG</t>
  </si>
  <si>
    <t>LEDFY21line21 Jul85AG</t>
  </si>
  <si>
    <t>2129AL-FrameFY21lineFSK</t>
  </si>
  <si>
    <t>AL-FrameFY21line21 JulFSK</t>
  </si>
  <si>
    <t>2129AL-FrameFY21lineFSK85AG</t>
  </si>
  <si>
    <t>AL-FrameFY21line21 JulFSK85AG</t>
  </si>
  <si>
    <t>2129AL-FrameFY21line85AG</t>
  </si>
  <si>
    <t>AL-FrameFY21line21 Jul85AG</t>
  </si>
  <si>
    <t>2129T-CON A/DFY21lineFSK</t>
  </si>
  <si>
    <t>2129T-CON A/DFY21lineFSK75APH</t>
  </si>
  <si>
    <t>2129T-CON A/DFY21line75APH</t>
  </si>
  <si>
    <t>2129LEDFY21lineFSK75APH</t>
  </si>
  <si>
    <t>LEDFY21line21 JulFSK75APH</t>
  </si>
  <si>
    <t>2129LEDFY21line75APH</t>
  </si>
  <si>
    <t>2129LineFY21lineFSK75APH</t>
  </si>
  <si>
    <t>2129LineFY21line75APH</t>
  </si>
  <si>
    <t>2132LineFY21lineFSK</t>
  </si>
  <si>
    <t>LineFY21line21 AugFSK</t>
  </si>
  <si>
    <t>2132LineFY21lineFSK75AR</t>
  </si>
  <si>
    <t>LineFY21line21 AugFSK75AR</t>
  </si>
  <si>
    <t>2132LineFY21line75AR</t>
  </si>
  <si>
    <t>LineFY21line21 Aug75AR</t>
  </si>
  <si>
    <t>2132T-CON A/DFY21lineFSK</t>
  </si>
  <si>
    <t>T-CON A/DFY21line21 AugFSK</t>
  </si>
  <si>
    <t>2132T-CON A/DFY21lineFSK75AG</t>
  </si>
  <si>
    <t>T-CON A/DFY21line21 AugFSK75AG</t>
  </si>
  <si>
    <t>2132T-CON A/DFY21line75AG</t>
  </si>
  <si>
    <t>T-CON A/DFY21line21 Aug75AG</t>
  </si>
  <si>
    <t>2132LEDFY21lineFSK</t>
  </si>
  <si>
    <t>LEDFY21line21 AugFSK</t>
  </si>
  <si>
    <t>2132LEDFY21lineFSK75AX</t>
  </si>
  <si>
    <t>LEDFY21line21 AugFSK75AX</t>
  </si>
  <si>
    <t>2132LEDFY21line75AX</t>
  </si>
  <si>
    <t>LEDFY21line21 Aug75AX</t>
  </si>
  <si>
    <t>2132LineFY21lineFSK75AX</t>
  </si>
  <si>
    <t>LineFY21line21 AugFSK75AX</t>
  </si>
  <si>
    <t>2132LineFY21line75AX</t>
  </si>
  <si>
    <t>LineFY21line21 Aug75AX</t>
  </si>
  <si>
    <t>2132AppFY21lineFSK</t>
  </si>
  <si>
    <t>AppFY21line21 AugFSK</t>
  </si>
  <si>
    <t>2132AppFY21lineFSK75AG</t>
  </si>
  <si>
    <t>AppFY21line21 AugFSK75AG</t>
  </si>
  <si>
    <t>2132AppFY21line75AG</t>
  </si>
  <si>
    <t>AppFY21line21 Aug75AG</t>
  </si>
  <si>
    <t>2133P-AppFY21lineFSK</t>
  </si>
  <si>
    <t>P-AppFY21line21 AugFSK</t>
  </si>
  <si>
    <t>2133P-AppFY21lineFSK65AG</t>
  </si>
  <si>
    <t>P-AppFY21line21 AugFSK65AG</t>
  </si>
  <si>
    <t>2133P-AppFY21line65AG</t>
  </si>
  <si>
    <t>P-AppFY21line21 Aug65AG</t>
  </si>
  <si>
    <t>2133F/MFY21lineFSK</t>
  </si>
  <si>
    <t>F/MFY21line21 AugFSK</t>
  </si>
  <si>
    <t>2133F/MFY21lineFSK75AR</t>
  </si>
  <si>
    <t>F/MFY21line21 AugFSK75AR</t>
  </si>
  <si>
    <t>2133F/MFY21line75AR</t>
  </si>
  <si>
    <t>F/MFY21line21 Aug75AR</t>
  </si>
  <si>
    <t>2133T-CON A/DFY21lineFSK</t>
  </si>
  <si>
    <t>2133T-CON A/DFY21lineFSK75AX</t>
  </si>
  <si>
    <t>T-CON A/DFY21line21 AugFSK75AX</t>
  </si>
  <si>
    <t>2133T-CON A/DFY21line75AX</t>
  </si>
  <si>
    <t>T-CON A/DFY21line21 Aug75AX</t>
  </si>
  <si>
    <t>2133F/MFY20lineFSK</t>
  </si>
  <si>
    <t>F/MFY20line21 AugFSK</t>
  </si>
  <si>
    <t>2133F/MFY20lineFSK85NX</t>
  </si>
  <si>
    <t>F/MFY20line21 AugFSK85NX</t>
  </si>
  <si>
    <t>2133F/MFY20line85NX</t>
  </si>
  <si>
    <t>F/MFY20line21 Aug85NX</t>
  </si>
  <si>
    <t>2133O-Cell A/DFY21lineFSK</t>
  </si>
  <si>
    <t>O-Cell A/DFY21line21 AugFSK</t>
  </si>
  <si>
    <t>2133O-Cell A/DFY21lineFSK75AG</t>
  </si>
  <si>
    <t>O-Cell A/DFY21line21 AugFSK75AG</t>
  </si>
  <si>
    <t>2133O-Cell A/DFY21line75AG</t>
  </si>
  <si>
    <t>2133T-CON A/DFY21lineFSK75AG</t>
  </si>
  <si>
    <t>2133T-CON A/DFY21line75AG</t>
  </si>
  <si>
    <t>2133LineFY21lineFSK</t>
  </si>
  <si>
    <t>2133LineFY21lineFSK75AX</t>
  </si>
  <si>
    <t>2133LineFY21line75AX</t>
  </si>
  <si>
    <t>2133DotFY21lineFSK</t>
  </si>
  <si>
    <t>DotFY21line21 AugFSK</t>
  </si>
  <si>
    <t>2133DotFY21lineFSK75AR</t>
  </si>
  <si>
    <t>DotFY21line21 AugFSK75AR</t>
  </si>
  <si>
    <t>2133DotFY21line75AR</t>
  </si>
  <si>
    <t>DotFY21line21 Aug75AR</t>
  </si>
  <si>
    <t>2009AppFY20naINZ</t>
  </si>
  <si>
    <t>AppFY20na20 MarINZ</t>
  </si>
  <si>
    <t>2009AppFY20naINZ55NH</t>
  </si>
  <si>
    <t>AppFY20na20 MarINZ55NH</t>
  </si>
  <si>
    <t>2009AppFY20na55NH</t>
  </si>
  <si>
    <t>AppFY20na20 Mar55NH</t>
  </si>
  <si>
    <t>2009BezelFY20naINZ</t>
  </si>
  <si>
    <t>BezelFY20na20 MarINZ</t>
  </si>
  <si>
    <t>2009BezelFY20naINZ65NH</t>
  </si>
  <si>
    <t>BezelFY20na20 MarINZ65NH</t>
  </si>
  <si>
    <t>2009BezelFY20na65NH</t>
  </si>
  <si>
    <t>BezelFY20na20 Mar65NH</t>
  </si>
  <si>
    <t>2015AppFY20naINZ</t>
  </si>
  <si>
    <t>AppFY20na20 AprINZ</t>
  </si>
  <si>
    <t>2015AppFY20naINZ65NH</t>
  </si>
  <si>
    <t>AppFY20na20 AprINZ65NH</t>
  </si>
  <si>
    <t>2015AppFY20na65NH</t>
  </si>
  <si>
    <t>AppFY20na20 Apr65NH</t>
  </si>
  <si>
    <t>2019T-con A/DFY20lineINZ</t>
  </si>
  <si>
    <t>T-con A/DFY20line20 MayINZ</t>
  </si>
  <si>
    <t>2019T-con A/DFY20lineINZ55NH</t>
  </si>
  <si>
    <t>T-con A/DFY20line20 MayINZ55NH</t>
  </si>
  <si>
    <t>2019T-con A/DFY20line55NH</t>
  </si>
  <si>
    <t>T-con A/DFY20line20 May55NH</t>
  </si>
  <si>
    <t>2023LEDFY20lineINZ</t>
  </si>
  <si>
    <t>LEDFY20line20 JunINZ</t>
  </si>
  <si>
    <t>2023LEDFY20lineINZ55NH</t>
  </si>
  <si>
    <t>LEDFY20line20 JunINZ55NH</t>
  </si>
  <si>
    <t>2023LEDFY20line55NH</t>
  </si>
  <si>
    <t>LEDFY20line20 Jun55NH</t>
  </si>
  <si>
    <t>2034O-Cell A/DFY20lineINZ</t>
  </si>
  <si>
    <t>O-Cell A/DFY20line20 AugINZ</t>
  </si>
  <si>
    <t>2034O-Cell A/DFY20lineINZ65NH</t>
  </si>
  <si>
    <t>O-Cell A/DFY20line20 AugINZ65NH</t>
  </si>
  <si>
    <t>2034O-Cell A/DFY20line65NH</t>
  </si>
  <si>
    <t>O-Cell A/DFY20line20 Aug65NH</t>
  </si>
  <si>
    <t>2040AppFY20lineINZ</t>
  </si>
  <si>
    <t>AppFY20line20 OctINZ</t>
  </si>
  <si>
    <t>2040AppFY20lineINZ55NH</t>
  </si>
  <si>
    <t>AppFY20line20 OctINZ55NH</t>
  </si>
  <si>
    <t>2040AppFY20line55NH</t>
  </si>
  <si>
    <t>AppFY20line20 Oct55NH</t>
  </si>
  <si>
    <t>2049T-con A/DFY20lineINZ</t>
  </si>
  <si>
    <t>T-con A/DFY20line20 DecINZ</t>
  </si>
  <si>
    <t>2049T-con A/DFY20lineINZ55NH</t>
  </si>
  <si>
    <t>T-con A/DFY20line20 DecINZ55NH</t>
  </si>
  <si>
    <t>2049T-con A/DFY20line55NH</t>
  </si>
  <si>
    <t>T-con A/DFY20line20 Dec55NH</t>
  </si>
  <si>
    <t>2052T-con A/DFY20lineINZ</t>
  </si>
  <si>
    <t>2052T-con A/DFY20lineINZ55NH</t>
  </si>
  <si>
    <t>2052T-con A/DFY20line55NH</t>
  </si>
  <si>
    <t>2102LEDFY20lineINZ</t>
  </si>
  <si>
    <t>LEDFY20line21 JanINZ</t>
  </si>
  <si>
    <t>2102LEDFY20lineINZ65NH</t>
  </si>
  <si>
    <t>LEDFY20line21 JanINZ65NH</t>
  </si>
  <si>
    <t>2102LEDFY20line65NH</t>
  </si>
  <si>
    <t>LEDFY20line21 Jan65NH</t>
  </si>
  <si>
    <t>2106T-con A/DFY20lineINZ</t>
  </si>
  <si>
    <t>T-con A/DFY20line21 FebINZ</t>
  </si>
  <si>
    <t>2106T-con A/DFY20lineINZ55NH</t>
  </si>
  <si>
    <t>T-con A/DFY20line21 FebINZ55NH</t>
  </si>
  <si>
    <t>2106T-con A/DFY20line55NH</t>
  </si>
  <si>
    <t>T-con A/DFY20line21 Feb55NH</t>
  </si>
  <si>
    <t>2129LEDFY21lineINZ</t>
  </si>
  <si>
    <t>LEDFY21line21 JulINZ</t>
  </si>
  <si>
    <t>2129LEDFY21lineINZ85AG</t>
  </si>
  <si>
    <t>LEDFY21line21 JulINZ85AG</t>
  </si>
  <si>
    <t>2123-FY21naINZ</t>
  </si>
  <si>
    <t>-FY21na21 JunINZ</t>
  </si>
  <si>
    <t>2123-FY21naINZ75AQ</t>
  </si>
  <si>
    <t>-FY21na21 JunINZ75AQ</t>
  </si>
  <si>
    <t>2123-FY21na75AQ</t>
  </si>
  <si>
    <t>-FY21na21 Jun75AQ</t>
  </si>
  <si>
    <t>2126LineFY21lineINZ</t>
  </si>
  <si>
    <t>LineFY21line21 JunINZ</t>
  </si>
  <si>
    <t>2126LineFY21lineINZ85AQ</t>
  </si>
  <si>
    <t>LineFY21line21 JunINZ85AQ</t>
  </si>
  <si>
    <t>2133-FY21lineINZ</t>
  </si>
  <si>
    <t>-FY21line21 AugINZ</t>
  </si>
  <si>
    <t>2133-FY21lineINZ85AQ</t>
  </si>
  <si>
    <t>-FY21line21 AugINZ85AQ</t>
  </si>
  <si>
    <t>2133-FY21line85AQ</t>
  </si>
  <si>
    <t>-FY21line21 Aug85AQ</t>
  </si>
  <si>
    <t>2125-FY21naINZ</t>
  </si>
  <si>
    <t>2125-FY21naINZ75AG</t>
  </si>
  <si>
    <t>-FY21na21 JunINZ75AG</t>
  </si>
  <si>
    <t>2125-FY21na75AG</t>
  </si>
  <si>
    <t>-FY21na21 Jun75AG</t>
  </si>
  <si>
    <t>2116UniFY21naINZ</t>
  </si>
  <si>
    <t>UniFY21na21 AprINZ</t>
  </si>
  <si>
    <t>2116UniFY21naINZ75AR</t>
  </si>
  <si>
    <t>UniFY21na21 AprINZ75AR</t>
  </si>
  <si>
    <t>2116UniFY21na75AR</t>
  </si>
  <si>
    <t>UniFY21na21 Apr75AR</t>
  </si>
  <si>
    <t>2125-FY21naINZ75AR</t>
  </si>
  <si>
    <t>-FY21na21 JunINZ75AR</t>
  </si>
  <si>
    <t>2125-FY21na75AR</t>
  </si>
  <si>
    <t>-FY21na21 Jun75AR</t>
  </si>
  <si>
    <t>2126-FY21naINZ</t>
  </si>
  <si>
    <t>2126-FY21naINZ75AR</t>
  </si>
  <si>
    <t>2126-FY21na75AR</t>
  </si>
  <si>
    <t>2129LineFY21lineINZ</t>
  </si>
  <si>
    <t>LineFY21line21 JulINZ</t>
  </si>
  <si>
    <t>2129LineFY21lineINZ75AR</t>
  </si>
  <si>
    <t>LineFY21line21 JulINZ75AR</t>
  </si>
  <si>
    <t>2129LineFY21line75AR</t>
  </si>
  <si>
    <t>LineFY21line21 Jul75AR</t>
  </si>
  <si>
    <t>2130T-con A/DFY21lineINZ</t>
  </si>
  <si>
    <t>T-con A/DFY21line21 JulINZ</t>
  </si>
  <si>
    <t>2130T-con A/DFY21lineINZ75AR</t>
  </si>
  <si>
    <t>T-con A/DFY21line21 JulINZ75AR</t>
  </si>
  <si>
    <t>2130T-con A/DFY21line75AR</t>
  </si>
  <si>
    <t>T-con A/DFY21line21 Jul75AR</t>
  </si>
  <si>
    <t>2009AL-FrameFY20lineSOEM</t>
  </si>
  <si>
    <t>AL-FrameFY20line20 MarSOEM</t>
  </si>
  <si>
    <t>2009AL-FrameFY20lineSOEM55NH</t>
  </si>
  <si>
    <t>AL-FrameFY20line20 MarSOEM55NH</t>
  </si>
  <si>
    <t>2009AL-FrameFY20line55NH</t>
  </si>
  <si>
    <t>AL-FrameFY20line20 Mar55NH</t>
  </si>
  <si>
    <t>2009AL-FrameFY20lineSOEM65NH</t>
  </si>
  <si>
    <t>AL-FrameFY20line20 MarSOEM65NH</t>
  </si>
  <si>
    <t>2009AL-FrameFY20line65NH</t>
  </si>
  <si>
    <t>AL-FrameFY20line20 Mar65NH</t>
  </si>
  <si>
    <t>2021F/MFY20lineSOEM</t>
  </si>
  <si>
    <t>F/MFY20line20 MaySOEM</t>
  </si>
  <si>
    <t>2021F/MFY20lineSOEM55NH</t>
  </si>
  <si>
    <t>F/MFY20line20 MaySOEM55NH</t>
  </si>
  <si>
    <t>2021F/MFY20line55NH</t>
  </si>
  <si>
    <t>F/MFY20line20 May55NH</t>
  </si>
  <si>
    <t>2021F/MFY20lineSOEM65NH</t>
  </si>
  <si>
    <t>F/MFY20line20 MaySOEM65NH</t>
  </si>
  <si>
    <t>2021F/MFY20line65NH</t>
  </si>
  <si>
    <t>F/MFY20line20 May65NH</t>
  </si>
  <si>
    <t>2024F/MFY20lineSOEM</t>
  </si>
  <si>
    <t>F/MFY20line20 JunSOEM</t>
  </si>
  <si>
    <t>2024F/MFY20lineSOEM55NH</t>
  </si>
  <si>
    <t>F/MFY20line20 JunSOEM55NH</t>
  </si>
  <si>
    <t>2024F/MFY20line55NH</t>
  </si>
  <si>
    <t>F/MFY20line20 Jun55NH</t>
  </si>
  <si>
    <t>2024F/MFY20lineSOEM65NH</t>
  </si>
  <si>
    <t>F/MFY20line20 JunSOEM65NH</t>
  </si>
  <si>
    <t>2024F/MFY20line65NH</t>
  </si>
  <si>
    <t>F/MFY20line20 Jun65NH</t>
  </si>
  <si>
    <t>2024LineFY20lineSOEM</t>
  </si>
  <si>
    <t>LineFY20line20 JunSOEM</t>
  </si>
  <si>
    <t>2024LineFY20lineSOEM55NH</t>
  </si>
  <si>
    <t>LineFY20line20 JunSOEM55NH</t>
  </si>
  <si>
    <t>2024LineFY20line55NH</t>
  </si>
  <si>
    <t>LineFY20line20 Jun55NH</t>
  </si>
  <si>
    <t>2025P-AppFY20lineSOEM</t>
  </si>
  <si>
    <t>P-AppFY20line20 JunSOEM</t>
  </si>
  <si>
    <t>2025P-AppFY20lineSOEM55NH</t>
  </si>
  <si>
    <t>P-AppFY20line20 JunSOEM55NH</t>
  </si>
  <si>
    <t>2025P-AppFY20line55NH</t>
  </si>
  <si>
    <t>P-AppFY20line20 Jun55NH</t>
  </si>
  <si>
    <t>2025LineFY20lineSOEM</t>
  </si>
  <si>
    <t>2025LineFY20lineSOEM55NH</t>
  </si>
  <si>
    <t>2025LineFY20line55NH</t>
  </si>
  <si>
    <t>2025LEDFY20lineSOEM</t>
  </si>
  <si>
    <t>LEDFY20line20 JunSOEM</t>
  </si>
  <si>
    <t>2025LEDFY20lineSOEM65NH</t>
  </si>
  <si>
    <t>LEDFY20line20 JunSOEM65NH</t>
  </si>
  <si>
    <t>2025LEDFY20line65NH</t>
  </si>
  <si>
    <t>LEDFY20line20 Jun65NH</t>
  </si>
  <si>
    <t>2026LineFY20lineSOEM</t>
  </si>
  <si>
    <t>2026LineFY20lineSOEM55NH</t>
  </si>
  <si>
    <t>2026LineFY20line55NH</t>
  </si>
  <si>
    <t>2026F/MFY20lineSOEM</t>
  </si>
  <si>
    <t>2026F/MFY20lineSOEM65NH</t>
  </si>
  <si>
    <t>2026F/MFY20line65NH</t>
  </si>
  <si>
    <t>2026O-Cell A/DFY20lineSOEM</t>
  </si>
  <si>
    <t>O-Cell A/DFY20line20 JunSOEM</t>
  </si>
  <si>
    <t>2026O-Cell A/DFY20lineSOEM65NH</t>
  </si>
  <si>
    <t>O-Cell A/DFY20line20 JunSOEM65NH</t>
  </si>
  <si>
    <t>2026O-Cell A/DFY20line65NH</t>
  </si>
  <si>
    <t>O-Cell A/DFY20line20 Jun65NH</t>
  </si>
  <si>
    <t>2028T-con A/DFY20lineSOEM</t>
  </si>
  <si>
    <t>T-con A/DFY20line20 JulSOEM</t>
  </si>
  <si>
    <t>2028T-con A/DFY20lineSOEM55NH</t>
  </si>
  <si>
    <t>T-con A/DFY20line20 JulSOEM55NH</t>
  </si>
  <si>
    <t>2028T-con A/DFY20line55NH</t>
  </si>
  <si>
    <t>T-con A/DFY20line20 Jul55NH</t>
  </si>
  <si>
    <t>2028LineFY20lineSOEM</t>
  </si>
  <si>
    <t>LineFY20line20 JulSOEM</t>
  </si>
  <si>
    <t>2028LineFY20lineSOEM55NH</t>
  </si>
  <si>
    <t>LineFY20line20 JulSOEM55NH</t>
  </si>
  <si>
    <t>2028LineFY20line55NH</t>
  </si>
  <si>
    <t>LineFY20line20 Jul55NH</t>
  </si>
  <si>
    <t>2028F/MFY20lineSOEM</t>
  </si>
  <si>
    <t>F/MFY20line20 JulSOEM</t>
  </si>
  <si>
    <t>2028F/MFY20lineSOEM55NH</t>
  </si>
  <si>
    <t>F/MFY20line20 JulSOEM55NH</t>
  </si>
  <si>
    <t>2028F/MFY20line55NH</t>
  </si>
  <si>
    <t>F/MFY20line20 Jul55NH</t>
  </si>
  <si>
    <t>2029F/MFY20lineSOEM</t>
  </si>
  <si>
    <t>2029F/MFY20lineSOEM55NH</t>
  </si>
  <si>
    <t>2029F/MFY20line55NH</t>
  </si>
  <si>
    <t>2029F/MFY20lineSOEM65NH</t>
  </si>
  <si>
    <t>F/MFY20line20 JulSOEM65NH</t>
  </si>
  <si>
    <t>2029F/MFY20line65NH</t>
  </si>
  <si>
    <t>F/MFY20line20 Jul65NH</t>
  </si>
  <si>
    <t>2029T-con A/DFY20lineSOEM</t>
  </si>
  <si>
    <t>2029T-con A/DFY20lineSOEM65NH</t>
  </si>
  <si>
    <t>T-con A/DFY20line20 JulSOEM65NH</t>
  </si>
  <si>
    <t>2029T-con A/DFY20line65NH</t>
  </si>
  <si>
    <t>T-con A/DFY20line20 Jul65NH</t>
  </si>
  <si>
    <t>2031F/MFY20lineSOEM</t>
  </si>
  <si>
    <t>F/MFY20line20 AugSOEM</t>
  </si>
  <si>
    <t>2031F/MFY20lineSOEM65NH</t>
  </si>
  <si>
    <t>F/MFY20line20 AugSOEM65NH</t>
  </si>
  <si>
    <t>2031F/MFY20line65NH</t>
  </si>
  <si>
    <t>F/MFY20line20 Aug65NH</t>
  </si>
  <si>
    <t>2032F/MFY20lineSOEM</t>
  </si>
  <si>
    <t>2032F/MFY20lineSOEM65NH</t>
  </si>
  <si>
    <t>2032F/MFY20line65NH</t>
  </si>
  <si>
    <t>2033F/MFY20lineSOEM</t>
  </si>
  <si>
    <t>2033F/MFY20lineSOEM65NH</t>
  </si>
  <si>
    <t>2033F/MFY20line65NH</t>
  </si>
  <si>
    <t>2033LineFY20lineSOEM</t>
  </si>
  <si>
    <t>LineFY20line20 AugSOEM</t>
  </si>
  <si>
    <t>2033LineFY20lineSOEM55NH</t>
  </si>
  <si>
    <t>LineFY20line20 AugSOEM55NH</t>
  </si>
  <si>
    <t>2033LineFY20line55NH</t>
  </si>
  <si>
    <t>LineFY20line20 Aug55NH</t>
  </si>
  <si>
    <t>2035T-con A/DFY20lineSOEM</t>
  </si>
  <si>
    <t>T-con A/DFY20line20 AugSOEM</t>
  </si>
  <si>
    <t>2035T-con A/DFY20lineSOEM65NH</t>
  </si>
  <si>
    <t>T-con A/DFY20line20 AugSOEM65NH</t>
  </si>
  <si>
    <t>2035T-con A/DFY20line65NH</t>
  </si>
  <si>
    <t>T-con A/DFY20line20 Aug65NH</t>
  </si>
  <si>
    <t>2036LineFY20lineSOEM</t>
  </si>
  <si>
    <t>LineFY20line20 SepSOEM</t>
  </si>
  <si>
    <t>2036LineFY20lineSOEM55NH</t>
  </si>
  <si>
    <t>LineFY20line20 SepSOEM55NH</t>
  </si>
  <si>
    <t>2036LineFY20line55NH</t>
  </si>
  <si>
    <t>LineFY20line20 Sep55NH</t>
  </si>
  <si>
    <t>2036UniFY20lineSOEM</t>
  </si>
  <si>
    <t>UniFY20line20 SepSOEM</t>
  </si>
  <si>
    <t>2036UniFY20lineSOEM65NH</t>
  </si>
  <si>
    <t>UniFY20line20 SepSOEM65NH</t>
  </si>
  <si>
    <t>2036UniFY20line65NH</t>
  </si>
  <si>
    <t>UniFY20line20 Sep65NH</t>
  </si>
  <si>
    <t>2037UniFY20lineSOEM</t>
  </si>
  <si>
    <t>2037UniFY20lineSOEM65NH</t>
  </si>
  <si>
    <t>2037UniFY20line65NH</t>
  </si>
  <si>
    <t>2038LEDFY20lineSOEM</t>
  </si>
  <si>
    <t>LEDFY20line20 SepSOEM</t>
  </si>
  <si>
    <t>2038LEDFY20lineSOEM55NH</t>
  </si>
  <si>
    <t>LEDFY20line20 SepSOEM55NH</t>
  </si>
  <si>
    <t>2038LEDFY20line55NH</t>
  </si>
  <si>
    <t>LEDFY20line20 Sep55NH</t>
  </si>
  <si>
    <t>2039T-con A/DFY20lineSOEM</t>
  </si>
  <si>
    <t>T-con A/DFY20line20 SepSOEM</t>
  </si>
  <si>
    <t>2039T-con A/DFY20lineSOEM55NH</t>
  </si>
  <si>
    <t>T-con A/DFY20line20 SepSOEM55NH</t>
  </si>
  <si>
    <t>2039T-con A/DFY20line55NH</t>
  </si>
  <si>
    <t>T-con A/DFY20line20 Sep55NH</t>
  </si>
  <si>
    <t>2040F/MFY20lineSOEM</t>
  </si>
  <si>
    <t>F/MFY20line20 OctSOEM</t>
  </si>
  <si>
    <t>2040F/MFY20lineSOEM55NH</t>
  </si>
  <si>
    <t>F/MFY20line20 OctSOEM55NH</t>
  </si>
  <si>
    <t>2040F/MFY20line55NH</t>
  </si>
  <si>
    <t>F/MFY20line20 Oct55NH</t>
  </si>
  <si>
    <t>2040O-Cell A/DFY20lineSOEM</t>
  </si>
  <si>
    <t>O-Cell A/DFY20line20 OctSOEM</t>
  </si>
  <si>
    <t>2040O-Cell A/DFY20lineSOEM55NH</t>
  </si>
  <si>
    <t>O-Cell A/DFY20line20 OctSOEM55NH</t>
  </si>
  <si>
    <t>2040O-Cell A/DFY20line55NH</t>
  </si>
  <si>
    <t>O-Cell A/DFY20line20 Oct55NH</t>
  </si>
  <si>
    <t>2041LineFY20lineSOEM</t>
  </si>
  <si>
    <t>LineFY20line20 OctSOEM</t>
  </si>
  <si>
    <t>2041LineFY20lineSOEM55NH</t>
  </si>
  <si>
    <t>LineFY20line20 OctSOEM55NH</t>
  </si>
  <si>
    <t>2041LineFY20line55NH</t>
  </si>
  <si>
    <t>LineFY20line20 Oct55NH</t>
  </si>
  <si>
    <t>2041F/MFY20lineSOEM</t>
  </si>
  <si>
    <t>2041F/MFY20lineSOEM65NH</t>
  </si>
  <si>
    <t>F/MFY20line20 OctSOEM65NH</t>
  </si>
  <si>
    <t>2041F/MFY20line65NH</t>
  </si>
  <si>
    <t>F/MFY20line20 Oct65NH</t>
  </si>
  <si>
    <t>2043F/MFY20lineSOEM</t>
  </si>
  <si>
    <t>2043F/MFY20lineSOEM55NH</t>
  </si>
  <si>
    <t>2043F/MFY20line55NH</t>
  </si>
  <si>
    <t>2049O-Cell A/DFY20lineSOEM</t>
  </si>
  <si>
    <t>O-Cell A/DFY20line20 DecSOEM</t>
  </si>
  <si>
    <t>2049O-Cell A/DFY20lineSOEM65NH</t>
  </si>
  <si>
    <t>O-Cell A/DFY20line20 DecSOEM65NH</t>
  </si>
  <si>
    <t>2049O-Cell A/DFY20line65NH</t>
  </si>
  <si>
    <t>O-Cell A/DFY20line20 Dec65NH</t>
  </si>
  <si>
    <t>2049LEDFY20lineSOEM</t>
  </si>
  <si>
    <t>LEDFY20line20 DecSOEM</t>
  </si>
  <si>
    <t>2049LEDFY20lineSOEM65NH</t>
  </si>
  <si>
    <t>LEDFY20line20 DecSOEM65NH</t>
  </si>
  <si>
    <t>2049LEDFY20line65NH</t>
  </si>
  <si>
    <t>LEDFY20line20 Dec65NH</t>
  </si>
  <si>
    <t>2052LineFY20lineSOEM</t>
  </si>
  <si>
    <t>LineFY20line20 DecSOEM</t>
  </si>
  <si>
    <t>2052LineFY20lineSOEM65NH</t>
  </si>
  <si>
    <t>LineFY20line20 DecSOEM65NH</t>
  </si>
  <si>
    <t>2052LineFY20line65NH</t>
  </si>
  <si>
    <t>LineFY20line20 Dec65NH</t>
  </si>
  <si>
    <t>2101F/MFY20lineSOEM</t>
  </si>
  <si>
    <t>F/MFY20line21 JanSOEM</t>
  </si>
  <si>
    <t>2101F/MFY20lineSOEM65NH</t>
  </si>
  <si>
    <t>F/MFY20line21 JanSOEM65NH</t>
  </si>
  <si>
    <t>2101F/MFY20line65NH</t>
  </si>
  <si>
    <t>2103F/MFY20lineSOEM</t>
  </si>
  <si>
    <t>2103F/MFY20lineSOEM65NH</t>
  </si>
  <si>
    <t>2104O-Cell A/DFY20lineSOEM</t>
  </si>
  <si>
    <t>O-Cell A/DFY20line21 JanSOEM</t>
  </si>
  <si>
    <t>2104O-Cell A/DFY20lineSOEM55NH</t>
  </si>
  <si>
    <t>O-Cell A/DFY20line21 JanSOEM55NH</t>
  </si>
  <si>
    <t>2104O-Cell A/DFY20line55NH</t>
  </si>
  <si>
    <t>O-Cell A/DFY20line21 Jan55NH</t>
  </si>
  <si>
    <t>2106AL-FrameFY20lineSOEM</t>
  </si>
  <si>
    <t>AL-FrameFY20line21 FebSOEM</t>
  </si>
  <si>
    <t>2106AL-FrameFY20lineSOEM65NH</t>
  </si>
  <si>
    <t>AL-FrameFY20line21 FebSOEM65NH</t>
  </si>
  <si>
    <t>2106AL-FrameFY20line65NH</t>
  </si>
  <si>
    <t>AL-FrameFY20line21 Feb65NH</t>
  </si>
  <si>
    <t>2106F/MFY20lineSOEM</t>
  </si>
  <si>
    <t>F/MFY20line21 FebSOEM</t>
  </si>
  <si>
    <t>2106F/MFY20lineSOEM65NH</t>
  </si>
  <si>
    <t>F/MFY20line21 FebSOEM65NH</t>
  </si>
  <si>
    <t>2106F/MFY20line65NH</t>
  </si>
  <si>
    <t>F/MFY20line21 Feb65NH</t>
  </si>
  <si>
    <t>2106P-AppFY20lineSOEM</t>
  </si>
  <si>
    <t>P-AppFY20line21 FebSOEM</t>
  </si>
  <si>
    <t>2106P-AppFY20lineSOEM65NH</t>
  </si>
  <si>
    <t>P-AppFY20line21 FebSOEM65NH</t>
  </si>
  <si>
    <t>2106P-AppFY20line65NH</t>
  </si>
  <si>
    <t>2108T-con A/DFY20lineSOEM</t>
  </si>
  <si>
    <t>T-con A/DFY20line21 FebSOEM</t>
  </si>
  <si>
    <t>2108T-con A/DFY20lineSOEM65NH</t>
  </si>
  <si>
    <t>T-con A/DFY20line21 FebSOEM65NH</t>
  </si>
  <si>
    <t>2108T-con A/DFY20line65NH</t>
  </si>
  <si>
    <t>T-con A/DFY20line21 Feb65NH</t>
  </si>
  <si>
    <t>2109O-Cell A/DFY20lineSOEM</t>
  </si>
  <si>
    <t>O-Cell A/DFY20line21 MarSOEM</t>
  </si>
  <si>
    <t>2109O-Cell A/DFY20lineSOEM65NH</t>
  </si>
  <si>
    <t>O-Cell A/DFY20line21 MarSOEM65NH</t>
  </si>
  <si>
    <t>2109O-Cell A/DFY20line65NH</t>
  </si>
  <si>
    <t>O-Cell A/DFY20line21 Mar65NH</t>
  </si>
  <si>
    <t>2112T-con A/DFY20lineSOEM</t>
  </si>
  <si>
    <t>T-con A/DFY20line21 MarSOEM</t>
  </si>
  <si>
    <t>2112T-con A/DFY20lineSOEM65NH</t>
  </si>
  <si>
    <t>T-con A/DFY20line21 MarSOEM65NH</t>
  </si>
  <si>
    <t>2112T-con A/DFY20line65NH</t>
  </si>
  <si>
    <t>T-con A/DFY20line21 Mar65NH</t>
  </si>
  <si>
    <t>2112F/MFY20lineSOEM</t>
  </si>
  <si>
    <t>F/MFY20line21 MarSOEM</t>
  </si>
  <si>
    <t>2112F/MFY20lineSOEM65NH</t>
  </si>
  <si>
    <t>F/MFY20line21 MarSOEM65NH</t>
  </si>
  <si>
    <t>2112F/MFY20line65NH</t>
  </si>
  <si>
    <t>F/MFY20line21 Mar65NH</t>
  </si>
  <si>
    <t>2113LEDFY20lineSOEM</t>
  </si>
  <si>
    <t>LEDFY20line21 MarSOEM</t>
  </si>
  <si>
    <t>2113LEDFY20lineSOEM65NH</t>
  </si>
  <si>
    <t>LEDFY20line21 MarSOEM65NH</t>
  </si>
  <si>
    <t>2113LEDFY20line65NH</t>
  </si>
  <si>
    <t>LEDFY20line21 Mar65NH</t>
  </si>
  <si>
    <t>2113F/MFY20lineSOEM</t>
  </si>
  <si>
    <t>2113F/MFY20lineSOEM65NH</t>
  </si>
  <si>
    <t>2113F/MFY20line65NH</t>
  </si>
  <si>
    <t>2115BLUFY20lineSOEM</t>
  </si>
  <si>
    <t>BLUFY20line21 AprSOEM</t>
  </si>
  <si>
    <t>2115BLUFY20lineSOEM65NH</t>
  </si>
  <si>
    <t>BLUFY20line21 AprSOEM65NH</t>
  </si>
  <si>
    <t>2115BLUFY20line65NH</t>
  </si>
  <si>
    <t>BLUFY20line21 Apr65NH</t>
  </si>
  <si>
    <t>2115LineFY20lineSOEM</t>
  </si>
  <si>
    <t>LineFY20line21 AprSOEM</t>
  </si>
  <si>
    <t>2115LineFY20lineSOEM65NH</t>
  </si>
  <si>
    <t>LineFY20line21 AprSOEM65NH</t>
  </si>
  <si>
    <t>2115LineFY20line65NH</t>
  </si>
  <si>
    <t>LineFY20line21 Apr65NH</t>
  </si>
  <si>
    <t>2125LineFY20lineSOEM</t>
  </si>
  <si>
    <t>LineFY20line21 JunSOEM</t>
  </si>
  <si>
    <t>2125LineFY20lineSOEM65NH</t>
  </si>
  <si>
    <t>LineFY20line21 JunSOEM65NH</t>
  </si>
  <si>
    <t>2125LineFY20line65NH</t>
  </si>
  <si>
    <t>LineFY20line21 Jun65NH</t>
  </si>
  <si>
    <t>2022LEDFY20lineSOEM</t>
  </si>
  <si>
    <t>2022LEDFY20lineSOEM85NB</t>
  </si>
  <si>
    <t>LEDFY20line20 JunSOEM85NB</t>
  </si>
  <si>
    <t>2022LEDFY20line85NB</t>
  </si>
  <si>
    <t>LEDFY20line20 Jun85NB</t>
  </si>
  <si>
    <t>2030F/MFY20lineSOEM</t>
  </si>
  <si>
    <t>2030F/MFY20lineSOEM85NB</t>
  </si>
  <si>
    <t>F/MFY20line20 JulSOEM85NB</t>
  </si>
  <si>
    <t>2030F/MFY20line85NB</t>
  </si>
  <si>
    <t>F/MFY20line20 Jul85NB</t>
  </si>
  <si>
    <t>2030UniFY20lineSOEM</t>
  </si>
  <si>
    <t>UniFY20line20 JulSOEM</t>
  </si>
  <si>
    <t>2030UniFY20lineSOEM85NB</t>
  </si>
  <si>
    <t>UniFY20line20 JulSOEM85NB</t>
  </si>
  <si>
    <t>2030UniFY20line85NB</t>
  </si>
  <si>
    <t>UniFY20line20 Jul85NB</t>
  </si>
  <si>
    <t>2032LEDFY20lineSOEM</t>
  </si>
  <si>
    <t>LEDFY20line20 AugSOEM</t>
  </si>
  <si>
    <t>2032LEDFY20lineSOEM85NB</t>
  </si>
  <si>
    <t>LEDFY20line20 AugSOEM85NB</t>
  </si>
  <si>
    <t>2032LEDFY20line85NB</t>
  </si>
  <si>
    <t>LEDFY20line20 Aug85NB</t>
  </si>
  <si>
    <t>2034UniFY20lineSOEM</t>
  </si>
  <si>
    <t>UniFY20line20 AugSOEM</t>
  </si>
  <si>
    <t>2034UniFY20lineSOEM85NB</t>
  </si>
  <si>
    <t>UniFY20line20 AugSOEM85NB</t>
  </si>
  <si>
    <t>2034UniFY20line85NB</t>
  </si>
  <si>
    <t>UniFY20line20 Aug85NB</t>
  </si>
  <si>
    <t>2034LineFY20lineSOEM</t>
  </si>
  <si>
    <t>2034LineFY20lineSOEM85NB</t>
  </si>
  <si>
    <t>LineFY20line20 AugSOEM85NB</t>
  </si>
  <si>
    <t>2034LineFY20line85NB</t>
  </si>
  <si>
    <t>LineFY20line20 Aug85NB</t>
  </si>
  <si>
    <t>2036LineFY20lineSOEM85NB</t>
  </si>
  <si>
    <t>LineFY20line20 SepSOEM85NB</t>
  </si>
  <si>
    <t>2036LineFY20line85NB</t>
  </si>
  <si>
    <t>LineFY20line20 Sep85NB</t>
  </si>
  <si>
    <t>2038F/MFY20lineSOEM</t>
  </si>
  <si>
    <t>F/MFY20line20 SepSOEM</t>
  </si>
  <si>
    <t>2038F/MFY20lineSOEM85NB</t>
  </si>
  <si>
    <t>F/MFY20line20 SepSOEM85NB</t>
  </si>
  <si>
    <t>2038F/MFY20line85NB</t>
  </si>
  <si>
    <t>F/MFY20line20 Sep85NB</t>
  </si>
  <si>
    <t>2038LineFY20lineSOEM</t>
  </si>
  <si>
    <t>2038LineFY20lineSOEM85NB</t>
  </si>
  <si>
    <t>2038LineFY20line85NB</t>
  </si>
  <si>
    <t>2049LineFY20lineSOEM</t>
  </si>
  <si>
    <t>2049LineFY20lineSOEM85NB</t>
  </si>
  <si>
    <t>LineFY20line20 DecSOEM85NB</t>
  </si>
  <si>
    <t>2049LineFY20line85NB</t>
  </si>
  <si>
    <t>LineFY20line20 Dec85NB</t>
  </si>
  <si>
    <t>2051O-Cell A/DFY20lineSOEM</t>
  </si>
  <si>
    <t>2051O-Cell A/DFY20lineSOEM85NB</t>
  </si>
  <si>
    <t>O-Cell A/DFY20line20 DecSOEM85NB</t>
  </si>
  <si>
    <t>2051O-Cell A/DFY20line85NB</t>
  </si>
  <si>
    <t>O-Cell A/DFY20line20 Dec85NB</t>
  </si>
  <si>
    <t>2051T-con A/DFY20lineSOEM</t>
  </si>
  <si>
    <t>T-con A/DFY20line20 DecSOEM</t>
  </si>
  <si>
    <t>2051T-con A/DFY20lineSOEM85NB</t>
  </si>
  <si>
    <t>T-con A/DFY20line20 DecSOEM85NB</t>
  </si>
  <si>
    <t>2051T-con A/DFY20line85NB</t>
  </si>
  <si>
    <t>T-con A/DFY20line20 Dec85NB</t>
  </si>
  <si>
    <t>2112LEDFY20lineSOEM</t>
  </si>
  <si>
    <t>2112LEDFY20lineSOEM85NB</t>
  </si>
  <si>
    <t>LEDFY20line21 MarSOEM85NB</t>
  </si>
  <si>
    <t>2112LEDFY20line85NB</t>
  </si>
  <si>
    <t>LEDFY20line21 Mar85NB</t>
  </si>
  <si>
    <t>2113T-con A/DFY20lineSOEM</t>
  </si>
  <si>
    <t>2113T-con A/DFY20lineSOEM85NB</t>
  </si>
  <si>
    <t>T-con A/DFY20line21 MarSOEM85NB</t>
  </si>
  <si>
    <t>2113T-con A/DFY20line85NB</t>
  </si>
  <si>
    <t>T-con A/DFY20line21 Mar85NB</t>
  </si>
  <si>
    <t>2121LineFY20lineSOEM</t>
  </si>
  <si>
    <t>LineFY20line21 MaySOEM</t>
  </si>
  <si>
    <t>2121LineFY20lineSOEM85NB</t>
  </si>
  <si>
    <t>LineFY20line21 MaySOEM85NB</t>
  </si>
  <si>
    <t>2121LineFY20line85NB</t>
  </si>
  <si>
    <t>LineFY20line21 May85NB</t>
  </si>
  <si>
    <t>2031UniFY20lineSOEM</t>
  </si>
  <si>
    <t>2031UniFY20lineSOEM85NXB</t>
  </si>
  <si>
    <t>UniFY20line20 AugSOEM85NXB</t>
  </si>
  <si>
    <t>2031UniFY20line85NXB</t>
  </si>
  <si>
    <t>UniFY20line20 Aug85NXB</t>
  </si>
  <si>
    <t>2032UniFY20lineSOEM</t>
  </si>
  <si>
    <t>2032UniFY20lineSOEM85NX</t>
  </si>
  <si>
    <t>UniFY20line20 AugSOEM85NX</t>
  </si>
  <si>
    <t>2032UniFY20line85NX</t>
  </si>
  <si>
    <t>UniFY20line20 Aug85NX</t>
  </si>
  <si>
    <t>2032LineFY20lineSOEM</t>
  </si>
  <si>
    <t>2032LineFY20lineSOEM85NX</t>
  </si>
  <si>
    <t>LineFY20line20 AugSOEM85NX</t>
  </si>
  <si>
    <t>2032LineFY20line85NX</t>
  </si>
  <si>
    <t>LineFY20line20 Aug85NX</t>
  </si>
  <si>
    <t>2033LineFY20lineSOEM85NX</t>
  </si>
  <si>
    <t>2033LineFY20line85NX</t>
  </si>
  <si>
    <t>2033T-con A/DFY20lineSOEM</t>
  </si>
  <si>
    <t>2033T-con A/DFY20lineSOEM85NX</t>
  </si>
  <si>
    <t>T-con A/DFY20line20 AugSOEM85NX</t>
  </si>
  <si>
    <t>2033T-con A/DFY20line85NX</t>
  </si>
  <si>
    <t>T-con A/DFY20line20 Aug85NX</t>
  </si>
  <si>
    <t>2034LineFY20lineSOEM85NX</t>
  </si>
  <si>
    <t>2034LineFY20line85NX</t>
  </si>
  <si>
    <t>2034BLUFY20lineSOEM</t>
  </si>
  <si>
    <t>BLUFY20line20 AugSOEM</t>
  </si>
  <si>
    <t>2034BLUFY20lineSOEM85NX</t>
  </si>
  <si>
    <t>BLUFY20line20 AugSOEM85NX</t>
  </si>
  <si>
    <t>2034BLUFY20line85NX</t>
  </si>
  <si>
    <t>BLUFY20line20 Aug85NX</t>
  </si>
  <si>
    <t>2035LineFY20lineSOEM</t>
  </si>
  <si>
    <t>2035LineFY20lineSOEM85NX</t>
  </si>
  <si>
    <t>2035LineFY20line85NX</t>
  </si>
  <si>
    <t>2037F/MFY20lineSOEM</t>
  </si>
  <si>
    <t>2037F/MFY20lineSOEM85NX</t>
  </si>
  <si>
    <t>F/MFY20line20 SepSOEM85NX</t>
  </si>
  <si>
    <t>2037F/MFY20line85NX</t>
  </si>
  <si>
    <t>F/MFY20line20 Sep85NX</t>
  </si>
  <si>
    <t>2042LineFY20lineSOEM</t>
  </si>
  <si>
    <t>2042LineFY20lineSOEM85NX</t>
  </si>
  <si>
    <t>LineFY20line20 OctSOEM85NX</t>
  </si>
  <si>
    <t>2042LineFY20line85NX</t>
  </si>
  <si>
    <t>LineFY20line20 Oct85NX</t>
  </si>
  <si>
    <t>2043LEDFY20lineSOEM</t>
  </si>
  <si>
    <t>LEDFY20line20 OctSOEM</t>
  </si>
  <si>
    <t>2043LEDFY20lineSOEM85NX</t>
  </si>
  <si>
    <t>LEDFY20line20 OctSOEM85NX</t>
  </si>
  <si>
    <t>2043LEDFY20line85NX</t>
  </si>
  <si>
    <t>LEDFY20line20 Oct85NX</t>
  </si>
  <si>
    <t>2102BLUFY20lineSOEM</t>
  </si>
  <si>
    <t>BLUFY20line21 JanSOEM</t>
  </si>
  <si>
    <t>2102BLUFY20lineSOEM85NX</t>
  </si>
  <si>
    <t>BLUFY20line21 JanSOEM85NX</t>
  </si>
  <si>
    <t>2102BLUFY20line85NX</t>
  </si>
  <si>
    <t>BLUFY20line21 Jan85NX</t>
  </si>
  <si>
    <t>2102LEDFY20lineSOEM</t>
  </si>
  <si>
    <t>LEDFY20line21 JanSOEM</t>
  </si>
  <si>
    <t>2102LEDFY20lineSOEM85NX</t>
  </si>
  <si>
    <t>LEDFY20line21 JanSOEM85NX</t>
  </si>
  <si>
    <t>2102LEDFY20line85NX</t>
  </si>
  <si>
    <t>LEDFY20line21 Jan85NX</t>
  </si>
  <si>
    <t>2102LineFY20lineSOEM</t>
  </si>
  <si>
    <t>LineFY20line21 JanSOEM</t>
  </si>
  <si>
    <t>2102LineFY20lineSOEM85NX</t>
  </si>
  <si>
    <t>LineFY20line21 JanSOEM85NX</t>
  </si>
  <si>
    <t>2102LineFY20line85NX</t>
  </si>
  <si>
    <t>LineFY20line21 Jan85NX</t>
  </si>
  <si>
    <t>2108LineFY20lineSOEM</t>
  </si>
  <si>
    <t>LineFY20line21 FebSOEM</t>
  </si>
  <si>
    <t>2108LineFY20lineSOEM85NX</t>
  </si>
  <si>
    <t>LineFY20line21 FebSOEM85NX</t>
  </si>
  <si>
    <t>2108LineFY20line85NX</t>
  </si>
  <si>
    <t>LineFY20line21 Feb85NX</t>
  </si>
  <si>
    <t>2108LEDFY20lineSOEM</t>
  </si>
  <si>
    <t>LEDFY20line21 FebSOEM</t>
  </si>
  <si>
    <t>2108LEDFY20lineSOEM85NX</t>
  </si>
  <si>
    <t>LEDFY20line21 FebSOEM85NX</t>
  </si>
  <si>
    <t>2108LEDFY20line85NX</t>
  </si>
  <si>
    <t>LEDFY20line21 Feb85NX</t>
  </si>
  <si>
    <t>2108T-con A/DFY20lineSOEM85NX</t>
  </si>
  <si>
    <t>T-con A/DFY20line21 FebSOEM85NX</t>
  </si>
  <si>
    <t>2108T-con A/DFY20line85NX</t>
  </si>
  <si>
    <t>T-con A/DFY20line21 Feb85NX</t>
  </si>
  <si>
    <t>2111T-con A/DFY20lineSOEM</t>
  </si>
  <si>
    <t>2111T-con A/DFY20lineSOEM85NX</t>
  </si>
  <si>
    <t>T-con A/DFY20line21 MarSOEM85NX</t>
  </si>
  <si>
    <t>2111T-con A/DFY20line85NX</t>
  </si>
  <si>
    <t>T-con A/DFY20line21 Mar85NX</t>
  </si>
  <si>
    <t>2113AppFY20lineSOEM</t>
  </si>
  <si>
    <t>AppFY20line21 MarSOEM</t>
  </si>
  <si>
    <t>2113AppFY20lineSOEM85NX</t>
  </si>
  <si>
    <t>AppFY20line21 MarSOEM85NX</t>
  </si>
  <si>
    <t>2113AppFY20line85NX</t>
  </si>
  <si>
    <t>AppFY20line21 Mar85NX</t>
  </si>
  <si>
    <t>2118BLUFY20lineSOEM</t>
  </si>
  <si>
    <t>BLUFY20line21 MaySOEM</t>
  </si>
  <si>
    <t>2118BLUFY20lineSOEM85NX</t>
  </si>
  <si>
    <t>BLUFY20line21 MaySOEM85NX</t>
  </si>
  <si>
    <t>2122AppFY20lineSOEM</t>
  </si>
  <si>
    <t>AppFY20line21 MaySOEM</t>
  </si>
  <si>
    <t>2122AppFY20lineSOEM85NX</t>
  </si>
  <si>
    <t>AppFY20line21 MaySOEM85NX</t>
  </si>
  <si>
    <t>2122AppFY20line85NX</t>
  </si>
  <si>
    <t>AppFY20line21 May85NX</t>
  </si>
  <si>
    <t>2122AppFY20lineSOEM85NXB</t>
  </si>
  <si>
    <t>AppFY20line21 MaySOEM85NXB</t>
  </si>
  <si>
    <t>2122AppFY20line85NXB</t>
  </si>
  <si>
    <t>AppFY20line21 May85NXB</t>
  </si>
  <si>
    <t>2130LineFY20lineSOEM</t>
  </si>
  <si>
    <t>LineFY20line21 JulSOEM</t>
  </si>
  <si>
    <t>2130LineFY20lineSOEM85NX</t>
  </si>
  <si>
    <t>LineFY20line21 JulSOEM85NX</t>
  </si>
  <si>
    <t>2130LineFY20line85NX</t>
  </si>
  <si>
    <t>LineFY20line21 Jul85NX</t>
  </si>
  <si>
    <t>2129F/MFY21lineSOEM</t>
  </si>
  <si>
    <t>F/MFY21line21 JulSOEM</t>
  </si>
  <si>
    <t>2129F/MFY21lineSOEM65AG</t>
  </si>
  <si>
    <t>F/MFY21line21 JulSOEM65AG</t>
  </si>
  <si>
    <t>2129F/MFY21line65AG</t>
  </si>
  <si>
    <t>F/MFY21line21 Jul65AG</t>
  </si>
  <si>
    <t>2121AppFY21lineSOEM</t>
  </si>
  <si>
    <t>AppFY21line21 MaySOEM</t>
  </si>
  <si>
    <t>2121AppFY21lineSOEM85AG</t>
  </si>
  <si>
    <t>AppFY21line21 MaySOEM85AG</t>
  </si>
  <si>
    <t>2121AppFY21line85AG</t>
  </si>
  <si>
    <t>AppFY21line21 May85AG</t>
  </si>
  <si>
    <t>2125LineFY21lineSOEM</t>
  </si>
  <si>
    <t>LineFY21line21 JunSOEM</t>
  </si>
  <si>
    <t>2125LineFY21lineSOEM85AG</t>
  </si>
  <si>
    <t>LineFY21line21 JunSOEM85AG</t>
  </si>
  <si>
    <t>2125LineFY21line85AG</t>
  </si>
  <si>
    <t>LineFY21line21 Jun85AG</t>
  </si>
  <si>
    <t>2130F/MFY21lineSOEM</t>
  </si>
  <si>
    <t>2130F/MFY21lineSOEM85AG</t>
  </si>
  <si>
    <t>F/MFY21line21 JulSOEM85AG</t>
  </si>
  <si>
    <t>2130F/MFY21line85AG</t>
  </si>
  <si>
    <t>F/MFY21line21 Jul85AG</t>
  </si>
  <si>
    <t>2130T-con A/DFY21lineSOEM</t>
  </si>
  <si>
    <t>T-con A/DFY21line21 JulSOEM</t>
  </si>
  <si>
    <t>2130T-con A/DFY21lineSOEM85AG</t>
  </si>
  <si>
    <t>T-con A/DFY21line21 JulSOEM85AG</t>
  </si>
  <si>
    <t>2130T-con A/DFY21line85AG</t>
  </si>
  <si>
    <t>T-con A/DFY21line21 Jul85AG</t>
  </si>
  <si>
    <t>2131LineFY21lineSOEM</t>
  </si>
  <si>
    <t>LineFY21line21 AugSOEM</t>
  </si>
  <si>
    <t>2131LineFY21lineSOEM85AG</t>
  </si>
  <si>
    <t>LineFY21line21 AugSOEM85AG</t>
  </si>
  <si>
    <t>2131LineFY21line85AG</t>
  </si>
  <si>
    <t>LineFY21line21 Aug85AG</t>
  </si>
  <si>
    <t>2131AppFY21lineSOEM</t>
  </si>
  <si>
    <t>AppFY21line21 AugSOEM</t>
  </si>
  <si>
    <t>2131AppFY21lineSOEM85AG</t>
  </si>
  <si>
    <t>AppFY21line21 AugSOEM85AG</t>
  </si>
  <si>
    <t>2131AppFY21line85AG</t>
  </si>
  <si>
    <t>AppFY21line21 Aug85AG</t>
  </si>
  <si>
    <t>2115BezelFY21lineSOEM</t>
  </si>
  <si>
    <t>BezelFY21line21 AprSOEM</t>
  </si>
  <si>
    <t>2115BezelFY21lineSOEM85AX</t>
  </si>
  <si>
    <t>BezelFY21line21 AprSOEM85AX</t>
  </si>
  <si>
    <t>2115BezelFY21line85AX</t>
  </si>
  <si>
    <t>BezelFY21line21 Apr85AX</t>
  </si>
  <si>
    <t>2115AppFY21lineSOEM</t>
  </si>
  <si>
    <t>AppFY21line21 AprSOEM</t>
  </si>
  <si>
    <t>2115AppFY21lineSOEM85AX</t>
  </si>
  <si>
    <t>AppFY21line21 AprSOEM85AX</t>
  </si>
  <si>
    <t>2115AppFY21line85AX</t>
  </si>
  <si>
    <t>AppFY21line21 Apr85AX</t>
  </si>
  <si>
    <t>2118UniFY21lineSOEM</t>
  </si>
  <si>
    <t>UniFY21line21 MaySOEM</t>
  </si>
  <si>
    <t>2118UniFY21lineSOEM85AX</t>
  </si>
  <si>
    <t>UniFY21line21 MaySOEM85AX</t>
  </si>
  <si>
    <t>2118UniFY21line85AX</t>
  </si>
  <si>
    <t>UniFY21line21 May85AX</t>
  </si>
  <si>
    <t>2122F/MFY21lineSOEM</t>
  </si>
  <si>
    <t>F/MFY21line21 MaySOEM</t>
  </si>
  <si>
    <t>2122F/MFY21lineSOEM85AX</t>
  </si>
  <si>
    <t>F/MFY21line21 MaySOEM85AX</t>
  </si>
  <si>
    <t>2122F/MFY21line85AX</t>
  </si>
  <si>
    <t>F/MFY21line21 May85AX</t>
  </si>
  <si>
    <t>2122UniFY21lineSOEM</t>
  </si>
  <si>
    <t>2122UniFY21lineSOEM85AX</t>
  </si>
  <si>
    <t>2122UniFY21line85AX</t>
  </si>
  <si>
    <t>2122PolFY21lineSOEM</t>
  </si>
  <si>
    <t>PolFY21line21 MaySOEM</t>
  </si>
  <si>
    <t>2122PolFY21lineSOEM85AX</t>
  </si>
  <si>
    <t>PolFY21line21 MaySOEM85AX</t>
  </si>
  <si>
    <t>2122PolFY21line85AX</t>
  </si>
  <si>
    <t>PolFY21line21 May85AX</t>
  </si>
  <si>
    <t>2122LineFY21lineSOEM</t>
  </si>
  <si>
    <t>LineFY21line21 MaySOEM</t>
  </si>
  <si>
    <t>2122LineFY21lineSOEM85AX</t>
  </si>
  <si>
    <t>LineFY21line21 MaySOEM85AX</t>
  </si>
  <si>
    <t>2122LineFY21line85AX</t>
  </si>
  <si>
    <t>LineFY21line21 May85AX</t>
  </si>
  <si>
    <t>2126LEDFY21lineSOEM</t>
  </si>
  <si>
    <t>LEDFY21line21 JunSOEM</t>
  </si>
  <si>
    <t>2126LEDFY21lineSOEM85AX</t>
  </si>
  <si>
    <t>LEDFY21line21 JunSOEM85AX</t>
  </si>
  <si>
    <t>2126LEDFY21line85AX</t>
  </si>
  <si>
    <t>LEDFY21line21 Jun85AX</t>
  </si>
  <si>
    <t>2126BLUFY21lineSOEM</t>
  </si>
  <si>
    <t>BLUFY21line21 JunSOEM</t>
  </si>
  <si>
    <t>2126BLUFY21lineSOEM85AX</t>
  </si>
  <si>
    <t>BLUFY21line21 JunSOEM85AX</t>
  </si>
  <si>
    <t>2126BLUFY21line85AX</t>
  </si>
  <si>
    <t>BLUFY21line21 Jun85AX</t>
  </si>
  <si>
    <t>2133LEDFY21lineSOEM</t>
  </si>
  <si>
    <t>LEDFY21line21 AugSOEM</t>
  </si>
  <si>
    <t>2133LEDFY21lineSOEM85AX</t>
  </si>
  <si>
    <t>LEDFY21line21 AugSOEM85AX</t>
  </si>
  <si>
    <t>2133LEDFY21line85AX</t>
  </si>
  <si>
    <t>LEDFY21line21 Aug85AX</t>
  </si>
  <si>
    <t>2037LineFY20lineSOEM</t>
  </si>
  <si>
    <t>2037LineFY20lineSOEM75NB</t>
  </si>
  <si>
    <t>LineFY20line20 SepSOEM75NB</t>
  </si>
  <si>
    <t>2037LineFY20line75NB</t>
  </si>
  <si>
    <t>LineFY20line20 Sep75NB</t>
  </si>
  <si>
    <t>2038LineFY20lineSOEM75NB</t>
  </si>
  <si>
    <t>2038LineFY20line75NB</t>
  </si>
  <si>
    <t>2040LineFY20lineSOEM</t>
  </si>
  <si>
    <t>2040LineFY20lineSOEM75NB</t>
  </si>
  <si>
    <t>LineFY20line20 OctSOEM75NB</t>
  </si>
  <si>
    <t>2040LineFY20line75NB</t>
  </si>
  <si>
    <t>LineFY20line20 Oct75NB</t>
  </si>
  <si>
    <t>2040O-Cell A/DFY20lineSOEM75NB</t>
  </si>
  <si>
    <t>O-Cell A/DFY20line20 OctSOEM75NB</t>
  </si>
  <si>
    <t>2040O-Cell A/DFY20line75NB</t>
  </si>
  <si>
    <t>O-Cell A/DFY20line20 Oct75NB</t>
  </si>
  <si>
    <t>2041LEDFY20lineSOEM</t>
  </si>
  <si>
    <t>2041LEDFY20lineSOEM75NB</t>
  </si>
  <si>
    <t>LEDFY20line20 OctSOEM75NB</t>
  </si>
  <si>
    <t>2041LEDFY20line75NB</t>
  </si>
  <si>
    <t>LEDFY20line20 Oct75NB</t>
  </si>
  <si>
    <t>2041LineFY20lineSOEM75NB</t>
  </si>
  <si>
    <t>2041LineFY20line75NB</t>
  </si>
  <si>
    <t>2041O-Cell A/DFY20lineSOEM</t>
  </si>
  <si>
    <t>2041O-Cell A/DFY20lineSOEM75NB</t>
  </si>
  <si>
    <t>2041O-Cell A/DFY20line75NB</t>
  </si>
  <si>
    <t>2044LineFY20lineSOEM</t>
  </si>
  <si>
    <t>LineFY20line20 NovSOEM</t>
  </si>
  <si>
    <t>2044LineFY20lineSOEM75NB</t>
  </si>
  <si>
    <t>LineFY20line20 NovSOEM75NB</t>
  </si>
  <si>
    <t>2044LineFY20line75NB</t>
  </si>
  <si>
    <t>LineFY20line20 Nov75NB</t>
  </si>
  <si>
    <t>2044BLUFY20lineSOEM</t>
  </si>
  <si>
    <t>BLUFY20line20 NovSOEM</t>
  </si>
  <si>
    <t>2044BLUFY20lineSOEM75NB</t>
  </si>
  <si>
    <t>BLUFY20line20 NovSOEM75NB</t>
  </si>
  <si>
    <t>2044BLUFY20line75NB</t>
  </si>
  <si>
    <t>BLUFY20line20 Nov75NB</t>
  </si>
  <si>
    <t>2049UniFY20lineSOEM</t>
  </si>
  <si>
    <t>UniFY20line20 DecSOEM</t>
  </si>
  <si>
    <t>2049UniFY20lineSOEM75NB</t>
  </si>
  <si>
    <t>UniFY20line20 DecSOEM75NB</t>
  </si>
  <si>
    <t>2049UniFY20line75NB</t>
  </si>
  <si>
    <t>UniFY20line20 Dec75NB</t>
  </si>
  <si>
    <t>2101LineFY20lineSOEM</t>
  </si>
  <si>
    <t>2101LineFY20lineSOEM75NB</t>
  </si>
  <si>
    <t>LineFY20line21 JanSOEM75NB</t>
  </si>
  <si>
    <t>2101LineFY20line75NB</t>
  </si>
  <si>
    <t>2101LEDFY20lineSOEM</t>
  </si>
  <si>
    <t>2101LEDFY20lineSOEM75NB</t>
  </si>
  <si>
    <t>LEDFY20line21 JanSOEM75NB</t>
  </si>
  <si>
    <t>2101LEDFY20line75NB</t>
  </si>
  <si>
    <t>2102LEDFY20lineSOEM75NB</t>
  </si>
  <si>
    <t>2102LEDFY20line75NB</t>
  </si>
  <si>
    <t>2102LineFY20lineSOEM75NB</t>
  </si>
  <si>
    <t>2105LineFY20lineSOEM</t>
  </si>
  <si>
    <t>2105LineFY20lineSOEM75NB</t>
  </si>
  <si>
    <t>LineFY20line21 FebSOEM75NB</t>
  </si>
  <si>
    <t>2105LineFY20line75NB</t>
  </si>
  <si>
    <t>LineFY20line21 Feb75NB</t>
  </si>
  <si>
    <t>2105O-Cell A/DFY20lineSOEM</t>
  </si>
  <si>
    <t>O-Cell A/DFY20line21 FebSOEM</t>
  </si>
  <si>
    <t>2105O-Cell A/DFY20lineSOEM75NB</t>
  </si>
  <si>
    <t>O-Cell A/DFY20line21 FebSOEM75NB</t>
  </si>
  <si>
    <t>2105O-Cell A/DFY20line75NB</t>
  </si>
  <si>
    <t>O-Cell A/DFY20line21 Feb75NB</t>
  </si>
  <si>
    <t>2106LEDFY20lineSOEM</t>
  </si>
  <si>
    <t>2106LEDFY20lineSOEM75NB</t>
  </si>
  <si>
    <t>LEDFY20line21 FebSOEM75NB</t>
  </si>
  <si>
    <t>2106LEDFY20line75NB</t>
  </si>
  <si>
    <t>LEDFY20line21 Feb75NB</t>
  </si>
  <si>
    <t>2109BLUFY20lineSOEM</t>
  </si>
  <si>
    <t>BLUFY20line21 MarSOEM</t>
  </si>
  <si>
    <t>2109BLUFY20lineSOEM75NB</t>
  </si>
  <si>
    <t>BLUFY20line21 MarSOEM75NB</t>
  </si>
  <si>
    <t>2109BLUFY20line75NB</t>
  </si>
  <si>
    <t>BLUFY20line21 Mar75NB</t>
  </si>
  <si>
    <t>2113LineFY20lineSOEM</t>
  </si>
  <si>
    <t>LineFY20line21 MarSOEM</t>
  </si>
  <si>
    <t>2113LineFY20lineSOEM75NB</t>
  </si>
  <si>
    <t>LineFY20line21 MarSOEM75NB</t>
  </si>
  <si>
    <t>2113LineFY20line75NB</t>
  </si>
  <si>
    <t>2113AppFY20lineSOEM75NB</t>
  </si>
  <si>
    <t>AppFY20line21 MarSOEM75NB</t>
  </si>
  <si>
    <t>2113AppFY20line75NB</t>
  </si>
  <si>
    <t>AppFY20line21 Mar75NB</t>
  </si>
  <si>
    <t>2114F/MFY21lineSOEM</t>
  </si>
  <si>
    <t>F/MFY21line21 AprSOEM</t>
  </si>
  <si>
    <t>2114F/MFY21lineSOEM75APH</t>
  </si>
  <si>
    <t>F/MFY21line21 AprSOEM75APH</t>
  </si>
  <si>
    <t>2114F/MFY21line75APH</t>
  </si>
  <si>
    <t>F/MFY21line21 Apr75APH</t>
  </si>
  <si>
    <t>2115LEDFY21lineSOEM</t>
  </si>
  <si>
    <t>LEDFY21line21 AprSOEM</t>
  </si>
  <si>
    <t>2115LEDFY21lineSOEM75APH</t>
  </si>
  <si>
    <t>LEDFY21line21 AprSOEM75APH</t>
  </si>
  <si>
    <t>2115LEDFY21line75APH</t>
  </si>
  <si>
    <t>LEDFY21line21 Apr75APH</t>
  </si>
  <si>
    <t>2115LineFY21lineSOEM</t>
  </si>
  <si>
    <t>LineFY21line21 AprSOEM</t>
  </si>
  <si>
    <t>2115LineFY21lineSOEM75APH</t>
  </si>
  <si>
    <t>LineFY21line21 AprSOEM75APH</t>
  </si>
  <si>
    <t>2115LineFY21line75APH</t>
  </si>
  <si>
    <t>LineFY21line21 Apr75APH</t>
  </si>
  <si>
    <t>2116LineFY21lineSOEM</t>
  </si>
  <si>
    <t>2116LineFY21lineSOEM75APH</t>
  </si>
  <si>
    <t>2116LineFY21line75APH</t>
  </si>
  <si>
    <t>2117PolFY21lineSOEM</t>
  </si>
  <si>
    <t>PolFY21line21 AprSOEM</t>
  </si>
  <si>
    <t>2117PolFY21lineSOEM75APH</t>
  </si>
  <si>
    <t>PolFY21line21 AprSOEM75APH</t>
  </si>
  <si>
    <t>2117PolFY21line75APH</t>
  </si>
  <si>
    <t>PolFY21line21 Apr75APH</t>
  </si>
  <si>
    <t>2117LineFY21lineSOEM</t>
  </si>
  <si>
    <t>2117LineFY21lineSOEM75APH</t>
  </si>
  <si>
    <t>2117LineFY21line75APH</t>
  </si>
  <si>
    <t>2117F/MFY21lineSOEM</t>
  </si>
  <si>
    <t>2117F/MFY21lineSOEM75APH</t>
  </si>
  <si>
    <t>2117F/MFY21line75APH</t>
  </si>
  <si>
    <t>2118AppFY21lineSOEM</t>
  </si>
  <si>
    <t>2118AppFY21lineSOEM75APH</t>
  </si>
  <si>
    <t>AppFY21line21 MaySOEM75APH</t>
  </si>
  <si>
    <t>2118AppFY21line75APH</t>
  </si>
  <si>
    <t>AppFY21line21 May75APH</t>
  </si>
  <si>
    <t>2121LineFY21lineSOEM</t>
  </si>
  <si>
    <t>2121LineFY21lineSOEM75APH</t>
  </si>
  <si>
    <t>LineFY21line21 MaySOEM75APH</t>
  </si>
  <si>
    <t>2121LineFY21line75APH</t>
  </si>
  <si>
    <t>2125BLUFY21lineSOEM</t>
  </si>
  <si>
    <t>2125BLUFY21lineSOEM75APH</t>
  </si>
  <si>
    <t>BLUFY21line21 JunSOEM75APH</t>
  </si>
  <si>
    <t>2125BLUFY21line75APH</t>
  </si>
  <si>
    <t>BLUFY21line21 Jun75APH</t>
  </si>
  <si>
    <t>2125LineFY21lineSOEM75APH</t>
  </si>
  <si>
    <t>LineFY21line21 JunSOEM75APH</t>
  </si>
  <si>
    <t>2125LineFY21line75APH</t>
  </si>
  <si>
    <t>2126O-Cell A/DFY21lineSOEM</t>
  </si>
  <si>
    <t>O-Cell A/DFY21line21 JunSOEM</t>
  </si>
  <si>
    <t>2126O-Cell A/DFY21lineSOEM75APH</t>
  </si>
  <si>
    <t>O-Cell A/DFY21line21 JunSOEM75APH</t>
  </si>
  <si>
    <t>2126O-Cell A/DFY21line75APH</t>
  </si>
  <si>
    <t>2129LineFY21lineSOEM</t>
  </si>
  <si>
    <t>LineFY21line21 JulSOEM</t>
  </si>
  <si>
    <t>2129LineFY21lineSOEM75APH</t>
  </si>
  <si>
    <t>LineFY21line21 JulSOEM75APH</t>
  </si>
  <si>
    <t>2129F/MFY21lineSOEM75APH</t>
  </si>
  <si>
    <t>F/MFY21line21 JulSOEM75APH</t>
  </si>
  <si>
    <t>2130LineFY21lineSOEM</t>
  </si>
  <si>
    <t>2130LineFY21lineSOEM75APH</t>
  </si>
  <si>
    <t>2130LineFY21line75APH</t>
  </si>
  <si>
    <t>2130BezelFY21lineSOEM</t>
  </si>
  <si>
    <t>BezelFY21line21 JulSOEM</t>
  </si>
  <si>
    <t>2130BezelFY21lineSOEM75APH</t>
  </si>
  <si>
    <t>BezelFY21line21 JulSOEM75APH</t>
  </si>
  <si>
    <t>2130BezelFY21line75APH</t>
  </si>
  <si>
    <t>BezelFY21line21 Jul75APH</t>
  </si>
  <si>
    <t>2132LineFY21lineSOEM</t>
  </si>
  <si>
    <t>2132LineFY21lineSOEM75APH</t>
  </si>
  <si>
    <t>LineFY21line21 AugSOEM75APH</t>
  </si>
  <si>
    <t>2132LineFY21line75APH</t>
  </si>
  <si>
    <t>LineFY21line21 Aug75APH</t>
  </si>
  <si>
    <t>2132LEDFY21lineSOEM</t>
  </si>
  <si>
    <t>2132LEDFY21lineSOEM75APH</t>
  </si>
  <si>
    <t>LEDFY21line21 AugSOEM75APH</t>
  </si>
  <si>
    <t>2132LEDFY21line75APH</t>
  </si>
  <si>
    <t>LEDFY21line21 Aug75APH</t>
  </si>
  <si>
    <t>2133LineFY21lineSOEM</t>
  </si>
  <si>
    <t>2133LineFY21lineSOEM75APH</t>
  </si>
  <si>
    <t>2133LineFY21line75APH</t>
  </si>
  <si>
    <t>2130P-AppFY21lineSOEM</t>
  </si>
  <si>
    <t>P-AppFY21line21 JulSOEM</t>
  </si>
  <si>
    <t>2130P-AppFY21lineSOEM75AG</t>
  </si>
  <si>
    <t>P-AppFY21line21 JulSOEM75AG</t>
  </si>
  <si>
    <t>2130P-AppFY21line75AG</t>
  </si>
  <si>
    <t>P-AppFY21line21 Jul75AG</t>
  </si>
  <si>
    <t>2118F/MFY21lineSOEM</t>
  </si>
  <si>
    <t>2118F/MFY21lineSOEM75AR</t>
  </si>
  <si>
    <t>F/MFY21line21 MaySOEM75AR</t>
  </si>
  <si>
    <t>2118F/MFY21line75AR</t>
  </si>
  <si>
    <t>2118LineFY21lineSOEM</t>
  </si>
  <si>
    <t>2118LineFY21lineSOEM75AR</t>
  </si>
  <si>
    <t>LineFY21line21 MaySOEM75AR</t>
  </si>
  <si>
    <t>2118LineFY21line75AR</t>
  </si>
  <si>
    <t>LineFY21line21 May75AR</t>
  </si>
  <si>
    <t>2118T-con A/DFY21lineSOEM</t>
  </si>
  <si>
    <t>T-con A/DFY21line21 MaySOEM</t>
  </si>
  <si>
    <t>2118T-con A/DFY21lineSOEM75AR</t>
  </si>
  <si>
    <t>T-con A/DFY21line21 MaySOEM75AR</t>
  </si>
  <si>
    <t>2118T-con A/DFY21line75AR</t>
  </si>
  <si>
    <t>T-con A/DFY21line21 May75AR</t>
  </si>
  <si>
    <t>2121BLUFY21lineSOEM</t>
  </si>
  <si>
    <t>BLUFY21line21 MaySOEM</t>
  </si>
  <si>
    <t>2121BLUFY21lineSOEM75AR</t>
  </si>
  <si>
    <t>BLUFY21line21 MaySOEM75AR</t>
  </si>
  <si>
    <t>2121BLUFY21line75AR</t>
  </si>
  <si>
    <t>BLUFY21line21 May75AR</t>
  </si>
  <si>
    <t>2123O-Cell A/DFY21lineSOEM</t>
  </si>
  <si>
    <t>2123O-Cell A/DFY21lineSOEM75AR</t>
  </si>
  <si>
    <t>O-Cell A/DFY21line21 JunSOEM75AR</t>
  </si>
  <si>
    <t>2123O-Cell A/DFY21line75AR</t>
  </si>
  <si>
    <t>O-Cell A/DFY21line21 Jun75AR</t>
  </si>
  <si>
    <t>2124BLUFY21lineSOEM</t>
  </si>
  <si>
    <t>2124BLUFY21lineSOEM75AR</t>
  </si>
  <si>
    <t>BLUFY21line21 JunSOEM75AR</t>
  </si>
  <si>
    <t>2124BLUFY21line75AR</t>
  </si>
  <si>
    <t>BLUFY21line21 Jun75AR</t>
  </si>
  <si>
    <t>2124LineFY21lineSOEM</t>
  </si>
  <si>
    <t>2124LineFY21lineSOEM75AR</t>
  </si>
  <si>
    <t>LineFY21line21 JunSOEM75AR</t>
  </si>
  <si>
    <t>2124LineFY21line75AR</t>
  </si>
  <si>
    <t>LineFY21line21 Jun75AR</t>
  </si>
  <si>
    <t>2128LineFY21lineSOEM</t>
  </si>
  <si>
    <t>2128LineFY21lineSOEM75AR</t>
  </si>
  <si>
    <t>LineFY21line21 JulSOEM75AR</t>
  </si>
  <si>
    <t>2128LineFY21line75AR</t>
  </si>
  <si>
    <t>2130LineFY21lineSOEM75AR</t>
  </si>
  <si>
    <t>2130LineFY21line75AR</t>
  </si>
  <si>
    <t>2131F/MFY21lineSOEM</t>
  </si>
  <si>
    <t>F/MFY21line21 AugSOEM</t>
  </si>
  <si>
    <t>2131F/MFY21lineSOEM75AR</t>
  </si>
  <si>
    <t>F/MFY21line21 AugSOEM75AR</t>
  </si>
  <si>
    <t>2131F/MFY21line75AR</t>
  </si>
  <si>
    <t>2131LineFY21lineSOEM75AR</t>
  </si>
  <si>
    <t>LineFY21line21 AugSOEM75AR</t>
  </si>
  <si>
    <t>2131LineFY21line75AR</t>
  </si>
  <si>
    <t>2131O-Cell A/DFY21lineSOEM</t>
  </si>
  <si>
    <t>O-Cell A/DFY21line21 AugSOEM</t>
  </si>
  <si>
    <t>2131O-Cell A/DFY21lineSOEM75AR</t>
  </si>
  <si>
    <t>O-Cell A/DFY21line21 AugSOEM75AR</t>
  </si>
  <si>
    <t>2131O-Cell A/DFY21line75AR</t>
  </si>
  <si>
    <t>O-Cell A/DFY21line21 Aug75AR</t>
  </si>
  <si>
    <t>2120P-AppFY21lineSOEM</t>
  </si>
  <si>
    <t>P-AppFY21line21 MaySOEM</t>
  </si>
  <si>
    <t>2120P-AppFY21lineSOEM75AX</t>
  </si>
  <si>
    <t>P-AppFY21line21 MaySOEM75AX</t>
  </si>
  <si>
    <t>2120P-AppFY21line75AX</t>
  </si>
  <si>
    <t>P-AppFY21line21 May75AX</t>
  </si>
  <si>
    <t>2120BLUFY21lineSOEM</t>
  </si>
  <si>
    <t>2120BLUFY21lineSOEM75AX</t>
  </si>
  <si>
    <t>BLUFY21line21 MaySOEM75AX</t>
  </si>
  <si>
    <t>2120BLUFY21line75AX</t>
  </si>
  <si>
    <t>2123BLUFY21lineSOEM</t>
  </si>
  <si>
    <t>2123BLUFY21lineSOEM75AX</t>
  </si>
  <si>
    <t>BLUFY21line21 JunSOEM75AX</t>
  </si>
  <si>
    <t>2123BLUFY21line75AX</t>
  </si>
  <si>
    <t>BLUFY21line21 Jun75AX</t>
  </si>
  <si>
    <t>2123F/MFY21lineSOEM</t>
  </si>
  <si>
    <t>F/MFY21line21 JunSOEM</t>
  </si>
  <si>
    <t>2123F/MFY21lineSOEM75AX</t>
  </si>
  <si>
    <t>F/MFY21line21 JunSOEM75AX</t>
  </si>
  <si>
    <t>2123F/MFY21line75AX</t>
  </si>
  <si>
    <t>2128LineFY21lineSOEM75AX</t>
  </si>
  <si>
    <t>LineFY21line21 JulSOEM75AX</t>
  </si>
  <si>
    <t>2128LineFY21line75AX</t>
  </si>
  <si>
    <t>2132BLUFY21lineSOEM</t>
  </si>
  <si>
    <t>BLUFY21line21 AugSOEM</t>
  </si>
  <si>
    <t>2132BLUFY21lineSOEM75AX</t>
  </si>
  <si>
    <t>BLUFY21line21 AugSOEM75AX</t>
  </si>
  <si>
    <t>2132BLUFY21line75AX</t>
  </si>
  <si>
    <t>BLUFY21line21 Aug75AX</t>
  </si>
  <si>
    <t>2132LEDFY21lineSOEM75AX</t>
  </si>
  <si>
    <t>LEDFY21line21 AugSOEM75AX</t>
  </si>
  <si>
    <t>2133LineFY21lineSOEM75AX</t>
  </si>
  <si>
    <t>LineFY21line21 AugSOEM75AX</t>
  </si>
  <si>
    <t>2133AppFY21lineSOEM</t>
  </si>
  <si>
    <t>2133AppFY21lineSOEM75AX</t>
  </si>
  <si>
    <t>AppFY21line21 AugSOEM75AX</t>
  </si>
  <si>
    <t>2133AppFY21line75AX</t>
  </si>
  <si>
    <t>AppFY21line21 Aug75AX</t>
  </si>
  <si>
    <t>2007LEDFY20lineSOEM</t>
  </si>
  <si>
    <t>LEDFY20line20 FebSOEM</t>
  </si>
  <si>
    <t>2007LEDFY20lineSOEM75NB</t>
  </si>
  <si>
    <t>LEDFY20line20 FebSOEM75NB</t>
  </si>
  <si>
    <t>2007LEDFY20line75NB</t>
  </si>
  <si>
    <t>LEDFY20line20 Feb75NB</t>
  </si>
  <si>
    <t>2007T-con A/DFY20lineSOEM</t>
  </si>
  <si>
    <t>T-con A/DFY20line20 FebSOEM</t>
  </si>
  <si>
    <t>2007T-con A/DFY20lineSOEM75NB</t>
  </si>
  <si>
    <t>T-con A/DFY20line20 FebSOEM75NB</t>
  </si>
  <si>
    <t>2007T-con A/DFY20line75NB</t>
  </si>
  <si>
    <t>T-con A/DFY20line20 Feb75NB</t>
  </si>
  <si>
    <t>2020LineFY20lineSOEM</t>
  </si>
  <si>
    <t>LineFY20line20 MaySOEM</t>
  </si>
  <si>
    <t>2020LineFY20lineSOEM75NB</t>
  </si>
  <si>
    <t>LineFY20line20 MaySOEM75NB</t>
  </si>
  <si>
    <t>2020LineFY20line75NB</t>
  </si>
  <si>
    <t>LineFY20line20 May75NB</t>
  </si>
  <si>
    <t>2021O-Cell A/DFY20lineSOEM</t>
  </si>
  <si>
    <t>O-Cell A/DFY20line20 MaySOEM</t>
  </si>
  <si>
    <t>2021O-Cell A/DFY20lineSOEM75NB</t>
  </si>
  <si>
    <t>O-Cell A/DFY20line20 MaySOEM75NB</t>
  </si>
  <si>
    <t>2021O-Cell A/DFY20line75NB</t>
  </si>
  <si>
    <t>O-Cell A/DFY20line20 May75NB</t>
  </si>
  <si>
    <t>2023BLUFY20lineSOEM</t>
  </si>
  <si>
    <t>BLUFY20line20 JunSOEM</t>
  </si>
  <si>
    <t>2023BLUFY20lineSOEM75NB</t>
  </si>
  <si>
    <t>BLUFY20line20 JunSOEM75NB</t>
  </si>
  <si>
    <t>2023BLUFY20line75NB</t>
  </si>
  <si>
    <t>BLUFY20line20 Jun75NB</t>
  </si>
  <si>
    <t>2023LEDFY20lineSOEM</t>
  </si>
  <si>
    <t>2023LEDFY20lineSOEM75NB</t>
  </si>
  <si>
    <t>LEDFY20line20 JunSOEM75NB</t>
  </si>
  <si>
    <t>2023LEDFY20line75NB</t>
  </si>
  <si>
    <t>LEDFY20line20 Jun75NB</t>
  </si>
  <si>
    <t>2023AppFY20lineSOEM</t>
  </si>
  <si>
    <t>AppFY20line20 JunSOEM</t>
  </si>
  <si>
    <t>2023AppFY20lineSOEM75NB</t>
  </si>
  <si>
    <t>AppFY20line20 JunSOEM75NB</t>
  </si>
  <si>
    <t>2023AppFY20line75NB</t>
  </si>
  <si>
    <t>AppFY20line20 Jun75NB</t>
  </si>
  <si>
    <t>2024PolFY20lineSOEM</t>
  </si>
  <si>
    <t>PolFY20line20 JunSOEM</t>
  </si>
  <si>
    <t>2024PolFY20lineSOEM75NB</t>
  </si>
  <si>
    <t>PolFY20line20 JunSOEM75NB</t>
  </si>
  <si>
    <t>2024PolFY20line75NB</t>
  </si>
  <si>
    <t>PolFY20line20 Jun75NB</t>
  </si>
  <si>
    <t>2024LineFY20lineSOEM75NB</t>
  </si>
  <si>
    <t>LineFY20line20 JunSOEM75NB</t>
  </si>
  <si>
    <t>2024LineFY20line75NB</t>
  </si>
  <si>
    <t>LineFY20line20 Jun75NB</t>
  </si>
  <si>
    <t>2025PolFY20lineSOEM</t>
  </si>
  <si>
    <t>2025PolFY20lineSOEM75NB</t>
  </si>
  <si>
    <t>2025PolFY20line75NB</t>
  </si>
  <si>
    <t>2026UniFY20lineSOEM</t>
  </si>
  <si>
    <t>UniFY20line20 JunSOEM</t>
  </si>
  <si>
    <t>2026UniFY20lineSOEM75NB</t>
  </si>
  <si>
    <t>UniFY20line20 JunSOEM75NB</t>
  </si>
  <si>
    <t>2026UniFY20line75NB</t>
  </si>
  <si>
    <t>UniFY20line20 Jun75NB</t>
  </si>
  <si>
    <t>2026LineFY20lineSOEM75NB</t>
  </si>
  <si>
    <t>2026LineFY20line75NB</t>
  </si>
  <si>
    <t>2030LineFY20lineSOEM</t>
  </si>
  <si>
    <t>2030LineFY20lineSOEM75NB</t>
  </si>
  <si>
    <t>LineFY20line20 JulSOEM75NB</t>
  </si>
  <si>
    <t>2030LineFY20line75NB</t>
  </si>
  <si>
    <t>LineFY20line20 Jul75NB</t>
  </si>
  <si>
    <t>2030O-Cell A/DFY20lineSOEM</t>
  </si>
  <si>
    <t>O-Cell A/DFY20line20 JulSOEM</t>
  </si>
  <si>
    <t>2030O-Cell A/DFY20lineSOEM75NB</t>
  </si>
  <si>
    <t>O-Cell A/DFY20line20 JulSOEM75NB</t>
  </si>
  <si>
    <t>2030O-Cell A/DFY20line75NB</t>
  </si>
  <si>
    <t>O-Cell A/DFY20line20 Jul75NB</t>
  </si>
  <si>
    <t>2032PolFY20lineSOEM</t>
  </si>
  <si>
    <t>PolFY20line20 AugSOEM</t>
  </si>
  <si>
    <t>2032PolFY20lineSOEM75NB</t>
  </si>
  <si>
    <t>PolFY20line20 AugSOEM75NB</t>
  </si>
  <si>
    <t>2032PolFY20line75NB</t>
  </si>
  <si>
    <t>PolFY20line20 Aug75NB</t>
  </si>
  <si>
    <t>2032O-Cell A/DFY20lineSOEM</t>
  </si>
  <si>
    <t>O-Cell A/DFY20line20 AugSOEM</t>
  </si>
  <si>
    <t>2032O-Cell A/DFY20lineSOEM75NB</t>
  </si>
  <si>
    <t>O-Cell A/DFY20line20 AugSOEM75NB</t>
  </si>
  <si>
    <t>2032O-Cell A/DFY20line75NB</t>
  </si>
  <si>
    <t>O-Cell A/DFY20line20 Aug75NB</t>
  </si>
  <si>
    <t>2032BLUFY20lineSOEM</t>
  </si>
  <si>
    <t>2032BLUFY20lineSOEM75NB</t>
  </si>
  <si>
    <t>BLUFY20line20 AugSOEM75NB</t>
  </si>
  <si>
    <t>2032BLUFY20line75NB</t>
  </si>
  <si>
    <t>BLUFY20line20 Aug75NB</t>
  </si>
  <si>
    <t>2032LineFY20lineSOEM75NB</t>
  </si>
  <si>
    <t>LineFY20line20 AugSOEM75NB</t>
  </si>
  <si>
    <t>2032LineFY20line75NB</t>
  </si>
  <si>
    <t>LineFY20line20 Aug75NB</t>
  </si>
  <si>
    <t>2032LEDFY20lineSOEM75NB</t>
  </si>
  <si>
    <t>LEDFY20line20 AugSOEM75NB</t>
  </si>
  <si>
    <t>2032LEDFY20line75NB</t>
  </si>
  <si>
    <t>LEDFY20line20 Aug75NB</t>
  </si>
  <si>
    <t>2033LineFY20lineSOEM75NB</t>
  </si>
  <si>
    <t>2033LineFY20line75NB</t>
  </si>
  <si>
    <t>2034O-Cell A/DFY20lineSOEM</t>
  </si>
  <si>
    <t>2034O-Cell A/DFY20lineSOEM75NB</t>
  </si>
  <si>
    <t>2034O-Cell A/DFY20line75NB</t>
  </si>
  <si>
    <t>2034BLUFY20lineSOEM75NB</t>
  </si>
  <si>
    <t>2034BLUFY20line75NB</t>
  </si>
  <si>
    <t>2035LineFY20lineSOEM75NB</t>
  </si>
  <si>
    <t>2035LineFY20line75NB</t>
  </si>
  <si>
    <t>2035O-Cell A/DFY20lineSOEM</t>
  </si>
  <si>
    <t>2035O-Cell A/DFY20lineSOEM75NB</t>
  </si>
  <si>
    <t>2035O-Cell A/DFY20line75NB</t>
  </si>
  <si>
    <t>2036UniFY20lineSOEM75NB</t>
  </si>
  <si>
    <t>UniFY20line20 SepSOEM75NB</t>
  </si>
  <si>
    <t>2036UniFY20line75NB</t>
  </si>
  <si>
    <t>UniFY20line20 Sep75NB</t>
  </si>
  <si>
    <t>2036F/MFY20lineSOEM</t>
  </si>
  <si>
    <t>2036F/MFY20lineSOEM75NB</t>
  </si>
  <si>
    <t>F/MFY20line20 SepSOEM75NB</t>
  </si>
  <si>
    <t>2036F/MFY20line75NB</t>
  </si>
  <si>
    <t>F/MFY20line20 Sep75NB</t>
  </si>
  <si>
    <t>2109F/MFY20lineSOEM</t>
  </si>
  <si>
    <t>2109F/MFY20lineSOEM75NB</t>
  </si>
  <si>
    <t>F/MFY20line21 MarSOEM75NB</t>
  </si>
  <si>
    <t>2109F/MFY20line75NB</t>
  </si>
  <si>
    <t>F/MFY20line21 Mar75NB</t>
  </si>
  <si>
    <t>2109O-Cell A/DFY20lineSOEM75NB</t>
  </si>
  <si>
    <t>O-Cell A/DFY20line21 MarSOEM75NB</t>
  </si>
  <si>
    <t>2109O-Cell A/DFY20line75NB</t>
  </si>
  <si>
    <t>O-Cell A/DFY20line21 Mar75NB</t>
  </si>
  <si>
    <t>2114UniFY20lineSOEM</t>
  </si>
  <si>
    <t>UniFY20line21 AprSOEM</t>
  </si>
  <si>
    <t>2114UniFY20lineSOEM75NB</t>
  </si>
  <si>
    <t>UniFY20line21 AprSOEM75NB</t>
  </si>
  <si>
    <t>2114UniFY20line75NB</t>
  </si>
  <si>
    <t>UniFY20line21 Apr75NB</t>
  </si>
  <si>
    <t>2114BLUFY20lineSOEM</t>
  </si>
  <si>
    <t>2114BLUFY20lineSOEM75NB</t>
  </si>
  <si>
    <t>BLUFY20line21 AprSOEM75NB</t>
  </si>
  <si>
    <t>2114BLUFY20line75NB</t>
  </si>
  <si>
    <t>BLUFY20line21 Apr75NB</t>
  </si>
  <si>
    <t>2114PolFY20lineSOEM</t>
  </si>
  <si>
    <t>PolFY20line21 AprSOEM</t>
  </si>
  <si>
    <t>2114PolFY20lineSOEM75NB</t>
  </si>
  <si>
    <t>PolFY20line21 AprSOEM75NB</t>
  </si>
  <si>
    <t>2114PolFY20line75NB</t>
  </si>
  <si>
    <t>PolFY20line21 Apr75NB</t>
  </si>
  <si>
    <t>2133LineFY20lineSOEM</t>
  </si>
  <si>
    <t>LineFY20line21 AugSOEM</t>
  </si>
  <si>
    <t>2133LineFY20lineSOEM75NB</t>
  </si>
  <si>
    <t>LineFY20line21 AugSOEM75NB</t>
  </si>
  <si>
    <t>2133LineFY20line75NB</t>
  </si>
  <si>
    <t>LineFY20line21 Aug75NB</t>
  </si>
  <si>
    <t>2029T-con A/DFY20lineSOEM75NX</t>
  </si>
  <si>
    <t>T-con A/DFY20line20 JulSOEM75NX</t>
  </si>
  <si>
    <t>2029T-con A/DFY20line75NX</t>
  </si>
  <si>
    <t>T-con A/DFY20line20 Jul75NX</t>
  </si>
  <si>
    <t>2030DotFY20lineSOEM</t>
  </si>
  <si>
    <t>DotFY20line20 JulSOEM</t>
  </si>
  <si>
    <t>2030DotFY20lineSOEM75NX</t>
  </si>
  <si>
    <t>DotFY20line20 JulSOEM75NX</t>
  </si>
  <si>
    <t>2030DotFY20line75NX</t>
  </si>
  <si>
    <t>DotFY20line20 Jul75NX</t>
  </si>
  <si>
    <t>2032LEDFY20lineSOEM75NX</t>
  </si>
  <si>
    <t>LEDFY20line20 AugSOEM75NX</t>
  </si>
  <si>
    <t>2032LEDFY20line75NX</t>
  </si>
  <si>
    <t>LEDFY20line20 Aug75NX</t>
  </si>
  <si>
    <t>2032T-con A/DFY20lineSOEM</t>
  </si>
  <si>
    <t>2032T-con A/DFY20lineSOEM75NX</t>
  </si>
  <si>
    <t>T-con A/DFY20line20 AugSOEM75NX</t>
  </si>
  <si>
    <t>2032T-con A/DFY20line75NX</t>
  </si>
  <si>
    <t>T-con A/DFY20line20 Aug75NX</t>
  </si>
  <si>
    <t>2033LineFY20lineSOEM75NX</t>
  </si>
  <si>
    <t>LineFY20line20 AugSOEM75NX</t>
  </si>
  <si>
    <t>2033LineFY20line75NX</t>
  </si>
  <si>
    <t>LineFY20line20 Aug75NX</t>
  </si>
  <si>
    <t>2034BLUFY20lineSOEM75NX</t>
  </si>
  <si>
    <t>BLUFY20line20 AugSOEM75NX</t>
  </si>
  <si>
    <t>2034BLUFY20line75NX</t>
  </si>
  <si>
    <t>BLUFY20line20 Aug75NX</t>
  </si>
  <si>
    <t>2035UniFY20lineSOEM</t>
  </si>
  <si>
    <t>2035UniFY20lineSOEM75NX</t>
  </si>
  <si>
    <t>UniFY20line20 AugSOEM75NX</t>
  </si>
  <si>
    <t>2035UniFY20line75NX</t>
  </si>
  <si>
    <t>UniFY20line20 Aug75NX</t>
  </si>
  <si>
    <t>2035BLUFY20lineSOEM</t>
  </si>
  <si>
    <t>2035BLUFY20lineSOEM75NX</t>
  </si>
  <si>
    <t>2035BLUFY20line75NX</t>
  </si>
  <si>
    <t>2037LineFY20lineSOEM75NX</t>
  </si>
  <si>
    <t>LineFY20line20 SepSOEM75NX</t>
  </si>
  <si>
    <t>2037LineFY20line75NX</t>
  </si>
  <si>
    <t>LineFY20line20 Sep75NX</t>
  </si>
  <si>
    <t>2042F/MFY20lineSOEM</t>
  </si>
  <si>
    <t>2042F/MFY20lineSOEM75NX</t>
  </si>
  <si>
    <t>F/MFY20line20 OctSOEM75NX</t>
  </si>
  <si>
    <t>2042F/MFY20line75NX</t>
  </si>
  <si>
    <t>F/MFY20line20 Oct75NX</t>
  </si>
  <si>
    <t>2043UniFY20lineSOEM</t>
  </si>
  <si>
    <t>UniFY20line20 OctSOEM</t>
  </si>
  <si>
    <t>2043UniFY20lineSOEM75NX</t>
  </si>
  <si>
    <t>UniFY20line20 OctSOEM75NX</t>
  </si>
  <si>
    <t>2043UniFY20line75NX</t>
  </si>
  <si>
    <t>UniFY20line20 Oct75NX</t>
  </si>
  <si>
    <t>2043LineFY20lineSOEM</t>
  </si>
  <si>
    <t>2043LineFY20lineSOEM75NX</t>
  </si>
  <si>
    <t>LineFY20line20 OctSOEM75NX</t>
  </si>
  <si>
    <t>2043LineFY20line75NX</t>
  </si>
  <si>
    <t>LineFY20line20 Oct75NX</t>
  </si>
  <si>
    <t>2101F/MFY20lineSOEM75NX</t>
  </si>
  <si>
    <t>F/MFY20line21 JanSOEM75NX</t>
  </si>
  <si>
    <t>2101F/MFY20line75NX</t>
  </si>
  <si>
    <t>2103O-Cell A/DFY20lineSOEM</t>
  </si>
  <si>
    <t>2103O-Cell A/DFY20lineSOEM75NX</t>
  </si>
  <si>
    <t>O-Cell A/DFY20line21 JanSOEM75NX</t>
  </si>
  <si>
    <t>2103O-Cell A/DFY20line75NX</t>
  </si>
  <si>
    <t>O-Cell A/DFY20line21 Jan75NX</t>
  </si>
  <si>
    <t>2105T-con A/DFY20lineSOEM</t>
  </si>
  <si>
    <t>2105T-con A/DFY20lineSOEM75NX</t>
  </si>
  <si>
    <t>T-con A/DFY20line21 FebSOEM75NX</t>
  </si>
  <si>
    <t>2105T-con A/DFY20line75NX</t>
  </si>
  <si>
    <t>T-con A/DFY20line21 Feb75NX</t>
  </si>
  <si>
    <t>2112LineFY20lineSOEM</t>
  </si>
  <si>
    <t>2112LineFY20lineSOEM75NX</t>
  </si>
  <si>
    <t>LineFY20line21 MarSOEM75NX</t>
  </si>
  <si>
    <t>2112LineFY20line75NX</t>
  </si>
  <si>
    <t>LineFY20line21 Mar75NX</t>
  </si>
  <si>
    <t>2112AppFY20lineSOEM</t>
  </si>
  <si>
    <t>2112AppFY20lineSOEM75NX</t>
  </si>
  <si>
    <t>AppFY20line21 MarSOEM75NX</t>
  </si>
  <si>
    <t>2112AppFY20line75NX</t>
  </si>
  <si>
    <t>AppFY20line21 Mar75NX</t>
  </si>
  <si>
    <t>2115PolFY20lineSOEM</t>
  </si>
  <si>
    <t>2115PolFY20lineSOEM75NX</t>
  </si>
  <si>
    <t>PolFY20line21 AprSOEM75NX</t>
  </si>
  <si>
    <t>2115PolFY20line75NX</t>
  </si>
  <si>
    <t>PolFY20line21 Apr75NX</t>
  </si>
  <si>
    <t>2122UniFY20lineSOEM</t>
  </si>
  <si>
    <t>UniFY20line21 MaySOEM</t>
  </si>
  <si>
    <t>2122UniFY20lineSOEM75NX</t>
  </si>
  <si>
    <t>UniFY20line21 MaySOEM75NX</t>
  </si>
  <si>
    <t>2122UniFY20line75NX</t>
  </si>
  <si>
    <t>UniFY20line21 May75NX</t>
  </si>
  <si>
    <t>2112FY21CTTI</t>
  </si>
  <si>
    <t>FY2121 MarCTTI</t>
  </si>
  <si>
    <t>2112FY21CTTI75APH</t>
  </si>
  <si>
    <t>FY2121 MarCTTI75APH</t>
  </si>
  <si>
    <t>2112FY2175APH</t>
  </si>
  <si>
    <t>FY2121 Mar75APH</t>
  </si>
  <si>
    <t>2113FY21CTTI</t>
  </si>
  <si>
    <t>2113FY21CTTI75APH</t>
  </si>
  <si>
    <t>2113FY2175APH</t>
  </si>
  <si>
    <t>2114FY21CTTI</t>
  </si>
  <si>
    <t>FY2121 AprCTTI</t>
  </si>
  <si>
    <t>2114FY21CTTI75APH</t>
  </si>
  <si>
    <t>FY2121 AprCTTI75APH</t>
  </si>
  <si>
    <t>2114FY2175APH</t>
  </si>
  <si>
    <t>FY2121 Apr75APH</t>
  </si>
  <si>
    <t>2116FY21CTTI</t>
  </si>
  <si>
    <t>2116FY21CTTI75APH</t>
  </si>
  <si>
    <t>2116FY2175APH</t>
  </si>
  <si>
    <t>2118FY21CTTI</t>
  </si>
  <si>
    <t>FY2121 MayCTTI</t>
  </si>
  <si>
    <t>2118FY21CTTI75APH</t>
  </si>
  <si>
    <t>FY2121 MayCTTI75APH</t>
  </si>
  <si>
    <t>2118FY2175APH</t>
  </si>
  <si>
    <t>FY2121 May75APH</t>
  </si>
  <si>
    <t>2120FY21CTTI</t>
  </si>
  <si>
    <t>2120FY21CTTI75APH</t>
  </si>
  <si>
    <t>2120FY2175APH</t>
  </si>
  <si>
    <t>2123FY21CTTI</t>
  </si>
  <si>
    <t>FY2121 JunCTTI</t>
  </si>
  <si>
    <t>2123FY21CTTI75APH</t>
  </si>
  <si>
    <t>FY2121 JunCTTI75APH</t>
  </si>
  <si>
    <t>2123FY2175APH</t>
  </si>
  <si>
    <t>FY2121 Jun75APH</t>
  </si>
  <si>
    <t>2127FY21CTTI</t>
  </si>
  <si>
    <t>FY2121 JulCTTI</t>
  </si>
  <si>
    <t>2127FY21CTTI75APH</t>
  </si>
  <si>
    <t>FY2121 JulCTTI75APH</t>
  </si>
  <si>
    <t>2127FY2175APH</t>
  </si>
  <si>
    <t>FY2121 Jul75APH</t>
  </si>
  <si>
    <t>2128FY21CTTI</t>
  </si>
  <si>
    <t>2128FY21CTTI75APH</t>
  </si>
  <si>
    <t>2128FY2175APH</t>
  </si>
  <si>
    <t>2129FY21CTTI</t>
  </si>
  <si>
    <t>2129FY21CTTI75APH</t>
  </si>
  <si>
    <t>2129FY2175APH</t>
  </si>
  <si>
    <t>2130FY21CTTI</t>
  </si>
  <si>
    <t>2130FY21CTTI75APH</t>
  </si>
  <si>
    <t>2130FY2175APH</t>
  </si>
  <si>
    <t>2133FY21CTTI</t>
  </si>
  <si>
    <t>FY2121 AugCTTI</t>
  </si>
  <si>
    <t>2133FY21CTTI75APH</t>
  </si>
  <si>
    <t>FY2121 AugCTTI75APH</t>
  </si>
  <si>
    <t>2133FY2175APH</t>
  </si>
  <si>
    <t>FY2121 Aug75APH</t>
  </si>
  <si>
    <t>2116FY21CTTI75AR</t>
  </si>
  <si>
    <t>FY2121 AprCTTI75AR</t>
  </si>
  <si>
    <t>2116FY2175AR</t>
  </si>
  <si>
    <t>FY2121 Apr75AR</t>
  </si>
  <si>
    <t>2126FY21CTTI</t>
  </si>
  <si>
    <t>2126FY21CTTI75AR</t>
  </si>
  <si>
    <t>FY2121 JunCTTI75AR</t>
  </si>
  <si>
    <t>2126FY2175AR</t>
  </si>
  <si>
    <t>FY2121 Jun75AR</t>
  </si>
  <si>
    <t>2127FY21CTTI75AR</t>
  </si>
  <si>
    <t>FY2121 JulCTTI75AR</t>
  </si>
  <si>
    <t>2127FY2175AR</t>
  </si>
  <si>
    <t>FY2121 Jul75AR</t>
  </si>
  <si>
    <t>2129FY21FBC</t>
  </si>
  <si>
    <t>FY2121 JulFBC</t>
  </si>
  <si>
    <t>2129FY21FBC65AG</t>
  </si>
  <si>
    <t>FY2121 JulFBC65AG</t>
  </si>
  <si>
    <t>2129FY2165AG</t>
  </si>
  <si>
    <t>FY2121 Jul65AG</t>
  </si>
  <si>
    <t>2131FY21FBC</t>
  </si>
  <si>
    <t>FY2121 AugFBC</t>
  </si>
  <si>
    <t>2131FY21FBC65AG</t>
  </si>
  <si>
    <t>FY2121 AugFBC65AG</t>
  </si>
  <si>
    <t>2131FY2165AG</t>
  </si>
  <si>
    <t>FY2121 Aug65AG</t>
  </si>
  <si>
    <t>2132FY21FBC</t>
  </si>
  <si>
    <t>2132FY21FBC65AG</t>
  </si>
  <si>
    <t>2132FY2165AG</t>
  </si>
  <si>
    <t>2133FY21FBC</t>
  </si>
  <si>
    <t>2133FY21FBC65AG</t>
  </si>
  <si>
    <t>2133FY2165AG</t>
  </si>
  <si>
    <t>2119FY21FBC</t>
  </si>
  <si>
    <t>FY2121 MayFBC</t>
  </si>
  <si>
    <t>2119FY21FBC85AG</t>
  </si>
  <si>
    <t>FY2121 MayFBC85AG</t>
  </si>
  <si>
    <t>2119FY2185AG</t>
  </si>
  <si>
    <t>FY2121 May85AG</t>
  </si>
  <si>
    <t>2121FY21FBC</t>
  </si>
  <si>
    <t>2121FY21FBC85AG</t>
  </si>
  <si>
    <t>2121FY2185AG</t>
  </si>
  <si>
    <t>2122FY21FBC</t>
  </si>
  <si>
    <t>2122FY21FBC85AG</t>
  </si>
  <si>
    <t>2122FY2185AG</t>
  </si>
  <si>
    <t>2123FY21FBC</t>
  </si>
  <si>
    <t>FY2121 JunFBC</t>
  </si>
  <si>
    <t>2123FY21FBC85AG</t>
  </si>
  <si>
    <t>FY2121 JunFBC85AG</t>
  </si>
  <si>
    <t>2123FY2185AG</t>
  </si>
  <si>
    <t>FY2121 Jun85AG</t>
  </si>
  <si>
    <t>2128FY21FBC</t>
  </si>
  <si>
    <t>2128FY21FBC85AG</t>
  </si>
  <si>
    <t>FY2121 JulFBC85AG</t>
  </si>
  <si>
    <t>2128FY2185AG</t>
  </si>
  <si>
    <t>FY2121 Jul85AG</t>
  </si>
  <si>
    <t>2130FY21FBC</t>
  </si>
  <si>
    <t>2130FY21FBC85AG</t>
  </si>
  <si>
    <t>2130FY2185AG</t>
  </si>
  <si>
    <t>2133FY21FBC85AG</t>
  </si>
  <si>
    <t>FY2121 AugFBC85AG</t>
  </si>
  <si>
    <t>2133FY2185AG</t>
  </si>
  <si>
    <t>FY2121 Aug85AG</t>
  </si>
  <si>
    <t>2115FY21FBC</t>
  </si>
  <si>
    <t>FY2121 AprFBC</t>
  </si>
  <si>
    <t>2115FY21FBC75AQ</t>
  </si>
  <si>
    <t>FY2121 AprFBC75AQ</t>
  </si>
  <si>
    <t>2115FY2175AQ</t>
  </si>
  <si>
    <t>FY2121 Apr75AQ</t>
  </si>
  <si>
    <t>2122FY21FBC75AQ</t>
  </si>
  <si>
    <t>FY2121 MayFBC75AQ</t>
  </si>
  <si>
    <t>2122FY2175AQ</t>
  </si>
  <si>
    <t>FY2121 May75AQ</t>
  </si>
  <si>
    <t>2129FY21FBC75AQ</t>
  </si>
  <si>
    <t>FY2121 JulFBC75AQ</t>
  </si>
  <si>
    <t>2129FY2175AQ</t>
  </si>
  <si>
    <t>FY2121 Jul75AQ</t>
  </si>
  <si>
    <t>2130FY21FBC75AQ</t>
  </si>
  <si>
    <t>2130FY2175AQ</t>
  </si>
  <si>
    <t>2133FY21FBC75AQ</t>
  </si>
  <si>
    <t>FY2121 AugFBC75AQ</t>
  </si>
  <si>
    <t>2133FY2175AQ</t>
  </si>
  <si>
    <t>FY2121 Aug75AQ</t>
  </si>
  <si>
    <t>2115FY21FBC85AQ</t>
  </si>
  <si>
    <t>FY2121 AprFBC85AQ</t>
  </si>
  <si>
    <t>2115FY2185AQ</t>
  </si>
  <si>
    <t>FY2121 Apr85AQ</t>
  </si>
  <si>
    <t>2130FY21FBC85AQ</t>
  </si>
  <si>
    <t>FY2121 JulFBC85AQ</t>
  </si>
  <si>
    <t>2130FY2185AQ</t>
  </si>
  <si>
    <t>FY2121 Jul85AQ</t>
  </si>
  <si>
    <t>2131FY21FBC85AQ</t>
  </si>
  <si>
    <t>FY2121 AugFBC85AQ</t>
  </si>
  <si>
    <t>2131FY2185AQ</t>
  </si>
  <si>
    <t>FY2121 Aug85AQ</t>
  </si>
  <si>
    <t>2132FY21FBC85AQ</t>
  </si>
  <si>
    <t>2132FY2185AQ</t>
  </si>
  <si>
    <t>2133FY21FBC85AQ</t>
  </si>
  <si>
    <t>2133FY2185AQ</t>
  </si>
  <si>
    <t>2119FY21FBC75AG</t>
  </si>
  <si>
    <t>FY2121 MayFBC75AG</t>
  </si>
  <si>
    <t>2119FY2175AG</t>
  </si>
  <si>
    <t>FY2121 May75AG</t>
  </si>
  <si>
    <t>2121FY21FBC75AG</t>
  </si>
  <si>
    <t>2121FY2175AG</t>
  </si>
  <si>
    <t>2122FY21FBC75AG</t>
  </si>
  <si>
    <t>2122FY2175AG</t>
  </si>
  <si>
    <t>2123FY21FBC75AG</t>
  </si>
  <si>
    <t>FY2121 JunFBC75AG</t>
  </si>
  <si>
    <t>2123FY2175AG</t>
  </si>
  <si>
    <t>FY2121 Jun75AG</t>
  </si>
  <si>
    <t>2124FY21FBC</t>
  </si>
  <si>
    <t>2124FY21FBC75AG</t>
  </si>
  <si>
    <t>2124FY2175AG</t>
  </si>
  <si>
    <t>2128FY21FBC75AG</t>
  </si>
  <si>
    <t>FY2121 JulFBC75AG</t>
  </si>
  <si>
    <t>2128FY2175AG</t>
  </si>
  <si>
    <t>FY2121 Jul75AG</t>
  </si>
  <si>
    <t>2129FY21FBC75AG</t>
  </si>
  <si>
    <t>2129FY2175AG</t>
  </si>
  <si>
    <t>2130FY21FBC75AG</t>
  </si>
  <si>
    <t>2130FY2175AG</t>
  </si>
  <si>
    <t>2131FY21FBC75AG</t>
  </si>
  <si>
    <t>FY2121 AugFBC75AG</t>
  </si>
  <si>
    <t>2131FY2175AG</t>
  </si>
  <si>
    <t>FY2121 Aug75AG</t>
  </si>
  <si>
    <t>2132FY21FBC75AG</t>
  </si>
  <si>
    <t>2132FY2175AG</t>
  </si>
  <si>
    <t>2133FY21FBC75AG</t>
  </si>
  <si>
    <t>2133FY2175AG</t>
  </si>
  <si>
    <t>2129FY21FSK</t>
  </si>
  <si>
    <t>FY2121 JulFSK</t>
  </si>
  <si>
    <t>2129FY21FSK65AG</t>
  </si>
  <si>
    <t>FY2121 JulFSK65AG</t>
  </si>
  <si>
    <t>2132FY21FSK</t>
  </si>
  <si>
    <t>FY2121 AugFSK</t>
  </si>
  <si>
    <t>2132FY21FSK65AG</t>
  </si>
  <si>
    <t>FY2121 AugFSK65AG</t>
  </si>
  <si>
    <t>2133FY21FSK</t>
  </si>
  <si>
    <t>2133FY21FSK65AG</t>
  </si>
  <si>
    <t>2119FY21FSK</t>
  </si>
  <si>
    <t>FY2121 MayFSK</t>
  </si>
  <si>
    <t>2119FY21FSK75AG</t>
  </si>
  <si>
    <t>FY2121 MayFSK75AG</t>
  </si>
  <si>
    <t>2120FY21FSK</t>
  </si>
  <si>
    <t>2120FY21FSK75AG</t>
  </si>
  <si>
    <t>2120FY2175AG</t>
  </si>
  <si>
    <t>2122FY21FSK</t>
  </si>
  <si>
    <t>2122FY21FSK75AG</t>
  </si>
  <si>
    <t>2124FY21FSK</t>
  </si>
  <si>
    <t>FY2121 JunFSK</t>
  </si>
  <si>
    <t>2124FY21FSK75AG</t>
  </si>
  <si>
    <t>FY2121 JunFSK75AG</t>
  </si>
  <si>
    <t>2125FY21FSK</t>
  </si>
  <si>
    <t>2125FY21FSK75AG</t>
  </si>
  <si>
    <t>2125FY2175AG</t>
  </si>
  <si>
    <t>2126FY21FSK</t>
  </si>
  <si>
    <t>2126FY21FSK75AG</t>
  </si>
  <si>
    <t>2126FY2175AG</t>
  </si>
  <si>
    <t>2132FY21FSK75AG</t>
  </si>
  <si>
    <t>FY2121 AugFSK75AG</t>
  </si>
  <si>
    <t>2133FY21FSK75AG</t>
  </si>
  <si>
    <t>2119FY21FSK85AG</t>
  </si>
  <si>
    <t>FY2121 MayFSK85AG</t>
  </si>
  <si>
    <t>2120FY21FSK85AG</t>
  </si>
  <si>
    <t>2120FY2185AG</t>
  </si>
  <si>
    <t>2122FY21FSK85AG</t>
  </si>
  <si>
    <t>2123FY21FSK</t>
  </si>
  <si>
    <t>2123FY21FSK85AG</t>
  </si>
  <si>
    <t>FY2121 JunFSK85AG</t>
  </si>
  <si>
    <t>2124FY21FSK85AG</t>
  </si>
  <si>
    <t>2124FY2185AG</t>
  </si>
  <si>
    <t>2125FY21FSK85AG</t>
  </si>
  <si>
    <t>2125FY2185AG</t>
  </si>
  <si>
    <t>2128FY21FSK</t>
  </si>
  <si>
    <t>2128FY21FSK85AG</t>
  </si>
  <si>
    <t>FY2121 JulFSK85AG</t>
  </si>
  <si>
    <t>2129FY21FSK85AG</t>
  </si>
  <si>
    <t>2129FY2185AG</t>
  </si>
  <si>
    <t>2132FY21FSK85AG</t>
  </si>
  <si>
    <t>FY2121 AugFSK85AG</t>
  </si>
  <si>
    <t>2132FY2185AG</t>
  </si>
  <si>
    <t>2133FY21FSK85AG</t>
  </si>
  <si>
    <t>2108FY21FSK</t>
  </si>
  <si>
    <t>FY2121 FebFSK</t>
  </si>
  <si>
    <t>2108FY21FSK75APH</t>
  </si>
  <si>
    <t>FY2121 FebFSK75APH</t>
  </si>
  <si>
    <t>2108FY2175APH</t>
  </si>
  <si>
    <t>FY2121 Feb75APH</t>
  </si>
  <si>
    <t>2109FY21FSK</t>
  </si>
  <si>
    <t>FY2121 MarFSK</t>
  </si>
  <si>
    <t>2109FY21FSK75APH</t>
  </si>
  <si>
    <t>FY2121 MarFSK75APH</t>
  </si>
  <si>
    <t>2109FY2175APH</t>
  </si>
  <si>
    <t>2111FY21FSK</t>
  </si>
  <si>
    <t>2111FY21FSK75APH</t>
  </si>
  <si>
    <t>2111FY2175APH</t>
  </si>
  <si>
    <t>2112FY21FSK</t>
  </si>
  <si>
    <t>2112FY21FSK75APH</t>
  </si>
  <si>
    <t>2113FY21FSK</t>
  </si>
  <si>
    <t>2113FY21FSK75APH</t>
  </si>
  <si>
    <t>2114FY21FSK</t>
  </si>
  <si>
    <t>FY2121 AprFSK</t>
  </si>
  <si>
    <t>2114FY21FSK75APH</t>
  </si>
  <si>
    <t>FY2121 AprFSK75APH</t>
  </si>
  <si>
    <t>2115FY21FSK</t>
  </si>
  <si>
    <t>2115FY21FSK75APH</t>
  </si>
  <si>
    <t>2115FY2175APH</t>
  </si>
  <si>
    <t>2116FY21FSK</t>
  </si>
  <si>
    <t>2116FY21FSK75APH</t>
  </si>
  <si>
    <t>2117FY21FSK</t>
  </si>
  <si>
    <t>2117FY21FSK75APH</t>
  </si>
  <si>
    <t>2117FY2175APH</t>
  </si>
  <si>
    <t>2118FY21FSK</t>
  </si>
  <si>
    <t>2118FY21FSK75APH</t>
  </si>
  <si>
    <t>FY2121 MayFSK75APH</t>
  </si>
  <si>
    <t>2119FY21FSK75APH</t>
  </si>
  <si>
    <t>2119FY2175APH</t>
  </si>
  <si>
    <t>2120FY21FSK75APH</t>
  </si>
  <si>
    <t>2121FY21FSK</t>
  </si>
  <si>
    <t>2121FY21FSK75APH</t>
  </si>
  <si>
    <t>2121FY2175APH</t>
  </si>
  <si>
    <t>2122FY21FSK75APH</t>
  </si>
  <si>
    <t>2122FY2175APH</t>
  </si>
  <si>
    <t>2123FY21FSK75APH</t>
  </si>
  <si>
    <t>FY2121 JunFSK75APH</t>
  </si>
  <si>
    <t>2124FY21FSK75APH</t>
  </si>
  <si>
    <t>2124FY2175APH</t>
  </si>
  <si>
    <t>2125FY21FSK75APH</t>
  </si>
  <si>
    <t>2125FY2175APH</t>
  </si>
  <si>
    <t>2126FY21FSK75APH</t>
  </si>
  <si>
    <t>2126FY2175APH</t>
  </si>
  <si>
    <t>2127FY21FSK</t>
  </si>
  <si>
    <t>2127FY21FSK75APH</t>
  </si>
  <si>
    <t>FY2121 JulFSK75APH</t>
  </si>
  <si>
    <t>2128FY21FSK75APH</t>
  </si>
  <si>
    <t>2129FY21FSK75APH</t>
  </si>
  <si>
    <t>2132FY21FSK75APH</t>
  </si>
  <si>
    <t>FY2121 AugFSK75APH</t>
  </si>
  <si>
    <t>2132FY2175APH</t>
  </si>
  <si>
    <t>2133FY21FSK75APH</t>
  </si>
  <si>
    <t>2115FY21FSK75AQ</t>
  </si>
  <si>
    <t>FY2121 AprFSK75AQ</t>
  </si>
  <si>
    <t>2116FY21FSK75AQ</t>
  </si>
  <si>
    <t>2116FY2175AQ</t>
  </si>
  <si>
    <t>2124FY21FSK75AQ</t>
  </si>
  <si>
    <t>FY2121 JunFSK75AQ</t>
  </si>
  <si>
    <t>2124FY2175AQ</t>
  </si>
  <si>
    <t>FY2121 Jun75AQ</t>
  </si>
  <si>
    <t>2126FY21FSK75AQ</t>
  </si>
  <si>
    <t>2126FY2175AQ</t>
  </si>
  <si>
    <t>2127FY21FSK75AQ</t>
  </si>
  <si>
    <t>FY2121 JulFSK75AQ</t>
  </si>
  <si>
    <t>2127FY2175AQ</t>
  </si>
  <si>
    <t>2129FY21FSK75AQ</t>
  </si>
  <si>
    <t>2132FY21FSK75AQ</t>
  </si>
  <si>
    <t>FY2121 AugFSK75AQ</t>
  </si>
  <si>
    <t>2132FY2175AQ</t>
  </si>
  <si>
    <t>2133FY21FSK75AQ</t>
  </si>
  <si>
    <t>2116FY21FSK85AQ</t>
  </si>
  <si>
    <t>FY2121 AprFSK85AQ</t>
  </si>
  <si>
    <t>2116FY2185AQ</t>
  </si>
  <si>
    <t>2117FY21FSK85AQ</t>
  </si>
  <si>
    <t>2117FY2185AQ</t>
  </si>
  <si>
    <t>2124FY21FSK85AQ</t>
  </si>
  <si>
    <t>FY2121 JunFSK85AQ</t>
  </si>
  <si>
    <t>2124FY2185AQ</t>
  </si>
  <si>
    <t>FY2121 Jun85AQ</t>
  </si>
  <si>
    <t>2125FY21FSK85AQ</t>
  </si>
  <si>
    <t>2125FY2185AQ</t>
  </si>
  <si>
    <t>2126FY21FSK85AQ</t>
  </si>
  <si>
    <t>2126FY2185AQ</t>
  </si>
  <si>
    <t>2129FY21FSK85AQ</t>
  </si>
  <si>
    <t>FY2121 JulFSK85AQ</t>
  </si>
  <si>
    <t>2129FY2185AQ</t>
  </si>
  <si>
    <t>2132FY21FSK85AQ</t>
  </si>
  <si>
    <t>FY2121 AugFSK85AQ</t>
  </si>
  <si>
    <t>2133FY21FSK85AQ</t>
  </si>
  <si>
    <t>2118FY21FSK75AR</t>
  </si>
  <si>
    <t>FY2121 MayFSK75AR</t>
  </si>
  <si>
    <t>2118FY2175AR</t>
  </si>
  <si>
    <t>FY2121 May75AR</t>
  </si>
  <si>
    <t>2120FY21FSK75AR</t>
  </si>
  <si>
    <t>2120FY2175AR</t>
  </si>
  <si>
    <t>2121FY21FSK75AR</t>
  </si>
  <si>
    <t>2121FY2175AR</t>
  </si>
  <si>
    <t>2123FY21FSK75AR</t>
  </si>
  <si>
    <t>FY2121 JunFSK75AR</t>
  </si>
  <si>
    <t>2123FY2175AR</t>
  </si>
  <si>
    <t>2124FY21FSK75AR</t>
  </si>
  <si>
    <t>2124FY2175AR</t>
  </si>
  <si>
    <t>2125FY21FSK75AR</t>
  </si>
  <si>
    <t>2125FY2175AR</t>
  </si>
  <si>
    <t>2126FY21FSK75AR</t>
  </si>
  <si>
    <t>2127FY21FSK75AR</t>
  </si>
  <si>
    <t>FY2121 JulFSK75AR</t>
  </si>
  <si>
    <t>2128FY21FSK75AR</t>
  </si>
  <si>
    <t>2128FY2175AR</t>
  </si>
  <si>
    <t>2129FY21FSK75AR</t>
  </si>
  <si>
    <t>2129FY2175AR</t>
  </si>
  <si>
    <t>2132FY21FSK75AR</t>
  </si>
  <si>
    <t>FY2121 AugFSK75AR</t>
  </si>
  <si>
    <t>2132FY2175AR</t>
  </si>
  <si>
    <t>FY2121 Aug75AR</t>
  </si>
  <si>
    <t>2133FY21FSK75AR</t>
  </si>
  <si>
    <t>2133FY2175AR</t>
  </si>
  <si>
    <t>2117FY21FSK75AR</t>
  </si>
  <si>
    <t>FY2121 AprFSK75AR</t>
  </si>
  <si>
    <t>2117FY2175AR</t>
  </si>
  <si>
    <t>2119FY21FSK75AR</t>
  </si>
  <si>
    <t>2119FY2175AR</t>
  </si>
  <si>
    <t>2122FY21FSK75AR</t>
  </si>
  <si>
    <t>2122FY2175AR</t>
  </si>
  <si>
    <t>2119FY21FSK75AX</t>
  </si>
  <si>
    <t>FY2121 MayFSK75AX</t>
  </si>
  <si>
    <t>2119FY2175AX</t>
  </si>
  <si>
    <t>FY2121 May75AX</t>
  </si>
  <si>
    <t>2121FY21FSK75AX</t>
  </si>
  <si>
    <t>2121FY2175AX</t>
  </si>
  <si>
    <t>2122FY21FSK75AX</t>
  </si>
  <si>
    <t>2122FY2175AX</t>
  </si>
  <si>
    <t>2123FY21FSK75AX</t>
  </si>
  <si>
    <t>FY2121 JunFSK75AX</t>
  </si>
  <si>
    <t>2123FY2175AX</t>
  </si>
  <si>
    <t>FY2121 Jun75AX</t>
  </si>
  <si>
    <t>2124FY21FSK75AX</t>
  </si>
  <si>
    <t>2124FY2175AX</t>
  </si>
  <si>
    <t>2125FY21FSK75AX</t>
  </si>
  <si>
    <t>2125FY2175AX</t>
  </si>
  <si>
    <t>2126FY21FSK75AX</t>
  </si>
  <si>
    <t>2126FY2175AX</t>
  </si>
  <si>
    <t>2127FY21FSK75AX</t>
  </si>
  <si>
    <t>FY2121 JulFSK75AX</t>
  </si>
  <si>
    <t>2127FY2175AX</t>
  </si>
  <si>
    <t>FY2121 Jul75AX</t>
  </si>
  <si>
    <t>2129FY21FSK75AX</t>
  </si>
  <si>
    <t>2129FY2175AX</t>
  </si>
  <si>
    <t>2132FY21FSK75AX</t>
  </si>
  <si>
    <t>FY2121 AugFSK75AX</t>
  </si>
  <si>
    <t>2132FY2175AX</t>
  </si>
  <si>
    <t>FY2121 Aug75AX</t>
  </si>
  <si>
    <t>2133FY21FSK75AX</t>
  </si>
  <si>
    <t>2133FY2175AX</t>
  </si>
  <si>
    <t>2118FY21FSK75AX</t>
  </si>
  <si>
    <t>2118FY2175AX</t>
  </si>
  <si>
    <t>2128FY21FSK75AX</t>
  </si>
  <si>
    <t>2128FY2175AX</t>
  </si>
  <si>
    <t>2116FY21FSK85AX</t>
  </si>
  <si>
    <t>FY2121 AprFSK85AX</t>
  </si>
  <si>
    <t>2116FY2185AX</t>
  </si>
  <si>
    <t>FY2121 Apr85AX</t>
  </si>
  <si>
    <t>2117FY21FSK85AX</t>
  </si>
  <si>
    <t>2117FY2185AX</t>
  </si>
  <si>
    <t>2118FY21FSK85AX</t>
  </si>
  <si>
    <t>FY2121 MayFSK85AX</t>
  </si>
  <si>
    <t>2118FY2185AX</t>
  </si>
  <si>
    <t>FY2121 May85AX</t>
  </si>
  <si>
    <t>2119FY21FSK85AX</t>
  </si>
  <si>
    <t>2119FY2185AX</t>
  </si>
  <si>
    <t>2120FY21FSK85AX</t>
  </si>
  <si>
    <t>2120FY2185AX</t>
  </si>
  <si>
    <t>2121FY21FSK85AX</t>
  </si>
  <si>
    <t>2121FY2185AX</t>
  </si>
  <si>
    <t>2122FY21FSK85AX</t>
  </si>
  <si>
    <t>2122FY2185AX</t>
  </si>
  <si>
    <t>2123FY21FSK85AX</t>
  </si>
  <si>
    <t>FY2121 JunFSK85AX</t>
  </si>
  <si>
    <t>2123FY2185AX</t>
  </si>
  <si>
    <t>FY2121 Jun85AX</t>
  </si>
  <si>
    <t>2124FY21FSK85AX</t>
  </si>
  <si>
    <t>2124FY2185AX</t>
  </si>
  <si>
    <t>2125FY21FSK85AX</t>
  </si>
  <si>
    <t>2125FY2185AX</t>
  </si>
  <si>
    <t>2126FY21FSK85AX</t>
  </si>
  <si>
    <t>2126FY2185AX</t>
  </si>
  <si>
    <t>2127FY21FSK85AX</t>
  </si>
  <si>
    <t>FY2121 JulFSK85AX</t>
  </si>
  <si>
    <t>2127FY2185AX</t>
  </si>
  <si>
    <t>FY2121 Jul85AX</t>
  </si>
  <si>
    <t>2128FY21FSK85AX</t>
  </si>
  <si>
    <t>2128FY2185AX</t>
  </si>
  <si>
    <t>2129FY21FSK85AX</t>
  </si>
  <si>
    <t>2129FY2185AX</t>
  </si>
  <si>
    <t>2132FY21FSK85AX</t>
  </si>
  <si>
    <t>FY2121 AugFSK85AX</t>
  </si>
  <si>
    <t>2132FY2185AX</t>
  </si>
  <si>
    <t>FY2121 Aug85AX</t>
  </si>
  <si>
    <t>2133FY21FSK85AX</t>
  </si>
  <si>
    <t>2133FY2185AX</t>
  </si>
  <si>
    <t>2116FY20FSK</t>
  </si>
  <si>
    <t>FY2021 AprFSK</t>
  </si>
  <si>
    <t>2116FY20FSK75NB</t>
  </si>
  <si>
    <t>FY2021 AprFSK75NB</t>
  </si>
  <si>
    <t>2116FY2075NB</t>
  </si>
  <si>
    <t>FY2021 Apr75NB</t>
  </si>
  <si>
    <t>2118FY20FSK</t>
  </si>
  <si>
    <t>FY2021 MayFSK</t>
  </si>
  <si>
    <t>2118FY20FSK75NB</t>
  </si>
  <si>
    <t>FY2021 MayFSK75NB</t>
  </si>
  <si>
    <t>2118FY2075NB</t>
  </si>
  <si>
    <t>FY2021 May75NB</t>
  </si>
  <si>
    <t>2119FY20FSK</t>
  </si>
  <si>
    <t>2119FY20FSK75NB</t>
  </si>
  <si>
    <t>2119FY2075NB</t>
  </si>
  <si>
    <t>2121FY20FSK</t>
  </si>
  <si>
    <t>2121FY20FSK75NB</t>
  </si>
  <si>
    <t>2121FY2075NB</t>
  </si>
  <si>
    <t>2122FY20FSK</t>
  </si>
  <si>
    <t>2122FY20FSK75NB</t>
  </si>
  <si>
    <t>2122FY2075NB</t>
  </si>
  <si>
    <t>2123FY20FSK</t>
  </si>
  <si>
    <t>FY2021 JunFSK</t>
  </si>
  <si>
    <t>2123FY20FSK75NB</t>
  </si>
  <si>
    <t>FY2021 JunFSK75NB</t>
  </si>
  <si>
    <t>2123FY2075NB</t>
  </si>
  <si>
    <t>FY2021 Jun75NB</t>
  </si>
  <si>
    <t>2124FY20FSK</t>
  </si>
  <si>
    <t>2124FY20FSK75NB</t>
  </si>
  <si>
    <t>2124FY2075NB</t>
  </si>
  <si>
    <t>2125FY20FSK</t>
  </si>
  <si>
    <t>2125FY20FSK75NB</t>
  </si>
  <si>
    <t>2125FY2075NB</t>
  </si>
  <si>
    <t>2126FY20FSK</t>
  </si>
  <si>
    <t>2126FY20FSK75NB</t>
  </si>
  <si>
    <t>2126FY2075NB</t>
  </si>
  <si>
    <t>2128FY20FSK</t>
  </si>
  <si>
    <t>FY2021 JulFSK</t>
  </si>
  <si>
    <t>2128FY20FSK75NB</t>
  </si>
  <si>
    <t>FY2021 JulFSK75NB</t>
  </si>
  <si>
    <t>2128FY2075NB</t>
  </si>
  <si>
    <t>FY2021 Jul75NB</t>
  </si>
  <si>
    <t>2129FY20FSK</t>
  </si>
  <si>
    <t>2129FY20FSK75NB</t>
  </si>
  <si>
    <t>2129FY2075NB</t>
  </si>
  <si>
    <t>2102FY20FSK</t>
  </si>
  <si>
    <t>FY2021 JanFSK</t>
  </si>
  <si>
    <t>2102FY20FSK75NB</t>
  </si>
  <si>
    <t>FY2021 JanFSK75NB</t>
  </si>
  <si>
    <t>2102FY2075NB</t>
  </si>
  <si>
    <t>FY2021 Jan75NB</t>
  </si>
  <si>
    <t>2103FY20FSK</t>
  </si>
  <si>
    <t>2103FY20FSK75NB</t>
  </si>
  <si>
    <t>2103FY2075NB</t>
  </si>
  <si>
    <t>2104FY20FSK</t>
  </si>
  <si>
    <t>2104FY20FSK75NB</t>
  </si>
  <si>
    <t>2104FY2075NB</t>
  </si>
  <si>
    <t>2105FY20FSK</t>
  </si>
  <si>
    <t>FY2021 FebFSK</t>
  </si>
  <si>
    <t>2105FY20FSK75NB</t>
  </si>
  <si>
    <t>FY2021 FebFSK75NB</t>
  </si>
  <si>
    <t>2105FY2075NB</t>
  </si>
  <si>
    <t>FY2021 Feb75NB</t>
  </si>
  <si>
    <t>2106FY20FSK</t>
  </si>
  <si>
    <t>2106FY20FSK75NB</t>
  </si>
  <si>
    <t>2106FY2075NB</t>
  </si>
  <si>
    <t>2107FY20FSK</t>
  </si>
  <si>
    <t>2107FY20FSK75NB</t>
  </si>
  <si>
    <t>2107FY2075NB</t>
  </si>
  <si>
    <t>2108FY20FSK</t>
  </si>
  <si>
    <t>2108FY20FSK75NB</t>
  </si>
  <si>
    <t>2108FY2075NB</t>
  </si>
  <si>
    <t>2109FY20FSK</t>
  </si>
  <si>
    <t>FY2021 MarFSK</t>
  </si>
  <si>
    <t>2109FY20FSK75NB</t>
  </si>
  <si>
    <t>FY2021 MarFSK75NB</t>
  </si>
  <si>
    <t>2109FY2075NB</t>
  </si>
  <si>
    <t>FY2021 Mar75NB</t>
  </si>
  <si>
    <t>2110FY20FSK</t>
  </si>
  <si>
    <t>2110FY20FSK75NB</t>
  </si>
  <si>
    <t>2110FY2075NB</t>
  </si>
  <si>
    <t>2111FY20FSK</t>
  </si>
  <si>
    <t>2111FY20FSK75NB</t>
  </si>
  <si>
    <t>2111FY2075NB</t>
  </si>
  <si>
    <t>2112FY20FSK</t>
  </si>
  <si>
    <t>2112FY20FSK75NB</t>
  </si>
  <si>
    <t>2112FY2075NB</t>
  </si>
  <si>
    <t>2113FY20FSK</t>
  </si>
  <si>
    <t>2113FY20FSK75NB</t>
  </si>
  <si>
    <t>2113FY2075NB</t>
  </si>
  <si>
    <t>2114FY20FSK</t>
  </si>
  <si>
    <t>2114FY20FSK75NB</t>
  </si>
  <si>
    <t>2114FY2075NB</t>
  </si>
  <si>
    <t>2115FY20FSK</t>
  </si>
  <si>
    <t>2115FY20FSK75NB</t>
  </si>
  <si>
    <t>2115FY2075NB</t>
  </si>
  <si>
    <t>2117FY20FSK</t>
  </si>
  <si>
    <t>2117FY20FSK75NB</t>
  </si>
  <si>
    <t>2117FY2075NB</t>
  </si>
  <si>
    <t>2101FY20FSK</t>
  </si>
  <si>
    <t>2101FY20FSK85NB</t>
  </si>
  <si>
    <t>FY2021 JanFSK85NB</t>
  </si>
  <si>
    <t>2101FY2085NB</t>
  </si>
  <si>
    <t>FY2021 Jan85NB</t>
  </si>
  <si>
    <t>2102FY20FSK85NB</t>
  </si>
  <si>
    <t>2102FY2085NB</t>
  </si>
  <si>
    <t>2103FY20FSK85NB</t>
  </si>
  <si>
    <t>2103FY2085NB</t>
  </si>
  <si>
    <t>2104FY20FSK85NB</t>
  </si>
  <si>
    <t>2104FY2085NB</t>
  </si>
  <si>
    <t>2105FY20FSK85NB</t>
  </si>
  <si>
    <t>FY2021 FebFSK85NB</t>
  </si>
  <si>
    <t>2105FY2085NB</t>
  </si>
  <si>
    <t>FY2021 Feb85NB</t>
  </si>
  <si>
    <t>2106FY20FSK85NB</t>
  </si>
  <si>
    <t>2106FY2085NB</t>
  </si>
  <si>
    <t>2107FY20FSK85NB</t>
  </si>
  <si>
    <t>2107FY2085NB</t>
  </si>
  <si>
    <t>2108FY20FSK85NB</t>
  </si>
  <si>
    <t>2108FY2085NB</t>
  </si>
  <si>
    <t>2109FY20FSK85NB</t>
  </si>
  <si>
    <t>FY2021 MarFSK85NB</t>
  </si>
  <si>
    <t>2109FY2085NB</t>
  </si>
  <si>
    <t>FY2021 Mar85NB</t>
  </si>
  <si>
    <t>2110FY20FSK85NB</t>
  </si>
  <si>
    <t>2110FY2085NB</t>
  </si>
  <si>
    <t>2111FY20FSK85NB</t>
  </si>
  <si>
    <t>2111FY2085NB</t>
  </si>
  <si>
    <t>2112FY20FSK85NB</t>
  </si>
  <si>
    <t>2112FY2085NB</t>
  </si>
  <si>
    <t>2113FY20FSK85NB</t>
  </si>
  <si>
    <t>2113FY2085NB</t>
  </si>
  <si>
    <t>2114FY20FSK85NB</t>
  </si>
  <si>
    <t>FY2021 AprFSK85NB</t>
  </si>
  <si>
    <t>2114FY2085NB</t>
  </si>
  <si>
    <t>FY2021 Apr85NB</t>
  </si>
  <si>
    <t>2116FY20FSK85NB</t>
  </si>
  <si>
    <t>2116FY2085NB</t>
  </si>
  <si>
    <t>2117FY20FSK85NB</t>
  </si>
  <si>
    <t>2117FY2085NB</t>
  </si>
  <si>
    <t>2118FY20FSK85NB</t>
  </si>
  <si>
    <t>FY2021 MayFSK85NB</t>
  </si>
  <si>
    <t>2118FY2085NB</t>
  </si>
  <si>
    <t>FY2021 May85NB</t>
  </si>
  <si>
    <t>2119FY20FSK85NB</t>
  </si>
  <si>
    <t>2119FY2085NB</t>
  </si>
  <si>
    <t>2121FY20FSK85NB</t>
  </si>
  <si>
    <t>2121FY2085NB</t>
  </si>
  <si>
    <t>2122FY20FSK85NB</t>
  </si>
  <si>
    <t>2122FY2085NB</t>
  </si>
  <si>
    <t>2123FY20FSK85NB</t>
  </si>
  <si>
    <t>FY2021 JunFSK85NB</t>
  </si>
  <si>
    <t>2123FY2085NB</t>
  </si>
  <si>
    <t>FY2021 Jun85NB</t>
  </si>
  <si>
    <t>2124FY20FSK85NB</t>
  </si>
  <si>
    <t>2124FY2085NB</t>
  </si>
  <si>
    <t>2125FY20FSK85NB</t>
  </si>
  <si>
    <t>2125FY2085NB</t>
  </si>
  <si>
    <t>2126FY20FSK85NB</t>
  </si>
  <si>
    <t>2126FY2085NB</t>
  </si>
  <si>
    <t>2133FY20FSK</t>
  </si>
  <si>
    <t>FY2021 AugFSK</t>
  </si>
  <si>
    <t>2133FY20FSK85NB</t>
  </si>
  <si>
    <t>FY2021 AugFSK85NB</t>
  </si>
  <si>
    <t>2133FY2085NB</t>
  </si>
  <si>
    <t>FY2021 Aug85NB</t>
  </si>
  <si>
    <t>2101FY20FSK75NE</t>
  </si>
  <si>
    <t>FY2021 JanFSK75NE</t>
  </si>
  <si>
    <t>2101FY2075NE</t>
  </si>
  <si>
    <t>FY2021 Jan75NE</t>
  </si>
  <si>
    <t>2102FY20FSK75NE</t>
  </si>
  <si>
    <t>2102FY2075NE</t>
  </si>
  <si>
    <t>2103FY20FSK75NE</t>
  </si>
  <si>
    <t>2103FY2075NE</t>
  </si>
  <si>
    <t>2110FY20FSK75NE</t>
  </si>
  <si>
    <t>FY2021 MarFSK75NE</t>
  </si>
  <si>
    <t>2110FY2075NE</t>
  </si>
  <si>
    <t>FY2021 Mar75NE</t>
  </si>
  <si>
    <t>2111FY20FSK75NE</t>
  </si>
  <si>
    <t>2111FY2075NE</t>
  </si>
  <si>
    <t>2112FY20FSK75NE</t>
  </si>
  <si>
    <t>2112FY2075NE</t>
  </si>
  <si>
    <t>2113FY20FSK75NE</t>
  </si>
  <si>
    <t>2113FY2075NE</t>
  </si>
  <si>
    <t>2114FY20FSK75NE</t>
  </si>
  <si>
    <t>FY2021 AprFSK75NE</t>
  </si>
  <si>
    <t>2114FY2075NE</t>
  </si>
  <si>
    <t>FY2021 Apr75NE</t>
  </si>
  <si>
    <t>2119FY20FSK75NE</t>
  </si>
  <si>
    <t>FY2021 MayFSK75NE</t>
  </si>
  <si>
    <t>2119FY2075NE</t>
  </si>
  <si>
    <t>FY2021 May75NE</t>
  </si>
  <si>
    <t>2102FY20FSK85NE</t>
  </si>
  <si>
    <t>FY2021 JanFSK85NE</t>
  </si>
  <si>
    <t>2102FY2085NE</t>
  </si>
  <si>
    <t>FY2021 Jan85NE</t>
  </si>
  <si>
    <t>2103FY20FSK85NE</t>
  </si>
  <si>
    <t>2103FY2085NE</t>
  </si>
  <si>
    <t>2106FY20FSK85NE</t>
  </si>
  <si>
    <t>FY2021 FebFSK85NE</t>
  </si>
  <si>
    <t>2106FY2085NE</t>
  </si>
  <si>
    <t>FY2021 Feb85NE</t>
  </si>
  <si>
    <t>2107FY20FSK85NE</t>
  </si>
  <si>
    <t>2107FY2085NE</t>
  </si>
  <si>
    <t>2110FY20FSK85NE</t>
  </si>
  <si>
    <t>FY2021 MarFSK85NE</t>
  </si>
  <si>
    <t>2110FY2085NE</t>
  </si>
  <si>
    <t>FY2021 Mar85NE</t>
  </si>
  <si>
    <t>2114FY20FSK85NE</t>
  </si>
  <si>
    <t>FY2021 AprFSK85NE</t>
  </si>
  <si>
    <t>2114FY2085NE</t>
  </si>
  <si>
    <t>FY2021 Apr85NE</t>
  </si>
  <si>
    <t>2115FY20FSK85NE</t>
  </si>
  <si>
    <t>2115FY2085NE</t>
  </si>
  <si>
    <t>2101FY20FSK55NH</t>
  </si>
  <si>
    <t>FY2021 JanFSK55NH</t>
  </si>
  <si>
    <t>2101FY2055NH</t>
  </si>
  <si>
    <t>FY2021 Jan55NH</t>
  </si>
  <si>
    <t>2102FY20FSK55NH</t>
  </si>
  <si>
    <t>2102FY2055NH</t>
  </si>
  <si>
    <t>2103FY20FSK55NH</t>
  </si>
  <si>
    <t>2103FY2055NH</t>
  </si>
  <si>
    <t>2104FY20FSK55NH</t>
  </si>
  <si>
    <t>2104FY2055NH</t>
  </si>
  <si>
    <t>2105FY20FSK55NH</t>
  </si>
  <si>
    <t>FY2021 FebFSK55NH</t>
  </si>
  <si>
    <t>2105FY2055NH</t>
  </si>
  <si>
    <t>FY2021 Feb55NH</t>
  </si>
  <si>
    <t>2106FY20FSK55NH</t>
  </si>
  <si>
    <t>2106FY2055NH</t>
  </si>
  <si>
    <t>2107FY20FSK55NH</t>
  </si>
  <si>
    <t>2107FY2055NH</t>
  </si>
  <si>
    <t>2108FY20FSK55NH</t>
  </si>
  <si>
    <t>2108FY2055NH</t>
  </si>
  <si>
    <t>2101FY20FSK65NH</t>
  </si>
  <si>
    <t>FY2021 JanFSK65NH</t>
  </si>
  <si>
    <t>2101FY2065NH</t>
  </si>
  <si>
    <t>FY2021 Jan65NH</t>
  </si>
  <si>
    <t>2102FY20FSK65NH</t>
  </si>
  <si>
    <t>2102FY2065NH</t>
  </si>
  <si>
    <t>2103FY20FSK65NH</t>
  </si>
  <si>
    <t>2103FY2065NH</t>
  </si>
  <si>
    <t>2104FY20FSK65NH</t>
  </si>
  <si>
    <t>2104FY2065NH</t>
  </si>
  <si>
    <t>2105FY20FSK65NH</t>
  </si>
  <si>
    <t>FY2021 FebFSK65NH</t>
  </si>
  <si>
    <t>2105FY2065NH</t>
  </si>
  <si>
    <t>FY2021 Feb65NH</t>
  </si>
  <si>
    <t>2106FY20FSK65NH</t>
  </si>
  <si>
    <t>2106FY2065NH</t>
  </si>
  <si>
    <t>2107FY20FSK65NH</t>
  </si>
  <si>
    <t>2107FY2065NH</t>
  </si>
  <si>
    <t>2108FY20FSK65NH</t>
  </si>
  <si>
    <t>2108FY2065NH</t>
  </si>
  <si>
    <t>2101FY20FSK75NH</t>
  </si>
  <si>
    <t>FY2021 JanFSK75NH</t>
  </si>
  <si>
    <t>2101FY2075NH</t>
  </si>
  <si>
    <t>FY2021 Jan75NH</t>
  </si>
  <si>
    <t>2102FY20FSK75NH</t>
  </si>
  <si>
    <t>2102FY2075NH</t>
  </si>
  <si>
    <t>2103FY20FSK75NH</t>
  </si>
  <si>
    <t>2103FY2075NH</t>
  </si>
  <si>
    <t>2105FY20FSK75NH</t>
  </si>
  <si>
    <t>FY2021 FebFSK75NH</t>
  </si>
  <si>
    <t>2105FY2075NH</t>
  </si>
  <si>
    <t>FY2021 Feb75NH</t>
  </si>
  <si>
    <t>2106FY20FSK75NH</t>
  </si>
  <si>
    <t>2106FY2075NH</t>
  </si>
  <si>
    <t>2107FY20FSK75NH</t>
  </si>
  <si>
    <t>2107FY2075NH</t>
  </si>
  <si>
    <t>2101FY20FSK75NX</t>
  </si>
  <si>
    <t>FY2021 JanFSK75NX</t>
  </si>
  <si>
    <t>2101FY2075NX</t>
  </si>
  <si>
    <t>FY2021 Jan75NX</t>
  </si>
  <si>
    <t>2102FY20FSK75NX</t>
  </si>
  <si>
    <t>2102FY2075NX</t>
  </si>
  <si>
    <t>2105FY20FSK75NX</t>
  </si>
  <si>
    <t>FY2021 FebFSK75NX</t>
  </si>
  <si>
    <t>2105FY2075NX</t>
  </si>
  <si>
    <t>FY2021 Feb75NX</t>
  </si>
  <si>
    <t>2106FY20FSK75NX</t>
  </si>
  <si>
    <t>2106FY2075NX</t>
  </si>
  <si>
    <t>2103FY20FSK75NX</t>
  </si>
  <si>
    <t>2103FY2075NX</t>
  </si>
  <si>
    <t>2104FY20FSK75NX</t>
  </si>
  <si>
    <t>2104FY2075NX</t>
  </si>
  <si>
    <t>2107FY20FSK75NX</t>
  </si>
  <si>
    <t>2107FY2075NX</t>
  </si>
  <si>
    <t>2108FY20FSK75NX</t>
  </si>
  <si>
    <t>2108FY2075NX</t>
  </si>
  <si>
    <t>2109FY20FSK75NX</t>
  </si>
  <si>
    <t>FY2021 MarFSK75NX</t>
  </si>
  <si>
    <t>2109FY2075NX</t>
  </si>
  <si>
    <t>FY2021 Mar75NX</t>
  </si>
  <si>
    <t>2110FY20FSK75NX</t>
  </si>
  <si>
    <t>2110FY2075NX</t>
  </si>
  <si>
    <t>2111FY20FSK75NX</t>
  </si>
  <si>
    <t>2111FY2075NX</t>
  </si>
  <si>
    <t>2112FY20FSK75NX</t>
  </si>
  <si>
    <t>2112FY2075NX</t>
  </si>
  <si>
    <t>2113FY20FSK75NX</t>
  </si>
  <si>
    <t>2113FY2075NX</t>
  </si>
  <si>
    <t>2114FY20FSK75NX</t>
  </si>
  <si>
    <t>FY2021 AprFSK75NX</t>
  </si>
  <si>
    <t>2114FY2075NX</t>
  </si>
  <si>
    <t>FY2021 Apr75NX</t>
  </si>
  <si>
    <t>2115FY20FSK75NX</t>
  </si>
  <si>
    <t>2115FY2075NX</t>
  </si>
  <si>
    <t>2116FY20FSK75NX</t>
  </si>
  <si>
    <t>2116FY2075NX</t>
  </si>
  <si>
    <t>2117FY20FSK75NX</t>
  </si>
  <si>
    <t>2117FY2075NX</t>
  </si>
  <si>
    <t>2118FY20FSK75NX</t>
  </si>
  <si>
    <t>FY2021 MayFSK75NX</t>
  </si>
  <si>
    <t>2118FY2075NX</t>
  </si>
  <si>
    <t>FY2021 May75NX</t>
  </si>
  <si>
    <t>2119FY20FSK75NX</t>
  </si>
  <si>
    <t>2119FY2075NX</t>
  </si>
  <si>
    <t>2120FY20FSK</t>
  </si>
  <si>
    <t>2120FY20FSK75NX</t>
  </si>
  <si>
    <t>2120FY2075NX</t>
  </si>
  <si>
    <t>2121FY20FSK75NX</t>
  </si>
  <si>
    <t>2121FY2075NX</t>
  </si>
  <si>
    <t>2122FY20FSK75NX</t>
  </si>
  <si>
    <t>2122FY2075NX</t>
  </si>
  <si>
    <t>2123FY20FSK75NX</t>
  </si>
  <si>
    <t>FY2021 JunFSK75NX</t>
  </si>
  <si>
    <t>2123FY2075NX</t>
  </si>
  <si>
    <t>FY2021 Jun75NX</t>
  </si>
  <si>
    <t>2124FY20FSK75NX</t>
  </si>
  <si>
    <t>2124FY2075NX</t>
  </si>
  <si>
    <t>2125FY20FSK75NX</t>
  </si>
  <si>
    <t>2125FY2075NX</t>
  </si>
  <si>
    <t>2127FY20FSK</t>
  </si>
  <si>
    <t>2127FY20FSK75NX</t>
  </si>
  <si>
    <t>FY2021 JulFSK75NX</t>
  </si>
  <si>
    <t>2127FY2075NX</t>
  </si>
  <si>
    <t>FY2021 Jul75NX</t>
  </si>
  <si>
    <t>2128FY20FSK75NX</t>
  </si>
  <si>
    <t>2128FY2075NX</t>
  </si>
  <si>
    <t>2129FY20FSK75NX</t>
  </si>
  <si>
    <t>2129FY2075NX</t>
  </si>
  <si>
    <t>2133FY20FSK75NX</t>
  </si>
  <si>
    <t>FY2021 AugFSK75NX</t>
  </si>
  <si>
    <t>2133FY2075NX</t>
  </si>
  <si>
    <t>FY2021 Aug75NX</t>
  </si>
  <si>
    <t>2101FY20FSK85NX</t>
  </si>
  <si>
    <t>FY2021 JanFSK85NX</t>
  </si>
  <si>
    <t>2101FY2085NX</t>
  </si>
  <si>
    <t>FY2021 Jan85NX</t>
  </si>
  <si>
    <t>2102FY20FSK85NX</t>
  </si>
  <si>
    <t>2102FY2085NX</t>
  </si>
  <si>
    <t>2103FY20FSK85NX</t>
  </si>
  <si>
    <t>2103FY2085NX</t>
  </si>
  <si>
    <t>2105FY20FSK85NX</t>
  </si>
  <si>
    <t>FY2021 FebFSK85NX</t>
  </si>
  <si>
    <t>2105FY2085NX</t>
  </si>
  <si>
    <t>FY2021 Feb85NX</t>
  </si>
  <si>
    <t>2106FY20FSK85NX</t>
  </si>
  <si>
    <t>2106FY2085NX</t>
  </si>
  <si>
    <t>2107FY20FSK85NX</t>
  </si>
  <si>
    <t>2107FY2085NX</t>
  </si>
  <si>
    <t>2108FY20FSK85NX</t>
  </si>
  <si>
    <t>2108FY2085NX</t>
  </si>
  <si>
    <t>2109FY20FSK85NX</t>
  </si>
  <si>
    <t>FY2021 MarFSK85NX</t>
  </si>
  <si>
    <t>2109FY2085NX</t>
  </si>
  <si>
    <t>FY2021 Mar85NX</t>
  </si>
  <si>
    <t>2110FY20FSK85NX</t>
  </si>
  <si>
    <t>2110FY2085NX</t>
  </si>
  <si>
    <t>2111FY20FSK85NX</t>
  </si>
  <si>
    <t>2111FY2085NX</t>
  </si>
  <si>
    <t>2112FY20FSK85NX</t>
  </si>
  <si>
    <t>2112FY2085NX</t>
  </si>
  <si>
    <t>2113FY20FSK85NX</t>
  </si>
  <si>
    <t>2113FY2085NX</t>
  </si>
  <si>
    <t>2114FY20FSK85NX</t>
  </si>
  <si>
    <t>FY2021 AprFSK85NX</t>
  </si>
  <si>
    <t>2114FY2085NX</t>
  </si>
  <si>
    <t>FY2021 Apr85NX</t>
  </si>
  <si>
    <t>2115FY20FSK85NX</t>
  </si>
  <si>
    <t>2115FY2085NX</t>
  </si>
  <si>
    <t>2116FY20FSK85NX</t>
  </si>
  <si>
    <t>2116FY2085NX</t>
  </si>
  <si>
    <t>2117FY20FSK85NX</t>
  </si>
  <si>
    <t>2117FY2085NX</t>
  </si>
  <si>
    <t>2118FY20FSK85NX</t>
  </si>
  <si>
    <t>FY2021 MayFSK85NX</t>
  </si>
  <si>
    <t>2118FY2085NX</t>
  </si>
  <si>
    <t>FY2021 May85NX</t>
  </si>
  <si>
    <t>2119FY20FSK85NX</t>
  </si>
  <si>
    <t>2119FY2085NX</t>
  </si>
  <si>
    <t>2120FY20FSK85NX</t>
  </si>
  <si>
    <t>2120FY2085NX</t>
  </si>
  <si>
    <t>2121FY20FSK85NX</t>
  </si>
  <si>
    <t>2121FY2085NX</t>
  </si>
  <si>
    <t>2122FY20FSK85NX</t>
  </si>
  <si>
    <t>2122FY2085NX</t>
  </si>
  <si>
    <t>2123FY20FSK85NX</t>
  </si>
  <si>
    <t>FY2021 JunFSK85NX</t>
  </si>
  <si>
    <t>2123FY2085NX</t>
  </si>
  <si>
    <t>FY2021 Jun85NX</t>
  </si>
  <si>
    <t>2125FY20FSK85NX</t>
  </si>
  <si>
    <t>2125FY2085NX</t>
  </si>
  <si>
    <t>2126FY20FSK85NX</t>
  </si>
  <si>
    <t>2126FY2085NX</t>
  </si>
  <si>
    <t>2127FY20FSK85NX</t>
  </si>
  <si>
    <t>FY2021 JulFSK85NX</t>
  </si>
  <si>
    <t>2127FY2085NX</t>
  </si>
  <si>
    <t>FY2021 Jul85NX</t>
  </si>
  <si>
    <t>2128FY20FSK85NX</t>
  </si>
  <si>
    <t>2128FY2085NX</t>
  </si>
  <si>
    <t>2129FY20FSK85NX</t>
  </si>
  <si>
    <t>2129FY2085NX</t>
  </si>
  <si>
    <t>2132FY20FSK</t>
  </si>
  <si>
    <t>2132FY20FSK85NX</t>
  </si>
  <si>
    <t>FY2021 AugFSK85NX</t>
  </si>
  <si>
    <t>2132FY2085NX</t>
  </si>
  <si>
    <t>FY2021 Aug85NX</t>
  </si>
  <si>
    <t>2133FY20FSK85NX</t>
  </si>
  <si>
    <t>2133FY2085NX</t>
  </si>
  <si>
    <t>2101FY20FSK75NXB</t>
  </si>
  <si>
    <t>FY2021 JanFSK75NXB</t>
  </si>
  <si>
    <t>2101FY2075NXB</t>
  </si>
  <si>
    <t>FY2021 Jan75NXB</t>
  </si>
  <si>
    <t>2107FY20FSK75NXB</t>
  </si>
  <si>
    <t>FY2021 FebFSK75NXB</t>
  </si>
  <si>
    <t>2107FY2075NXB</t>
  </si>
  <si>
    <t>FY2021 Feb75NXB</t>
  </si>
  <si>
    <t>2108FY20FSK75NXB</t>
  </si>
  <si>
    <t>2108FY2075NXB</t>
  </si>
  <si>
    <t>2110FY20FSK75NXB</t>
  </si>
  <si>
    <t>FY2021 MarFSK75NXB</t>
  </si>
  <si>
    <t>2110FY2075NXB</t>
  </si>
  <si>
    <t>FY2021 Mar75NXB</t>
  </si>
  <si>
    <t>2112FY20FSK75NXB</t>
  </si>
  <si>
    <t>2112FY2075NXB</t>
  </si>
  <si>
    <t>2114FY20FSK75NXB</t>
  </si>
  <si>
    <t>FY2021 AprFSK75NXB</t>
  </si>
  <si>
    <t>2114FY2075NXB</t>
  </si>
  <si>
    <t>FY2021 Apr75NXB</t>
  </si>
  <si>
    <t>2117FY20FSK75NXB</t>
  </si>
  <si>
    <t>2117FY2075NXB</t>
  </si>
  <si>
    <t>2124FY20FSK75NXB</t>
  </si>
  <si>
    <t>FY2021 JunFSK75NXB</t>
  </si>
  <si>
    <t>2124FY2075NXB</t>
  </si>
  <si>
    <t>FY2021 Jun75NXB</t>
  </si>
  <si>
    <t>2125FY20FSK75NXB</t>
  </si>
  <si>
    <t>2125FY2075NXB</t>
  </si>
  <si>
    <t>2127FY20FSK75NXB</t>
  </si>
  <si>
    <t>FY2021 JulFSK75NXB</t>
  </si>
  <si>
    <t>2127FY2075NXB</t>
  </si>
  <si>
    <t>FY2021 Jul75NXB</t>
  </si>
  <si>
    <t>2128FY20FSK75NXB</t>
  </si>
  <si>
    <t>2128FY2075NXB</t>
  </si>
  <si>
    <t>2129FY20FSK75NXB</t>
  </si>
  <si>
    <t>2129FY2075NXB</t>
  </si>
  <si>
    <t>2133FY20FSK75NXB</t>
  </si>
  <si>
    <t>FY2021 AugFSK75NXB</t>
  </si>
  <si>
    <t>2133FY2075NXB</t>
  </si>
  <si>
    <t>FY2021 Aug75NXB</t>
  </si>
  <si>
    <t>2102FY20FSK85NXB</t>
  </si>
  <si>
    <t>FY2021 JanFSK85NXB</t>
  </si>
  <si>
    <t>2102FY2085NXB</t>
  </si>
  <si>
    <t>FY2021 Jan85NXB</t>
  </si>
  <si>
    <t>2103FY20FSK85NXB</t>
  </si>
  <si>
    <t>2103FY2085NXB</t>
  </si>
  <si>
    <t>2107FY20FSK85NXB</t>
  </si>
  <si>
    <t>FY2021 FebFSK85NXB</t>
  </si>
  <si>
    <t>2107FY2085NXB</t>
  </si>
  <si>
    <t>FY2021 Feb85NXB</t>
  </si>
  <si>
    <t>2109FY20FSK85NXB</t>
  </si>
  <si>
    <t>FY2021 MarFSK85NXB</t>
  </si>
  <si>
    <t>2109FY2085NXB</t>
  </si>
  <si>
    <t>FY2021 Mar85NXB</t>
  </si>
  <si>
    <t>2110FY20FSK85NXB</t>
  </si>
  <si>
    <t>2110FY2085NXB</t>
  </si>
  <si>
    <t>2111FY20FSK85NXB</t>
  </si>
  <si>
    <t>2111FY2085NXB</t>
  </si>
  <si>
    <t>2113FY20FSK85NXB</t>
  </si>
  <si>
    <t>2113FY2085NXB</t>
  </si>
  <si>
    <t>2114FY20FSK85NXB</t>
  </si>
  <si>
    <t>FY2021 AprFSK85NXB</t>
  </si>
  <si>
    <t>2114FY2085NXB</t>
  </si>
  <si>
    <t>FY2021 Apr85NXB</t>
  </si>
  <si>
    <t>2116FY20FSK85NXB</t>
  </si>
  <si>
    <t>2116FY2085NXB</t>
  </si>
  <si>
    <t>2117FY20FSK85NXB</t>
  </si>
  <si>
    <t>2117FY2085NXB</t>
  </si>
  <si>
    <t>2118FY20FSK85NXB</t>
  </si>
  <si>
    <t>FY2021 MayFSK85NXB</t>
  </si>
  <si>
    <t>2118FY2085NXB</t>
  </si>
  <si>
    <t>FY2021 May85NXB</t>
  </si>
  <si>
    <t>2122FY20FSK85NXB</t>
  </si>
  <si>
    <t>2122FY2085NXB</t>
  </si>
  <si>
    <t>2123FY20FSK85NXB</t>
  </si>
  <si>
    <t>FY2021 JunFSK85NXB</t>
  </si>
  <si>
    <t>2123FY2085NXB</t>
  </si>
  <si>
    <t>FY2021 Jun85NXB</t>
  </si>
  <si>
    <t>2125FY20FSK85NXB</t>
  </si>
  <si>
    <t>2125FY2085NXB</t>
  </si>
  <si>
    <t>2127FY20FSK85NXB</t>
  </si>
  <si>
    <t>FY2021 JulFSK85NXB</t>
  </si>
  <si>
    <t>2127FY2085NXB</t>
  </si>
  <si>
    <t>FY2021 Jul85NXB</t>
  </si>
  <si>
    <t>2128FY20FSK85NXB</t>
  </si>
  <si>
    <t>2128FY2085NXB</t>
  </si>
  <si>
    <t>2129FY20FSK85NXB</t>
  </si>
  <si>
    <t>2129FY2085NXB</t>
  </si>
  <si>
    <t>2133FY20FSK85NXB</t>
  </si>
  <si>
    <t>FY2021 AugFSK85NXB</t>
  </si>
  <si>
    <t>2133FY2085NXB</t>
  </si>
  <si>
    <t>FY2021 Aug85NXB</t>
  </si>
  <si>
    <t>2102FY19FSK</t>
  </si>
  <si>
    <t>FY1921 JanFSK</t>
  </si>
  <si>
    <t>2102FY19FSKSB85</t>
  </si>
  <si>
    <t>FY1921 JanFSKSB85</t>
  </si>
  <si>
    <t>2102FY19SB85</t>
  </si>
  <si>
    <t>FY1921 JanSB85</t>
  </si>
  <si>
    <t>2103FY19FSK</t>
  </si>
  <si>
    <t>2103FY19FSKSB85</t>
  </si>
  <si>
    <t>2103FY19SB85</t>
  </si>
  <si>
    <t>2104FY19FSK</t>
  </si>
  <si>
    <t>2104FY19FSKSB85</t>
  </si>
  <si>
    <t>2104FY19SB85</t>
  </si>
  <si>
    <t>2105FY19FSK</t>
  </si>
  <si>
    <t>FY1921 FebFSK</t>
  </si>
  <si>
    <t>2105FY19FSKSB85</t>
  </si>
  <si>
    <t>FY1921 FebFSKSB85</t>
  </si>
  <si>
    <t>2105FY19SB85</t>
  </si>
  <si>
    <t>FY1921 FebSB85</t>
  </si>
  <si>
    <t>2106FY19FSK</t>
  </si>
  <si>
    <t>2106FY19FSKSB85</t>
  </si>
  <si>
    <t>2106FY19SB85</t>
  </si>
  <si>
    <t>2107FY19FSK</t>
  </si>
  <si>
    <t>2107FY19FSKSB85</t>
  </si>
  <si>
    <t>2107FY19SB85</t>
  </si>
  <si>
    <t>2108FY19FSK</t>
  </si>
  <si>
    <t>2108FY19FSKSB85</t>
  </si>
  <si>
    <t>2108FY19SB85</t>
  </si>
  <si>
    <t>2101FY19FSK</t>
  </si>
  <si>
    <t>2101FY19FSKSBL49</t>
  </si>
  <si>
    <t>FY1921 JanFSKSBL49</t>
  </si>
  <si>
    <t>2101FY19SBL49</t>
  </si>
  <si>
    <t>FY1921 JanSBL49</t>
  </si>
  <si>
    <t>2102FY19FSKSBL49</t>
  </si>
  <si>
    <t>2102FY19SBL49</t>
  </si>
  <si>
    <t>2103FY19FSKSBL49</t>
  </si>
  <si>
    <t>2103FY19SBL49</t>
  </si>
  <si>
    <t>2104FY19FSKSBL49</t>
  </si>
  <si>
    <t>2104FY19SBL49</t>
  </si>
  <si>
    <t>2105FY19FSKSBL49</t>
  </si>
  <si>
    <t>FY1921 FebFSKSBL49</t>
  </si>
  <si>
    <t>2105FY19SBL49</t>
  </si>
  <si>
    <t>FY1921 FebSBL49</t>
  </si>
  <si>
    <t>2106FY19FSKSBL49</t>
  </si>
  <si>
    <t>2106FY19SBL49</t>
  </si>
  <si>
    <t>2107FY19FSKSBL49</t>
  </si>
  <si>
    <t>2107FY19SBL49</t>
  </si>
  <si>
    <t>2108FY19FSKSBL49</t>
  </si>
  <si>
    <t>2108FY19SBL49</t>
  </si>
  <si>
    <t>2015FY20INZ</t>
  </si>
  <si>
    <t>FY2020 AprINZ</t>
  </si>
  <si>
    <t>2020FY20INZ</t>
  </si>
  <si>
    <t>FY2020 MayINZ</t>
  </si>
  <si>
    <t>2022FY20INZ</t>
  </si>
  <si>
    <t>FY2020 JunINZ</t>
  </si>
  <si>
    <t>2023FY20INZ</t>
  </si>
  <si>
    <t>2024FY20INZ</t>
  </si>
  <si>
    <t>2025FY20INZ</t>
  </si>
  <si>
    <t>2027FY20INZ</t>
  </si>
  <si>
    <t>FY2020 JulINZ</t>
  </si>
  <si>
    <t>2028FY20INZ</t>
  </si>
  <si>
    <t>2032FY20INZ</t>
  </si>
  <si>
    <t>FY2020 AugINZ</t>
  </si>
  <si>
    <t>2035FY20INZ</t>
  </si>
  <si>
    <t>2036FY20INZ</t>
  </si>
  <si>
    <t>FY2020 SepINZ</t>
  </si>
  <si>
    <t>2041FY20INZ</t>
  </si>
  <si>
    <t>FY2020 OctINZ</t>
  </si>
  <si>
    <t>2042FY20INZ</t>
  </si>
  <si>
    <t>2044FY20INZ</t>
  </si>
  <si>
    <t>FY2020 NovINZ</t>
  </si>
  <si>
    <t>2045FY20INZ</t>
  </si>
  <si>
    <t>2047FY20INZ</t>
  </si>
  <si>
    <t>2049FY20INZ</t>
  </si>
  <si>
    <t>FY2020 DecINZ</t>
  </si>
  <si>
    <t>2051FY20INZ</t>
  </si>
  <si>
    <t>2052FY20INZ</t>
  </si>
  <si>
    <t>FY2021 JanINZ</t>
  </si>
  <si>
    <t>2105FY20INZ</t>
  </si>
  <si>
    <t>FY2021 FebINZ</t>
  </si>
  <si>
    <t>2107FY20INZ</t>
  </si>
  <si>
    <t>2112FY20INZ</t>
  </si>
  <si>
    <t>FY2021 MarINZ</t>
  </si>
  <si>
    <t>2115FY20INZ</t>
  </si>
  <si>
    <t>FY2021 AprINZ</t>
  </si>
  <si>
    <t>2119FY20INZ</t>
  </si>
  <si>
    <t>FY2021 MayINZ</t>
  </si>
  <si>
    <t>2120FY20INZ</t>
  </si>
  <si>
    <t>FY2021 JulINZ</t>
  </si>
  <si>
    <t>2017FY20INZ</t>
  </si>
  <si>
    <t>2021FY20INZ</t>
  </si>
  <si>
    <t>2026FY20INZ</t>
  </si>
  <si>
    <t>2030FY20INZ</t>
  </si>
  <si>
    <t>2034FY20INZ</t>
  </si>
  <si>
    <t>2037FY20INZ</t>
  </si>
  <si>
    <t>2038FY20INZ</t>
  </si>
  <si>
    <t>2039FY20INZ</t>
  </si>
  <si>
    <t>2040FY20INZ</t>
  </si>
  <si>
    <t>2043FY20INZ</t>
  </si>
  <si>
    <t>2050FY20INZ</t>
  </si>
  <si>
    <t>2102FY20INZ</t>
  </si>
  <si>
    <t>2106FY20INZ</t>
  </si>
  <si>
    <t>2108FY20INZ</t>
  </si>
  <si>
    <t>2110FY20INZ</t>
  </si>
  <si>
    <t>2111FY20INZ</t>
  </si>
  <si>
    <t>2116FY20INZ</t>
  </si>
  <si>
    <t>2013FY20INZ</t>
  </si>
  <si>
    <t>FY2020 MarINZ</t>
  </si>
  <si>
    <t>2013FY20INZ55NH</t>
  </si>
  <si>
    <t>FY2020 MarINZ55NH</t>
  </si>
  <si>
    <t>2013FY2055NH</t>
  </si>
  <si>
    <t>FY2020 Mar55NH</t>
  </si>
  <si>
    <t>2015FY20INZ55NH</t>
  </si>
  <si>
    <t>FY2020 AprINZ55NH</t>
  </si>
  <si>
    <t>2015FY2055NH</t>
  </si>
  <si>
    <t>FY2020 Apr55NH</t>
  </si>
  <si>
    <t>2016FY20INZ</t>
  </si>
  <si>
    <t>2016FY20INZ55NH</t>
  </si>
  <si>
    <t>2016FY2055NH</t>
  </si>
  <si>
    <t>2017FY20INZ55NH</t>
  </si>
  <si>
    <t>2017FY2055NH</t>
  </si>
  <si>
    <t>2019FY20INZ</t>
  </si>
  <si>
    <t>2019FY20INZ55NH</t>
  </si>
  <si>
    <t>FY2020 MayINZ55NH</t>
  </si>
  <si>
    <t>2019FY2055NH</t>
  </si>
  <si>
    <t>FY2020 May55NH</t>
  </si>
  <si>
    <t>2020FY20INZ55NH</t>
  </si>
  <si>
    <t>2020FY2055NH</t>
  </si>
  <si>
    <t>2021FY20INZ55NH</t>
  </si>
  <si>
    <t>2021FY2055NH</t>
  </si>
  <si>
    <t>2022FY20INZ55NH</t>
  </si>
  <si>
    <t>FY2020 JunINZ55NH</t>
  </si>
  <si>
    <t>2022FY2055NH</t>
  </si>
  <si>
    <t>FY2020 Jun55NH</t>
  </si>
  <si>
    <t>2023FY20INZ55NH</t>
  </si>
  <si>
    <t>2023FY2055NH</t>
  </si>
  <si>
    <t>2025FY20INZ55NH</t>
  </si>
  <si>
    <t>2025FY2055NH</t>
  </si>
  <si>
    <t>2026FY20INZ55NH</t>
  </si>
  <si>
    <t>2026FY2055NH</t>
  </si>
  <si>
    <t>2027FY20INZ55NH</t>
  </si>
  <si>
    <t>FY2020 JulINZ55NH</t>
  </si>
  <si>
    <t>2027FY2055NH</t>
  </si>
  <si>
    <t>FY2020 Jul55NH</t>
  </si>
  <si>
    <t>2028FY20INZ55NH</t>
  </si>
  <si>
    <t>2028FY2055NH</t>
  </si>
  <si>
    <t>2030FY20INZ55NH</t>
  </si>
  <si>
    <t>2030FY2055NH</t>
  </si>
  <si>
    <t>2031FY20INZ</t>
  </si>
  <si>
    <t>2031FY20INZ55NH</t>
  </si>
  <si>
    <t>FY2020 AugINZ55NH</t>
  </si>
  <si>
    <t>2031FY2055NH</t>
  </si>
  <si>
    <t>FY2020 Aug55NH</t>
  </si>
  <si>
    <t>2033FY20INZ</t>
  </si>
  <si>
    <t>2033FY20INZ55NH</t>
  </si>
  <si>
    <t>2033FY2055NH</t>
  </si>
  <si>
    <t>2034FY20INZ55NH</t>
  </si>
  <si>
    <t>2034FY2055NH</t>
  </si>
  <si>
    <t>2035FY20INZ55NH</t>
  </si>
  <si>
    <t>2035FY2055NH</t>
  </si>
  <si>
    <t>2036FY20INZ55NH</t>
  </si>
  <si>
    <t>FY2020 SepINZ55NH</t>
  </si>
  <si>
    <t>2036FY2055NH</t>
  </si>
  <si>
    <t>FY2020 Sep55NH</t>
  </si>
  <si>
    <t>2037FY20INZ55NH</t>
  </si>
  <si>
    <t>2037FY2055NH</t>
  </si>
  <si>
    <t>2038FY20INZ55NH</t>
  </si>
  <si>
    <t>2038FY2055NH</t>
  </si>
  <si>
    <t>2039FY20INZ55NH</t>
  </si>
  <si>
    <t>2039FY2055NH</t>
  </si>
  <si>
    <t>2040FY20INZ55NH</t>
  </si>
  <si>
    <t>FY2020 OctINZ55NH</t>
  </si>
  <si>
    <t>2040FY2055NH</t>
  </si>
  <si>
    <t>FY2020 Oct55NH</t>
  </si>
  <si>
    <t>2041FY20INZ55NH</t>
  </si>
  <si>
    <t>2041FY2055NH</t>
  </si>
  <si>
    <t>2042FY20INZ55NH</t>
  </si>
  <si>
    <t>2042FY2055NH</t>
  </si>
  <si>
    <t>2043FY20INZ55NH</t>
  </si>
  <si>
    <t>2043FY2055NH</t>
  </si>
  <si>
    <t>2044FY20INZ55NH</t>
  </si>
  <si>
    <t>FY2020 NovINZ55NH</t>
  </si>
  <si>
    <t>2044FY2055NH</t>
  </si>
  <si>
    <t>FY2020 Nov55NH</t>
  </si>
  <si>
    <t>2045FY20INZ55NH</t>
  </si>
  <si>
    <t>2045FY2055NH</t>
  </si>
  <si>
    <t>2046FY20INZ</t>
  </si>
  <si>
    <t>2046FY20INZ55NH</t>
  </si>
  <si>
    <t>2046FY2055NH</t>
  </si>
  <si>
    <t>2047FY20INZ55NH</t>
  </si>
  <si>
    <t>2047FY2055NH</t>
  </si>
  <si>
    <t>2049FY20INZ55NH</t>
  </si>
  <si>
    <t>FY2020 DecINZ55NH</t>
  </si>
  <si>
    <t>2049FY2055NH</t>
  </si>
  <si>
    <t>FY2020 Dec55NH</t>
  </si>
  <si>
    <t>2050FY20INZ55NH</t>
  </si>
  <si>
    <t>2050FY2055NH</t>
  </si>
  <si>
    <t>2051FY20INZ55NH</t>
  </si>
  <si>
    <t>2051FY2055NH</t>
  </si>
  <si>
    <t>2052FY20INZ55NH</t>
  </si>
  <si>
    <t>2052FY2055NH</t>
  </si>
  <si>
    <t>2102FY20INZ55NH</t>
  </si>
  <si>
    <t>FY2021 JanINZ55NH</t>
  </si>
  <si>
    <t>2105FY20INZ55NH</t>
  </si>
  <si>
    <t>FY2021 FebINZ55NH</t>
  </si>
  <si>
    <t>2106FY20INZ55NH</t>
  </si>
  <si>
    <t>2108FY20INZ55NH</t>
  </si>
  <si>
    <t>2109FY20INZ</t>
  </si>
  <si>
    <t>2109FY20INZ55NH</t>
  </si>
  <si>
    <t>FY2021 MarINZ55NH</t>
  </si>
  <si>
    <t>2109FY2055NH</t>
  </si>
  <si>
    <t>FY2021 Mar55NH</t>
  </si>
  <si>
    <t>2110FY20INZ55NH</t>
  </si>
  <si>
    <t>2110FY2055NH</t>
  </si>
  <si>
    <t>2111FY20INZ55NH</t>
  </si>
  <si>
    <t>2111FY2055NH</t>
  </si>
  <si>
    <t>2112FY20INZ55NH</t>
  </si>
  <si>
    <t>2112FY2055NH</t>
  </si>
  <si>
    <t>2114FY20INZ</t>
  </si>
  <si>
    <t>2114FY20INZ55NH</t>
  </si>
  <si>
    <t>FY2021 AprINZ55NH</t>
  </si>
  <si>
    <t>2114FY2055NH</t>
  </si>
  <si>
    <t>FY2021 Apr55NH</t>
  </si>
  <si>
    <t>2115FY20INZ55NH</t>
  </si>
  <si>
    <t>2115FY2055NH</t>
  </si>
  <si>
    <t>2116FY20INZ55NH</t>
  </si>
  <si>
    <t>2116FY2055NH</t>
  </si>
  <si>
    <t>2119FY20INZ55NH</t>
  </si>
  <si>
    <t>FY2021 MayINZ55NH</t>
  </si>
  <si>
    <t>2119FY2055NH</t>
  </si>
  <si>
    <t>FY2021 May55NH</t>
  </si>
  <si>
    <t>2121FY20INZ</t>
  </si>
  <si>
    <t>2121FY20INZ55NH</t>
  </si>
  <si>
    <t>2121FY2055NH</t>
  </si>
  <si>
    <t>2124FY20INZ</t>
  </si>
  <si>
    <t>FY2021 JunINZ</t>
  </si>
  <si>
    <t>2124FY20INZ55NH</t>
  </si>
  <si>
    <t>FY2021 JunINZ55NH</t>
  </si>
  <si>
    <t>2124FY2055NH</t>
  </si>
  <si>
    <t>FY2021 Jun55NH</t>
  </si>
  <si>
    <t>2131FY20INZ</t>
  </si>
  <si>
    <t>FY2021 AugINZ</t>
  </si>
  <si>
    <t>2131FY20INZ55NH</t>
  </si>
  <si>
    <t>FY2021 AugINZ55NH</t>
  </si>
  <si>
    <t>2131FY2055NH</t>
  </si>
  <si>
    <t>FY2021 Aug55NH</t>
  </si>
  <si>
    <t>2013FY20INZ65NH</t>
  </si>
  <si>
    <t>FY2020 MarINZ65NH</t>
  </si>
  <si>
    <t>2013FY2065NH</t>
  </si>
  <si>
    <t>FY2020 Mar65NH</t>
  </si>
  <si>
    <t>2015FY20INZ65NH</t>
  </si>
  <si>
    <t>FY2020 AprINZ65NH</t>
  </si>
  <si>
    <t>2015FY2065NH</t>
  </si>
  <si>
    <t>FY2020 Apr65NH</t>
  </si>
  <si>
    <t>2017FY20INZ65NH</t>
  </si>
  <si>
    <t>2017FY2065NH</t>
  </si>
  <si>
    <t>2022FY20INZ65NH</t>
  </si>
  <si>
    <t>FY2020 JunINZ65NH</t>
  </si>
  <si>
    <t>2022FY2065NH</t>
  </si>
  <si>
    <t>FY2020 Jun65NH</t>
  </si>
  <si>
    <t>2024FY20INZ65NH</t>
  </si>
  <si>
    <t>2024FY2065NH</t>
  </si>
  <si>
    <t>2025FY20INZ65NH</t>
  </si>
  <si>
    <t>2025FY2065NH</t>
  </si>
  <si>
    <t>2026FY20INZ65NH</t>
  </si>
  <si>
    <t>2026FY2065NH</t>
  </si>
  <si>
    <t>2027FY20INZ65NH</t>
  </si>
  <si>
    <t>FY2020 JulINZ65NH</t>
  </si>
  <si>
    <t>2027FY2065NH</t>
  </si>
  <si>
    <t>FY2020 Jul65NH</t>
  </si>
  <si>
    <t>2028FY20INZ65NH</t>
  </si>
  <si>
    <t>2028FY2065NH</t>
  </si>
  <si>
    <t>2030FY20INZ65NH</t>
  </si>
  <si>
    <t>2030FY2065NH</t>
  </si>
  <si>
    <t>2031FY20INZ65NH</t>
  </si>
  <si>
    <t>FY2020 AugINZ65NH</t>
  </si>
  <si>
    <t>2031FY2065NH</t>
  </si>
  <si>
    <t>FY2020 Aug65NH</t>
  </si>
  <si>
    <t>2032FY20INZ65NH</t>
  </si>
  <si>
    <t>2032FY2065NH</t>
  </si>
  <si>
    <t>2033FY20INZ65NH</t>
  </si>
  <si>
    <t>2033FY2065NH</t>
  </si>
  <si>
    <t>2034FY20INZ65NH</t>
  </si>
  <si>
    <t>2034FY2065NH</t>
  </si>
  <si>
    <t>2035FY20INZ65NH</t>
  </si>
  <si>
    <t>2035FY2065NH</t>
  </si>
  <si>
    <t>2036FY20INZ65NH</t>
  </si>
  <si>
    <t>FY2020 SepINZ65NH</t>
  </si>
  <si>
    <t>2036FY2065NH</t>
  </si>
  <si>
    <t>FY2020 Sep65NH</t>
  </si>
  <si>
    <t>2037FY20INZ65NH</t>
  </si>
  <si>
    <t>2037FY2065NH</t>
  </si>
  <si>
    <t>2038FY20INZ65NH</t>
  </si>
  <si>
    <t>2038FY2065NH</t>
  </si>
  <si>
    <t>2040FY20INZ65NH</t>
  </si>
  <si>
    <t>FY2020 OctINZ65NH</t>
  </si>
  <si>
    <t>2040FY2065NH</t>
  </si>
  <si>
    <t>FY2020 Oct65NH</t>
  </si>
  <si>
    <t>2041FY20INZ65NH</t>
  </si>
  <si>
    <t>2041FY2065NH</t>
  </si>
  <si>
    <t>2042FY20INZ65NH</t>
  </si>
  <si>
    <t>2042FY2065NH</t>
  </si>
  <si>
    <t>2043FY20INZ65NH</t>
  </si>
  <si>
    <t>2043FY2065NH</t>
  </si>
  <si>
    <t>2044FY20INZ65NH</t>
  </si>
  <si>
    <t>FY2020 NovINZ65NH</t>
  </si>
  <si>
    <t>2044FY2065NH</t>
  </si>
  <si>
    <t>FY2020 Nov65NH</t>
  </si>
  <si>
    <t>2045FY20INZ65NH</t>
  </si>
  <si>
    <t>2045FY2065NH</t>
  </si>
  <si>
    <t>2046FY20INZ65NH</t>
  </si>
  <si>
    <t>2046FY2065NH</t>
  </si>
  <si>
    <t>2047FY20INZ65NH</t>
  </si>
  <si>
    <t>2047FY2065NH</t>
  </si>
  <si>
    <t>2048FY20INZ</t>
  </si>
  <si>
    <t>2048FY20INZ65NH</t>
  </si>
  <si>
    <t>2048FY2065NH</t>
  </si>
  <si>
    <t>2049FY20INZ65NH</t>
  </si>
  <si>
    <t>FY2020 DecINZ65NH</t>
  </si>
  <si>
    <t>2049FY2065NH</t>
  </si>
  <si>
    <t>FY2020 Dec65NH</t>
  </si>
  <si>
    <t>2050FY20INZ65NH</t>
  </si>
  <si>
    <t>2050FY2065NH</t>
  </si>
  <si>
    <t>2051FY20INZ65NH</t>
  </si>
  <si>
    <t>2051FY2065NH</t>
  </si>
  <si>
    <t>2052FY20INZ65NH</t>
  </si>
  <si>
    <t>2052FY2065NH</t>
  </si>
  <si>
    <t>2102FY20INZ65NH</t>
  </si>
  <si>
    <t>FY2021 JanINZ65NH</t>
  </si>
  <si>
    <t>2104FY20INZ</t>
  </si>
  <si>
    <t>2104FY20INZ65NH</t>
  </si>
  <si>
    <t>2105FY20INZ65NH</t>
  </si>
  <si>
    <t>FY2021 FebINZ65NH</t>
  </si>
  <si>
    <t>2106FY20INZ65NH</t>
  </si>
  <si>
    <t>2107FY20INZ65NH</t>
  </si>
  <si>
    <t>2108FY20INZ65NH</t>
  </si>
  <si>
    <t>2110FY20INZ65NH</t>
  </si>
  <si>
    <t>FY2021 MarINZ65NH</t>
  </si>
  <si>
    <t>2110FY2065NH</t>
  </si>
  <si>
    <t>FY2021 Mar65NH</t>
  </si>
  <si>
    <t>2111FY20INZ65NH</t>
  </si>
  <si>
    <t>2111FY2065NH</t>
  </si>
  <si>
    <t>2112FY20INZ65NH</t>
  </si>
  <si>
    <t>2112FY2065NH</t>
  </si>
  <si>
    <t>2114FY20INZ65NH</t>
  </si>
  <si>
    <t>FY2021 AprINZ65NH</t>
  </si>
  <si>
    <t>2114FY2065NH</t>
  </si>
  <si>
    <t>FY2021 Apr65NH</t>
  </si>
  <si>
    <t>2115FY20INZ65NH</t>
  </si>
  <si>
    <t>2115FY2065NH</t>
  </si>
  <si>
    <t>2116FY20INZ65NH</t>
  </si>
  <si>
    <t>2116FY2065NH</t>
  </si>
  <si>
    <t>2117FY20INZ</t>
  </si>
  <si>
    <t>2117FY20INZ65NH</t>
  </si>
  <si>
    <t>2117FY2065NH</t>
  </si>
  <si>
    <t>2118FY20INZ</t>
  </si>
  <si>
    <t>2118FY20INZ65NH</t>
  </si>
  <si>
    <t>FY2021 MayINZ65NH</t>
  </si>
  <si>
    <t>2118FY2065NH</t>
  </si>
  <si>
    <t>FY2021 May65NH</t>
  </si>
  <si>
    <t>2119FY20INZ65NH</t>
  </si>
  <si>
    <t>2119FY2065NH</t>
  </si>
  <si>
    <t>2120FY20INZ65NH</t>
  </si>
  <si>
    <t>2120FY2065NH</t>
  </si>
  <si>
    <t>2121FY20INZ65NH</t>
  </si>
  <si>
    <t>2121FY2065NH</t>
  </si>
  <si>
    <t>2123FY20INZ</t>
  </si>
  <si>
    <t>2123FY20INZ65NH</t>
  </si>
  <si>
    <t>FY2021 JunINZ65NH</t>
  </si>
  <si>
    <t>2123FY2065NH</t>
  </si>
  <si>
    <t>FY2021 Jun65NH</t>
  </si>
  <si>
    <t>2124FY20INZ65NH</t>
  </si>
  <si>
    <t>2124FY2065NH</t>
  </si>
  <si>
    <t>2125FY20INZ</t>
  </si>
  <si>
    <t>2125FY20INZ65NH</t>
  </si>
  <si>
    <t>2125FY2065NH</t>
  </si>
  <si>
    <t>2127FY20INZ</t>
  </si>
  <si>
    <t>2127FY20INZ65NH</t>
  </si>
  <si>
    <t>FY2021 JulINZ65NH</t>
  </si>
  <si>
    <t>2127FY2065NH</t>
  </si>
  <si>
    <t>FY2021 Jul65NH</t>
  </si>
  <si>
    <t>2128FY20INZ</t>
  </si>
  <si>
    <t>2128FY20INZ65NH</t>
  </si>
  <si>
    <t>2128FY2065NH</t>
  </si>
  <si>
    <t>2130FY20INZ</t>
  </si>
  <si>
    <t>2130FY20INZ65NH</t>
  </si>
  <si>
    <t>2130FY2065NH</t>
  </si>
  <si>
    <t>2131FY20INZ65NH</t>
  </si>
  <si>
    <t>FY2021 AugINZ65NH</t>
  </si>
  <si>
    <t>2131FY2065NH</t>
  </si>
  <si>
    <t>FY2021 Aug65NH</t>
  </si>
  <si>
    <t>2133FY20INZ</t>
  </si>
  <si>
    <t>2133FY20INZ65NH</t>
  </si>
  <si>
    <t>2133FY2065NH</t>
  </si>
  <si>
    <t>2127FY21INZ</t>
  </si>
  <si>
    <t>FY2121 JulINZ</t>
  </si>
  <si>
    <t>2127FY21INZ85AG</t>
  </si>
  <si>
    <t>FY2121 JulINZ85AG</t>
  </si>
  <si>
    <t>2127FY2185AG</t>
  </si>
  <si>
    <t>2129FY21INZ</t>
  </si>
  <si>
    <t>2129FY21INZ85AG</t>
  </si>
  <si>
    <t>2130FY21INZ</t>
  </si>
  <si>
    <t>2130FY21INZ85AG</t>
  </si>
  <si>
    <t>2131FY21INZ</t>
  </si>
  <si>
    <t>FY2121 AugINZ</t>
  </si>
  <si>
    <t>2131FY21INZ85AG</t>
  </si>
  <si>
    <t>FY2121 AugINZ85AG</t>
  </si>
  <si>
    <t>2131FY2185AG</t>
  </si>
  <si>
    <t>2115FY21INZ</t>
  </si>
  <si>
    <t>FY2121 AprINZ</t>
  </si>
  <si>
    <t>2115FY21INZ75AQ</t>
  </si>
  <si>
    <t>FY2121 AprINZ75AQ</t>
  </si>
  <si>
    <t>2123FY21INZ</t>
  </si>
  <si>
    <t>FY2121 JunINZ</t>
  </si>
  <si>
    <t>2123FY21INZ75AQ</t>
  </si>
  <si>
    <t>FY2121 JunINZ75AQ</t>
  </si>
  <si>
    <t>2123FY2175AQ</t>
  </si>
  <si>
    <t>2124FY21INZ</t>
  </si>
  <si>
    <t>2124FY21INZ75AQ</t>
  </si>
  <si>
    <t>2125FY21INZ</t>
  </si>
  <si>
    <t>2125FY21INZ75AQ</t>
  </si>
  <si>
    <t>2125FY2175AQ</t>
  </si>
  <si>
    <t>2127FY21INZ75AQ</t>
  </si>
  <si>
    <t>FY2121 JulINZ75AQ</t>
  </si>
  <si>
    <t>2128FY21INZ</t>
  </si>
  <si>
    <t>2128FY21INZ75AQ</t>
  </si>
  <si>
    <t>2128FY2175AQ</t>
  </si>
  <si>
    <t>2129FY21INZ75AQ</t>
  </si>
  <si>
    <t>2115FY21INZ85AQ</t>
  </si>
  <si>
    <t>FY2121 AprINZ85AQ</t>
  </si>
  <si>
    <t>2124FY21INZ85AQ</t>
  </si>
  <si>
    <t>FY2121 JunINZ85AQ</t>
  </si>
  <si>
    <t>2125FY21INZ85AQ</t>
  </si>
  <si>
    <t>2126FY21INZ</t>
  </si>
  <si>
    <t>2126FY21INZ85AQ</t>
  </si>
  <si>
    <t>2127FY21INZ85AQ</t>
  </si>
  <si>
    <t>FY2121 JulINZ85AQ</t>
  </si>
  <si>
    <t>2127FY2185AQ</t>
  </si>
  <si>
    <t>2128FY21INZ85AQ</t>
  </si>
  <si>
    <t>2128FY2185AQ</t>
  </si>
  <si>
    <t>2130FY21INZ85AQ</t>
  </si>
  <si>
    <t>2133FY21INZ</t>
  </si>
  <si>
    <t>2133FY21INZ85AQ</t>
  </si>
  <si>
    <t>FY2121 AugINZ85AQ</t>
  </si>
  <si>
    <t>2127FY21INZ75AG</t>
  </si>
  <si>
    <t>FY2121 JulINZ75AG</t>
  </si>
  <si>
    <t>2127FY2175AG</t>
  </si>
  <si>
    <t>2129FY21INZ75AG</t>
  </si>
  <si>
    <t>2130FY21INZ75AG</t>
  </si>
  <si>
    <t>2131FY21INZ75AG</t>
  </si>
  <si>
    <t>FY2121 AugINZ75AG</t>
  </si>
  <si>
    <t>2116FY21INZ</t>
  </si>
  <si>
    <t>2116FY21INZ75AR</t>
  </si>
  <si>
    <t>FY2121 AprINZ75AR</t>
  </si>
  <si>
    <t>2119FY21INZ</t>
  </si>
  <si>
    <t>FY2121 MayINZ</t>
  </si>
  <si>
    <t>2119FY21INZ75AR</t>
  </si>
  <si>
    <t>FY2121 MayINZ75AR</t>
  </si>
  <si>
    <t>2120FY21INZ</t>
  </si>
  <si>
    <t>2120FY21INZ75AR</t>
  </si>
  <si>
    <t>2121FY21INZ</t>
  </si>
  <si>
    <t>2121FY21INZ75AR</t>
  </si>
  <si>
    <t>2122FY21INZ</t>
  </si>
  <si>
    <t>2122FY21INZ75AR</t>
  </si>
  <si>
    <t>2123FY21INZ75AR</t>
  </si>
  <si>
    <t>FY2121 JunINZ75AR</t>
  </si>
  <si>
    <t>2124FY21INZ75AR</t>
  </si>
  <si>
    <t>2125FY21INZ75AR</t>
  </si>
  <si>
    <t>2126FY21INZ75AR</t>
  </si>
  <si>
    <t>2128FY21INZ75AR</t>
  </si>
  <si>
    <t>FY2121 JulINZ75AR</t>
  </si>
  <si>
    <t>2129FY21INZ75AR</t>
  </si>
  <si>
    <t>2130FY21INZ75AR</t>
  </si>
  <si>
    <t>2130FY2175AR</t>
  </si>
  <si>
    <t>2131FY21INZ75AR</t>
  </si>
  <si>
    <t>FY2121 AugINZ75AR</t>
  </si>
  <si>
    <t>2131FY2175AR</t>
  </si>
  <si>
    <t>2133FY21INZ75AR</t>
  </si>
  <si>
    <t>2007FY20SOEM</t>
  </si>
  <si>
    <t>FY2020 FebSOEM</t>
  </si>
  <si>
    <t>2007FY20SOEM55NH</t>
  </si>
  <si>
    <t>FY2020 FebSOEM55NH</t>
  </si>
  <si>
    <t>2007FY2055NH</t>
  </si>
  <si>
    <t>FY2020 Feb55NH</t>
  </si>
  <si>
    <t>2009FY20SOEM</t>
  </si>
  <si>
    <t>FY2020 MarSOEM</t>
  </si>
  <si>
    <t>2009FY20SOEM55NH</t>
  </si>
  <si>
    <t>FY2020 MarSOEM55NH</t>
  </si>
  <si>
    <t>2009FY2055NH</t>
  </si>
  <si>
    <t>2010FY20SOEM</t>
  </si>
  <si>
    <t>2010FY20SOEM55NH</t>
  </si>
  <si>
    <t>2010FY2055NH</t>
  </si>
  <si>
    <t>2020FY20SOEM</t>
  </si>
  <si>
    <t>FY2020 MaySOEM</t>
  </si>
  <si>
    <t>2020FY20SOEM55NH</t>
  </si>
  <si>
    <t>FY2020 MaySOEM55NH</t>
  </si>
  <si>
    <t>2021FY20SOEM</t>
  </si>
  <si>
    <t>2021FY20SOEM55NH</t>
  </si>
  <si>
    <t>2022FY20SOEM</t>
  </si>
  <si>
    <t>FY2020 JunSOEM</t>
  </si>
  <si>
    <t>2022FY20SOEM55NH</t>
  </si>
  <si>
    <t>FY2020 JunSOEM55NH</t>
  </si>
  <si>
    <t>2023FY20SOEM</t>
  </si>
  <si>
    <t>2023FY20SOEM55NH</t>
  </si>
  <si>
    <t>2024FY20SOEM</t>
  </si>
  <si>
    <t>2024FY20SOEM55NH</t>
  </si>
  <si>
    <t>2024FY2055NH</t>
  </si>
  <si>
    <t>2025FY20SOEM</t>
  </si>
  <si>
    <t>2025FY20SOEM55NH</t>
  </si>
  <si>
    <t>2026FY20SOEM</t>
  </si>
  <si>
    <t>2026FY20SOEM55NH</t>
  </si>
  <si>
    <t>2028FY20SOEM</t>
  </si>
  <si>
    <t>FY2020 JulSOEM</t>
  </si>
  <si>
    <t>2028FY20SOEM55NH</t>
  </si>
  <si>
    <t>FY2020 JulSOEM55NH</t>
  </si>
  <si>
    <t>2029FY20SOEM</t>
  </si>
  <si>
    <t>2029FY20SOEM55NH</t>
  </si>
  <si>
    <t>2029FY2055NH</t>
  </si>
  <si>
    <t>2030FY20SOEM</t>
  </si>
  <si>
    <t>2030FY20SOEM55NH</t>
  </si>
  <si>
    <t>2031FY20SOEM</t>
  </si>
  <si>
    <t>FY2020 AugSOEM</t>
  </si>
  <si>
    <t>2031FY20SOEM55NH</t>
  </si>
  <si>
    <t>FY2020 AugSOEM55NH</t>
  </si>
  <si>
    <t>2032FY20SOEM</t>
  </si>
  <si>
    <t>2032FY20SOEM55NH</t>
  </si>
  <si>
    <t>2032FY2055NH</t>
  </si>
  <si>
    <t>2033FY20SOEM</t>
  </si>
  <si>
    <t>2033FY20SOEM55NH</t>
  </si>
  <si>
    <t>2034FY20SOEM</t>
  </si>
  <si>
    <t>2034FY20SOEM55NH</t>
  </si>
  <si>
    <t>2035FY20SOEM</t>
  </si>
  <si>
    <t>2035FY20SOEM55NH</t>
  </si>
  <si>
    <t>2036FY20SOEM</t>
  </si>
  <si>
    <t>FY2020 SepSOEM</t>
  </si>
  <si>
    <t>2036FY20SOEM55NH</t>
  </si>
  <si>
    <t>FY2020 SepSOEM55NH</t>
  </si>
  <si>
    <t>2037FY20SOEM</t>
  </si>
  <si>
    <t>2037FY20SOEM55NH</t>
  </si>
  <si>
    <t>2038FY20SOEM</t>
  </si>
  <si>
    <t>2038FY20SOEM55NH</t>
  </si>
  <si>
    <t>2039FY20SOEM</t>
  </si>
  <si>
    <t>2039FY20SOEM55NH</t>
  </si>
  <si>
    <t>2040FY20SOEM</t>
  </si>
  <si>
    <t>FY2020 OctSOEM</t>
  </si>
  <si>
    <t>2040FY20SOEM55NH</t>
  </si>
  <si>
    <t>FY2020 OctSOEM55NH</t>
  </si>
  <si>
    <t>2041FY20SOEM</t>
  </si>
  <si>
    <t>2041FY20SOEM55NH</t>
  </si>
  <si>
    <t>2042FY20SOEM</t>
  </si>
  <si>
    <t>2042FY20SOEM55NH</t>
  </si>
  <si>
    <t>2043FY20SOEM</t>
  </si>
  <si>
    <t>2043FY20SOEM55NH</t>
  </si>
  <si>
    <t>2044FY20SOEM</t>
  </si>
  <si>
    <t>FY2020 NovSOEM</t>
  </si>
  <si>
    <t>2044FY20SOEM55NH</t>
  </si>
  <si>
    <t>FY2020 NovSOEM55NH</t>
  </si>
  <si>
    <t>2047FY20SOEM</t>
  </si>
  <si>
    <t>2047FY20SOEM55NH</t>
  </si>
  <si>
    <t>2048FY20SOEM</t>
  </si>
  <si>
    <t>2048FY20SOEM55NH</t>
  </si>
  <si>
    <t>2048FY2055NH</t>
  </si>
  <si>
    <t>2049FY20SOEM</t>
  </si>
  <si>
    <t>FY2020 DecSOEM</t>
  </si>
  <si>
    <t>2049FY20SOEM55NH</t>
  </si>
  <si>
    <t>FY2020 DecSOEM55NH</t>
  </si>
  <si>
    <t>2051FY20SOEM</t>
  </si>
  <si>
    <t>2051FY20SOEM55NH</t>
  </si>
  <si>
    <t>2052FY20SOEM</t>
  </si>
  <si>
    <t>2052FY20SOEM55NH</t>
  </si>
  <si>
    <t>2053FY20SOEM</t>
  </si>
  <si>
    <t>FY2021 JanSOEM</t>
  </si>
  <si>
    <t>2053FY20SOEM55NH</t>
  </si>
  <si>
    <t>FY2021 JanSOEM55NH</t>
  </si>
  <si>
    <t>2053FY2055NH</t>
  </si>
  <si>
    <t>2101FY20SOEM</t>
  </si>
  <si>
    <t>2101FY20SOEM55NH</t>
  </si>
  <si>
    <t>2102FY20SOEM</t>
  </si>
  <si>
    <t>2102FY20SOEM55NH</t>
  </si>
  <si>
    <t>2103FY20SOEM</t>
  </si>
  <si>
    <t>2103FY20SOEM55NH</t>
  </si>
  <si>
    <t>2104FY20SOEM</t>
  </si>
  <si>
    <t>2104FY20SOEM55NH</t>
  </si>
  <si>
    <t>2105FY20SOEM</t>
  </si>
  <si>
    <t>FY2021 FebSOEM</t>
  </si>
  <si>
    <t>2105FY20SOEM55NH</t>
  </si>
  <si>
    <t>FY2021 FebSOEM55NH</t>
  </si>
  <si>
    <t>2106FY20SOEM</t>
  </si>
  <si>
    <t>2106FY20SOEM55NH</t>
  </si>
  <si>
    <t>2107FY20SOEM</t>
  </si>
  <si>
    <t>2107FY20SOEM55NH</t>
  </si>
  <si>
    <t>2108FY20SOEM</t>
  </si>
  <si>
    <t>2108FY20SOEM55NH</t>
  </si>
  <si>
    <t>2109FY20SOEM</t>
  </si>
  <si>
    <t>FY2021 MarSOEM</t>
  </si>
  <si>
    <t>2109FY20SOEM55NH</t>
  </si>
  <si>
    <t>FY2021 MarSOEM55NH</t>
  </si>
  <si>
    <t>2110FY20SOEM</t>
  </si>
  <si>
    <t>2110FY20SOEM55NH</t>
  </si>
  <si>
    <t>2111FY20SOEM</t>
  </si>
  <si>
    <t>2111FY20SOEM55NH</t>
  </si>
  <si>
    <t>2113FY20SOEM</t>
  </si>
  <si>
    <t>2113FY20SOEM55NH</t>
  </si>
  <si>
    <t>2113FY2055NH</t>
  </si>
  <si>
    <t>2114FY20SOEM</t>
  </si>
  <si>
    <t>FY2021 AprSOEM</t>
  </si>
  <si>
    <t>2114FY20SOEM55NH</t>
  </si>
  <si>
    <t>FY2021 AprSOEM55NH</t>
  </si>
  <si>
    <t>2117FY20SOEM</t>
  </si>
  <si>
    <t>2117FY20SOEM55NH</t>
  </si>
  <si>
    <t>2117FY2055NH</t>
  </si>
  <si>
    <t>2120FY20SOEM</t>
  </si>
  <si>
    <t>FY2021 MaySOEM</t>
  </si>
  <si>
    <t>2120FY20SOEM55NH</t>
  </si>
  <si>
    <t>FY2021 MaySOEM55NH</t>
  </si>
  <si>
    <t>2120FY2055NH</t>
  </si>
  <si>
    <t>2130FY20SOEM</t>
  </si>
  <si>
    <t>FY2021 JulSOEM</t>
  </si>
  <si>
    <t>2130FY20SOEM55NH</t>
  </si>
  <si>
    <t>FY2021 JulSOEM55NH</t>
  </si>
  <si>
    <t>2130FY2055NH</t>
  </si>
  <si>
    <t>FY2021 Jul55NH</t>
  </si>
  <si>
    <t>2132FY20SOEM</t>
  </si>
  <si>
    <t>FY2021 AugSOEM</t>
  </si>
  <si>
    <t>2132FY20SOEM55NH</t>
  </si>
  <si>
    <t>FY2021 AugSOEM55NH</t>
  </si>
  <si>
    <t>2132FY2055NH</t>
  </si>
  <si>
    <t>2133FY20SOEM</t>
  </si>
  <si>
    <t>2133FY20SOEM55NH</t>
  </si>
  <si>
    <t>2133FY2055NH</t>
  </si>
  <si>
    <t>2007FY20SOEM65NH</t>
  </si>
  <si>
    <t>FY2020 FebSOEM65NH</t>
  </si>
  <si>
    <t>2007FY2065NH</t>
  </si>
  <si>
    <t>FY2020 Feb65NH</t>
  </si>
  <si>
    <t>2009FY20SOEM65NH</t>
  </si>
  <si>
    <t>FY2020 MarSOEM65NH</t>
  </si>
  <si>
    <t>2009FY2065NH</t>
  </si>
  <si>
    <t>2010FY20SOEM65NH</t>
  </si>
  <si>
    <t>2010FY2065NH</t>
  </si>
  <si>
    <t>2020FY20SOEM65NH</t>
  </si>
  <si>
    <t>FY2020 MaySOEM65NH</t>
  </si>
  <si>
    <t>2020FY2065NH</t>
  </si>
  <si>
    <t>FY2020 May65NH</t>
  </si>
  <si>
    <t>2021FY20SOEM65NH</t>
  </si>
  <si>
    <t>2021FY2065NH</t>
  </si>
  <si>
    <t>2022FY20SOEM65NH</t>
  </si>
  <si>
    <t>FY2020 JunSOEM65NH</t>
  </si>
  <si>
    <t>2023FY20SOEM65NH</t>
  </si>
  <si>
    <t>2023FY2065NH</t>
  </si>
  <si>
    <t>2024FY20SOEM65NH</t>
  </si>
  <si>
    <t>2025FY20SOEM65NH</t>
  </si>
  <si>
    <t>2026FY20SOEM65NH</t>
  </si>
  <si>
    <t>2028FY20SOEM65NH</t>
  </si>
  <si>
    <t>FY2020 JulSOEM65NH</t>
  </si>
  <si>
    <t>2029FY20SOEM65NH</t>
  </si>
  <si>
    <t>2029FY2065NH</t>
  </si>
  <si>
    <t>2031FY20SOEM65NH</t>
  </si>
  <si>
    <t>FY2020 AugSOEM65NH</t>
  </si>
  <si>
    <t>2032FY20SOEM65NH</t>
  </si>
  <si>
    <t>2033FY20SOEM65NH</t>
  </si>
  <si>
    <t>2035FY20SOEM65NH</t>
  </si>
  <si>
    <t>2036FY20SOEM65NH</t>
  </si>
  <si>
    <t>FY2020 SepSOEM65NH</t>
  </si>
  <si>
    <t>2037FY20SOEM65NH</t>
  </si>
  <si>
    <t>2038FY20SOEM65NH</t>
  </si>
  <si>
    <t>2039FY20SOEM65NH</t>
  </si>
  <si>
    <t>2039FY2065NH</t>
  </si>
  <si>
    <t>2041FY20SOEM65NH</t>
  </si>
  <si>
    <t>FY2020 OctSOEM65NH</t>
  </si>
  <si>
    <t>2042FY20SOEM65NH</t>
  </si>
  <si>
    <t>2043FY20SOEM65NH</t>
  </si>
  <si>
    <t>2044FY20SOEM65NH</t>
  </si>
  <si>
    <t>FY2020 NovSOEM65NH</t>
  </si>
  <si>
    <t>2048FY20SOEM65NH</t>
  </si>
  <si>
    <t>2049FY20SOEM65NH</t>
  </si>
  <si>
    <t>FY2020 DecSOEM65NH</t>
  </si>
  <si>
    <t>2050FY20SOEM</t>
  </si>
  <si>
    <t>2050FY20SOEM65NH</t>
  </si>
  <si>
    <t>2051FY20SOEM65NH</t>
  </si>
  <si>
    <t>2052FY20SOEM65NH</t>
  </si>
  <si>
    <t>2053FY20SOEM65NH</t>
  </si>
  <si>
    <t>FY2021 JanSOEM65NH</t>
  </si>
  <si>
    <t>2053FY2065NH</t>
  </si>
  <si>
    <t>2101FY20SOEM65NH</t>
  </si>
  <si>
    <t>2102FY20SOEM65NH</t>
  </si>
  <si>
    <t>2103FY20SOEM65NH</t>
  </si>
  <si>
    <t>2104FY20SOEM65NH</t>
  </si>
  <si>
    <t>2106FY20SOEM65NH</t>
  </si>
  <si>
    <t>FY2021 FebSOEM65NH</t>
  </si>
  <si>
    <t>2107FY20SOEM65NH</t>
  </si>
  <si>
    <t>2108FY20SOEM65NH</t>
  </si>
  <si>
    <t>2109FY20SOEM65NH</t>
  </si>
  <si>
    <t>FY2021 MarSOEM65NH</t>
  </si>
  <si>
    <t>2109FY2065NH</t>
  </si>
  <si>
    <t>2110FY20SOEM65NH</t>
  </si>
  <si>
    <t>2111FY20SOEM65NH</t>
  </si>
  <si>
    <t>2112FY20SOEM</t>
  </si>
  <si>
    <t>2112FY20SOEM65NH</t>
  </si>
  <si>
    <t>2113FY20SOEM65NH</t>
  </si>
  <si>
    <t>2113FY2065NH</t>
  </si>
  <si>
    <t>2114FY20SOEM65NH</t>
  </si>
  <si>
    <t>FY2021 AprSOEM65NH</t>
  </si>
  <si>
    <t>2115FY20SOEM</t>
  </si>
  <si>
    <t>2115FY20SOEM65NH</t>
  </si>
  <si>
    <t>2116FY20SOEM</t>
  </si>
  <si>
    <t>2116FY20SOEM65NH</t>
  </si>
  <si>
    <t>2117FY20SOEM65NH</t>
  </si>
  <si>
    <t>2118FY20SOEM</t>
  </si>
  <si>
    <t>2118FY20SOEM65NH</t>
  </si>
  <si>
    <t>FY2021 MaySOEM65NH</t>
  </si>
  <si>
    <t>2120FY20SOEM65NH</t>
  </si>
  <si>
    <t>2121FY20SOEM</t>
  </si>
  <si>
    <t>2121FY20SOEM65NH</t>
  </si>
  <si>
    <t>2122FY20SOEM</t>
  </si>
  <si>
    <t>2122FY20SOEM65NH</t>
  </si>
  <si>
    <t>2122FY2065NH</t>
  </si>
  <si>
    <t>2123FY20SOEM</t>
  </si>
  <si>
    <t>FY2021 JunSOEM</t>
  </si>
  <si>
    <t>2123FY20SOEM65NH</t>
  </si>
  <si>
    <t>FY2021 JunSOEM65NH</t>
  </si>
  <si>
    <t>2124FY20SOEM</t>
  </si>
  <si>
    <t>2124FY20SOEM65NH</t>
  </si>
  <si>
    <t>2125FY20SOEM</t>
  </si>
  <si>
    <t>2125FY20SOEM65NH</t>
  </si>
  <si>
    <t>2129FY20SOEM</t>
  </si>
  <si>
    <t>2129FY20SOEM65NH</t>
  </si>
  <si>
    <t>FY2021 JulSOEM65NH</t>
  </si>
  <si>
    <t>2129FY2065NH</t>
  </si>
  <si>
    <t>2131FY20SOEM</t>
  </si>
  <si>
    <t>2131FY20SOEM65NH</t>
  </si>
  <si>
    <t>FY2021 AugSOEM65NH</t>
  </si>
  <si>
    <t>2132FY20SOEM65NH</t>
  </si>
  <si>
    <t>2132FY2065NH</t>
  </si>
  <si>
    <t>2133FY20SOEM65NH</t>
  </si>
  <si>
    <t>2002FY20SOEM</t>
  </si>
  <si>
    <t>FY2020 JanSOEM</t>
  </si>
  <si>
    <t>2002FY20SOEM85NB</t>
  </si>
  <si>
    <t>FY2020 JanSOEM85NB</t>
  </si>
  <si>
    <t>2002FY2085NB</t>
  </si>
  <si>
    <t>FY2020 Jan85NB</t>
  </si>
  <si>
    <t>2004FY20SOEM</t>
  </si>
  <si>
    <t>2004FY20SOEM85NB</t>
  </si>
  <si>
    <t>2004FY2085NB</t>
  </si>
  <si>
    <t>2007FY20SOEM85NB</t>
  </si>
  <si>
    <t>FY2020 FebSOEM85NB</t>
  </si>
  <si>
    <t>2007FY2085NB</t>
  </si>
  <si>
    <t>FY2020 Feb85NB</t>
  </si>
  <si>
    <t>2008FY20SOEM</t>
  </si>
  <si>
    <t>2008FY20SOEM85NB</t>
  </si>
  <si>
    <t>2008FY2085NB</t>
  </si>
  <si>
    <t>2009FY20SOEM85NB</t>
  </si>
  <si>
    <t>FY2020 MarSOEM85NB</t>
  </si>
  <si>
    <t>2009FY2085NB</t>
  </si>
  <si>
    <t>FY2020 Mar85NB</t>
  </si>
  <si>
    <t>2010FY20SOEM85NB</t>
  </si>
  <si>
    <t>2010FY2085NB</t>
  </si>
  <si>
    <t>2011FY20SOEM</t>
  </si>
  <si>
    <t>2011FY20SOEM85NB</t>
  </si>
  <si>
    <t>2011FY2085NB</t>
  </si>
  <si>
    <t>2019FY20SOEM</t>
  </si>
  <si>
    <t>2019FY20SOEM85NB</t>
  </si>
  <si>
    <t>FY2020 MaySOEM85NB</t>
  </si>
  <si>
    <t>2019FY2085NB</t>
  </si>
  <si>
    <t>FY2020 May85NB</t>
  </si>
  <si>
    <t>2021FY20SOEM85NB</t>
  </si>
  <si>
    <t>2021FY2085NB</t>
  </si>
  <si>
    <t>2022FY20SOEM85NB</t>
  </si>
  <si>
    <t>FY2020 JunSOEM85NB</t>
  </si>
  <si>
    <t>2022FY2085NB</t>
  </si>
  <si>
    <t>FY2020 Jun85NB</t>
  </si>
  <si>
    <t>2023FY20SOEM85NB</t>
  </si>
  <si>
    <t>2023FY2085NB</t>
  </si>
  <si>
    <t>2024FY20SOEM85NB</t>
  </si>
  <si>
    <t>2024FY2085NB</t>
  </si>
  <si>
    <t>2025FY20SOEM85NB</t>
  </si>
  <si>
    <t>2025FY2085NB</t>
  </si>
  <si>
    <t>2028FY20SOEM85NB</t>
  </si>
  <si>
    <t>FY2020 JulSOEM85NB</t>
  </si>
  <si>
    <t>2028FY2085NB</t>
  </si>
  <si>
    <t>FY2020 Jul85NB</t>
  </si>
  <si>
    <t>2030FY20SOEM85NB</t>
  </si>
  <si>
    <t>2030FY2085NB</t>
  </si>
  <si>
    <t>2031FY20SOEM85NB</t>
  </si>
  <si>
    <t>FY2020 AugSOEM85NB</t>
  </si>
  <si>
    <t>2031FY2085NB</t>
  </si>
  <si>
    <t>FY2020 Aug85NB</t>
  </si>
  <si>
    <t>2032FY20SOEM85NB</t>
  </si>
  <si>
    <t>2032FY2085NB</t>
  </si>
  <si>
    <t>2033FY20SOEM85NB</t>
  </si>
  <si>
    <t>2033FY2085NB</t>
  </si>
  <si>
    <t>2034FY20SOEM85NB</t>
  </si>
  <si>
    <t>2034FY2085NB</t>
  </si>
  <si>
    <t>2035FY20SOEM85NB</t>
  </si>
  <si>
    <t>2035FY2085NB</t>
  </si>
  <si>
    <t>2036FY20SOEM85NB</t>
  </si>
  <si>
    <t>FY2020 SepSOEM85NB</t>
  </si>
  <si>
    <t>2036FY2085NB</t>
  </si>
  <si>
    <t>FY2020 Sep85NB</t>
  </si>
  <si>
    <t>2037FY20SOEM85NB</t>
  </si>
  <si>
    <t>2037FY2085NB</t>
  </si>
  <si>
    <t>2038FY20SOEM85NB</t>
  </si>
  <si>
    <t>2038FY2085NB</t>
  </si>
  <si>
    <t>2039FY20SOEM85NB</t>
  </si>
  <si>
    <t>2039FY2085NB</t>
  </si>
  <si>
    <t>2040FY20SOEM85NB</t>
  </si>
  <si>
    <t>FY2020 OctSOEM85NB</t>
  </si>
  <si>
    <t>2040FY2085NB</t>
  </si>
  <si>
    <t>FY2020 Oct85NB</t>
  </si>
  <si>
    <t>2041FY20SOEM85NB</t>
  </si>
  <si>
    <t>2041FY2085NB</t>
  </si>
  <si>
    <t>2043FY20SOEM85NB</t>
  </si>
  <si>
    <t>2043FY2085NB</t>
  </si>
  <si>
    <t>2048FY20SOEM85NB</t>
  </si>
  <si>
    <t>FY2020 NovSOEM85NB</t>
  </si>
  <si>
    <t>2048FY2085NB</t>
  </si>
  <si>
    <t>FY2020 Nov85NB</t>
  </si>
  <si>
    <t>2049FY20SOEM85NB</t>
  </si>
  <si>
    <t>FY2020 DecSOEM85NB</t>
  </si>
  <si>
    <t>2049FY2085NB</t>
  </si>
  <si>
    <t>FY2020 Dec85NB</t>
  </si>
  <si>
    <t>2051FY20SOEM85NB</t>
  </si>
  <si>
    <t>2051FY2085NB</t>
  </si>
  <si>
    <t>2052FY20SOEM85NB</t>
  </si>
  <si>
    <t>2052FY2085NB</t>
  </si>
  <si>
    <t>2053FY20SOEM85NB</t>
  </si>
  <si>
    <t>FY2021 JanSOEM85NB</t>
  </si>
  <si>
    <t>2053FY2085NB</t>
  </si>
  <si>
    <t>2101FY20SOEM85NB</t>
  </si>
  <si>
    <t>2102FY20SOEM85NB</t>
  </si>
  <si>
    <t>2103FY20SOEM85NB</t>
  </si>
  <si>
    <t>2104FY20SOEM85NB</t>
  </si>
  <si>
    <t>2106FY20SOEM85NB</t>
  </si>
  <si>
    <t>FY2021 FebSOEM85NB</t>
  </si>
  <si>
    <t>2107FY20SOEM85NB</t>
  </si>
  <si>
    <t>2108FY20SOEM85NB</t>
  </si>
  <si>
    <t>2109FY20SOEM85NB</t>
  </si>
  <si>
    <t>FY2021 MarSOEM85NB</t>
  </si>
  <si>
    <t>2110FY20SOEM85NB</t>
  </si>
  <si>
    <t>2111FY20SOEM85NB</t>
  </si>
  <si>
    <t>2112FY20SOEM85NB</t>
  </si>
  <si>
    <t>2113FY20SOEM85NB</t>
  </si>
  <si>
    <t>2114FY20SOEM85NB</t>
  </si>
  <si>
    <t>FY2021 AprSOEM85NB</t>
  </si>
  <si>
    <t>2115FY20SOEM85NB</t>
  </si>
  <si>
    <t>2115FY2085NB</t>
  </si>
  <si>
    <t>2117FY20SOEM85NB</t>
  </si>
  <si>
    <t>2121FY20SOEM85NB</t>
  </si>
  <si>
    <t>FY2021 MaySOEM85NB</t>
  </si>
  <si>
    <t>2122FY20SOEM85NB</t>
  </si>
  <si>
    <t>2126FY20SOEM</t>
  </si>
  <si>
    <t>2126FY20SOEM85NB</t>
  </si>
  <si>
    <t>FY2021 JunSOEM85NB</t>
  </si>
  <si>
    <t>2130FY20SOEM85NB</t>
  </si>
  <si>
    <t>FY2021 JulSOEM85NB</t>
  </si>
  <si>
    <t>2130FY2085NB</t>
  </si>
  <si>
    <t>FY2021 Jul85NB</t>
  </si>
  <si>
    <t>2132FY20SOEM85NB</t>
  </si>
  <si>
    <t>FY2021 AugSOEM85NB</t>
  </si>
  <si>
    <t>2132FY2085NB</t>
  </si>
  <si>
    <t>2133FY20SOEM85NB</t>
  </si>
  <si>
    <t>2026FY20SOEM85NX</t>
  </si>
  <si>
    <t>FY2020 JunSOEM85NX</t>
  </si>
  <si>
    <t>2026FY2085NX</t>
  </si>
  <si>
    <t>FY2020 Jun85NX</t>
  </si>
  <si>
    <t>2028FY20SOEM85NX</t>
  </si>
  <si>
    <t>FY2020 JulSOEM85NX</t>
  </si>
  <si>
    <t>2028FY2085NX</t>
  </si>
  <si>
    <t>FY2020 Jul85NX</t>
  </si>
  <si>
    <t>2029FY20SOEM85NX</t>
  </si>
  <si>
    <t>2029FY2085NX</t>
  </si>
  <si>
    <t>2030FY20SOEM85NX</t>
  </si>
  <si>
    <t>2030FY2085NX</t>
  </si>
  <si>
    <t>2031FY20SOEM85NX</t>
  </si>
  <si>
    <t>FY2020 AugSOEM85NX</t>
  </si>
  <si>
    <t>2031FY2085NX</t>
  </si>
  <si>
    <t>FY2020 Aug85NX</t>
  </si>
  <si>
    <t>2032FY20SOEM85NX</t>
  </si>
  <si>
    <t>2032FY2085NX</t>
  </si>
  <si>
    <t>2033FY20SOEM85NX</t>
  </si>
  <si>
    <t>2033FY2085NX</t>
  </si>
  <si>
    <t>2034FY20SOEM85NX</t>
  </si>
  <si>
    <t>2034FY2085NX</t>
  </si>
  <si>
    <t>2035FY20SOEM85NX</t>
  </si>
  <si>
    <t>2035FY2085NX</t>
  </si>
  <si>
    <t>2036FY20SOEM85NX</t>
  </si>
  <si>
    <t>FY2020 SepSOEM85NX</t>
  </si>
  <si>
    <t>2036FY2085NX</t>
  </si>
  <si>
    <t>FY2020 Sep85NX</t>
  </si>
  <si>
    <t>2037FY20SOEM85NX</t>
  </si>
  <si>
    <t>2037FY2085NX</t>
  </si>
  <si>
    <t>2039FY20SOEM85NX</t>
  </si>
  <si>
    <t>2039FY2085NX</t>
  </si>
  <si>
    <t>2040FY20SOEM85NX</t>
  </si>
  <si>
    <t>FY2020 OctSOEM85NX</t>
  </si>
  <si>
    <t>2040FY2085NX</t>
  </si>
  <si>
    <t>FY2020 Oct85NX</t>
  </si>
  <si>
    <t>2041FY20SOEM85NX</t>
  </si>
  <si>
    <t>2041FY2085NX</t>
  </si>
  <si>
    <t>2042FY20SOEM85NX</t>
  </si>
  <si>
    <t>2042FY2085NX</t>
  </si>
  <si>
    <t>2043FY20SOEM85NX</t>
  </si>
  <si>
    <t>2043FY2085NX</t>
  </si>
  <si>
    <t>2049FY20SOEM85NX</t>
  </si>
  <si>
    <t>FY2020 DecSOEM85NX</t>
  </si>
  <si>
    <t>2049FY2085NX</t>
  </si>
  <si>
    <t>FY2020 Dec85NX</t>
  </si>
  <si>
    <t>2050FY20SOEM85NX</t>
  </si>
  <si>
    <t>2050FY2085NX</t>
  </si>
  <si>
    <t>2051FY20SOEM85NX</t>
  </si>
  <si>
    <t>2051FY2085NX</t>
  </si>
  <si>
    <t>2052FY20SOEM85NX</t>
  </si>
  <si>
    <t>2052FY2085NX</t>
  </si>
  <si>
    <t>2053FY20SOEM85NX</t>
  </si>
  <si>
    <t>FY2021 JanSOEM85NX</t>
  </si>
  <si>
    <t>2053FY2085NX</t>
  </si>
  <si>
    <t>2101FY20SOEM85NX</t>
  </si>
  <si>
    <t>2102FY20SOEM85NX</t>
  </si>
  <si>
    <t>2104FY20SOEM85NX</t>
  </si>
  <si>
    <t>2104FY2085NX</t>
  </si>
  <si>
    <t>2106FY20SOEM85NX</t>
  </si>
  <si>
    <t>FY2021 FebSOEM85NX</t>
  </si>
  <si>
    <t>2107FY20SOEM85NX</t>
  </si>
  <si>
    <t>2108FY20SOEM85NX</t>
  </si>
  <si>
    <t>2109FY20SOEM85NX</t>
  </si>
  <si>
    <t>FY2021 MarSOEM85NX</t>
  </si>
  <si>
    <t>2110FY20SOEM85NX</t>
  </si>
  <si>
    <t>2111FY20SOEM85NX</t>
  </si>
  <si>
    <t>2112FY20SOEM85NX</t>
  </si>
  <si>
    <t>2113FY20SOEM85NX</t>
  </si>
  <si>
    <t>2114FY20SOEM85NX</t>
  </si>
  <si>
    <t>FY2021 AprSOEM85NX</t>
  </si>
  <si>
    <t>2115FY20SOEM85NX</t>
  </si>
  <si>
    <t>2116FY20SOEM85NX</t>
  </si>
  <si>
    <t>2118FY20SOEM85NX</t>
  </si>
  <si>
    <t>FY2021 MaySOEM85NX</t>
  </si>
  <si>
    <t>2121FY20SOEM85NX</t>
  </si>
  <si>
    <t>2122FY20SOEM85NX</t>
  </si>
  <si>
    <t>2123FY20SOEM85NX</t>
  </si>
  <si>
    <t>FY2021 JunSOEM85NX</t>
  </si>
  <si>
    <t>2125FY20SOEM85NX</t>
  </si>
  <si>
    <t>2128FY20SOEM</t>
  </si>
  <si>
    <t>2128FY20SOEM85NX</t>
  </si>
  <si>
    <t>FY2021 JulSOEM85NX</t>
  </si>
  <si>
    <t>2129FY20SOEM85NX</t>
  </si>
  <si>
    <t>2130FY20SOEM85NX</t>
  </si>
  <si>
    <t>2130FY2085NX</t>
  </si>
  <si>
    <t>2132FY20SOEM85NX</t>
  </si>
  <si>
    <t>FY2021 AugSOEM85NX</t>
  </si>
  <si>
    <t>2133FY20SOEM85NX</t>
  </si>
  <si>
    <t>2030FY20SOEM85NXB</t>
  </si>
  <si>
    <t>FY2020 JulSOEM85NXB</t>
  </si>
  <si>
    <t>2030FY2085NXB</t>
  </si>
  <si>
    <t>FY2020 Jul85NXB</t>
  </si>
  <si>
    <t>2031FY20SOEM85NXB</t>
  </si>
  <si>
    <t>FY2020 AugSOEM85NXB</t>
  </si>
  <si>
    <t>2031FY2085NXB</t>
  </si>
  <si>
    <t>FY2020 Aug85NXB</t>
  </si>
  <si>
    <t>2032FY20SOEM85NXB</t>
  </si>
  <si>
    <t>2032FY2085NXB</t>
  </si>
  <si>
    <t>2036FY20SOEM85NXB</t>
  </si>
  <si>
    <t>FY2020 SepSOEM85NXB</t>
  </si>
  <si>
    <t>2036FY2085NXB</t>
  </si>
  <si>
    <t>FY2020 Sep85NXB</t>
  </si>
  <si>
    <t>2037FY20SOEM85NXB</t>
  </si>
  <si>
    <t>2037FY2085NXB</t>
  </si>
  <si>
    <t>2041FY20SOEM85NXB</t>
  </si>
  <si>
    <t>FY2020 OctSOEM85NXB</t>
  </si>
  <si>
    <t>2041FY2085NXB</t>
  </si>
  <si>
    <t>FY2020 Oct85NXB</t>
  </si>
  <si>
    <t>2049FY20SOEM85NXB</t>
  </si>
  <si>
    <t>FY2020 DecSOEM85NXB</t>
  </si>
  <si>
    <t>2049FY2085NXB</t>
  </si>
  <si>
    <t>FY2020 Dec85NXB</t>
  </si>
  <si>
    <t>2050FY20SOEM85NXB</t>
  </si>
  <si>
    <t>2050FY2085NXB</t>
  </si>
  <si>
    <t>2102FY20SOEM85NXB</t>
  </si>
  <si>
    <t>FY2021 JanSOEM85NXB</t>
  </si>
  <si>
    <t>2105FY20SOEM85NXB</t>
  </si>
  <si>
    <t>FY2021 FebSOEM85NXB</t>
  </si>
  <si>
    <t>2105FY2085NXB</t>
  </si>
  <si>
    <t>2122FY20SOEM85NXB</t>
  </si>
  <si>
    <t>FY2021 MaySOEM85NXB</t>
  </si>
  <si>
    <t>2129FY20SOEM85NXB</t>
  </si>
  <si>
    <t>FY2021 JulSOEM85NXB</t>
  </si>
  <si>
    <t>2131FY20SOEM85NXB</t>
  </si>
  <si>
    <t>FY2021 AugSOEM85NXB</t>
  </si>
  <si>
    <t>2131FY2085NXB</t>
  </si>
  <si>
    <t>2133FY20SOEM85NXB</t>
  </si>
  <si>
    <t>2129FY21SOEM</t>
  </si>
  <si>
    <t>FY2121 JulSOEM</t>
  </si>
  <si>
    <t>2129FY21SOEM65AG</t>
  </si>
  <si>
    <t>FY2121 JulSOEM65AG</t>
  </si>
  <si>
    <t>2131FY21SOEM</t>
  </si>
  <si>
    <t>FY2121 AugSOEM</t>
  </si>
  <si>
    <t>2131FY21SOEM65AG</t>
  </si>
  <si>
    <t>FY2121 AugSOEM65AG</t>
  </si>
  <si>
    <t>2132FY21SOEM</t>
  </si>
  <si>
    <t>2132FY21SOEM65AG</t>
  </si>
  <si>
    <t>2133FY21SOEM</t>
  </si>
  <si>
    <t>2133FY21SOEM65AG</t>
  </si>
  <si>
    <t>2121FY21SOEM</t>
  </si>
  <si>
    <t>FY2121 MaySOEM</t>
  </si>
  <si>
    <t>2121FY21SOEM85AG</t>
  </si>
  <si>
    <t>FY2121 MaySOEM85AG</t>
  </si>
  <si>
    <t>2122FY21SOEM</t>
  </si>
  <si>
    <t>2122FY21SOEM85AG</t>
  </si>
  <si>
    <t>2123FY21SOEM</t>
  </si>
  <si>
    <t>FY2121 JunSOEM</t>
  </si>
  <si>
    <t>2123FY21SOEM85AG</t>
  </si>
  <si>
    <t>FY2121 JunSOEM85AG</t>
  </si>
  <si>
    <t>2125FY21SOEM</t>
  </si>
  <si>
    <t>2125FY21SOEM85AG</t>
  </si>
  <si>
    <t>2128FY21SOEM</t>
  </si>
  <si>
    <t>2128FY21SOEM85AG</t>
  </si>
  <si>
    <t>FY2121 JulSOEM85AG</t>
  </si>
  <si>
    <t>2129FY21SOEM85AG</t>
  </si>
  <si>
    <t>2130FY21SOEM</t>
  </si>
  <si>
    <t>2130FY21SOEM85AG</t>
  </si>
  <si>
    <t>2131FY21SOEM85AG</t>
  </si>
  <si>
    <t>FY2121 AugSOEM85AG</t>
  </si>
  <si>
    <t>2114FY21SOEM</t>
  </si>
  <si>
    <t>FY2121 AprSOEM</t>
  </si>
  <si>
    <t>2114FY21SOEM85AX</t>
  </si>
  <si>
    <t>FY2121 AprSOEM85AX</t>
  </si>
  <si>
    <t>2114FY2185AX</t>
  </si>
  <si>
    <t>2115FY21SOEM</t>
  </si>
  <si>
    <t>2115FY21SOEM85AX</t>
  </si>
  <si>
    <t>2115FY2185AX</t>
  </si>
  <si>
    <t>2116FY21SOEM</t>
  </si>
  <si>
    <t>2116FY21SOEM85AX</t>
  </si>
  <si>
    <t>2117FY21SOEM</t>
  </si>
  <si>
    <t>2117FY21SOEM85AX</t>
  </si>
  <si>
    <t>2118FY21SOEM</t>
  </si>
  <si>
    <t>2118FY21SOEM85AX</t>
  </si>
  <si>
    <t>FY2121 MaySOEM85AX</t>
  </si>
  <si>
    <t>2120FY21SOEM</t>
  </si>
  <si>
    <t>2120FY21SOEM85AX</t>
  </si>
  <si>
    <t>2121FY21SOEM85AX</t>
  </si>
  <si>
    <t>2122FY21SOEM85AX</t>
  </si>
  <si>
    <t>2123FY21SOEM85AX</t>
  </si>
  <si>
    <t>FY2121 JunSOEM85AX</t>
  </si>
  <si>
    <t>2124FY21SOEM</t>
  </si>
  <si>
    <t>2124FY21SOEM85AX</t>
  </si>
  <si>
    <t>2125FY21SOEM85AX</t>
  </si>
  <si>
    <t>2126FY21SOEM</t>
  </si>
  <si>
    <t>2126FY21SOEM85AX</t>
  </si>
  <si>
    <t>2128FY21SOEM85AX</t>
  </si>
  <si>
    <t>FY2121 JulSOEM85AX</t>
  </si>
  <si>
    <t>2129FY21SOEM85AX</t>
  </si>
  <si>
    <t>2130FY21SOEM85AX</t>
  </si>
  <si>
    <t>2130FY2185AX</t>
  </si>
  <si>
    <t>2133FY21SOEM85AX</t>
  </si>
  <si>
    <t>FY2121 AugSOEM85AX</t>
  </si>
  <si>
    <t>2036FY20SOEM75NB</t>
  </si>
  <si>
    <t>FY2020 SepSOEM75NB</t>
  </si>
  <si>
    <t>2036FY2075NB</t>
  </si>
  <si>
    <t>FY2020 Sep75NB</t>
  </si>
  <si>
    <t>2037FY20SOEM75NB</t>
  </si>
  <si>
    <t>2037FY2075NB</t>
  </si>
  <si>
    <t>2038FY20SOEM75NB</t>
  </si>
  <si>
    <t>2038FY2075NB</t>
  </si>
  <si>
    <t>2039FY20SOEM75NB</t>
  </si>
  <si>
    <t>2039FY2075NB</t>
  </si>
  <si>
    <t>2040FY20SOEM75NB</t>
  </si>
  <si>
    <t>FY2020 OctSOEM75NB</t>
  </si>
  <si>
    <t>2040FY2075NB</t>
  </si>
  <si>
    <t>FY2020 Oct75NB</t>
  </si>
  <si>
    <t>2041FY20SOEM75NB</t>
  </si>
  <si>
    <t>2041FY2075NB</t>
  </si>
  <si>
    <t>2042FY20SOEM75NB</t>
  </si>
  <si>
    <t>2042FY2075NB</t>
  </si>
  <si>
    <t>2043FY20SOEM75NB</t>
  </si>
  <si>
    <t>2043FY2075NB</t>
  </si>
  <si>
    <t>2044FY20SOEM75NB</t>
  </si>
  <si>
    <t>FY2020 NovSOEM75NB</t>
  </si>
  <si>
    <t>2044FY2075NB</t>
  </si>
  <si>
    <t>FY2020 Nov75NB</t>
  </si>
  <si>
    <t>2049FY20SOEM75NB</t>
  </si>
  <si>
    <t>FY2020 DecSOEM75NB</t>
  </si>
  <si>
    <t>2049FY2075NB</t>
  </si>
  <si>
    <t>FY2020 Dec75NB</t>
  </si>
  <si>
    <t>2050FY20SOEM75NB</t>
  </si>
  <si>
    <t>2050FY2075NB</t>
  </si>
  <si>
    <t>2051FY20SOEM75NB</t>
  </si>
  <si>
    <t>2051FY2075NB</t>
  </si>
  <si>
    <t>2052FY20SOEM75NB</t>
  </si>
  <si>
    <t>2052FY2075NB</t>
  </si>
  <si>
    <t>2053FY20SOEM75NB</t>
  </si>
  <si>
    <t>FY2021 JanSOEM75NB</t>
  </si>
  <si>
    <t>2053FY2075NB</t>
  </si>
  <si>
    <t>2101FY20SOEM75NB</t>
  </si>
  <si>
    <t>2101FY2075NB</t>
  </si>
  <si>
    <t>2102FY20SOEM75NB</t>
  </si>
  <si>
    <t>2105FY20SOEM75NB</t>
  </si>
  <si>
    <t>FY2021 FebSOEM75NB</t>
  </si>
  <si>
    <t>2106FY20SOEM75NB</t>
  </si>
  <si>
    <t>2107FY20SOEM75NB</t>
  </si>
  <si>
    <t>2108FY20SOEM75NB</t>
  </si>
  <si>
    <t>2109FY20SOEM75NB</t>
  </si>
  <si>
    <t>FY2021 MarSOEM75NB</t>
  </si>
  <si>
    <t>2110FY20SOEM75NB</t>
  </si>
  <si>
    <t>2111FY20SOEM75NB</t>
  </si>
  <si>
    <t>2112FY20SOEM75NB</t>
  </si>
  <si>
    <t>2113FY20SOEM75NB</t>
  </si>
  <si>
    <t>2115FY20SOEM75NB</t>
  </si>
  <si>
    <t>FY2021 AprSOEM75NB</t>
  </si>
  <si>
    <t>2116FY20SOEM75NB</t>
  </si>
  <si>
    <t>2117FY20SOEM75NB</t>
  </si>
  <si>
    <t>2109FY21SOEM</t>
  </si>
  <si>
    <t>FY2121 MarSOEM</t>
  </si>
  <si>
    <t>2109FY21SOEM75APH</t>
  </si>
  <si>
    <t>FY2121 MarSOEM75APH</t>
  </si>
  <si>
    <t>2111FY21SOEM</t>
  </si>
  <si>
    <t>2111FY21SOEM75APH</t>
  </si>
  <si>
    <t>2112FY21SOEM</t>
  </si>
  <si>
    <t>2112FY21SOEM75APH</t>
  </si>
  <si>
    <t>2113FY21SOEM</t>
  </si>
  <si>
    <t>2113FY21SOEM75APH</t>
  </si>
  <si>
    <t>2114FY21SOEM75APH</t>
  </si>
  <si>
    <t>FY2121 AprSOEM75APH</t>
  </si>
  <si>
    <t>2115FY21SOEM75APH</t>
  </si>
  <si>
    <t>2116FY21SOEM75APH</t>
  </si>
  <si>
    <t>2117FY21SOEM75APH</t>
  </si>
  <si>
    <t>2118FY21SOEM75APH</t>
  </si>
  <si>
    <t>FY2121 MaySOEM75APH</t>
  </si>
  <si>
    <t>2120FY21SOEM75APH</t>
  </si>
  <si>
    <t>2121FY21SOEM75APH</t>
  </si>
  <si>
    <t>2122FY21SOEM75APH</t>
  </si>
  <si>
    <t>2123FY21SOEM75APH</t>
  </si>
  <si>
    <t>FY2121 JunSOEM75APH</t>
  </si>
  <si>
    <t>2124FY21SOEM75APH</t>
  </si>
  <si>
    <t>2125FY21SOEM75APH</t>
  </si>
  <si>
    <t>2126FY21SOEM75APH</t>
  </si>
  <si>
    <t>2128FY21SOEM75APH</t>
  </si>
  <si>
    <t>FY2121 JulSOEM75APH</t>
  </si>
  <si>
    <t>2129FY21SOEM75APH</t>
  </si>
  <si>
    <t>2130FY21SOEM75APH</t>
  </si>
  <si>
    <t>2131FY21SOEM75APH</t>
  </si>
  <si>
    <t>FY2121 AugSOEM75APH</t>
  </si>
  <si>
    <t>2131FY2175APH</t>
  </si>
  <si>
    <t>2132FY21SOEM75APH</t>
  </si>
  <si>
    <t>2133FY21SOEM75APH</t>
  </si>
  <si>
    <t>2120FY20SOEM75NX</t>
  </si>
  <si>
    <t>FY2021 MaySOEM75NX</t>
  </si>
  <si>
    <t>2121FY20SOEM75NX</t>
  </si>
  <si>
    <t>2122FY20SOEM75NXB</t>
  </si>
  <si>
    <t>FY2021 MaySOEM75NXB</t>
  </si>
  <si>
    <t>2122FY2075NXB</t>
  </si>
  <si>
    <t>FY2021 May75NXB</t>
  </si>
  <si>
    <t>2126FY20SOEM75NXB</t>
  </si>
  <si>
    <t>FY2021 JunSOEM75NXB</t>
  </si>
  <si>
    <t>2126FY2075NXB</t>
  </si>
  <si>
    <t>2129FY20SOEM75NXB</t>
  </si>
  <si>
    <t>FY2021 JulSOEM75NXB</t>
  </si>
  <si>
    <t>2131FY20SOEM75NXB</t>
  </si>
  <si>
    <t>FY2021 AugSOEM75NXB</t>
  </si>
  <si>
    <t>2131FY2075NXB</t>
  </si>
  <si>
    <t>2133FY20SOEM75NXB</t>
  </si>
  <si>
    <t>2123FY21SOEM75AG</t>
  </si>
  <si>
    <t>FY2121 JunSOEM75AG</t>
  </si>
  <si>
    <t>2125FY21SOEM75AG</t>
  </si>
  <si>
    <t>2130FY21SOEM75AG</t>
  </si>
  <si>
    <t>FY2121 JulSOEM75AG</t>
  </si>
  <si>
    <t>2131FY21SOEM75AG</t>
  </si>
  <si>
    <t>FY2121 AugSOEM75AG</t>
  </si>
  <si>
    <t>2133FY21SOEM75AG</t>
  </si>
  <si>
    <t>2115FY21SOEM75AR</t>
  </si>
  <si>
    <t>FY2121 AprSOEM75AR</t>
  </si>
  <si>
    <t>2115FY2175AR</t>
  </si>
  <si>
    <t>2117FY21SOEM75AR</t>
  </si>
  <si>
    <t>2118FY21SOEM75AR</t>
  </si>
  <si>
    <t>FY2121 MaySOEM75AR</t>
  </si>
  <si>
    <t>2120FY21SOEM75AR</t>
  </si>
  <si>
    <t>2121FY21SOEM75AR</t>
  </si>
  <si>
    <t>2122FY21SOEM75AR</t>
  </si>
  <si>
    <t>2123FY21SOEM75AR</t>
  </si>
  <si>
    <t>FY2121 JunSOEM75AR</t>
  </si>
  <si>
    <t>2124FY21SOEM75AR</t>
  </si>
  <si>
    <t>2128FY21SOEM75AR</t>
  </si>
  <si>
    <t>FY2121 JulSOEM75AR</t>
  </si>
  <si>
    <t>2129FY21SOEM75AR</t>
  </si>
  <si>
    <t>2130FY21SOEM75AR</t>
  </si>
  <si>
    <t>2131FY21SOEM75AR</t>
  </si>
  <si>
    <t>FY2121 AugSOEM75AR</t>
  </si>
  <si>
    <t>2132FY21SOEM75AR</t>
  </si>
  <si>
    <t>2114FY21SOEM75AX</t>
  </si>
  <si>
    <t>FY2121 AprSOEM75AX</t>
  </si>
  <si>
    <t>2114FY2175AX</t>
  </si>
  <si>
    <t>FY2121 Apr75AX</t>
  </si>
  <si>
    <t>2116FY21SOEM75AX</t>
  </si>
  <si>
    <t>2116FY2175AX</t>
  </si>
  <si>
    <t>2117FY21SOEM75AX</t>
  </si>
  <si>
    <t>2117FY2175AX</t>
  </si>
  <si>
    <t>2118FY21SOEM75AX</t>
  </si>
  <si>
    <t>FY2121 MaySOEM75AX</t>
  </si>
  <si>
    <t>2120FY21SOEM75AX</t>
  </si>
  <si>
    <t>2120FY2175AX</t>
  </si>
  <si>
    <t>2121FY21SOEM75AX</t>
  </si>
  <si>
    <t>2122FY21SOEM75AX</t>
  </si>
  <si>
    <t>2123FY21SOEM75AX</t>
  </si>
  <si>
    <t>FY2121 JunSOEM75AX</t>
  </si>
  <si>
    <t>2124FY21SOEM75AX</t>
  </si>
  <si>
    <t>2126FY21SOEM75AX</t>
  </si>
  <si>
    <t>2128FY21SOEM75AX</t>
  </si>
  <si>
    <t>FY2121 JulSOEM75AX</t>
  </si>
  <si>
    <t>2130FY21SOEM75AX</t>
  </si>
  <si>
    <t>2130FY2175AX</t>
  </si>
  <si>
    <t>2132FY21SOEM75AX</t>
  </si>
  <si>
    <t>FY2121 AugSOEM75AX</t>
  </si>
  <si>
    <t>2133FY21SOEM75AX</t>
  </si>
  <si>
    <t>2002FY20SOEM75NB</t>
  </si>
  <si>
    <t>FY2020 JanSOEM75NB</t>
  </si>
  <si>
    <t>2002FY2075NB</t>
  </si>
  <si>
    <t>FY2020 Jan75NB</t>
  </si>
  <si>
    <t>2004FY20SOEM75NB</t>
  </si>
  <si>
    <t>2004FY2075NB</t>
  </si>
  <si>
    <t>2007FY20SOEM75NB</t>
  </si>
  <si>
    <t>FY2020 FebSOEM75NB</t>
  </si>
  <si>
    <t>2007FY2075NB</t>
  </si>
  <si>
    <t>FY2020 Feb75NB</t>
  </si>
  <si>
    <t>2008FY20SOEM75NB</t>
  </si>
  <si>
    <t>2008FY2075NB</t>
  </si>
  <si>
    <t>2009FY20SOEM75NB</t>
  </si>
  <si>
    <t>FY2020 MarSOEM75NB</t>
  </si>
  <si>
    <t>2009FY2075NB</t>
  </si>
  <si>
    <t>FY2020 Mar75NB</t>
  </si>
  <si>
    <t>2010FY20SOEM75NB</t>
  </si>
  <si>
    <t>2010FY2075NB</t>
  </si>
  <si>
    <t>2012FY20SOEM</t>
  </si>
  <si>
    <t>2012FY20SOEM75NB</t>
  </si>
  <si>
    <t>2012FY2075NB</t>
  </si>
  <si>
    <t>2019FY20SOEM75NB</t>
  </si>
  <si>
    <t>FY2020 MaySOEM75NB</t>
  </si>
  <si>
    <t>2019FY2075NB</t>
  </si>
  <si>
    <t>FY2020 May75NB</t>
  </si>
  <si>
    <t>2020FY20SOEM75NB</t>
  </si>
  <si>
    <t>2020FY2075NB</t>
  </si>
  <si>
    <t>2021FY20SOEM75NB</t>
  </si>
  <si>
    <t>2021FY2075NB</t>
  </si>
  <si>
    <t>2022FY20SOEM75NB</t>
  </si>
  <si>
    <t>FY2020 JunSOEM75NB</t>
  </si>
  <si>
    <t>2022FY2075NB</t>
  </si>
  <si>
    <t>FY2020 Jun75NB</t>
  </si>
  <si>
    <t>2023FY20SOEM75NB</t>
  </si>
  <si>
    <t>2023FY2075NB</t>
  </si>
  <si>
    <t>2024FY20SOEM75NB</t>
  </si>
  <si>
    <t>2024FY2075NB</t>
  </si>
  <si>
    <t>2025FY20SOEM75NB</t>
  </si>
  <si>
    <t>2025FY2075NB</t>
  </si>
  <si>
    <t>2026FY20SOEM75NB</t>
  </si>
  <si>
    <t>2026FY2075NB</t>
  </si>
  <si>
    <t>2027FY20SOEM</t>
  </si>
  <si>
    <t>2027FY20SOEM75NB</t>
  </si>
  <si>
    <t>FY2020 JulSOEM75NB</t>
  </si>
  <si>
    <t>2027FY2075NB</t>
  </si>
  <si>
    <t>FY2020 Jul75NB</t>
  </si>
  <si>
    <t>2028FY20SOEM75NB</t>
  </si>
  <si>
    <t>2028FY2075NB</t>
  </si>
  <si>
    <t>2029FY20SOEM75NB</t>
  </si>
  <si>
    <t>2029FY2075NB</t>
  </si>
  <si>
    <t>2030FY20SOEM75NB</t>
  </si>
  <si>
    <t>2030FY2075NB</t>
  </si>
  <si>
    <t>2031FY20SOEM75NB</t>
  </si>
  <si>
    <t>FY2020 AugSOEM75NB</t>
  </si>
  <si>
    <t>2031FY2075NB</t>
  </si>
  <si>
    <t>FY2020 Aug75NB</t>
  </si>
  <si>
    <t>2032FY20SOEM75NB</t>
  </si>
  <si>
    <t>2032FY2075NB</t>
  </si>
  <si>
    <t>2033FY20SOEM75NB</t>
  </si>
  <si>
    <t>2033FY2075NB</t>
  </si>
  <si>
    <t>2034FY20SOEM75NB</t>
  </si>
  <si>
    <t>2034FY2075NB</t>
  </si>
  <si>
    <t>2035FY20SOEM75NB</t>
  </si>
  <si>
    <t>2035FY2075NB</t>
  </si>
  <si>
    <t>2114FY20SOEM75NB</t>
  </si>
  <si>
    <t>2121FY20SOEM75NB</t>
  </si>
  <si>
    <t>FY2021 MaySOEM75NB</t>
  </si>
  <si>
    <t>2122FY20SOEM75NB</t>
  </si>
  <si>
    <t>2124FY20SOEM75NB</t>
  </si>
  <si>
    <t>FY2021 JunSOEM75NB</t>
  </si>
  <si>
    <t>2133FY20SOEM75NB</t>
  </si>
  <si>
    <t>FY2021 AugSOEM75NB</t>
  </si>
  <si>
    <t>2133FY2075NB</t>
  </si>
  <si>
    <t>FY2021 Aug75NB</t>
  </si>
  <si>
    <t>2025FY20SOEM75NX</t>
  </si>
  <si>
    <t>FY2020 JunSOEM75NX</t>
  </si>
  <si>
    <t>2025FY2075NX</t>
  </si>
  <si>
    <t>FY2020 Jun75NX</t>
  </si>
  <si>
    <t>2028FY20SOEM75NX</t>
  </si>
  <si>
    <t>FY2020 JulSOEM75NX</t>
  </si>
  <si>
    <t>2028FY2075NX</t>
  </si>
  <si>
    <t>FY2020 Jul75NX</t>
  </si>
  <si>
    <t>2029FY20SOEM75NX</t>
  </si>
  <si>
    <t>2029FY2075NX</t>
  </si>
  <si>
    <t>2030FY20SOEM75NX</t>
  </si>
  <si>
    <t>2030FY2075NX</t>
  </si>
  <si>
    <t>2031FY20SOEM75NX</t>
  </si>
  <si>
    <t>FY2020 AugSOEM75NX</t>
  </si>
  <si>
    <t>2031FY2075NX</t>
  </si>
  <si>
    <t>FY2020 Aug75NX</t>
  </si>
  <si>
    <t>2032FY20SOEM75NX</t>
  </si>
  <si>
    <t>2032FY2075NX</t>
  </si>
  <si>
    <t>2033FY20SOEM75NX</t>
  </si>
  <si>
    <t>2033FY2075NX</t>
  </si>
  <si>
    <t>2034FY20SOEM75NX</t>
  </si>
  <si>
    <t>2034FY2075NX</t>
  </si>
  <si>
    <t>2035FY20SOEM75NX</t>
  </si>
  <si>
    <t>2035FY2075NX</t>
  </si>
  <si>
    <t>2036FY20SOEM75NX</t>
  </si>
  <si>
    <t>FY2020 SepSOEM75NX</t>
  </si>
  <si>
    <t>2036FY2075NX</t>
  </si>
  <si>
    <t>FY2020 Sep75NX</t>
  </si>
  <si>
    <t>2037FY20SOEM75NX</t>
  </si>
  <si>
    <t>2037FY2075NX</t>
  </si>
  <si>
    <t>2039FY20SOEM75NX</t>
  </si>
  <si>
    <t>2039FY2075NX</t>
  </si>
  <si>
    <t>2040FY20SOEM75NX</t>
  </si>
  <si>
    <t>FY2020 OctSOEM75NX</t>
  </si>
  <si>
    <t>2040FY2075NX</t>
  </si>
  <si>
    <t>FY2020 Oct75NX</t>
  </si>
  <si>
    <t>2041FY20SOEM75NX</t>
  </si>
  <si>
    <t>2041FY2075NX</t>
  </si>
  <si>
    <t>2042FY20SOEM75NX</t>
  </si>
  <si>
    <t>2042FY2075NX</t>
  </si>
  <si>
    <t>2043FY20SOEM75NX</t>
  </si>
  <si>
    <t>2043FY2075NX</t>
  </si>
  <si>
    <t>2048FY20SOEM75NX</t>
  </si>
  <si>
    <t>FY2020 NovSOEM75NX</t>
  </si>
  <si>
    <t>2048FY2075NX</t>
  </si>
  <si>
    <t>FY2020 Nov75NX</t>
  </si>
  <si>
    <t>2049FY20SOEM75NX</t>
  </si>
  <si>
    <t>FY2020 DecSOEM75NX</t>
  </si>
  <si>
    <t>2049FY2075NX</t>
  </si>
  <si>
    <t>FY2020 Dec75NX</t>
  </si>
  <si>
    <t>2050FY20SOEM75NX</t>
  </si>
  <si>
    <t>2050FY2075NX</t>
  </si>
  <si>
    <t>2051FY20SOEM75NX</t>
  </si>
  <si>
    <t>2051FY2075NX</t>
  </si>
  <si>
    <t>2052FY20SOEM75NX</t>
  </si>
  <si>
    <t>2052FY2075NX</t>
  </si>
  <si>
    <t>2053FY20SOEM75NX</t>
  </si>
  <si>
    <t>FY2021 JanSOEM75NX</t>
  </si>
  <si>
    <t>2053FY2075NX</t>
  </si>
  <si>
    <t>2101FY20SOEM75NX</t>
  </si>
  <si>
    <t>2102FY20SOEM75NX</t>
  </si>
  <si>
    <t>2103FY20SOEM75NX</t>
  </si>
  <si>
    <t>2104FY20SOEM75NX</t>
  </si>
  <si>
    <t>2105FY20SOEM75NX</t>
  </si>
  <si>
    <t>FY2021 FebSOEM75NX</t>
  </si>
  <si>
    <t>2106FY20SOEM75NX</t>
  </si>
  <si>
    <t>2107FY20SOEM75NX</t>
  </si>
  <si>
    <t>2108FY20SOEM75NX</t>
  </si>
  <si>
    <t>2109FY20SOEM75NX</t>
  </si>
  <si>
    <t>FY2021 MarSOEM75NX</t>
  </si>
  <si>
    <t>2110FY20SOEM75NX</t>
  </si>
  <si>
    <t>2112FY20SOEM75NX</t>
  </si>
  <si>
    <t>2113FY20SOEM75NX</t>
  </si>
  <si>
    <t>2114FY20SOEM75NX</t>
  </si>
  <si>
    <t>FY2021 AprSOEM75NX</t>
  </si>
  <si>
    <t>2115FY20SOEM75NX</t>
  </si>
  <si>
    <t>2116FY20SOEM75NX</t>
  </si>
  <si>
    <t>2122FY20SOEM75NX</t>
  </si>
  <si>
    <t>2124FY20SOEM75NX</t>
  </si>
  <si>
    <t>FY2021 JunSOEM75NX</t>
  </si>
  <si>
    <t>2131FY20SOEM75NX</t>
  </si>
  <si>
    <t>FY2021 AugSOEM75NX</t>
  </si>
  <si>
    <t>2131FY2075NX</t>
  </si>
  <si>
    <t>2030FY20SOEM75NXB</t>
  </si>
  <si>
    <t>FY2020 JulSOEM75NXB</t>
  </si>
  <si>
    <t>2030FY2075NXB</t>
  </si>
  <si>
    <t>FY2020 Jul75NXB</t>
  </si>
  <si>
    <t>2031FY20SOEM75NXB</t>
  </si>
  <si>
    <t>FY2020 AugSOEM75NXB</t>
  </si>
  <si>
    <t>2031FY2075NXB</t>
  </si>
  <si>
    <t>FY2020 Aug75NXB</t>
  </si>
  <si>
    <t>2032FY20SOEM75NXB</t>
  </si>
  <si>
    <t>2032FY2075NXB</t>
  </si>
  <si>
    <t>2036FY20SOEM75NXB</t>
  </si>
  <si>
    <t>FY2020 SepSOEM75NXB</t>
  </si>
  <si>
    <t>2036FY2075NXB</t>
  </si>
  <si>
    <t>FY2020 Sep75NXB</t>
  </si>
  <si>
    <t>2037FY20SOEM75NXB</t>
  </si>
  <si>
    <t>2037FY2075NXB</t>
  </si>
  <si>
    <t>2041FY20SOEM75NXB</t>
  </si>
  <si>
    <t>FY2020 OctSOEM75NXB</t>
  </si>
  <si>
    <t>2041FY2075NXB</t>
  </si>
  <si>
    <t>FY2020 Oct75NXB</t>
  </si>
  <si>
    <t>2049FY20SOEM75NXB</t>
  </si>
  <si>
    <t>FY2020 DecSOEM75NXB</t>
  </si>
  <si>
    <t>2049FY2075NXB</t>
  </si>
  <si>
    <t>FY2020 Dec75NXB</t>
  </si>
  <si>
    <t>2050FY20SOEM75NXB</t>
  </si>
  <si>
    <t>2050FY2075NXB</t>
  </si>
  <si>
    <t>2102FY20SOEM75NXB</t>
  </si>
  <si>
    <t>FY2021 JanSOEM75NXB</t>
  </si>
  <si>
    <t>2102FY2075NXB</t>
  </si>
  <si>
    <t>2107FY20SOEM75NXB</t>
  </si>
  <si>
    <t>FY2021 FebSOEM75NXB</t>
  </si>
  <si>
    <t>2118FY20SOEM75NXB</t>
  </si>
  <si>
    <t>2118FY2075NXB</t>
  </si>
  <si>
    <t>A5039507A$0002107_2124-YDBO085DAU02</t>
  </si>
  <si>
    <t>2134LineFY21line</t>
  </si>
  <si>
    <t>2134LineFY21lineSOEM</t>
  </si>
  <si>
    <t>2134LineFY21lineSOEM85AG</t>
  </si>
  <si>
    <t>2134LineFY21line85AG</t>
  </si>
  <si>
    <t>A5027713A$0008070_2125-YDBM085CNU02</t>
  </si>
  <si>
    <t>2134LineFY21lineSOEM85AX</t>
  </si>
  <si>
    <t>LineFY21line21 AugSOEM85AX</t>
  </si>
  <si>
    <t>2134LineFY21line85AX</t>
  </si>
  <si>
    <t>LineFY21line21 Aug85AX</t>
  </si>
  <si>
    <t>A5027713A$0009553_2126-YDBM085CNU02</t>
  </si>
  <si>
    <t>2134F/MFY21line</t>
  </si>
  <si>
    <t>2134F/MFY21lineSOEM</t>
  </si>
  <si>
    <t>2134F/MFY21lineSOEM85AX</t>
  </si>
  <si>
    <t>F/MFY21line21 AugSOEM85AX</t>
  </si>
  <si>
    <t>2134F/MFY21line85AX</t>
  </si>
  <si>
    <t>F/MFY21line21 Aug85AX</t>
  </si>
  <si>
    <t>A5027725A$0019637_2126_YSBM075CNO02</t>
  </si>
  <si>
    <t>2134BLUFY21line</t>
  </si>
  <si>
    <t>2134BLUFY21lineSOEM</t>
  </si>
  <si>
    <t>2134BLUFY21lineSOEM75APH</t>
  </si>
  <si>
    <t>BLUFY21line21 AugSOEM75APH</t>
  </si>
  <si>
    <t>2134BLUFY21line75APH</t>
  </si>
  <si>
    <t>BLUFY21line21 Aug75APH</t>
  </si>
  <si>
    <t>A5027725A$0019357_2126_YSBM075CNO02</t>
  </si>
  <si>
    <t>2134LEDFY21line</t>
  </si>
  <si>
    <t>2134LEDFY21lineSOEM</t>
  </si>
  <si>
    <t>2134LEDFY21lineSOEM75APH</t>
  </si>
  <si>
    <t>2134LEDFY21line75APH</t>
  </si>
  <si>
    <t>A5027725A$0019453_2126_YSBM075CNO02</t>
  </si>
  <si>
    <t>H-dot over</t>
  </si>
  <si>
    <t>2134DotFY21line</t>
  </si>
  <si>
    <t>2134DotFY21lineSOEM</t>
  </si>
  <si>
    <t>DotFY21line21 AugSOEM</t>
  </si>
  <si>
    <t>2134DotFY21lineSOEM75APH</t>
  </si>
  <si>
    <t>DotFY21line21 AugSOEM75APH</t>
  </si>
  <si>
    <t>2134DotFY21line75APH</t>
  </si>
  <si>
    <t>DotFY21line21 Aug75APH</t>
  </si>
  <si>
    <t>A5027725A$0021650_2127_YSBM075CNO02</t>
  </si>
  <si>
    <t>2134LineFY21lineSOEM75APH</t>
  </si>
  <si>
    <t>2134LineFY21line75APH</t>
  </si>
  <si>
    <t>A5027725A$0022521_2127_YSBM075CNO02</t>
  </si>
  <si>
    <t>2134T-con A/DFY21line</t>
  </si>
  <si>
    <t>T-con A/DFY21line21 Aug</t>
  </si>
  <si>
    <t>2134T-con A/DFY21lineSOEM</t>
  </si>
  <si>
    <t>T-con A/DFY21line21 AugSOEM</t>
  </si>
  <si>
    <t>2134T-con A/DFY21lineSOEM75APH</t>
  </si>
  <si>
    <t>T-con A/DFY21line21 AugSOEM75APH</t>
  </si>
  <si>
    <t>2134T-con A/DFY21line75APH</t>
  </si>
  <si>
    <t>T-con A/DFY21line21 Aug75APH</t>
  </si>
  <si>
    <t>A5027725A$0019226_2126_YSBM075CNO02</t>
  </si>
  <si>
    <t>A5039502A$0003575_2123-YDBO075DAS02</t>
  </si>
  <si>
    <t>2133T-con A/DFY21line</t>
  </si>
  <si>
    <t>2133T-con A/DFY21lineSOEM</t>
  </si>
  <si>
    <t>2133T-con A/DFY21lineSOEM75AG</t>
  </si>
  <si>
    <t>T-con A/DFY21line21 AugSOEM75AG</t>
  </si>
  <si>
    <t>2133T-con A/DFY21line75AG</t>
  </si>
  <si>
    <t>T-con A/DFY21line21 Aug75AG</t>
  </si>
  <si>
    <t>A5024285B$0023661_2125-YDAS075DNS02</t>
  </si>
  <si>
    <t>2134T-CON A/DFY20line</t>
  </si>
  <si>
    <t>T-CON A/DFY20line21 Aug</t>
  </si>
  <si>
    <t>2134T-CON A/DFY20lineFSK</t>
  </si>
  <si>
    <t>T-CON A/DFY20line21 AugFSK</t>
  </si>
  <si>
    <t>2134T-CON A/DFY20lineFSK75NX</t>
  </si>
  <si>
    <t>T-CON A/DFY20line21 AugFSK75NX</t>
  </si>
  <si>
    <t>2134T-CON A/DFY20line75NX</t>
  </si>
  <si>
    <t>T-CON A/DFY20line21 Aug75NX</t>
  </si>
  <si>
    <t>A5016535B$0006692_2126-YDAS085DNU02</t>
  </si>
  <si>
    <t>2134T-CON A/DFY20lineFSK85NX</t>
  </si>
  <si>
    <t>T-CON A/DFY20line21 AugFSK85NX</t>
  </si>
  <si>
    <t>2134T-CON A/DFY20line85NX</t>
  </si>
  <si>
    <t>T-CON A/DFY20line21 Aug85NX</t>
  </si>
  <si>
    <t>A5032151A$0003441_2123-YDBO065DBU02</t>
  </si>
  <si>
    <t>2134F/MFY21lineFSK</t>
  </si>
  <si>
    <t>2134F/MFY21lineFSK65AG</t>
  </si>
  <si>
    <t>F/MFY21line21 AugFSK65AG</t>
  </si>
  <si>
    <t>2134F/MFY21line65AG</t>
  </si>
  <si>
    <t>F/MFY21line21 Aug65AG</t>
  </si>
  <si>
    <t>A5024285B$0023638_2125-YDAS075DNS02</t>
  </si>
  <si>
    <t>A5032151A$0003118_2123-YDBO065DBU02</t>
  </si>
  <si>
    <t>A5027710A$0007114_2126-YDBM075DCS02</t>
  </si>
  <si>
    <t>2134LineFY21lineFSK</t>
  </si>
  <si>
    <t>2134LineFY21lineFSK75AR</t>
  </si>
  <si>
    <t>2134LineFY21line75AR</t>
  </si>
  <si>
    <t>A5027710A$0004679_2124-YDBM075DCS02</t>
  </si>
  <si>
    <t>2134BezelFY21line</t>
  </si>
  <si>
    <t>BezelFY21line21 Aug</t>
  </si>
  <si>
    <t>2134BezelFY21lineFSK</t>
  </si>
  <si>
    <t>BezelFY21line21 AugFSK</t>
  </si>
  <si>
    <t>2134BezelFY21lineFSK75AR</t>
  </si>
  <si>
    <t>BezelFY21line21 AugFSK75AR</t>
  </si>
  <si>
    <t>2134BezelFY21line75AR</t>
  </si>
  <si>
    <t>BezelFY21line21 Aug75AR</t>
  </si>
  <si>
    <t>a5027710a$0006783_2125-ydbm075dcs02</t>
  </si>
  <si>
    <t>2134FY20</t>
  </si>
  <si>
    <t>2134FY20SOEM</t>
  </si>
  <si>
    <t>2134FY20SOEM55NH</t>
  </si>
  <si>
    <t>2134FY2055NH</t>
  </si>
  <si>
    <t>2134FY21</t>
  </si>
  <si>
    <t>2134FY21SOEM</t>
  </si>
  <si>
    <t>2134FY21SOEM85AG</t>
  </si>
  <si>
    <t>2134FY2185AG</t>
  </si>
  <si>
    <t>2134FY21SOEM85AX</t>
  </si>
  <si>
    <t>2134FY2185AX</t>
  </si>
  <si>
    <t>2134FY21SOEM75APH</t>
  </si>
  <si>
    <t>2134FY2175APH</t>
  </si>
  <si>
    <t>2134FY20SOEM75NX</t>
  </si>
  <si>
    <t>2134FY2075NX</t>
  </si>
  <si>
    <t>2134FY21SOEM75AG</t>
  </si>
  <si>
    <t>2134FY2175AG</t>
  </si>
  <si>
    <t>2134FY21SOEM75AR</t>
  </si>
  <si>
    <t>2134FY2175AR</t>
  </si>
  <si>
    <t>2134FY21SOEM75AX</t>
  </si>
  <si>
    <t>2134FY2175AX</t>
  </si>
  <si>
    <t>2134FY21FSK</t>
  </si>
  <si>
    <t>2134FY21FSK65AG</t>
  </si>
  <si>
    <t>2134FY2165AG</t>
  </si>
  <si>
    <t>2134FY21FSK75AG</t>
  </si>
  <si>
    <t>2134FY21FSK85AG</t>
  </si>
  <si>
    <t>2134FY21FSK75APH</t>
  </si>
  <si>
    <t>2134FY21FSK75AQ</t>
  </si>
  <si>
    <t>2134FY2175AQ</t>
  </si>
  <si>
    <t>2134FY21FSK85AQ</t>
  </si>
  <si>
    <t>2134FY2185AQ</t>
  </si>
  <si>
    <t>2134FY21FSK75AR</t>
  </si>
  <si>
    <t>2134FY21FSK75AX</t>
  </si>
  <si>
    <t>2134FY21FSK85AX</t>
  </si>
  <si>
    <t>2134FY20FSK</t>
  </si>
  <si>
    <t>2134FY20FSK85NB</t>
  </si>
  <si>
    <t>2134FY2085NB</t>
  </si>
  <si>
    <t>2134FY20FSK75NX</t>
  </si>
  <si>
    <t>2134FY20FSK85NX</t>
  </si>
  <si>
    <t>2134FY2085NX</t>
  </si>
  <si>
    <t>2134FY20FSK75NXB</t>
  </si>
  <si>
    <t>2134FY2075NXB</t>
  </si>
  <si>
    <t>2134FY20FSK85NXB</t>
  </si>
  <si>
    <t>2134FY2085NXB</t>
  </si>
  <si>
    <t>NaT</t>
  </si>
  <si>
    <t>A5027716A$0005398_2124-YDBM085CNU02</t>
  </si>
  <si>
    <t>2135T-CON A/DFY21line</t>
  </si>
  <si>
    <t>2135T-CON A/DFY21lineFSK</t>
  </si>
  <si>
    <t>2135T-CON A/DFY21lineFSK85AX</t>
  </si>
  <si>
    <t>T-CON A/DFY21line21 AugFSK85AX</t>
  </si>
  <si>
    <t>2135T-CON A/DFY21line85AX</t>
  </si>
  <si>
    <t>T-CON A/DFY21line21 Aug85AX</t>
  </si>
  <si>
    <t>A5024290B$0001871_2103-YDAS075DNS02</t>
  </si>
  <si>
    <t>2135T-CON A/DFY20line</t>
  </si>
  <si>
    <t>2135T-CON A/DFY20lineFSK</t>
  </si>
  <si>
    <t>2135T-CON A/DFY20lineFSK75NXB</t>
  </si>
  <si>
    <t>T-CON A/DFY20line21 AugFSK75NXB</t>
  </si>
  <si>
    <t>2135T-CON A/DFY20line75NXB</t>
  </si>
  <si>
    <t>T-CON A/DFY20line21 Aug75NXB</t>
  </si>
  <si>
    <t>A5024290B$0001862_2103-YDAS075DNS02</t>
  </si>
  <si>
    <t>A5027728A$0017340_2127-YSBM075CNO02</t>
  </si>
  <si>
    <t>2135BLUFY21line</t>
  </si>
  <si>
    <t>2135BLUFY21lineFSK</t>
  </si>
  <si>
    <t>BLUFY21line21 AugFSK</t>
  </si>
  <si>
    <t>2135BLUFY21lineFSK75APH</t>
  </si>
  <si>
    <t>BLUFY21line21 AugFSK75APH</t>
  </si>
  <si>
    <t>2135BLUFY21line75APH</t>
  </si>
  <si>
    <t>A5027722A$0008856_2128-YDBM075CCS02</t>
  </si>
  <si>
    <t>2135LineFY21line</t>
  </si>
  <si>
    <t>2135LineFY21lineFSK</t>
  </si>
  <si>
    <t>2135LineFY21lineFSK75AX</t>
  </si>
  <si>
    <t>2135LineFY21line75AX</t>
  </si>
  <si>
    <t>A5030081A$0001430_2115-YDBO075DAS02</t>
  </si>
  <si>
    <t>Pol Stain</t>
  </si>
  <si>
    <t>2135PolFY21line</t>
  </si>
  <si>
    <t>2135PolFY21lineFSK</t>
  </si>
  <si>
    <t>PolFY21line21 AugFSK</t>
  </si>
  <si>
    <t>2135PolFY21lineFSK75AG</t>
  </si>
  <si>
    <t>PolFY21line21 AugFSK75AG</t>
  </si>
  <si>
    <t>2135PolFY21line75AG</t>
  </si>
  <si>
    <t>PolFY21line21 Aug75AG</t>
  </si>
  <si>
    <t>A5030081A$0001396_2115-YDBO075DAS02</t>
  </si>
  <si>
    <t>2135T-CON A/DFY21lineFSK75AG</t>
  </si>
  <si>
    <t>2135T-CON A/DFY21line75AG</t>
  </si>
  <si>
    <t>A5032151A$0007333_2127-YDBO065DBU02</t>
  </si>
  <si>
    <t>2135F/MFY21line</t>
  </si>
  <si>
    <t>2135F/MFY21lineFSK</t>
  </si>
  <si>
    <t>2135F/MFY21lineFSK65AG</t>
  </si>
  <si>
    <t>2135F/MFY21line65AG</t>
  </si>
  <si>
    <t>A5032151A$0007670_2127-YDBO065DBU02</t>
  </si>
  <si>
    <t>2135O-Cell A/DFY21line</t>
  </si>
  <si>
    <t>2135O-Cell A/DFY21lineFSK</t>
  </si>
  <si>
    <t>2135O-Cell A/DFY21lineFSK65AG</t>
  </si>
  <si>
    <t>O-Cell A/DFY21line21 AugFSK65AG</t>
  </si>
  <si>
    <t>2135O-Cell A/DFY21line65AG</t>
  </si>
  <si>
    <t>O-Cell A/DFY21line21 Aug65AG</t>
  </si>
  <si>
    <t>A5028174A$0000362_2111</t>
  </si>
  <si>
    <t>2133-FY21lineINZ75AQ</t>
  </si>
  <si>
    <t>-FY21line21 AugINZ75AQ</t>
  </si>
  <si>
    <t>2133-FY21line75AQ</t>
  </si>
  <si>
    <t>-FY21line21 Aug75AQ</t>
  </si>
  <si>
    <t>A5028174A$0000363_2111</t>
  </si>
  <si>
    <t>A5028174A$0000364_2111</t>
  </si>
  <si>
    <t>A5028174A$0000365_2111</t>
  </si>
  <si>
    <t>A5028174A$0000366_2111</t>
  </si>
  <si>
    <t>A5028495A$0000567_2123</t>
  </si>
  <si>
    <t>2134-FY21line</t>
  </si>
  <si>
    <t>2134-FY21lineINZ</t>
  </si>
  <si>
    <t>2134-FY21lineINZ85AQ</t>
  </si>
  <si>
    <t>2134-FY21line85AQ</t>
  </si>
  <si>
    <t>A5039502A$0004858_2124</t>
  </si>
  <si>
    <t>RAF tengo</t>
  </si>
  <si>
    <t>2135P-AppFY21line</t>
  </si>
  <si>
    <t>2135P-AppFY21lineINZ</t>
  </si>
  <si>
    <t>P-AppFY21line21 AugINZ</t>
  </si>
  <si>
    <t>2135P-AppFY21lineINZ75AG</t>
  </si>
  <si>
    <t>P-AppFY21line21 AugINZ75AG</t>
  </si>
  <si>
    <t>2135P-AppFY21line75AG</t>
  </si>
  <si>
    <t>P-AppFY21line21 Aug75AG</t>
  </si>
  <si>
    <t>A5027707C$0000426_2128</t>
  </si>
  <si>
    <t>A-5027-707-C</t>
  </si>
  <si>
    <t>2134LineFY21lineINZ</t>
  </si>
  <si>
    <t>LineFY21line21 AugINZ</t>
  </si>
  <si>
    <t>2134LineFY21lineINZ75AR</t>
  </si>
  <si>
    <t>LineFY21line21 AugINZ75AR</t>
  </si>
  <si>
    <t>A5027707C$0000392_2128</t>
  </si>
  <si>
    <t>A5027707C$0000289_2128</t>
  </si>
  <si>
    <t>A5027713A$0008907_2126-YDBM085CNU02</t>
  </si>
  <si>
    <t>2135LineFY21lineSOEM</t>
  </si>
  <si>
    <t>2135LineFY21lineSOEM85AX</t>
  </si>
  <si>
    <t>2135LineFY21line85AX</t>
  </si>
  <si>
    <t>A5039502A$0002914_2122-YDBO075DAS02</t>
  </si>
  <si>
    <t>2135LEDFY21line</t>
  </si>
  <si>
    <t>2135LEDFY21lineSOEM</t>
  </si>
  <si>
    <t>2135LEDFY21lineSOEM75AG</t>
  </si>
  <si>
    <t>LEDFY21line21 AugSOEM75AG</t>
  </si>
  <si>
    <t>2135LEDFY21line75AG</t>
  </si>
  <si>
    <t>LEDFY21line21 Aug75AG</t>
  </si>
  <si>
    <t>A5027707A$0010120_2124-YDBM075DCS02</t>
  </si>
  <si>
    <t>2134F/MFY21lineSOEM75AR</t>
  </si>
  <si>
    <t>2134F/MFY21line75AR</t>
  </si>
  <si>
    <t>A5027719A$0010477_2126-YDBM075CCS02</t>
  </si>
  <si>
    <t>2134LEDFY21lineSOEM75AX</t>
  </si>
  <si>
    <t>2134LEDFY21line75AX</t>
  </si>
  <si>
    <t>2135FY21</t>
  </si>
  <si>
    <t>2135FY21FSK</t>
  </si>
  <si>
    <t>2135FY21FSK65AG</t>
  </si>
  <si>
    <t>2135FY2165AG</t>
  </si>
  <si>
    <t>2135FY21FSK75AG</t>
  </si>
  <si>
    <t>2135FY2175AG</t>
  </si>
  <si>
    <t>2135FY21FSK85AG</t>
  </si>
  <si>
    <t>2135FY2185AG</t>
  </si>
  <si>
    <t>2135FY21FSK75APH</t>
  </si>
  <si>
    <t>2135FY2175APH</t>
  </si>
  <si>
    <t>2135FY21FSK75AQ</t>
  </si>
  <si>
    <t>2135FY2175AQ</t>
  </si>
  <si>
    <t>2135FY21FSK75AR</t>
  </si>
  <si>
    <t>2135FY2175AR</t>
  </si>
  <si>
    <t>2135FY21FSK75AX</t>
  </si>
  <si>
    <t>2135FY2175AX</t>
  </si>
  <si>
    <t>2135FY21FSK85AX</t>
  </si>
  <si>
    <t>2135FY2185AX</t>
  </si>
  <si>
    <t>2135FY20</t>
  </si>
  <si>
    <t>2135FY20FSK</t>
  </si>
  <si>
    <t>2135FY20FSK75NX</t>
  </si>
  <si>
    <t>2135FY2075NX</t>
  </si>
  <si>
    <t>2135FY20FSK75NXB</t>
  </si>
  <si>
    <t>2135FY2075NXB</t>
  </si>
  <si>
    <t>2135FY20FSK85NXB</t>
  </si>
  <si>
    <t>2135FY2085NXB</t>
  </si>
  <si>
    <t>2135FY20INZ</t>
  </si>
  <si>
    <t>2135FY20INZ65NH</t>
  </si>
  <si>
    <t>2135FY2065NH</t>
  </si>
  <si>
    <t>2134FY21INZ</t>
  </si>
  <si>
    <t>2134FY21INZ65AG</t>
  </si>
  <si>
    <t>FY2121 AugINZ65AG</t>
  </si>
  <si>
    <t>2135FY21INZ</t>
  </si>
  <si>
    <t>2135FY21INZ65AG</t>
  </si>
  <si>
    <t>2134FY21INZ85AG</t>
  </si>
  <si>
    <t>2135FY21INZ85AG</t>
  </si>
  <si>
    <t>2134FY21INZ75AQ</t>
  </si>
  <si>
    <t>FY2121 AugINZ75AQ</t>
  </si>
  <si>
    <t>2134FY21INZ85AQ</t>
  </si>
  <si>
    <t>2134FY21INZ75AG</t>
  </si>
  <si>
    <t>2135FY21INZ75AG</t>
  </si>
  <si>
    <t>2134FY21INZ75AR</t>
  </si>
  <si>
    <t>2135FY20SOEM</t>
  </si>
  <si>
    <t>2135FY20SOEM85NXB</t>
  </si>
  <si>
    <t>2135FY21SOEM</t>
  </si>
  <si>
    <t>2135FY21SOEM85AG</t>
  </si>
  <si>
    <t>2135FY21SOEM85AX</t>
  </si>
  <si>
    <t>2135FY21SOEM75AG</t>
  </si>
  <si>
    <t>2135FY21SOEM75AR</t>
  </si>
  <si>
    <t>2134FY21FBC</t>
  </si>
  <si>
    <t>2134FY21FBC65AG</t>
  </si>
  <si>
    <t>2134FY21FBC85AG</t>
  </si>
  <si>
    <t>Row Labels</t>
  </si>
  <si>
    <t>Grand Total</t>
  </si>
  <si>
    <t>Column Labels</t>
  </si>
  <si>
    <t>Count of ModuleID</t>
  </si>
  <si>
    <t>(Multiple Items)</t>
  </si>
  <si>
    <t>A5027710A$0008906_2128-YDBM075DCS02</t>
  </si>
  <si>
    <t>2136F/MFY21line</t>
  </si>
  <si>
    <t>F/MFY21line21 Sep</t>
  </si>
  <si>
    <t>2136F/MFY21lineFSK</t>
  </si>
  <si>
    <t>F/MFY21line21 SepFSK</t>
  </si>
  <si>
    <t>2136F/MFY21lineFSK75AR</t>
  </si>
  <si>
    <t>F/MFY21line21 SepFSK75AR</t>
  </si>
  <si>
    <t>2136F/MFY21line75AR</t>
  </si>
  <si>
    <t>F/MFY21line21 Sep75AR</t>
  </si>
  <si>
    <t>A5027707A$0014022_2127-YDBM075DCS02</t>
  </si>
  <si>
    <t>2136LEDFY21line</t>
  </si>
  <si>
    <t>LEDFY21line21 Sep</t>
  </si>
  <si>
    <t>2136LEDFY21lineFSK</t>
  </si>
  <si>
    <t>LEDFY21line21 SepFSK</t>
  </si>
  <si>
    <t>2136LEDFY21lineFSK75AR</t>
  </si>
  <si>
    <t>LEDFY21line21 SepFSK75AR</t>
  </si>
  <si>
    <t>2136LEDFY21line75AR</t>
  </si>
  <si>
    <t>LEDFY21line21 Sep75AR</t>
  </si>
  <si>
    <t>A5030086A$0000439_2114-YDBO085DAU02</t>
  </si>
  <si>
    <t>EA5030086A</t>
  </si>
  <si>
    <t>2136F/MFY21lineFSK85AG</t>
  </si>
  <si>
    <t>F/MFY21line21 SepFSK85AG</t>
  </si>
  <si>
    <t>2136F/MFY21line85AG</t>
  </si>
  <si>
    <t>F/MFY21line21 Sep85AG</t>
  </si>
  <si>
    <t>A5030081A$0000619_2114-YDBO075DAS02</t>
  </si>
  <si>
    <t>2136T-CON A/DFY21line</t>
  </si>
  <si>
    <t>T-CON A/DFY21line21 Sep</t>
  </si>
  <si>
    <t>2136T-CON A/DFY21lineFSK</t>
  </si>
  <si>
    <t>T-CON A/DFY21line21 SepFSK</t>
  </si>
  <si>
    <t>2136T-CON A/DFY21lineFSK75AG</t>
  </si>
  <si>
    <t>T-CON A/DFY21line21 SepFSK75AG</t>
  </si>
  <si>
    <t>2136T-CON A/DFY21line75AG</t>
  </si>
  <si>
    <t>T-CON A/DFY21line21 Sep75AG</t>
  </si>
  <si>
    <t>A5027725A$0022986_2128_YSBM075CNO02</t>
  </si>
  <si>
    <t>2136LineFY21line</t>
  </si>
  <si>
    <t>LineFY21line21 Sep</t>
  </si>
  <si>
    <t>2136LineFY21lineSOEM</t>
  </si>
  <si>
    <t>LineFY21line21 SepSOEM</t>
  </si>
  <si>
    <t>2136LineFY21lineSOEM75APH</t>
  </si>
  <si>
    <t>LineFY21line21 SepSOEM75APH</t>
  </si>
  <si>
    <t>2136LineFY21line75APH</t>
  </si>
  <si>
    <t>LineFY21line21 Sep75APH</t>
  </si>
  <si>
    <t>A5027725A$0022850_2128_YSBM075CNO02</t>
  </si>
  <si>
    <t>2136O-Cell A/DFY21line</t>
  </si>
  <si>
    <t>O-Cell A/DFY21line21 Sep</t>
  </si>
  <si>
    <t>2136O-Cell A/DFY21lineSOEM</t>
  </si>
  <si>
    <t>O-Cell A/DFY21line21 SepSOEM</t>
  </si>
  <si>
    <t>2136O-Cell A/DFY21lineSOEM75APH</t>
  </si>
  <si>
    <t>O-Cell A/DFY21line21 SepSOEM75APH</t>
  </si>
  <si>
    <t>2136O-Cell A/DFY21line75APH</t>
  </si>
  <si>
    <t>O-Cell A/DFY21line21 Sep75APH</t>
  </si>
  <si>
    <t>A5027725A$0023653_2130_YSBM075CNO02</t>
  </si>
  <si>
    <t>A5027725A$0023566_2130_YSBM075CNO02</t>
  </si>
  <si>
    <t>A5039502A$0002856_2122-YDBO075DAS02</t>
  </si>
  <si>
    <t>2136LineFY21lineSOEM75AG</t>
  </si>
  <si>
    <t>LineFY21line21 SepSOEM75AG</t>
  </si>
  <si>
    <t>2136LineFY21line75AG</t>
  </si>
  <si>
    <t>LineFY21line21 Sep75AG</t>
  </si>
  <si>
    <t>2136FY21</t>
  </si>
  <si>
    <t>FY2121 Sep</t>
  </si>
  <si>
    <t>2136FY21FSK</t>
  </si>
  <si>
    <t>FY2121 SepFSK</t>
  </si>
  <si>
    <t>2136FY21FSK65AG</t>
  </si>
  <si>
    <t>FY2121 SepFSK65AG</t>
  </si>
  <si>
    <t>2136FY2165AG</t>
  </si>
  <si>
    <t>FY2121 Sep65AG</t>
  </si>
  <si>
    <t>2136FY21FSK75AG</t>
  </si>
  <si>
    <t>FY2121 SepFSK75AG</t>
  </si>
  <si>
    <t>2136FY2175AG</t>
  </si>
  <si>
    <t>FY2121 Sep75AG</t>
  </si>
  <si>
    <t>2136FY21FSK85AG</t>
  </si>
  <si>
    <t>FY2121 SepFSK85AG</t>
  </si>
  <si>
    <t>2136FY2185AG</t>
  </si>
  <si>
    <t>FY2121 Sep85AG</t>
  </si>
  <si>
    <t>2136FY21FSK75APH</t>
  </si>
  <si>
    <t>FY2121 SepFSK75APH</t>
  </si>
  <si>
    <t>2136FY2175APH</t>
  </si>
  <si>
    <t>FY2121 Sep75APH</t>
  </si>
  <si>
    <t>2136FY21FSK75AQ</t>
  </si>
  <si>
    <t>FY2121 SepFSK75AQ</t>
  </si>
  <si>
    <t>2136FY2175AQ</t>
  </si>
  <si>
    <t>FY2121 Sep75AQ</t>
  </si>
  <si>
    <t>2136FY21FSK85AQ</t>
  </si>
  <si>
    <t>FY2121 SepFSK85AQ</t>
  </si>
  <si>
    <t>2136FY2185AQ</t>
  </si>
  <si>
    <t>FY2121 Sep85AQ</t>
  </si>
  <si>
    <t>2136FY21FSK75AR</t>
  </si>
  <si>
    <t>FY2121 SepFSK75AR</t>
  </si>
  <si>
    <t>2136FY2175AR</t>
  </si>
  <si>
    <t>FY2121 Sep75AR</t>
  </si>
  <si>
    <t>2136FY21FSK75AX</t>
  </si>
  <si>
    <t>FY2121 SepFSK75AX</t>
  </si>
  <si>
    <t>2136FY2175AX</t>
  </si>
  <si>
    <t>FY2121 Sep75AX</t>
  </si>
  <si>
    <t>2136FY21FSK85AX</t>
  </si>
  <si>
    <t>FY2121 SepFSK85AX</t>
  </si>
  <si>
    <t>2136FY2185AX</t>
  </si>
  <si>
    <t>FY2121 Sep85AX</t>
  </si>
  <si>
    <t>2136FY20</t>
  </si>
  <si>
    <t>FY2021 Sep</t>
  </si>
  <si>
    <t>2136FY20FSK</t>
  </si>
  <si>
    <t>FY2021 SepFSK</t>
  </si>
  <si>
    <t>2136FY20FSK85NB</t>
  </si>
  <si>
    <t>FY2021 SepFSK85NB</t>
  </si>
  <si>
    <t>2136FY2085NB</t>
  </si>
  <si>
    <t>FY2021 Sep85NB</t>
  </si>
  <si>
    <t>2136FY20FSK75NX</t>
  </si>
  <si>
    <t>FY2021 SepFSK75NX</t>
  </si>
  <si>
    <t>2136FY2075NX</t>
  </si>
  <si>
    <t>FY2021 Sep75NX</t>
  </si>
  <si>
    <t>2136FY20FSK85NX</t>
  </si>
  <si>
    <t>FY2021 SepFSK85NX</t>
  </si>
  <si>
    <t>2136FY2085NX</t>
  </si>
  <si>
    <t>FY2021 Sep85NX</t>
  </si>
  <si>
    <t>2136FY20FSK75NXB</t>
  </si>
  <si>
    <t>FY2021 SepFSK75NXB</t>
  </si>
  <si>
    <t>2136FY2075NXB</t>
  </si>
  <si>
    <t>FY2021 Sep75NXB</t>
  </si>
  <si>
    <t>2136FY20FSK85NXB</t>
  </si>
  <si>
    <t>FY2021 SepFSK85NXB</t>
  </si>
  <si>
    <t>2136FY2085NXB</t>
  </si>
  <si>
    <t>FY2021 Sep85NXB</t>
  </si>
  <si>
    <t>2136FY20SOEM</t>
  </si>
  <si>
    <t>FY2021 SepSOEM</t>
  </si>
  <si>
    <t>2136FY20SOEM55NH</t>
  </si>
  <si>
    <t>FY2021 SepSOEM55NH</t>
  </si>
  <si>
    <t>2136FY2055NH</t>
  </si>
  <si>
    <t>FY2021 Sep55NH</t>
  </si>
  <si>
    <t>2136FY21SOEM</t>
  </si>
  <si>
    <t>FY2121 SepSOEM</t>
  </si>
  <si>
    <t>2136FY21SOEM75APH</t>
  </si>
  <si>
    <t>FY2121 SepSOEM75APH</t>
  </si>
  <si>
    <t>2136FY21SOEM75AG</t>
  </si>
  <si>
    <t>FY2121 SepSOEM75AG</t>
  </si>
  <si>
    <t>2136FY21SOEM75AR</t>
  </si>
  <si>
    <t>FY2121 SepSOEM75AR</t>
  </si>
  <si>
    <t>A5027716A$0006629_2127-YDBM085CNU02</t>
  </si>
  <si>
    <t>2137T-CON A/DFY21line</t>
  </si>
  <si>
    <t>2137T-CON A/DFY21lineFSK</t>
  </si>
  <si>
    <t>2137T-CON A/DFY21lineFSK85AX</t>
  </si>
  <si>
    <t>T-CON A/DFY21line21 SepFSK85AX</t>
  </si>
  <si>
    <t>2137T-CON A/DFY21line85AX</t>
  </si>
  <si>
    <t>T-CON A/DFY21line21 Sep85AX</t>
  </si>
  <si>
    <t>A5027728A$0018436_2128-YSBM075CNO02</t>
  </si>
  <si>
    <t>2137LineFY21line</t>
  </si>
  <si>
    <t>2137LineFY21lineFSK</t>
  </si>
  <si>
    <t>LineFY21line21 SepFSK</t>
  </si>
  <si>
    <t>2137LineFY21lineFSK75APH</t>
  </si>
  <si>
    <t>LineFY21line21 SepFSK75APH</t>
  </si>
  <si>
    <t>2137LineFY21line75APH</t>
  </si>
  <si>
    <t>A5027719A$0010232_2126-YDBM075CCS02</t>
  </si>
  <si>
    <t>2137T-CON A/DFY21lineFSK75AX</t>
  </si>
  <si>
    <t>T-CON A/DFY21line21 SepFSK75AX</t>
  </si>
  <si>
    <t>2137T-CON A/DFY21line75AX</t>
  </si>
  <si>
    <t>T-CON A/DFY21line21 Sep75AX</t>
  </si>
  <si>
    <t>A5039507A$0002832_2124-YDBO085DAU02</t>
  </si>
  <si>
    <t>2137AppFY21line</t>
  </si>
  <si>
    <t>AppFY21line21 Sep</t>
  </si>
  <si>
    <t>2137AppFY21lineSOEM</t>
  </si>
  <si>
    <t>AppFY21line21 SepSOEM</t>
  </si>
  <si>
    <t>2137AppFY21lineSOEM85AG</t>
  </si>
  <si>
    <t>AppFY21line21 SepSOEM85AG</t>
  </si>
  <si>
    <t>2137AppFY21line85AG</t>
  </si>
  <si>
    <t>AppFY21line21 Sep85AG</t>
  </si>
  <si>
    <t>A5039507A$0005048_2128-YDBO085DAU02</t>
  </si>
  <si>
    <t>2137F/MFY21line</t>
  </si>
  <si>
    <t>2137F/MFY21lineSOEM</t>
  </si>
  <si>
    <t>F/MFY21line21 SepSOEM</t>
  </si>
  <si>
    <t>2137F/MFY21lineSOEM85AG</t>
  </si>
  <si>
    <t>F/MFY21line21 SepSOEM85AG</t>
  </si>
  <si>
    <t>2137F/MFY21line85AG</t>
  </si>
  <si>
    <t>A5024290B$0003513_2130-YDAS075DNS02</t>
  </si>
  <si>
    <t>2122O-Cell A/DFY20line</t>
  </si>
  <si>
    <t>2122O-Cell A/DFY20lineSOEM</t>
  </si>
  <si>
    <t>O-Cell A/DFY20line21 MaySOEM</t>
  </si>
  <si>
    <t>2122O-Cell A/DFY20lineSOEM75NX</t>
  </si>
  <si>
    <t>O-Cell A/DFY20line21 MaySOEM75NX</t>
  </si>
  <si>
    <t>2122O-Cell A/DFY20line75NX</t>
  </si>
  <si>
    <t>O-Cell A/DFY20line21 May75NX</t>
  </si>
  <si>
    <t>A5027707C$0000099_2128-YDBM075DCS03</t>
  </si>
  <si>
    <t>2137LineFY21lineSOEM</t>
  </si>
  <si>
    <t>2137LineFY21lineSOEM75AR</t>
  </si>
  <si>
    <t>LineFY21line21 SepSOEM75AR</t>
  </si>
  <si>
    <t>2137LineFY21line75AR</t>
  </si>
  <si>
    <t>LineFY21line21 Sep75AR</t>
  </si>
  <si>
    <t>A5027707C$0000200_2128-YDBM075DCS04</t>
  </si>
  <si>
    <t>A5027707C$0000238_2128-YDBM075DCS04</t>
  </si>
  <si>
    <t>A5027707C$0000073_2128-YDBM075DCS04</t>
  </si>
  <si>
    <t>A5027707C$0000277_2128-YDBM075DCS04</t>
  </si>
  <si>
    <t>A5027707C$0002355_2130-YDBM075DCS04</t>
  </si>
  <si>
    <t>Screw hole Fail</t>
  </si>
  <si>
    <t>2137AppFY21lineSOEM75AR</t>
  </si>
  <si>
    <t>AppFY21line21 SepSOEM75AR</t>
  </si>
  <si>
    <t>2137AppFY21line75AR</t>
  </si>
  <si>
    <t>AppFY21line21 Sep75AR</t>
  </si>
  <si>
    <t>A5027707C$0002315_2130-YDBM075DCS04</t>
  </si>
  <si>
    <t>A5027719C$0010477_2126-YDBM075CCS02</t>
  </si>
  <si>
    <t>2133O-Cell A/DFY21lineSOEM</t>
  </si>
  <si>
    <t>2133O-Cell A/DFY21lineSOEM75AX</t>
  </si>
  <si>
    <t>O-Cell A/DFY21line21 AugSOEM75AX</t>
  </si>
  <si>
    <t>2133O-Cell A/DFY21line75AX</t>
  </si>
  <si>
    <t>O-Cell A/DFY21line21 Aug75AX</t>
  </si>
  <si>
    <t>A5027719C$0000925_2130-YDBM075CCS02</t>
  </si>
  <si>
    <t>2137LineFY21lineSOEM75AX</t>
  </si>
  <si>
    <t>LineFY21line21 SepSOEM75AX</t>
  </si>
  <si>
    <t>2137LineFY21line75AX</t>
  </si>
  <si>
    <t>LineFY21line21 Sep75AX</t>
  </si>
  <si>
    <t>A5027719C$0001097_2130-YDBM075CCS02</t>
  </si>
  <si>
    <t>2137O-Cell A/DFY21line</t>
  </si>
  <si>
    <t>2137O-Cell A/DFY21lineSOEM</t>
  </si>
  <si>
    <t>2137O-Cell A/DFY21lineSOEM75AX</t>
  </si>
  <si>
    <t>O-Cell A/DFY21line21 SepSOEM75AX</t>
  </si>
  <si>
    <t>2137O-Cell A/DFY21line75AX</t>
  </si>
  <si>
    <t>O-Cell A/DFY21line21 Sep75AX</t>
  </si>
  <si>
    <t>A5027719C$0002054_2131-YDBM075CCS02</t>
  </si>
  <si>
    <t>2137BLUFY21line</t>
  </si>
  <si>
    <t>BLUFY21line21 Sep</t>
  </si>
  <si>
    <t>2137BLUFY21lineSOEM</t>
  </si>
  <si>
    <t>BLUFY21line21 SepSOEM</t>
  </si>
  <si>
    <t>2137BLUFY21lineSOEM75AX</t>
  </si>
  <si>
    <t>BLUFY21line21 SepSOEM75AX</t>
  </si>
  <si>
    <t>2137BLUFY21line75AX</t>
  </si>
  <si>
    <t>BLUFY21line21 Sep75AX</t>
  </si>
  <si>
    <t>2137FY21</t>
  </si>
  <si>
    <t>2137FY21FSK</t>
  </si>
  <si>
    <t>2137FY21FSK65AG</t>
  </si>
  <si>
    <t>2137FY2165AG</t>
  </si>
  <si>
    <t>2137FY21FSK75AG</t>
  </si>
  <si>
    <t>2137FY2175AG</t>
  </si>
  <si>
    <t>2137FY21FSK85AG</t>
  </si>
  <si>
    <t>2137FY2185AG</t>
  </si>
  <si>
    <t>2137FY21FSK75APH</t>
  </si>
  <si>
    <t>2137FY2175APH</t>
  </si>
  <si>
    <t>2137FY21FSK75AQ</t>
  </si>
  <si>
    <t>2137FY2175AQ</t>
  </si>
  <si>
    <t>2137FY21FSK85AQ</t>
  </si>
  <si>
    <t>2137FY2185AQ</t>
  </si>
  <si>
    <t>2137FY21FSK75AR</t>
  </si>
  <si>
    <t>2137FY2175AR</t>
  </si>
  <si>
    <t>2137FY21FSK75AX</t>
  </si>
  <si>
    <t>2137FY2175AX</t>
  </si>
  <si>
    <t>2137FY21FSK85AX</t>
  </si>
  <si>
    <t>2137FY2185AX</t>
  </si>
  <si>
    <t>2137FY20</t>
  </si>
  <si>
    <t>2137FY20FSK</t>
  </si>
  <si>
    <t>2137FY20FSK85NB</t>
  </si>
  <si>
    <t>2137FY2085NB</t>
  </si>
  <si>
    <t>2137FY20FSK75NX</t>
  </si>
  <si>
    <t>2137FY2075NX</t>
  </si>
  <si>
    <t>2137FY20FSK75NXB</t>
  </si>
  <si>
    <t>2137FY2075NXB</t>
  </si>
  <si>
    <t>2137FY20FSK85NXB</t>
  </si>
  <si>
    <t>2137FY2085NXB</t>
  </si>
  <si>
    <t>2137FY20SOEM</t>
  </si>
  <si>
    <t>2137FY20SOEM65NH</t>
  </si>
  <si>
    <t>FY2021 SepSOEM65NH</t>
  </si>
  <si>
    <t>2137FY2065NH</t>
  </si>
  <si>
    <t>FY2021 Sep65NH</t>
  </si>
  <si>
    <t>2137FY20SOEM85NB</t>
  </si>
  <si>
    <t>FY2021 SepSOEM85NB</t>
  </si>
  <si>
    <t>2137FY21SOEM</t>
  </si>
  <si>
    <t>2137FY21SOEM85AG</t>
  </si>
  <si>
    <t>FY2121 SepSOEM85AG</t>
  </si>
  <si>
    <t>2137FY21SOEM85AX</t>
  </si>
  <si>
    <t>FY2121 SepSOEM85AX</t>
  </si>
  <si>
    <t>2137FY21SOEM75APH</t>
  </si>
  <si>
    <t>2137FY20SOEM75NXB</t>
  </si>
  <si>
    <t>FY2021 SepSOEM75NXB</t>
  </si>
  <si>
    <t>2137FY21SOEM75AG</t>
  </si>
  <si>
    <t>2137FY21SOEM75AR</t>
  </si>
  <si>
    <t>2137FY21SOEM75AX</t>
  </si>
  <si>
    <t>FY2121 SepSOEM75AX</t>
  </si>
  <si>
    <t>2137FY20SOEM75NB</t>
  </si>
  <si>
    <t>FY2021 SepSOEM75NB</t>
  </si>
  <si>
    <t>2137FY2075NB</t>
  </si>
  <si>
    <t>FY2021 Sep75NB</t>
  </si>
  <si>
    <t>SF10</t>
  </si>
  <si>
    <t>YDBO065DBU02</t>
  </si>
  <si>
    <t>A5032151A$0011580_2129</t>
  </si>
  <si>
    <t>A-5032-151-**</t>
  </si>
  <si>
    <t>A5032151A</t>
  </si>
  <si>
    <t>$0011580_</t>
  </si>
  <si>
    <t>2137F/MFY21lineFBC</t>
  </si>
  <si>
    <t>F/MFY21line21 SepFBC</t>
  </si>
  <si>
    <t>2137F/MFY21lineFBC65AG</t>
  </si>
  <si>
    <t>F/MFY21line21 SepFBC65AG</t>
  </si>
  <si>
    <t>2137F/MFY21line65AG</t>
  </si>
  <si>
    <t>F/MFY21line21 Sep65AG</t>
  </si>
  <si>
    <t>2135FY21FBC</t>
  </si>
  <si>
    <t>2135FY21FBC65AG</t>
  </si>
  <si>
    <t>2136FY21FBC</t>
  </si>
  <si>
    <t>FY2121 SepFBC</t>
  </si>
  <si>
    <t>2136FY21FBC65AG</t>
  </si>
  <si>
    <t>FY2121 SepFBC65AG</t>
  </si>
  <si>
    <t>2137FY21FBC</t>
  </si>
  <si>
    <t>2137FY21FBC65AG</t>
  </si>
  <si>
    <t>2135FY21FBC85AG</t>
  </si>
  <si>
    <t>2136FY21FBC85AG</t>
  </si>
  <si>
    <t>FY2121 SepFBC85AG</t>
  </si>
  <si>
    <t>2137FY21FBC85AG</t>
  </si>
  <si>
    <t>2135FY21FBC75AQ</t>
  </si>
  <si>
    <t>2137FY21FBC85AQ</t>
  </si>
  <si>
    <t>FY2121 SepFBC85AQ</t>
  </si>
  <si>
    <t>2136FY21FBC75AG</t>
  </si>
  <si>
    <t>FY2121 SepFBC75AG</t>
  </si>
  <si>
    <t>2137FY21FBC75AG</t>
  </si>
  <si>
    <t>A5028495A$0000577_2123</t>
  </si>
  <si>
    <t>A5027716A$0007914_2131-YDBM085CNU02</t>
  </si>
  <si>
    <t>2138T-CON A/DFY21line</t>
  </si>
  <si>
    <t>2138T-CON A/DFY21lineFSK</t>
  </si>
  <si>
    <t>2138T-CON A/DFY21lineFSK85AX</t>
  </si>
  <si>
    <t>2138T-CON A/DFY21line85AX</t>
  </si>
  <si>
    <t>A5027716A$0007509_2131-YDBM085CNU02</t>
  </si>
  <si>
    <t>Bezel Gap (AL)</t>
  </si>
  <si>
    <t>2138AL-FrameFY21line</t>
  </si>
  <si>
    <t>AL-FrameFY21line21 Sep</t>
  </si>
  <si>
    <t>2138AL-FrameFY21lineFSK</t>
  </si>
  <si>
    <t>AL-FrameFY21line21 SepFSK</t>
  </si>
  <si>
    <t>2138AL-FrameFY21lineFSK85AX</t>
  </si>
  <si>
    <t>AL-FrameFY21line21 SepFSK85AX</t>
  </si>
  <si>
    <t>2138AL-FrameFY21line85AX</t>
  </si>
  <si>
    <t>AL-FrameFY21line21 Sep85AX</t>
  </si>
  <si>
    <t>A5032151A$0012672_2129-YDBO065DBU02</t>
  </si>
  <si>
    <t>2138LineFY21line</t>
  </si>
  <si>
    <t>2138LineFY21lineFSK</t>
  </si>
  <si>
    <t>2138LineFY21lineFSK65AG</t>
  </si>
  <si>
    <t>LineFY21line21 SepFSK65AG</t>
  </si>
  <si>
    <t>2138LineFY21line65AG</t>
  </si>
  <si>
    <t>LineFY21line21 Sep65AG</t>
  </si>
  <si>
    <t>A5032151A$0012008_2129-YDBO065DBU02</t>
  </si>
  <si>
    <t>Dot etc</t>
  </si>
  <si>
    <t>2138DotFY21line</t>
  </si>
  <si>
    <t>DotFY21line21 Sep</t>
  </si>
  <si>
    <t>2138DotFY21lineFSK</t>
  </si>
  <si>
    <t>DotFY21line21 SepFSK</t>
  </si>
  <si>
    <t>2138DotFY21lineFSK65AG</t>
  </si>
  <si>
    <t>DotFY21line21 SepFSK65AG</t>
  </si>
  <si>
    <t>2138DotFY21line65AG</t>
  </si>
  <si>
    <t>DotFY21line21 Sep65AG</t>
  </si>
  <si>
    <t>A5024290B$0003420_2130-YDAS075DNS02</t>
  </si>
  <si>
    <t>2138T-CON A/DFY20line</t>
  </si>
  <si>
    <t>T-CON A/DFY20line21 Sep</t>
  </si>
  <si>
    <t>2138T-CON A/DFY20lineFSK</t>
  </si>
  <si>
    <t>T-CON A/DFY20line21 SepFSK</t>
  </si>
  <si>
    <t>2138T-CON A/DFY20lineFSK75NXB</t>
  </si>
  <si>
    <t>T-CON A/DFY20line21 SepFSK75NXB</t>
  </si>
  <si>
    <t>2138T-CON A/DFY20line75NXB</t>
  </si>
  <si>
    <t>T-CON A/DFY20line21 Sep75NXB</t>
  </si>
  <si>
    <t>A5027710C$0002582_2130-YDBM075DCS02</t>
  </si>
  <si>
    <t>EA5027710C</t>
  </si>
  <si>
    <t>2138DotFY21lineFSK75AR</t>
  </si>
  <si>
    <t>DotFY21line21 SepFSK75AR</t>
  </si>
  <si>
    <t>2138DotFY21line75AR</t>
  </si>
  <si>
    <t>DotFY21line21 Sep75AR</t>
  </si>
  <si>
    <t>A5027722C$0000057_2129-YDBM075CCS02</t>
  </si>
  <si>
    <t>EA5027722C</t>
  </si>
  <si>
    <t>2138LEDFY21line</t>
  </si>
  <si>
    <t>2138LEDFY21lineFSK</t>
  </si>
  <si>
    <t>2138LEDFY21lineFSK75AX</t>
  </si>
  <si>
    <t>LEDFY21line21 SepFSK75AX</t>
  </si>
  <si>
    <t>2138LEDFY21line75AX</t>
  </si>
  <si>
    <t>LEDFY21line21 Sep75AX</t>
  </si>
  <si>
    <t>P8</t>
  </si>
  <si>
    <t>A5027722C$0001186_2131-YDBM075CCS02</t>
  </si>
  <si>
    <t>User hole fail</t>
  </si>
  <si>
    <t>2138AppFY21line</t>
  </si>
  <si>
    <t>2138AppFY21lineFSK</t>
  </si>
  <si>
    <t>AppFY21line21 SepFSK</t>
  </si>
  <si>
    <t>2138AppFY21lineFSK75AX</t>
  </si>
  <si>
    <t>AppFY21line21 SepFSK75AX</t>
  </si>
  <si>
    <t>2138AppFY21line75AX</t>
  </si>
  <si>
    <t>AppFY21line21 Sep75AX</t>
  </si>
  <si>
    <t>A5027719C$0000406_2129-YDBM075CCS02</t>
  </si>
  <si>
    <t>EA5027719C</t>
  </si>
  <si>
    <t>2138LineFY21lineFSK75AX</t>
  </si>
  <si>
    <t>LineFY21line21 SepFSK75AX</t>
  </si>
  <si>
    <t>2138LineFY21line75AX</t>
  </si>
  <si>
    <t>A5027710C$0000561_2129-YDBM075DCS02</t>
  </si>
  <si>
    <t>2138T-CON A/DFY21lineFSK75AR</t>
  </si>
  <si>
    <t>T-CON A/DFY21line21 SepFSK75AR</t>
  </si>
  <si>
    <t>2138T-CON A/DFY21line75AR</t>
  </si>
  <si>
    <t>T-CON A/DFY21line21 Sep75AR</t>
  </si>
  <si>
    <t>A5027710C$0000559_2129-YDBM075DCS02</t>
  </si>
  <si>
    <t>A5027710C$0000569_2129-YDBM075DCS02</t>
  </si>
  <si>
    <t>2138LineFY21lineFSK75AR</t>
  </si>
  <si>
    <t>LineFY21line21 SepFSK75AR</t>
  </si>
  <si>
    <t>2138LineFY21line75AR</t>
  </si>
  <si>
    <t>A5027710C$0002721_2130-YDBM075DCS02</t>
  </si>
  <si>
    <t>A5027722C$0001051_2131-YDBM075CCS02</t>
  </si>
  <si>
    <t>A5027710C$0005084_2132-YDBM075DCS02</t>
  </si>
  <si>
    <t>A5016564B$0001009_2131-YDAS085DNU02</t>
  </si>
  <si>
    <t>EA5016564B</t>
  </si>
  <si>
    <t>2138LineFY20line</t>
  </si>
  <si>
    <t>LineFY20line21 Sep</t>
  </si>
  <si>
    <t>2138LineFY20lineFSK</t>
  </si>
  <si>
    <t>LineFY20line21 SepFSK</t>
  </si>
  <si>
    <t>2138LineFY20lineFSK85NXB</t>
  </si>
  <si>
    <t>LineFY20line21 SepFSK85NXB</t>
  </si>
  <si>
    <t>2138LineFY20line85NXB</t>
  </si>
  <si>
    <t>LineFY20line21 Sep85NXB</t>
  </si>
  <si>
    <t>2138FY21</t>
  </si>
  <si>
    <t>2138FY21FSK</t>
  </si>
  <si>
    <t>2138FY21FSK65AG</t>
  </si>
  <si>
    <t>2138FY2165AG</t>
  </si>
  <si>
    <t>2138FY21FSK75AG</t>
  </si>
  <si>
    <t>2138FY2175AG</t>
  </si>
  <si>
    <t>2138FY21FSK85AG</t>
  </si>
  <si>
    <t>2138FY2185AG</t>
  </si>
  <si>
    <t>2138FY21FSK75APH</t>
  </si>
  <si>
    <t>2138FY2175APH</t>
  </si>
  <si>
    <t>2138FY21FSK75AQ</t>
  </si>
  <si>
    <t>2138FY2175AQ</t>
  </si>
  <si>
    <t>2138FY21FSK85AQ</t>
  </si>
  <si>
    <t>2138FY2185AQ</t>
  </si>
  <si>
    <t>2138FY21FSK75AR</t>
  </si>
  <si>
    <t>2138FY2175AR</t>
  </si>
  <si>
    <t>2138FY21FSK75AX</t>
  </si>
  <si>
    <t>2138FY2175AX</t>
  </si>
  <si>
    <t>2138FY21FSK85AX</t>
  </si>
  <si>
    <t>2138FY2185AX</t>
  </si>
  <si>
    <t>2138FY20</t>
  </si>
  <si>
    <t>2138FY20FSK</t>
  </si>
  <si>
    <t>2138FY20FSK75NXB</t>
  </si>
  <si>
    <t>2138FY2075NXB</t>
  </si>
  <si>
    <t>2138FY20FSK85NXB</t>
  </si>
  <si>
    <t>2138FY2085NXB</t>
  </si>
  <si>
    <t>A5027713A$0012764_2131-YDBM085CNU02</t>
  </si>
  <si>
    <t>2138LineFY21lineSOEM</t>
  </si>
  <si>
    <t>2138LineFY21lineSOEM85AX</t>
  </si>
  <si>
    <t>LineFY21line21 SepSOEM85AX</t>
  </si>
  <si>
    <t>2138LineFY21line85AX</t>
  </si>
  <si>
    <t>LineFY21line21 Sep85AX</t>
  </si>
  <si>
    <t>A5027713A$0012901_2131-YDBM085CNU02</t>
  </si>
  <si>
    <t>2138BLUFY21line</t>
  </si>
  <si>
    <t>2138BLUFY21lineSOEM</t>
  </si>
  <si>
    <t>2138BLUFY21lineSOEM85AX</t>
  </si>
  <si>
    <t>BLUFY21line21 SepSOEM85AX</t>
  </si>
  <si>
    <t>2138BLUFY21line85AX</t>
  </si>
  <si>
    <t>BLUFY21line21 Sep85AX</t>
  </si>
  <si>
    <t>A5027713A$0012911_2131-YDBM085CNU02</t>
  </si>
  <si>
    <t>A5027713A$0012912_2131-YDBM085CNU02</t>
  </si>
  <si>
    <t>A5027725A$0020894_2127_YSBM075CNO02</t>
  </si>
  <si>
    <t>2138O-Cell A/DFY21line</t>
  </si>
  <si>
    <t>2138O-Cell A/DFY21lineSOEM</t>
  </si>
  <si>
    <t>2138O-Cell A/DFY21lineSOEM75APH</t>
  </si>
  <si>
    <t>2138O-Cell A/DFY21line75APH</t>
  </si>
  <si>
    <t>2138FY20SOEM</t>
  </si>
  <si>
    <t>2138FY20SOEM55NH</t>
  </si>
  <si>
    <t>2138FY2055NH</t>
  </si>
  <si>
    <t>2138FY20SOEM65NH</t>
  </si>
  <si>
    <t>2138FY2065NH</t>
  </si>
  <si>
    <t>2138FY20SOEM85NX</t>
  </si>
  <si>
    <t>FY2021 SepSOEM85NX</t>
  </si>
  <si>
    <t>2138FY2085NX</t>
  </si>
  <si>
    <t>2138FY20SOEM85NXB</t>
  </si>
  <si>
    <t>FY2021 SepSOEM85NXB</t>
  </si>
  <si>
    <t>2138FY21SOEM</t>
  </si>
  <si>
    <t>2138FY21SOEM65AG</t>
  </si>
  <si>
    <t>FY2121 SepSOEM65AG</t>
  </si>
  <si>
    <t>2138FY21SOEM85AX</t>
  </si>
  <si>
    <t>2138FY21SOEM75APH</t>
  </si>
  <si>
    <t>2138FY20SOEM75NXB</t>
  </si>
  <si>
    <t>2138FY21SOEM75AR</t>
  </si>
  <si>
    <t>2138FY21SOEM75AX</t>
  </si>
  <si>
    <t>A5027710C$0004685_2132-YDBM075DCS02</t>
  </si>
  <si>
    <t>2139LineFY21line</t>
  </si>
  <si>
    <t>2139LineFY21lineFSK</t>
  </si>
  <si>
    <t>2139LineFY21lineFSK75AR</t>
  </si>
  <si>
    <t>2139LineFY21line75AR</t>
  </si>
  <si>
    <t>A5027710C$0001490_2130-YDBM075DCS02</t>
  </si>
  <si>
    <t>A5027722C$0000465_2129-YDBM075CCS02</t>
  </si>
  <si>
    <t>2139LEDFY21line</t>
  </si>
  <si>
    <t>2139LEDFY21lineFSK</t>
  </si>
  <si>
    <t>2139LEDFY21lineFSK75AX</t>
  </si>
  <si>
    <t>2139LEDFY21line75AX</t>
  </si>
  <si>
    <t>A5027710C$0004739_2132-YDBM075DCS02</t>
  </si>
  <si>
    <t>2139OthersFY21line</t>
  </si>
  <si>
    <t>OthersFY21line21 Sep</t>
  </si>
  <si>
    <t>2139OthersFY21lineFSK</t>
  </si>
  <si>
    <t>OthersFY21line21 SepFSK</t>
  </si>
  <si>
    <t>2139OthersFY21lineFSK75AR</t>
  </si>
  <si>
    <t>OthersFY21line21 SepFSK75AR</t>
  </si>
  <si>
    <t>2139OthersFY21line75AR</t>
  </si>
  <si>
    <t>OthersFY21line21 Sep75AR</t>
  </si>
  <si>
    <t>A5027719C$0002207_2131-YDBM075CCS02</t>
  </si>
  <si>
    <t>2139LineFY21lineFSK75AX</t>
  </si>
  <si>
    <t>2139LineFY21line75AX</t>
  </si>
  <si>
    <t>A5027710C$0004770_2132-YDBM075DCS02</t>
  </si>
  <si>
    <t>A5027710C$0003754_2131-YDBM075DCS02</t>
  </si>
  <si>
    <t>2139T-CON A/DFY21line</t>
  </si>
  <si>
    <t>2139T-CON A/DFY21lineFSK</t>
  </si>
  <si>
    <t>2139T-CON A/DFY21lineFSK75AR</t>
  </si>
  <si>
    <t>2139T-CON A/DFY21line75AR</t>
  </si>
  <si>
    <t>A5027710C$0004921_2132-YDBM075DCS02</t>
  </si>
  <si>
    <t>A5027710C$0003745_2131-YDBM075DCS02</t>
  </si>
  <si>
    <t>A5027710C$0003900_2131-YDBM075DCS02</t>
  </si>
  <si>
    <t>A5027710C$0003889_2131-YDBM075DCS02</t>
  </si>
  <si>
    <t>A5027716A$0009497_2132-YDBM085CNU02</t>
  </si>
  <si>
    <t>2139LineFY21lineFSK85AX</t>
  </si>
  <si>
    <t>LineFY21line21 SepFSK85AX</t>
  </si>
  <si>
    <t>2139LineFY21line85AX</t>
  </si>
  <si>
    <t>A5027707C$0003946_2131-YDBM075DCS02</t>
  </si>
  <si>
    <t>EA5027707C</t>
  </si>
  <si>
    <t>A5027707C$0003507_2131-YDBM075DCS02</t>
  </si>
  <si>
    <t>A5027728A$0021930_2132-YSBM075CNO02</t>
  </si>
  <si>
    <t>2139AppFY21line</t>
  </si>
  <si>
    <t>2139AppFY21lineFSK</t>
  </si>
  <si>
    <t>2139AppFY21lineFSK75APH</t>
  </si>
  <si>
    <t>AppFY21line21 SepFSK75APH</t>
  </si>
  <si>
    <t>2139AppFY21line75APH</t>
  </si>
  <si>
    <t>AppFY21line21 Sep75APH</t>
  </si>
  <si>
    <t>A5027728A$0020438_2130-YSBM075CNO02</t>
  </si>
  <si>
    <t>2139LineFY21lineFSK75APH</t>
  </si>
  <si>
    <t>2139LineFY21line75APH</t>
  </si>
  <si>
    <t>A5027728A$0022828_2133-YSBM075CNO02</t>
  </si>
  <si>
    <t>2139T-CON A/DFY21lineFSK75APH</t>
  </si>
  <si>
    <t>T-CON A/DFY21line21 SepFSK75APH</t>
  </si>
  <si>
    <t>2139T-CON A/DFY21line75APH</t>
  </si>
  <si>
    <t>T-CON A/DFY21line21 Sep75APH</t>
  </si>
  <si>
    <t>A5027728A$0021156_2131-YSBM075CNO02</t>
  </si>
  <si>
    <t>2140LineFY21line</t>
  </si>
  <si>
    <t>LineFY21line21 Oct</t>
  </si>
  <si>
    <t>2140LineFY21lineFSK</t>
  </si>
  <si>
    <t>LineFY21line21 OctFSK</t>
  </si>
  <si>
    <t>2140LineFY21lineFSK75APH</t>
  </si>
  <si>
    <t>LineFY21line21 OctFSK75APH</t>
  </si>
  <si>
    <t>2140LineFY21line75APH</t>
  </si>
  <si>
    <t>LineFY21line21 Oct75APH</t>
  </si>
  <si>
    <t>A5027719C$0003458_2132-YDBM075CCS02</t>
  </si>
  <si>
    <t>2140LineFY21lineFSK75AX</t>
  </si>
  <si>
    <t>LineFY21line21 OctFSK75AX</t>
  </si>
  <si>
    <t>2140LineFY21line75AX</t>
  </si>
  <si>
    <t>LineFY21line21 Oct75AX</t>
  </si>
  <si>
    <t>A5027719C$0003473_2132-YDBM075CCS02</t>
  </si>
  <si>
    <t>A5027707C$0005385_2133-YDBM075DCS02</t>
  </si>
  <si>
    <t>2140LineFY21lineFSK75AR</t>
  </si>
  <si>
    <t>LineFY21line21 OctFSK75AR</t>
  </si>
  <si>
    <t>2140LineFY21line75AR</t>
  </si>
  <si>
    <t>LineFY21line21 Oct75AR</t>
  </si>
  <si>
    <t>A5027707C$0006122_2133-YDBM075DCS02</t>
  </si>
  <si>
    <t>A5027725A$0019784_2126_YSBM075CNO02</t>
  </si>
  <si>
    <t>2139BLUFY21line</t>
  </si>
  <si>
    <t>2139BLUFY21lineSOEM</t>
  </si>
  <si>
    <t>2139BLUFY21lineSOEM75APH</t>
  </si>
  <si>
    <t>BLUFY21line21 SepSOEM75APH</t>
  </si>
  <si>
    <t>2139BLUFY21line75APH</t>
  </si>
  <si>
    <t>BLUFY21line21 Sep75APH</t>
  </si>
  <si>
    <t>A5027725A$0019052_2126_YSBM075CNO02</t>
  </si>
  <si>
    <t>2139LineFY21lineSOEM</t>
  </si>
  <si>
    <t>2139LineFY21lineSOEM75APH</t>
  </si>
  <si>
    <t>A5024290B$0003606_2130-YDAS075DNS02</t>
  </si>
  <si>
    <t>2139LineFY20line</t>
  </si>
  <si>
    <t>2139LineFY20lineSOEM</t>
  </si>
  <si>
    <t>LineFY20line21 SepSOEM</t>
  </si>
  <si>
    <t>2139LineFY20lineSOEM75NX</t>
  </si>
  <si>
    <t>LineFY20line21 SepSOEM75NX</t>
  </si>
  <si>
    <t>2139LineFY20line75NX</t>
  </si>
  <si>
    <t>LineFY20line21 Sep75NX</t>
  </si>
  <si>
    <t>A5027719C$0002641_2131-YDBM075CCS02</t>
  </si>
  <si>
    <t xml:space="preserve">Glass broken </t>
  </si>
  <si>
    <t>2139AppFY21lineSOEM</t>
  </si>
  <si>
    <t>2139AppFY21lineSOEM75AX</t>
  </si>
  <si>
    <t>AppFY21line21 SepSOEM75AX</t>
  </si>
  <si>
    <t>2139AppFY21line75AX</t>
  </si>
  <si>
    <t>2139FY21</t>
  </si>
  <si>
    <t>2139FY21FSK</t>
  </si>
  <si>
    <t>2139FY21FSK75APH</t>
  </si>
  <si>
    <t>2139FY2175APH</t>
  </si>
  <si>
    <t>2140FY21</t>
  </si>
  <si>
    <t>FY2121 Oct</t>
  </si>
  <si>
    <t>2140FY21FSK</t>
  </si>
  <si>
    <t>FY2121 OctFSK</t>
  </si>
  <si>
    <t>2140FY21FSK75APH</t>
  </si>
  <si>
    <t>FY2121 OctFSK75APH</t>
  </si>
  <si>
    <t>2140FY2175APH</t>
  </si>
  <si>
    <t>FY2121 Oct75APH</t>
  </si>
  <si>
    <t>2139FY21FSK75AQ</t>
  </si>
  <si>
    <t>2139FY2175AQ</t>
  </si>
  <si>
    <t>2140FY21FSK75AQ</t>
  </si>
  <si>
    <t>FY2121 OctFSK75AQ</t>
  </si>
  <si>
    <t>2140FY2175AQ</t>
  </si>
  <si>
    <t>FY2121 Oct75AQ</t>
  </si>
  <si>
    <t>2139FY21FSK85AQ</t>
  </si>
  <si>
    <t>2139FY2185AQ</t>
  </si>
  <si>
    <t>2140FY21FSK85AQ</t>
  </si>
  <si>
    <t>FY2121 OctFSK85AQ</t>
  </si>
  <si>
    <t>2140FY2185AQ</t>
  </si>
  <si>
    <t>FY2121 Oct85AQ</t>
  </si>
  <si>
    <t>2139FY21FSK75AR</t>
  </si>
  <si>
    <t>2139FY2175AR</t>
  </si>
  <si>
    <t>2140FY21FSK75AR</t>
  </si>
  <si>
    <t>FY2121 OctFSK75AR</t>
  </si>
  <si>
    <t>2140FY2175AR</t>
  </si>
  <si>
    <t>FY2121 Oct75AR</t>
  </si>
  <si>
    <t>2139FY21FSK75AX</t>
  </si>
  <si>
    <t>2139FY2175AX</t>
  </si>
  <si>
    <t>2140FY21FSK75AX</t>
  </si>
  <si>
    <t>FY2121 OctFSK75AX</t>
  </si>
  <si>
    <t>2140FY2175AX</t>
  </si>
  <si>
    <t>FY2121 Oct75AX</t>
  </si>
  <si>
    <t>2139FY21FSK85AX</t>
  </si>
  <si>
    <t>2139FY2185AX</t>
  </si>
  <si>
    <t>2140FY21FSK85AX</t>
  </si>
  <si>
    <t>FY2121 OctFSK85AX</t>
  </si>
  <si>
    <t>2140FY2185AX</t>
  </si>
  <si>
    <t>FY2121 Oct85AX</t>
  </si>
  <si>
    <t>2139FY20</t>
  </si>
  <si>
    <t>2139FY20FSK</t>
  </si>
  <si>
    <t>2139FY20FSK75NX</t>
  </si>
  <si>
    <t>2139FY2075NX</t>
  </si>
  <si>
    <t>2140FY20</t>
  </si>
  <si>
    <t>FY2021 Oct</t>
  </si>
  <si>
    <t>2140FY20FSK</t>
  </si>
  <si>
    <t>FY2021 OctFSK</t>
  </si>
  <si>
    <t>2140FY20FSK75NX</t>
  </si>
  <si>
    <t>FY2021 OctFSK75NX</t>
  </si>
  <si>
    <t>2140FY2075NX</t>
  </si>
  <si>
    <t>FY2021 Oct75NX</t>
  </si>
  <si>
    <t>2139FY20FSK85NX</t>
  </si>
  <si>
    <t>2139FY2085NX</t>
  </si>
  <si>
    <t>2139FY20FSK75NXB</t>
  </si>
  <si>
    <t>2139FY2075NXB</t>
  </si>
  <si>
    <t>2140FY20FSK75NXB</t>
  </si>
  <si>
    <t>FY2021 OctFSK75NXB</t>
  </si>
  <si>
    <t>2140FY2075NXB</t>
  </si>
  <si>
    <t>FY2021 Oct75NXB</t>
  </si>
  <si>
    <t>2139FY20FSK85NXB</t>
  </si>
  <si>
    <t>2139FY2085NXB</t>
  </si>
  <si>
    <t>2139FY20SOEM</t>
  </si>
  <si>
    <t>2139FY20SOEM55NH</t>
  </si>
  <si>
    <t>2139FY2055NH</t>
  </si>
  <si>
    <t>2139FY20SOEM85NB</t>
  </si>
  <si>
    <t>2139FY2085NB</t>
  </si>
  <si>
    <t>2139FY20SOEM85NXB</t>
  </si>
  <si>
    <t>2139FY21SOEM</t>
  </si>
  <si>
    <t>2139FY21SOEM65AG</t>
  </si>
  <si>
    <t>2139FY2165AG</t>
  </si>
  <si>
    <t>2139FY21SOEM85AG</t>
  </si>
  <si>
    <t>2139FY2185AG</t>
  </si>
  <si>
    <t>2139FY21SOEM85AX</t>
  </si>
  <si>
    <t>2139FY21SOEM75APH</t>
  </si>
  <si>
    <t>2139FY20SOEM75NXB</t>
  </si>
  <si>
    <t>2139FY21SOEM75AG</t>
  </si>
  <si>
    <t>2139FY2175AG</t>
  </si>
  <si>
    <t>2139FY21SOEM75AR</t>
  </si>
  <si>
    <t>2139FY21SOEM75AX</t>
  </si>
  <si>
    <t>A5027725A$0023132_2131</t>
  </si>
  <si>
    <t>2137PolFY21line</t>
  </si>
  <si>
    <t>PolFY21line21 Sep</t>
  </si>
  <si>
    <t>2137PolFY21lineCTTI</t>
  </si>
  <si>
    <t>PolFY21line21 SepCTTI</t>
  </si>
  <si>
    <t>2137PolFY21lineCTTI75APH</t>
  </si>
  <si>
    <t>PolFY21line21 SepCTTI75APH</t>
  </si>
  <si>
    <t>2137PolFY21line75APH</t>
  </si>
  <si>
    <t>PolFY21line21 Sep75APH</t>
  </si>
  <si>
    <t>A5027725A$0024343_2131</t>
  </si>
  <si>
    <t>A5027725A$0024356_2131</t>
  </si>
  <si>
    <t>2137UniFY21line</t>
  </si>
  <si>
    <t>UniFY21line21 Sep</t>
  </si>
  <si>
    <t>2137UniFY21lineCTTI</t>
  </si>
  <si>
    <t>UniFY21line21 SepCTTI</t>
  </si>
  <si>
    <t>2137UniFY21lineCTTI75APH</t>
  </si>
  <si>
    <t>UniFY21line21 SepCTTI75APH</t>
  </si>
  <si>
    <t>2137UniFY21line75APH</t>
  </si>
  <si>
    <t>UniFY21line21 Sep75APH</t>
  </si>
  <si>
    <t>A5027725A$0021484_2129</t>
  </si>
  <si>
    <t>A5027725A$0023489_2131</t>
  </si>
  <si>
    <t>A5027725A$0024597_2131</t>
  </si>
  <si>
    <t>A5027725A$0025379_2131</t>
  </si>
  <si>
    <t>2138PolFY21line</t>
  </si>
  <si>
    <t>2138PolFY21lineCTTI</t>
  </si>
  <si>
    <t>2138PolFY21lineCTTI75APH</t>
  </si>
  <si>
    <t>2138PolFY21line75APH</t>
  </si>
  <si>
    <t>A5027725A$0025479_2131</t>
  </si>
  <si>
    <t>Pol spot</t>
  </si>
  <si>
    <t>A5027725A$0025483_2131</t>
  </si>
  <si>
    <t>A5027725A$0025613_2131</t>
  </si>
  <si>
    <t>2138O-Cell A/DFY21lineCTTI</t>
  </si>
  <si>
    <t>O-Cell A/DFY21line21 SepCTTI</t>
  </si>
  <si>
    <t>2138O-Cell A/DFY21lineCTTI75APH</t>
  </si>
  <si>
    <t>O-Cell A/DFY21line21 SepCTTI75APH</t>
  </si>
  <si>
    <t>A5027725A$0025401_2131</t>
  </si>
  <si>
    <t>2138DotFY21lineCTTI</t>
  </si>
  <si>
    <t>DotFY21line21 SepCTTI</t>
  </si>
  <si>
    <t>2138DotFY21lineCTTI75APH</t>
  </si>
  <si>
    <t>DotFY21line21 SepCTTI75APH</t>
  </si>
  <si>
    <t>2138DotFY21line75APH</t>
  </si>
  <si>
    <t>DotFY21line21 Sep75APH</t>
  </si>
  <si>
    <t>A5027725A$0025621_2131</t>
  </si>
  <si>
    <t>2138UniFY21line</t>
  </si>
  <si>
    <t>2138UniFY21lineCTTI</t>
  </si>
  <si>
    <t>2138UniFY21lineCTTI75APH</t>
  </si>
  <si>
    <t>2138UniFY21line75APH</t>
  </si>
  <si>
    <t>A5027725A$0021436_2129</t>
  </si>
  <si>
    <t>A5027725A$0025636_2131</t>
  </si>
  <si>
    <t>A5027725A$0024132_2130</t>
  </si>
  <si>
    <t>2139PolFY21line</t>
  </si>
  <si>
    <t>2139PolFY21lineCTTI</t>
  </si>
  <si>
    <t>2139PolFY21lineCTTI75APH</t>
  </si>
  <si>
    <t>2139PolFY21line75APH</t>
  </si>
  <si>
    <t>A5027707C$0006685_2133</t>
  </si>
  <si>
    <t>2139LineFY21lineINZ</t>
  </si>
  <si>
    <t>LineFY21line21 SepINZ</t>
  </si>
  <si>
    <t>2139LineFY21lineINZ75AR</t>
  </si>
  <si>
    <t>LineFY21line21 SepINZ75AR</t>
  </si>
  <si>
    <t>2134FY21CTTI</t>
  </si>
  <si>
    <t>2134FY21CTTI75APH</t>
  </si>
  <si>
    <t>2137FY21CTTI</t>
  </si>
  <si>
    <t>FY2121 SepCTTI</t>
  </si>
  <si>
    <t>2137FY21CTTI75APH</t>
  </si>
  <si>
    <t>FY2121 SepCTTI75APH</t>
  </si>
  <si>
    <t>2138FY21CTTI</t>
  </si>
  <si>
    <t>2138FY21CTTI75APH</t>
  </si>
  <si>
    <t>2139FY21CTTI</t>
  </si>
  <si>
    <t>2139FY21CTTI75APH</t>
  </si>
  <si>
    <t>2138FY21FBC</t>
  </si>
  <si>
    <t>2138FY21FBC65AG</t>
  </si>
  <si>
    <t>2138FY21FBC85AG</t>
  </si>
  <si>
    <t>2138FY21FBC75AQ</t>
  </si>
  <si>
    <t>FY2121 SepFBC75AQ</t>
  </si>
  <si>
    <t>2138FY21FBC85AQ</t>
  </si>
  <si>
    <t>2137FY21INZ</t>
  </si>
  <si>
    <t>FY2121 SepINZ</t>
  </si>
  <si>
    <t>2137FY21INZ65AG</t>
  </si>
  <si>
    <t>FY2121 SepINZ65AG</t>
  </si>
  <si>
    <t>2138FY21INZ</t>
  </si>
  <si>
    <t>2138FY21INZ65AG</t>
  </si>
  <si>
    <t>2139FY21INZ</t>
  </si>
  <si>
    <t>2139FY21INZ65AG</t>
  </si>
  <si>
    <t>2136FY21INZ</t>
  </si>
  <si>
    <t>2136FY21INZ75AR</t>
  </si>
  <si>
    <t>FY2121 SepINZ75AR</t>
  </si>
  <si>
    <t>2137FY21INZ75AR</t>
  </si>
  <si>
    <t>2138FY21INZ75AR</t>
  </si>
  <si>
    <t>2139FY21INZ75AR</t>
  </si>
  <si>
    <t>2140FY21INZ</t>
  </si>
  <si>
    <t>FY2121 OctINZ</t>
  </si>
  <si>
    <t>2140FY21INZ75AR</t>
  </si>
  <si>
    <t>FY2121 OctINZ75AR</t>
  </si>
  <si>
    <t>FY23</t>
  </si>
  <si>
    <t>A5027713A$0010087_2126-YDBM085CNU02</t>
  </si>
  <si>
    <t>2135BLUFY21lineSOEM</t>
  </si>
  <si>
    <t>2135BLUFY21lineSOEM85AX</t>
  </si>
  <si>
    <t>BLUFY21line21 AugSOEM85AX</t>
  </si>
  <si>
    <t>2135BLUFY21line85AX</t>
  </si>
  <si>
    <t>BLUFY21line21 Aug85AX</t>
  </si>
  <si>
    <t>A5027713A$0013344_2132-YDBM085CNU02</t>
  </si>
  <si>
    <t>A5027713A$0013352_2132-YDBM085CNU02</t>
  </si>
  <si>
    <t>A5027713A$0013354_2132-YDBM085CNU02</t>
  </si>
  <si>
    <t>A5027713A$0011375_2130-YDBM085CNU02</t>
  </si>
  <si>
    <t>A5027713A$0011379_2130-YDBM085CNU02</t>
  </si>
  <si>
    <t>A5027713A$0011374_2130-YDBM085CNU02</t>
  </si>
  <si>
    <t>A5027713A$0013348_2132-YDBM085CNU02</t>
  </si>
  <si>
    <t>A5027713A$0013347_2132-YDBM085CNU02</t>
  </si>
  <si>
    <t>A5027713A$0013339_2132-YDBM085CNU02</t>
  </si>
  <si>
    <t>A5027713A$0013340_2132-YDBM085CNU02</t>
  </si>
  <si>
    <t>A5027713A$0013341_2132-YDBM085CNU02</t>
  </si>
  <si>
    <t>A5027713A$0013342_2132-YDBM085CNU02</t>
  </si>
  <si>
    <t>A5027713A$0013343_2132-YDBM085CNU02</t>
  </si>
  <si>
    <t>A5027713A$0013349_2132-YDBM085CNU02</t>
  </si>
  <si>
    <t>A5027713A$0013345_2132-YDBM085CNU02</t>
  </si>
  <si>
    <t>A5027713A$0011346_2130-YDBM085CNU02</t>
  </si>
  <si>
    <t>A5027713A$0011165_2129-YDBM085CNU02</t>
  </si>
  <si>
    <t>A5027713A$0011161_2129-YDBM085CNU02</t>
  </si>
  <si>
    <t>A5027713A$0010922_2128-YDBM085CNU02</t>
  </si>
  <si>
    <t>A5027713A$0011157_2129-YDBM085CNU02</t>
  </si>
  <si>
    <t>A5027713A$0011116_2129-YDBM085CNU02</t>
  </si>
  <si>
    <t>A5027725A$0026208_2132_YSBM075CNO02</t>
  </si>
  <si>
    <t>2140FY20SOEM</t>
  </si>
  <si>
    <t>FY2021 OctSOEM</t>
  </si>
  <si>
    <t>2140FY20SOEM65NH</t>
  </si>
  <si>
    <t>FY2021 OctSOEM65NH</t>
  </si>
  <si>
    <t>2140FY2065NH</t>
  </si>
  <si>
    <t>FY2021 Oct65NH</t>
  </si>
  <si>
    <t>2140FY20SOEM85NXB</t>
  </si>
  <si>
    <t>FY2021 OctSOEM85NXB</t>
  </si>
  <si>
    <t>2140FY2085NXB</t>
  </si>
  <si>
    <t>FY2021 Oct85NXB</t>
  </si>
  <si>
    <t>2140FY21SOEM</t>
  </si>
  <si>
    <t>FY2121 OctSOEM</t>
  </si>
  <si>
    <t>2140FY21SOEM85AX</t>
  </si>
  <si>
    <t>FY2121 OctSOEM85AX</t>
  </si>
  <si>
    <t>2140FY21SOEM75APH</t>
  </si>
  <si>
    <t>FY2121 OctSOEM75APH</t>
  </si>
  <si>
    <t>2140FY20SOEM75NXB</t>
  </si>
  <si>
    <t>FY2021 OctSOEM75NXB</t>
  </si>
  <si>
    <t>2140FY21SOEM75AR</t>
  </si>
  <si>
    <t>FY2121 OctSOEM75AR</t>
  </si>
  <si>
    <t>2140FY21SOEM75AX</t>
  </si>
  <si>
    <t>FY2121 OctSOEM75AX</t>
  </si>
  <si>
    <t>A5024285B$0024887_2131-YDAS075DNS02</t>
  </si>
  <si>
    <t>2141T-CON A/DFY20line</t>
  </si>
  <si>
    <t>T-CON A/DFY20line21 Oct</t>
  </si>
  <si>
    <t>2141T-CON A/DFY20lineFSK</t>
  </si>
  <si>
    <t>T-CON A/DFY20line21 OctFSK</t>
  </si>
  <si>
    <t>2141T-CON A/DFY20lineFSK75NX</t>
  </si>
  <si>
    <t>T-CON A/DFY20line21 OctFSK75NX</t>
  </si>
  <si>
    <t>2141T-CON A/DFY20line75NX</t>
  </si>
  <si>
    <t>T-CON A/DFY20line21 Oct75NX</t>
  </si>
  <si>
    <t>A5027722C$0002229_2133-YDBM075CCS02</t>
  </si>
  <si>
    <t>2141T-CON A/DFY21line</t>
  </si>
  <si>
    <t>T-CON A/DFY21line21 Oct</t>
  </si>
  <si>
    <t>2141T-CON A/DFY21lineFSK</t>
  </si>
  <si>
    <t>T-CON A/DFY21line21 OctFSK</t>
  </si>
  <si>
    <t>2141T-CON A/DFY21lineFSK75AX</t>
  </si>
  <si>
    <t>T-CON A/DFY21line21 OctFSK75AX</t>
  </si>
  <si>
    <t>2141T-CON A/DFY21line75AX</t>
  </si>
  <si>
    <t>T-CON A/DFY21line21 Oct75AX</t>
  </si>
  <si>
    <t>A5027707C$0005163_2133-YDBM075DCS02</t>
  </si>
  <si>
    <t>2141LineFY21line</t>
  </si>
  <si>
    <t>2141LineFY21lineFSK</t>
  </si>
  <si>
    <t>2141LineFY21lineFSK75AR</t>
  </si>
  <si>
    <t>2141LineFY21line75AR</t>
  </si>
  <si>
    <t>A5027710C$0007887_2134-YDBM075DCS02</t>
  </si>
  <si>
    <t>A5027707C$0007247_2133-YDBM075DCS02</t>
  </si>
  <si>
    <t>A5027707C$0007747_2134-YDBM075DCS02</t>
  </si>
  <si>
    <t>2141O-Cell A/DFY21line</t>
  </si>
  <si>
    <t>O-Cell A/DFY21line21 Oct</t>
  </si>
  <si>
    <t>2141O-Cell A/DFY21lineFSK</t>
  </si>
  <si>
    <t>O-Cell A/DFY21line21 OctFSK</t>
  </si>
  <si>
    <t>2141O-Cell A/DFY21lineFSK75AR</t>
  </si>
  <si>
    <t>O-Cell A/DFY21line21 OctFSK75AR</t>
  </si>
  <si>
    <t>2141O-Cell A/DFY21line75AR</t>
  </si>
  <si>
    <t>O-Cell A/DFY21line21 Oct75AR</t>
  </si>
  <si>
    <t>A5027707C$0007297_2133-YDBM075DCS02</t>
  </si>
  <si>
    <t>2141LEDFY21line</t>
  </si>
  <si>
    <t>LEDFY21line21 Oct</t>
  </si>
  <si>
    <t>2141LEDFY21lineFSK</t>
  </si>
  <si>
    <t>LEDFY21line21 OctFSK</t>
  </si>
  <si>
    <t>2141LEDFY21lineFSK75AR</t>
  </si>
  <si>
    <t>LEDFY21line21 OctFSK75AR</t>
  </si>
  <si>
    <t>2141LEDFY21line75AR</t>
  </si>
  <si>
    <t>LEDFY21line21 Oct75AR</t>
  </si>
  <si>
    <t>A5027707C$0007289_2133-YDBM075DCS02</t>
  </si>
  <si>
    <t>A5013677B$0023402_2114-YDAS065DNU02</t>
  </si>
  <si>
    <t>2141BLUFY20line</t>
  </si>
  <si>
    <t>BLUFY20line21 Oct</t>
  </si>
  <si>
    <t>2141BLUFY20lineSOEM</t>
  </si>
  <si>
    <t>BLUFY20line21 OctSOEM</t>
  </si>
  <si>
    <t>2141BLUFY20lineSOEM65NH</t>
  </si>
  <si>
    <t>BLUFY20line21 OctSOEM65NH</t>
  </si>
  <si>
    <t>2141BLUFY20line65NH</t>
  </si>
  <si>
    <t>BLUFY20line21 Oct65NH</t>
  </si>
  <si>
    <t>YDAS065DNU03</t>
  </si>
  <si>
    <t>A5013677B$0023067_2114-YDAS065DNU02</t>
  </si>
  <si>
    <t>2141AL-FrameFY20line</t>
  </si>
  <si>
    <t>AL-FrameFY20line21 Oct</t>
  </si>
  <si>
    <t>2141AL-FrameFY20lineSOEM</t>
  </si>
  <si>
    <t>AL-FrameFY20line21 OctSOEM</t>
  </si>
  <si>
    <t>2141AL-FrameFY20lineSOEM65NH</t>
  </si>
  <si>
    <t>AL-FrameFY20line21 OctSOEM65NH</t>
  </si>
  <si>
    <t>2141AL-FrameFY20line65NH</t>
  </si>
  <si>
    <t>AL-FrameFY20line21 Oct65NH</t>
  </si>
  <si>
    <t>YDAS065DNU04</t>
  </si>
  <si>
    <t>A5013677B$0021100_2112-YDAS065DNU02</t>
  </si>
  <si>
    <t>2140BLUFY21line</t>
  </si>
  <si>
    <t>BLUFY21line21 Oct</t>
  </si>
  <si>
    <t>2140BLUFY21lineSOEM</t>
  </si>
  <si>
    <t>BLUFY21line21 OctSOEM</t>
  </si>
  <si>
    <t>2140BLUFY21lineSOEM85AX</t>
  </si>
  <si>
    <t>BLUFY21line21 OctSOEM85AX</t>
  </si>
  <si>
    <t>2140BLUFY21line85AX</t>
  </si>
  <si>
    <t>BLUFY21line21 Oct85AX</t>
  </si>
  <si>
    <t>A5027707C$0008248_2134-YDBM075DCS04</t>
  </si>
  <si>
    <t>2141BLUFY21line</t>
  </si>
  <si>
    <t>2141BLUFY21lineSOEM</t>
  </si>
  <si>
    <t>2141BLUFY21lineSOEM75AR</t>
  </si>
  <si>
    <t>BLUFY21line21 OctSOEM75AR</t>
  </si>
  <si>
    <t>2141BLUFY21line75AR</t>
  </si>
  <si>
    <t>BLUFY21line21 Oct75AR</t>
  </si>
  <si>
    <t>A5027707C$0008100_2134-YDBM075DCS04</t>
  </si>
  <si>
    <t>2141LineFY21lineSOEM</t>
  </si>
  <si>
    <t>LineFY21line21 OctSOEM</t>
  </si>
  <si>
    <t>2141LineFY21lineSOEM75AR</t>
  </si>
  <si>
    <t>LineFY21line21 OctSOEM75AR</t>
  </si>
  <si>
    <t>A5027707C$0006063_2133-YDBM075DCS04</t>
  </si>
  <si>
    <t>Flicker</t>
  </si>
  <si>
    <t>2141UniFY21line</t>
  </si>
  <si>
    <t>UniFY21line21 Oct</t>
  </si>
  <si>
    <t>2141UniFY21lineSOEM</t>
  </si>
  <si>
    <t>UniFY21line21 OctSOEM</t>
  </si>
  <si>
    <t>2141UniFY21lineSOEM75AR</t>
  </si>
  <si>
    <t>UniFY21line21 OctSOEM75AR</t>
  </si>
  <si>
    <t>2141UniFY21line75AR</t>
  </si>
  <si>
    <t>UniFY21line21 Oct75AR</t>
  </si>
  <si>
    <t>A5027707C$0006504_2133-YDBM075DCS04</t>
  </si>
  <si>
    <t>A5027707C$0008867_2134-YDBM075DCS04</t>
  </si>
  <si>
    <t>2141FY21</t>
  </si>
  <si>
    <t>2141FY21FSK</t>
  </si>
  <si>
    <t>2141FY21FSK75APH</t>
  </si>
  <si>
    <t>2141FY2175APH</t>
  </si>
  <si>
    <t>2141FY21FSK85AQ</t>
  </si>
  <si>
    <t>2141FY2185AQ</t>
  </si>
  <si>
    <t>2141FY21FSK75AR</t>
  </si>
  <si>
    <t>2141FY2175AR</t>
  </si>
  <si>
    <t>2141FY21FSK75AX</t>
  </si>
  <si>
    <t>2141FY2175AX</t>
  </si>
  <si>
    <t>2141FY21FSK85AX</t>
  </si>
  <si>
    <t>2141FY2185AX</t>
  </si>
  <si>
    <t>2141FY20</t>
  </si>
  <si>
    <t>2141FY20FSK</t>
  </si>
  <si>
    <t>2141FY20FSK75NX</t>
  </si>
  <si>
    <t>2141FY2075NX</t>
  </si>
  <si>
    <t>2141FY20FSK85NX</t>
  </si>
  <si>
    <t>FY2021 OctFSK85NX</t>
  </si>
  <si>
    <t>2141FY2085NX</t>
  </si>
  <si>
    <t>FY2021 Oct85NX</t>
  </si>
  <si>
    <t>2141FY20FSK75NXB</t>
  </si>
  <si>
    <t>2141FY2075NXB</t>
  </si>
  <si>
    <t>2141FY20SOEM</t>
  </si>
  <si>
    <t>2141FY20SOEM55NH</t>
  </si>
  <si>
    <t>FY2021 OctSOEM55NH</t>
  </si>
  <si>
    <t>2141FY2055NH</t>
  </si>
  <si>
    <t>FY2021 Oct55NH</t>
  </si>
  <si>
    <t>2141FY21SOEM</t>
  </si>
  <si>
    <t>2141FY21SOEM85AG</t>
  </si>
  <si>
    <t>FY2121 OctSOEM85AG</t>
  </si>
  <si>
    <t>2141FY2185AG</t>
  </si>
  <si>
    <t>FY2121 Oct85AG</t>
  </si>
  <si>
    <t>2141FY21SOEM85AX</t>
  </si>
  <si>
    <t>2141FY21SOEM75APH</t>
  </si>
  <si>
    <t>2141FY21SOEM75AR</t>
  </si>
  <si>
    <t>2141FY21SOEM75AX</t>
  </si>
  <si>
    <t>A5027710C$0005680_2133-YDBM075DCS02</t>
  </si>
  <si>
    <t>A5027728A$0022589_2133-YSBM075CNO02</t>
  </si>
  <si>
    <t>2142AppFY21line</t>
  </si>
  <si>
    <t>AppFY21line21 Oct</t>
  </si>
  <si>
    <t>2142AppFY21lineFSK</t>
  </si>
  <si>
    <t>AppFY21line21 OctFSK</t>
  </si>
  <si>
    <t>2142AppFY21lineFSK75APH</t>
  </si>
  <si>
    <t>AppFY21line21 OctFSK75APH</t>
  </si>
  <si>
    <t>2142AppFY21line75APH</t>
  </si>
  <si>
    <t>AppFY21line21 Oct75APH</t>
  </si>
  <si>
    <t>A5027722C$0002984_2135-YDBM075CCS02</t>
  </si>
  <si>
    <t>2142LEDFY21line</t>
  </si>
  <si>
    <t>2142LEDFY21lineFSK</t>
  </si>
  <si>
    <t>2142LEDFY21lineFSK75AX</t>
  </si>
  <si>
    <t>LEDFY21line21 OctFSK75AX</t>
  </si>
  <si>
    <t>2142LEDFY21line75AX</t>
  </si>
  <si>
    <t>LEDFY21line21 Oct75AX</t>
  </si>
  <si>
    <t>A5027728A$0024657_2134-YSBM075CNO02</t>
  </si>
  <si>
    <t>B/L Spot</t>
  </si>
  <si>
    <t>2142BLUFY21line</t>
  </si>
  <si>
    <t>2142BLUFY21lineFSK</t>
  </si>
  <si>
    <t>BLUFY21line21 OctFSK</t>
  </si>
  <si>
    <t>2142BLUFY21lineFSK75APH</t>
  </si>
  <si>
    <t>BLUFY21line21 OctFSK75APH</t>
  </si>
  <si>
    <t>2142BLUFY21line75APH</t>
  </si>
  <si>
    <t>BLUFY21line21 Oct75APH</t>
  </si>
  <si>
    <t>A5027719C$0003859_2133-YDBM075CCS02</t>
  </si>
  <si>
    <t>2142T-CON A/DFY21line</t>
  </si>
  <si>
    <t>2142T-CON A/DFY21lineFSK</t>
  </si>
  <si>
    <t>2142T-CON A/DFY21lineFSK75AX</t>
  </si>
  <si>
    <t>2142T-CON A/DFY21line75AX</t>
  </si>
  <si>
    <t>A5027710C$0006870_2134-YDBM075DCS02</t>
  </si>
  <si>
    <t>2142LineFY21line</t>
  </si>
  <si>
    <t>2142LineFY21lineFSK</t>
  </si>
  <si>
    <t>2142LineFY21lineFSK75AR</t>
  </si>
  <si>
    <t>2142LineFY21line75AR</t>
  </si>
  <si>
    <t>A5027710C$0006825_2134-YDBM075DCS02</t>
  </si>
  <si>
    <t>A5024285B$0025511_2134-YDAS075DNS02</t>
  </si>
  <si>
    <t>2142LineFY20line</t>
  </si>
  <si>
    <t>LineFY20line21 Oct</t>
  </si>
  <si>
    <t>2142LineFY20lineFSK</t>
  </si>
  <si>
    <t>LineFY20line21 OctFSK</t>
  </si>
  <si>
    <t>2142LineFY20lineFSK75NX</t>
  </si>
  <si>
    <t>LineFY20line21 OctFSK75NX</t>
  </si>
  <si>
    <t>2142LineFY20line75NX</t>
  </si>
  <si>
    <t>LineFY20line21 Oct75NX</t>
  </si>
  <si>
    <t>A5027710A$0009129_2134-YDBM075DCS02</t>
  </si>
  <si>
    <t>2142T-CON A/DFY21lineFSK75AR</t>
  </si>
  <si>
    <t>T-CON A/DFY21line21 OctFSK75AR</t>
  </si>
  <si>
    <t>2142T-CON A/DFY21line75AR</t>
  </si>
  <si>
    <t>T-CON A/DFY21line21 Oct75AR</t>
  </si>
  <si>
    <t>A5027710A$0010232_2135-YDBM075DCS02</t>
  </si>
  <si>
    <t>2142FY21</t>
  </si>
  <si>
    <t>2142FY21FSK</t>
  </si>
  <si>
    <t>2142FY21FSK75APH</t>
  </si>
  <si>
    <t>2142FY2175APH</t>
  </si>
  <si>
    <t>2142FY21FSK75AQ</t>
  </si>
  <si>
    <t>2142FY2175AQ</t>
  </si>
  <si>
    <t>2142FY21FSK85AQ</t>
  </si>
  <si>
    <t>2142FY2185AQ</t>
  </si>
  <si>
    <t>2142FY21FSK75AR</t>
  </si>
  <si>
    <t>2142FY2175AR</t>
  </si>
  <si>
    <t>2142FY21FSK75AX</t>
  </si>
  <si>
    <t>2142FY2175AX</t>
  </si>
  <si>
    <t>2142FY21FSK85AX</t>
  </si>
  <si>
    <t>2142FY2185AX</t>
  </si>
  <si>
    <t>2142FY20</t>
  </si>
  <si>
    <t>2142FY20FSK</t>
  </si>
  <si>
    <t>2142FY20FSK85NB</t>
  </si>
  <si>
    <t>FY2021 OctFSK85NB</t>
  </si>
  <si>
    <t>2142FY2085NB</t>
  </si>
  <si>
    <t>FY2021 Oct85NB</t>
  </si>
  <si>
    <t>2142FY20FSK75NX</t>
  </si>
  <si>
    <t>2142FY2075NX</t>
  </si>
  <si>
    <t>2142FY20SOEM</t>
  </si>
  <si>
    <t>2142FY20SOEM55NH</t>
  </si>
  <si>
    <t>2142FY2055NH</t>
  </si>
  <si>
    <t>2142FY20SOEM65NH</t>
  </si>
  <si>
    <t>2142FY2065NH</t>
  </si>
  <si>
    <t>2142FY20SOEM85NXB</t>
  </si>
  <si>
    <t>2142FY2085NXB</t>
  </si>
  <si>
    <t>2142FY21SOEM</t>
  </si>
  <si>
    <t>2142FY21SOEM85AG</t>
  </si>
  <si>
    <t>2142FY2185AG</t>
  </si>
  <si>
    <t>2142FY21SOEM85AX</t>
  </si>
  <si>
    <t>2142FY21SOEM75APH</t>
  </si>
  <si>
    <t>2142FY20SOEM75NXB</t>
  </si>
  <si>
    <t>2142FY2075NXB</t>
  </si>
  <si>
    <t>2142FY21SOEM75AG</t>
  </si>
  <si>
    <t>FY2121 OctSOEM75AG</t>
  </si>
  <si>
    <t>2142FY2175AG</t>
  </si>
  <si>
    <t>FY2121 Oct75AG</t>
  </si>
  <si>
    <t>2142FY21SOEM75AR</t>
  </si>
  <si>
    <t>2142FY21SOEM75AX</t>
  </si>
  <si>
    <t>A5027707C$0000667_2128-YDBM075DCS02</t>
  </si>
  <si>
    <t>2135PolFY21lineCTTI</t>
  </si>
  <si>
    <t>2135PolFY21lineCTTI75AR</t>
  </si>
  <si>
    <t>PolFY21line21 AugCTTI75AR</t>
  </si>
  <si>
    <t>2135PolFY21line75AR</t>
  </si>
  <si>
    <t>PolFY21line21 Aug75AR</t>
  </si>
  <si>
    <t>A5027707C$0000647_2128-YDBM075DCS02</t>
  </si>
  <si>
    <t>naO-Cell A/DFY21line</t>
  </si>
  <si>
    <t>O-Cell A/DFY21linena</t>
  </si>
  <si>
    <t>naO-Cell A/DFY21lineCTTI</t>
  </si>
  <si>
    <t>O-Cell A/DFY21linenaCTTI</t>
  </si>
  <si>
    <t>naO-Cell A/DFY21lineCTTI75AR</t>
  </si>
  <si>
    <t>O-Cell A/DFY21linenaCTTI75AR</t>
  </si>
  <si>
    <t>naO-Cell A/DFY21line75AR</t>
  </si>
  <si>
    <t>O-Cell A/DFY21linena75AR</t>
  </si>
  <si>
    <t>A5039495A$0000477_2123</t>
  </si>
  <si>
    <t>A-5039-495-A</t>
  </si>
  <si>
    <t>A5039495A$0000064_2120</t>
  </si>
  <si>
    <t>A5039495A$0000577_2123</t>
  </si>
  <si>
    <t>2135FY21CTTI</t>
  </si>
  <si>
    <t>2135FY21CTTI75AR</t>
  </si>
  <si>
    <t>FY2121 AugCTTI75AR</t>
  </si>
  <si>
    <t>2138FY21CTTI75AR</t>
  </si>
  <si>
    <t>FY2121 SepCTTI75AR</t>
  </si>
  <si>
    <t>2141FY21INZ</t>
  </si>
  <si>
    <t>2141FY21INZ65AG</t>
  </si>
  <si>
    <t>FY2121 OctINZ65AG</t>
  </si>
  <si>
    <t>2141FY2165AG</t>
  </si>
  <si>
    <t>FY2121 Oct65AG</t>
  </si>
  <si>
    <t>2136FY21INZ75AQ</t>
  </si>
  <si>
    <t>FY2121 SepINZ75AQ</t>
  </si>
  <si>
    <t>2136FY21INZ85AQ</t>
  </si>
  <si>
    <t>FY2121 SepINZ85AQ</t>
  </si>
  <si>
    <t>2137FY21INZ85AQ</t>
  </si>
  <si>
    <t>2138FY21INZ85AQ</t>
  </si>
  <si>
    <t>2141FY21INZ85AQ</t>
  </si>
  <si>
    <t>FY2121 OctINZ85AQ</t>
  </si>
  <si>
    <t>2141FY21INZ75AR</t>
  </si>
  <si>
    <t>2142FY21INZ</t>
  </si>
  <si>
    <t>2142FY21INZ75AR</t>
  </si>
  <si>
    <t>nan</t>
  </si>
  <si>
    <t>A5027710C$0006180_2133-YDBM075DCS02</t>
  </si>
  <si>
    <t>2143O-Cell A/DFY21line</t>
  </si>
  <si>
    <t>2143O-Cell A/DFY21lineFSK</t>
  </si>
  <si>
    <t>2143O-Cell A/DFY21lineFSK75AR</t>
  </si>
  <si>
    <t>2143O-Cell A/DFY21line75AR</t>
  </si>
  <si>
    <t>A5027710C$0006228_2133-YDBM075DCS02</t>
  </si>
  <si>
    <t>2143LineFY21line</t>
  </si>
  <si>
    <t>2143LineFY21lineFSK</t>
  </si>
  <si>
    <t>2143LineFY21lineFSK75AR</t>
  </si>
  <si>
    <t>2143LineFY21line75AR</t>
  </si>
  <si>
    <t>A5027710C$0005357_2133-YDBM075DCS02</t>
  </si>
  <si>
    <t>2143T-CON A/DFY21line</t>
  </si>
  <si>
    <t>2143T-CON A/DFY21lineFSK</t>
  </si>
  <si>
    <t>2143T-CON A/DFY21lineFSK75AR</t>
  </si>
  <si>
    <t>2143T-CON A/DFY21line75AR</t>
  </si>
  <si>
    <t>A5027722C$0004559_2136-YDBM075CCS02</t>
  </si>
  <si>
    <t>2143T-CON A/DFY21lineFSK75AX</t>
  </si>
  <si>
    <t>2143T-CON A/DFY21line75AX</t>
  </si>
  <si>
    <t>A5027728A$0025305_2135-YSBM075CNO02</t>
  </si>
  <si>
    <t>2143T-CON A/DFY21lineFSK75APH</t>
  </si>
  <si>
    <t>T-CON A/DFY21line21 OctFSK75APH</t>
  </si>
  <si>
    <t>2143T-CON A/DFY21line75APH</t>
  </si>
  <si>
    <t>T-CON A/DFY21line21 Oct75APH</t>
  </si>
  <si>
    <t>A5016535B$0008693_2132-YDAS085DNU02</t>
  </si>
  <si>
    <t>2143LineFY20line</t>
  </si>
  <si>
    <t>2143LineFY20lineFSK</t>
  </si>
  <si>
    <t>2143LineFY20lineFSK85NX</t>
  </si>
  <si>
    <t>LineFY20line21 OctFSK85NX</t>
  </si>
  <si>
    <t>2143LineFY20line85NX</t>
  </si>
  <si>
    <t>LineFY20line21 Oct85NX</t>
  </si>
  <si>
    <t>A5016535B$0007694_2128-YDAS085DNU02</t>
  </si>
  <si>
    <t>2143LEDFY20line</t>
  </si>
  <si>
    <t>LEDFY20line21 Oct</t>
  </si>
  <si>
    <t>2143LEDFY20lineFSK</t>
  </si>
  <si>
    <t>LEDFY20line21 OctFSK</t>
  </si>
  <si>
    <t>2143LEDFY20lineFSK85NX</t>
  </si>
  <si>
    <t>LEDFY20line21 OctFSK85NX</t>
  </si>
  <si>
    <t>2143LEDFY20line85NX</t>
  </si>
  <si>
    <t>LEDFY20line21 Oct85NX</t>
  </si>
  <si>
    <t>A5027716A$0010552_2135-YDBM085CNU02</t>
  </si>
  <si>
    <t>2143UniFY21line</t>
  </si>
  <si>
    <t>2143UniFY21lineFSK</t>
  </si>
  <si>
    <t>UniFY21line21 OctFSK</t>
  </si>
  <si>
    <t>2143UniFY21lineFSK85AX</t>
  </si>
  <si>
    <t>UniFY21line21 OctFSK85AX</t>
  </si>
  <si>
    <t>2143UniFY21line85AX</t>
  </si>
  <si>
    <t>UniFY21line21 Oct85AX</t>
  </si>
  <si>
    <t>A5027716A$0010562_2135-YDBM085CNU02</t>
  </si>
  <si>
    <t>A5027716A$0010632_2135-YDBM085CNU02</t>
  </si>
  <si>
    <t>A5027716A$0010566_2135-YDBM085CNU02</t>
  </si>
  <si>
    <t>A5027716A$0010629_2135-YDBM085CNU02</t>
  </si>
  <si>
    <t>A5027716A$0010625_2135-YDBM085CNU02</t>
  </si>
  <si>
    <t>A5027716A$0010739_2135-YDBM085CNU02</t>
  </si>
  <si>
    <t>A5027716A$0010738_2135-YDBM085CNU02</t>
  </si>
  <si>
    <t>A5027716A$0010736_2135-YDBM085CNU02</t>
  </si>
  <si>
    <t>A5027716A$0010734_2135-YDBM085CNU02</t>
  </si>
  <si>
    <t>A5027716A$0010731_2135-YDBM085CNU02</t>
  </si>
  <si>
    <t>A5027716A$0010732_2135-YDBM085CNU02</t>
  </si>
  <si>
    <t>A5027716A$0010737_2135-YDBM085CNU02</t>
  </si>
  <si>
    <t>A5027716A$0010724_2135-YDBM085CNU02</t>
  </si>
  <si>
    <t>A5027716A$0010722_2135-YDBM085CNU02</t>
  </si>
  <si>
    <t>A5027716A$0010748_2135-YDBM085CNU02</t>
  </si>
  <si>
    <t>A5027716A$0010746_2135-YDBM085CNU02</t>
  </si>
  <si>
    <t>A5027716A$0010743_2135-YDBM085CNU02</t>
  </si>
  <si>
    <t>A5027716A$0010747_2135-YDBM085CNU02</t>
  </si>
  <si>
    <t>A5027716A$0010759_2135-YDBM085CNU02</t>
  </si>
  <si>
    <t>A5027716A$0011494_2136-YDBM085CNU02</t>
  </si>
  <si>
    <t>2143T-CON A/DFY21lineFSK85AX</t>
  </si>
  <si>
    <t>T-CON A/DFY21line21 OctFSK85AX</t>
  </si>
  <si>
    <t>2143T-CON A/DFY21line85AX</t>
  </si>
  <si>
    <t>T-CON A/DFY21line21 Oct85AX</t>
  </si>
  <si>
    <t>A5027716A$0011547_2136-YDBM085CNU02</t>
  </si>
  <si>
    <t>A5027716A$0011090_2136-YDBM085CNU02</t>
  </si>
  <si>
    <t>A5027716A$0010964_2136-YDBM085CNU02</t>
  </si>
  <si>
    <t>Uniform etc</t>
  </si>
  <si>
    <t>A5027716A$0010958_2136-YDBM085CNU02</t>
  </si>
  <si>
    <t>A5027716A$0011073_2136-YDBM085CNU02</t>
  </si>
  <si>
    <t>A5027716A$0011066_2136-YDBM085CNU02</t>
  </si>
  <si>
    <t>A5027716A$0011065_2136-YDBM085CNU02</t>
  </si>
  <si>
    <t>A5027716A$0011160_2136-YDBM085CNU02</t>
  </si>
  <si>
    <t>A5027716A$0011159_2136-YDBM085CNU02</t>
  </si>
  <si>
    <t>A5027716A$0011155_2136-YDBM085CNU02</t>
  </si>
  <si>
    <t>A5027716A$0011154_2136-YDBM085CNU02</t>
  </si>
  <si>
    <t>A5027716A$0011158_2136-YDBM085CNU02</t>
  </si>
  <si>
    <t>A5027716A$0011157_2136-YDBM085CNU02</t>
  </si>
  <si>
    <t>A5027716A$0011153_2136-YDBM085CNU02</t>
  </si>
  <si>
    <t>A5027716A$0011150_2136-YDBM085CNU02</t>
  </si>
  <si>
    <t>A5027716A$0011149_2136-YDBM085CNU02</t>
  </si>
  <si>
    <t>A5027716A$0011152_2136-YDBM085CNU02</t>
  </si>
  <si>
    <t>A5016535B$0010620_2136-YDAS085DNU02</t>
  </si>
  <si>
    <t>A5013677B$0023053_2114-YDAS065DNU02</t>
  </si>
  <si>
    <t>2143AL-FrameFY20line</t>
  </si>
  <si>
    <t>2143AL-FrameFY20lineSOEM</t>
  </si>
  <si>
    <t>2143AL-FrameFY20lineSOEM65NH</t>
  </si>
  <si>
    <t>2143AL-FrameFY20line65NH</t>
  </si>
  <si>
    <t>A5027713A$0012975_2131-YDBM085CNU02</t>
  </si>
  <si>
    <t>2143LineFY21lineSOEM</t>
  </si>
  <si>
    <t>2143LineFY21lineSOEM85AX</t>
  </si>
  <si>
    <t>LineFY21line21 OctSOEM85AX</t>
  </si>
  <si>
    <t>2143LineFY21line85AX</t>
  </si>
  <si>
    <t>LineFY21line21 Oct85AX</t>
  </si>
  <si>
    <t>A5027713A$0010702_2128-YDBM085CNU02</t>
  </si>
  <si>
    <t>B/L etc</t>
  </si>
  <si>
    <t>2143BLUFY21line</t>
  </si>
  <si>
    <t>2143BLUFY21lineSOEM</t>
  </si>
  <si>
    <t>2143BLUFY21lineSOEM85AX</t>
  </si>
  <si>
    <t>2143BLUFY21line85AX</t>
  </si>
  <si>
    <t>A5027725A$0028400_2134_YSBM075CNO02</t>
  </si>
  <si>
    <t>2143LEDFY21line</t>
  </si>
  <si>
    <t>2143LEDFY21lineSOEM</t>
  </si>
  <si>
    <t>LEDFY21line21 OctSOEM</t>
  </si>
  <si>
    <t>2143LEDFY21lineSOEM75APH</t>
  </si>
  <si>
    <t>LEDFY21line21 OctSOEM75APH</t>
  </si>
  <si>
    <t>2143LEDFY21line75APH</t>
  </si>
  <si>
    <t>LEDFY21line21 Oct75APH</t>
  </si>
  <si>
    <t>A5027725A$0031682_2137_YSBM075CNO02</t>
  </si>
  <si>
    <t>A5027725A$0031441_2137_YSBM075CNO02</t>
  </si>
  <si>
    <t>A5027725A$0031820_2137_YSBM075CNO02</t>
  </si>
  <si>
    <t>2143T-con A/DFY21line</t>
  </si>
  <si>
    <t>T-con A/DFY21line21 Oct</t>
  </si>
  <si>
    <t>2143T-con A/DFY21lineSOEM</t>
  </si>
  <si>
    <t>T-con A/DFY21line21 OctSOEM</t>
  </si>
  <si>
    <t>2143T-con A/DFY21lineSOEM75APH</t>
  </si>
  <si>
    <t>T-con A/DFY21line21 OctSOEM75APH</t>
  </si>
  <si>
    <t>2143T-con A/DFY21line75APH</t>
  </si>
  <si>
    <t>T-con A/DFY21line21 Oct75APH</t>
  </si>
  <si>
    <t>A5027725A$0029043_2135_YSBM075CNO02</t>
  </si>
  <si>
    <t>O-dot etc</t>
  </si>
  <si>
    <t>O-dot distance</t>
  </si>
  <si>
    <t>2143DotFY21line</t>
  </si>
  <si>
    <t>DotFY21line21 Oct</t>
  </si>
  <si>
    <t>2143DotFY21lineSOEM</t>
  </si>
  <si>
    <t>DotFY21line21 OctSOEM</t>
  </si>
  <si>
    <t>2143DotFY21lineSOEM75APH</t>
  </si>
  <si>
    <t>DotFY21line21 OctSOEM75APH</t>
  </si>
  <si>
    <t>2143DotFY21line75APH</t>
  </si>
  <si>
    <t>DotFY21line21 Oct75APH</t>
  </si>
  <si>
    <t>A5027719C$0004188_2133-YDBM075CCS02</t>
  </si>
  <si>
    <t>2143LineFY21lineSOEM75AX</t>
  </si>
  <si>
    <t>LineFY21line21 OctSOEM75AX</t>
  </si>
  <si>
    <t>2143LineFY21line75AX</t>
  </si>
  <si>
    <t>A5027719C$0004156_2133-YDBM075CCS02</t>
  </si>
  <si>
    <t>2143FY21</t>
  </si>
  <si>
    <t>2143FY21FSK</t>
  </si>
  <si>
    <t>2143FY21FSK75APH</t>
  </si>
  <si>
    <t>2143FY2175APH</t>
  </si>
  <si>
    <t>2143FY21FSK75AQ</t>
  </si>
  <si>
    <t>2143FY2175AQ</t>
  </si>
  <si>
    <t>2143FY21FSK85AQ</t>
  </si>
  <si>
    <t>2143FY2185AQ</t>
  </si>
  <si>
    <t>2143FY21FSK75AR</t>
  </si>
  <si>
    <t>2143FY2175AR</t>
  </si>
  <si>
    <t>2143FY21FSK75AX</t>
  </si>
  <si>
    <t>2143FY2175AX</t>
  </si>
  <si>
    <t>2143FY21FSK85AX</t>
  </si>
  <si>
    <t>2143FY2185AX</t>
  </si>
  <si>
    <t>2143FY20</t>
  </si>
  <si>
    <t>2143FY20FSK</t>
  </si>
  <si>
    <t>2143FY20FSK85NB</t>
  </si>
  <si>
    <t>2143FY2085NB</t>
  </si>
  <si>
    <t>2143FY20FSK75NX</t>
  </si>
  <si>
    <t>2143FY2075NX</t>
  </si>
  <si>
    <t>2143FY20FSK85NX</t>
  </si>
  <si>
    <t>2143FY2085NX</t>
  </si>
  <si>
    <t>2143FY20SOEM</t>
  </si>
  <si>
    <t>2143FY20SOEM55NH</t>
  </si>
  <si>
    <t>2143FY2055NH</t>
  </si>
  <si>
    <t>2143FY20SOEM65NH</t>
  </si>
  <si>
    <t>2143FY2065NH</t>
  </si>
  <si>
    <t>2143FY20SOEM85NXB</t>
  </si>
  <si>
    <t>2143FY2085NXB</t>
  </si>
  <si>
    <t>2143FY21SOEM</t>
  </si>
  <si>
    <t>2143FY21SOEM65AG</t>
  </si>
  <si>
    <t>FY2121 OctSOEM65AG</t>
  </si>
  <si>
    <t>2143FY2165AG</t>
  </si>
  <si>
    <t>2143FY21SOEM85AG</t>
  </si>
  <si>
    <t>2143FY2185AG</t>
  </si>
  <si>
    <t>2143FY21SOEM85AX</t>
  </si>
  <si>
    <t>2143FY21SOEM75APH</t>
  </si>
  <si>
    <t>2143FY20SOEM75NXB</t>
  </si>
  <si>
    <t>2143FY2075NXB</t>
  </si>
  <si>
    <t>2143FY21SOEM75AG</t>
  </si>
  <si>
    <t>2143FY2175AG</t>
  </si>
  <si>
    <t>2143FY21SOEM75AR</t>
  </si>
  <si>
    <t>2143FY21SOEM75AX</t>
  </si>
  <si>
    <t>A5027716A$0011147_2136-YDBM085CNU02</t>
  </si>
  <si>
    <t>2144UniFY21line</t>
  </si>
  <si>
    <t>UniFY21line21 Nov</t>
  </si>
  <si>
    <t>2144UniFY21lineFSK</t>
  </si>
  <si>
    <t>UniFY21line21 NovFSK</t>
  </si>
  <si>
    <t>2144UniFY21lineFSK85AX</t>
  </si>
  <si>
    <t>UniFY21line21 NovFSK85AX</t>
  </si>
  <si>
    <t>2144UniFY21line85AX</t>
  </si>
  <si>
    <t>UniFY21line21 Nov85AX</t>
  </si>
  <si>
    <t>A5027716A$0011143_2136-YDBM085CNU02</t>
  </si>
  <si>
    <t>A5027716A$0011142_2136-YDBM085CNU02</t>
  </si>
  <si>
    <t>A5027716A$0011139_2136-YDBM085CNU02</t>
  </si>
  <si>
    <t>A5027716A$0011138_2136-YDBM085CNU02</t>
  </si>
  <si>
    <t>A5027716A$0011144_2136-YDBM085CNU02</t>
  </si>
  <si>
    <t>A5027716A$0011140_2136-YDBM085CNU02</t>
  </si>
  <si>
    <t>A5027716A$0011145_2136-YDBM085CNU02</t>
  </si>
  <si>
    <t>A5027716A$0010006_2134-YDBM085CNU02</t>
  </si>
  <si>
    <t>A5027716A$0010003_2134-YDBM085CNU02</t>
  </si>
  <si>
    <t>A5027716A$0010002_2134-YDBM085CNU02</t>
  </si>
  <si>
    <t>A5027716A$0009998_2134-YDBM085CNU02</t>
  </si>
  <si>
    <t>A5027716A$0009997_2134-YDBM085CNU02</t>
  </si>
  <si>
    <t>A5027716A$0009996_2134-YDBM085CNU02</t>
  </si>
  <si>
    <t>A5027716A$0009987_2134-YDBM085CNU02</t>
  </si>
  <si>
    <t>A5027722C$0004563_2136-YDBM075CCS02</t>
  </si>
  <si>
    <t>2144LineFY21line</t>
  </si>
  <si>
    <t>LineFY21line21 Nov</t>
  </si>
  <si>
    <t>2144LineFY21lineFSK</t>
  </si>
  <si>
    <t>LineFY21line21 NovFSK</t>
  </si>
  <si>
    <t>2144LineFY21lineFSK75AX</t>
  </si>
  <si>
    <t>LineFY21line21 NovFSK75AX</t>
  </si>
  <si>
    <t>2144LineFY21line75AX</t>
  </si>
  <si>
    <t>LineFY21line21 Nov75AX</t>
  </si>
  <si>
    <t>2144FY21</t>
  </si>
  <si>
    <t>FY2121 Nov</t>
  </si>
  <si>
    <t>2144FY21FSK</t>
  </si>
  <si>
    <t>FY2121 NovFSK</t>
  </si>
  <si>
    <t>2144FY21FSK75APH</t>
  </si>
  <si>
    <t>FY2121 NovFSK75APH</t>
  </si>
  <si>
    <t>2144FY2175APH</t>
  </si>
  <si>
    <t>FY2121 Nov75APH</t>
  </si>
  <si>
    <t>2144FY21FSK75AQ</t>
  </si>
  <si>
    <t>FY2121 NovFSK75AQ</t>
  </si>
  <si>
    <t>2144FY2175AQ</t>
  </si>
  <si>
    <t>FY2121 Nov75AQ</t>
  </si>
  <si>
    <t>2144FY21FSK75AR</t>
  </si>
  <si>
    <t>FY2121 NovFSK75AR</t>
  </si>
  <si>
    <t>2144FY2175AR</t>
  </si>
  <si>
    <t>FY2121 Nov75AR</t>
  </si>
  <si>
    <t>2144FY21FSK75AX</t>
  </si>
  <si>
    <t>FY2121 NovFSK75AX</t>
  </si>
  <si>
    <t>2144FY2175AX</t>
  </si>
  <si>
    <t>FY2121 Nov75AX</t>
  </si>
  <si>
    <t>2144FY21FSK85AX</t>
  </si>
  <si>
    <t>FY2121 NovFSK85AX</t>
  </si>
  <si>
    <t>2144FY2185AX</t>
  </si>
  <si>
    <t>FY2121 Nov85AX</t>
  </si>
  <si>
    <t>2144FY20</t>
  </si>
  <si>
    <t>FY2021 Nov</t>
  </si>
  <si>
    <t>2144FY20FSK</t>
  </si>
  <si>
    <t>FY2021 NovFSK</t>
  </si>
  <si>
    <t>2144FY20FSK85NX</t>
  </si>
  <si>
    <t>FY2021 NovFSK85NX</t>
  </si>
  <si>
    <t>2144FY2085NX</t>
  </si>
  <si>
    <t>FY2021 Nov85NX</t>
  </si>
  <si>
    <t>2144FY20FSK75NXB</t>
  </si>
  <si>
    <t>FY2021 NovFSK75NXB</t>
  </si>
  <si>
    <t>2144FY2075NXB</t>
  </si>
  <si>
    <t>FY2021 Nov75NXB</t>
  </si>
  <si>
    <t>2144FY20FSK85NXB</t>
  </si>
  <si>
    <t>FY2021 NovFSK85NXB</t>
  </si>
  <si>
    <t>2144FY2085NXB</t>
  </si>
  <si>
    <t>FY2021 Nov85NXB</t>
  </si>
  <si>
    <t>2144FY21SOEM</t>
  </si>
  <si>
    <t>FY2121 NovSOEM</t>
  </si>
  <si>
    <t>2144FY21SOEM65AG</t>
  </si>
  <si>
    <t>FY2121 NovSOEM65AG</t>
  </si>
  <si>
    <t>2144FY2165AG</t>
  </si>
  <si>
    <t>FY2121 Nov65AG</t>
  </si>
  <si>
    <t>2144FY21SOEM85AX</t>
  </si>
  <si>
    <t>FY2121 NovSOEM85AX</t>
  </si>
  <si>
    <t>2144FY21SOEM75APH</t>
  </si>
  <si>
    <t>FY2121 NovSOEM75APH</t>
  </si>
  <si>
    <t>A5032151A$0014851_2130</t>
  </si>
  <si>
    <t>$0014851_</t>
  </si>
  <si>
    <t>2140F/MFY21line</t>
  </si>
  <si>
    <t>F/MFY21line21 Oct</t>
  </si>
  <si>
    <t>2140F/MFY21lineFBC</t>
  </si>
  <si>
    <t>F/MFY21line21 OctFBC</t>
  </si>
  <si>
    <t>2140F/MFY21lineFBC65AG</t>
  </si>
  <si>
    <t>F/MFY21line21 OctFBC65AG</t>
  </si>
  <si>
    <t>2140F/MFY21line65AG</t>
  </si>
  <si>
    <t>F/MFY21line21 Oct65AG</t>
  </si>
  <si>
    <t>A5032151A$0016691_2131</t>
  </si>
  <si>
    <t>$0016691_</t>
  </si>
  <si>
    <t>H-Line</t>
  </si>
  <si>
    <t>2140LineFY21lineFBC</t>
  </si>
  <si>
    <t>LineFY21line21 OctFBC</t>
  </si>
  <si>
    <t>2140LineFY21lineFBC65AG</t>
  </si>
  <si>
    <t>LineFY21line21 OctFBC65AG</t>
  </si>
  <si>
    <t>2140LineFY21line65AG</t>
  </si>
  <si>
    <t>LineFY21line21 Oct65AG</t>
  </si>
  <si>
    <t>A5030086B$0008629_2134</t>
  </si>
  <si>
    <t>A-5030-086-**</t>
  </si>
  <si>
    <t>A5030086B</t>
  </si>
  <si>
    <t>$0008629_</t>
  </si>
  <si>
    <t>No Display (O-cell)</t>
  </si>
  <si>
    <t>No display (O-cell)</t>
  </si>
  <si>
    <t>2142O-Cell A/DFY21line</t>
  </si>
  <si>
    <t>2142O-Cell A/DFY21lineFBC</t>
  </si>
  <si>
    <t>O-Cell A/DFY21line21 OctFBC</t>
  </si>
  <si>
    <t>2142O-Cell A/DFY21lineFBC85AG</t>
  </si>
  <si>
    <t>O-Cell A/DFY21line21 OctFBC85AG</t>
  </si>
  <si>
    <t>2142O-Cell A/DFY21line85AG</t>
  </si>
  <si>
    <t>O-Cell A/DFY21line21 Oct85AG</t>
  </si>
  <si>
    <t>17/9/2021</t>
  </si>
  <si>
    <t>A5030081B$0009162_2130</t>
  </si>
  <si>
    <t>2140O-Cell A/DFY21line</t>
  </si>
  <si>
    <t>2140O-Cell A/DFY21lineFBC</t>
  </si>
  <si>
    <t>2140O-Cell A/DFY21lineFBC75AG</t>
  </si>
  <si>
    <t>O-Cell A/DFY21line21 OctFBC75AG</t>
  </si>
  <si>
    <t>2140O-Cell A/DFY21line75AG</t>
  </si>
  <si>
    <t>O-Cell A/DFY21line21 Oct75AG</t>
  </si>
  <si>
    <t>A5027707A$0020184_2138</t>
  </si>
  <si>
    <t>2145T-con A/DFY21line</t>
  </si>
  <si>
    <t>T-con A/DFY21line21 Nov</t>
  </si>
  <si>
    <t>2145T-con A/DFY21lineINZ</t>
  </si>
  <si>
    <t>T-con A/DFY21line21 NovINZ</t>
  </si>
  <si>
    <t>2145T-con A/DFY21lineINZ75AR</t>
  </si>
  <si>
    <t>T-con A/DFY21line21 NovINZ75AR</t>
  </si>
  <si>
    <t>2145T-con A/DFY21line75AR</t>
  </si>
  <si>
    <t>T-con A/DFY21line21 Nov75AR</t>
  </si>
  <si>
    <t>2139FY21FBC</t>
  </si>
  <si>
    <t>2139FY21FBC65AG</t>
  </si>
  <si>
    <t>2140FY21FBC</t>
  </si>
  <si>
    <t>FY2121 OctFBC</t>
  </si>
  <si>
    <t>2140FY21FBC65AG</t>
  </si>
  <si>
    <t>FY2121 OctFBC65AG</t>
  </si>
  <si>
    <t>2140FY2165AG</t>
  </si>
  <si>
    <t>2139FY21FBC85AG</t>
  </si>
  <si>
    <t>2141FY21FBC</t>
  </si>
  <si>
    <t>2141FY21FBC85AG</t>
  </si>
  <si>
    <t>FY2121 OctFBC85AG</t>
  </si>
  <si>
    <t>2142FY21FBC</t>
  </si>
  <si>
    <t>2142FY21FBC85AG</t>
  </si>
  <si>
    <t>2139FY21FBC75AQ</t>
  </si>
  <si>
    <t>2142FY21FBC75AQ</t>
  </si>
  <si>
    <t>FY2121 OctFBC75AQ</t>
  </si>
  <si>
    <t>2143FY21FBC</t>
  </si>
  <si>
    <t>2143FY21FBC75AQ</t>
  </si>
  <si>
    <t>2139FY21FBC85AQ</t>
  </si>
  <si>
    <t>2142FY21FBC85AQ</t>
  </si>
  <si>
    <t>FY2121 OctFBC85AQ</t>
  </si>
  <si>
    <t>2143FY21FBC85AQ</t>
  </si>
  <si>
    <t>2139FY21FBC75AG</t>
  </si>
  <si>
    <t>2142FY21FBC75AG</t>
  </si>
  <si>
    <t>FY2121 OctFBC75AG</t>
  </si>
  <si>
    <t>2143FY21FBC75AG</t>
  </si>
  <si>
    <t>2143FY21INZ</t>
  </si>
  <si>
    <t>2143FY21INZ75AQ</t>
  </si>
  <si>
    <t>FY2121 OctINZ75AQ</t>
  </si>
  <si>
    <t>2143FY21INZ85AQ</t>
  </si>
  <si>
    <t>2138FY21INZ75AG</t>
  </si>
  <si>
    <t>FY2121 SepINZ75AG</t>
  </si>
  <si>
    <t>2143FY21INZ75AG</t>
  </si>
  <si>
    <t>FY2121 OctINZ75AG</t>
  </si>
  <si>
    <t>2144FY21INZ</t>
  </si>
  <si>
    <t>FY2121 NovINZ</t>
  </si>
  <si>
    <t>2144FY21INZ75AG</t>
  </si>
  <si>
    <t>FY2121 NovINZ75AG</t>
  </si>
  <si>
    <t>2144FY2175AG</t>
  </si>
  <si>
    <t>FY2121 Nov75AG</t>
  </si>
  <si>
    <t>2143FY21INZ75AR</t>
  </si>
  <si>
    <t>2144FY21INZ75AR</t>
  </si>
  <si>
    <t>FY2121 NovINZ75AR</t>
  </si>
  <si>
    <t>A5016564B$0001152_2137-YDAS085DNU02</t>
  </si>
  <si>
    <t>2145LEDFY20line</t>
  </si>
  <si>
    <t>LEDFY20line21 Nov</t>
  </si>
  <si>
    <t>2145LEDFY20lineFSK</t>
  </si>
  <si>
    <t>LEDFY20line21 NovFSK</t>
  </si>
  <si>
    <t>2145LEDFY20lineFSK85NXB</t>
  </si>
  <si>
    <t>LEDFY20line21 NovFSK85NXB</t>
  </si>
  <si>
    <t>2145LEDFY20line85NXB</t>
  </si>
  <si>
    <t>LEDFY20line21 Nov85NXB</t>
  </si>
  <si>
    <t>A5016535B$0012493_2138-YDAS085DNU02</t>
  </si>
  <si>
    <t>2145LineFY20line</t>
  </si>
  <si>
    <t>LineFY20line21 Nov</t>
  </si>
  <si>
    <t>2145LineFY20lineFSK</t>
  </si>
  <si>
    <t>LineFY20line21 NovFSK</t>
  </si>
  <si>
    <t>2145LineFY20lineFSK85NX</t>
  </si>
  <si>
    <t>LineFY20line21 NovFSK85NX</t>
  </si>
  <si>
    <t>2145LineFY20line85NX</t>
  </si>
  <si>
    <t>LineFY20line21 Nov85NX</t>
  </si>
  <si>
    <t>A5027713A$0014777_2136-YDBM085CNU02</t>
  </si>
  <si>
    <t>A5027725A$0031975_2138_YSBM075CNO02</t>
  </si>
  <si>
    <t>2145LEDFY21line</t>
  </si>
  <si>
    <t>LEDFY21line21 Nov</t>
  </si>
  <si>
    <t>2145LEDFY21lineSOEM</t>
  </si>
  <si>
    <t>LEDFY21line21 NovSOEM</t>
  </si>
  <si>
    <t>2145LEDFY21lineSOEM75APH</t>
  </si>
  <si>
    <t>LEDFY21line21 NovSOEM75APH</t>
  </si>
  <si>
    <t>2145LEDFY21line75APH</t>
  </si>
  <si>
    <t>LEDFY21line21 Nov75APH</t>
  </si>
  <si>
    <t>A5027725A$0031915_2138_YSBM075CNO02</t>
  </si>
  <si>
    <t>2145O-Cell A/DFY21line</t>
  </si>
  <si>
    <t>O-Cell A/DFY21line21 Nov</t>
  </si>
  <si>
    <t>2145O-Cell A/DFY21lineSOEM</t>
  </si>
  <si>
    <t>O-Cell A/DFY21line21 NovSOEM</t>
  </si>
  <si>
    <t>2145O-Cell A/DFY21lineSOEM75APH</t>
  </si>
  <si>
    <t>O-Cell A/DFY21line21 NovSOEM75APH</t>
  </si>
  <si>
    <t>2145O-Cell A/DFY21line75APH</t>
  </si>
  <si>
    <t>O-Cell A/DFY21line21 Nov75APH</t>
  </si>
  <si>
    <t>A5027725A$0032571_2138_YSBM075CNO02</t>
  </si>
  <si>
    <t>2145FY21</t>
  </si>
  <si>
    <t>2145FY21FSK</t>
  </si>
  <si>
    <t>2145FY21FSK65AG</t>
  </si>
  <si>
    <t>FY2121 NovFSK65AG</t>
  </si>
  <si>
    <t>2145FY2165AG</t>
  </si>
  <si>
    <t>2145FY21FSK75AG</t>
  </si>
  <si>
    <t>FY2121 NovFSK75AG</t>
  </si>
  <si>
    <t>2145FY2175AG</t>
  </si>
  <si>
    <t>2145FY21FSK85AG</t>
  </si>
  <si>
    <t>FY2121 NovFSK85AG</t>
  </si>
  <si>
    <t>2145FY2185AG</t>
  </si>
  <si>
    <t>FY2121 Nov85AG</t>
  </si>
  <si>
    <t>2145FY21FSK75APH</t>
  </si>
  <si>
    <t>2145FY2175APH</t>
  </si>
  <si>
    <t>2145FY21FSK75AQ</t>
  </si>
  <si>
    <t>2145FY2175AQ</t>
  </si>
  <si>
    <t>2145FY21FSK85AQ</t>
  </si>
  <si>
    <t>FY2121 NovFSK85AQ</t>
  </si>
  <si>
    <t>2145FY2185AQ</t>
  </si>
  <si>
    <t>FY2121 Nov85AQ</t>
  </si>
  <si>
    <t>2145FY21FSK75AR</t>
  </si>
  <si>
    <t>2145FY2175AR</t>
  </si>
  <si>
    <t>2145FY21FSK85AX</t>
  </si>
  <si>
    <t>2145FY2185AX</t>
  </si>
  <si>
    <t>2145FY20</t>
  </si>
  <si>
    <t>2145FY20FSK</t>
  </si>
  <si>
    <t>2145FY20FSK85NX</t>
  </si>
  <si>
    <t>2145FY2085NX</t>
  </si>
  <si>
    <t>2145FY20FSK75NXB</t>
  </si>
  <si>
    <t>2145FY2075NXB</t>
  </si>
  <si>
    <t>2145FY20FSK85NXB</t>
  </si>
  <si>
    <t>2145FY2085NXB</t>
  </si>
  <si>
    <t>2145FY20SOEM</t>
  </si>
  <si>
    <t>FY2021 NovSOEM</t>
  </si>
  <si>
    <t>2145FY20SOEM55NH</t>
  </si>
  <si>
    <t>FY2021 NovSOEM55NH</t>
  </si>
  <si>
    <t>2145FY2055NH</t>
  </si>
  <si>
    <t>FY2021 Nov55NH</t>
  </si>
  <si>
    <t>2145FY21SOEM</t>
  </si>
  <si>
    <t>2145FY21SOEM65AG</t>
  </si>
  <si>
    <t>2145FY21SOEM85AG</t>
  </si>
  <si>
    <t>FY2121 NovSOEM85AG</t>
  </si>
  <si>
    <t>2145FY21SOEM85AX</t>
  </si>
  <si>
    <t>2145FY21SOEM75APH</t>
  </si>
  <si>
    <t>2145FY21SOEM75AG</t>
  </si>
  <si>
    <t>FY2121 NovSOEM75AG</t>
  </si>
  <si>
    <t>2145FY21SOEM75AR</t>
  </si>
  <si>
    <t>FY2121 NovSOEM75AR</t>
  </si>
  <si>
    <t>2145FY21SOEM75AX</t>
  </si>
  <si>
    <t>FY2121 NovSOEM75AX</t>
  </si>
  <si>
    <t>2145FY2175AX</t>
  </si>
  <si>
    <t>A5027725A$0027208_2132</t>
  </si>
  <si>
    <t>2141LineFY21lineCTTI</t>
  </si>
  <si>
    <t>LineFY21line21 OctCTTI</t>
  </si>
  <si>
    <t>2141LineFY21lineCTTI75APH</t>
  </si>
  <si>
    <t>LineFY21line21 OctCTTI75APH</t>
  </si>
  <si>
    <t>2141LineFY21line75APH</t>
  </si>
  <si>
    <t>A5027725A$0028040_2133</t>
  </si>
  <si>
    <t>2141PolFY21line</t>
  </si>
  <si>
    <t>PolFY21line21 Oct</t>
  </si>
  <si>
    <t>2141PolFY21lineCTTI</t>
  </si>
  <si>
    <t>PolFY21line21 OctCTTI</t>
  </si>
  <si>
    <t>2141PolFY21lineCTTI75APH</t>
  </si>
  <si>
    <t>PolFY21line21 OctCTTI75APH</t>
  </si>
  <si>
    <t>2141PolFY21line75APH</t>
  </si>
  <si>
    <t>PolFY21line21 Oct75APH</t>
  </si>
  <si>
    <t>A5027725A$0027753_2133</t>
  </si>
  <si>
    <t>2142PolFY21line</t>
  </si>
  <si>
    <t>2142PolFY21lineCTTI</t>
  </si>
  <si>
    <t>2142PolFY21lineCTTI75APH</t>
  </si>
  <si>
    <t>2142PolFY21line75APH</t>
  </si>
  <si>
    <t>A5027725A$0024655_2131</t>
  </si>
  <si>
    <t>A5027725A$0028393_2134</t>
  </si>
  <si>
    <t>A5027725A$0030700_2136</t>
  </si>
  <si>
    <t>2143O-Cell A/DFY21lineCTTI</t>
  </si>
  <si>
    <t>O-Cell A/DFY21line21 OctCTTI</t>
  </si>
  <si>
    <t>2143O-Cell A/DFY21lineCTTI75APH</t>
  </si>
  <si>
    <t>O-Cell A/DFY21line21 OctCTTI75APH</t>
  </si>
  <si>
    <t>2143O-Cell A/DFY21line75APH</t>
  </si>
  <si>
    <t>O-Cell A/DFY21line21 Oct75APH</t>
  </si>
  <si>
    <t>2138O-Cell A/DFY21lineCTTI75AR</t>
  </si>
  <si>
    <t>O-Cell A/DFY21line21 SepCTTI75AR</t>
  </si>
  <si>
    <t>2138O-Cell A/DFY21line75AR</t>
  </si>
  <si>
    <t>O-Cell A/DFY21line21 Sep75AR</t>
  </si>
  <si>
    <t>A5027707C$0001140_2129-YDBM075DCS02</t>
  </si>
  <si>
    <t>2142PolFY21lineCTTI75AR</t>
  </si>
  <si>
    <t>PolFY21line21 OctCTTI75AR</t>
  </si>
  <si>
    <t>2142PolFY21line75AR</t>
  </si>
  <si>
    <t>PolFY21line21 Oct75AR</t>
  </si>
  <si>
    <t>A5016535B$0010535_2136-YDAS085DNU02</t>
  </si>
  <si>
    <t>2146DotFY20line</t>
  </si>
  <si>
    <t>DotFY20line21 Nov</t>
  </si>
  <si>
    <t>2146DotFY20lineFSK</t>
  </si>
  <si>
    <t>DotFY20line21 NovFSK</t>
  </si>
  <si>
    <t>2146DotFY20lineFSK85NX</t>
  </si>
  <si>
    <t>DotFY20line21 NovFSK85NX</t>
  </si>
  <si>
    <t>2146DotFY20line85NX</t>
  </si>
  <si>
    <t>DotFY20line21 Nov85NX</t>
  </si>
  <si>
    <t>P9</t>
  </si>
  <si>
    <t>A5032151A$0008732_2127-YDBO065DBU02</t>
  </si>
  <si>
    <t>2146F/MFY21line</t>
  </si>
  <si>
    <t>F/MFY21line21 Nov</t>
  </si>
  <si>
    <t>2146F/MFY21lineFSK</t>
  </si>
  <si>
    <t>F/MFY21line21 NovFSK</t>
  </si>
  <si>
    <t>2146F/MFY21lineFSK65AG</t>
  </si>
  <si>
    <t>F/MFY21line21 NovFSK65AG</t>
  </si>
  <si>
    <t>2146F/MFY21line65AG</t>
  </si>
  <si>
    <t>F/MFY21line21 Nov65AG</t>
  </si>
  <si>
    <t>A5027710A$0010858_2135-YDBM075DCS02</t>
  </si>
  <si>
    <t>2146O-Cell A/DFY21line</t>
  </si>
  <si>
    <t>2146O-Cell A/DFY21lineFSK</t>
  </si>
  <si>
    <t>O-Cell A/DFY21line21 NovFSK</t>
  </si>
  <si>
    <t>2146O-Cell A/DFY21lineFSK75AR</t>
  </si>
  <si>
    <t>O-Cell A/DFY21line21 NovFSK75AR</t>
  </si>
  <si>
    <t>2146O-Cell A/DFY21line75AR</t>
  </si>
  <si>
    <t>O-Cell A/DFY21line21 Nov75AR</t>
  </si>
  <si>
    <t>A5027719C$0004637_2134-YDBM075CCS02</t>
  </si>
  <si>
    <t>2146LineFY21line</t>
  </si>
  <si>
    <t>2146LineFY21lineSOEM</t>
  </si>
  <si>
    <t>LineFY21line21 NovSOEM</t>
  </si>
  <si>
    <t>2146LineFY21lineSOEM75AX</t>
  </si>
  <si>
    <t>LineFY21line21 NovSOEM75AX</t>
  </si>
  <si>
    <t>2146LineFY21line75AX</t>
  </si>
  <si>
    <t>2141FY21CTTI</t>
  </si>
  <si>
    <t>FY2121 OctCTTI</t>
  </si>
  <si>
    <t>2141FY21CTTI75APH</t>
  </si>
  <si>
    <t>FY2121 OctCTTI75APH</t>
  </si>
  <si>
    <t>2142FY21CTTI</t>
  </si>
  <si>
    <t>2142FY21CTTI75APH</t>
  </si>
  <si>
    <t>2143FY21CTTI</t>
  </si>
  <si>
    <t>2143FY21CTTI75APH</t>
  </si>
  <si>
    <t>2145FY21CTTI</t>
  </si>
  <si>
    <t>FY2121 NovCTTI</t>
  </si>
  <si>
    <t>2145FY21CTTI75APH</t>
  </si>
  <si>
    <t>FY2121 NovCTTI75APH</t>
  </si>
  <si>
    <t>2142FY21CTTI75AR</t>
  </si>
  <si>
    <t>FY2121 OctCTTI75AR</t>
  </si>
  <si>
    <t>2145FY21CTTI75AR</t>
  </si>
  <si>
    <t>FY2121 NovCTTI75AR</t>
  </si>
  <si>
    <t>2146FY21</t>
  </si>
  <si>
    <t>2146FY21FSK</t>
  </si>
  <si>
    <t>2146FY21FSK65AG</t>
  </si>
  <si>
    <t>2146FY2165AG</t>
  </si>
  <si>
    <t>2146FY21FSK75APH</t>
  </si>
  <si>
    <t>2146FY2175APH</t>
  </si>
  <si>
    <t>2146FY21FSK75AQ</t>
  </si>
  <si>
    <t>2146FY2175AQ</t>
  </si>
  <si>
    <t>2146FY21FSK75AR</t>
  </si>
  <si>
    <t>2146FY2175AR</t>
  </si>
  <si>
    <t>2146FY20</t>
  </si>
  <si>
    <t>2146FY20FSK</t>
  </si>
  <si>
    <t>2146FY20FSK85NX</t>
  </si>
  <si>
    <t>2146FY2085NX</t>
  </si>
  <si>
    <t>2146FY20FSK75NXB</t>
  </si>
  <si>
    <t>2146FY2075NXB</t>
  </si>
  <si>
    <t>2146FY20SOEM</t>
  </si>
  <si>
    <t>2146FY20SOEM55NH</t>
  </si>
  <si>
    <t>2146FY2055NH</t>
  </si>
  <si>
    <t>2146FY20SOEM65NH</t>
  </si>
  <si>
    <t>FY2021 NovSOEM65NH</t>
  </si>
  <si>
    <t>2146FY2065NH</t>
  </si>
  <si>
    <t>FY2021 Nov65NH</t>
  </si>
  <si>
    <t>2146FY20SOEM85NXB</t>
  </si>
  <si>
    <t>FY2021 NovSOEM85NXB</t>
  </si>
  <si>
    <t>2146FY2085NXB</t>
  </si>
  <si>
    <t>2146FY21SOEM</t>
  </si>
  <si>
    <t>2146FY21SOEM65AG</t>
  </si>
  <si>
    <t>2146FY21SOEM85AG</t>
  </si>
  <si>
    <t>2146FY2185AG</t>
  </si>
  <si>
    <t>2146FY21SOEM85AX</t>
  </si>
  <si>
    <t>2146FY2185AX</t>
  </si>
  <si>
    <t>2146FY21SOEM75APH</t>
  </si>
  <si>
    <t>2146FY21SOEM75AG</t>
  </si>
  <si>
    <t>2146FY2175AG</t>
  </si>
  <si>
    <t>2146FY21SOEM75AR</t>
  </si>
  <si>
    <t>2146FY21SOEM75AX</t>
  </si>
  <si>
    <t>2146FY2175AX</t>
  </si>
  <si>
    <t>2145FY21FBC</t>
  </si>
  <si>
    <t>FY2121 NovFBC</t>
  </si>
  <si>
    <t>2145FY21FBC75AQ</t>
  </si>
  <si>
    <t>FY2121 NovFBC75AQ</t>
  </si>
  <si>
    <t>2144FY21FBC</t>
  </si>
  <si>
    <t>2144FY21FBC85AQ</t>
  </si>
  <si>
    <t>FY2121 NovFBC85AQ</t>
  </si>
  <si>
    <t>2144FY2185AQ</t>
  </si>
  <si>
    <t>2144FY21FBC75AG</t>
  </si>
  <si>
    <t>FY2121 NovFBC75AG</t>
  </si>
  <si>
    <t>2146FY21CTTI</t>
  </si>
  <si>
    <t>2146FY21CTTI75APH</t>
  </si>
  <si>
    <t>A5027707A$0020940_2140</t>
  </si>
  <si>
    <t>2147UniFY21line</t>
  </si>
  <si>
    <t>2147UniFY21lineINZ</t>
  </si>
  <si>
    <t>UniFY21line21 NovINZ</t>
  </si>
  <si>
    <t>2147UniFY21lineINZ75AR</t>
  </si>
  <si>
    <t>UniFY21line21 NovINZ75AR</t>
  </si>
  <si>
    <t>2147UniFY21line75AR</t>
  </si>
  <si>
    <t>UniFY21line21 Nov75AR</t>
  </si>
  <si>
    <t>2145FY21INZ</t>
  </si>
  <si>
    <t>2145FY21INZ65AG</t>
  </si>
  <si>
    <t>FY2121 NovINZ65AG</t>
  </si>
  <si>
    <t>2145FY21INZ85AG</t>
  </si>
  <si>
    <t>FY2121 NovINZ85AG</t>
  </si>
  <si>
    <t>2146FY21INZ</t>
  </si>
  <si>
    <t>2146FY21INZ85AG</t>
  </si>
  <si>
    <t>2146FY21INZ75AQ</t>
  </si>
  <si>
    <t>FY2121 NovINZ75AQ</t>
  </si>
  <si>
    <t>2146FY21INZ85AQ</t>
  </si>
  <si>
    <t>FY2121 NovINZ85AQ</t>
  </si>
  <si>
    <t>2146FY2185AQ</t>
  </si>
  <si>
    <t>2145FY21INZ75AG</t>
  </si>
  <si>
    <t>2146FY21INZ75AG</t>
  </si>
  <si>
    <t>2145FY21INZ75AR</t>
  </si>
  <si>
    <t>2146FY21INZ75AR</t>
  </si>
  <si>
    <t>A5030081B$0008444_2130-YDBO075DAS02</t>
  </si>
  <si>
    <t>EA5030081B</t>
  </si>
  <si>
    <t>2147T-CON A/DFY21line</t>
  </si>
  <si>
    <t>T-CON A/DFY21line21 Nov</t>
  </si>
  <si>
    <t>2147T-CON A/DFY21lineFSK</t>
  </si>
  <si>
    <t>T-CON A/DFY21line21 NovFSK</t>
  </si>
  <si>
    <t>2147T-CON A/DFY21lineFSK75AG</t>
  </si>
  <si>
    <t>T-CON A/DFY21line21 NovFSK75AG</t>
  </si>
  <si>
    <t>2147T-CON A/DFY21line75AG</t>
  </si>
  <si>
    <t>T-CON A/DFY21line21 Nov75AG</t>
  </si>
  <si>
    <t>A5030081B$0013701_2135-YDBO075DAS02</t>
  </si>
  <si>
    <t>2147UniFY21lineFSK</t>
  </si>
  <si>
    <t>2147UniFY21lineFSK75AG</t>
  </si>
  <si>
    <t>UniFY21line21 NovFSK75AG</t>
  </si>
  <si>
    <t>2147UniFY21line75AG</t>
  </si>
  <si>
    <t>UniFY21line21 Nov75AG</t>
  </si>
  <si>
    <t>A5030081B$0013704_2135-YDBO075DAS02</t>
  </si>
  <si>
    <t>A5027710A$0011005_2135-YDBM075DCS02</t>
  </si>
  <si>
    <t>2147T-CON A/DFY21lineFSK75AR</t>
  </si>
  <si>
    <t>T-CON A/DFY21line21 NovFSK75AR</t>
  </si>
  <si>
    <t>2147T-CON A/DFY21line75AR</t>
  </si>
  <si>
    <t>T-CON A/DFY21line21 Nov75AR</t>
  </si>
  <si>
    <t>A5027710A$0014266_2137-YDBM075DCS02</t>
  </si>
  <si>
    <t>2147F/MFY21line</t>
  </si>
  <si>
    <t>2147F/MFY21lineFSK</t>
  </si>
  <si>
    <t>2147F/MFY21lineFSK75AR</t>
  </si>
  <si>
    <t>F/MFY21line21 NovFSK75AR</t>
  </si>
  <si>
    <t>2147F/MFY21line75AR</t>
  </si>
  <si>
    <t>F/MFY21line21 Nov75AR</t>
  </si>
  <si>
    <t>A5027713A$0014962_2136-YDBM085CNU02</t>
  </si>
  <si>
    <t>2147F/MFY21lineSOEM</t>
  </si>
  <si>
    <t>F/MFY21line21 NovSOEM</t>
  </si>
  <si>
    <t>2147F/MFY21lineSOEM85AX</t>
  </si>
  <si>
    <t>F/MFY21line21 NovSOEM85AX</t>
  </si>
  <si>
    <t>2147F/MFY21line85AX</t>
  </si>
  <si>
    <t>F/MFY21line21 Nov85AX</t>
  </si>
  <si>
    <t>A5027713A$0015590_2138-YDBM085CNU02</t>
  </si>
  <si>
    <t>2147BLUFY21line</t>
  </si>
  <si>
    <t>BLUFY21line21 Nov</t>
  </si>
  <si>
    <t>2147BLUFY21lineSOEM</t>
  </si>
  <si>
    <t>BLUFY21line21 NovSOEM</t>
  </si>
  <si>
    <t>2147BLUFY21lineSOEM85AX</t>
  </si>
  <si>
    <t>BLUFY21line21 NovSOEM85AX</t>
  </si>
  <si>
    <t>2147BLUFY21line85AX</t>
  </si>
  <si>
    <t>BLUFY21line21 Nov85AX</t>
  </si>
  <si>
    <t>A5027713A$0014809_2136-YDBM085CNU02</t>
  </si>
  <si>
    <t>2147LineFY21line</t>
  </si>
  <si>
    <t>2147LineFY21lineSOEM</t>
  </si>
  <si>
    <t>2147LineFY21lineSOEM85AX</t>
  </si>
  <si>
    <t>LineFY21line21 NovSOEM85AX</t>
  </si>
  <si>
    <t>2147LineFY21line85AX</t>
  </si>
  <si>
    <t>LineFY21line21 Nov85AX</t>
  </si>
  <si>
    <t>A5027707A$0015574_2135-YDBM075DCS02</t>
  </si>
  <si>
    <t>2147T-con A/DFY21line</t>
  </si>
  <si>
    <t>2147T-con A/DFY21lineSOEM</t>
  </si>
  <si>
    <t>T-con A/DFY21line21 NovSOEM</t>
  </si>
  <si>
    <t>2147T-con A/DFY21lineSOEM75AR</t>
  </si>
  <si>
    <t>T-con A/DFY21line21 NovSOEM75AR</t>
  </si>
  <si>
    <t>2147T-con A/DFY21line75AR</t>
  </si>
  <si>
    <t>2147FY21</t>
  </si>
  <si>
    <t>2147FY21CTTI</t>
  </si>
  <si>
    <t>2147FY21CTTI75AR</t>
  </si>
  <si>
    <t>2147FY2175AR</t>
  </si>
  <si>
    <t>2147FY21FSK</t>
  </si>
  <si>
    <t>2147FY21FSK65AG</t>
  </si>
  <si>
    <t>2147FY2165AG</t>
  </si>
  <si>
    <t>2147FY21FSK75AG</t>
  </si>
  <si>
    <t>2147FY2175AG</t>
  </si>
  <si>
    <t>2147FY21FSK85AG</t>
  </si>
  <si>
    <t>2147FY2185AG</t>
  </si>
  <si>
    <t>2147FY21FSK75APH</t>
  </si>
  <si>
    <t>2147FY2175APH</t>
  </si>
  <si>
    <t>2147FY21FSK75AR</t>
  </si>
  <si>
    <t>2147FY21FSK85AX</t>
  </si>
  <si>
    <t>2147FY2185AX</t>
  </si>
  <si>
    <t>2147FY20</t>
  </si>
  <si>
    <t>2147FY20FSK</t>
  </si>
  <si>
    <t>2147FY20FSK75NX</t>
  </si>
  <si>
    <t>FY2021 NovFSK75NX</t>
  </si>
  <si>
    <t>2147FY2075NX</t>
  </si>
  <si>
    <t>FY2021 Nov75NX</t>
  </si>
  <si>
    <t>2147FY20FSK75NXB</t>
  </si>
  <si>
    <t>2147FY2075NXB</t>
  </si>
  <si>
    <t>2147FY20FSK85NXB</t>
  </si>
  <si>
    <t>2147FY2085NXB</t>
  </si>
  <si>
    <t>2147FY20SOEM</t>
  </si>
  <si>
    <t>2147FY20SOEM85NXB</t>
  </si>
  <si>
    <t>2147FY21SOEM</t>
  </si>
  <si>
    <t>2147FY21SOEM65AG</t>
  </si>
  <si>
    <t>2147FY21SOEM85AG</t>
  </si>
  <si>
    <t>2147FY21SOEM85AX</t>
  </si>
  <si>
    <t>2147FY21SOEM75APH</t>
  </si>
  <si>
    <t>2147FY20SOEM75NXB</t>
  </si>
  <si>
    <t>FY2021 NovSOEM75NXB</t>
  </si>
  <si>
    <t>2147FY21SOEM75AG</t>
  </si>
  <si>
    <t>2147FY21SOEM75AR</t>
  </si>
  <si>
    <t>2147FY21SOEM75AX</t>
  </si>
  <si>
    <t>2147FY2175AX</t>
  </si>
  <si>
    <t>A5027728A$0028313_2137-YSBM075CNO02</t>
  </si>
  <si>
    <t>2148F/MFY21line</t>
  </si>
  <si>
    <t>2148F/MFY21lineFSK</t>
  </si>
  <si>
    <t>2148F/MFY21lineFSK75APH</t>
  </si>
  <si>
    <t>F/MFY21line21 NovFSK75APH</t>
  </si>
  <si>
    <t>2148F/MFY21line75APH</t>
  </si>
  <si>
    <t>F/MFY21line21 Nov75APH</t>
  </si>
  <si>
    <t>A5027728A$0028790_2137-YSBM075CNO02</t>
  </si>
  <si>
    <t>2148LEDFY21line</t>
  </si>
  <si>
    <t>2148LEDFY21lineFSK</t>
  </si>
  <si>
    <t>LEDFY21line21 NovFSK</t>
  </si>
  <si>
    <t>2148LEDFY21lineFSK75APH</t>
  </si>
  <si>
    <t>LEDFY21line21 NovFSK75APH</t>
  </si>
  <si>
    <t>2148LEDFY21line75APH</t>
  </si>
  <si>
    <t>A5027728A$0028867_2137-YSBM075CNO02</t>
  </si>
  <si>
    <t>a5030086b$0007644_2134-ydbo085dau02</t>
  </si>
  <si>
    <t>2148LEDFY21lineFSK85AG</t>
  </si>
  <si>
    <t>LEDFY21line21 NovFSK85AG</t>
  </si>
  <si>
    <t>2148LEDFY21line85AG</t>
  </si>
  <si>
    <t>LEDFY21line21 Nov85AG</t>
  </si>
  <si>
    <t>A5027728A$0028928_2137-YSBM075CNO02</t>
  </si>
  <si>
    <t>A5027728A$0028986_2137-YSBM075CNO02</t>
  </si>
  <si>
    <t>2148UniFY21line</t>
  </si>
  <si>
    <t>2148UniFY21lineFSK</t>
  </si>
  <si>
    <t>2148UniFY21lineFSK75APH</t>
  </si>
  <si>
    <t>UniFY21line21 NovFSK75APH</t>
  </si>
  <si>
    <t>2148UniFY21line75APH</t>
  </si>
  <si>
    <t>UniFY21line21 Nov75APH</t>
  </si>
  <si>
    <t>A5027728A$0028996_2137-YSBM075CNO02</t>
  </si>
  <si>
    <t>2148T-CON A/DFY21line</t>
  </si>
  <si>
    <t>2148T-CON A/DFY21lineFSK</t>
  </si>
  <si>
    <t>2148T-CON A/DFY21lineFSK75APH</t>
  </si>
  <si>
    <t>T-CON A/DFY21line21 NovFSK75APH</t>
  </si>
  <si>
    <t>2148T-CON A/DFY21line75APH</t>
  </si>
  <si>
    <t>T-CON A/DFY21line21 Nov75APH</t>
  </si>
  <si>
    <t>A5024285B$0026322_2139-YDAS075DNS02</t>
  </si>
  <si>
    <t>2148UniFY20line</t>
  </si>
  <si>
    <t>UniFY20line21 Nov</t>
  </si>
  <si>
    <t>2148UniFY20lineFSK</t>
  </si>
  <si>
    <t>UniFY20line21 NovFSK</t>
  </si>
  <si>
    <t>2148UniFY20lineFSK75NX</t>
  </si>
  <si>
    <t>UniFY20line21 NovFSK75NX</t>
  </si>
  <si>
    <t>2148UniFY20line75NX</t>
  </si>
  <si>
    <t>UniFY20line21 Nov75NX</t>
  </si>
  <si>
    <t>A5016535B$0012320_2137-YDAS085DNU02</t>
  </si>
  <si>
    <t>2148F/MFY20line</t>
  </si>
  <si>
    <t>F/MFY20line21 Nov</t>
  </si>
  <si>
    <t>2148F/MFY20lineFSK</t>
  </si>
  <si>
    <t>F/MFY20line21 NovFSK</t>
  </si>
  <si>
    <t>2148F/MFY20lineFSK85NX</t>
  </si>
  <si>
    <t>F/MFY20line21 NovFSK85NX</t>
  </si>
  <si>
    <t>2148F/MFY20line85NX</t>
  </si>
  <si>
    <t>F/MFY20line21 Nov85NX</t>
  </si>
  <si>
    <t>A5024290B$0004732_2138-YDAS075DNS02</t>
  </si>
  <si>
    <t>2148T-CON A/DFY20line</t>
  </si>
  <si>
    <t>T-CON A/DFY20line21 Nov</t>
  </si>
  <si>
    <t>2148T-CON A/DFY20lineFSK</t>
  </si>
  <si>
    <t>T-CON A/DFY20line21 NovFSK</t>
  </si>
  <si>
    <t>2148T-CON A/DFY20lineFSK75NXB</t>
  </si>
  <si>
    <t>T-CON A/DFY20line21 NovFSK75NXB</t>
  </si>
  <si>
    <t>2148T-CON A/DFY20line75NXB</t>
  </si>
  <si>
    <t>T-CON A/DFY20line21 Nov75NXB</t>
  </si>
  <si>
    <t>A5027716A$0010303_2135-YDBM085CNU02</t>
  </si>
  <si>
    <t>F Bubble</t>
  </si>
  <si>
    <t>F/G</t>
  </si>
  <si>
    <t>2148F/GFY21line</t>
  </si>
  <si>
    <t>F/GFY21line21 Nov</t>
  </si>
  <si>
    <t>2148F/GFY21lineFSK</t>
  </si>
  <si>
    <t>F/GFY21line21 NovFSK</t>
  </si>
  <si>
    <t>2148F/GFY21lineFSK85AX</t>
  </si>
  <si>
    <t>F/GFY21line21 NovFSK85AX</t>
  </si>
  <si>
    <t>2148F/GFY21line85AX</t>
  </si>
  <si>
    <t>F/GFY21line21 Nov85AX</t>
  </si>
  <si>
    <t>A5032151A$0026818_2135-YDBO065DBU02</t>
  </si>
  <si>
    <t>2148F/MFY21lineFSK65AG</t>
  </si>
  <si>
    <t>2148F/MFY21line65AG</t>
  </si>
  <si>
    <t>A5027713A$0017859_2142-YDBM085CNU02</t>
  </si>
  <si>
    <t>2148T-con A/DFY21line</t>
  </si>
  <si>
    <t>2148T-con A/DFY21lineSOEM</t>
  </si>
  <si>
    <t>2148T-con A/DFY21lineSOEM85AX</t>
  </si>
  <si>
    <t>T-con A/DFY21line21 NovSOEM85AX</t>
  </si>
  <si>
    <t>2148T-con A/DFY21line85AX</t>
  </si>
  <si>
    <t>T-con A/DFY21line21 Nov85AX</t>
  </si>
  <si>
    <t>A5027713A$0016968_2142-YDBM085CNU02</t>
  </si>
  <si>
    <t>Aluminium Frame NG</t>
  </si>
  <si>
    <t>2148AL-FrameFY21line</t>
  </si>
  <si>
    <t>AL-FrameFY21line21 Nov</t>
  </si>
  <si>
    <t>2148AL-FrameFY21lineSOEM</t>
  </si>
  <si>
    <t>AL-FrameFY21line21 NovSOEM</t>
  </si>
  <si>
    <t>2148AL-FrameFY21lineSOEM85AX</t>
  </si>
  <si>
    <t>AL-FrameFY21line21 NovSOEM85AX</t>
  </si>
  <si>
    <t>2148AL-FrameFY21line85AX</t>
  </si>
  <si>
    <t>AL-FrameFY21line21 Nov85AX</t>
  </si>
  <si>
    <t>A5027725A$0031554_2137_YSBM075CNO02</t>
  </si>
  <si>
    <t>2148LEDFY21lineSOEM</t>
  </si>
  <si>
    <t>2148LEDFY21lineSOEM75APH</t>
  </si>
  <si>
    <t>A5027725A$0033390_2142_YSBM075CNO02</t>
  </si>
  <si>
    <t>2148LineFY21line</t>
  </si>
  <si>
    <t>2148LineFY21lineSOEM</t>
  </si>
  <si>
    <t>2148LineFY21lineSOEM75APH</t>
  </si>
  <si>
    <t>LineFY21line21 NovSOEM75APH</t>
  </si>
  <si>
    <t>2148LineFY21line75APH</t>
  </si>
  <si>
    <t>LineFY21line21 Nov75APH</t>
  </si>
  <si>
    <t>2146FY21FBC</t>
  </si>
  <si>
    <t>2146FY21FBC75AQ</t>
  </si>
  <si>
    <t>2146FY21FBC85AQ</t>
  </si>
  <si>
    <t>2148FY21</t>
  </si>
  <si>
    <t>2148FY21FSK</t>
  </si>
  <si>
    <t>2148FY21FSK65AG</t>
  </si>
  <si>
    <t>2148FY2165AG</t>
  </si>
  <si>
    <t>2148FY21FSK75AG</t>
  </si>
  <si>
    <t>2148FY2175AG</t>
  </si>
  <si>
    <t>2148FY21FSK85AG</t>
  </si>
  <si>
    <t>2148FY2185AG</t>
  </si>
  <si>
    <t>2148FY21FSK75APH</t>
  </si>
  <si>
    <t>2148FY2175APH</t>
  </si>
  <si>
    <t>2148FY21FSK75AQ</t>
  </si>
  <si>
    <t>2148FY2175AQ</t>
  </si>
  <si>
    <t>2148FY21FSK85AQ</t>
  </si>
  <si>
    <t>2148FY2185AQ</t>
  </si>
  <si>
    <t>2148FY21FSK75AR</t>
  </si>
  <si>
    <t>2148FY2175AR</t>
  </si>
  <si>
    <t>2148FY21FSK75AX</t>
  </si>
  <si>
    <t>2148FY2175AX</t>
  </si>
  <si>
    <t>2148FY21FSK85AX</t>
  </si>
  <si>
    <t>2148FY2185AX</t>
  </si>
  <si>
    <t>2148FY20</t>
  </si>
  <si>
    <t>2148FY20FSK</t>
  </si>
  <si>
    <t>2148FY20FSK75NX</t>
  </si>
  <si>
    <t>2148FY2075NX</t>
  </si>
  <si>
    <t>2148FY20FSK85NX</t>
  </si>
  <si>
    <t>2148FY2085NX</t>
  </si>
  <si>
    <t>2148FY20FSK75NXB</t>
  </si>
  <si>
    <t>2148FY2075NXB</t>
  </si>
  <si>
    <t>2148FY20FSK85NXB</t>
  </si>
  <si>
    <t>2148FY2085NXB</t>
  </si>
  <si>
    <t>2148FY20SOEM</t>
  </si>
  <si>
    <t>2148FY20SOEM85NXB</t>
  </si>
  <si>
    <t>2148FY21SOEM</t>
  </si>
  <si>
    <t>2148FY21SOEM65AG</t>
  </si>
  <si>
    <t>2148FY21SOEM85AG</t>
  </si>
  <si>
    <t>2148FY21SOEM85AX</t>
  </si>
  <si>
    <t>2148FY21SOEM75APH</t>
  </si>
  <si>
    <t>2148FY20SOEM75NXB</t>
  </si>
  <si>
    <t>2148FY21SOEM75AR</t>
  </si>
  <si>
    <t>2148FY21SOEM75AX</t>
  </si>
  <si>
    <t>A5016564C$0000027_2141-YDAS085DNU02</t>
  </si>
  <si>
    <t>EA5016564C</t>
  </si>
  <si>
    <t>2149T-CON A/DFY20line</t>
  </si>
  <si>
    <t>T-CON A/DFY20line21 Dec</t>
  </si>
  <si>
    <t>2149T-CON A/DFY20lineFSK</t>
  </si>
  <si>
    <t>T-CON A/DFY20line21 DecFSK</t>
  </si>
  <si>
    <t>2149T-CON A/DFY20lineFSK85NXB</t>
  </si>
  <si>
    <t>T-CON A/DFY20line21 DecFSK85NXB</t>
  </si>
  <si>
    <t>2149T-CON A/DFY20line85NXB</t>
  </si>
  <si>
    <t>T-CON A/DFY20line21 Dec85NXB</t>
  </si>
  <si>
    <t>A5032151A$0037216_2139-YDBO065DBU02</t>
  </si>
  <si>
    <t>2149P-AppFY21line</t>
  </si>
  <si>
    <t>P-AppFY21line21 Dec</t>
  </si>
  <si>
    <t>2149P-AppFY21lineFSK</t>
  </si>
  <si>
    <t>P-AppFY21line21 DecFSK</t>
  </si>
  <si>
    <t>2149P-AppFY21lineFSK65AG</t>
  </si>
  <si>
    <t>P-AppFY21line21 DecFSK65AG</t>
  </si>
  <si>
    <t>2149P-AppFY21line65AG</t>
  </si>
  <si>
    <t>P-AppFY21line21 Dec65AG</t>
  </si>
  <si>
    <t>A5024290B$0005118_2142-YDAS075DNS02</t>
  </si>
  <si>
    <t>2149T-CON A/DFY20lineFSK75NXB</t>
  </si>
  <si>
    <t>T-CON A/DFY20line21 DecFSK75NXB</t>
  </si>
  <si>
    <t>2149T-CON A/DFY20line75NXB</t>
  </si>
  <si>
    <t>T-CON A/DFY20line21 Dec75NXB</t>
  </si>
  <si>
    <t>A5024290B$0005289_2142-YDAS075DNS02</t>
  </si>
  <si>
    <t>A5027713A$0016402_2142-YDBM085CNU02</t>
  </si>
  <si>
    <t>2148LineFY21lineSOEM85AX</t>
  </si>
  <si>
    <t>2148LineFY21line85AX</t>
  </si>
  <si>
    <t>2148FY21CTTI</t>
  </si>
  <si>
    <t>2148FY21CTTI75AR</t>
  </si>
  <si>
    <t>2149FY21</t>
  </si>
  <si>
    <t>FY2121 Dec</t>
  </si>
  <si>
    <t>2149FY21FSK</t>
  </si>
  <si>
    <t>FY2121 DecFSK</t>
  </si>
  <si>
    <t>2149FY21FSK65AG</t>
  </si>
  <si>
    <t>FY2121 DecFSK65AG</t>
  </si>
  <si>
    <t>2149FY2165AG</t>
  </si>
  <si>
    <t>FY2121 Dec65AG</t>
  </si>
  <si>
    <t>2149FY21FSK75AG</t>
  </si>
  <si>
    <t>FY2121 DecFSK75AG</t>
  </si>
  <si>
    <t>2149FY2175AG</t>
  </si>
  <si>
    <t>FY2121 Dec75AG</t>
  </si>
  <si>
    <t>2149FY21FSK85AG</t>
  </si>
  <si>
    <t>FY2121 DecFSK85AG</t>
  </si>
  <si>
    <t>2149FY2185AG</t>
  </si>
  <si>
    <t>FY2121 Dec85AG</t>
  </si>
  <si>
    <t>2149FY21FSK75AQ</t>
  </si>
  <si>
    <t>FY2121 DecFSK75AQ</t>
  </si>
  <si>
    <t>2149FY2175AQ</t>
  </si>
  <si>
    <t>FY2121 Dec75AQ</t>
  </si>
  <si>
    <t>2149FY21FSK85AQ</t>
  </si>
  <si>
    <t>FY2121 DecFSK85AQ</t>
  </si>
  <si>
    <t>2149FY2185AQ</t>
  </si>
  <si>
    <t>FY2121 Dec85AQ</t>
  </si>
  <si>
    <t>2149FY21FSK75AR</t>
  </si>
  <si>
    <t>FY2121 DecFSK75AR</t>
  </si>
  <si>
    <t>2149FY2175AR</t>
  </si>
  <si>
    <t>FY2121 Dec75AR</t>
  </si>
  <si>
    <t>2149FY21FSK75AX</t>
  </si>
  <si>
    <t>FY2121 DecFSK75AX</t>
  </si>
  <si>
    <t>2149FY2175AX</t>
  </si>
  <si>
    <t>FY2121 Dec75AX</t>
  </si>
  <si>
    <t>2149FY21FSK85AX</t>
  </si>
  <si>
    <t>FY2121 DecFSK85AX</t>
  </si>
  <si>
    <t>2149FY2185AX</t>
  </si>
  <si>
    <t>FY2121 Dec85AX</t>
  </si>
  <si>
    <t>2149FY20</t>
  </si>
  <si>
    <t>FY2021 Dec</t>
  </si>
  <si>
    <t>2149FY20FSK</t>
  </si>
  <si>
    <t>FY2021 DecFSK</t>
  </si>
  <si>
    <t>2149FY20FSK75NX</t>
  </si>
  <si>
    <t>FY2021 DecFSK75NX</t>
  </si>
  <si>
    <t>2149FY2075NX</t>
  </si>
  <si>
    <t>FY2021 Dec75NX</t>
  </si>
  <si>
    <t>2149FY20FSK75NXB</t>
  </si>
  <si>
    <t>FY2021 DecFSK75NXB</t>
  </si>
  <si>
    <t>2149FY2075NXB</t>
  </si>
  <si>
    <t>FY2021 Dec75NXB</t>
  </si>
  <si>
    <t>2149FY20FSK85NXB</t>
  </si>
  <si>
    <t>FY2021 DecFSK85NXB</t>
  </si>
  <si>
    <t>2149FY2085NXB</t>
  </si>
  <si>
    <t>FY2021 Dec85NXB</t>
  </si>
  <si>
    <t>2149FY20SOEM</t>
  </si>
  <si>
    <t>FY2021 DecSOEM</t>
  </si>
  <si>
    <t>2149FY20SOEM85NXB</t>
  </si>
  <si>
    <t>FY2021 DecSOEM85NXB</t>
  </si>
  <si>
    <t>2149FY21SOEM</t>
  </si>
  <si>
    <t>FY2121 DecSOEM</t>
  </si>
  <si>
    <t>2149FY21SOEM85AG</t>
  </si>
  <si>
    <t>FY2121 DecSOEM85AG</t>
  </si>
  <si>
    <t>2149FY21SOEM85AX</t>
  </si>
  <si>
    <t>FY2121 DecSOEM85AX</t>
  </si>
  <si>
    <t>2149FY21SOEM75APH</t>
  </si>
  <si>
    <t>FY2121 DecSOEM75APH</t>
  </si>
  <si>
    <t>2149FY2175APH</t>
  </si>
  <si>
    <t>FY2121 Dec75APH</t>
  </si>
  <si>
    <t>2149FY20SOEM75NXB</t>
  </si>
  <si>
    <t>FY2021 DecSOEM75NXB</t>
  </si>
  <si>
    <t>2149FY21SOEM75AG</t>
  </si>
  <si>
    <t>FY2121 DecSOEM75AG</t>
  </si>
  <si>
    <t>2149FY21SOEM75AX</t>
  </si>
  <si>
    <t>FY2121 DecSOEM75AX</t>
  </si>
  <si>
    <t>SF05</t>
  </si>
  <si>
    <t>A5032151A$0025309_2134</t>
  </si>
  <si>
    <t>$0025309_</t>
  </si>
  <si>
    <t>2149F/MFY21line</t>
  </si>
  <si>
    <t>F/MFY21line21 Dec</t>
  </si>
  <si>
    <t>2149F/MFY21lineFBC</t>
  </si>
  <si>
    <t>F/MFY21line21 DecFBC</t>
  </si>
  <si>
    <t>2149F/MFY21lineFBC65AG</t>
  </si>
  <si>
    <t>F/MFY21line21 DecFBC65AG</t>
  </si>
  <si>
    <t>2149F/MFY21line65AG</t>
  </si>
  <si>
    <t>F/MFY21line21 Dec65AG</t>
  </si>
  <si>
    <t>SF15</t>
  </si>
  <si>
    <t>A5028177B$0001129_2137</t>
  </si>
  <si>
    <t>Mura</t>
  </si>
  <si>
    <t>2148BLUFY21line</t>
  </si>
  <si>
    <t>2148BLUFY21lineFBC</t>
  </si>
  <si>
    <t>BLUFY21line21 NovFBC</t>
  </si>
  <si>
    <t>2148BLUFY21lineFBC85AQ</t>
  </si>
  <si>
    <t>BLUFY21line21 NovFBC85AQ</t>
  </si>
  <si>
    <t>2148BLUFY21line85AQ</t>
  </si>
  <si>
    <t>BLUFY21line21 Nov85AQ</t>
  </si>
  <si>
    <t>A5028177B$0001028_2136</t>
  </si>
  <si>
    <t>Patron Activo</t>
  </si>
  <si>
    <t>T-Con A/D</t>
  </si>
  <si>
    <t>2148T-con A/DFY21lineFBC</t>
  </si>
  <si>
    <t>T-con A/DFY21line21 NovFBC</t>
  </si>
  <si>
    <t>2148T-con A/DFY21lineFBC85AQ</t>
  </si>
  <si>
    <t>T-con A/DFY21line21 NovFBC85AQ</t>
  </si>
  <si>
    <t>2148T-con A/DFY21line85AQ</t>
  </si>
  <si>
    <t>T-con A/DFY21line21 Nov85AQ</t>
  </si>
  <si>
    <t>A5030081B$0014026_2135</t>
  </si>
  <si>
    <t>2146O-Cell A/DFY21lineFBC</t>
  </si>
  <si>
    <t>O-Cell A/DFY21line21 NovFBC</t>
  </si>
  <si>
    <t>2146O-Cell A/DFY21lineFBC75AG</t>
  </si>
  <si>
    <t>O-Cell A/DFY21line21 NovFBC75AG</t>
  </si>
  <si>
    <t>2146O-Cell A/DFY21line75AG</t>
  </si>
  <si>
    <t>O-Cell A/DFY21line21 Nov75AG</t>
  </si>
  <si>
    <t>A5024285B$0026199_2139-YDAS075DNS02</t>
  </si>
  <si>
    <t>2150T-CON A/DFY20line</t>
  </si>
  <si>
    <t>2150T-CON A/DFY20lineFSK</t>
  </si>
  <si>
    <t>2150T-CON A/DFY20lineFSK75NX</t>
  </si>
  <si>
    <t>T-CON A/DFY20line21 DecFSK75NX</t>
  </si>
  <si>
    <t>2150T-CON A/DFY20line75NX</t>
  </si>
  <si>
    <t>T-CON A/DFY20line21 Dec75NX</t>
  </si>
  <si>
    <t>A5027725A$0034050_2142_YSBM075CNO02</t>
  </si>
  <si>
    <t>2150F/MFY21line</t>
  </si>
  <si>
    <t>2150F/MFY21lineSOEM</t>
  </si>
  <si>
    <t>F/MFY21line21 DecSOEM</t>
  </si>
  <si>
    <t>2150F/MFY21lineSOEM75APH</t>
  </si>
  <si>
    <t>F/MFY21line21 DecSOEM75APH</t>
  </si>
  <si>
    <t>2150F/MFY21line75APH</t>
  </si>
  <si>
    <t>F/MFY21line21 Dec75APH</t>
  </si>
  <si>
    <t>A5027707C$0009068_2144-YDBM075DCS02</t>
  </si>
  <si>
    <t>2150BLUFY21line</t>
  </si>
  <si>
    <t>BLUFY21line21 Dec</t>
  </si>
  <si>
    <t>2150BLUFY21lineSOEM</t>
  </si>
  <si>
    <t>BLUFY21line21 DecSOEM</t>
  </si>
  <si>
    <t>2150BLUFY21lineSOEM75AR</t>
  </si>
  <si>
    <t>BLUFY21line21 DecSOEM75AR</t>
  </si>
  <si>
    <t>2150BLUFY21line75AR</t>
  </si>
  <si>
    <t>BLUFY21line21 Dec75AR</t>
  </si>
  <si>
    <t>2148FY21FBC</t>
  </si>
  <si>
    <t>2148FY21FBC65AG</t>
  </si>
  <si>
    <t>FY2121 NovFBC65AG</t>
  </si>
  <si>
    <t>2149FY21FBC</t>
  </si>
  <si>
    <t>FY2121 DecFBC</t>
  </si>
  <si>
    <t>2149FY21FBC65AG</t>
  </si>
  <si>
    <t>FY2121 DecFBC65AG</t>
  </si>
  <si>
    <t>2148FY21FBC85AG</t>
  </si>
  <si>
    <t>FY2121 NovFBC85AG</t>
  </si>
  <si>
    <t>2149FY21FBC85AG</t>
  </si>
  <si>
    <t>FY2121 DecFBC85AG</t>
  </si>
  <si>
    <t>2149FY21FBC75AQ</t>
  </si>
  <si>
    <t>FY2121 DecFBC75AQ</t>
  </si>
  <si>
    <t>2149FY21FBC85AQ</t>
  </si>
  <si>
    <t>FY2121 DecFBC85AQ</t>
  </si>
  <si>
    <t>2150FY21</t>
  </si>
  <si>
    <t>2150FY21FSK</t>
  </si>
  <si>
    <t>2150FY21FSK65AG</t>
  </si>
  <si>
    <t>2150FY2165AG</t>
  </si>
  <si>
    <t>2150FY21FSK75AG</t>
  </si>
  <si>
    <t>2150FY2175AG</t>
  </si>
  <si>
    <t>2150FY21FSK75APH</t>
  </si>
  <si>
    <t>FY2121 DecFSK75APH</t>
  </si>
  <si>
    <t>2150FY2175APH</t>
  </si>
  <si>
    <t>2150FY21FSK75AQ</t>
  </si>
  <si>
    <t>2150FY2175AQ</t>
  </si>
  <si>
    <t>2150FY21FSK75AR</t>
  </si>
  <si>
    <t>2150FY2175AR</t>
  </si>
  <si>
    <t>2150FY21FSK75AX</t>
  </si>
  <si>
    <t>2150FY2175AX</t>
  </si>
  <si>
    <t>2150FY21FSK85AX</t>
  </si>
  <si>
    <t>2150FY2185AX</t>
  </si>
  <si>
    <t>2150FY20</t>
  </si>
  <si>
    <t>2150FY20FSK</t>
  </si>
  <si>
    <t>2150FY20FSK75NX</t>
  </si>
  <si>
    <t>2150FY2075NX</t>
  </si>
  <si>
    <t>2150FY20FSK75NXB</t>
  </si>
  <si>
    <t>2150FY2075NXB</t>
  </si>
  <si>
    <t>2150FY20FSK85NXB</t>
  </si>
  <si>
    <t>2150FY2085NXB</t>
  </si>
  <si>
    <t>2150FY21SOEM</t>
  </si>
  <si>
    <t>2150FY21SOEM85AX</t>
  </si>
  <si>
    <t>2150FY21SOEM75APH</t>
  </si>
  <si>
    <t>2150FY21SOEM75AR</t>
  </si>
  <si>
    <t>FY2121 DecSOEM75AR</t>
  </si>
  <si>
    <t>2150FY21SOEM75AX</t>
  </si>
  <si>
    <t>A5027725A$0034137_2142_YSBM075CNO02</t>
  </si>
  <si>
    <t>2151F/MFY21line</t>
  </si>
  <si>
    <t>2151F/MFY21lineSOEM</t>
  </si>
  <si>
    <t>2151F/MFY21lineSOEM75APH</t>
  </si>
  <si>
    <t>2151F/MFY21line75APH</t>
  </si>
  <si>
    <t>2151FY21</t>
  </si>
  <si>
    <t>2151FY21SOEM</t>
  </si>
  <si>
    <t>2151FY21SOEM65AG</t>
  </si>
  <si>
    <t>FY2121 DecSOEM65AG</t>
  </si>
  <si>
    <t>2151FY2165AG</t>
  </si>
  <si>
    <t>2151FY21SOEM85AX</t>
  </si>
  <si>
    <t>2151FY2185AX</t>
  </si>
  <si>
    <t>2151FY21SOEM75APH</t>
  </si>
  <si>
    <t>2151FY2175APH</t>
  </si>
  <si>
    <t>2151FY21SOEM75AG</t>
  </si>
  <si>
    <t>2151FY2175AG</t>
  </si>
  <si>
    <t>2151FY21SOEM75AX</t>
  </si>
  <si>
    <t>2151FY2175AX</t>
  </si>
  <si>
    <t>A5027713A$0017873_2143-YDBM085CNU02</t>
  </si>
  <si>
    <t>2152LineFY21line</t>
  </si>
  <si>
    <t>LineFY21line21 Dec</t>
  </si>
  <si>
    <t>2152LineFY21lineSOEM</t>
  </si>
  <si>
    <t>LineFY21line21 DecSOEM</t>
  </si>
  <si>
    <t>2152LineFY21lineSOEM85AX</t>
  </si>
  <si>
    <t>LineFY21line21 DecSOEM85AX</t>
  </si>
  <si>
    <t>2152LineFY21line85AX</t>
  </si>
  <si>
    <t>LineFY21line21 Dec85AX</t>
  </si>
  <si>
    <t>A5027725A$0037112_2146_YSBM075CNO02</t>
  </si>
  <si>
    <t>2152T-con A/DFY21line</t>
  </si>
  <si>
    <t>T-con A/DFY21line21 Dec</t>
  </si>
  <si>
    <t>2152T-con A/DFY21lineSOEM</t>
  </si>
  <si>
    <t>T-con A/DFY21line21 DecSOEM</t>
  </si>
  <si>
    <t>2152T-con A/DFY21lineSOEM75APH</t>
  </si>
  <si>
    <t>T-con A/DFY21line21 DecSOEM75APH</t>
  </si>
  <si>
    <t>2152T-con A/DFY21line75APH</t>
  </si>
  <si>
    <t>T-con A/DFY21line21 Dec75APH</t>
  </si>
  <si>
    <t>A5027725A$0036447_2145_YSBM075CNO02</t>
  </si>
  <si>
    <t>2152LEDFY21line</t>
  </si>
  <si>
    <t>LEDFY21line21 Dec</t>
  </si>
  <si>
    <t>2152LEDFY21lineSOEM</t>
  </si>
  <si>
    <t>LEDFY21line21 DecSOEM</t>
  </si>
  <si>
    <t>2152LEDFY21lineSOEM75APH</t>
  </si>
  <si>
    <t>LEDFY21line21 DecSOEM75APH</t>
  </si>
  <si>
    <t>2152LEDFY21line75APH</t>
  </si>
  <si>
    <t>LEDFY21line21 Dec75APH</t>
  </si>
  <si>
    <t>A5027725A$0036983_2146_YSBM075CNO02</t>
  </si>
  <si>
    <t>2152BLUFY21line</t>
  </si>
  <si>
    <t>2152BLUFY21lineSOEM</t>
  </si>
  <si>
    <t>2152BLUFY21lineSOEM75APH</t>
  </si>
  <si>
    <t>BLUFY21line21 DecSOEM75APH</t>
  </si>
  <si>
    <t>2152BLUFY21line75APH</t>
  </si>
  <si>
    <t>BLUFY21line21 Dec75APH</t>
  </si>
  <si>
    <t>A5027725A$0037792_2147_YSBM075CNO02</t>
  </si>
  <si>
    <t>2152LineFY21lineSOEM75APH</t>
  </si>
  <si>
    <t>LineFY21line21 DecSOEM75APH</t>
  </si>
  <si>
    <t>2152LineFY21line75APH</t>
  </si>
  <si>
    <t>LineFY21line21 Dec75APH</t>
  </si>
  <si>
    <t>A5027707A$0023504_2145-YDBM075DCS02</t>
  </si>
  <si>
    <t>2152P-AppFY21line</t>
  </si>
  <si>
    <t>2152P-AppFY21lineSOEM</t>
  </si>
  <si>
    <t>P-AppFY21line21 DecSOEM</t>
  </si>
  <si>
    <t>2152P-AppFY21lineSOEM75AR</t>
  </si>
  <si>
    <t>P-AppFY21line21 DecSOEM75AR</t>
  </si>
  <si>
    <t>2152P-AppFY21line75AR</t>
  </si>
  <si>
    <t>P-AppFY21line21 Dec75AR</t>
  </si>
  <si>
    <t>A5027719C$0009366_2143-YDBM075CCS02</t>
  </si>
  <si>
    <t>2151T-con A/DFY21line</t>
  </si>
  <si>
    <t>2151T-con A/DFY21lineSOEM</t>
  </si>
  <si>
    <t>2151T-con A/DFY21lineSOEM75AX</t>
  </si>
  <si>
    <t>T-con A/DFY21line21 DecSOEM75AX</t>
  </si>
  <si>
    <t>2151T-con A/DFY21line75AX</t>
  </si>
  <si>
    <t>T-con A/DFY21line21 Dec75AX</t>
  </si>
  <si>
    <t>A5027719A$0012208_2145-YDBM075CCS02</t>
  </si>
  <si>
    <t>2152LEDFY21lineSOEM75AX</t>
  </si>
  <si>
    <t>LEDFY21line21 DecSOEM75AX</t>
  </si>
  <si>
    <t>2152LEDFY21line75AX</t>
  </si>
  <si>
    <t>LEDFY21line21 Dec75AX</t>
  </si>
  <si>
    <t>A5027719A$0012445_2145-YDBM075CCS02</t>
  </si>
  <si>
    <t>2152FY21</t>
  </si>
  <si>
    <t>2152FY21SOEM</t>
  </si>
  <si>
    <t>2152FY21SOEM65AG</t>
  </si>
  <si>
    <t>2152FY2165AG</t>
  </si>
  <si>
    <t>2152FY21SOEM85AG</t>
  </si>
  <si>
    <t>2152FY2185AG</t>
  </si>
  <si>
    <t>2152FY21SOEM85AX</t>
  </si>
  <si>
    <t>2152FY2185AX</t>
  </si>
  <si>
    <t>2152FY21SOEM75APH</t>
  </si>
  <si>
    <t>2152FY2175APH</t>
  </si>
  <si>
    <t>2152FY21SOEM75AG</t>
  </si>
  <si>
    <t>2152FY2175AG</t>
  </si>
  <si>
    <t>2152FY21SOEM75AR</t>
  </si>
  <si>
    <t>2152FY2175AR</t>
  </si>
  <si>
    <t>2152FY21SOEM75AX</t>
  </si>
  <si>
    <t>2152FY2175AX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</si>
</sst>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9"/>
      <name val="Calibri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quotePrefix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3" fillId="0" borderId="0" xfId="0" applyFont="1"/>
    <xf numFmtId="0" fontId="1" fillId="2" borderId="1" xfId="0" applyFont="1" applyFill="1" applyBorder="1" applyAlignment="1">
      <alignment horizontal="left" vertical="center"/>
    </xf>
    <xf numFmtId="16" fontId="0" fillId="0" borderId="1" xfId="0" quotePrefix="1" applyNumberFormat="1" applyBorder="1" applyAlignment="1">
      <alignment horizontal="left" vertical="center"/>
    </xf>
    <xf numFmtId="0" fontId="0" fillId="0" borderId="1" xfId="0" quotePrefix="1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center"/>
    </xf>
    <xf numFmtId="0" fontId="0" fillId="0" borderId="0" xfId="0" applyBorder="1"/>
    <xf numFmtId="0" fontId="0" fillId="2" borderId="1" xfId="0" quotePrefix="1" applyNumberFormat="1" applyFill="1" applyBorder="1" applyAlignment="1">
      <alignment horizontal="left" vertical="center"/>
    </xf>
    <xf numFmtId="14" fontId="2" fillId="2" borderId="0" xfId="0" applyNumberFormat="1" applyFont="1" applyFill="1" applyAlignment="1">
      <alignment horizontal="left" vertical="center"/>
    </xf>
    <xf numFmtId="0" fontId="4" fillId="3" borderId="5" xfId="0" applyFont="1" applyFill="1" applyBorder="1"/>
    <xf numFmtId="0" fontId="4" fillId="3" borderId="2" xfId="0" applyFont="1" applyFill="1" applyBorder="1"/>
    <xf numFmtId="0" fontId="0" fillId="4" borderId="4" xfId="0" applyFont="1" applyFill="1" applyBorder="1"/>
    <xf numFmtId="0" fontId="0" fillId="4" borderId="1" xfId="0" applyFont="1" applyFill="1" applyBorder="1" applyAlignment="1">
      <alignment horizontal="left" vertical="center"/>
    </xf>
    <xf numFmtId="14" fontId="0" fillId="0" borderId="0" xfId="0" applyNumberFormat="1"/>
    <xf numFmtId="22" fontId="0" fillId="0" borderId="0" xfId="0" applyNumberFormat="1"/>
    <xf numFmtId="14" fontId="2" fillId="5" borderId="0" xfId="0" applyNumberFormat="1" applyFont="1" applyFill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left"/>
    </xf>
    <xf numFmtId="0" fontId="1" fillId="0" borderId="1" xfId="0" applyFont="1" applyFill="1" applyBorder="1" applyAlignment="1">
      <alignment horizontal="center" vertical="top"/>
    </xf>
    <xf numFmtId="0" fontId="0" fillId="0" borderId="0" xfId="0" applyFill="1"/>
    <xf numFmtId="0" fontId="1" fillId="0" borderId="3" xfId="0" applyFont="1" applyFill="1" applyBorder="1" applyAlignment="1">
      <alignment horizontal="center" vertical="top"/>
    </xf>
    <xf numFmtId="0" fontId="4" fillId="3" borderId="6" xfId="0" applyFont="1" applyFill="1" applyBorder="1"/>
    <xf numFmtId="0" fontId="0" fillId="0" borderId="1" xfId="0" quotePrefix="1" applyBorder="1" applyAlignment="1">
      <alignment horizontal="left" vertical="center"/>
    </xf>
    <xf numFmtId="0" fontId="0" fillId="2" borderId="1" xfId="0" quotePrefix="1" applyFill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49" fontId="1" fillId="0" borderId="1" xfId="0" applyNumberFormat="1" applyFont="1" applyBorder="1" applyAlignment="1">
      <alignment horizontal="center" vertical="top"/>
    </xf>
    <xf numFmtId="49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6" borderId="0" xfId="0" applyFill="1"/>
    <xf numFmtId="0" fontId="0" fillId="7" borderId="0" xfId="0" applyFill="1"/>
  </cellXfs>
  <cellStyles count="1">
    <cellStyle name="Normal" xfId="0" builtinId="0"/>
  </cellStyles>
  <dxfs count="1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863079615048116E-2"/>
          <c:y val="0.15779310344827585"/>
          <c:w val="0.84791092519685041"/>
          <c:h val="0.58811973934292694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Monthly_All!$B$30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Monthly_All!$C$30:$AV$30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2B-4DE6-B3DE-96611F79F326}"/>
            </c:ext>
          </c:extLst>
        </c:ser>
        <c:ser>
          <c:idx val="4"/>
          <c:order val="4"/>
          <c:tx>
            <c:strRef>
              <c:f>Monthly_All!$B$31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Monthly_All!$C$31:$AV$31</c:f>
              <c:numCache>
                <c:formatCode>General</c:formatCode>
                <c:ptCount val="11"/>
                <c:pt idx="0">
                  <c:v>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2B-4DE6-B3DE-96611F79F326}"/>
            </c:ext>
          </c:extLst>
        </c:ser>
        <c:ser>
          <c:idx val="5"/>
          <c:order val="5"/>
          <c:tx>
            <c:strRef>
              <c:f>Monthly_All!$B$32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Monthly_All!$C$32:$AV$32</c:f>
              <c:numCache>
                <c:formatCode>General</c:formatCode>
                <c:ptCount val="11"/>
                <c:pt idx="0">
                  <c:v>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2B-4DE6-B3DE-96611F79F326}"/>
            </c:ext>
          </c:extLst>
        </c:ser>
        <c:ser>
          <c:idx val="6"/>
          <c:order val="6"/>
          <c:tx>
            <c:strRef>
              <c:f>Monthly_All!$B$33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Monthly_All!$C$33:$AV$33</c:f>
              <c:numCache>
                <c:formatCode>General</c:formatCode>
                <c:ptCount val="11"/>
                <c:pt idx="0">
                  <c:v>12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2B-4DE6-B3DE-96611F79F326}"/>
            </c:ext>
          </c:extLst>
        </c:ser>
        <c:ser>
          <c:idx val="7"/>
          <c:order val="7"/>
          <c:tx>
            <c:strRef>
              <c:f>Monthly_All!$B$34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Monthly_All!$C$34:$AV$34</c:f>
              <c:numCache>
                <c:formatCode>General</c:formatCode>
                <c:ptCount val="11"/>
                <c:pt idx="0">
                  <c:v>269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331</c:v>
                </c:pt>
                <c:pt idx="8">
                  <c:v>0</c:v>
                </c:pt>
                <c:pt idx="10">
                  <c:v>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2B-4DE6-B3DE-96611F79F326}"/>
            </c:ext>
          </c:extLst>
        </c:ser>
        <c:ser>
          <c:idx val="8"/>
          <c:order val="8"/>
          <c:tx>
            <c:strRef>
              <c:f>Monthly_All!$B$35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Monthly_All!$C$35:$AV$35</c:f>
              <c:numCache>
                <c:formatCode>General</c:formatCode>
                <c:ptCount val="11"/>
                <c:pt idx="0">
                  <c:v>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2B-4DE6-B3DE-96611F79F326}"/>
            </c:ext>
          </c:extLst>
        </c:ser>
        <c:ser>
          <c:idx val="9"/>
          <c:order val="9"/>
          <c:tx>
            <c:strRef>
              <c:f>Monthly_All!$B$36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Monthly_All!$C$36:$AV$36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2B-4DE6-B3DE-96611F79F326}"/>
            </c:ext>
          </c:extLst>
        </c:ser>
        <c:ser>
          <c:idx val="10"/>
          <c:order val="10"/>
          <c:tx>
            <c:strRef>
              <c:f>Monthly_All!$B$37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Monthly_All!$C$37:$AV$37</c:f>
              <c:numCache>
                <c:formatCode>General</c:formatCode>
                <c:ptCount val="11"/>
                <c:pt idx="0">
                  <c:v>145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1014</c:v>
                </c:pt>
                <c:pt idx="7">
                  <c:v>0</c:v>
                </c:pt>
                <c:pt idx="8">
                  <c:v>0</c:v>
                </c:pt>
                <c:pt idx="10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2B-4DE6-B3DE-96611F79F326}"/>
            </c:ext>
          </c:extLst>
        </c:ser>
        <c:ser>
          <c:idx val="11"/>
          <c:order val="11"/>
          <c:tx>
            <c:strRef>
              <c:f>Monthly_All!$B$38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Monthly_All!$C$38:$AV$38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2B-4DE6-B3DE-96611F79F326}"/>
            </c:ext>
          </c:extLst>
        </c:ser>
        <c:ser>
          <c:idx val="12"/>
          <c:order val="12"/>
          <c:tx>
            <c:strRef>
              <c:f>Monthly_All!$B$39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Monthly_All!$C$39:$AV$39</c:f>
              <c:numCache>
                <c:formatCode>General</c:formatCode>
                <c:ptCount val="11"/>
                <c:pt idx="0">
                  <c:v>168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991</c:v>
                </c:pt>
                <c:pt idx="8">
                  <c:v>0</c:v>
                </c:pt>
                <c:pt idx="10">
                  <c:v>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12B-4DE6-B3DE-96611F79F326}"/>
            </c:ext>
          </c:extLst>
        </c:ser>
        <c:ser>
          <c:idx val="13"/>
          <c:order val="13"/>
          <c:tx>
            <c:strRef>
              <c:f>Monthly_All!$B$40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Monthly_All!$C$40:$AV$40</c:f>
              <c:numCache>
                <c:formatCode>General</c:formatCode>
                <c:ptCount val="11"/>
                <c:pt idx="0">
                  <c:v>405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661</c:v>
                </c:pt>
                <c:pt idx="8">
                  <c:v>0</c:v>
                </c:pt>
                <c:pt idx="10">
                  <c:v>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12B-4DE6-B3DE-96611F79F326}"/>
            </c:ext>
          </c:extLst>
        </c:ser>
        <c:ser>
          <c:idx val="14"/>
          <c:order val="14"/>
          <c:tx>
            <c:strRef>
              <c:f>Monthly_All!$B$41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Monthly_All!$C$41:$AV$41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12B-4DE6-B3DE-96611F79F326}"/>
            </c:ext>
          </c:extLst>
        </c:ser>
        <c:ser>
          <c:idx val="15"/>
          <c:order val="15"/>
          <c:tx>
            <c:strRef>
              <c:f>Monthly_All!$B$42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Monthly_All!$C$42:$AV$42</c:f>
              <c:numCache>
                <c:formatCode>General</c:formatCode>
                <c:ptCount val="11"/>
                <c:pt idx="0">
                  <c:v>102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12B-4DE6-B3DE-96611F79F326}"/>
            </c:ext>
          </c:extLst>
        </c:ser>
        <c:ser>
          <c:idx val="16"/>
          <c:order val="16"/>
          <c:tx>
            <c:strRef>
              <c:f>Monthly_All!$B$43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Monthly_All!$C$43:$AV$43</c:f>
              <c:numCache>
                <c:formatCode>General</c:formatCode>
                <c:ptCount val="11"/>
                <c:pt idx="0">
                  <c:v>20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12B-4DE6-B3DE-96611F79F326}"/>
            </c:ext>
          </c:extLst>
        </c:ser>
        <c:ser>
          <c:idx val="17"/>
          <c:order val="17"/>
          <c:tx>
            <c:strRef>
              <c:f>Monthly_All!$B$44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Monthly_All!$C$44:$AV$44</c:f>
              <c:numCache>
                <c:formatCode>General</c:formatCode>
                <c:ptCount val="11"/>
                <c:pt idx="0">
                  <c:v>24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331</c:v>
                </c:pt>
                <c:pt idx="8">
                  <c:v>0</c:v>
                </c:pt>
                <c:pt idx="1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12B-4DE6-B3DE-96611F79F326}"/>
            </c:ext>
          </c:extLst>
        </c:ser>
        <c:ser>
          <c:idx val="18"/>
          <c:order val="18"/>
          <c:tx>
            <c:strRef>
              <c:f>Monthly_All!$B$45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Monthly_All!$C$45:$AV$45</c:f>
              <c:numCache>
                <c:formatCode>General</c:formatCode>
                <c:ptCount val="11"/>
                <c:pt idx="0">
                  <c:v>98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12B-4DE6-B3DE-96611F79F326}"/>
            </c:ext>
          </c:extLst>
        </c:ser>
        <c:ser>
          <c:idx val="19"/>
          <c:order val="19"/>
          <c:tx>
            <c:strRef>
              <c:f>Monthly_All!$B$46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Monthly_All!$C$46:$AV$46</c:f>
              <c:numCache>
                <c:formatCode>General</c:formatCode>
                <c:ptCount val="11"/>
                <c:pt idx="0">
                  <c:v>191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1014</c:v>
                </c:pt>
                <c:pt idx="7">
                  <c:v>331</c:v>
                </c:pt>
                <c:pt idx="8">
                  <c:v>0</c:v>
                </c:pt>
                <c:pt idx="9">
                  <c:v>0</c:v>
                </c:pt>
                <c:pt idx="10">
                  <c:v>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12B-4DE6-B3DE-96611F79F326}"/>
            </c:ext>
          </c:extLst>
        </c:ser>
        <c:ser>
          <c:idx val="20"/>
          <c:order val="20"/>
          <c:tx>
            <c:strRef>
              <c:f>Monthly_All!$B$47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Monthly_All!$C$47:$AV$47</c:f>
              <c:numCache>
                <c:formatCode>General</c:formatCode>
                <c:ptCount val="11"/>
                <c:pt idx="0">
                  <c:v>234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12B-4DE6-B3DE-96611F79F326}"/>
            </c:ext>
          </c:extLst>
        </c:ser>
        <c:ser>
          <c:idx val="21"/>
          <c:order val="21"/>
          <c:tx>
            <c:strRef>
              <c:f>Monthly_All!$B$48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Monthly_All!$C$48:$AV$48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0049880"/>
        <c:axId val="570052504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Monthly_All!$B$28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5.450692370350258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812B-4DE6-B3DE-96611F79F326}"/>
                </c:ext>
              </c:extLst>
            </c:dLbl>
            <c:dLbl>
              <c:idx val="1"/>
              <c:layout>
                <c:manualLayout>
                  <c:x val="-1.3030278431690884E-3"/>
                  <c:y val="-2.131306000543038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12B-4DE6-B3DE-96611F79F326}"/>
                </c:ext>
              </c:extLst>
            </c:dLbl>
            <c:dLbl>
              <c:idx val="3"/>
              <c:layout>
                <c:manualLayout>
                  <c:x val="-2.0618556701030928E-3"/>
                  <c:y val="-2.738772739614444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812B-4DE6-B3DE-96611F79F326}"/>
                </c:ext>
              </c:extLst>
            </c:dLbl>
            <c:dLbl>
              <c:idx val="4"/>
              <c:layout>
                <c:manualLayout>
                  <c:x val="1.736111111111111E-3"/>
                  <c:y val="3.924735270160194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812B-4DE6-B3DE-96611F79F326}"/>
                </c:ext>
              </c:extLst>
            </c:dLbl>
            <c:dLbl>
              <c:idx val="5"/>
              <c:layout>
                <c:manualLayout>
                  <c:x val="0"/>
                  <c:y val="3.138609828943796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812B-4DE6-B3DE-96611F79F326}"/>
                </c:ext>
              </c:extLst>
            </c:dLbl>
            <c:dLbl>
              <c:idx val="7"/>
              <c:layout>
                <c:manualLayout>
                  <c:x val="1.736111111111111E-3"/>
                  <c:y val="3.580993755090958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812B-4DE6-B3DE-96611F79F326}"/>
                </c:ext>
              </c:extLst>
            </c:dLbl>
            <c:dLbl>
              <c:idx val="8"/>
              <c:layout>
                <c:manualLayout>
                  <c:x val="0"/>
                  <c:y val="3.135894651099647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812B-4DE6-B3DE-96611F79F326}"/>
                </c:ext>
              </c:extLst>
            </c:dLbl>
            <c:dLbl>
              <c:idx val="9"/>
              <c:layout>
                <c:manualLayout>
                  <c:x val="3.472222222222222E-3"/>
                  <c:y val="3.1224273689926706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812B-4DE6-B3DE-96611F79F326}"/>
                </c:ext>
              </c:extLst>
            </c:dLbl>
            <c:dLbl>
              <c:idx val="11"/>
              <c:layout>
                <c:manualLayout>
                  <c:x val="-1.736111111111111E-3"/>
                  <c:y val="-2.071544936193322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812B-4DE6-B3DE-96611F79F326}"/>
                </c:ext>
              </c:extLst>
            </c:dLbl>
            <c:dLbl>
              <c:idx val="15"/>
              <c:layout>
                <c:manualLayout>
                  <c:x val="2.0618556701030928E-3"/>
                  <c:y val="2.75606842248167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812B-4DE6-B3DE-96611F79F326}"/>
                </c:ext>
              </c:extLst>
            </c:dLbl>
            <c:dLbl>
              <c:idx val="17"/>
              <c:layout>
                <c:manualLayout>
                  <c:x val="-4.5568633817681522E-3"/>
                  <c:y val="5.48666847678522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12B-4DE6-B3DE-96611F79F326}"/>
                </c:ext>
              </c:extLst>
            </c:dLbl>
            <c:dLbl>
              <c:idx val="18"/>
              <c:layout>
                <c:manualLayout>
                  <c:x val="-1.7361111111112385E-3"/>
                  <c:y val="0.1366673907140917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812B-4DE6-B3DE-96611F79F326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Monthly_All!$C$28:$AV$28</c:f>
              <c:numCache>
                <c:formatCode>General</c:formatCode>
                <c:ptCount val="11"/>
                <c:pt idx="0">
                  <c:v>256896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987</c:v>
                </c:pt>
                <c:pt idx="7">
                  <c:v>3028</c:v>
                </c:pt>
                <c:pt idx="8">
                  <c:v>0</c:v>
                </c:pt>
                <c:pt idx="10">
                  <c:v>256896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8320112"/>
        <c:axId val="748317488"/>
      </c:barChart>
      <c:lineChart>
        <c:grouping val="standard"/>
        <c:varyColors val="0"/>
        <c:ser>
          <c:idx val="0"/>
          <c:order val="0"/>
          <c:tx>
            <c:strRef>
              <c:f>Monthly_All!$B$27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Monthly_All!$C$27:$AV$27</c:f>
              <c:numCache>
                <c:formatCode>General</c:formatCode>
                <c:ptCount val="11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B-4DE6-B3DE-96611F79F326}"/>
            </c:ext>
          </c:extLst>
        </c:ser>
        <c:ser>
          <c:idx val="2"/>
          <c:order val="2"/>
          <c:tx>
            <c:strRef>
              <c:f>Monthly_All!$B$29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Monthly_All!$C$29:$AV$29</c:f>
              <c:numCache>
                <c:formatCode>General</c:formatCode>
                <c:ptCount val="11"/>
                <c:pt idx="0">
                  <c:v>1779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2027</c:v>
                </c:pt>
                <c:pt idx="7">
                  <c:v>2643</c:v>
                </c:pt>
                <c:pt idx="8">
                  <c:v>0</c:v>
                </c:pt>
                <c:pt idx="10">
                  <c:v>1779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049880"/>
        <c:axId val="570052504"/>
      </c:lineChart>
      <c:catAx>
        <c:axId val="570049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52504"/>
        <c:crosses val="autoZero"/>
        <c:auto val="1"/>
        <c:lblAlgn val="ctr"/>
        <c:lblOffset val="100"/>
        <c:noMultiLvlLbl val="0"/>
      </c:catAx>
      <c:valAx>
        <c:axId val="570052504"/>
        <c:scaling>
          <c:orientation val="minMax"/>
          <c:max val="560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49880"/>
        <c:crosses val="autoZero"/>
        <c:crossBetween val="between"/>
        <c:majorUnit val="800"/>
      </c:valAx>
      <c:valAx>
        <c:axId val="748317488"/>
        <c:scaling>
          <c:orientation val="maxMin"/>
          <c:max val="1000000"/>
          <c:min val="0"/>
        </c:scaling>
        <c:delete val="0"/>
        <c:axPos val="r"/>
        <c:numFmt formatCode="#,##0;[Red]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320112"/>
        <c:crosses val="max"/>
        <c:crossBetween val="between"/>
        <c:majorUnit val="100000"/>
        <c:dispUnits>
          <c:builtInUnit val="thousands"/>
          <c:dispUnitsLbl>
            <c:layout>
              <c:manualLayout>
                <c:xMode val="edge"/>
                <c:yMode val="edge"/>
                <c:x val="0.9700712720188327"/>
                <c:y val="0.15779310344827585"/>
              </c:manualLayout>
            </c:layout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74832011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48317488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054497643704482"/>
          <c:y val="0.87887808851479776"/>
          <c:w val="0.7853462131666531"/>
          <c:h val="0.114225359761064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Pmod</a:t>
            </a:r>
            <a:r>
              <a:rPr lang="en-US" baseline="0"/>
              <a:t>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935695538057742E-2"/>
          <c:y val="0.16813793103448277"/>
          <c:w val="0.85262860892388448"/>
          <c:h val="0.57489275047515598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Monthly_Pmod!$B$30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Monthly_Pmod!$C$30:$AV$30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8D-4875-8184-1E9C80F211C6}"/>
            </c:ext>
          </c:extLst>
        </c:ser>
        <c:ser>
          <c:idx val="4"/>
          <c:order val="4"/>
          <c:tx>
            <c:strRef>
              <c:f>Monthly_Pmod!$B$31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Monthly_Pmod!$C$31:$AV$31</c:f>
              <c:numCache>
                <c:formatCode>General</c:formatCode>
                <c:ptCount val="11"/>
                <c:pt idx="0">
                  <c:v>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8D-4875-8184-1E9C80F211C6}"/>
            </c:ext>
          </c:extLst>
        </c:ser>
        <c:ser>
          <c:idx val="5"/>
          <c:order val="5"/>
          <c:tx>
            <c:strRef>
              <c:f>Monthly_Pmod!$B$32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Monthly_Pmod!$C$32:$AV$32</c:f>
              <c:numCache>
                <c:formatCode>General</c:formatCode>
                <c:ptCount val="11"/>
                <c:pt idx="0">
                  <c:v>205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8D-4875-8184-1E9C80F211C6}"/>
            </c:ext>
          </c:extLst>
        </c:ser>
        <c:ser>
          <c:idx val="6"/>
          <c:order val="6"/>
          <c:tx>
            <c:strRef>
              <c:f>Monthly_Pmod!$B$33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Monthly_Pmod!$C$33:$AV$33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8D-4875-8184-1E9C80F211C6}"/>
            </c:ext>
          </c:extLst>
        </c:ser>
        <c:ser>
          <c:idx val="7"/>
          <c:order val="7"/>
          <c:tx>
            <c:strRef>
              <c:f>Monthly_Pmod!$B$34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Monthly_Pmod!$C$34:$AV$34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8D-4875-8184-1E9C80F211C6}"/>
            </c:ext>
          </c:extLst>
        </c:ser>
        <c:ser>
          <c:idx val="8"/>
          <c:order val="8"/>
          <c:tx>
            <c:strRef>
              <c:f>Monthly_Pmod!$B$35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Monthly_Pmod!$C$35:$AV$35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8D-4875-8184-1E9C80F211C6}"/>
            </c:ext>
          </c:extLst>
        </c:ser>
        <c:ser>
          <c:idx val="9"/>
          <c:order val="9"/>
          <c:tx>
            <c:strRef>
              <c:f>Monthly_Pmod!$B$36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Monthly_Pmod!$C$36:$AV$36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28D-4875-8184-1E9C80F211C6}"/>
            </c:ext>
          </c:extLst>
        </c:ser>
        <c:ser>
          <c:idx val="10"/>
          <c:order val="10"/>
          <c:tx>
            <c:strRef>
              <c:f>Monthly_Pmod!$B$37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Monthly_Pmod!$C$37:$AV$37</c:f>
              <c:numCache>
                <c:formatCode>General</c:formatCode>
                <c:ptCount val="11"/>
                <c:pt idx="0">
                  <c:v>409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8D-4875-8184-1E9C80F211C6}"/>
            </c:ext>
          </c:extLst>
        </c:ser>
        <c:ser>
          <c:idx val="11"/>
          <c:order val="11"/>
          <c:tx>
            <c:strRef>
              <c:f>Monthly_Pmod!$B$38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Monthly_Pmod!$C$38:$AV$38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28D-4875-8184-1E9C80F211C6}"/>
            </c:ext>
          </c:extLst>
        </c:ser>
        <c:ser>
          <c:idx val="12"/>
          <c:order val="12"/>
          <c:tx>
            <c:strRef>
              <c:f>Monthly_Pmod!$B$39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Monthly_Pmod!$C$39:$AV$39</c:f>
              <c:numCache>
                <c:formatCode>General</c:formatCode>
                <c:ptCount val="11"/>
                <c:pt idx="0">
                  <c:v>205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28D-4875-8184-1E9C80F211C6}"/>
            </c:ext>
          </c:extLst>
        </c:ser>
        <c:ser>
          <c:idx val="13"/>
          <c:order val="13"/>
          <c:tx>
            <c:strRef>
              <c:f>Monthly_Pmod!$B$40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Monthly_Pmod!$C$40:$AV$40</c:f>
              <c:numCache>
                <c:formatCode>General</c:formatCode>
                <c:ptCount val="11"/>
                <c:pt idx="0">
                  <c:v>205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28D-4875-8184-1E9C80F211C6}"/>
            </c:ext>
          </c:extLst>
        </c:ser>
        <c:ser>
          <c:idx val="14"/>
          <c:order val="14"/>
          <c:tx>
            <c:strRef>
              <c:f>Monthly_Pmod!$B$41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Monthly_Pmod!$C$41:$AV$41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28D-4875-8184-1E9C80F211C6}"/>
            </c:ext>
          </c:extLst>
        </c:ser>
        <c:ser>
          <c:idx val="15"/>
          <c:order val="15"/>
          <c:tx>
            <c:strRef>
              <c:f>Monthly_Pmod!$B$42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Monthly_Pmod!$C$42:$AV$42</c:f>
              <c:numCache>
                <c:formatCode>General</c:formatCode>
                <c:ptCount val="11"/>
                <c:pt idx="0">
                  <c:v>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28D-4875-8184-1E9C80F211C6}"/>
            </c:ext>
          </c:extLst>
        </c:ser>
        <c:ser>
          <c:idx val="16"/>
          <c:order val="16"/>
          <c:tx>
            <c:strRef>
              <c:f>Monthly_Pmod!$B$43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Monthly_Pmod!$C$43:$AV$43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28D-4875-8184-1E9C80F211C6}"/>
            </c:ext>
          </c:extLst>
        </c:ser>
        <c:ser>
          <c:idx val="17"/>
          <c:order val="17"/>
          <c:tx>
            <c:strRef>
              <c:f>Monthly_Pmod!$B$44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Monthly_Pmod!$C$44:$AV$44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28D-4875-8184-1E9C80F211C6}"/>
            </c:ext>
          </c:extLst>
        </c:ser>
        <c:ser>
          <c:idx val="18"/>
          <c:order val="18"/>
          <c:tx>
            <c:strRef>
              <c:f>Monthly_Pmod!$B$45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Monthly_Pmod!$C$45:$AV$45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28D-4875-8184-1E9C80F211C6}"/>
            </c:ext>
          </c:extLst>
        </c:ser>
        <c:ser>
          <c:idx val="19"/>
          <c:order val="19"/>
          <c:tx>
            <c:strRef>
              <c:f>Monthly_Pmod!$B$46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Monthly_Pmod!$C$46:$AV$46</c:f>
              <c:numCache>
                <c:formatCode>General</c:formatCode>
                <c:ptCount val="11"/>
                <c:pt idx="0">
                  <c:v>137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28D-4875-8184-1E9C80F211C6}"/>
            </c:ext>
          </c:extLst>
        </c:ser>
        <c:ser>
          <c:idx val="20"/>
          <c:order val="20"/>
          <c:tx>
            <c:strRef>
              <c:f>Monthly_Pmod!$B$47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Monthly_Pmod!$C$47:$AV$47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28D-4875-8184-1E9C80F211C6}"/>
            </c:ext>
          </c:extLst>
        </c:ser>
        <c:ser>
          <c:idx val="21"/>
          <c:order val="21"/>
          <c:tx>
            <c:strRef>
              <c:f>Monthly_Pmod!$B$48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Monthly_Pmod!$C$48:$AV$48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1876328"/>
        <c:axId val="521876000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Monthly_Pmod!$B$28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Monthly_Pmod!$C$28:$AV$28</c:f>
              <c:numCache>
                <c:formatCode>General</c:formatCode>
                <c:ptCount val="11"/>
                <c:pt idx="0">
                  <c:v>14673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103</c:v>
                </c:pt>
                <c:pt idx="8">
                  <c:v>0</c:v>
                </c:pt>
                <c:pt idx="10">
                  <c:v>14673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1942256"/>
        <c:axId val="521939304"/>
      </c:barChart>
      <c:lineChart>
        <c:grouping val="standard"/>
        <c:varyColors val="0"/>
        <c:ser>
          <c:idx val="0"/>
          <c:order val="0"/>
          <c:tx>
            <c:strRef>
              <c:f>Monthly_Pmod!$B$27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Monthly_Pmod!$C$27:$AV$27</c:f>
              <c:numCache>
                <c:formatCode>General</c:formatCode>
                <c:ptCount val="11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8D-4875-8184-1E9C80F211C6}"/>
            </c:ext>
          </c:extLst>
        </c:ser>
        <c:ser>
          <c:idx val="2"/>
          <c:order val="2"/>
          <c:tx>
            <c:strRef>
              <c:f>Monthly_Pmod!$B$29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Monthly_Pmod!$C$29:$AV$29</c:f>
              <c:numCache>
                <c:formatCode>General</c:formatCode>
                <c:ptCount val="11"/>
                <c:pt idx="0">
                  <c:v>1295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1295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876328"/>
        <c:axId val="521876000"/>
      </c:lineChart>
      <c:catAx>
        <c:axId val="521876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76000"/>
        <c:crosses val="autoZero"/>
        <c:auto val="1"/>
        <c:lblAlgn val="ctr"/>
        <c:lblOffset val="100"/>
        <c:noMultiLvlLbl val="0"/>
      </c:catAx>
      <c:valAx>
        <c:axId val="521876000"/>
        <c:scaling>
          <c:orientation val="minMax"/>
          <c:max val="560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76328"/>
        <c:crosses val="autoZero"/>
        <c:crossBetween val="between"/>
        <c:majorUnit val="800"/>
        <c:minorUnit val="800"/>
      </c:valAx>
      <c:valAx>
        <c:axId val="521939304"/>
        <c:scaling>
          <c:orientation val="maxMin"/>
          <c:max val="1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942256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52194225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21939304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9936515748031493E-2"/>
          <c:y val="0.87527830572902521"/>
          <c:w val="0.82012696850393696"/>
          <c:h val="0.104032039098560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TVPlant 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936628132837198E-2"/>
          <c:y val="0.1514133265205852"/>
          <c:w val="0.83245697661053075"/>
          <c:h val="0.59732834207746488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Monthly_TVPlant!$B$30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Monthly_TVPlant!$C$30:$AV$30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C5-450B-B15C-758008EB240B}"/>
            </c:ext>
          </c:extLst>
        </c:ser>
        <c:ser>
          <c:idx val="4"/>
          <c:order val="4"/>
          <c:tx>
            <c:strRef>
              <c:f>Monthly_TVPlant!$B$31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Monthly_TVPlant!$C$31:$AV$31</c:f>
              <c:numCache>
                <c:formatCode>General</c:formatCode>
                <c:ptCount val="11"/>
                <c:pt idx="0">
                  <c:v>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C5-450B-B15C-758008EB240B}"/>
            </c:ext>
          </c:extLst>
        </c:ser>
        <c:ser>
          <c:idx val="5"/>
          <c:order val="5"/>
          <c:tx>
            <c:strRef>
              <c:f>Monthly_TVPlant!$B$32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Monthly_TVPlant!$C$32:$AV$32</c:f>
              <c:numCache>
                <c:formatCode>General</c:formatCode>
                <c:ptCount val="11"/>
                <c:pt idx="0">
                  <c:v>90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C5-450B-B15C-758008EB240B}"/>
            </c:ext>
          </c:extLst>
        </c:ser>
        <c:ser>
          <c:idx val="6"/>
          <c:order val="6"/>
          <c:tx>
            <c:strRef>
              <c:f>Monthly_TVPlant!$B$33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Monthly_TVPlant!$C$33:$AV$33</c:f>
              <c:numCache>
                <c:formatCode>General</c:formatCode>
                <c:ptCount val="11"/>
                <c:pt idx="0">
                  <c:v>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C5-450B-B15C-758008EB240B}"/>
            </c:ext>
          </c:extLst>
        </c:ser>
        <c:ser>
          <c:idx val="7"/>
          <c:order val="7"/>
          <c:tx>
            <c:strRef>
              <c:f>Monthly_TVPlant!$B$34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Monthly_TVPlant!$C$34:$AV$34</c:f>
              <c:numCache>
                <c:formatCode>General</c:formatCode>
                <c:ptCount val="11"/>
                <c:pt idx="0">
                  <c:v>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1C5-450B-B15C-758008EB240B}"/>
            </c:ext>
          </c:extLst>
        </c:ser>
        <c:ser>
          <c:idx val="8"/>
          <c:order val="8"/>
          <c:tx>
            <c:strRef>
              <c:f>Monthly_TVPlant!$B$35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Monthly_TVPlant!$C$35:$AV$35</c:f>
              <c:numCache>
                <c:formatCode>General</c:formatCode>
                <c:ptCount val="11"/>
                <c:pt idx="0">
                  <c:v>33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C5-450B-B15C-758008EB240B}"/>
            </c:ext>
          </c:extLst>
        </c:ser>
        <c:ser>
          <c:idx val="9"/>
          <c:order val="9"/>
          <c:tx>
            <c:strRef>
              <c:f>Monthly_TVPlant!$B$36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Monthly_TVPlant!$C$36:$AV$36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1C5-450B-B15C-758008EB240B}"/>
            </c:ext>
          </c:extLst>
        </c:ser>
        <c:ser>
          <c:idx val="10"/>
          <c:order val="10"/>
          <c:tx>
            <c:strRef>
              <c:f>Monthly_TVPlant!$B$37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Monthly_TVPlant!$C$37:$AV$37</c:f>
              <c:numCache>
                <c:formatCode>General</c:formatCode>
                <c:ptCount val="11"/>
                <c:pt idx="0">
                  <c:v>130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1C5-450B-B15C-758008EB240B}"/>
            </c:ext>
          </c:extLst>
        </c:ser>
        <c:ser>
          <c:idx val="11"/>
          <c:order val="11"/>
          <c:tx>
            <c:strRef>
              <c:f>Monthly_TVPlant!$B$38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Monthly_TVPlant!$C$38:$AV$38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1C5-450B-B15C-758008EB240B}"/>
            </c:ext>
          </c:extLst>
        </c:ser>
        <c:ser>
          <c:idx val="12"/>
          <c:order val="12"/>
          <c:tx>
            <c:strRef>
              <c:f>Monthly_TVPlant!$B$39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Monthly_TVPlant!$C$39:$AV$39</c:f>
              <c:numCache>
                <c:formatCode>General</c:formatCode>
                <c:ptCount val="11"/>
                <c:pt idx="0">
                  <c:v>187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1C5-450B-B15C-758008EB240B}"/>
            </c:ext>
          </c:extLst>
        </c:ser>
        <c:ser>
          <c:idx val="13"/>
          <c:order val="13"/>
          <c:tx>
            <c:strRef>
              <c:f>Monthly_TVPlant!$B$40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Monthly_TVPlant!$C$40:$AV$40</c:f>
              <c:numCache>
                <c:formatCode>General</c:formatCode>
                <c:ptCount val="11"/>
                <c:pt idx="0">
                  <c:v>349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1C5-450B-B15C-758008EB240B}"/>
            </c:ext>
          </c:extLst>
        </c:ser>
        <c:ser>
          <c:idx val="14"/>
          <c:order val="14"/>
          <c:tx>
            <c:strRef>
              <c:f>Monthly_TVPlant!$B$41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Monthly_TVPlant!$C$41:$AV$41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1C5-450B-B15C-758008EB240B}"/>
            </c:ext>
          </c:extLst>
        </c:ser>
        <c:ser>
          <c:idx val="15"/>
          <c:order val="15"/>
          <c:tx>
            <c:strRef>
              <c:f>Monthly_TVPlant!$B$42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Monthly_TVPlant!$C$42:$AV$42</c:f>
              <c:numCache>
                <c:formatCode>General</c:formatCode>
                <c:ptCount val="11"/>
                <c:pt idx="0">
                  <c:v>49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1C5-450B-B15C-758008EB240B}"/>
            </c:ext>
          </c:extLst>
        </c:ser>
        <c:ser>
          <c:idx val="16"/>
          <c:order val="16"/>
          <c:tx>
            <c:strRef>
              <c:f>Monthly_TVPlant!$B$43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Monthly_TVPlant!$C$43:$AV$43</c:f>
              <c:numCache>
                <c:formatCode>General</c:formatCode>
                <c:ptCount val="11"/>
                <c:pt idx="0">
                  <c:v>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1C5-450B-B15C-758008EB240B}"/>
            </c:ext>
          </c:extLst>
        </c:ser>
        <c:ser>
          <c:idx val="17"/>
          <c:order val="17"/>
          <c:tx>
            <c:strRef>
              <c:f>Monthly_TVPlant!$B$44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Monthly_TVPlant!$C$44:$AV$44</c:f>
              <c:numCache>
                <c:formatCode>General</c:formatCode>
                <c:ptCount val="11"/>
                <c:pt idx="0">
                  <c:v>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1C5-450B-B15C-758008EB240B}"/>
            </c:ext>
          </c:extLst>
        </c:ser>
        <c:ser>
          <c:idx val="18"/>
          <c:order val="18"/>
          <c:tx>
            <c:strRef>
              <c:f>Monthly_TVPlant!$B$45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Monthly_TVPlant!$C$45:$AV$45</c:f>
              <c:numCache>
                <c:formatCode>General</c:formatCode>
                <c:ptCount val="11"/>
                <c:pt idx="0">
                  <c:v>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1C5-450B-B15C-758008EB240B}"/>
            </c:ext>
          </c:extLst>
        </c:ser>
        <c:ser>
          <c:idx val="19"/>
          <c:order val="19"/>
          <c:tx>
            <c:strRef>
              <c:f>Monthly_TVPlant!$B$46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Monthly_TVPlant!$C$46:$AV$46</c:f>
              <c:numCache>
                <c:formatCode>General</c:formatCode>
                <c:ptCount val="11"/>
                <c:pt idx="0">
                  <c:v>284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1C5-450B-B15C-758008EB240B}"/>
            </c:ext>
          </c:extLst>
        </c:ser>
        <c:ser>
          <c:idx val="20"/>
          <c:order val="20"/>
          <c:tx>
            <c:strRef>
              <c:f>Monthly_TVPlant!$B$47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Monthly_TVPlant!$C$47:$AV$47</c:f>
              <c:numCache>
                <c:formatCode>General</c:formatCode>
                <c:ptCount val="11"/>
                <c:pt idx="0">
                  <c:v>438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1C5-450B-B15C-758008EB240B}"/>
            </c:ext>
          </c:extLst>
        </c:ser>
        <c:ser>
          <c:idx val="21"/>
          <c:order val="21"/>
          <c:tx>
            <c:strRef>
              <c:f>Monthly_TVPlant!$B$48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Monthly_TVPlant!$C$48:$AV$48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40192"/>
        <c:axId val="689337896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Monthly_TVPlant!$B$28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Monthly_TVPlant!$C$28:$AV$28</c:f>
              <c:numCache>
                <c:formatCode>General</c:formatCode>
                <c:ptCount val="11"/>
                <c:pt idx="0">
                  <c:v>123324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123324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80864"/>
        <c:axId val="689381848"/>
      </c:barChart>
      <c:lineChart>
        <c:grouping val="standard"/>
        <c:varyColors val="0"/>
        <c:ser>
          <c:idx val="0"/>
          <c:order val="0"/>
          <c:tx>
            <c:strRef>
              <c:f>Monthly_TVPlant!$B$27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Monthly_TVPlant!$C$27:$AV$27</c:f>
              <c:numCache>
                <c:formatCode>General</c:formatCode>
                <c:ptCount val="11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C5-450B-B15C-758008EB240B}"/>
            </c:ext>
          </c:extLst>
        </c:ser>
        <c:ser>
          <c:idx val="2"/>
          <c:order val="2"/>
          <c:tx>
            <c:strRef>
              <c:f>Monthly_TVPlant!$B$29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Monthly_TVPlant!$C$29:$AV$29</c:f>
              <c:numCache>
                <c:formatCode>General</c:formatCode>
                <c:ptCount val="11"/>
                <c:pt idx="0">
                  <c:v>1695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1695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340192"/>
        <c:axId val="689337896"/>
      </c:lineChart>
      <c:catAx>
        <c:axId val="689340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37896"/>
        <c:crosses val="autoZero"/>
        <c:auto val="1"/>
        <c:lblAlgn val="ctr"/>
        <c:lblOffset val="100"/>
        <c:noMultiLvlLbl val="0"/>
      </c:catAx>
      <c:valAx>
        <c:axId val="689337896"/>
        <c:scaling>
          <c:orientation val="minMax"/>
          <c:max val="56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40192"/>
        <c:crosses val="autoZero"/>
        <c:crossBetween val="between"/>
        <c:majorUnit val="800"/>
      </c:valAx>
      <c:valAx>
        <c:axId val="689381848"/>
        <c:scaling>
          <c:orientation val="maxMin"/>
          <c:max val="10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80864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68938086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89381848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569241988752348"/>
          <c:y val="0.88881095363430296"/>
          <c:w val="0.77218987763123248"/>
          <c:h val="0.10471285618089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TVPlant</a:t>
            </a:r>
            <a:r>
              <a:rPr lang="en-US" baseline="0"/>
              <a:t> Pmod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053074144576379E-2"/>
          <c:y val="0.12550856578139186"/>
          <c:w val="0.83082243000723321"/>
          <c:h val="0.62262831844192035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Monthly_TVPlantPmod!$B$30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Monthly_TVPlantPmod!$C$30:$AV$30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1D-41CF-8D9D-1055A15EA74A}"/>
            </c:ext>
          </c:extLst>
        </c:ser>
        <c:ser>
          <c:idx val="4"/>
          <c:order val="4"/>
          <c:tx>
            <c:strRef>
              <c:f>Monthly_TVPlantPmod!$B$31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Monthly_TVPlantPmod!$C$31:$AV$31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1D-41CF-8D9D-1055A15EA74A}"/>
            </c:ext>
          </c:extLst>
        </c:ser>
        <c:ser>
          <c:idx val="5"/>
          <c:order val="5"/>
          <c:tx>
            <c:strRef>
              <c:f>Monthly_TVPlantPmod!$B$32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Monthly_TVPlantPmod!$C$32:$AV$32</c:f>
              <c:numCache>
                <c:formatCode>General</c:formatCode>
                <c:ptCount val="11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B1D-41CF-8D9D-1055A15EA74A}"/>
            </c:ext>
          </c:extLst>
        </c:ser>
        <c:ser>
          <c:idx val="6"/>
          <c:order val="6"/>
          <c:tx>
            <c:strRef>
              <c:f>Monthly_TVPlantPmod!$B$33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Monthly_TVPlantPmod!$C$33:$AV$33</c:f>
              <c:numCache>
                <c:formatCode>General</c:formatCode>
                <c:ptCount val="11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1D-41CF-8D9D-1055A15EA74A}"/>
            </c:ext>
          </c:extLst>
        </c:ser>
        <c:ser>
          <c:idx val="7"/>
          <c:order val="7"/>
          <c:tx>
            <c:strRef>
              <c:f>Monthly_TVPlantPmod!$B$34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Monthly_TVPlantPmod!$C$34:$AV$34</c:f>
              <c:numCache>
                <c:formatCode>General</c:formatCode>
                <c:ptCount val="11"/>
                <c:pt idx="0">
                  <c:v>171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755</c:v>
                </c:pt>
                <c:pt idx="8">
                  <c:v>0</c:v>
                </c:pt>
                <c:pt idx="10">
                  <c:v>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B1D-41CF-8D9D-1055A15EA74A}"/>
            </c:ext>
          </c:extLst>
        </c:ser>
        <c:ser>
          <c:idx val="8"/>
          <c:order val="8"/>
          <c:tx>
            <c:strRef>
              <c:f>Monthly_TVPlantPmod!$B$35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Monthly_TVPlantPmod!$C$35:$AV$35</c:f>
              <c:numCache>
                <c:formatCode>General</c:formatCode>
                <c:ptCount val="11"/>
                <c:pt idx="0">
                  <c:v>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B1D-41CF-8D9D-1055A15EA74A}"/>
            </c:ext>
          </c:extLst>
        </c:ser>
        <c:ser>
          <c:idx val="9"/>
          <c:order val="9"/>
          <c:tx>
            <c:strRef>
              <c:f>Monthly_TVPlantPmod!$B$36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Monthly_TVPlantPmod!$C$36:$AV$36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B1D-41CF-8D9D-1055A15EA74A}"/>
            </c:ext>
          </c:extLst>
        </c:ser>
        <c:ser>
          <c:idx val="10"/>
          <c:order val="10"/>
          <c:tx>
            <c:strRef>
              <c:f>Monthly_TVPlantPmod!$B$37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Monthly_TVPlantPmod!$C$37:$AV$37</c:f>
              <c:numCache>
                <c:formatCode>General</c:formatCode>
                <c:ptCount val="11"/>
                <c:pt idx="0">
                  <c:v>171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3832</c:v>
                </c:pt>
                <c:pt idx="7">
                  <c:v>0</c:v>
                </c:pt>
                <c:pt idx="8">
                  <c:v>0</c:v>
                </c:pt>
                <c:pt idx="10">
                  <c:v>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1D-41CF-8D9D-1055A15EA74A}"/>
            </c:ext>
          </c:extLst>
        </c:ser>
        <c:ser>
          <c:idx val="11"/>
          <c:order val="11"/>
          <c:tx>
            <c:strRef>
              <c:f>Monthly_TVPlantPmod!$B$38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Monthly_TVPlantPmod!$C$38:$AV$38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B1D-41CF-8D9D-1055A15EA74A}"/>
            </c:ext>
          </c:extLst>
        </c:ser>
        <c:ser>
          <c:idx val="12"/>
          <c:order val="12"/>
          <c:tx>
            <c:strRef>
              <c:f>Monthly_TVPlantPmod!$B$39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Monthly_TVPlantPmod!$C$39:$AV$39</c:f>
              <c:numCache>
                <c:formatCode>General</c:formatCode>
                <c:ptCount val="11"/>
                <c:pt idx="0">
                  <c:v>342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755</c:v>
                </c:pt>
                <c:pt idx="8">
                  <c:v>0</c:v>
                </c:pt>
                <c:pt idx="10">
                  <c:v>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B1D-41CF-8D9D-1055A15EA74A}"/>
            </c:ext>
          </c:extLst>
        </c:ser>
        <c:ser>
          <c:idx val="13"/>
          <c:order val="13"/>
          <c:tx>
            <c:strRef>
              <c:f>Monthly_TVPlantPmod!$B$40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Monthly_TVPlantPmod!$C$40:$AV$40</c:f>
              <c:numCache>
                <c:formatCode>General</c:formatCode>
                <c:ptCount val="11"/>
                <c:pt idx="0">
                  <c:v>582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755</c:v>
                </c:pt>
                <c:pt idx="8">
                  <c:v>0</c:v>
                </c:pt>
                <c:pt idx="10">
                  <c:v>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B1D-41CF-8D9D-1055A15EA74A}"/>
            </c:ext>
          </c:extLst>
        </c:ser>
        <c:ser>
          <c:idx val="14"/>
          <c:order val="14"/>
          <c:tx>
            <c:strRef>
              <c:f>Monthly_TVPlantPmod!$B$41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Monthly_TVPlantPmod!$C$41:$AV$41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B1D-41CF-8D9D-1055A15EA74A}"/>
            </c:ext>
          </c:extLst>
        </c:ser>
        <c:ser>
          <c:idx val="15"/>
          <c:order val="15"/>
          <c:tx>
            <c:strRef>
              <c:f>Monthly_TVPlantPmod!$B$42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Monthly_TVPlantPmod!$C$42:$AV$42</c:f>
              <c:numCache>
                <c:formatCode>General</c:formatCode>
                <c:ptCount val="11"/>
                <c:pt idx="0">
                  <c:v>171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B1D-41CF-8D9D-1055A15EA74A}"/>
            </c:ext>
          </c:extLst>
        </c:ser>
        <c:ser>
          <c:idx val="16"/>
          <c:order val="16"/>
          <c:tx>
            <c:strRef>
              <c:f>Monthly_TVPlantPmod!$B$43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Monthly_TVPlantPmod!$C$43:$AV$43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B1D-41CF-8D9D-1055A15EA74A}"/>
            </c:ext>
          </c:extLst>
        </c:ser>
        <c:ser>
          <c:idx val="17"/>
          <c:order val="17"/>
          <c:tx>
            <c:strRef>
              <c:f>Monthly_TVPlantPmod!$B$44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Monthly_TVPlantPmod!$C$44:$AV$44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B1D-41CF-8D9D-1055A15EA74A}"/>
            </c:ext>
          </c:extLst>
        </c:ser>
        <c:ser>
          <c:idx val="18"/>
          <c:order val="18"/>
          <c:tx>
            <c:strRef>
              <c:f>Monthly_TVPlantPmod!$B$45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Monthly_TVPlantPmod!$C$45:$AV$45</c:f>
              <c:numCache>
                <c:formatCode>General</c:formatCode>
                <c:ptCount val="11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B1D-41CF-8D9D-1055A15EA74A}"/>
            </c:ext>
          </c:extLst>
        </c:ser>
        <c:ser>
          <c:idx val="19"/>
          <c:order val="19"/>
          <c:tx>
            <c:strRef>
              <c:f>Monthly_TVPlantPmod!$B$46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Monthly_TVPlantPmod!$C$46:$AV$46</c:f>
              <c:numCache>
                <c:formatCode>General</c:formatCode>
                <c:ptCount val="11"/>
                <c:pt idx="0">
                  <c:v>137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755</c:v>
                </c:pt>
                <c:pt idx="8">
                  <c:v>0</c:v>
                </c:pt>
                <c:pt idx="9">
                  <c:v>0</c:v>
                </c:pt>
                <c:pt idx="10">
                  <c:v>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B1D-41CF-8D9D-1055A15EA74A}"/>
            </c:ext>
          </c:extLst>
        </c:ser>
        <c:ser>
          <c:idx val="20"/>
          <c:order val="20"/>
          <c:tx>
            <c:strRef>
              <c:f>Monthly_TVPlantPmod!$B$47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Monthly_TVPlantPmod!$C$47:$AV$47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B1D-41CF-8D9D-1055A15EA74A}"/>
            </c:ext>
          </c:extLst>
        </c:ser>
        <c:ser>
          <c:idx val="21"/>
          <c:order val="21"/>
          <c:tx>
            <c:strRef>
              <c:f>Monthly_TVPlantPmod!$B$48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Monthly_TVPlantPmod!$C$48:$AV$48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438264"/>
        <c:axId val="689444824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Monthly_TVPlantPmod!$B$28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Monthly_TVPlantPmod!$C$28:$AV$28</c:f>
              <c:numCache>
                <c:formatCode>General</c:formatCode>
                <c:ptCount val="11"/>
                <c:pt idx="0">
                  <c:v>29253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261</c:v>
                </c:pt>
                <c:pt idx="7">
                  <c:v>1326</c:v>
                </c:pt>
                <c:pt idx="8">
                  <c:v>0</c:v>
                </c:pt>
                <c:pt idx="10">
                  <c:v>29253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68072"/>
        <c:axId val="689367744"/>
      </c:barChart>
      <c:lineChart>
        <c:grouping val="standard"/>
        <c:varyColors val="0"/>
        <c:ser>
          <c:idx val="0"/>
          <c:order val="0"/>
          <c:tx>
            <c:strRef>
              <c:f>Monthly_TVPlantPmod!$B$27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Monthly_TVPlantPmod!$C$27:$AV$27</c:f>
              <c:numCache>
                <c:formatCode>General</c:formatCode>
                <c:ptCount val="11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1D-41CF-8D9D-1055A15EA74A}"/>
            </c:ext>
          </c:extLst>
        </c:ser>
        <c:ser>
          <c:idx val="2"/>
          <c:order val="2"/>
          <c:tx>
            <c:strRef>
              <c:f>Monthly_TVPlantPmod!$B$29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Monthly_TVPlantPmod!$C$29:$AV$29</c:f>
              <c:numCache>
                <c:formatCode>General</c:formatCode>
                <c:ptCount val="11"/>
                <c:pt idx="0">
                  <c:v>1744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3832</c:v>
                </c:pt>
                <c:pt idx="7">
                  <c:v>3017</c:v>
                </c:pt>
                <c:pt idx="8">
                  <c:v>0</c:v>
                </c:pt>
                <c:pt idx="10">
                  <c:v>1744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438264"/>
        <c:axId val="689444824"/>
      </c:lineChart>
      <c:catAx>
        <c:axId val="689438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44824"/>
        <c:crosses val="autoZero"/>
        <c:auto val="1"/>
        <c:lblAlgn val="ctr"/>
        <c:lblOffset val="100"/>
        <c:noMultiLvlLbl val="0"/>
      </c:catAx>
      <c:valAx>
        <c:axId val="689444824"/>
        <c:scaling>
          <c:orientation val="minMax"/>
          <c:max val="16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38264"/>
        <c:crosses val="autoZero"/>
        <c:crossBetween val="between"/>
        <c:majorUnit val="2000"/>
      </c:valAx>
      <c:valAx>
        <c:axId val="689367744"/>
        <c:scaling>
          <c:orientation val="maxMin"/>
          <c:max val="1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68072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68936807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89367744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378982915605802E-2"/>
          <c:y val="0.88342704686492479"/>
          <c:w val="0.86924187092701577"/>
          <c:h val="9.71443825806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Pmod</a:t>
            </a:r>
            <a:r>
              <a:rPr lang="en-US" baseline="0"/>
              <a:t> Classify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9062650272137399E-2"/>
          <c:y val="0.16919999999999999"/>
          <c:w val="0.82968001874837505"/>
          <c:h val="0.58864619422572173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Monthly_PmodClassify!$B$16</c:f>
              <c:strCache>
                <c:ptCount val="1"/>
                <c:pt idx="0">
                  <c:v>CTTI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Monthly_PmodClassify!$C$16:$AV$16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D3-469D-B036-6A964BB43AF3}"/>
            </c:ext>
          </c:extLst>
        </c:ser>
        <c:ser>
          <c:idx val="4"/>
          <c:order val="4"/>
          <c:tx>
            <c:strRef>
              <c:f>Monthly_PmodClassify!$B$17</c:f>
              <c:strCache>
                <c:ptCount val="1"/>
                <c:pt idx="0">
                  <c:v>INZ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Monthly_PmodClassify!$C$17:$AV$17</c:f>
              <c:numCache>
                <c:formatCode>General</c:formatCode>
                <c:ptCount val="11"/>
                <c:pt idx="0">
                  <c:v>87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D3-469D-B036-6A964BB43AF3}"/>
            </c:ext>
          </c:extLst>
        </c:ser>
        <c:ser>
          <c:idx val="5"/>
          <c:order val="5"/>
          <c:tx>
            <c:strRef>
              <c:f>Monthly_PmodClassify!$B$18</c:f>
              <c:strCache>
                <c:ptCount val="1"/>
                <c:pt idx="0">
                  <c:v>FBC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Monthly_PmodClassify!$C$18:$AV$18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D3-469D-B036-6A964BB43AF3}"/>
            </c:ext>
          </c:extLst>
        </c:ser>
        <c:ser>
          <c:idx val="6"/>
          <c:order val="6"/>
          <c:tx>
            <c:strRef>
              <c:f>Monthly_PmodClassify!$B$19</c:f>
              <c:strCache>
                <c:ptCount val="1"/>
                <c:pt idx="0">
                  <c:v>FSK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Monthly_PmodClassify!$C$19:$AV$19</c:f>
              <c:numCache>
                <c:formatCode>General</c:formatCode>
                <c:ptCount val="11"/>
                <c:pt idx="0">
                  <c:v>366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D3-469D-B036-6A964BB43AF3}"/>
            </c:ext>
          </c:extLst>
        </c:ser>
        <c:ser>
          <c:idx val="7"/>
          <c:order val="7"/>
          <c:tx>
            <c:strRef>
              <c:f>Monthly_PmodClassify!$B$20</c:f>
              <c:strCache>
                <c:ptCount val="1"/>
                <c:pt idx="0">
                  <c:v>SOEM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Monthly_PmodClassify!$C$20:$AV$20</c:f>
              <c:numCache>
                <c:formatCode>General</c:formatCode>
                <c:ptCount val="11"/>
                <c:pt idx="0">
                  <c:v>244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D3-469D-B036-6A964BB4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2199695"/>
        <c:axId val="572200111"/>
      </c:barChart>
      <c:barChart>
        <c:barDir val="col"/>
        <c:grouping val="clustered"/>
        <c:varyColors val="0"/>
        <c:ser>
          <c:idx val="1"/>
          <c:order val="1"/>
          <c:tx>
            <c:strRef>
              <c:f>Monthly_PmodClassify!$B$14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Monthly_PmodClassify!$C$12:$AV$12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Monthly_PmodClassify!$C$14:$AV$14</c:f>
              <c:numCache>
                <c:formatCode>General</c:formatCode>
                <c:ptCount val="11"/>
                <c:pt idx="0">
                  <c:v>57507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682</c:v>
                </c:pt>
                <c:pt idx="8">
                  <c:v>0</c:v>
                </c:pt>
                <c:pt idx="10">
                  <c:v>57507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D3-469D-B036-6A964BB4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2986287"/>
        <c:axId val="582997519"/>
      </c:barChart>
      <c:lineChart>
        <c:grouping val="standard"/>
        <c:varyColors val="0"/>
        <c:ser>
          <c:idx val="0"/>
          <c:order val="0"/>
          <c:tx>
            <c:strRef>
              <c:f>Monthly_PmodClassify!$B$13</c:f>
              <c:strCache>
                <c:ptCount val="1"/>
                <c:pt idx="0">
                  <c:v>Target</c:v>
                </c:pt>
              </c:strCache>
            </c:strRef>
          </c:tx>
          <c:spPr>
            <a:ln w="19050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Monthly_PmodClassify!$C$12:$AV$12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Monthly_PmodClassify!$C$13:$AV$13</c:f>
              <c:numCache>
                <c:formatCode>General</c:formatCode>
                <c:ptCount val="11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7D3-469D-B036-6A964BB43AF3}"/>
            </c:ext>
          </c:extLst>
        </c:ser>
        <c:ser>
          <c:idx val="2"/>
          <c:order val="2"/>
          <c:tx>
            <c:strRef>
              <c:f>Monthly_PmodClassify!$B$15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Monthly_PmodClassify!$C$12:$AV$12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Monthly_PmodClassify!$C$15:$AV$15</c:f>
              <c:numCache>
                <c:formatCode>General</c:formatCode>
                <c:ptCount val="11"/>
                <c:pt idx="0">
                  <c:v>696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7D3-469D-B036-6A964BB4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199695"/>
        <c:axId val="572200111"/>
      </c:lineChart>
      <c:catAx>
        <c:axId val="5721996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200111"/>
        <c:crosses val="autoZero"/>
        <c:auto val="1"/>
        <c:lblAlgn val="ctr"/>
        <c:lblOffset val="100"/>
        <c:noMultiLvlLbl val="0"/>
      </c:catAx>
      <c:valAx>
        <c:axId val="572200111"/>
        <c:scaling>
          <c:orientation val="minMax"/>
          <c:max val="56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199695"/>
        <c:crosses val="autoZero"/>
        <c:crossBetween val="between"/>
        <c:majorUnit val="800"/>
      </c:valAx>
      <c:valAx>
        <c:axId val="582997519"/>
        <c:scaling>
          <c:orientation val="maxMin"/>
          <c:max val="1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86287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582986287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82997519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[pmod_smld_viz_v0.10.xlsm]PivotTable!PivotTable2</c:name>
    <c:fmtId val="2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055640006008697E-2"/>
          <c:y val="0.19445666229028941"/>
          <c:w val="0.94690628621239359"/>
          <c:h val="0.627921122139247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PivotTable!$B$4:$B$5</c:f>
              <c:strCache>
                <c:ptCount val="1"/>
                <c:pt idx="0">
                  <c:v>75AR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PivotTable!$A$6:$A$34</c:f>
              <c:strCache>
                <c:ptCount val="28"/>
                <c:pt idx="0">
                  <c:v>2118</c:v>
                </c:pt>
                <c:pt idx="1">
                  <c:v>2121</c:v>
                </c:pt>
                <c:pt idx="2">
                  <c:v>2123</c:v>
                </c:pt>
                <c:pt idx="3">
                  <c:v>2124</c:v>
                </c:pt>
                <c:pt idx="4">
                  <c:v>2125</c:v>
                </c:pt>
                <c:pt idx="5">
                  <c:v>2126</c:v>
                </c:pt>
                <c:pt idx="6">
                  <c:v>2127</c:v>
                </c:pt>
                <c:pt idx="7">
                  <c:v>2128</c:v>
                </c:pt>
                <c:pt idx="8">
                  <c:v>2129</c:v>
                </c:pt>
                <c:pt idx="9">
                  <c:v>2130</c:v>
                </c:pt>
                <c:pt idx="10">
                  <c:v>2131</c:v>
                </c:pt>
                <c:pt idx="11">
                  <c:v>2132</c:v>
                </c:pt>
                <c:pt idx="12">
                  <c:v>2133</c:v>
                </c:pt>
                <c:pt idx="13">
                  <c:v>2134</c:v>
                </c:pt>
                <c:pt idx="14">
                  <c:v>2135</c:v>
                </c:pt>
                <c:pt idx="15">
                  <c:v>na</c:v>
                </c:pt>
                <c:pt idx="16">
                  <c:v>2137</c:v>
                </c:pt>
                <c:pt idx="17">
                  <c:v>2138</c:v>
                </c:pt>
                <c:pt idx="18">
                  <c:v>2139</c:v>
                </c:pt>
                <c:pt idx="19">
                  <c:v>2140</c:v>
                </c:pt>
                <c:pt idx="20">
                  <c:v>2141</c:v>
                </c:pt>
                <c:pt idx="21">
                  <c:v>2142</c:v>
                </c:pt>
                <c:pt idx="22">
                  <c:v>2143</c:v>
                </c:pt>
                <c:pt idx="23">
                  <c:v>2144</c:v>
                </c:pt>
                <c:pt idx="24">
                  <c:v>2145</c:v>
                </c:pt>
                <c:pt idx="25">
                  <c:v>2146</c:v>
                </c:pt>
                <c:pt idx="26">
                  <c:v>2147</c:v>
                </c:pt>
                <c:pt idx="27">
                  <c:v>2151</c:v>
                </c:pt>
              </c:strCache>
            </c:strRef>
          </c:cat>
          <c:val>
            <c:numRef>
              <c:f>PivotTable!$B$6:$B$34</c:f>
              <c:numCache>
                <c:formatCode>General</c:formatCode>
                <c:ptCount val="28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5</c:v>
                </c:pt>
                <c:pt idx="15">
                  <c:v>1</c:v>
                </c:pt>
                <c:pt idx="16">
                  <c:v>6</c:v>
                </c:pt>
                <c:pt idx="17">
                  <c:v>7</c:v>
                </c:pt>
                <c:pt idx="18">
                  <c:v>7</c:v>
                </c:pt>
                <c:pt idx="19">
                  <c:v>2</c:v>
                </c:pt>
                <c:pt idx="20">
                  <c:v>9</c:v>
                </c:pt>
                <c:pt idx="21">
                  <c:v>4</c:v>
                </c:pt>
                <c:pt idx="22">
                  <c:v>3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90-418F-9046-28B4A6452228}"/>
            </c:ext>
          </c:extLst>
        </c:ser>
        <c:ser>
          <c:idx val="1"/>
          <c:order val="1"/>
          <c:tx>
            <c:strRef>
              <c:f>PivotTable!$C$4:$C$5</c:f>
              <c:strCache>
                <c:ptCount val="1"/>
                <c:pt idx="0">
                  <c:v>75AX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PivotTable!$A$6:$A$34</c:f>
              <c:strCache>
                <c:ptCount val="28"/>
                <c:pt idx="0">
                  <c:v>2118</c:v>
                </c:pt>
                <c:pt idx="1">
                  <c:v>2121</c:v>
                </c:pt>
                <c:pt idx="2">
                  <c:v>2123</c:v>
                </c:pt>
                <c:pt idx="3">
                  <c:v>2124</c:v>
                </c:pt>
                <c:pt idx="4">
                  <c:v>2125</c:v>
                </c:pt>
                <c:pt idx="5">
                  <c:v>2126</c:v>
                </c:pt>
                <c:pt idx="6">
                  <c:v>2127</c:v>
                </c:pt>
                <c:pt idx="7">
                  <c:v>2128</c:v>
                </c:pt>
                <c:pt idx="8">
                  <c:v>2129</c:v>
                </c:pt>
                <c:pt idx="9">
                  <c:v>2130</c:v>
                </c:pt>
                <c:pt idx="10">
                  <c:v>2131</c:v>
                </c:pt>
                <c:pt idx="11">
                  <c:v>2132</c:v>
                </c:pt>
                <c:pt idx="12">
                  <c:v>2133</c:v>
                </c:pt>
                <c:pt idx="13">
                  <c:v>2134</c:v>
                </c:pt>
                <c:pt idx="14">
                  <c:v>2135</c:v>
                </c:pt>
                <c:pt idx="15">
                  <c:v>na</c:v>
                </c:pt>
                <c:pt idx="16">
                  <c:v>2137</c:v>
                </c:pt>
                <c:pt idx="17">
                  <c:v>2138</c:v>
                </c:pt>
                <c:pt idx="18">
                  <c:v>2139</c:v>
                </c:pt>
                <c:pt idx="19">
                  <c:v>2140</c:v>
                </c:pt>
                <c:pt idx="20">
                  <c:v>2141</c:v>
                </c:pt>
                <c:pt idx="21">
                  <c:v>2142</c:v>
                </c:pt>
                <c:pt idx="22">
                  <c:v>2143</c:v>
                </c:pt>
                <c:pt idx="23">
                  <c:v>2144</c:v>
                </c:pt>
                <c:pt idx="24">
                  <c:v>2145</c:v>
                </c:pt>
                <c:pt idx="25">
                  <c:v>2146</c:v>
                </c:pt>
                <c:pt idx="26">
                  <c:v>2147</c:v>
                </c:pt>
                <c:pt idx="27">
                  <c:v>2151</c:v>
                </c:pt>
              </c:strCache>
            </c:strRef>
          </c:cat>
          <c:val>
            <c:numRef>
              <c:f>PivotTable!$C$6:$C$34</c:f>
              <c:numCache>
                <c:formatCode>General</c:formatCode>
                <c:ptCount val="28"/>
                <c:pt idx="1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11">
                  <c:v>1</c:v>
                </c:pt>
                <c:pt idx="12">
                  <c:v>6</c:v>
                </c:pt>
                <c:pt idx="14">
                  <c:v>1</c:v>
                </c:pt>
                <c:pt idx="16">
                  <c:v>3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3</c:v>
                </c:pt>
                <c:pt idx="23">
                  <c:v>1</c:v>
                </c:pt>
                <c:pt idx="25">
                  <c:v>1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90-418F-9046-28B4A645222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678573848"/>
        <c:axId val="678579096"/>
      </c:barChart>
      <c:catAx>
        <c:axId val="678573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579096"/>
        <c:crosses val="autoZero"/>
        <c:auto val="1"/>
        <c:lblAlgn val="ctr"/>
        <c:lblOffset val="100"/>
        <c:noMultiLvlLbl val="0"/>
      </c:catAx>
      <c:valAx>
        <c:axId val="67857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57384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0895489972864"/>
          <c:y val="1.6124525019759844E-2"/>
          <c:w val="0.1253731372751942"/>
          <c:h val="0.168979146617457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11</xdr:col>
      <xdr:colOff>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D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3</xdr:row>
      <xdr:rowOff>0</xdr:rowOff>
    </xdr:from>
    <xdr:to>
      <xdr:col>22</xdr:col>
      <xdr:colOff>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27</xdr:row>
      <xdr:rowOff>0</xdr:rowOff>
    </xdr:from>
    <xdr:to>
      <xdr:col>11</xdr:col>
      <xdr:colOff>0</xdr:colOff>
      <xdr:row>47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2987</xdr:colOff>
      <xdr:row>27</xdr:row>
      <xdr:rowOff>5336</xdr:rowOff>
    </xdr:from>
    <xdr:to>
      <xdr:col>22</xdr:col>
      <xdr:colOff>0</xdr:colOff>
      <xdr:row>47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51</xdr:row>
      <xdr:rowOff>0</xdr:rowOff>
    </xdr:from>
    <xdr:to>
      <xdr:col>11</xdr:col>
      <xdr:colOff>0</xdr:colOff>
      <xdr:row>71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607784</xdr:colOff>
      <xdr:row>51</xdr:row>
      <xdr:rowOff>0</xdr:rowOff>
    </xdr:from>
    <xdr:to>
      <xdr:col>22</xdr:col>
      <xdr:colOff>0</xdr:colOff>
      <xdr:row>71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0.00347</cdr:x>
      <cdr:y>0.0431</cdr:y>
    </cdr:from>
    <cdr:to>
      <cdr:x>0.10309</cdr:x>
      <cdr:y>0.10517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AE0C983-AD50-4D9F-A8B5-4F2D7A13505A}"/>
            </a:ext>
          </a:extLst>
        </cdr:cNvPr>
        <cdr:cNvSpPr txBox="1"/>
      </cdr:nvSpPr>
      <cdr:spPr>
        <a:xfrm xmlns:a="http://schemas.openxmlformats.org/drawingml/2006/main">
          <a:off x="21373" y="158737"/>
          <a:ext cx="613610" cy="228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0.87629</cdr:x>
      <cdr:y>0.0431</cdr:y>
    </cdr:from>
    <cdr:to>
      <cdr:x>0.99512</cdr:x>
      <cdr:y>0.1069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63AC35C0-7871-44F3-B62B-0D062B0E08A0}"/>
            </a:ext>
          </a:extLst>
        </cdr:cNvPr>
        <cdr:cNvSpPr txBox="1"/>
      </cdr:nvSpPr>
      <cdr:spPr>
        <a:xfrm xmlns:a="http://schemas.openxmlformats.org/drawingml/2006/main">
          <a:off x="5397500" y="158737"/>
          <a:ext cx="731942" cy="2349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  <cdr:relSizeAnchor xmlns:cdr="http://schemas.openxmlformats.org/drawingml/2006/chartDrawing">
    <cdr:from>
      <cdr:x>0.26907</cdr:x>
      <cdr:y>0.00172</cdr:y>
    </cdr:from>
    <cdr:to>
      <cdr:x>0.68144</cdr:x>
      <cdr:y>0.08793</cdr:y>
    </cdr:to>
    <cdr:sp macro="" textlink="Report!$A$1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DB9112C5-8835-4B93-A4C1-DFE23D9C55CD}"/>
            </a:ext>
          </a:extLst>
        </cdr:cNvPr>
        <cdr:cNvSpPr txBox="1"/>
      </cdr:nvSpPr>
      <cdr:spPr>
        <a:xfrm xmlns:a="http://schemas.openxmlformats.org/drawingml/2006/main">
          <a:off x="1657350" y="6350"/>
          <a:ext cx="25400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4CB9A31A-9ECF-4C87-9B19-D8BDF6E5CB7D}" type="TxLink">
            <a:rPr lang="en-US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+mj-lt"/>
              <a:cs typeface="Calibri"/>
            </a:rPr>
            <a:pPr algn="ctr"/>
            <a:t>FY21 WW Pmod SMLD</a:t>
          </a:fld>
          <a:endParaRPr lang="en-US" sz="160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0.04655</cdr:y>
    </cdr:from>
    <cdr:to>
      <cdr:x>0.10066</cdr:x>
      <cdr:y>0.10862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A103752-6897-40A4-B49F-1F1B567473A6}"/>
            </a:ext>
          </a:extLst>
        </cdr:cNvPr>
        <cdr:cNvSpPr txBox="1"/>
      </cdr:nvSpPr>
      <cdr:spPr>
        <a:xfrm xmlns:a="http://schemas.openxmlformats.org/drawingml/2006/main">
          <a:off x="0" y="171450"/>
          <a:ext cx="613610" cy="228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0.86875</cdr:x>
      <cdr:y>0.04655</cdr:y>
    </cdr:from>
    <cdr:to>
      <cdr:x>0.98882</cdr:x>
      <cdr:y>0.11035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995C7EC5-59F5-4390-AC80-02BA30F9BA45}"/>
            </a:ext>
          </a:extLst>
        </cdr:cNvPr>
        <cdr:cNvSpPr txBox="1"/>
      </cdr:nvSpPr>
      <cdr:spPr>
        <a:xfrm xmlns:a="http://schemas.openxmlformats.org/drawingml/2006/main">
          <a:off x="5295900" y="171450"/>
          <a:ext cx="731934" cy="2349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0.00338</cdr:x>
      <cdr:y>0.03771</cdr:y>
    </cdr:from>
    <cdr:to>
      <cdr:x>0.103</cdr:x>
      <cdr:y>0.09683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BA82592-317A-457D-B548-0F7FC0E8F71E}"/>
            </a:ext>
          </a:extLst>
        </cdr:cNvPr>
        <cdr:cNvSpPr txBox="1"/>
      </cdr:nvSpPr>
      <cdr:spPr>
        <a:xfrm xmlns:a="http://schemas.openxmlformats.org/drawingml/2006/main">
          <a:off x="20918" y="147918"/>
          <a:ext cx="616214" cy="231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0.8762</cdr:x>
      <cdr:y>0.03771</cdr:y>
    </cdr:from>
    <cdr:to>
      <cdr:x>0.99503</cdr:x>
      <cdr:y>0.09848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40D8AD08-3948-4BC4-84FC-E9BCBADBF927}"/>
            </a:ext>
          </a:extLst>
        </cdr:cNvPr>
        <cdr:cNvSpPr txBox="1"/>
      </cdr:nvSpPr>
      <cdr:spPr>
        <a:xfrm xmlns:a="http://schemas.openxmlformats.org/drawingml/2006/main">
          <a:off x="5419875" y="147918"/>
          <a:ext cx="735040" cy="2383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0.00829</cdr:x>
      <cdr:y>0.03581</cdr:y>
    </cdr:from>
    <cdr:to>
      <cdr:x>0.10888</cdr:x>
      <cdr:y>0.09493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13BB378-BB08-4BE3-8F1D-95892B252841}"/>
            </a:ext>
          </a:extLst>
        </cdr:cNvPr>
        <cdr:cNvSpPr txBox="1"/>
      </cdr:nvSpPr>
      <cdr:spPr>
        <a:xfrm xmlns:a="http://schemas.openxmlformats.org/drawingml/2006/main">
          <a:off x="50800" y="140452"/>
          <a:ext cx="616214" cy="231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0.88001</cdr:x>
      <cdr:y>0.03581</cdr:y>
    </cdr:from>
    <cdr:to>
      <cdr:x>1</cdr:x>
      <cdr:y>0.09657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56238BE-553F-4560-9A7A-7B5A6C77C4FC}"/>
            </a:ext>
          </a:extLst>
        </cdr:cNvPr>
        <cdr:cNvSpPr txBox="1"/>
      </cdr:nvSpPr>
      <cdr:spPr>
        <a:xfrm xmlns:a="http://schemas.openxmlformats.org/drawingml/2006/main">
          <a:off x="5390843" y="140452"/>
          <a:ext cx="735040" cy="2383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0.00282</cdr:x>
      <cdr:y>0.07216</cdr:y>
    </cdr:from>
    <cdr:to>
      <cdr:x>0.10244</cdr:x>
      <cdr:y>0.13128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BA619E5-7B2D-4CDC-878C-255AA610CFBC}"/>
            </a:ext>
          </a:extLst>
        </cdr:cNvPr>
        <cdr:cNvSpPr txBox="1"/>
      </cdr:nvSpPr>
      <cdr:spPr>
        <a:xfrm xmlns:a="http://schemas.openxmlformats.org/drawingml/2006/main">
          <a:off x="17182" y="274917"/>
          <a:ext cx="606167" cy="2252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0.87564</cdr:x>
      <cdr:y>0.07216</cdr:y>
    </cdr:from>
    <cdr:to>
      <cdr:x>0.99447</cdr:x>
      <cdr:y>0.13293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3B5A7B9-CAB4-4937-B5CD-B12781E95597}"/>
            </a:ext>
          </a:extLst>
        </cdr:cNvPr>
        <cdr:cNvSpPr txBox="1"/>
      </cdr:nvSpPr>
      <cdr:spPr>
        <a:xfrm xmlns:a="http://schemas.openxmlformats.org/drawingml/2006/main">
          <a:off x="5328112" y="274917"/>
          <a:ext cx="723056" cy="23153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ang, Liang (SSV)" refreshedDate="44568.80339872685" createdVersion="6" refreshedVersion="6" minRefreshableVersion="3" recordCount="1067" xr:uid="{ECC88358-A9EB-41A8-A6E5-66AF20D56A9B}">
  <cacheSource type="worksheet">
    <worksheetSource ref="A1:U5756" sheet="defects"/>
  </cacheSource>
  <cacheFields count="21">
    <cacheField name="No" numFmtId="0">
      <sharedItems containsString="0" containsBlank="1" containsNumber="1" containsInteger="1" minValue="1" maxValue="301"/>
    </cacheField>
    <cacheField name="ConfirmationWC" numFmtId="0">
      <sharedItems containsBlank="1" containsMixedTypes="1" containsNumber="1" containsInteger="1" minValue="2002" maxValue="2152" count="86">
        <n v="2118"/>
        <n v="2120"/>
        <n v="2123"/>
        <n v="2127"/>
        <n v="2129"/>
        <n v="2130"/>
        <n v="2133"/>
        <s v="na"/>
        <n v="2126"/>
        <n v="2116"/>
        <n v="2132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7"/>
        <n v="2119"/>
        <n v="2121"/>
        <n v="2122"/>
        <n v="2124"/>
        <n v="2125"/>
        <n v="2128"/>
        <n v="2134"/>
        <n v="2135"/>
        <n v="2136"/>
        <n v="2137"/>
        <n v="2009"/>
        <n v="2015"/>
        <n v="2019"/>
        <n v="2023"/>
        <n v="2034"/>
        <n v="2040"/>
        <n v="2049"/>
        <n v="2052"/>
        <n v="2021"/>
        <n v="2024"/>
        <n v="2025"/>
        <n v="2026"/>
        <n v="2028"/>
        <n v="2029"/>
        <n v="2031"/>
        <n v="2032"/>
        <n v="2033"/>
        <n v="2035"/>
        <n v="2036"/>
        <n v="2037"/>
        <n v="2038"/>
        <n v="2039"/>
        <n v="2041"/>
        <n v="2043"/>
        <n v="2115"/>
        <n v="2022"/>
        <n v="2030"/>
        <n v="2051"/>
        <n v="2042"/>
        <n v="2131"/>
        <n v="2044"/>
        <n v="2114"/>
        <n v="2002"/>
        <n v="2007"/>
        <n v="2020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m/>
      </sharedItems>
    </cacheField>
    <cacheField name="OccurredWC" numFmtId="0">
      <sharedItems containsBlank="1" containsMixedTypes="1" containsNumber="1" containsInteger="1" minValue="2002" maxValue="2152"/>
    </cacheField>
    <cacheField name="source" numFmtId="0">
      <sharedItems containsBlank="1"/>
    </cacheField>
    <cacheField name="OccurredDate" numFmtId="0">
      <sharedItems containsDate="1" containsBlank="1" containsMixedTypes="1" minDate="2020-01-08T00:00:00" maxDate="2022-01-01T00:00:00"/>
    </cacheField>
    <cacheField name="ConfirmDate" numFmtId="0">
      <sharedItems containsDate="1" containsBlank="1" containsMixedTypes="1" minDate="2020-01-08T00:00:00" maxDate="2022-01-01T00:00:00"/>
    </cacheField>
    <cacheField name="TVPlant" numFmtId="0">
      <sharedItems containsBlank="1"/>
    </cacheField>
    <cacheField name="LineName" numFmtId="0">
      <sharedItems containsBlank="1" containsMixedTypes="1" containsNumber="1" containsInteger="1" minValue="1" maxValue="18"/>
    </cacheField>
    <cacheField name="Position" numFmtId="0">
      <sharedItems containsBlank="1"/>
    </cacheField>
    <cacheField name="SetName" numFmtId="0">
      <sharedItems containsBlank="1" count="22">
        <s v="75APH"/>
        <s v="na"/>
        <s v="75AR"/>
        <s v="75AQ"/>
        <s v="85AQ"/>
        <s v="75AG"/>
        <s v="85NB"/>
        <s v="49SBL2"/>
        <s v="55NH"/>
        <s v="75NH"/>
        <s v="75NB"/>
        <s v="65NH"/>
        <s v="75NX"/>
        <s v="85SB2H"/>
        <s v="85NXB"/>
        <s v="85NX"/>
        <s v="75NXB"/>
        <s v="75AX"/>
        <s v="85AG"/>
        <s v="85AX"/>
        <s v="65AG"/>
        <m/>
      </sharedItems>
    </cacheField>
    <cacheField name="ModelName" numFmtId="0">
      <sharedItems containsBlank="1"/>
    </cacheField>
    <cacheField name="ModuleID" numFmtId="0">
      <sharedItems containsBlank="1"/>
    </cacheField>
    <cacheField name="WeekCode" numFmtId="0">
      <sharedItems containsBlank="1" containsMixedTypes="1" containsNumber="1" containsInteger="1" minValue="1947" maxValue="2147"/>
    </cacheField>
    <cacheField name="SonyPN" numFmtId="0">
      <sharedItems containsBlank="1"/>
    </cacheField>
    <cacheField name="SITE" numFmtId="0">
      <sharedItems containsBlank="1" containsMixedTypes="1" containsNumber="1" containsInteger="1" minValue="0" maxValue="0"/>
    </cacheField>
    <cacheField name="CellModel" numFmtId="0">
      <sharedItems containsBlank="1"/>
    </cacheField>
    <cacheField name="CellID" numFmtId="0">
      <sharedItems containsBlank="1"/>
    </cacheField>
    <cacheField name="NoticedSymptom" numFmtId="0">
      <sharedItems containsBlank="1"/>
    </cacheField>
    <cacheField name="OSSorFFAjudgement" numFmtId="0">
      <sharedItems containsBlank="1"/>
    </cacheField>
    <cacheField name="Classify" numFmtId="0">
      <sharedItems containsBlank="1" count="17">
        <s v="Pol"/>
        <s v="O-Cell A/D"/>
        <s v="Line"/>
        <s v="LED"/>
        <s v="-"/>
        <s v="F/M"/>
        <s v="Uni"/>
        <s v="P-App"/>
        <s v="Bezel"/>
        <s v="T-CON A/D"/>
        <s v="BLU"/>
        <s v="App"/>
        <s v="Dot"/>
        <s v="AL-Frame"/>
        <s v="Others"/>
        <s v="F/G"/>
        <m/>
      </sharedItems>
    </cacheField>
    <cacheField name="FY_mod" numFmtId="0">
      <sharedItems containsBlank="1" count="4">
        <s v="FY21"/>
        <m/>
        <s v="FY20"/>
        <s v="FY1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67">
  <r>
    <n v="1"/>
    <x v="0"/>
    <n v="2118"/>
    <s v="na"/>
    <d v="2021-05-06T00:00:00"/>
    <d v="2021-05-06T00:00:00"/>
    <s v="CTTI"/>
    <s v="Line"/>
    <s v="na"/>
    <x v="0"/>
    <s v="YSBM075CNO02"/>
    <s v="A5027725A$0003059_2112"/>
    <n v="2112"/>
    <s v="A-5027-725-A"/>
    <s v="SSVE"/>
    <s v="na"/>
    <s v="na"/>
    <s v="Pol particle "/>
    <s v="Pol particle "/>
    <x v="0"/>
    <x v="0"/>
  </r>
  <r>
    <n v="2"/>
    <x v="1"/>
    <n v="2120"/>
    <s v="na"/>
    <d v="2021-05-19T00:00:00"/>
    <d v="2021-05-19T00:00:00"/>
    <s v="CTTI"/>
    <s v="Line"/>
    <s v="na"/>
    <x v="0"/>
    <s v="YSBM075CNO02"/>
    <s v="A5027725A$0000318_2102"/>
    <n v="2102"/>
    <s v="A-5027-725-A"/>
    <s v="SSVE"/>
    <s v="na"/>
    <s v="na"/>
    <s v="No display (O-Cell)"/>
    <s v="No display (O-Cell)"/>
    <x v="1"/>
    <x v="0"/>
  </r>
  <r>
    <n v="3"/>
    <x v="2"/>
    <n v="2123"/>
    <s v="na"/>
    <d v="2021-06-11T00:00:00"/>
    <d v="2021-06-11T00:00:00"/>
    <s v="CTTI"/>
    <s v="Line"/>
    <s v="na"/>
    <x v="0"/>
    <s v="YSBM075CNO02"/>
    <s v="A5027725A$0008179_2115"/>
    <n v="2115"/>
    <s v="A-5027-725-A"/>
    <s v="SSVE"/>
    <s v="na"/>
    <s v="na"/>
    <s v="No display (O-Cell)"/>
    <s v="No display (O-Cell)"/>
    <x v="1"/>
    <x v="0"/>
  </r>
  <r>
    <n v="4"/>
    <x v="2"/>
    <n v="2123"/>
    <s v="na"/>
    <d v="2021-06-11T00:00:00"/>
    <d v="2021-06-11T00:00:00"/>
    <s v="CTTI"/>
    <s v="Line"/>
    <s v="na"/>
    <x v="0"/>
    <s v="YSBM075CNO02"/>
    <s v="A5027725A$0002870_2115"/>
    <n v="2115"/>
    <s v="A-5027-725-A"/>
    <s v="SSVE"/>
    <s v="na"/>
    <s v="na"/>
    <s v="Line etc "/>
    <s v="Line etc "/>
    <x v="2"/>
    <x v="0"/>
  </r>
  <r>
    <n v="5"/>
    <x v="3"/>
    <n v="2127"/>
    <s v="na"/>
    <d v="2021-07-09T00:00:00"/>
    <d v="2021-07-09T00:00:00"/>
    <s v="CTTI"/>
    <s v="Line"/>
    <s v="na"/>
    <x v="0"/>
    <s v="YSBM075CNO02"/>
    <s v="A5027725A$0010980_2117"/>
    <n v="2117"/>
    <s v="A-5027-725-A"/>
    <s v="SSVE"/>
    <s v="na"/>
    <s v="na"/>
    <s v="LED etc"/>
    <s v="LED etc"/>
    <x v="3"/>
    <x v="0"/>
  </r>
  <r>
    <n v="6"/>
    <x v="4"/>
    <n v="2129"/>
    <s v="na"/>
    <d v="2021-07-19T00:00:00"/>
    <d v="2021-07-19T00:00:00"/>
    <s v="CTTI"/>
    <s v="Line"/>
    <s v="na"/>
    <x v="0"/>
    <s v="YSBM075CNO02"/>
    <s v="A5027725A$0016093_2123"/>
    <n v="2123"/>
    <s v="A-5027-725-A"/>
    <s v="SSVE"/>
    <s v="na"/>
    <s v="na"/>
    <s v="No display (O-Cell)"/>
    <s v="No display (O-Cell)"/>
    <x v="1"/>
    <x v="0"/>
  </r>
  <r>
    <n v="7"/>
    <x v="5"/>
    <n v="2130"/>
    <s v="na"/>
    <d v="2021-07-29T00:00:00"/>
    <d v="2021-07-29T00:00:00"/>
    <s v="CTTI"/>
    <s v="Line"/>
    <s v="na"/>
    <x v="0"/>
    <s v="YSBM075CNO02"/>
    <s v="A5027725A$0016065_2123"/>
    <n v="2123"/>
    <s v="A-5027-725-A"/>
    <s v="SSVE"/>
    <s v="na"/>
    <s v="na"/>
    <s v="No display (O-Cell)"/>
    <s v="No display (O-Cell)"/>
    <x v="1"/>
    <x v="0"/>
  </r>
  <r>
    <n v="8"/>
    <x v="6"/>
    <n v="2133"/>
    <s v="na"/>
    <d v="2021-08-19T00:00:00"/>
    <d v="2021-08-19T00:00:00"/>
    <s v="CTTI"/>
    <s v="Line"/>
    <s v="na"/>
    <x v="0"/>
    <s v="YSBM075CNO02"/>
    <s v="A5027725A$0018723_2125"/>
    <n v="2125"/>
    <s v="A-5027-725-A"/>
    <s v="SSVE"/>
    <s v="na"/>
    <s v="na"/>
    <s v="Pol particle "/>
    <s v="Pol particle "/>
    <x v="0"/>
    <x v="0"/>
  </r>
  <r>
    <n v="9"/>
    <x v="6"/>
    <n v="2133"/>
    <s v="na"/>
    <d v="2021-08-19T00:00:00"/>
    <d v="2021-08-19T00:00:00"/>
    <s v="CTTI"/>
    <s v="Line"/>
    <s v="na"/>
    <x v="0"/>
    <s v="YSBM075CNO02"/>
    <s v="A5027725A$0020024_2126"/>
    <n v="2126"/>
    <s v="A-5027-725-A"/>
    <s v="SSVE"/>
    <s v="na"/>
    <s v="na"/>
    <s v="Pol particle "/>
    <s v="Pol particle "/>
    <x v="0"/>
    <x v="0"/>
  </r>
  <r>
    <n v="10"/>
    <x v="6"/>
    <n v="2133"/>
    <s v="na"/>
    <d v="2021-08-19T00:00:00"/>
    <d v="2021-08-19T00:00:00"/>
    <s v="CTTI"/>
    <s v="Line"/>
    <s v="na"/>
    <x v="0"/>
    <s v="YSBM075CNO02"/>
    <s v="A5027725A$0021900_2127"/>
    <n v="2127"/>
    <s v="A-5027-725-A"/>
    <s v="SSVE"/>
    <s v="na"/>
    <s v="na"/>
    <s v="Pol stain"/>
    <s v="Pol stain"/>
    <x v="0"/>
    <x v="0"/>
  </r>
  <r>
    <n v="11"/>
    <x v="7"/>
    <s v="na"/>
    <s v="na"/>
    <s v="NaT"/>
    <s v="NaT"/>
    <s v="na"/>
    <s v="na"/>
    <s v="na"/>
    <x v="1"/>
    <s v="na"/>
    <s v="na"/>
    <s v="na"/>
    <s v="na"/>
    <s v="na"/>
    <s v="na"/>
    <s v="na"/>
    <s v="na"/>
    <s v="na"/>
    <x v="4"/>
    <x v="1"/>
  </r>
  <r>
    <n v="1"/>
    <x v="8"/>
    <n v="2126"/>
    <s v="na"/>
    <d v="2021-07-01T00:00:00"/>
    <d v="2021-07-01T00:00:00"/>
    <s v="CTTI"/>
    <s v="Line"/>
    <s v="na"/>
    <x v="2"/>
    <s v="YDBM075DCS02"/>
    <s v="A5027707A$0006021_2120-YDBM075DCS02"/>
    <n v="2120"/>
    <s v="A-5027-707-**"/>
    <s v="SSVE"/>
    <s v="na"/>
    <s v="na"/>
    <s v="Pol particle "/>
    <s v="Pol particle "/>
    <x v="0"/>
    <x v="0"/>
  </r>
  <r>
    <n v="1"/>
    <x v="9"/>
    <n v="2116"/>
    <s v="na"/>
    <d v="2021-04-20T00:00:00"/>
    <d v="2021-04-20T00:00:00"/>
    <s v="FBC"/>
    <s v="SBI"/>
    <s v="SBI"/>
    <x v="3"/>
    <s v="HDBO075DDU02"/>
    <s v="A5028174A$0000089_2108"/>
    <n v="2108"/>
    <s v="A-5028-174-**"/>
    <s v="SSVE"/>
    <s v="na"/>
    <s v="na"/>
    <s v="Raf Contaminate"/>
    <s v="O-Cell A/D"/>
    <x v="1"/>
    <x v="0"/>
  </r>
  <r>
    <n v="2"/>
    <x v="9"/>
    <n v="2116"/>
    <s v="na"/>
    <d v="2021-04-20T00:00:00"/>
    <d v="2021-04-20T00:00:00"/>
    <s v="FBC"/>
    <s v="SBI"/>
    <s v="SBI"/>
    <x v="3"/>
    <s v="HDBO075DDU02"/>
    <s v="A5028174A$0000390_2111"/>
    <n v="2111"/>
    <s v="A-5028-174-**"/>
    <s v="SSVE"/>
    <s v="na"/>
    <s v="na"/>
    <s v="Raf Contaminate"/>
    <s v="O-Cell A/D"/>
    <x v="1"/>
    <x v="0"/>
  </r>
  <r>
    <n v="3"/>
    <x v="9"/>
    <n v="2116"/>
    <s v="na"/>
    <d v="2021-04-20T00:00:00"/>
    <d v="2021-04-20T00:00:00"/>
    <s v="FBC"/>
    <s v="SBI"/>
    <s v="SBI"/>
    <x v="3"/>
    <s v="HDBO075DDU02"/>
    <s v="A5028174A$0000389_2111"/>
    <n v="2111"/>
    <s v="A-5028-174-**"/>
    <s v="SSVE"/>
    <s v="na"/>
    <s v="na"/>
    <s v="Raf Contaminate"/>
    <s v="O-Cell A/D"/>
    <x v="1"/>
    <x v="0"/>
  </r>
  <r>
    <n v="4"/>
    <x v="9"/>
    <n v="2116"/>
    <s v="na"/>
    <d v="2021-04-20T00:00:00"/>
    <d v="2021-04-20T00:00:00"/>
    <s v="FBC"/>
    <s v="SBI"/>
    <s v="SBI"/>
    <x v="3"/>
    <s v="HDBO075DDU02"/>
    <s v="A5028174A$0000388_2111"/>
    <n v="2111"/>
    <s v="A-5028-174-**"/>
    <s v="SSVE"/>
    <s v="na"/>
    <s v="na"/>
    <s v="Raf Contaminate"/>
    <s v="O-Cell A/D"/>
    <x v="1"/>
    <x v="0"/>
  </r>
  <r>
    <n v="5"/>
    <x v="9"/>
    <n v="2116"/>
    <s v="na"/>
    <d v="2021-04-20T00:00:00"/>
    <d v="2021-04-20T00:00:00"/>
    <s v="FBC"/>
    <s v="SBI"/>
    <s v="SBI"/>
    <x v="3"/>
    <s v="HDBO075DDU02"/>
    <s v="A5028174A$0000387_2111"/>
    <n v="2111"/>
    <s v="A-5028-174-**"/>
    <s v="SSVE"/>
    <s v="na"/>
    <s v="na"/>
    <s v="Raf Contaminate"/>
    <s v="O-Cell A/D"/>
    <x v="1"/>
    <x v="0"/>
  </r>
  <r>
    <n v="6"/>
    <x v="9"/>
    <n v="2116"/>
    <s v="na"/>
    <d v="2021-04-20T00:00:00"/>
    <d v="2021-04-20T00:00:00"/>
    <s v="FBC"/>
    <s v="SBI"/>
    <s v="SBI"/>
    <x v="3"/>
    <s v="HDBO075DDU02"/>
    <s v="A5028174A$0000386_2111"/>
    <n v="2111"/>
    <s v="A-5028-174-**"/>
    <s v="SSVE"/>
    <s v="na"/>
    <s v="na"/>
    <s v="Raf Contaminate"/>
    <s v="O-Cell A/D"/>
    <x v="1"/>
    <x v="0"/>
  </r>
  <r>
    <n v="7"/>
    <x v="9"/>
    <n v="2116"/>
    <s v="na"/>
    <d v="2021-04-20T00:00:00"/>
    <d v="2021-04-20T00:00:00"/>
    <s v="FBC"/>
    <s v="SBI"/>
    <s v="SBI"/>
    <x v="3"/>
    <s v="HDBO075DDU02"/>
    <s v="A5028174A$0000385_2111"/>
    <n v="2111"/>
    <s v="A-5028-174-**"/>
    <s v="SSVE"/>
    <s v="na"/>
    <s v="na"/>
    <s v="Raf Contaminate"/>
    <s v="O-Cell A/D"/>
    <x v="1"/>
    <x v="0"/>
  </r>
  <r>
    <n v="8"/>
    <x v="9"/>
    <n v="2116"/>
    <s v="na"/>
    <d v="2021-04-20T00:00:00"/>
    <d v="2021-04-20T00:00:00"/>
    <s v="FBC"/>
    <s v="SBI"/>
    <s v="SBI"/>
    <x v="3"/>
    <s v="HDBO075DDU02"/>
    <s v="A5028174A$0000384_2111"/>
    <n v="2111"/>
    <s v="A-5028-174-**"/>
    <s v="SSVE"/>
    <s v="na"/>
    <s v="na"/>
    <s v="Raf Contaminate"/>
    <s v="O-Cell A/D"/>
    <x v="1"/>
    <x v="0"/>
  </r>
  <r>
    <n v="9"/>
    <x v="9"/>
    <n v="2116"/>
    <s v="na"/>
    <d v="2021-04-20T00:00:00"/>
    <d v="2021-04-20T00:00:00"/>
    <s v="FBC"/>
    <s v="SBI"/>
    <s v="SBI"/>
    <x v="3"/>
    <s v="HDBO075DDU02"/>
    <s v="A5028174A$0000383_2111"/>
    <n v="2111"/>
    <s v="A-5028-174-**"/>
    <s v="SSVE"/>
    <s v="na"/>
    <s v="na"/>
    <s v="Raf Contaminate"/>
    <s v="O-Cell A/D"/>
    <x v="1"/>
    <x v="0"/>
  </r>
  <r>
    <n v="10"/>
    <x v="9"/>
    <n v="2116"/>
    <s v="na"/>
    <d v="2021-04-20T00:00:00"/>
    <d v="2021-04-20T00:00:00"/>
    <s v="FBC"/>
    <s v="SBI"/>
    <s v="SBI"/>
    <x v="3"/>
    <s v="HDBO075DDU02"/>
    <s v="A5028174A$0000382_2111"/>
    <n v="2111"/>
    <s v="A-5028-174-**"/>
    <s v="SSVE"/>
    <s v="na"/>
    <s v="na"/>
    <s v="Raf Contaminate"/>
    <s v="O-Cell A/D"/>
    <x v="1"/>
    <x v="0"/>
  </r>
  <r>
    <n v="11"/>
    <x v="9"/>
    <n v="2116"/>
    <s v="na"/>
    <d v="2021-04-20T00:00:00"/>
    <d v="2021-04-20T00:00:00"/>
    <s v="FBC"/>
    <s v="SBI"/>
    <s v="SBI"/>
    <x v="3"/>
    <s v="HDBO075DDU02"/>
    <s v="A5028174A$0000381_2111"/>
    <n v="2111"/>
    <s v="A-5028-174-**"/>
    <s v="SSVE"/>
    <s v="na"/>
    <s v="na"/>
    <s v="Raf Contaminate"/>
    <s v="O-Cell A/D"/>
    <x v="1"/>
    <x v="0"/>
  </r>
  <r>
    <n v="12"/>
    <x v="9"/>
    <n v="2116"/>
    <s v="na"/>
    <d v="2021-04-20T00:00:00"/>
    <d v="2021-04-20T00:00:00"/>
    <s v="FBC"/>
    <s v="SBI"/>
    <s v="SBI"/>
    <x v="3"/>
    <s v="HDBO075DDU02"/>
    <s v="A5028174A$0000380_2111"/>
    <n v="2111"/>
    <s v="A-5028-174-**"/>
    <s v="SSVE"/>
    <s v="na"/>
    <s v="na"/>
    <s v="Raf Contaminate"/>
    <s v="O-Cell A/D"/>
    <x v="1"/>
    <x v="0"/>
  </r>
  <r>
    <n v="13"/>
    <x v="9"/>
    <n v="2116"/>
    <s v="na"/>
    <d v="2021-04-20T00:00:00"/>
    <d v="2021-04-20T00:00:00"/>
    <s v="FBC"/>
    <s v="SBI"/>
    <s v="SBI"/>
    <x v="3"/>
    <s v="HDBO075DDU02"/>
    <s v="A5028174A$0000379_2111"/>
    <n v="2111"/>
    <s v="A-5028-174-**"/>
    <s v="SSVE"/>
    <s v="na"/>
    <s v="na"/>
    <s v="Raf Contaminate"/>
    <s v="O-Cell A/D"/>
    <x v="1"/>
    <x v="0"/>
  </r>
  <r>
    <n v="14"/>
    <x v="9"/>
    <n v="2116"/>
    <s v="na"/>
    <d v="2021-04-20T00:00:00"/>
    <d v="2021-04-20T00:00:00"/>
    <s v="FBC"/>
    <s v="SBI"/>
    <s v="SBI"/>
    <x v="3"/>
    <s v="HDBO075DDU02"/>
    <s v="A5028174A$0000043_2108"/>
    <n v="2108"/>
    <s v="A-5028-174-**"/>
    <s v="SSVE"/>
    <s v="na"/>
    <s v="na"/>
    <s v="Raf Contaminate"/>
    <s v="O-Cell A/D"/>
    <x v="1"/>
    <x v="0"/>
  </r>
  <r>
    <n v="15"/>
    <x v="9"/>
    <n v="2116"/>
    <s v="na"/>
    <d v="2021-04-20T00:00:00"/>
    <d v="2021-04-20T00:00:00"/>
    <s v="FBC"/>
    <s v="SBI"/>
    <s v="SBI"/>
    <x v="3"/>
    <s v="HDBO075DDU02"/>
    <s v="A5028174A$0000044_2108"/>
    <n v="2108"/>
    <s v="A-5028-174-**"/>
    <s v="SSVE"/>
    <s v="na"/>
    <s v="na"/>
    <s v="Raf Contaminate"/>
    <s v="O-Cell A/D"/>
    <x v="1"/>
    <x v="0"/>
  </r>
  <r>
    <n v="16"/>
    <x v="9"/>
    <n v="2116"/>
    <s v="na"/>
    <d v="2021-04-20T00:00:00"/>
    <d v="2021-04-20T00:00:00"/>
    <s v="FBC"/>
    <s v="SBI"/>
    <s v="SBI"/>
    <x v="3"/>
    <s v="HDBO075DDU02"/>
    <s v="A5028174A$0000342_2111"/>
    <n v="2111"/>
    <s v="A-5028-174-**"/>
    <s v="SSVE"/>
    <s v="na"/>
    <s v="na"/>
    <s v="Raf Contaminate"/>
    <s v="O-Cell A/D"/>
    <x v="1"/>
    <x v="0"/>
  </r>
  <r>
    <n v="17"/>
    <x v="9"/>
    <n v="2116"/>
    <s v="na"/>
    <d v="2021-04-20T00:00:00"/>
    <d v="2021-04-20T00:00:00"/>
    <s v="FBC"/>
    <s v="SBI"/>
    <s v="SBI"/>
    <x v="3"/>
    <s v="HDBO075DDU02"/>
    <s v="A5028174A$0000341_2111"/>
    <n v="2111"/>
    <s v="A-5028-174-**"/>
    <s v="SSVE"/>
    <s v="na"/>
    <s v="na"/>
    <s v="Raf Contaminate"/>
    <s v="O-Cell A/D"/>
    <x v="1"/>
    <x v="0"/>
  </r>
  <r>
    <n v="18"/>
    <x v="9"/>
    <n v="2116"/>
    <s v="na"/>
    <d v="2021-04-20T00:00:00"/>
    <d v="2021-04-20T00:00:00"/>
    <s v="FBC"/>
    <s v="SBI"/>
    <s v="SBI"/>
    <x v="3"/>
    <s v="HDBO075DDU02"/>
    <s v="A5028174A$0000340_2111"/>
    <n v="2111"/>
    <s v="A-5028-174-**"/>
    <s v="SSVE"/>
    <s v="na"/>
    <s v="na"/>
    <s v="Raf Contaminate"/>
    <s v="O-Cell A/D"/>
    <x v="1"/>
    <x v="0"/>
  </r>
  <r>
    <n v="19"/>
    <x v="9"/>
    <n v="2116"/>
    <s v="na"/>
    <d v="2021-04-20T00:00:00"/>
    <d v="2021-04-20T00:00:00"/>
    <s v="FBC"/>
    <s v="SBI"/>
    <s v="SBI"/>
    <x v="3"/>
    <s v="HDBO075DDU02"/>
    <s v="A5028174A$0000339_2111"/>
    <n v="2111"/>
    <s v="A-5028-174-**"/>
    <s v="SSVE"/>
    <s v="na"/>
    <s v="na"/>
    <s v="Raf Contaminate"/>
    <s v="O-Cell A/D"/>
    <x v="1"/>
    <x v="0"/>
  </r>
  <r>
    <n v="20"/>
    <x v="9"/>
    <n v="2116"/>
    <s v="na"/>
    <d v="2021-04-20T00:00:00"/>
    <d v="2021-04-20T00:00:00"/>
    <s v="FBC"/>
    <s v="SBI"/>
    <s v="SBI"/>
    <x v="3"/>
    <s v="HDBO075DDU02"/>
    <s v="A5028174A$0000338_2111"/>
    <n v="2111"/>
    <s v="A-5028-174-**"/>
    <s v="SSVE"/>
    <s v="na"/>
    <s v="na"/>
    <s v="Raf Contaminate"/>
    <s v="O-Cell A/D"/>
    <x v="1"/>
    <x v="0"/>
  </r>
  <r>
    <n v="21"/>
    <x v="9"/>
    <n v="2116"/>
    <s v="na"/>
    <d v="2021-04-20T00:00:00"/>
    <d v="2021-04-20T00:00:00"/>
    <s v="FBC"/>
    <s v="SBI"/>
    <s v="SBI"/>
    <x v="3"/>
    <s v="HDBO075DDU02"/>
    <s v="A5028174A$0000337_2111"/>
    <n v="2111"/>
    <s v="A-5028-174-**"/>
    <s v="SSVE"/>
    <s v="na"/>
    <s v="na"/>
    <s v="Raf Contaminate"/>
    <s v="O-Cell A/D"/>
    <x v="1"/>
    <x v="0"/>
  </r>
  <r>
    <n v="22"/>
    <x v="9"/>
    <n v="2116"/>
    <s v="na"/>
    <d v="2021-04-20T00:00:00"/>
    <d v="2021-04-20T00:00:00"/>
    <s v="FBC"/>
    <s v="SBI"/>
    <s v="SBI"/>
    <x v="3"/>
    <s v="HDBO075DDU02"/>
    <s v="A5028174A$0000336_2111"/>
    <n v="2111"/>
    <s v="A-5028-174-**"/>
    <s v="SSVE"/>
    <s v="na"/>
    <s v="na"/>
    <s v="Raf Contaminate"/>
    <s v="O-Cell A/D"/>
    <x v="1"/>
    <x v="0"/>
  </r>
  <r>
    <n v="23"/>
    <x v="9"/>
    <n v="2116"/>
    <s v="na"/>
    <d v="2021-04-20T00:00:00"/>
    <d v="2021-04-20T00:00:00"/>
    <s v="FBC"/>
    <s v="SBI"/>
    <s v="SBI"/>
    <x v="3"/>
    <s v="HDBO075DDU02"/>
    <s v="A5028174A$0000335_2111"/>
    <n v="2111"/>
    <s v="A-5028-174-**"/>
    <s v="SSVE"/>
    <s v="na"/>
    <s v="na"/>
    <s v="Raf Contaminate"/>
    <s v="O-Cell A/D"/>
    <x v="1"/>
    <x v="0"/>
  </r>
  <r>
    <n v="24"/>
    <x v="9"/>
    <n v="2116"/>
    <s v="na"/>
    <d v="2021-04-20T00:00:00"/>
    <d v="2021-04-20T00:00:00"/>
    <s v="FBC"/>
    <s v="SBI"/>
    <s v="SBI"/>
    <x v="3"/>
    <s v="HDBO075DDU02"/>
    <s v="A5028174A$0000334_2111"/>
    <n v="2111"/>
    <s v="A-5028-174-**"/>
    <s v="SSVE"/>
    <s v="na"/>
    <s v="na"/>
    <s v="Raf Contaminate"/>
    <s v="O-Cell A/D"/>
    <x v="1"/>
    <x v="0"/>
  </r>
  <r>
    <n v="25"/>
    <x v="9"/>
    <n v="2116"/>
    <s v="na"/>
    <d v="2021-04-20T00:00:00"/>
    <d v="2021-04-20T00:00:00"/>
    <s v="FBC"/>
    <s v="SBI"/>
    <s v="SBI"/>
    <x v="3"/>
    <s v="HDBO075DDU02"/>
    <s v="A5028174A$0000054_2108"/>
    <n v="2108"/>
    <s v="A-5028-174-**"/>
    <s v="SSVE"/>
    <s v="na"/>
    <s v="na"/>
    <s v="Raf Contaminate"/>
    <s v="O-Cell A/D"/>
    <x v="1"/>
    <x v="0"/>
  </r>
  <r>
    <n v="26"/>
    <x v="9"/>
    <n v="2116"/>
    <s v="na"/>
    <d v="2021-04-20T00:00:00"/>
    <d v="2021-04-20T00:00:00"/>
    <s v="FBC"/>
    <s v="SBI"/>
    <s v="SBI"/>
    <x v="3"/>
    <s v="HDBO075DDU02"/>
    <s v="A5028174A$0000333_2111"/>
    <n v="2111"/>
    <s v="A-5028-174-**"/>
    <s v="SSVE"/>
    <s v="na"/>
    <s v="na"/>
    <s v="Raf Contaminate"/>
    <s v="O-Cell A/D"/>
    <x v="1"/>
    <x v="0"/>
  </r>
  <r>
    <n v="27"/>
    <x v="9"/>
    <n v="2116"/>
    <s v="na"/>
    <d v="2021-04-20T00:00:00"/>
    <d v="2021-04-20T00:00:00"/>
    <s v="FBC"/>
    <s v="SBI"/>
    <s v="SBI"/>
    <x v="3"/>
    <s v="HDBO075DDU02"/>
    <s v="A5028174A$0000332_2111"/>
    <n v="2111"/>
    <s v="A-5028-174-**"/>
    <s v="SSVE"/>
    <s v="na"/>
    <s v="na"/>
    <s v="Raf Contaminate"/>
    <s v="O-Cell A/D"/>
    <x v="1"/>
    <x v="0"/>
  </r>
  <r>
    <n v="28"/>
    <x v="9"/>
    <n v="2116"/>
    <s v="na"/>
    <d v="2021-04-20T00:00:00"/>
    <d v="2021-04-20T00:00:00"/>
    <s v="FBC"/>
    <s v="SBI"/>
    <s v="SBI"/>
    <x v="3"/>
    <s v="HDBO075DDU02"/>
    <s v="A5028174A$0000331_2111"/>
    <n v="2111"/>
    <s v="A-5028-174-**"/>
    <s v="SSVE"/>
    <s v="na"/>
    <s v="na"/>
    <s v="Raf Contaminate"/>
    <s v="O-Cell A/D"/>
    <x v="1"/>
    <x v="0"/>
  </r>
  <r>
    <n v="29"/>
    <x v="9"/>
    <n v="2116"/>
    <s v="na"/>
    <d v="2021-04-20T00:00:00"/>
    <d v="2021-04-20T00:00:00"/>
    <s v="FBC"/>
    <s v="SBI"/>
    <s v="SBI"/>
    <x v="3"/>
    <s v="HDBO075DDU02"/>
    <s v="A5028174A$0000330_2111"/>
    <n v="2111"/>
    <s v="A-5028-174-**"/>
    <s v="SSVE"/>
    <s v="na"/>
    <s v="na"/>
    <s v="Raf Contaminate"/>
    <s v="O-Cell A/D"/>
    <x v="1"/>
    <x v="0"/>
  </r>
  <r>
    <n v="30"/>
    <x v="9"/>
    <n v="2116"/>
    <s v="na"/>
    <d v="2021-04-20T00:00:00"/>
    <d v="2021-04-20T00:00:00"/>
    <s v="FBC"/>
    <s v="SBI"/>
    <s v="SBI"/>
    <x v="3"/>
    <s v="HDBO075DDU02"/>
    <s v="A5028174A$0000329_2111"/>
    <n v="2111"/>
    <s v="A-5028-174-**"/>
    <s v="SSVE"/>
    <s v="na"/>
    <s v="na"/>
    <s v="Raf Contaminate"/>
    <s v="O-Cell A/D"/>
    <x v="1"/>
    <x v="0"/>
  </r>
  <r>
    <n v="31"/>
    <x v="9"/>
    <n v="2116"/>
    <s v="na"/>
    <d v="2021-04-20T00:00:00"/>
    <d v="2021-04-20T00:00:00"/>
    <s v="FBC"/>
    <s v="SBI"/>
    <s v="SBI"/>
    <x v="3"/>
    <s v="HDBO075DDU02"/>
    <s v="A5028174A$0000328_2111"/>
    <n v="2111"/>
    <s v="A-5028-174-**"/>
    <s v="SSVE"/>
    <s v="na"/>
    <s v="na"/>
    <s v="Raf Contaminate"/>
    <s v="O-Cell A/D"/>
    <x v="1"/>
    <x v="0"/>
  </r>
  <r>
    <n v="32"/>
    <x v="9"/>
    <n v="2116"/>
    <s v="na"/>
    <d v="2021-04-20T00:00:00"/>
    <d v="2021-04-20T00:00:00"/>
    <s v="FBC"/>
    <s v="SBI"/>
    <s v="SBI"/>
    <x v="3"/>
    <s v="HDBO075DDU02"/>
    <s v="A5028174A$0000327_2111"/>
    <n v="2111"/>
    <s v="A-5028-174-**"/>
    <s v="SSVE"/>
    <s v="na"/>
    <s v="na"/>
    <s v="Raf Contaminate"/>
    <s v="O-Cell A/D"/>
    <x v="1"/>
    <x v="0"/>
  </r>
  <r>
    <n v="33"/>
    <x v="9"/>
    <n v="2116"/>
    <s v="na"/>
    <d v="2021-04-20T00:00:00"/>
    <d v="2021-04-20T00:00:00"/>
    <s v="FBC"/>
    <s v="SBI"/>
    <s v="SBI"/>
    <x v="3"/>
    <s v="HDBO075DDU02"/>
    <s v="A5028174A$0000326_2111"/>
    <n v="2111"/>
    <s v="A-5028-174-**"/>
    <s v="SSVE"/>
    <s v="na"/>
    <s v="na"/>
    <s v="Raf Contaminate"/>
    <s v="O-Cell A/D"/>
    <x v="1"/>
    <x v="0"/>
  </r>
  <r>
    <n v="34"/>
    <x v="9"/>
    <n v="2116"/>
    <s v="na"/>
    <d v="2021-04-20T00:00:00"/>
    <d v="2021-04-20T00:00:00"/>
    <s v="FBC"/>
    <s v="SBI"/>
    <s v="SBI"/>
    <x v="3"/>
    <s v="HDBO075DDU02"/>
    <s v="A5028174A$0000325_2111"/>
    <n v="2111"/>
    <s v="A-5028-174-**"/>
    <s v="SSVE"/>
    <s v="na"/>
    <s v="na"/>
    <s v="Raf Contaminate"/>
    <s v="O-Cell A/D"/>
    <x v="1"/>
    <x v="0"/>
  </r>
  <r>
    <n v="35"/>
    <x v="9"/>
    <n v="2116"/>
    <s v="na"/>
    <d v="2021-04-20T00:00:00"/>
    <d v="2021-04-20T00:00:00"/>
    <s v="FBC"/>
    <s v="SBI"/>
    <s v="SBI"/>
    <x v="3"/>
    <s v="HDBO075DDU02"/>
    <s v="A5028174A$0000324_2111"/>
    <n v="2111"/>
    <s v="A-5028-174-**"/>
    <s v="SSVE"/>
    <s v="na"/>
    <s v="na"/>
    <s v="Raf Contaminate"/>
    <s v="O-Cell A/D"/>
    <x v="1"/>
    <x v="0"/>
  </r>
  <r>
    <n v="36"/>
    <x v="9"/>
    <n v="2116"/>
    <s v="na"/>
    <d v="2021-04-20T00:00:00"/>
    <d v="2021-04-20T00:00:00"/>
    <s v="FBC"/>
    <s v="SBI"/>
    <s v="SBI"/>
    <x v="3"/>
    <s v="HDBO075DDU02"/>
    <s v="A5028174A$0000323_2111"/>
    <n v="2111"/>
    <s v="A-5028-174-**"/>
    <s v="SSVE"/>
    <s v="na"/>
    <s v="na"/>
    <s v="Raf Contaminate"/>
    <s v="O-Cell A/D"/>
    <x v="1"/>
    <x v="0"/>
  </r>
  <r>
    <n v="37"/>
    <x v="9"/>
    <n v="2116"/>
    <s v="na"/>
    <d v="2021-04-20T00:00:00"/>
    <d v="2021-04-20T00:00:00"/>
    <s v="FBC"/>
    <s v="SBI"/>
    <s v="SBI"/>
    <x v="3"/>
    <s v="HDBO075DDU02"/>
    <s v="A5028174A$0000322_2111"/>
    <n v="2111"/>
    <s v="A-5028-174-**"/>
    <s v="SSVE"/>
    <s v="na"/>
    <s v="na"/>
    <s v="Raf Contaminate"/>
    <s v="O-Cell A/D"/>
    <x v="1"/>
    <x v="0"/>
  </r>
  <r>
    <n v="38"/>
    <x v="9"/>
    <n v="2116"/>
    <s v="na"/>
    <d v="2021-04-20T00:00:00"/>
    <d v="2021-04-20T00:00:00"/>
    <s v="FBC"/>
    <s v="SBI"/>
    <s v="SBI"/>
    <x v="3"/>
    <s v="HDBO075DDU02"/>
    <s v="A5028174A$0000321_2111"/>
    <n v="2111"/>
    <s v="A-5028-174-**"/>
    <s v="SSVE"/>
    <s v="na"/>
    <s v="na"/>
    <s v="Raf Contaminate"/>
    <s v="O-Cell A/D"/>
    <x v="1"/>
    <x v="0"/>
  </r>
  <r>
    <n v="39"/>
    <x v="9"/>
    <n v="2116"/>
    <s v="na"/>
    <d v="2021-04-20T00:00:00"/>
    <d v="2021-04-20T00:00:00"/>
    <s v="FBC"/>
    <s v="SBI"/>
    <s v="SBI"/>
    <x v="3"/>
    <s v="HDBO075DDU02"/>
    <s v="A5028174A$0000320_2111"/>
    <n v="2111"/>
    <s v="A-5028-174-**"/>
    <s v="SSVE"/>
    <s v="na"/>
    <s v="na"/>
    <s v="Raf Contaminate"/>
    <s v="O-Cell A/D"/>
    <x v="1"/>
    <x v="0"/>
  </r>
  <r>
    <n v="40"/>
    <x v="9"/>
    <n v="2116"/>
    <s v="na"/>
    <d v="2021-04-20T00:00:00"/>
    <d v="2021-04-20T00:00:00"/>
    <s v="FBC"/>
    <s v="SBI"/>
    <s v="SBI"/>
    <x v="3"/>
    <s v="HDBO075DDU02"/>
    <s v="A5028174A$0000319_2111"/>
    <n v="2111"/>
    <s v="A-5028-174-**"/>
    <s v="SSVE"/>
    <s v="na"/>
    <s v="na"/>
    <s v="Raf Contaminate"/>
    <s v="O-Cell A/D"/>
    <x v="1"/>
    <x v="0"/>
  </r>
  <r>
    <n v="41"/>
    <x v="9"/>
    <n v="2116"/>
    <s v="na"/>
    <d v="2021-04-20T00:00:00"/>
    <d v="2021-04-20T00:00:00"/>
    <s v="FBC"/>
    <s v="SBI"/>
    <s v="SBI"/>
    <x v="3"/>
    <s v="HDBO075DDU02"/>
    <s v="A5028174A$0000316_2111"/>
    <n v="2111"/>
    <s v="A-5028-174-**"/>
    <s v="SSVE"/>
    <s v="na"/>
    <s v="na"/>
    <s v="Raf Contaminate"/>
    <s v="O-Cell A/D"/>
    <x v="1"/>
    <x v="0"/>
  </r>
  <r>
    <n v="42"/>
    <x v="9"/>
    <n v="2116"/>
    <s v="na"/>
    <d v="2021-04-20T00:00:00"/>
    <d v="2021-04-20T00:00:00"/>
    <s v="FBC"/>
    <s v="SBI"/>
    <s v="SBI"/>
    <x v="3"/>
    <s v="HDBO075DDU02"/>
    <s v="A5028174A$0000318_2111"/>
    <n v="2111"/>
    <s v="A-5028-174-**"/>
    <s v="SSVE"/>
    <s v="na"/>
    <s v="na"/>
    <s v="Raf Contaminate"/>
    <s v="O-Cell A/D"/>
    <x v="1"/>
    <x v="0"/>
  </r>
  <r>
    <n v="43"/>
    <x v="9"/>
    <n v="2116"/>
    <s v="na"/>
    <d v="2021-04-20T00:00:00"/>
    <d v="2021-04-20T00:00:00"/>
    <s v="FBC"/>
    <s v="SBI"/>
    <s v="SBI"/>
    <x v="3"/>
    <s v="HDBO075DDU02"/>
    <s v="A5028174A$0000317_2111"/>
    <n v="2111"/>
    <s v="A-5028-174-**"/>
    <s v="SSVE"/>
    <s v="na"/>
    <s v="na"/>
    <s v="Raf Contaminate"/>
    <s v="O-Cell A/D"/>
    <x v="1"/>
    <x v="0"/>
  </r>
  <r>
    <n v="44"/>
    <x v="9"/>
    <n v="2116"/>
    <s v="na"/>
    <d v="2021-04-20T00:00:00"/>
    <d v="2021-04-20T00:00:00"/>
    <s v="FBC"/>
    <s v="SBI"/>
    <s v="SBI"/>
    <x v="3"/>
    <s v="HDBO075DDU02"/>
    <s v="A5028174A$0000315_2111"/>
    <n v="2111"/>
    <s v="A-5028-174-**"/>
    <s v="SSVE"/>
    <s v="na"/>
    <s v="na"/>
    <s v="Raf Contaminate"/>
    <s v="O-Cell A/D"/>
    <x v="1"/>
    <x v="0"/>
  </r>
  <r>
    <n v="45"/>
    <x v="9"/>
    <n v="2116"/>
    <s v="na"/>
    <d v="2021-04-20T00:00:00"/>
    <d v="2021-04-20T00:00:00"/>
    <s v="FBC"/>
    <s v="SBI"/>
    <s v="SBI"/>
    <x v="3"/>
    <s v="HDBO075DDU02"/>
    <s v="A5028174A$0000314_2111"/>
    <n v="2111"/>
    <s v="A-5028-174-**"/>
    <s v="SSVE"/>
    <s v="na"/>
    <s v="na"/>
    <s v="Raf Contaminate"/>
    <s v="O-Cell A/D"/>
    <x v="1"/>
    <x v="0"/>
  </r>
  <r>
    <n v="46"/>
    <x v="9"/>
    <n v="2116"/>
    <s v="na"/>
    <d v="2021-04-20T00:00:00"/>
    <d v="2021-04-20T00:00:00"/>
    <s v="FBC"/>
    <s v="SBI"/>
    <s v="SBI"/>
    <x v="3"/>
    <s v="HDBO075DDU02"/>
    <s v="A5028174A$0000313_2111"/>
    <n v="2111"/>
    <s v="A-5028-174-**"/>
    <s v="SSVE"/>
    <s v="na"/>
    <s v="na"/>
    <s v="Raf Contaminate"/>
    <s v="O-Cell A/D"/>
    <x v="1"/>
    <x v="0"/>
  </r>
  <r>
    <n v="47"/>
    <x v="9"/>
    <n v="2116"/>
    <s v="na"/>
    <d v="2021-04-20T00:00:00"/>
    <d v="2021-04-20T00:00:00"/>
    <s v="FBC"/>
    <s v="SBI"/>
    <s v="SBI"/>
    <x v="3"/>
    <s v="HDBO075DDU02"/>
    <s v="A5028174A$0000312_2111"/>
    <n v="2111"/>
    <s v="A-5028-174-**"/>
    <s v="SSVE"/>
    <s v="na"/>
    <s v="na"/>
    <s v="Raf Contaminate"/>
    <s v="O-Cell A/D"/>
    <x v="1"/>
    <x v="0"/>
  </r>
  <r>
    <n v="48"/>
    <x v="9"/>
    <n v="2116"/>
    <s v="na"/>
    <d v="2021-04-20T00:00:00"/>
    <d v="2021-04-20T00:00:00"/>
    <s v="FBC"/>
    <s v="SBI"/>
    <s v="SBI"/>
    <x v="3"/>
    <s v="HDBO075DDU02"/>
    <s v="A5028174A$0000311_2111"/>
    <n v="2111"/>
    <s v="A-5028-174-**"/>
    <s v="SSVE"/>
    <s v="na"/>
    <s v="na"/>
    <s v="Raf Contaminate"/>
    <s v="O-Cell A/D"/>
    <x v="1"/>
    <x v="0"/>
  </r>
  <r>
    <n v="49"/>
    <x v="9"/>
    <n v="2116"/>
    <s v="na"/>
    <d v="2021-04-20T00:00:00"/>
    <d v="2021-04-20T00:00:00"/>
    <s v="FBC"/>
    <s v="SBI"/>
    <s v="SBI"/>
    <x v="3"/>
    <s v="HDBO075DDU02"/>
    <s v="A5028174A$0000310_2111"/>
    <n v="2111"/>
    <s v="A-5028-174-**"/>
    <s v="SSVE"/>
    <s v="na"/>
    <s v="na"/>
    <s v="Raf Contaminate"/>
    <s v="O-Cell A/D"/>
    <x v="1"/>
    <x v="0"/>
  </r>
  <r>
    <n v="50"/>
    <x v="9"/>
    <n v="2116"/>
    <s v="na"/>
    <d v="2021-04-20T00:00:00"/>
    <d v="2021-04-20T00:00:00"/>
    <s v="FBC"/>
    <s v="SBI"/>
    <s v="SBI"/>
    <x v="3"/>
    <s v="HDBO075DDU02"/>
    <s v="A5028174A$0000187_2109"/>
    <n v="2109"/>
    <s v="A-5028-174-**"/>
    <s v="SSVE"/>
    <s v="na"/>
    <s v="na"/>
    <s v="Raf Contaminate"/>
    <s v="O-Cell A/D"/>
    <x v="1"/>
    <x v="0"/>
  </r>
  <r>
    <n v="51"/>
    <x v="9"/>
    <n v="2116"/>
    <s v="na"/>
    <d v="2021-04-20T00:00:00"/>
    <d v="2021-04-20T00:00:00"/>
    <s v="FBC"/>
    <s v="SBI"/>
    <s v="SBI"/>
    <x v="3"/>
    <s v="HDBO075DDU02"/>
    <s v="A5028174A$0000188_2109"/>
    <n v="2109"/>
    <s v="A-5028-174-**"/>
    <s v="SSVE"/>
    <s v="na"/>
    <s v="na"/>
    <s v="Raf Contaminate"/>
    <s v="O-Cell A/D"/>
    <x v="1"/>
    <x v="0"/>
  </r>
  <r>
    <n v="52"/>
    <x v="9"/>
    <n v="2116"/>
    <s v="na"/>
    <d v="2021-04-20T00:00:00"/>
    <d v="2021-04-20T00:00:00"/>
    <s v="FBC"/>
    <s v="SBI"/>
    <s v="SBI"/>
    <x v="3"/>
    <s v="HDBO075DDU02"/>
    <s v="A5028174A$0000189_2109"/>
    <n v="2109"/>
    <s v="A-5028-174-**"/>
    <s v="SSVE"/>
    <s v="na"/>
    <s v="na"/>
    <s v="Raf Contaminate"/>
    <s v="O-Cell A/D"/>
    <x v="1"/>
    <x v="0"/>
  </r>
  <r>
    <n v="53"/>
    <x v="9"/>
    <n v="2116"/>
    <s v="na"/>
    <d v="2021-04-20T00:00:00"/>
    <d v="2021-04-20T00:00:00"/>
    <s v="FBC"/>
    <s v="SBI"/>
    <s v="SBI"/>
    <x v="3"/>
    <s v="HDBO075DDU02"/>
    <s v="A5028174A$0000190_2109"/>
    <n v="2109"/>
    <s v="A-5028-174-**"/>
    <s v="SSVE"/>
    <s v="na"/>
    <s v="na"/>
    <s v="Raf Contaminate"/>
    <s v="O-Cell A/D"/>
    <x v="1"/>
    <x v="0"/>
  </r>
  <r>
    <n v="54"/>
    <x v="9"/>
    <n v="2116"/>
    <s v="na"/>
    <d v="2021-04-20T00:00:00"/>
    <d v="2021-04-20T00:00:00"/>
    <s v="FBC"/>
    <s v="SBI"/>
    <s v="SBI"/>
    <x v="3"/>
    <s v="HDBO075DDU02"/>
    <s v="A5028174A$0000191_2109"/>
    <n v="2109"/>
    <s v="A-5028-174-**"/>
    <s v="SSVE"/>
    <s v="na"/>
    <s v="na"/>
    <s v="Raf Contaminate"/>
    <s v="O-Cell A/D"/>
    <x v="1"/>
    <x v="0"/>
  </r>
  <r>
    <n v="55"/>
    <x v="9"/>
    <n v="2116"/>
    <s v="na"/>
    <d v="2021-04-20T00:00:00"/>
    <d v="2021-04-20T00:00:00"/>
    <s v="FBC"/>
    <s v="SBI"/>
    <s v="SBI"/>
    <x v="3"/>
    <s v="HDBO075DDU02"/>
    <s v="A5028174A$0000192_2109"/>
    <n v="2109"/>
    <s v="A-5028-174-**"/>
    <s v="SSVE"/>
    <s v="na"/>
    <s v="na"/>
    <s v="Raf Contaminate"/>
    <s v="O-Cell A/D"/>
    <x v="1"/>
    <x v="0"/>
  </r>
  <r>
    <n v="56"/>
    <x v="9"/>
    <n v="2116"/>
    <s v="na"/>
    <d v="2021-04-20T00:00:00"/>
    <d v="2021-04-20T00:00:00"/>
    <s v="FBC"/>
    <s v="SBI"/>
    <s v="SBI"/>
    <x v="3"/>
    <s v="HDBO075DDU02"/>
    <s v="A5028174A$0000193_2109"/>
    <n v="2109"/>
    <s v="A-5028-174-**"/>
    <s v="SSVE"/>
    <s v="na"/>
    <s v="na"/>
    <s v="Raf Contaminate"/>
    <s v="O-Cell A/D"/>
    <x v="1"/>
    <x v="0"/>
  </r>
  <r>
    <n v="57"/>
    <x v="9"/>
    <n v="2116"/>
    <s v="na"/>
    <d v="2021-04-20T00:00:00"/>
    <d v="2021-04-20T00:00:00"/>
    <s v="FBC"/>
    <s v="SBI"/>
    <s v="SBI"/>
    <x v="3"/>
    <s v="HDBO075DDU02"/>
    <s v="A5028174A$0000194_2109"/>
    <n v="2109"/>
    <s v="A-5028-174-**"/>
    <s v="SSVE"/>
    <s v="na"/>
    <s v="na"/>
    <s v="Raf Contaminate"/>
    <s v="O-Cell A/D"/>
    <x v="1"/>
    <x v="0"/>
  </r>
  <r>
    <n v="58"/>
    <x v="9"/>
    <n v="2116"/>
    <s v="na"/>
    <d v="2021-04-20T00:00:00"/>
    <d v="2021-04-20T00:00:00"/>
    <s v="FBC"/>
    <s v="SBI"/>
    <s v="SBI"/>
    <x v="3"/>
    <s v="HDBO075DDU02"/>
    <s v="A5028174A$0000195_2109"/>
    <n v="2109"/>
    <s v="A-5028-174-**"/>
    <s v="SSVE"/>
    <s v="na"/>
    <s v="na"/>
    <s v="Raf Contaminate"/>
    <s v="O-Cell A/D"/>
    <x v="1"/>
    <x v="0"/>
  </r>
  <r>
    <n v="59"/>
    <x v="9"/>
    <n v="2116"/>
    <s v="na"/>
    <d v="2021-04-20T00:00:00"/>
    <d v="2021-04-20T00:00:00"/>
    <s v="FBC"/>
    <s v="SBI"/>
    <s v="SBI"/>
    <x v="3"/>
    <s v="HDBO075DDU02"/>
    <s v="A5028174A$0000196_2109"/>
    <n v="2109"/>
    <s v="A-5028-174-**"/>
    <s v="SSVE"/>
    <s v="na"/>
    <s v="na"/>
    <s v="Raf Contaminate"/>
    <s v="O-Cell A/D"/>
    <x v="1"/>
    <x v="0"/>
  </r>
  <r>
    <n v="60"/>
    <x v="9"/>
    <n v="2116"/>
    <s v="na"/>
    <d v="2021-04-20T00:00:00"/>
    <d v="2021-04-20T00:00:00"/>
    <s v="FBC"/>
    <s v="SBI"/>
    <s v="SBI"/>
    <x v="3"/>
    <s v="HDBO075DDU02"/>
    <s v="A5028174A$0000197_2109"/>
    <n v="2109"/>
    <s v="A-5028-174-**"/>
    <s v="SSVE"/>
    <s v="na"/>
    <s v="na"/>
    <s v="Raf Contaminate"/>
    <s v="O-Cell A/D"/>
    <x v="1"/>
    <x v="0"/>
  </r>
  <r>
    <n v="61"/>
    <x v="9"/>
    <n v="2116"/>
    <s v="na"/>
    <d v="2021-04-20T00:00:00"/>
    <d v="2021-04-20T00:00:00"/>
    <s v="FBC"/>
    <s v="SBI"/>
    <s v="SBI"/>
    <x v="3"/>
    <s v="HDBO075DDU02"/>
    <s v="A5028174A$0000198_2109"/>
    <n v="2109"/>
    <s v="A-5028-174-**"/>
    <s v="SSVE"/>
    <s v="na"/>
    <s v="na"/>
    <s v="Raf Contaminate"/>
    <s v="O-Cell A/D"/>
    <x v="1"/>
    <x v="0"/>
  </r>
  <r>
    <n v="62"/>
    <x v="9"/>
    <n v="2116"/>
    <s v="na"/>
    <d v="2021-04-20T00:00:00"/>
    <d v="2021-04-20T00:00:00"/>
    <s v="FBC"/>
    <s v="SBI"/>
    <s v="SBI"/>
    <x v="3"/>
    <s v="HDBO075DDU02"/>
    <s v="A5028174A$0000199_2109"/>
    <n v="2109"/>
    <s v="A-5028-174-**"/>
    <s v="SSVE"/>
    <s v="na"/>
    <s v="na"/>
    <s v="Raf Contaminate"/>
    <s v="O-Cell A/D"/>
    <x v="1"/>
    <x v="0"/>
  </r>
  <r>
    <n v="63"/>
    <x v="9"/>
    <n v="2116"/>
    <s v="na"/>
    <d v="2021-04-20T00:00:00"/>
    <d v="2021-04-20T00:00:00"/>
    <s v="FBC"/>
    <s v="SBI"/>
    <s v="SBI"/>
    <x v="3"/>
    <s v="HDBO075DDU02"/>
    <s v="A5028174A$0000200_2109"/>
    <n v="2109"/>
    <s v="A-5028-174-**"/>
    <s v="SSVE"/>
    <s v="na"/>
    <s v="na"/>
    <s v="Raf Contaminate"/>
    <s v="O-Cell A/D"/>
    <x v="1"/>
    <x v="0"/>
  </r>
  <r>
    <n v="64"/>
    <x v="9"/>
    <n v="2116"/>
    <s v="na"/>
    <d v="2021-04-20T00:00:00"/>
    <d v="2021-04-20T00:00:00"/>
    <s v="FBC"/>
    <s v="SBI"/>
    <s v="SBI"/>
    <x v="3"/>
    <s v="HDBO075DDU02"/>
    <s v="A5028174A$0000201_2109"/>
    <n v="2109"/>
    <s v="A-5028-174-**"/>
    <s v="SSVE"/>
    <s v="na"/>
    <s v="na"/>
    <s v="Raf Contaminate"/>
    <s v="O-Cell A/D"/>
    <x v="1"/>
    <x v="0"/>
  </r>
  <r>
    <n v="65"/>
    <x v="9"/>
    <n v="2116"/>
    <s v="na"/>
    <d v="2021-04-20T00:00:00"/>
    <d v="2021-04-20T00:00:00"/>
    <s v="FBC"/>
    <s v="SBI"/>
    <s v="SBI"/>
    <x v="3"/>
    <s v="HDBO075DDU02"/>
    <s v="A5028174A$0000202_2109"/>
    <n v="2109"/>
    <s v="A-5028-174-**"/>
    <s v="SSVE"/>
    <s v="na"/>
    <s v="na"/>
    <s v="Raf Contaminate"/>
    <s v="O-Cell A/D"/>
    <x v="1"/>
    <x v="0"/>
  </r>
  <r>
    <n v="66"/>
    <x v="9"/>
    <n v="2116"/>
    <s v="na"/>
    <d v="2021-04-20T00:00:00"/>
    <d v="2021-04-20T00:00:00"/>
    <s v="FBC"/>
    <s v="SBI"/>
    <s v="SBI"/>
    <x v="3"/>
    <s v="HDBO075DDU02"/>
    <s v="A5028174A$0000203_2109"/>
    <n v="2109"/>
    <s v="A-5028-174-**"/>
    <s v="SSVE"/>
    <s v="na"/>
    <s v="na"/>
    <s v="Raf Contaminate"/>
    <s v="O-Cell A/D"/>
    <x v="1"/>
    <x v="0"/>
  </r>
  <r>
    <n v="67"/>
    <x v="9"/>
    <n v="2116"/>
    <s v="na"/>
    <d v="2021-04-20T00:00:00"/>
    <d v="2021-04-20T00:00:00"/>
    <s v="FBC"/>
    <s v="SBI"/>
    <s v="SBI"/>
    <x v="3"/>
    <s v="HDBO075DDU02"/>
    <s v="A5028174A$0000204_2109"/>
    <n v="2109"/>
    <s v="A-5028-174-**"/>
    <s v="SSVE"/>
    <s v="na"/>
    <s v="na"/>
    <s v="Raf Contaminate"/>
    <s v="O-Cell A/D"/>
    <x v="1"/>
    <x v="0"/>
  </r>
  <r>
    <n v="68"/>
    <x v="9"/>
    <n v="2116"/>
    <s v="na"/>
    <d v="2021-04-20T00:00:00"/>
    <d v="2021-04-20T00:00:00"/>
    <s v="FBC"/>
    <s v="SBI"/>
    <s v="SBI"/>
    <x v="3"/>
    <s v="HDBO075DDU02"/>
    <s v="A5028174A$0000205_2109"/>
    <n v="2109"/>
    <s v="A-5028-174-**"/>
    <s v="SSVE"/>
    <s v="na"/>
    <s v="na"/>
    <s v="Raf Contaminate"/>
    <s v="O-Cell A/D"/>
    <x v="1"/>
    <x v="0"/>
  </r>
  <r>
    <n v="69"/>
    <x v="9"/>
    <n v="2116"/>
    <s v="na"/>
    <d v="2021-04-20T00:00:00"/>
    <d v="2021-04-20T00:00:00"/>
    <s v="FBC"/>
    <s v="SBI"/>
    <s v="SBI"/>
    <x v="3"/>
    <s v="HDBO075DDU02"/>
    <s v="A5028174A$0000206_2109"/>
    <n v="2109"/>
    <s v="A-5028-174-**"/>
    <s v="SSVE"/>
    <s v="na"/>
    <s v="na"/>
    <s v="Raf Contaminate"/>
    <s v="O-Cell A/D"/>
    <x v="1"/>
    <x v="0"/>
  </r>
  <r>
    <n v="70"/>
    <x v="9"/>
    <n v="2116"/>
    <s v="na"/>
    <d v="2021-04-20T00:00:00"/>
    <d v="2021-04-20T00:00:00"/>
    <s v="FBC"/>
    <s v="SBI"/>
    <s v="SBI"/>
    <x v="3"/>
    <s v="HDBO075DDU02"/>
    <s v="A5028174A$0000207_2109"/>
    <n v="2109"/>
    <s v="A-5028-174-**"/>
    <s v="SSVE"/>
    <s v="na"/>
    <s v="na"/>
    <s v="Raf Contaminate"/>
    <s v="O-Cell A/D"/>
    <x v="1"/>
    <x v="0"/>
  </r>
  <r>
    <n v="71"/>
    <x v="9"/>
    <n v="2116"/>
    <s v="na"/>
    <d v="2021-04-20T00:00:00"/>
    <d v="2021-04-20T00:00:00"/>
    <s v="FBC"/>
    <s v="SBI"/>
    <s v="SBI"/>
    <x v="3"/>
    <s v="HDBO075DDU02"/>
    <s v="A5028174A$0000208_2109"/>
    <n v="2109"/>
    <s v="A-5028-174-**"/>
    <s v="SSVE"/>
    <s v="na"/>
    <s v="na"/>
    <s v="Raf Contaminate"/>
    <s v="O-Cell A/D"/>
    <x v="1"/>
    <x v="0"/>
  </r>
  <r>
    <n v="72"/>
    <x v="9"/>
    <n v="2116"/>
    <s v="na"/>
    <d v="2021-04-20T00:00:00"/>
    <d v="2021-04-20T00:00:00"/>
    <s v="FBC"/>
    <s v="SBI"/>
    <s v="SBI"/>
    <x v="3"/>
    <s v="HDBO075DDU02"/>
    <s v="A5028174A$0000209_2109"/>
    <n v="2109"/>
    <s v="A-5028-174-**"/>
    <s v="SSVE"/>
    <s v="na"/>
    <s v="na"/>
    <s v="Raf Contaminate"/>
    <s v="O-Cell A/D"/>
    <x v="1"/>
    <x v="0"/>
  </r>
  <r>
    <n v="73"/>
    <x v="9"/>
    <n v="2116"/>
    <s v="na"/>
    <d v="2021-04-20T00:00:00"/>
    <d v="2021-04-20T00:00:00"/>
    <s v="FBC"/>
    <s v="SBI"/>
    <s v="SBI"/>
    <x v="3"/>
    <s v="HDBO075DDU02"/>
    <s v="A5028174A$0000210_2109"/>
    <n v="2109"/>
    <s v="A-5028-174-**"/>
    <s v="SSVE"/>
    <s v="na"/>
    <s v="na"/>
    <s v="Raf Contaminate"/>
    <s v="O-Cell A/D"/>
    <x v="1"/>
    <x v="0"/>
  </r>
  <r>
    <n v="74"/>
    <x v="9"/>
    <n v="2116"/>
    <s v="na"/>
    <d v="2021-04-20T00:00:00"/>
    <d v="2021-04-20T00:00:00"/>
    <s v="FBC"/>
    <s v="SBI"/>
    <s v="SBI"/>
    <x v="3"/>
    <s v="HDBO075DDU02"/>
    <s v="A5028174A$0000125_2109"/>
    <n v="2109"/>
    <s v="A-5028-174-**"/>
    <s v="SSVE"/>
    <s v="na"/>
    <s v="na"/>
    <s v="Raf Contaminate"/>
    <s v="O-Cell A/D"/>
    <x v="1"/>
    <x v="0"/>
  </r>
  <r>
    <n v="75"/>
    <x v="9"/>
    <n v="2116"/>
    <s v="na"/>
    <d v="2021-04-20T00:00:00"/>
    <d v="2021-04-20T00:00:00"/>
    <s v="FBC"/>
    <s v="SBI"/>
    <s v="SBI"/>
    <x v="3"/>
    <s v="HDBO075DDU02"/>
    <s v="A5028174A$0000126_2109"/>
    <n v="2109"/>
    <s v="A-5028-174-**"/>
    <s v="SSVE"/>
    <s v="na"/>
    <s v="na"/>
    <s v="Raf Contaminate"/>
    <s v="O-Cell A/D"/>
    <x v="1"/>
    <x v="0"/>
  </r>
  <r>
    <n v="76"/>
    <x v="9"/>
    <n v="2116"/>
    <s v="na"/>
    <d v="2021-04-20T00:00:00"/>
    <d v="2021-04-20T00:00:00"/>
    <s v="FBC"/>
    <s v="SBI"/>
    <s v="SBI"/>
    <x v="3"/>
    <s v="HDBO075DDU02"/>
    <s v="A5028174A$0000123_2109"/>
    <n v="2109"/>
    <s v="A-5028-174-**"/>
    <s v="SSVE"/>
    <s v="na"/>
    <s v="na"/>
    <s v="Raf Contaminate"/>
    <s v="O-Cell A/D"/>
    <x v="1"/>
    <x v="0"/>
  </r>
  <r>
    <n v="77"/>
    <x v="9"/>
    <n v="2116"/>
    <s v="na"/>
    <d v="2021-04-20T00:00:00"/>
    <d v="2021-04-20T00:00:00"/>
    <s v="FBC"/>
    <s v="SBI"/>
    <s v="SBI"/>
    <x v="3"/>
    <s v="HDBO075DDU02"/>
    <s v="A5028174A$0000124_2109"/>
    <n v="2109"/>
    <s v="A-5028-174-**"/>
    <s v="SSVE"/>
    <s v="na"/>
    <s v="na"/>
    <s v="Raf Contaminate"/>
    <s v="O-Cell A/D"/>
    <x v="1"/>
    <x v="0"/>
  </r>
  <r>
    <n v="78"/>
    <x v="9"/>
    <n v="2116"/>
    <s v="na"/>
    <d v="2021-04-20T00:00:00"/>
    <d v="2021-04-20T00:00:00"/>
    <s v="FBC"/>
    <s v="SBI"/>
    <s v="SBI"/>
    <x v="3"/>
    <s v="HDBO075DDU02"/>
    <s v="A5028174A$0000118_2109"/>
    <n v="2109"/>
    <s v="A-5028-174-**"/>
    <s v="SSVE"/>
    <s v="na"/>
    <s v="na"/>
    <s v="Raf Contaminate"/>
    <s v="O-Cell A/D"/>
    <x v="1"/>
    <x v="0"/>
  </r>
  <r>
    <n v="79"/>
    <x v="9"/>
    <n v="2116"/>
    <s v="na"/>
    <d v="2021-04-20T00:00:00"/>
    <d v="2021-04-20T00:00:00"/>
    <s v="FBC"/>
    <s v="SBI"/>
    <s v="SBI"/>
    <x v="3"/>
    <s v="HDBO075DDU02"/>
    <s v="A5028174A$0000117_2109"/>
    <n v="2109"/>
    <s v="A-5028-174-**"/>
    <s v="SSVE"/>
    <s v="na"/>
    <s v="na"/>
    <s v="Raf Contaminate"/>
    <s v="O-Cell A/D"/>
    <x v="1"/>
    <x v="0"/>
  </r>
  <r>
    <n v="80"/>
    <x v="9"/>
    <n v="2116"/>
    <s v="na"/>
    <d v="2021-04-20T00:00:00"/>
    <d v="2021-04-20T00:00:00"/>
    <s v="FBC"/>
    <s v="SBI"/>
    <s v="SBI"/>
    <x v="3"/>
    <s v="HDBO075DDU02"/>
    <s v="A5028174A$0000119_2109"/>
    <n v="2109"/>
    <s v="A-5028-174-**"/>
    <s v="SSVE"/>
    <s v="na"/>
    <s v="na"/>
    <s v="Raf Contaminate"/>
    <s v="O-Cell A/D"/>
    <x v="1"/>
    <x v="0"/>
  </r>
  <r>
    <n v="81"/>
    <x v="9"/>
    <n v="2116"/>
    <s v="na"/>
    <d v="2021-04-20T00:00:00"/>
    <d v="2021-04-20T00:00:00"/>
    <s v="FBC"/>
    <s v="SBI"/>
    <s v="SBI"/>
    <x v="3"/>
    <s v="HDBO075DDU02"/>
    <s v="A5028174A$0000120_2109"/>
    <n v="2109"/>
    <s v="A-5028-174-**"/>
    <s v="SSVE"/>
    <s v="na"/>
    <s v="na"/>
    <s v="Raf Contaminate"/>
    <s v="O-Cell A/D"/>
    <x v="1"/>
    <x v="0"/>
  </r>
  <r>
    <n v="82"/>
    <x v="9"/>
    <n v="2116"/>
    <s v="na"/>
    <d v="2021-04-20T00:00:00"/>
    <d v="2021-04-20T00:00:00"/>
    <s v="FBC"/>
    <s v="SBI"/>
    <s v="SBI"/>
    <x v="3"/>
    <s v="HDBO075DDU02"/>
    <s v="A5028174A$0000121_2109"/>
    <n v="2109"/>
    <s v="A-5028-174-**"/>
    <s v="SSVE"/>
    <s v="na"/>
    <s v="na"/>
    <s v="Raf Contaminate"/>
    <s v="O-Cell A/D"/>
    <x v="1"/>
    <x v="0"/>
  </r>
  <r>
    <n v="83"/>
    <x v="9"/>
    <n v="2116"/>
    <s v="na"/>
    <d v="2021-04-20T00:00:00"/>
    <d v="2021-04-20T00:00:00"/>
    <s v="FBC"/>
    <s v="SBI"/>
    <s v="SBI"/>
    <x v="3"/>
    <s v="HDBO075DDU02"/>
    <s v="A5028174A$0000122_2109"/>
    <n v="2109"/>
    <s v="A-5028-174-**"/>
    <s v="SSVE"/>
    <s v="na"/>
    <s v="na"/>
    <s v="Raf Contaminate"/>
    <s v="O-Cell A/D"/>
    <x v="1"/>
    <x v="0"/>
  </r>
  <r>
    <n v="84"/>
    <x v="9"/>
    <n v="2116"/>
    <s v="na"/>
    <d v="2021-04-20T00:00:00"/>
    <d v="2021-04-20T00:00:00"/>
    <s v="FBC"/>
    <s v="SBI"/>
    <s v="SBI"/>
    <x v="3"/>
    <s v="HDBO075DDU02"/>
    <s v="A5028174A$0000116_2109"/>
    <n v="2109"/>
    <s v="A-5028-174-**"/>
    <s v="SSVE"/>
    <s v="na"/>
    <s v="na"/>
    <s v="Raf Contaminate"/>
    <s v="O-Cell A/D"/>
    <x v="1"/>
    <x v="0"/>
  </r>
  <r>
    <n v="85"/>
    <x v="9"/>
    <n v="2116"/>
    <s v="na"/>
    <d v="2021-04-20T00:00:00"/>
    <d v="2021-04-20T00:00:00"/>
    <s v="FBC"/>
    <s v="SBI"/>
    <s v="SBI"/>
    <x v="3"/>
    <s v="HDBO075DDU02"/>
    <s v="A5028174A$0000115_2109"/>
    <n v="2109"/>
    <s v="A-5028-174-**"/>
    <s v="SSVE"/>
    <s v="na"/>
    <s v="na"/>
    <s v="Raf Contaminate"/>
    <s v="O-Cell A/D"/>
    <x v="1"/>
    <x v="0"/>
  </r>
  <r>
    <n v="86"/>
    <x v="9"/>
    <n v="2116"/>
    <s v="na"/>
    <d v="2021-04-20T00:00:00"/>
    <d v="2021-04-20T00:00:00"/>
    <s v="FBC"/>
    <s v="SBI"/>
    <s v="SBI"/>
    <x v="3"/>
    <s v="HDBO075DDU02"/>
    <s v="A5028174A$0000091_2109"/>
    <n v="2109"/>
    <s v="A-5028-174-**"/>
    <s v="SSVE"/>
    <s v="na"/>
    <s v="na"/>
    <s v="Raf Contaminate"/>
    <s v="O-Cell A/D"/>
    <x v="1"/>
    <x v="0"/>
  </r>
  <r>
    <n v="87"/>
    <x v="9"/>
    <n v="2116"/>
    <s v="na"/>
    <d v="2021-04-20T00:00:00"/>
    <d v="2021-04-20T00:00:00"/>
    <s v="FBC"/>
    <s v="SBI"/>
    <s v="SBI"/>
    <x v="3"/>
    <s v="HDBO075DDU02"/>
    <s v="A5028174A$0000092_2109"/>
    <n v="2109"/>
    <s v="A-5028-174-**"/>
    <s v="SSVE"/>
    <s v="na"/>
    <s v="na"/>
    <s v="Raf Contaminate"/>
    <s v="O-Cell A/D"/>
    <x v="1"/>
    <x v="0"/>
  </r>
  <r>
    <n v="88"/>
    <x v="9"/>
    <n v="2116"/>
    <s v="na"/>
    <d v="2021-04-20T00:00:00"/>
    <d v="2021-04-20T00:00:00"/>
    <s v="FBC"/>
    <s v="SBI"/>
    <s v="SBI"/>
    <x v="3"/>
    <s v="HDBO075DDU02"/>
    <s v="A5028174A$0000099_2109"/>
    <n v="2109"/>
    <s v="A-5028-174-**"/>
    <s v="SSVE"/>
    <s v="na"/>
    <s v="na"/>
    <s v="Raf Contaminate"/>
    <s v="O-Cell A/D"/>
    <x v="1"/>
    <x v="0"/>
  </r>
  <r>
    <n v="89"/>
    <x v="9"/>
    <n v="2116"/>
    <s v="na"/>
    <d v="2021-04-20T00:00:00"/>
    <d v="2021-04-20T00:00:00"/>
    <s v="FBC"/>
    <s v="SBI"/>
    <s v="SBI"/>
    <x v="3"/>
    <s v="HDBO075DDU02"/>
    <s v="A5028174A$0000100_2109"/>
    <n v="2109"/>
    <s v="A-5028-174-**"/>
    <s v="SSVE"/>
    <s v="na"/>
    <s v="na"/>
    <s v="Raf Contaminate"/>
    <s v="O-Cell A/D"/>
    <x v="1"/>
    <x v="0"/>
  </r>
  <r>
    <n v="90"/>
    <x v="9"/>
    <n v="2116"/>
    <s v="na"/>
    <d v="2021-04-20T00:00:00"/>
    <d v="2021-04-20T00:00:00"/>
    <s v="FBC"/>
    <s v="SBI"/>
    <s v="SBI"/>
    <x v="3"/>
    <s v="HDBO075DDU02"/>
    <s v="A5028174A$0000101_2109"/>
    <n v="2109"/>
    <s v="A-5028-174-**"/>
    <s v="SSVE"/>
    <s v="na"/>
    <s v="na"/>
    <s v="Raf Contaminate"/>
    <s v="O-Cell A/D"/>
    <x v="1"/>
    <x v="0"/>
  </r>
  <r>
    <n v="91"/>
    <x v="9"/>
    <n v="2116"/>
    <s v="na"/>
    <d v="2021-04-20T00:00:00"/>
    <d v="2021-04-20T00:00:00"/>
    <s v="FBC"/>
    <s v="SBI"/>
    <s v="SBI"/>
    <x v="3"/>
    <s v="HDBO075DDU02"/>
    <s v="A5028174A$0000102_2109"/>
    <n v="2109"/>
    <s v="A-5028-174-**"/>
    <s v="SSVE"/>
    <s v="na"/>
    <s v="na"/>
    <s v="Raf Contaminate"/>
    <s v="O-Cell A/D"/>
    <x v="1"/>
    <x v="0"/>
  </r>
  <r>
    <n v="92"/>
    <x v="9"/>
    <n v="2116"/>
    <s v="na"/>
    <d v="2021-04-20T00:00:00"/>
    <d v="2021-04-20T00:00:00"/>
    <s v="FBC"/>
    <s v="SBI"/>
    <s v="SBI"/>
    <x v="3"/>
    <s v="HDBO075DDU02"/>
    <s v="A5028174A$0000093_2109"/>
    <n v="2109"/>
    <s v="A-5028-174-**"/>
    <s v="SSVE"/>
    <s v="na"/>
    <s v="na"/>
    <s v="Raf Contaminate"/>
    <s v="O-Cell A/D"/>
    <x v="1"/>
    <x v="0"/>
  </r>
  <r>
    <n v="93"/>
    <x v="9"/>
    <n v="2116"/>
    <s v="na"/>
    <d v="2021-04-20T00:00:00"/>
    <d v="2021-04-20T00:00:00"/>
    <s v="FBC"/>
    <s v="SBI"/>
    <s v="SBI"/>
    <x v="3"/>
    <s v="HDBO075DDU02"/>
    <s v="A5028174A$0000094_2109"/>
    <n v="2109"/>
    <s v="A-5028-174-**"/>
    <s v="SSVE"/>
    <s v="na"/>
    <s v="na"/>
    <s v="Raf Contaminate"/>
    <s v="O-Cell A/D"/>
    <x v="1"/>
    <x v="0"/>
  </r>
  <r>
    <n v="94"/>
    <x v="9"/>
    <n v="2116"/>
    <s v="na"/>
    <d v="2021-04-20T00:00:00"/>
    <d v="2021-04-20T00:00:00"/>
    <s v="FBC"/>
    <s v="SBI"/>
    <s v="SBI"/>
    <x v="3"/>
    <s v="HDBO075DDU02"/>
    <s v="A5028174A$0000095_2109"/>
    <n v="2109"/>
    <s v="A-5028-174-**"/>
    <s v="SSVE"/>
    <s v="na"/>
    <s v="na"/>
    <s v="Raf Contaminate"/>
    <s v="O-Cell A/D"/>
    <x v="1"/>
    <x v="0"/>
  </r>
  <r>
    <n v="95"/>
    <x v="9"/>
    <n v="2116"/>
    <s v="na"/>
    <d v="2021-04-20T00:00:00"/>
    <d v="2021-04-20T00:00:00"/>
    <s v="FBC"/>
    <s v="SBI"/>
    <s v="SBI"/>
    <x v="3"/>
    <s v="HDBO075DDU02"/>
    <s v="A5028174A$0000096_2109"/>
    <n v="2109"/>
    <s v="A-5028-174-**"/>
    <s v="SSVE"/>
    <s v="na"/>
    <s v="na"/>
    <s v="Raf Contaminate"/>
    <s v="O-Cell A/D"/>
    <x v="1"/>
    <x v="0"/>
  </r>
  <r>
    <n v="96"/>
    <x v="9"/>
    <n v="2116"/>
    <s v="na"/>
    <d v="2021-04-20T00:00:00"/>
    <d v="2021-04-20T00:00:00"/>
    <s v="FBC"/>
    <s v="SBI"/>
    <s v="SBI"/>
    <x v="3"/>
    <s v="HDBO075DDU02"/>
    <s v="A5028174A$0000098_2109"/>
    <n v="2109"/>
    <s v="A-5028-174-**"/>
    <s v="SSVE"/>
    <s v="na"/>
    <s v="na"/>
    <s v="Raf Contaminate"/>
    <s v="O-Cell A/D"/>
    <x v="1"/>
    <x v="0"/>
  </r>
  <r>
    <n v="97"/>
    <x v="9"/>
    <n v="2116"/>
    <s v="na"/>
    <d v="2021-04-20T00:00:00"/>
    <d v="2021-04-20T00:00:00"/>
    <s v="FBC"/>
    <s v="SBI"/>
    <s v="SBI"/>
    <x v="3"/>
    <s v="HDBO075DDU02"/>
    <s v="A5028174A$0000097_2109"/>
    <n v="2109"/>
    <s v="A-5028-174-**"/>
    <s v="SSVE"/>
    <s v="na"/>
    <s v="na"/>
    <s v="Raf Contaminate"/>
    <s v="O-Cell A/D"/>
    <x v="1"/>
    <x v="0"/>
  </r>
  <r>
    <n v="98"/>
    <x v="9"/>
    <n v="2116"/>
    <s v="na"/>
    <d v="2021-04-20T00:00:00"/>
    <d v="2021-04-20T00:00:00"/>
    <s v="FBC"/>
    <s v="SBI"/>
    <s v="SBI"/>
    <x v="3"/>
    <s v="HDBO075DDU02"/>
    <s v="A5028174A$0000211_2111"/>
    <n v="2111"/>
    <s v="A-5028-174-**"/>
    <s v="SSVE"/>
    <s v="na"/>
    <s v="na"/>
    <s v="Raf Contaminate"/>
    <s v="O-Cell A/D"/>
    <x v="1"/>
    <x v="0"/>
  </r>
  <r>
    <n v="99"/>
    <x v="9"/>
    <n v="2116"/>
    <s v="na"/>
    <d v="2021-04-20T00:00:00"/>
    <d v="2021-04-20T00:00:00"/>
    <s v="FBC"/>
    <s v="SBI"/>
    <s v="SBI"/>
    <x v="3"/>
    <s v="HDBO075DDU02"/>
    <s v="A5028174A$0000212_2111"/>
    <n v="2111"/>
    <s v="A-5028-174-**"/>
    <s v="SSVE"/>
    <s v="na"/>
    <s v="na"/>
    <s v="Raf Contaminate"/>
    <s v="O-Cell A/D"/>
    <x v="1"/>
    <x v="0"/>
  </r>
  <r>
    <n v="100"/>
    <x v="9"/>
    <n v="2116"/>
    <s v="na"/>
    <d v="2021-04-20T00:00:00"/>
    <d v="2021-04-20T00:00:00"/>
    <s v="FBC"/>
    <s v="SBI"/>
    <s v="SBI"/>
    <x v="3"/>
    <s v="HDBO075DDU02"/>
    <s v="A5028174A$0000213_2111"/>
    <n v="2111"/>
    <s v="A-5028-174-**"/>
    <s v="SSVE"/>
    <s v="na"/>
    <s v="na"/>
    <s v="Raf Contaminate"/>
    <s v="O-Cell A/D"/>
    <x v="1"/>
    <x v="0"/>
  </r>
  <r>
    <n v="101"/>
    <x v="9"/>
    <n v="2116"/>
    <s v="na"/>
    <d v="2021-04-20T00:00:00"/>
    <d v="2021-04-20T00:00:00"/>
    <s v="FBC"/>
    <s v="SBI"/>
    <s v="SBI"/>
    <x v="3"/>
    <s v="HDBO075DDU02"/>
    <s v="A5028174A$0000214_2111"/>
    <n v="2111"/>
    <s v="A-5028-174-**"/>
    <s v="SSVE"/>
    <s v="na"/>
    <s v="na"/>
    <s v="Raf Contaminate"/>
    <s v="O-Cell A/D"/>
    <x v="1"/>
    <x v="0"/>
  </r>
  <r>
    <n v="102"/>
    <x v="9"/>
    <n v="2116"/>
    <s v="na"/>
    <d v="2021-04-20T00:00:00"/>
    <d v="2021-04-20T00:00:00"/>
    <s v="FBC"/>
    <s v="SBI"/>
    <s v="SBI"/>
    <x v="3"/>
    <s v="HDBO075DDU02"/>
    <s v="A5028174A$0000215_2111"/>
    <n v="2111"/>
    <s v="A-5028-174-**"/>
    <s v="SSVE"/>
    <s v="na"/>
    <s v="na"/>
    <s v="Raf Contaminate"/>
    <s v="O-Cell A/D"/>
    <x v="1"/>
    <x v="0"/>
  </r>
  <r>
    <n v="103"/>
    <x v="9"/>
    <n v="2116"/>
    <s v="na"/>
    <d v="2021-04-20T00:00:00"/>
    <d v="2021-04-20T00:00:00"/>
    <s v="FBC"/>
    <s v="SBI"/>
    <s v="SBI"/>
    <x v="3"/>
    <s v="HDBO075DDU02"/>
    <s v="A5028174A$0000216_2111"/>
    <n v="2111"/>
    <s v="A-5028-174-**"/>
    <s v="SSVE"/>
    <s v="na"/>
    <s v="na"/>
    <s v="Raf Contaminate"/>
    <s v="O-Cell A/D"/>
    <x v="1"/>
    <x v="0"/>
  </r>
  <r>
    <n v="104"/>
    <x v="9"/>
    <n v="2116"/>
    <s v="na"/>
    <d v="2021-04-20T00:00:00"/>
    <d v="2021-04-20T00:00:00"/>
    <s v="FBC"/>
    <s v="SBI"/>
    <s v="SBI"/>
    <x v="3"/>
    <s v="HDBO075DDU02"/>
    <s v="A5028174A$0000217_2111"/>
    <n v="2111"/>
    <s v="A-5028-174-**"/>
    <s v="SSVE"/>
    <s v="na"/>
    <s v="na"/>
    <s v="Raf Contaminate"/>
    <s v="O-Cell A/D"/>
    <x v="1"/>
    <x v="0"/>
  </r>
  <r>
    <n v="105"/>
    <x v="9"/>
    <n v="2116"/>
    <s v="na"/>
    <d v="2021-04-20T00:00:00"/>
    <d v="2021-04-20T00:00:00"/>
    <s v="FBC"/>
    <s v="SBI"/>
    <s v="SBI"/>
    <x v="3"/>
    <s v="HDBO075DDU02"/>
    <s v="A5028174A$0000218_2111"/>
    <n v="2111"/>
    <s v="A-5028-174-**"/>
    <s v="SSVE"/>
    <s v="na"/>
    <s v="na"/>
    <s v="Raf Contaminate"/>
    <s v="O-Cell A/D"/>
    <x v="1"/>
    <x v="0"/>
  </r>
  <r>
    <n v="106"/>
    <x v="9"/>
    <n v="2116"/>
    <s v="na"/>
    <d v="2021-04-20T00:00:00"/>
    <d v="2021-04-20T00:00:00"/>
    <s v="FBC"/>
    <s v="SBI"/>
    <s v="SBI"/>
    <x v="3"/>
    <s v="HDBO075DDU02"/>
    <s v="A5028174A$0000219_2111"/>
    <n v="2111"/>
    <s v="A-5028-174-**"/>
    <s v="SSVE"/>
    <s v="na"/>
    <s v="na"/>
    <s v="Raf Contaminate"/>
    <s v="O-Cell A/D"/>
    <x v="1"/>
    <x v="0"/>
  </r>
  <r>
    <n v="107"/>
    <x v="9"/>
    <n v="2116"/>
    <s v="na"/>
    <d v="2021-04-20T00:00:00"/>
    <d v="2021-04-20T00:00:00"/>
    <s v="FBC"/>
    <s v="SBI"/>
    <s v="SBI"/>
    <x v="3"/>
    <s v="HDBO075DDU02"/>
    <s v="A5028174A$0000220_2111"/>
    <n v="2111"/>
    <s v="A-5028-174-**"/>
    <s v="SSVE"/>
    <s v="na"/>
    <s v="na"/>
    <s v="Raf Contaminate"/>
    <s v="O-Cell A/D"/>
    <x v="1"/>
    <x v="0"/>
  </r>
  <r>
    <n v="108"/>
    <x v="9"/>
    <n v="2116"/>
    <s v="na"/>
    <d v="2021-04-20T00:00:00"/>
    <d v="2021-04-20T00:00:00"/>
    <s v="FBC"/>
    <s v="SBI"/>
    <s v="SBI"/>
    <x v="3"/>
    <s v="HDBO075DDU02"/>
    <s v="A5028174A$0000221_2111"/>
    <n v="2111"/>
    <s v="A-5028-174-**"/>
    <s v="SSVE"/>
    <s v="na"/>
    <s v="na"/>
    <s v="Raf Contaminate"/>
    <s v="O-Cell A/D"/>
    <x v="1"/>
    <x v="0"/>
  </r>
  <r>
    <n v="109"/>
    <x v="9"/>
    <n v="2116"/>
    <s v="na"/>
    <d v="2021-04-20T00:00:00"/>
    <d v="2021-04-20T00:00:00"/>
    <s v="FBC"/>
    <s v="SBI"/>
    <s v="SBI"/>
    <x v="3"/>
    <s v="HDBO075DDU02"/>
    <s v="A5028174A$0000222_2111"/>
    <n v="2111"/>
    <s v="A-5028-174-**"/>
    <s v="SSVE"/>
    <s v="na"/>
    <s v="na"/>
    <s v="Raf Contaminate"/>
    <s v="O-Cell A/D"/>
    <x v="1"/>
    <x v="0"/>
  </r>
  <r>
    <n v="110"/>
    <x v="9"/>
    <n v="2116"/>
    <s v="na"/>
    <d v="2021-04-20T00:00:00"/>
    <d v="2021-04-20T00:00:00"/>
    <s v="FBC"/>
    <s v="SBI"/>
    <s v="SBI"/>
    <x v="3"/>
    <s v="HDBO075DDU02"/>
    <s v="A5028174A$0000223_2111"/>
    <n v="2111"/>
    <s v="A-5028-174-**"/>
    <s v="SSVE"/>
    <s v="na"/>
    <s v="na"/>
    <s v="Raf Contaminate"/>
    <s v="O-Cell A/D"/>
    <x v="1"/>
    <x v="0"/>
  </r>
  <r>
    <n v="111"/>
    <x v="9"/>
    <n v="2116"/>
    <s v="na"/>
    <d v="2021-04-20T00:00:00"/>
    <d v="2021-04-20T00:00:00"/>
    <s v="FBC"/>
    <s v="SBI"/>
    <s v="SBI"/>
    <x v="3"/>
    <s v="HDBO075DDU02"/>
    <s v="A5028174A$0000224_2111"/>
    <n v="2111"/>
    <s v="A-5028-174-**"/>
    <s v="SSVE"/>
    <s v="na"/>
    <s v="na"/>
    <s v="Raf Contaminate"/>
    <s v="O-Cell A/D"/>
    <x v="1"/>
    <x v="0"/>
  </r>
  <r>
    <n v="112"/>
    <x v="9"/>
    <n v="2116"/>
    <s v="na"/>
    <d v="2021-04-20T00:00:00"/>
    <d v="2021-04-20T00:00:00"/>
    <s v="FBC"/>
    <s v="SBI"/>
    <s v="SBI"/>
    <x v="3"/>
    <s v="HDBO075DDU02"/>
    <s v="A5028174A$0000225_2111"/>
    <n v="2111"/>
    <s v="A-5028-174-**"/>
    <s v="SSVE"/>
    <s v="na"/>
    <s v="na"/>
    <s v="Raf Contaminate"/>
    <s v="O-Cell A/D"/>
    <x v="1"/>
    <x v="0"/>
  </r>
  <r>
    <n v="113"/>
    <x v="9"/>
    <n v="2116"/>
    <s v="na"/>
    <d v="2021-04-20T00:00:00"/>
    <d v="2021-04-20T00:00:00"/>
    <s v="FBC"/>
    <s v="SBI"/>
    <s v="SBI"/>
    <x v="3"/>
    <s v="HDBO075DDU02"/>
    <s v="A5028174A$0000226_2111"/>
    <n v="2111"/>
    <s v="A-5028-174-**"/>
    <s v="SSVE"/>
    <s v="na"/>
    <s v="na"/>
    <s v="Raf Contaminate"/>
    <s v="O-Cell A/D"/>
    <x v="1"/>
    <x v="0"/>
  </r>
  <r>
    <n v="114"/>
    <x v="9"/>
    <n v="2116"/>
    <s v="na"/>
    <d v="2021-04-20T00:00:00"/>
    <d v="2021-04-20T00:00:00"/>
    <s v="FBC"/>
    <s v="SBI"/>
    <s v="SBI"/>
    <x v="3"/>
    <s v="HDBO075DDU02"/>
    <s v="A5028174A$0000227_2111"/>
    <n v="2111"/>
    <s v="A-5028-174-**"/>
    <s v="SSVE"/>
    <s v="na"/>
    <s v="na"/>
    <s v="Raf Contaminate"/>
    <s v="O-Cell A/D"/>
    <x v="1"/>
    <x v="0"/>
  </r>
  <r>
    <n v="115"/>
    <x v="9"/>
    <n v="2116"/>
    <s v="na"/>
    <d v="2021-04-20T00:00:00"/>
    <d v="2021-04-20T00:00:00"/>
    <s v="FBC"/>
    <s v="SBI"/>
    <s v="SBI"/>
    <x v="3"/>
    <s v="HDBO075DDU02"/>
    <s v="A5028174A$0000228_2111"/>
    <n v="2111"/>
    <s v="A-5028-174-**"/>
    <s v="SSVE"/>
    <s v="na"/>
    <s v="na"/>
    <s v="Raf Contaminate"/>
    <s v="O-Cell A/D"/>
    <x v="1"/>
    <x v="0"/>
  </r>
  <r>
    <n v="116"/>
    <x v="9"/>
    <n v="2116"/>
    <s v="na"/>
    <d v="2021-04-20T00:00:00"/>
    <d v="2021-04-20T00:00:00"/>
    <s v="FBC"/>
    <s v="SBI"/>
    <s v="SBI"/>
    <x v="3"/>
    <s v="HDBO075DDU02"/>
    <s v="A5028174A$0000229_2111"/>
    <n v="2111"/>
    <s v="A-5028-174-**"/>
    <s v="SSVE"/>
    <s v="na"/>
    <s v="na"/>
    <s v="Raf Contaminate"/>
    <s v="O-Cell A/D"/>
    <x v="1"/>
    <x v="0"/>
  </r>
  <r>
    <n v="117"/>
    <x v="9"/>
    <n v="2116"/>
    <s v="na"/>
    <d v="2021-04-20T00:00:00"/>
    <d v="2021-04-20T00:00:00"/>
    <s v="FBC"/>
    <s v="SBI"/>
    <s v="SBI"/>
    <x v="3"/>
    <s v="HDBO075DDU02"/>
    <s v="A5028174A$0000230_2111"/>
    <n v="2111"/>
    <s v="A-5028-174-**"/>
    <s v="SSVE"/>
    <s v="na"/>
    <s v="na"/>
    <s v="Raf Contaminate"/>
    <s v="O-Cell A/D"/>
    <x v="1"/>
    <x v="0"/>
  </r>
  <r>
    <n v="118"/>
    <x v="9"/>
    <n v="2116"/>
    <s v="na"/>
    <d v="2021-04-20T00:00:00"/>
    <d v="2021-04-20T00:00:00"/>
    <s v="FBC"/>
    <s v="SBI"/>
    <s v="SBI"/>
    <x v="3"/>
    <s v="HDBO075DDU02"/>
    <s v="A5028174A$0000231_2111"/>
    <n v="2111"/>
    <s v="A-5028-174-**"/>
    <s v="SSVE"/>
    <s v="na"/>
    <s v="na"/>
    <s v="Raf Contaminate"/>
    <s v="O-Cell A/D"/>
    <x v="1"/>
    <x v="0"/>
  </r>
  <r>
    <n v="119"/>
    <x v="9"/>
    <n v="2116"/>
    <s v="na"/>
    <d v="2021-04-20T00:00:00"/>
    <d v="2021-04-20T00:00:00"/>
    <s v="FBC"/>
    <s v="SBI"/>
    <s v="SBI"/>
    <x v="3"/>
    <s v="HDBO075DDU02"/>
    <s v="A5028174A$0000232_2111"/>
    <n v="2111"/>
    <s v="A-5028-174-**"/>
    <s v="SSVE"/>
    <s v="na"/>
    <s v="na"/>
    <s v="Raf Contaminate"/>
    <s v="O-Cell A/D"/>
    <x v="1"/>
    <x v="0"/>
  </r>
  <r>
    <n v="120"/>
    <x v="9"/>
    <n v="2116"/>
    <s v="na"/>
    <d v="2021-04-20T00:00:00"/>
    <d v="2021-04-20T00:00:00"/>
    <s v="FBC"/>
    <s v="SBI"/>
    <s v="SBI"/>
    <x v="3"/>
    <s v="HDBO075DDU02"/>
    <s v="A5028174A$0000233_2111"/>
    <n v="2111"/>
    <s v="A-5028-174-**"/>
    <s v="SSVE"/>
    <s v="na"/>
    <s v="na"/>
    <s v="Raf Contaminate"/>
    <s v="O-Cell A/D"/>
    <x v="1"/>
    <x v="0"/>
  </r>
  <r>
    <n v="121"/>
    <x v="9"/>
    <n v="2116"/>
    <s v="na"/>
    <d v="2021-04-20T00:00:00"/>
    <d v="2021-04-20T00:00:00"/>
    <s v="FBC"/>
    <s v="SBI"/>
    <s v="SBI"/>
    <x v="3"/>
    <s v="HDBO075DDU02"/>
    <s v="A5028174A$0000234_2111"/>
    <n v="2111"/>
    <s v="A-5028-174-**"/>
    <s v="SSVE"/>
    <s v="na"/>
    <s v="na"/>
    <s v="Raf Contaminate"/>
    <s v="O-Cell A/D"/>
    <x v="1"/>
    <x v="0"/>
  </r>
  <r>
    <n v="122"/>
    <x v="9"/>
    <n v="2116"/>
    <s v="na"/>
    <d v="2021-04-20T00:00:00"/>
    <d v="2021-04-20T00:00:00"/>
    <s v="FBC"/>
    <s v="SBI"/>
    <s v="SBI"/>
    <x v="3"/>
    <s v="HDBO075DDU02"/>
    <s v="A5028174A$0000235_2111"/>
    <n v="2111"/>
    <s v="A-5028-174-**"/>
    <s v="SSVE"/>
    <s v="na"/>
    <s v="na"/>
    <s v="Raf Contaminate"/>
    <s v="O-Cell A/D"/>
    <x v="1"/>
    <x v="0"/>
  </r>
  <r>
    <n v="123"/>
    <x v="9"/>
    <n v="2116"/>
    <s v="na"/>
    <d v="2021-04-20T00:00:00"/>
    <d v="2021-04-20T00:00:00"/>
    <s v="FBC"/>
    <s v="SBI"/>
    <s v="SBI"/>
    <x v="3"/>
    <s v="HDBO075DDU02"/>
    <s v="A5028174A$0000236_2111"/>
    <n v="2111"/>
    <s v="A-5028-174-**"/>
    <s v="SSVE"/>
    <s v="na"/>
    <s v="na"/>
    <s v="Raf Contaminate"/>
    <s v="O-Cell A/D"/>
    <x v="1"/>
    <x v="0"/>
  </r>
  <r>
    <n v="124"/>
    <x v="9"/>
    <n v="2116"/>
    <s v="na"/>
    <d v="2021-04-20T00:00:00"/>
    <d v="2021-04-20T00:00:00"/>
    <s v="FBC"/>
    <s v="SBI"/>
    <s v="SBI"/>
    <x v="3"/>
    <s v="HDBO075DDU02"/>
    <s v="A5028174A$0000237_2111"/>
    <n v="2111"/>
    <s v="A-5028-174-**"/>
    <s v="SSVE"/>
    <s v="na"/>
    <s v="na"/>
    <s v="Raf Contaminate"/>
    <s v="O-Cell A/D"/>
    <x v="1"/>
    <x v="0"/>
  </r>
  <r>
    <n v="125"/>
    <x v="9"/>
    <n v="2116"/>
    <s v="na"/>
    <d v="2021-04-20T00:00:00"/>
    <d v="2021-04-20T00:00:00"/>
    <s v="FBC"/>
    <s v="SBI"/>
    <s v="SBI"/>
    <x v="3"/>
    <s v="HDBO075DDU02"/>
    <s v="A5028174A$0000238_2111"/>
    <n v="2111"/>
    <s v="A-5028-174-**"/>
    <s v="SSVE"/>
    <s v="na"/>
    <s v="na"/>
    <s v="Raf Contaminate"/>
    <s v="O-Cell A/D"/>
    <x v="1"/>
    <x v="0"/>
  </r>
  <r>
    <n v="126"/>
    <x v="9"/>
    <n v="2116"/>
    <s v="na"/>
    <d v="2021-04-20T00:00:00"/>
    <d v="2021-04-20T00:00:00"/>
    <s v="FBC"/>
    <s v="SBI"/>
    <s v="SBI"/>
    <x v="3"/>
    <s v="HDBO075DDU02"/>
    <s v="A5028174A$0000239_2111"/>
    <n v="2111"/>
    <s v="A-5028-174-**"/>
    <s v="SSVE"/>
    <s v="na"/>
    <s v="na"/>
    <s v="Raf Contaminate"/>
    <s v="O-Cell A/D"/>
    <x v="1"/>
    <x v="0"/>
  </r>
  <r>
    <n v="127"/>
    <x v="9"/>
    <n v="2116"/>
    <s v="na"/>
    <d v="2021-04-20T00:00:00"/>
    <d v="2021-04-20T00:00:00"/>
    <s v="FBC"/>
    <s v="SBI"/>
    <s v="SBI"/>
    <x v="3"/>
    <s v="HDBO075DDU02"/>
    <s v="A5028174A$0000240_2111"/>
    <n v="2111"/>
    <s v="A-5028-174-**"/>
    <s v="SSVE"/>
    <s v="na"/>
    <s v="na"/>
    <s v="Raf Contaminate"/>
    <s v="O-Cell A/D"/>
    <x v="1"/>
    <x v="0"/>
  </r>
  <r>
    <n v="128"/>
    <x v="9"/>
    <n v="2116"/>
    <s v="na"/>
    <d v="2021-04-20T00:00:00"/>
    <d v="2021-04-20T00:00:00"/>
    <s v="FBC"/>
    <s v="SBI"/>
    <s v="SBI"/>
    <x v="3"/>
    <s v="HDBO075DDU02"/>
    <s v="A5028174A$0000241_2111"/>
    <n v="2111"/>
    <s v="A-5028-174-**"/>
    <s v="SSVE"/>
    <s v="na"/>
    <s v="na"/>
    <s v="Raf Contaminate"/>
    <s v="O-Cell A/D"/>
    <x v="1"/>
    <x v="0"/>
  </r>
  <r>
    <n v="129"/>
    <x v="9"/>
    <n v="2116"/>
    <s v="na"/>
    <d v="2021-04-20T00:00:00"/>
    <d v="2021-04-20T00:00:00"/>
    <s v="FBC"/>
    <s v="SBI"/>
    <s v="SBI"/>
    <x v="3"/>
    <s v="HDBO075DDU02"/>
    <s v="A5028174A$0000242_2111"/>
    <n v="2111"/>
    <s v="A-5028-174-**"/>
    <s v="SSVE"/>
    <s v="na"/>
    <s v="na"/>
    <s v="Raf Contaminate"/>
    <s v="O-Cell A/D"/>
    <x v="1"/>
    <x v="0"/>
  </r>
  <r>
    <n v="130"/>
    <x v="9"/>
    <n v="2116"/>
    <s v="na"/>
    <d v="2021-04-20T00:00:00"/>
    <d v="2021-04-20T00:00:00"/>
    <s v="FBC"/>
    <s v="SBI"/>
    <s v="SBI"/>
    <x v="3"/>
    <s v="HDBO075DDU02"/>
    <s v="A5028174A$0000243_2111"/>
    <n v="2111"/>
    <s v="A-5028-174-**"/>
    <s v="SSVE"/>
    <s v="na"/>
    <s v="na"/>
    <s v="Raf Contaminate"/>
    <s v="O-Cell A/D"/>
    <x v="1"/>
    <x v="0"/>
  </r>
  <r>
    <n v="131"/>
    <x v="9"/>
    <n v="2116"/>
    <s v="na"/>
    <d v="2021-04-20T00:00:00"/>
    <d v="2021-04-20T00:00:00"/>
    <s v="FBC"/>
    <s v="SBI"/>
    <s v="SBI"/>
    <x v="3"/>
    <s v="HDBO075DDU02"/>
    <s v="A5028174A$0000244_2111"/>
    <n v="2111"/>
    <s v="A-5028-174-**"/>
    <s v="SSVE"/>
    <s v="na"/>
    <s v="na"/>
    <s v="Raf Contaminate"/>
    <s v="O-Cell A/D"/>
    <x v="1"/>
    <x v="0"/>
  </r>
  <r>
    <n v="132"/>
    <x v="9"/>
    <n v="2116"/>
    <s v="na"/>
    <d v="2021-04-20T00:00:00"/>
    <d v="2021-04-20T00:00:00"/>
    <s v="FBC"/>
    <s v="SBI"/>
    <s v="SBI"/>
    <x v="3"/>
    <s v="HDBO075DDU02"/>
    <s v="A5028174A$0000245_2111"/>
    <n v="2111"/>
    <s v="A-5028-174-**"/>
    <s v="SSVE"/>
    <s v="na"/>
    <s v="na"/>
    <s v="Raf Contaminate"/>
    <s v="O-Cell A/D"/>
    <x v="1"/>
    <x v="0"/>
  </r>
  <r>
    <n v="133"/>
    <x v="9"/>
    <n v="2116"/>
    <s v="na"/>
    <d v="2021-04-20T00:00:00"/>
    <d v="2021-04-20T00:00:00"/>
    <s v="FBC"/>
    <s v="SBI"/>
    <s v="SBI"/>
    <x v="3"/>
    <s v="HDBO075DDU02"/>
    <s v="A5028174A$0000246_2111"/>
    <n v="2111"/>
    <s v="A-5028-174-**"/>
    <s v="SSVE"/>
    <s v="na"/>
    <s v="na"/>
    <s v="Raf Contaminate"/>
    <s v="O-Cell A/D"/>
    <x v="1"/>
    <x v="0"/>
  </r>
  <r>
    <n v="134"/>
    <x v="9"/>
    <n v="2116"/>
    <s v="na"/>
    <d v="2021-04-20T00:00:00"/>
    <d v="2021-04-20T00:00:00"/>
    <s v="FBC"/>
    <s v="SBI"/>
    <s v="SBI"/>
    <x v="3"/>
    <s v="HDBO075DDU02"/>
    <s v="A5028174A$0000247_2111"/>
    <n v="2111"/>
    <s v="A-5028-174-**"/>
    <s v="SSVE"/>
    <s v="na"/>
    <s v="na"/>
    <s v="Raf Contaminate"/>
    <s v="O-Cell A/D"/>
    <x v="1"/>
    <x v="0"/>
  </r>
  <r>
    <n v="135"/>
    <x v="9"/>
    <n v="2116"/>
    <s v="na"/>
    <d v="2021-04-20T00:00:00"/>
    <d v="2021-04-20T00:00:00"/>
    <s v="FBC"/>
    <s v="SBI"/>
    <s v="SBI"/>
    <x v="3"/>
    <s v="HDBO075DDU02"/>
    <s v="A5028174A$0000248_2111"/>
    <n v="2111"/>
    <s v="A-5028-174-**"/>
    <s v="SSVE"/>
    <s v="na"/>
    <s v="na"/>
    <s v="Raf Contaminate"/>
    <s v="O-Cell A/D"/>
    <x v="1"/>
    <x v="0"/>
  </r>
  <r>
    <n v="136"/>
    <x v="9"/>
    <n v="2116"/>
    <s v="na"/>
    <d v="2021-04-20T00:00:00"/>
    <d v="2021-04-20T00:00:00"/>
    <s v="FBC"/>
    <s v="SBI"/>
    <s v="SBI"/>
    <x v="3"/>
    <s v="HDBO075DDU02"/>
    <s v="A5028174A$0000249_2111"/>
    <n v="2111"/>
    <s v="A-5028-174-**"/>
    <s v="SSVE"/>
    <s v="na"/>
    <s v="na"/>
    <s v="Raf Contaminate"/>
    <s v="O-Cell A/D"/>
    <x v="1"/>
    <x v="0"/>
  </r>
  <r>
    <n v="137"/>
    <x v="9"/>
    <n v="2116"/>
    <s v="na"/>
    <d v="2021-04-20T00:00:00"/>
    <d v="2021-04-20T00:00:00"/>
    <s v="FBC"/>
    <s v="SBI"/>
    <s v="SBI"/>
    <x v="3"/>
    <s v="HDBO075DDU02"/>
    <s v="A5028174A$0000250_2111"/>
    <n v="2111"/>
    <s v="A-5028-174-**"/>
    <s v="SSVE"/>
    <s v="na"/>
    <s v="na"/>
    <s v="Raf Contaminate"/>
    <s v="O-Cell A/D"/>
    <x v="1"/>
    <x v="0"/>
  </r>
  <r>
    <n v="138"/>
    <x v="9"/>
    <n v="2116"/>
    <s v="na"/>
    <d v="2021-04-20T00:00:00"/>
    <d v="2021-04-20T00:00:00"/>
    <s v="FBC"/>
    <s v="SBI"/>
    <s v="SBI"/>
    <x v="3"/>
    <s v="HDBO075DDU02"/>
    <s v="A5028174A$0000251_2111"/>
    <n v="2111"/>
    <s v="A-5028-174-**"/>
    <s v="SSVE"/>
    <s v="na"/>
    <s v="na"/>
    <s v="Raf Contaminate"/>
    <s v="O-Cell A/D"/>
    <x v="1"/>
    <x v="0"/>
  </r>
  <r>
    <n v="139"/>
    <x v="9"/>
    <n v="2116"/>
    <s v="na"/>
    <d v="2021-04-20T00:00:00"/>
    <d v="2021-04-20T00:00:00"/>
    <s v="FBC"/>
    <s v="SBI"/>
    <s v="SBI"/>
    <x v="3"/>
    <s v="HDBO075DDU02"/>
    <s v="A5028174A$0000252_2111"/>
    <n v="2111"/>
    <s v="A-5028-174-**"/>
    <s v="SSVE"/>
    <s v="na"/>
    <s v="na"/>
    <s v="Raf Contaminate"/>
    <s v="O-Cell A/D"/>
    <x v="1"/>
    <x v="0"/>
  </r>
  <r>
    <n v="140"/>
    <x v="9"/>
    <n v="2116"/>
    <s v="na"/>
    <d v="2021-04-20T00:00:00"/>
    <d v="2021-04-20T00:00:00"/>
    <s v="FBC"/>
    <s v="SBI"/>
    <s v="SBI"/>
    <x v="3"/>
    <s v="HDBO075DDU02"/>
    <s v="A5028174A$0000253_2111"/>
    <n v="2111"/>
    <s v="A-5028-174-**"/>
    <s v="SSVE"/>
    <s v="na"/>
    <s v="na"/>
    <s v="Raf Contaminate"/>
    <s v="O-Cell A/D"/>
    <x v="1"/>
    <x v="0"/>
  </r>
  <r>
    <n v="141"/>
    <x v="9"/>
    <n v="2116"/>
    <s v="na"/>
    <d v="2021-04-20T00:00:00"/>
    <d v="2021-04-20T00:00:00"/>
    <s v="FBC"/>
    <s v="SBI"/>
    <s v="SBI"/>
    <x v="3"/>
    <s v="HDBO075DDU02"/>
    <s v="A5028174A$0000254_2111"/>
    <n v="2111"/>
    <s v="A-5028-174-**"/>
    <s v="SSVE"/>
    <s v="na"/>
    <s v="na"/>
    <s v="Raf Contaminate"/>
    <s v="O-Cell A/D"/>
    <x v="1"/>
    <x v="0"/>
  </r>
  <r>
    <n v="142"/>
    <x v="9"/>
    <n v="2116"/>
    <s v="na"/>
    <d v="2021-04-20T00:00:00"/>
    <d v="2021-04-20T00:00:00"/>
    <s v="FBC"/>
    <s v="SBI"/>
    <s v="SBI"/>
    <x v="3"/>
    <s v="HDBO075DDU02"/>
    <s v="A5028174A$0000255_2111"/>
    <n v="2111"/>
    <s v="A-5028-174-**"/>
    <s v="SSVE"/>
    <s v="na"/>
    <s v="na"/>
    <s v="Raf Contaminate"/>
    <s v="O-Cell A/D"/>
    <x v="1"/>
    <x v="0"/>
  </r>
  <r>
    <n v="143"/>
    <x v="9"/>
    <n v="2116"/>
    <s v="na"/>
    <d v="2021-04-20T00:00:00"/>
    <d v="2021-04-20T00:00:00"/>
    <s v="FBC"/>
    <s v="SBI"/>
    <s v="SBI"/>
    <x v="3"/>
    <s v="HDBO075DDU02"/>
    <s v="A5028174A$0000256_2111"/>
    <n v="2111"/>
    <s v="A-5028-174-**"/>
    <s v="SSVE"/>
    <s v="na"/>
    <s v="na"/>
    <s v="Raf Contaminate"/>
    <s v="O-Cell A/D"/>
    <x v="1"/>
    <x v="0"/>
  </r>
  <r>
    <n v="144"/>
    <x v="9"/>
    <n v="2116"/>
    <s v="na"/>
    <d v="2021-04-20T00:00:00"/>
    <d v="2021-04-20T00:00:00"/>
    <s v="FBC"/>
    <s v="SBI"/>
    <s v="SBI"/>
    <x v="3"/>
    <s v="HDBO075DDU02"/>
    <s v="A5028174A$0000257_2111"/>
    <n v="2111"/>
    <s v="A-5028-174-**"/>
    <s v="SSVE"/>
    <s v="na"/>
    <s v="na"/>
    <s v="Raf Contaminate"/>
    <s v="O-Cell A/D"/>
    <x v="1"/>
    <x v="0"/>
  </r>
  <r>
    <n v="145"/>
    <x v="9"/>
    <n v="2116"/>
    <s v="na"/>
    <d v="2021-04-20T00:00:00"/>
    <d v="2021-04-20T00:00:00"/>
    <s v="FBC"/>
    <s v="SBI"/>
    <s v="SBI"/>
    <x v="3"/>
    <s v="HDBO075DDU02"/>
    <s v="A5028174A$0000258_2111"/>
    <n v="2111"/>
    <s v="A-5028-174-**"/>
    <s v="SSVE"/>
    <s v="na"/>
    <s v="na"/>
    <s v="Raf Contaminate"/>
    <s v="O-Cell A/D"/>
    <x v="1"/>
    <x v="0"/>
  </r>
  <r>
    <n v="146"/>
    <x v="9"/>
    <n v="2116"/>
    <s v="na"/>
    <d v="2021-04-20T00:00:00"/>
    <d v="2021-04-20T00:00:00"/>
    <s v="FBC"/>
    <s v="SBI"/>
    <s v="SBI"/>
    <x v="3"/>
    <s v="HDBO075DDU02"/>
    <s v="A5028174A$0000259_2111"/>
    <n v="2111"/>
    <s v="A-5028-174-**"/>
    <s v="SSVE"/>
    <s v="na"/>
    <s v="na"/>
    <s v="Raf Contaminate"/>
    <s v="O-Cell A/D"/>
    <x v="1"/>
    <x v="0"/>
  </r>
  <r>
    <n v="147"/>
    <x v="9"/>
    <n v="2116"/>
    <s v="na"/>
    <d v="2021-04-20T00:00:00"/>
    <d v="2021-04-20T00:00:00"/>
    <s v="FBC"/>
    <s v="SBI"/>
    <s v="SBI"/>
    <x v="3"/>
    <s v="HDBO075DDU02"/>
    <s v="A5028174A$0000260_2111"/>
    <n v="2111"/>
    <s v="A-5028-174-**"/>
    <s v="SSVE"/>
    <s v="na"/>
    <s v="na"/>
    <s v="Raf Contaminate"/>
    <s v="O-Cell A/D"/>
    <x v="1"/>
    <x v="0"/>
  </r>
  <r>
    <n v="148"/>
    <x v="9"/>
    <n v="2116"/>
    <s v="na"/>
    <d v="2021-04-20T00:00:00"/>
    <d v="2021-04-20T00:00:00"/>
    <s v="FBC"/>
    <s v="SBI"/>
    <s v="SBI"/>
    <x v="3"/>
    <s v="HDBO075DDU02"/>
    <s v="A5028174A$0000261_2111"/>
    <n v="2111"/>
    <s v="A-5028-174-**"/>
    <s v="SSVE"/>
    <s v="na"/>
    <s v="na"/>
    <s v="Raf Contaminate"/>
    <s v="O-Cell A/D"/>
    <x v="1"/>
    <x v="0"/>
  </r>
  <r>
    <n v="149"/>
    <x v="9"/>
    <n v="2116"/>
    <s v="na"/>
    <d v="2021-04-20T00:00:00"/>
    <d v="2021-04-20T00:00:00"/>
    <s v="FBC"/>
    <s v="SBI"/>
    <s v="SBI"/>
    <x v="3"/>
    <s v="HDBO075DDU02"/>
    <s v="A5028174A$0000262_2111"/>
    <n v="2111"/>
    <s v="A-5028-174-**"/>
    <s v="SSVE"/>
    <s v="na"/>
    <s v="na"/>
    <s v="Raf Contaminate"/>
    <s v="O-Cell A/D"/>
    <x v="1"/>
    <x v="0"/>
  </r>
  <r>
    <n v="150"/>
    <x v="9"/>
    <n v="2116"/>
    <s v="na"/>
    <d v="2021-04-20T00:00:00"/>
    <d v="2021-04-20T00:00:00"/>
    <s v="FBC"/>
    <s v="SBI"/>
    <s v="SBI"/>
    <x v="3"/>
    <s v="HDBO075DDU02"/>
    <s v="A5028174A$0000263_2111"/>
    <n v="2111"/>
    <s v="A-5028-174-**"/>
    <s v="SSVE"/>
    <s v="na"/>
    <s v="na"/>
    <s v="Raf Contaminate"/>
    <s v="O-Cell A/D"/>
    <x v="1"/>
    <x v="0"/>
  </r>
  <r>
    <n v="151"/>
    <x v="9"/>
    <n v="2116"/>
    <s v="na"/>
    <d v="2021-04-20T00:00:00"/>
    <d v="2021-04-20T00:00:00"/>
    <s v="FBC"/>
    <s v="SBI"/>
    <s v="SBI"/>
    <x v="3"/>
    <s v="HDBO075DDU02"/>
    <s v="A5028174A$0000264_2111"/>
    <n v="2111"/>
    <s v="A-5028-174-**"/>
    <s v="SSVE"/>
    <s v="na"/>
    <s v="na"/>
    <s v="Raf Contaminate"/>
    <s v="O-Cell A/D"/>
    <x v="1"/>
    <x v="0"/>
  </r>
  <r>
    <n v="152"/>
    <x v="9"/>
    <n v="2116"/>
    <s v="na"/>
    <d v="2021-04-20T00:00:00"/>
    <d v="2021-04-20T00:00:00"/>
    <s v="FBC"/>
    <s v="SBI"/>
    <s v="SBI"/>
    <x v="3"/>
    <s v="HDBO075DDU02"/>
    <s v="A5028174A$0000265_2111"/>
    <n v="2111"/>
    <s v="A-5028-174-**"/>
    <s v="SSVE"/>
    <s v="na"/>
    <s v="na"/>
    <s v="Raf Contaminate"/>
    <s v="O-Cell A/D"/>
    <x v="1"/>
    <x v="0"/>
  </r>
  <r>
    <n v="153"/>
    <x v="9"/>
    <n v="2116"/>
    <s v="na"/>
    <d v="2021-04-20T00:00:00"/>
    <d v="2021-04-20T00:00:00"/>
    <s v="FBC"/>
    <s v="SBI"/>
    <s v="SBI"/>
    <x v="3"/>
    <s v="HDBO075DDU02"/>
    <s v="A5028174A$0000266_2111"/>
    <n v="2111"/>
    <s v="A-5028-174-**"/>
    <s v="SSVE"/>
    <s v="na"/>
    <s v="na"/>
    <s v="Raf Contaminate"/>
    <s v="O-Cell A/D"/>
    <x v="1"/>
    <x v="0"/>
  </r>
  <r>
    <n v="154"/>
    <x v="9"/>
    <n v="2116"/>
    <s v="na"/>
    <d v="2021-04-20T00:00:00"/>
    <d v="2021-04-20T00:00:00"/>
    <s v="FBC"/>
    <s v="SBI"/>
    <s v="SBI"/>
    <x v="3"/>
    <s v="HDBO075DDU02"/>
    <s v="A5028174A$0000267_2111"/>
    <n v="2111"/>
    <s v="A-5028-174-**"/>
    <s v="SSVE"/>
    <s v="na"/>
    <s v="na"/>
    <s v="Raf Contaminate"/>
    <s v="O-Cell A/D"/>
    <x v="1"/>
    <x v="0"/>
  </r>
  <r>
    <n v="155"/>
    <x v="9"/>
    <n v="2116"/>
    <s v="na"/>
    <d v="2021-04-20T00:00:00"/>
    <d v="2021-04-20T00:00:00"/>
    <s v="FBC"/>
    <s v="SBI"/>
    <s v="SBI"/>
    <x v="3"/>
    <s v="HDBO075DDU02"/>
    <s v="A5028174A$0000268_2111"/>
    <n v="2111"/>
    <s v="A-5028-174-**"/>
    <s v="SSVE"/>
    <s v="na"/>
    <s v="na"/>
    <s v="Raf Contaminate"/>
    <s v="O-Cell A/D"/>
    <x v="1"/>
    <x v="0"/>
  </r>
  <r>
    <n v="156"/>
    <x v="9"/>
    <n v="2116"/>
    <s v="na"/>
    <d v="2021-04-20T00:00:00"/>
    <d v="2021-04-20T00:00:00"/>
    <s v="FBC"/>
    <s v="SBI"/>
    <s v="SBI"/>
    <x v="3"/>
    <s v="HDBO075DDU02"/>
    <s v="A5028174A$0000269_2111"/>
    <n v="2111"/>
    <s v="A-5028-174-**"/>
    <s v="SSVE"/>
    <s v="na"/>
    <s v="na"/>
    <s v="Raf Contaminate"/>
    <s v="O-Cell A/D"/>
    <x v="1"/>
    <x v="0"/>
  </r>
  <r>
    <n v="157"/>
    <x v="9"/>
    <n v="2116"/>
    <s v="na"/>
    <d v="2021-04-20T00:00:00"/>
    <d v="2021-04-20T00:00:00"/>
    <s v="FBC"/>
    <s v="SBI"/>
    <s v="SBI"/>
    <x v="3"/>
    <s v="HDBO075DDU02"/>
    <s v="A5028174A$0000270_2111"/>
    <n v="2111"/>
    <s v="A-5028-174-**"/>
    <s v="SSVE"/>
    <s v="na"/>
    <s v="na"/>
    <s v="Raf Contaminate"/>
    <s v="O-Cell A/D"/>
    <x v="1"/>
    <x v="0"/>
  </r>
  <r>
    <n v="158"/>
    <x v="9"/>
    <n v="2116"/>
    <s v="na"/>
    <d v="2021-04-20T00:00:00"/>
    <d v="2021-04-20T00:00:00"/>
    <s v="FBC"/>
    <s v="SBI"/>
    <s v="SBI"/>
    <x v="3"/>
    <s v="HDBO075DDU02"/>
    <s v="A5028174A$0000271_2111"/>
    <n v="2111"/>
    <s v="A-5028-174-**"/>
    <s v="SSVE"/>
    <s v="na"/>
    <s v="na"/>
    <s v="Raf Contaminate"/>
    <s v="O-Cell A/D"/>
    <x v="1"/>
    <x v="0"/>
  </r>
  <r>
    <n v="159"/>
    <x v="9"/>
    <n v="2116"/>
    <s v="na"/>
    <d v="2021-04-20T00:00:00"/>
    <d v="2021-04-20T00:00:00"/>
    <s v="FBC"/>
    <s v="SBI"/>
    <s v="SBI"/>
    <x v="3"/>
    <s v="HDBO075DDU02"/>
    <s v="A5028174A$0000272_2111"/>
    <n v="2111"/>
    <s v="A-5028-174-**"/>
    <s v="SSVE"/>
    <s v="na"/>
    <s v="na"/>
    <s v="Raf Contaminate"/>
    <s v="O-Cell A/D"/>
    <x v="1"/>
    <x v="0"/>
  </r>
  <r>
    <n v="160"/>
    <x v="9"/>
    <n v="2116"/>
    <s v="na"/>
    <d v="2021-04-20T00:00:00"/>
    <d v="2021-04-20T00:00:00"/>
    <s v="FBC"/>
    <s v="SBI"/>
    <s v="SBI"/>
    <x v="3"/>
    <s v="HDBO075DDU02"/>
    <s v="A5028174A$0000273_2111"/>
    <n v="2111"/>
    <s v="A-5028-174-**"/>
    <s v="SSVE"/>
    <s v="na"/>
    <s v="na"/>
    <s v="Raf Contaminate"/>
    <s v="O-Cell A/D"/>
    <x v="1"/>
    <x v="0"/>
  </r>
  <r>
    <n v="161"/>
    <x v="9"/>
    <n v="2116"/>
    <s v="na"/>
    <d v="2021-04-20T00:00:00"/>
    <d v="2021-04-20T00:00:00"/>
    <s v="FBC"/>
    <s v="SBI"/>
    <s v="SBI"/>
    <x v="3"/>
    <s v="HDBO075DDU02"/>
    <s v="A5028174A$0000274_2111"/>
    <n v="2111"/>
    <s v="A-5028-174-**"/>
    <s v="SSVE"/>
    <s v="na"/>
    <s v="na"/>
    <s v="Raf Contaminate"/>
    <s v="O-Cell A/D"/>
    <x v="1"/>
    <x v="0"/>
  </r>
  <r>
    <n v="162"/>
    <x v="9"/>
    <n v="2116"/>
    <s v="na"/>
    <d v="2021-04-20T00:00:00"/>
    <d v="2021-04-20T00:00:00"/>
    <s v="FBC"/>
    <s v="SBI"/>
    <s v="SBI"/>
    <x v="3"/>
    <s v="HDBO075DDU02"/>
    <s v="A5028174A$0000275_2111"/>
    <n v="2111"/>
    <s v="A-5028-174-**"/>
    <s v="SSVE"/>
    <s v="na"/>
    <s v="na"/>
    <s v="Raf Contaminate"/>
    <s v="O-Cell A/D"/>
    <x v="1"/>
    <x v="0"/>
  </r>
  <r>
    <n v="163"/>
    <x v="9"/>
    <n v="2116"/>
    <s v="na"/>
    <d v="2021-04-20T00:00:00"/>
    <d v="2021-04-20T00:00:00"/>
    <s v="FBC"/>
    <s v="SBI"/>
    <s v="SBI"/>
    <x v="3"/>
    <s v="HDBO075DDU02"/>
    <s v="A5028174A$0000276_2111"/>
    <n v="2111"/>
    <s v="A-5028-174-**"/>
    <s v="SSVE"/>
    <s v="na"/>
    <s v="na"/>
    <s v="Raf Contaminate"/>
    <s v="O-Cell A/D"/>
    <x v="1"/>
    <x v="0"/>
  </r>
  <r>
    <n v="164"/>
    <x v="9"/>
    <n v="2116"/>
    <s v="na"/>
    <d v="2021-04-20T00:00:00"/>
    <d v="2021-04-20T00:00:00"/>
    <s v="FBC"/>
    <s v="SBI"/>
    <s v="SBI"/>
    <x v="3"/>
    <s v="HDBO075DDU02"/>
    <s v="A5028174A$0000277_2111"/>
    <n v="2111"/>
    <s v="A-5028-174-**"/>
    <s v="SSVE"/>
    <s v="na"/>
    <s v="na"/>
    <s v="Raf Contaminate"/>
    <s v="O-Cell A/D"/>
    <x v="1"/>
    <x v="0"/>
  </r>
  <r>
    <n v="165"/>
    <x v="9"/>
    <n v="2116"/>
    <s v="na"/>
    <d v="2021-04-20T00:00:00"/>
    <d v="2021-04-20T00:00:00"/>
    <s v="FBC"/>
    <s v="SBI"/>
    <s v="SBI"/>
    <x v="3"/>
    <s v="HDBO075DDU02"/>
    <s v="A5028174A$0000278_2111"/>
    <n v="2111"/>
    <s v="A-5028-174-**"/>
    <s v="SSVE"/>
    <s v="na"/>
    <s v="na"/>
    <s v="Raf Contaminate"/>
    <s v="O-Cell A/D"/>
    <x v="1"/>
    <x v="0"/>
  </r>
  <r>
    <n v="166"/>
    <x v="9"/>
    <n v="2116"/>
    <s v="na"/>
    <d v="2021-04-20T00:00:00"/>
    <d v="2021-04-20T00:00:00"/>
    <s v="FBC"/>
    <s v="SBI"/>
    <s v="SBI"/>
    <x v="3"/>
    <s v="HDBO075DDU02"/>
    <s v="A5028174A$0000279_2111"/>
    <n v="2111"/>
    <s v="A-5028-174-**"/>
    <s v="SSVE"/>
    <s v="na"/>
    <s v="na"/>
    <s v="Raf Contaminate"/>
    <s v="O-Cell A/D"/>
    <x v="1"/>
    <x v="0"/>
  </r>
  <r>
    <n v="167"/>
    <x v="9"/>
    <n v="2116"/>
    <s v="na"/>
    <d v="2021-04-20T00:00:00"/>
    <d v="2021-04-20T00:00:00"/>
    <s v="FBC"/>
    <s v="SBI"/>
    <s v="SBI"/>
    <x v="3"/>
    <s v="HDBO075DDU02"/>
    <s v="A5028174A$0000280_2111"/>
    <n v="2111"/>
    <s v="A-5028-174-**"/>
    <s v="SSVE"/>
    <s v="na"/>
    <s v="na"/>
    <s v="Raf Contaminate"/>
    <s v="O-Cell A/D"/>
    <x v="1"/>
    <x v="0"/>
  </r>
  <r>
    <n v="168"/>
    <x v="9"/>
    <n v="2116"/>
    <s v="na"/>
    <d v="2021-04-20T00:00:00"/>
    <d v="2021-04-20T00:00:00"/>
    <s v="FBC"/>
    <s v="SBI"/>
    <s v="SBI"/>
    <x v="3"/>
    <s v="HDBO075DDU02"/>
    <s v="A5028174A$0000281_2111"/>
    <n v="2111"/>
    <s v="A-5028-174-**"/>
    <s v="SSVE"/>
    <s v="na"/>
    <s v="na"/>
    <s v="Raf Contaminate"/>
    <s v="O-Cell A/D"/>
    <x v="1"/>
    <x v="0"/>
  </r>
  <r>
    <n v="169"/>
    <x v="9"/>
    <n v="2116"/>
    <s v="na"/>
    <d v="2021-04-20T00:00:00"/>
    <d v="2021-04-20T00:00:00"/>
    <s v="FBC"/>
    <s v="SBI"/>
    <s v="SBI"/>
    <x v="3"/>
    <s v="HDBO075DDU02"/>
    <s v="A5028174A$0000282_2111"/>
    <n v="2111"/>
    <s v="A-5028-174-**"/>
    <s v="SSVE"/>
    <s v="na"/>
    <s v="na"/>
    <s v="Raf Contaminate"/>
    <s v="O-Cell A/D"/>
    <x v="1"/>
    <x v="0"/>
  </r>
  <r>
    <n v="170"/>
    <x v="9"/>
    <n v="2116"/>
    <s v="na"/>
    <d v="2021-04-20T00:00:00"/>
    <d v="2021-04-20T00:00:00"/>
    <s v="FBC"/>
    <s v="SBI"/>
    <s v="SBI"/>
    <x v="3"/>
    <s v="HDBO075DDU02"/>
    <s v="A5028174A$0000283_2111"/>
    <n v="2111"/>
    <s v="A-5028-174-**"/>
    <s v="SSVE"/>
    <s v="na"/>
    <s v="na"/>
    <s v="Raf Contaminate"/>
    <s v="O-Cell A/D"/>
    <x v="1"/>
    <x v="0"/>
  </r>
  <r>
    <n v="171"/>
    <x v="9"/>
    <n v="2116"/>
    <s v="na"/>
    <d v="2021-04-20T00:00:00"/>
    <d v="2021-04-20T00:00:00"/>
    <s v="FBC"/>
    <s v="SBI"/>
    <s v="SBI"/>
    <x v="3"/>
    <s v="HDBO075DDU02"/>
    <s v="A5028174A$0000284_2111"/>
    <n v="2111"/>
    <s v="A-5028-174-**"/>
    <s v="SSVE"/>
    <s v="na"/>
    <s v="na"/>
    <s v="Raf Contaminate"/>
    <s v="O-Cell A/D"/>
    <x v="1"/>
    <x v="0"/>
  </r>
  <r>
    <n v="172"/>
    <x v="9"/>
    <n v="2116"/>
    <s v="na"/>
    <d v="2021-04-20T00:00:00"/>
    <d v="2021-04-20T00:00:00"/>
    <s v="FBC"/>
    <s v="SBI"/>
    <s v="SBI"/>
    <x v="3"/>
    <s v="HDBO075DDU02"/>
    <s v="A5028174A$0000285_2111"/>
    <n v="2111"/>
    <s v="A-5028-174-**"/>
    <s v="SSVE"/>
    <s v="na"/>
    <s v="na"/>
    <s v="Raf Contaminate"/>
    <s v="O-Cell A/D"/>
    <x v="1"/>
    <x v="0"/>
  </r>
  <r>
    <n v="173"/>
    <x v="9"/>
    <n v="2116"/>
    <s v="na"/>
    <d v="2021-04-20T00:00:00"/>
    <d v="2021-04-20T00:00:00"/>
    <s v="FBC"/>
    <s v="SBI"/>
    <s v="SBI"/>
    <x v="3"/>
    <s v="HDBO075DDU02"/>
    <s v="A5028174A$0000286_2111"/>
    <n v="2111"/>
    <s v="A-5028-174-**"/>
    <s v="SSVE"/>
    <s v="na"/>
    <s v="na"/>
    <s v="Raf Contaminate"/>
    <s v="O-Cell A/D"/>
    <x v="1"/>
    <x v="0"/>
  </r>
  <r>
    <n v="174"/>
    <x v="9"/>
    <n v="2116"/>
    <s v="na"/>
    <d v="2021-04-20T00:00:00"/>
    <d v="2021-04-20T00:00:00"/>
    <s v="FBC"/>
    <s v="SBI"/>
    <s v="SBI"/>
    <x v="3"/>
    <s v="HDBO075DDU02"/>
    <s v="A5028174A$0000287_2111"/>
    <n v="2111"/>
    <s v="A-5028-174-**"/>
    <s v="SSVE"/>
    <s v="na"/>
    <s v="na"/>
    <s v="Raf Contaminate"/>
    <s v="O-Cell A/D"/>
    <x v="1"/>
    <x v="0"/>
  </r>
  <r>
    <n v="175"/>
    <x v="9"/>
    <n v="2116"/>
    <s v="na"/>
    <d v="2021-04-20T00:00:00"/>
    <d v="2021-04-20T00:00:00"/>
    <s v="FBC"/>
    <s v="SBI"/>
    <s v="SBI"/>
    <x v="3"/>
    <s v="HDBO075DDU02"/>
    <s v="A5028174A$0000288_2111"/>
    <n v="2111"/>
    <s v="A-5028-174-**"/>
    <s v="SSVE"/>
    <s v="na"/>
    <s v="na"/>
    <s v="Raf Contaminate"/>
    <s v="O-Cell A/D"/>
    <x v="1"/>
    <x v="0"/>
  </r>
  <r>
    <n v="176"/>
    <x v="9"/>
    <n v="2116"/>
    <s v="na"/>
    <d v="2021-04-20T00:00:00"/>
    <d v="2021-04-20T00:00:00"/>
    <s v="FBC"/>
    <s v="SBI"/>
    <s v="SBI"/>
    <x v="3"/>
    <s v="HDBO075DDU02"/>
    <s v="A5028174A$0000289_2111"/>
    <n v="2111"/>
    <s v="A-5028-174-**"/>
    <s v="SSVE"/>
    <s v="na"/>
    <s v="na"/>
    <s v="Raf Contaminate"/>
    <s v="O-Cell A/D"/>
    <x v="1"/>
    <x v="0"/>
  </r>
  <r>
    <n v="177"/>
    <x v="9"/>
    <n v="2116"/>
    <s v="na"/>
    <d v="2021-04-20T00:00:00"/>
    <d v="2021-04-20T00:00:00"/>
    <s v="FBC"/>
    <s v="SBI"/>
    <s v="SBI"/>
    <x v="3"/>
    <s v="HDBO075DDU02"/>
    <s v="A5028174A$0000290_2111"/>
    <n v="2111"/>
    <s v="A-5028-174-**"/>
    <s v="SSVE"/>
    <s v="na"/>
    <s v="na"/>
    <s v="Raf Contaminate"/>
    <s v="O-Cell A/D"/>
    <x v="1"/>
    <x v="0"/>
  </r>
  <r>
    <n v="178"/>
    <x v="9"/>
    <n v="2116"/>
    <s v="na"/>
    <d v="2021-04-20T00:00:00"/>
    <d v="2021-04-20T00:00:00"/>
    <s v="FBC"/>
    <s v="SBI"/>
    <s v="SBI"/>
    <x v="3"/>
    <s v="HDBO075DDU02"/>
    <s v="A5028174A$0000291_2111"/>
    <n v="2111"/>
    <s v="A-5028-174-**"/>
    <s v="SSVE"/>
    <s v="na"/>
    <s v="na"/>
    <s v="Raf Contaminate"/>
    <s v="O-Cell A/D"/>
    <x v="1"/>
    <x v="0"/>
  </r>
  <r>
    <n v="179"/>
    <x v="9"/>
    <n v="2116"/>
    <s v="na"/>
    <d v="2021-04-20T00:00:00"/>
    <d v="2021-04-20T00:00:00"/>
    <s v="FBC"/>
    <s v="SBI"/>
    <s v="SBI"/>
    <x v="3"/>
    <s v="HDBO075DDU02"/>
    <s v="A5028174A$0000292_2111"/>
    <n v="2111"/>
    <s v="A-5028-174-**"/>
    <s v="SSVE"/>
    <s v="na"/>
    <s v="na"/>
    <s v="Raf Contaminate"/>
    <s v="O-Cell A/D"/>
    <x v="1"/>
    <x v="0"/>
  </r>
  <r>
    <n v="180"/>
    <x v="9"/>
    <n v="2116"/>
    <s v="na"/>
    <d v="2021-04-20T00:00:00"/>
    <d v="2021-04-20T00:00:00"/>
    <s v="FBC"/>
    <s v="SBI"/>
    <s v="SBI"/>
    <x v="3"/>
    <s v="HDBO075DDU02"/>
    <s v="A5028174A$0000293_2111"/>
    <n v="2111"/>
    <s v="A-5028-174-**"/>
    <s v="SSVE"/>
    <s v="na"/>
    <s v="na"/>
    <s v="Raf Contaminate"/>
    <s v="O-Cell A/D"/>
    <x v="1"/>
    <x v="0"/>
  </r>
  <r>
    <n v="181"/>
    <x v="9"/>
    <n v="2116"/>
    <s v="na"/>
    <d v="2021-04-20T00:00:00"/>
    <d v="2021-04-20T00:00:00"/>
    <s v="FBC"/>
    <s v="SBI"/>
    <s v="SBI"/>
    <x v="3"/>
    <s v="HDBO075DDU02"/>
    <s v="A5028174A$0000294_2111"/>
    <n v="2111"/>
    <s v="A-5028-174-**"/>
    <s v="SSVE"/>
    <s v="na"/>
    <s v="na"/>
    <s v="Raf Contaminate"/>
    <s v="O-Cell A/D"/>
    <x v="1"/>
    <x v="0"/>
  </r>
  <r>
    <n v="182"/>
    <x v="9"/>
    <n v="2116"/>
    <s v="na"/>
    <d v="2021-04-20T00:00:00"/>
    <d v="2021-04-20T00:00:00"/>
    <s v="FBC"/>
    <s v="SBI"/>
    <s v="SBI"/>
    <x v="3"/>
    <s v="HDBO075DDU02"/>
    <s v="A5028174A$0000295_2111"/>
    <n v="2111"/>
    <s v="A-5028-174-**"/>
    <s v="SSVE"/>
    <s v="na"/>
    <s v="na"/>
    <s v="Raf Contaminate"/>
    <s v="O-Cell A/D"/>
    <x v="1"/>
    <x v="0"/>
  </r>
  <r>
    <n v="183"/>
    <x v="9"/>
    <n v="2116"/>
    <s v="na"/>
    <d v="2021-04-20T00:00:00"/>
    <d v="2021-04-20T00:00:00"/>
    <s v="FBC"/>
    <s v="SBI"/>
    <s v="SBI"/>
    <x v="3"/>
    <s v="HDBO075DDU02"/>
    <s v="A5028174A$0000296_2111"/>
    <n v="2111"/>
    <s v="A-5028-174-**"/>
    <s v="SSVE"/>
    <s v="na"/>
    <s v="na"/>
    <s v="Raf Contaminate"/>
    <s v="O-Cell A/D"/>
    <x v="1"/>
    <x v="0"/>
  </r>
  <r>
    <n v="184"/>
    <x v="9"/>
    <n v="2116"/>
    <s v="na"/>
    <d v="2021-04-20T00:00:00"/>
    <d v="2021-04-20T00:00:00"/>
    <s v="FBC"/>
    <s v="SBI"/>
    <s v="SBI"/>
    <x v="3"/>
    <s v="HDBO075DDU02"/>
    <s v="A5028174A$0000297_2111"/>
    <n v="2111"/>
    <s v="A-5028-174-**"/>
    <s v="SSVE"/>
    <s v="na"/>
    <s v="na"/>
    <s v="Raf Contaminate"/>
    <s v="O-Cell A/D"/>
    <x v="1"/>
    <x v="0"/>
  </r>
  <r>
    <n v="185"/>
    <x v="9"/>
    <n v="2116"/>
    <s v="na"/>
    <d v="2021-04-20T00:00:00"/>
    <d v="2021-04-20T00:00:00"/>
    <s v="FBC"/>
    <s v="SBI"/>
    <s v="SBI"/>
    <x v="3"/>
    <s v="HDBO075DDU02"/>
    <s v="A5028174A$0000298_2111"/>
    <n v="2111"/>
    <s v="A-5028-174-**"/>
    <s v="SSVE"/>
    <s v="na"/>
    <s v="na"/>
    <s v="Raf Contaminate"/>
    <s v="O-Cell A/D"/>
    <x v="1"/>
    <x v="0"/>
  </r>
  <r>
    <n v="186"/>
    <x v="9"/>
    <n v="2116"/>
    <s v="na"/>
    <d v="2021-04-20T00:00:00"/>
    <d v="2021-04-20T00:00:00"/>
    <s v="FBC"/>
    <s v="SBI"/>
    <s v="SBI"/>
    <x v="3"/>
    <s v="HDBO075DDU02"/>
    <s v="A5028174A$0000299_2111"/>
    <n v="2111"/>
    <s v="A-5028-174-**"/>
    <s v="SSVE"/>
    <s v="na"/>
    <s v="na"/>
    <s v="Raf Contaminate"/>
    <s v="O-Cell A/D"/>
    <x v="1"/>
    <x v="0"/>
  </r>
  <r>
    <n v="187"/>
    <x v="9"/>
    <n v="2116"/>
    <s v="na"/>
    <d v="2021-04-20T00:00:00"/>
    <d v="2021-04-20T00:00:00"/>
    <s v="FBC"/>
    <s v="SBI"/>
    <s v="SBI"/>
    <x v="3"/>
    <s v="HDBO075DDU02"/>
    <s v="A5028174A$0000300_2111"/>
    <n v="2111"/>
    <s v="A-5028-174-**"/>
    <s v="SSVE"/>
    <s v="na"/>
    <s v="na"/>
    <s v="Raf Contaminate"/>
    <s v="O-Cell A/D"/>
    <x v="1"/>
    <x v="0"/>
  </r>
  <r>
    <n v="188"/>
    <x v="9"/>
    <n v="2116"/>
    <s v="na"/>
    <d v="2021-04-20T00:00:00"/>
    <d v="2021-04-20T00:00:00"/>
    <s v="FBC"/>
    <s v="SBI"/>
    <s v="SBI"/>
    <x v="3"/>
    <s v="HDBO075DDU02"/>
    <s v="A5028174A$0000301_2111"/>
    <n v="2111"/>
    <s v="A-5028-174-**"/>
    <s v="SSVE"/>
    <s v="na"/>
    <s v="na"/>
    <s v="Raf Contaminate"/>
    <s v="O-Cell A/D"/>
    <x v="1"/>
    <x v="0"/>
  </r>
  <r>
    <n v="189"/>
    <x v="9"/>
    <n v="2116"/>
    <s v="na"/>
    <d v="2021-04-20T00:00:00"/>
    <d v="2021-04-20T00:00:00"/>
    <s v="FBC"/>
    <s v="SBI"/>
    <s v="SBI"/>
    <x v="3"/>
    <s v="HDBO075DDU02"/>
    <s v="A5028174A$0000302_2111"/>
    <n v="2111"/>
    <s v="A-5028-174-**"/>
    <s v="SSVE"/>
    <s v="na"/>
    <s v="na"/>
    <s v="Raf Contaminate"/>
    <s v="O-Cell A/D"/>
    <x v="1"/>
    <x v="0"/>
  </r>
  <r>
    <n v="190"/>
    <x v="9"/>
    <n v="2116"/>
    <s v="na"/>
    <d v="2021-04-20T00:00:00"/>
    <d v="2021-04-20T00:00:00"/>
    <s v="FBC"/>
    <s v="SBI"/>
    <s v="SBI"/>
    <x v="3"/>
    <s v="HDBO075DDU02"/>
    <s v="A5028174A$0000303_2111"/>
    <n v="2111"/>
    <s v="A-5028-174-**"/>
    <s v="SSVE"/>
    <s v="na"/>
    <s v="na"/>
    <s v="Raf Contaminate"/>
    <s v="O-Cell A/D"/>
    <x v="1"/>
    <x v="0"/>
  </r>
  <r>
    <n v="191"/>
    <x v="9"/>
    <n v="2116"/>
    <s v="na"/>
    <d v="2021-04-20T00:00:00"/>
    <d v="2021-04-20T00:00:00"/>
    <s v="FBC"/>
    <s v="SBI"/>
    <s v="SBI"/>
    <x v="3"/>
    <s v="HDBO075DDU02"/>
    <s v="A5028174A$0000304_2111"/>
    <n v="2111"/>
    <s v="A-5028-174-**"/>
    <s v="SSVE"/>
    <s v="na"/>
    <s v="na"/>
    <s v="Raf Contaminate"/>
    <s v="O-Cell A/D"/>
    <x v="1"/>
    <x v="0"/>
  </r>
  <r>
    <n v="192"/>
    <x v="9"/>
    <n v="2116"/>
    <s v="na"/>
    <d v="2021-04-20T00:00:00"/>
    <d v="2021-04-20T00:00:00"/>
    <s v="FBC"/>
    <s v="SBI"/>
    <s v="SBI"/>
    <x v="3"/>
    <s v="HDBO075DDU02"/>
    <s v="A5028174A$0000305_2111"/>
    <n v="2111"/>
    <s v="A-5028-174-**"/>
    <s v="SSVE"/>
    <s v="na"/>
    <s v="na"/>
    <s v="Raf Contaminate"/>
    <s v="O-Cell A/D"/>
    <x v="1"/>
    <x v="0"/>
  </r>
  <r>
    <n v="193"/>
    <x v="9"/>
    <n v="2116"/>
    <s v="na"/>
    <d v="2021-04-20T00:00:00"/>
    <d v="2021-04-20T00:00:00"/>
    <s v="FBC"/>
    <s v="SBI"/>
    <s v="SBI"/>
    <x v="3"/>
    <s v="HDBO075DDU02"/>
    <s v="A5028174A$0000306_2111"/>
    <n v="2111"/>
    <s v="A-5028-174-**"/>
    <s v="SSVE"/>
    <s v="na"/>
    <s v="na"/>
    <s v="Raf Contaminate"/>
    <s v="O-Cell A/D"/>
    <x v="1"/>
    <x v="0"/>
  </r>
  <r>
    <n v="194"/>
    <x v="9"/>
    <n v="2116"/>
    <s v="na"/>
    <d v="2021-04-20T00:00:00"/>
    <d v="2021-04-20T00:00:00"/>
    <s v="FBC"/>
    <s v="SBI"/>
    <s v="SBI"/>
    <x v="3"/>
    <s v="HDBO075DDU02"/>
    <s v="A5028174A$0000307_2111"/>
    <n v="2111"/>
    <s v="A-5028-174-**"/>
    <s v="SSVE"/>
    <s v="na"/>
    <s v="na"/>
    <s v="Raf Contaminate"/>
    <s v="O-Cell A/D"/>
    <x v="1"/>
    <x v="0"/>
  </r>
  <r>
    <n v="195"/>
    <x v="9"/>
    <n v="2116"/>
    <s v="na"/>
    <d v="2021-04-20T00:00:00"/>
    <d v="2021-04-20T00:00:00"/>
    <s v="FBC"/>
    <s v="SBI"/>
    <s v="SBI"/>
    <x v="3"/>
    <s v="HDBO075DDU02"/>
    <s v="A5028174A$0000308_2111"/>
    <n v="2111"/>
    <s v="A-5028-174-**"/>
    <s v="SSVE"/>
    <s v="na"/>
    <s v="na"/>
    <s v="Raf Contaminate"/>
    <s v="O-Cell A/D"/>
    <x v="1"/>
    <x v="0"/>
  </r>
  <r>
    <n v="196"/>
    <x v="9"/>
    <n v="2116"/>
    <s v="na"/>
    <d v="2021-04-20T00:00:00"/>
    <d v="2021-04-20T00:00:00"/>
    <s v="FBC"/>
    <s v="SBI"/>
    <s v="SBI"/>
    <x v="3"/>
    <s v="HDBO075DDU02"/>
    <s v="A5028174A$0000309_2111"/>
    <n v="2111"/>
    <s v="A-5028-174-**"/>
    <s v="SSVE"/>
    <s v="na"/>
    <s v="na"/>
    <s v="Raf Contaminate"/>
    <s v="O-Cell A/D"/>
    <x v="1"/>
    <x v="0"/>
  </r>
  <r>
    <n v="197"/>
    <x v="9"/>
    <n v="2116"/>
    <s v="na"/>
    <d v="2021-04-20T00:00:00"/>
    <d v="2021-04-20T00:00:00"/>
    <s v="FBC"/>
    <s v="SBI"/>
    <s v="SBI"/>
    <x v="4"/>
    <s v="HDBO085DDU02"/>
    <s v="A5028177A$0000091_2109"/>
    <n v="2109"/>
    <s v="A-5028-177-**"/>
    <s v="SSVE"/>
    <s v="na"/>
    <s v="na"/>
    <s v="Raf Contaminate"/>
    <s v="O-Cell A/D"/>
    <x v="1"/>
    <x v="0"/>
  </r>
  <r>
    <n v="198"/>
    <x v="9"/>
    <n v="2116"/>
    <s v="na"/>
    <d v="2021-04-20T00:00:00"/>
    <d v="2021-04-20T00:00:00"/>
    <s v="FBC"/>
    <s v="SBI"/>
    <s v="SBI"/>
    <x v="4"/>
    <s v="HDBO085DDU02"/>
    <s v="A5028177A$0000092_2109"/>
    <n v="2109"/>
    <s v="A-5028-177-**"/>
    <s v="SSVE"/>
    <s v="na"/>
    <s v="na"/>
    <s v="Raf Contaminate"/>
    <s v="O-Cell A/D"/>
    <x v="1"/>
    <x v="0"/>
  </r>
  <r>
    <n v="199"/>
    <x v="9"/>
    <n v="2116"/>
    <s v="na"/>
    <d v="2021-04-20T00:00:00"/>
    <d v="2021-04-20T00:00:00"/>
    <s v="FBC"/>
    <s v="SBI"/>
    <s v="SBI"/>
    <x v="4"/>
    <s v="HDBO085DDU02"/>
    <s v="A5028177A$0000093_2109"/>
    <n v="2109"/>
    <s v="A-5028-177-**"/>
    <s v="SSVE"/>
    <s v="na"/>
    <s v="na"/>
    <s v="Raf Contaminate"/>
    <s v="O-Cell A/D"/>
    <x v="1"/>
    <x v="0"/>
  </r>
  <r>
    <n v="200"/>
    <x v="9"/>
    <n v="2116"/>
    <s v="na"/>
    <d v="2021-04-20T00:00:00"/>
    <d v="2021-04-20T00:00:00"/>
    <s v="FBC"/>
    <s v="SBI"/>
    <s v="SBI"/>
    <x v="4"/>
    <s v="HDBO085DDU02"/>
    <s v="A5028177A$0000094_2109"/>
    <n v="2109"/>
    <s v="A-5028-177-**"/>
    <s v="SSVE"/>
    <s v="na"/>
    <s v="na"/>
    <s v="Raf Contaminate"/>
    <s v="O-Cell A/D"/>
    <x v="1"/>
    <x v="0"/>
  </r>
  <r>
    <n v="201"/>
    <x v="9"/>
    <n v="2116"/>
    <s v="na"/>
    <d v="2021-04-20T00:00:00"/>
    <d v="2021-04-20T00:00:00"/>
    <s v="FBC"/>
    <s v="SBI"/>
    <s v="SBI"/>
    <x v="4"/>
    <s v="HDBO085DDU02"/>
    <s v="A5028177A$0000095_2109"/>
    <n v="2109"/>
    <s v="A-5028-177-**"/>
    <s v="SSVE"/>
    <s v="na"/>
    <s v="na"/>
    <s v="Raf Contaminate"/>
    <s v="O-Cell A/D"/>
    <x v="1"/>
    <x v="0"/>
  </r>
  <r>
    <n v="202"/>
    <x v="9"/>
    <n v="2116"/>
    <s v="na"/>
    <d v="2021-04-20T00:00:00"/>
    <d v="2021-04-20T00:00:00"/>
    <s v="FBC"/>
    <s v="SBI"/>
    <s v="SBI"/>
    <x v="4"/>
    <s v="HDBO085DDU02"/>
    <s v="A5028177A$0000096_2109"/>
    <n v="2109"/>
    <s v="A-5028-177-**"/>
    <s v="SSVE"/>
    <s v="na"/>
    <s v="na"/>
    <s v="Raf Contaminate"/>
    <s v="O-Cell A/D"/>
    <x v="1"/>
    <x v="0"/>
  </r>
  <r>
    <n v="203"/>
    <x v="9"/>
    <n v="2116"/>
    <s v="na"/>
    <d v="2021-04-20T00:00:00"/>
    <d v="2021-04-20T00:00:00"/>
    <s v="FBC"/>
    <s v="SBI"/>
    <s v="SBI"/>
    <x v="4"/>
    <s v="HDBO085DDU02"/>
    <s v="A5028177A$0000097_2109"/>
    <n v="2109"/>
    <s v="A-5028-177-**"/>
    <s v="SSVE"/>
    <s v="na"/>
    <s v="na"/>
    <s v="Raf Contaminate"/>
    <s v="O-Cell A/D"/>
    <x v="1"/>
    <x v="0"/>
  </r>
  <r>
    <n v="204"/>
    <x v="9"/>
    <n v="2116"/>
    <s v="na"/>
    <d v="2021-04-20T00:00:00"/>
    <d v="2021-04-20T00:00:00"/>
    <s v="FBC"/>
    <s v="SBI"/>
    <s v="SBI"/>
    <x v="4"/>
    <s v="HDBO085DDU02"/>
    <s v="A5028177A$0000098_2109"/>
    <n v="2109"/>
    <s v="A-5028-177-**"/>
    <s v="SSVE"/>
    <s v="na"/>
    <s v="na"/>
    <s v="Raf Contaminate"/>
    <s v="O-Cell A/D"/>
    <x v="1"/>
    <x v="0"/>
  </r>
  <r>
    <n v="205"/>
    <x v="9"/>
    <n v="2116"/>
    <s v="na"/>
    <d v="2021-04-20T00:00:00"/>
    <d v="2021-04-20T00:00:00"/>
    <s v="FBC"/>
    <s v="SBI"/>
    <s v="SBI"/>
    <x v="4"/>
    <s v="HDBO085DDU02"/>
    <s v="A5028177A$0000099_2109"/>
    <n v="2109"/>
    <s v="A-5028-177-**"/>
    <s v="SSVE"/>
    <s v="na"/>
    <s v="na"/>
    <s v="Raf Contaminate"/>
    <s v="O-Cell A/D"/>
    <x v="1"/>
    <x v="0"/>
  </r>
  <r>
    <n v="206"/>
    <x v="9"/>
    <n v="2116"/>
    <s v="na"/>
    <d v="2021-04-20T00:00:00"/>
    <d v="2021-04-20T00:00:00"/>
    <s v="FBC"/>
    <s v="SBI"/>
    <s v="SBI"/>
    <x v="4"/>
    <s v="HDBO085DDU02"/>
    <s v="A5028177A$0000100_2109"/>
    <n v="2109"/>
    <s v="A-5028-177-**"/>
    <s v="SSVE"/>
    <s v="na"/>
    <s v="na"/>
    <s v="Raf Contaminate"/>
    <s v="O-Cell A/D"/>
    <x v="1"/>
    <x v="0"/>
  </r>
  <r>
    <n v="207"/>
    <x v="9"/>
    <n v="2116"/>
    <s v="na"/>
    <d v="2021-04-20T00:00:00"/>
    <d v="2021-04-20T00:00:00"/>
    <s v="FBC"/>
    <s v="SBI"/>
    <s v="SBI"/>
    <x v="4"/>
    <s v="HDBO085DDU02"/>
    <s v="A5028177A$0000101_2109"/>
    <n v="2109"/>
    <s v="A-5028-177-**"/>
    <s v="SSVE"/>
    <s v="na"/>
    <s v="na"/>
    <s v="Raf Contaminate"/>
    <s v="O-Cell A/D"/>
    <x v="1"/>
    <x v="0"/>
  </r>
  <r>
    <n v="208"/>
    <x v="9"/>
    <n v="2116"/>
    <s v="na"/>
    <d v="2021-04-20T00:00:00"/>
    <d v="2021-04-20T00:00:00"/>
    <s v="FBC"/>
    <s v="SBI"/>
    <s v="SBI"/>
    <x v="4"/>
    <s v="HDBO085DDU02"/>
    <s v="A5028177A$0000102_2109"/>
    <n v="2109"/>
    <s v="A-5028-177-**"/>
    <s v="SSVE"/>
    <s v="na"/>
    <s v="na"/>
    <s v="Raf Contaminate"/>
    <s v="O-Cell A/D"/>
    <x v="1"/>
    <x v="0"/>
  </r>
  <r>
    <n v="209"/>
    <x v="9"/>
    <n v="2116"/>
    <s v="na"/>
    <d v="2021-04-20T00:00:00"/>
    <d v="2021-04-20T00:00:00"/>
    <s v="FBC"/>
    <s v="SBI"/>
    <s v="SBI"/>
    <x v="4"/>
    <s v="HDBO085DDU02"/>
    <s v="A5028177A$0000079_2109"/>
    <n v="2109"/>
    <s v="A-5028-177-**"/>
    <s v="SSVE"/>
    <s v="na"/>
    <s v="na"/>
    <s v="Raf Contaminate"/>
    <s v="O-Cell A/D"/>
    <x v="1"/>
    <x v="0"/>
  </r>
  <r>
    <n v="210"/>
    <x v="9"/>
    <n v="2116"/>
    <s v="na"/>
    <d v="2021-04-20T00:00:00"/>
    <d v="2021-04-20T00:00:00"/>
    <s v="FBC"/>
    <s v="SBI"/>
    <s v="SBI"/>
    <x v="4"/>
    <s v="HDBO085DDU02"/>
    <s v="A5028177A$0000078_2109"/>
    <n v="2109"/>
    <s v="A-5028-177-**"/>
    <s v="SSVE"/>
    <s v="na"/>
    <s v="na"/>
    <s v="Raf Contaminate"/>
    <s v="O-Cell A/D"/>
    <x v="1"/>
    <x v="0"/>
  </r>
  <r>
    <n v="211"/>
    <x v="9"/>
    <n v="2116"/>
    <s v="na"/>
    <d v="2021-04-20T00:00:00"/>
    <d v="2021-04-20T00:00:00"/>
    <s v="FBC"/>
    <s v="SBI"/>
    <s v="SBI"/>
    <x v="4"/>
    <s v="HDBO085DDU02"/>
    <s v="A5028177A$0000077_2109"/>
    <n v="2109"/>
    <s v="A-5028-177-**"/>
    <s v="SSVE"/>
    <s v="na"/>
    <s v="na"/>
    <s v="Raf Contaminate"/>
    <s v="O-Cell A/D"/>
    <x v="1"/>
    <x v="0"/>
  </r>
  <r>
    <n v="212"/>
    <x v="9"/>
    <n v="2116"/>
    <s v="na"/>
    <d v="2021-04-20T00:00:00"/>
    <d v="2021-04-20T00:00:00"/>
    <s v="FBC"/>
    <s v="SBI"/>
    <s v="SBI"/>
    <x v="4"/>
    <s v="HDBO085DDU02"/>
    <s v="A5028177A$0000076_2109"/>
    <n v="2109"/>
    <s v="A-5028-177-**"/>
    <s v="SSVE"/>
    <s v="na"/>
    <s v="na"/>
    <s v="Raf Contaminate"/>
    <s v="O-Cell A/D"/>
    <x v="1"/>
    <x v="0"/>
  </r>
  <r>
    <n v="213"/>
    <x v="9"/>
    <n v="2116"/>
    <s v="na"/>
    <d v="2021-04-20T00:00:00"/>
    <d v="2021-04-20T00:00:00"/>
    <s v="FBC"/>
    <s v="SBI"/>
    <s v="SBI"/>
    <x v="4"/>
    <s v="HDBO085DDU02"/>
    <s v="A5028177A$0000075_2109"/>
    <n v="2109"/>
    <s v="A-5028-177-**"/>
    <s v="SSVE"/>
    <s v="na"/>
    <s v="na"/>
    <s v="Raf Contaminate"/>
    <s v="O-Cell A/D"/>
    <x v="1"/>
    <x v="0"/>
  </r>
  <r>
    <n v="214"/>
    <x v="9"/>
    <n v="2116"/>
    <s v="na"/>
    <d v="2021-04-20T00:00:00"/>
    <d v="2021-04-20T00:00:00"/>
    <s v="FBC"/>
    <s v="SBI"/>
    <s v="SBI"/>
    <x v="4"/>
    <s v="HDBO085DDU02"/>
    <s v="A5028177A$0000074_2109"/>
    <n v="2109"/>
    <s v="A-5028-177-**"/>
    <s v="SSVE"/>
    <s v="na"/>
    <s v="na"/>
    <s v="Raf Contaminate"/>
    <s v="O-Cell A/D"/>
    <x v="1"/>
    <x v="0"/>
  </r>
  <r>
    <n v="215"/>
    <x v="9"/>
    <n v="2116"/>
    <s v="na"/>
    <d v="2021-04-20T00:00:00"/>
    <d v="2021-04-20T00:00:00"/>
    <s v="FBC"/>
    <s v="SBI"/>
    <s v="SBI"/>
    <x v="4"/>
    <s v="HDBO085DDU02"/>
    <s v="A5028177A$0000070_2109"/>
    <n v="2109"/>
    <s v="A-5028-177-**"/>
    <s v="SSVE"/>
    <s v="na"/>
    <s v="na"/>
    <s v="Raf Contaminate"/>
    <s v="O-Cell A/D"/>
    <x v="1"/>
    <x v="0"/>
  </r>
  <r>
    <n v="216"/>
    <x v="9"/>
    <n v="2116"/>
    <s v="na"/>
    <d v="2021-04-20T00:00:00"/>
    <d v="2021-04-20T00:00:00"/>
    <s v="FBC"/>
    <s v="SBI"/>
    <s v="SBI"/>
    <x v="4"/>
    <s v="HDBO085DDU02"/>
    <s v="A5028177A$0000069_2109"/>
    <n v="2109"/>
    <s v="A-5028-177-**"/>
    <s v="SSVE"/>
    <s v="na"/>
    <s v="na"/>
    <s v="Raf Contaminate"/>
    <s v="O-Cell A/D"/>
    <x v="1"/>
    <x v="0"/>
  </r>
  <r>
    <n v="217"/>
    <x v="9"/>
    <n v="2116"/>
    <s v="na"/>
    <d v="2021-04-20T00:00:00"/>
    <d v="2021-04-20T00:00:00"/>
    <s v="FBC"/>
    <s v="SBI"/>
    <s v="SBI"/>
    <x v="4"/>
    <s v="HDBO085DDU02"/>
    <s v="A5028177A$0000068_2109"/>
    <n v="2109"/>
    <s v="A-5028-177-**"/>
    <s v="SSVE"/>
    <s v="na"/>
    <s v="na"/>
    <s v="Raf Contaminate"/>
    <s v="O-Cell A/D"/>
    <x v="1"/>
    <x v="0"/>
  </r>
  <r>
    <n v="1"/>
    <x v="2"/>
    <n v="2123"/>
    <s v="na"/>
    <d v="2021-06-07T00:00:00"/>
    <d v="2021-06-07T00:00:00"/>
    <s v="FBC"/>
    <s v="SBI"/>
    <s v="SBI"/>
    <x v="5"/>
    <s v="YDBO075DAS02"/>
    <s v="A5030081B$0003190_2121"/>
    <n v="2121"/>
    <s v="A-5030-081-**"/>
    <s v="SSVE"/>
    <s v="na"/>
    <s v="na"/>
    <s v="B/L Particle"/>
    <s v="B/L Particle"/>
    <x v="5"/>
    <x v="0"/>
  </r>
  <r>
    <n v="2"/>
    <x v="2"/>
    <n v="2123"/>
    <s v="na"/>
    <d v="2021-06-08T00:00:00"/>
    <d v="2021-06-08T00:00:00"/>
    <s v="FBC"/>
    <s v="SBI"/>
    <s v="SBI"/>
    <x v="5"/>
    <s v="YDBO075DAS02"/>
    <s v="A5030081B$0002447_2120-"/>
    <n v="2120"/>
    <s v="A-5030-081-**"/>
    <s v="SSVE"/>
    <s v="na"/>
    <s v="na"/>
    <s v="No display (O-Cell)"/>
    <s v="No display (O-Cell)"/>
    <x v="1"/>
    <x v="0"/>
  </r>
  <r>
    <n v="3"/>
    <x v="2"/>
    <n v="2123"/>
    <s v="na"/>
    <d v="2021-06-08T00:00:00"/>
    <d v="2021-06-08T00:00:00"/>
    <s v="FBC"/>
    <s v="SBI"/>
    <s v="SBI"/>
    <x v="5"/>
    <s v="YDBO075DAS02"/>
    <s v="A5030081B$0002477_2120-"/>
    <n v="2120"/>
    <s v="A-5030-081-**"/>
    <s v="SSVE"/>
    <s v="na"/>
    <s v="na"/>
    <s v="B/L Particle"/>
    <s v="B/L Particle"/>
    <x v="5"/>
    <x v="0"/>
  </r>
  <r>
    <n v="4"/>
    <x v="2"/>
    <n v="2123"/>
    <s v="na"/>
    <d v="2021-06-08T00:00:00"/>
    <d v="2021-06-08T00:00:00"/>
    <s v="FBC"/>
    <s v="SBI"/>
    <s v="SBI"/>
    <x v="5"/>
    <s v="YDBO075DAS02"/>
    <s v="A5030081B$0002747_2120"/>
    <n v="2120"/>
    <s v="A-5030-081-**"/>
    <s v="SSVE"/>
    <s v="na"/>
    <s v="na"/>
    <s v="B/L Particle"/>
    <s v="B/L Particle"/>
    <x v="5"/>
    <x v="0"/>
  </r>
  <r>
    <n v="5"/>
    <x v="2"/>
    <n v="2123"/>
    <s v="na"/>
    <d v="2021-06-08T00:00:00"/>
    <d v="2021-06-08T00:00:00"/>
    <s v="FBC"/>
    <s v="SBI"/>
    <s v="SBI"/>
    <x v="5"/>
    <s v="YDBO075DAS02"/>
    <s v="A5030081B$0002410_2120"/>
    <n v="2120"/>
    <s v="A-5030-081-**"/>
    <s v="SSVE"/>
    <s v="na"/>
    <s v="na"/>
    <s v="B/L Particle"/>
    <s v="B/L Particle"/>
    <x v="5"/>
    <x v="0"/>
  </r>
  <r>
    <n v="6"/>
    <x v="2"/>
    <n v="2123"/>
    <s v="na"/>
    <d v="2021-06-08T00:00:00"/>
    <d v="2021-06-08T00:00:00"/>
    <s v="FBC"/>
    <s v="SBI"/>
    <s v="SBI"/>
    <x v="5"/>
    <s v="YDBO075DAS02"/>
    <s v="A5030081B$0002419_2120"/>
    <n v="2120"/>
    <s v="A-5030-081-**"/>
    <s v="SSVE"/>
    <s v="na"/>
    <s v="na"/>
    <s v="B/L Particle"/>
    <s v="B/L Particle"/>
    <x v="5"/>
    <x v="0"/>
  </r>
  <r>
    <n v="7"/>
    <x v="2"/>
    <n v="2123"/>
    <s v="na"/>
    <d v="2021-06-09T00:00:00"/>
    <d v="2021-06-09T00:00:00"/>
    <s v="FBC"/>
    <s v="SBI"/>
    <s v="SBI"/>
    <x v="5"/>
    <s v="YDBO075DAS02"/>
    <s v="A5030081B$0002692_2120"/>
    <n v="2120"/>
    <s v="A-5030-081-**"/>
    <s v="SSVE"/>
    <s v="na"/>
    <s v="na"/>
    <s v="B/L Particle"/>
    <s v="B/L Particle"/>
    <x v="5"/>
    <x v="0"/>
  </r>
  <r>
    <n v="8"/>
    <x v="2"/>
    <n v="2123"/>
    <s v="na"/>
    <d v="2021-06-09T00:00:00"/>
    <d v="2021-06-09T00:00:00"/>
    <s v="FBC"/>
    <s v="SBI"/>
    <s v="SBI"/>
    <x v="5"/>
    <s v="YDBO075DAS02"/>
    <s v="A5030081B$0002865_2120"/>
    <n v="2120"/>
    <s v="A-5030-081-**"/>
    <s v="SSVE"/>
    <s v="na"/>
    <s v="na"/>
    <s v="B/L Particle"/>
    <s v="B/L Particle"/>
    <x v="5"/>
    <x v="0"/>
  </r>
  <r>
    <n v="9"/>
    <x v="2"/>
    <n v="2123"/>
    <s v="na"/>
    <d v="2021-06-11T00:00:00"/>
    <d v="2021-06-11T00:00:00"/>
    <s v="FBC"/>
    <s v="SBI"/>
    <s v="SBI"/>
    <x v="5"/>
    <s v="YDBO075DAS02"/>
    <s v="A5030081B$0001465_2119"/>
    <n v="2119"/>
    <s v="A-5030-081-**"/>
    <s v="SSVE"/>
    <s v="na"/>
    <s v="na"/>
    <s v="B/L Particle"/>
    <s v="B/L Particle"/>
    <x v="5"/>
    <x v="0"/>
  </r>
  <r>
    <n v="10"/>
    <x v="4"/>
    <n v="2129"/>
    <s v="Inprocess"/>
    <d v="2021-07-19T00:00:00"/>
    <d v="2021-07-23T00:00:00"/>
    <s v="FBC"/>
    <s v="SF12"/>
    <s v="Line"/>
    <x v="5"/>
    <s v="YDBO075DAS02"/>
    <s v="A5030081B$0003552_2126"/>
    <n v="2126"/>
    <s v="A-5030-081-**"/>
    <s v="SSVE"/>
    <s v="na"/>
    <s v="na"/>
    <s v="Led Fail"/>
    <s v="Led Fail"/>
    <x v="3"/>
    <x v="0"/>
  </r>
  <r>
    <n v="11"/>
    <x v="10"/>
    <n v="2132"/>
    <s v="Inprocess"/>
    <d v="2021-08-11T00:00:00"/>
    <d v="2021-08-12T00:00:00"/>
    <s v="FBC"/>
    <s v="SF12"/>
    <s v="Line"/>
    <x v="5"/>
    <s v="YDBO075DAS02"/>
    <s v="A5028174A$0000458_2126"/>
    <n v="2126"/>
    <s v="A-5030-081-**"/>
    <s v="SSVE"/>
    <s v="na"/>
    <s v="na"/>
    <s v="No display (O-Cell)"/>
    <s v="No display (O-Cell)"/>
    <x v="1"/>
    <x v="0"/>
  </r>
  <r>
    <n v="1"/>
    <x v="11"/>
    <n v="2101"/>
    <s v="na"/>
    <d v="2021-01-04T00:00:00"/>
    <s v="NaT"/>
    <s v="FSK"/>
    <n v="3"/>
    <s v="I5"/>
    <x v="6"/>
    <s v="NB85_YSAS085CNU02"/>
    <s v="A5013703A$0019316_2042-YSAS085CNU02"/>
    <n v="2042"/>
    <s v="EA5013703A"/>
    <s v="na"/>
    <s v="na"/>
    <s v="na"/>
    <s v="D/L Defect"/>
    <s v="D/L Defect"/>
    <x v="2"/>
    <x v="2"/>
  </r>
  <r>
    <n v="2"/>
    <x v="11"/>
    <n v="2101"/>
    <s v="na"/>
    <d v="2021-01-08T00:00:00"/>
    <s v="NaT"/>
    <s v="FSK"/>
    <n v="11"/>
    <s v="I9"/>
    <x v="7"/>
    <s v="SBL2_YD9S049DND01"/>
    <s v="A5014743A$0055007_2046-YD9S049DND01"/>
    <n v="2046"/>
    <s v="EA5014743A"/>
    <s v="na"/>
    <s v="na"/>
    <s v="na"/>
    <s v="Black Spot"/>
    <s v="Black Spot"/>
    <x v="6"/>
    <x v="3"/>
  </r>
  <r>
    <n v="3"/>
    <x v="11"/>
    <n v="2101"/>
    <s v="na"/>
    <d v="2021-01-08T00:00:00"/>
    <s v="NaT"/>
    <s v="FSK"/>
    <n v="6"/>
    <s v="WB1"/>
    <x v="8"/>
    <s v="NH55_YDAS055DNU02"/>
    <s v="A5013700A$0055739_2045-YDAS055DNU02"/>
    <n v="2045"/>
    <s v="EA5013700A"/>
    <s v="na"/>
    <s v="na"/>
    <s v="na"/>
    <s v="White Spot"/>
    <s v="White Spot"/>
    <x v="6"/>
    <x v="2"/>
  </r>
  <r>
    <n v="4"/>
    <x v="12"/>
    <n v="2102"/>
    <s v="na"/>
    <d v="2021-01-13T00:00:00"/>
    <s v="NaT"/>
    <s v="FSK"/>
    <n v="3"/>
    <s v="I5"/>
    <x v="9"/>
    <s v="NH75_YDAS075DNN02"/>
    <s v="A5013674A$0015287_2048-YDAS075DNN02"/>
    <n v="2048"/>
    <s v="EA5013674A"/>
    <s v="na"/>
    <s v="na"/>
    <s v="na"/>
    <s v="G/L Defect"/>
    <s v="G/L Defect"/>
    <x v="2"/>
    <x v="2"/>
  </r>
  <r>
    <n v="5"/>
    <x v="12"/>
    <n v="2102"/>
    <s v="na"/>
    <d v="2021-01-14T00:00:00"/>
    <s v="NaT"/>
    <s v="FSK"/>
    <n v="2"/>
    <s v="I5"/>
    <x v="10"/>
    <s v="NB75_YSAS075CNO02_B"/>
    <s v="A5023872B$0002238_2048-YSAS075CNO02"/>
    <n v="2048"/>
    <s v="EA5023872B"/>
    <s v="na"/>
    <s v="na"/>
    <s v="na"/>
    <s v="B/L Particle"/>
    <s v="B/L Particle"/>
    <x v="5"/>
    <x v="2"/>
  </r>
  <r>
    <n v="6"/>
    <x v="12"/>
    <n v="2102"/>
    <s v="na"/>
    <d v="2021-01-14T00:00:00"/>
    <s v="NaT"/>
    <s v="FSK"/>
    <n v="15"/>
    <s v="P1"/>
    <x v="11"/>
    <s v="NH65_YDAS065DNU02"/>
    <s v="A5013677A$0055688_2046-YDAS065DNU02"/>
    <n v="2046"/>
    <s v="EA5013677A"/>
    <s v="na"/>
    <s v="na"/>
    <s v="na"/>
    <s v="Pol Scratch"/>
    <s v="Pol Scratch"/>
    <x v="7"/>
    <x v="2"/>
  </r>
  <r>
    <n v="7"/>
    <x v="12"/>
    <n v="2102"/>
    <s v="na"/>
    <d v="2021-01-14T00:00:00"/>
    <s v="NaT"/>
    <s v="FSK"/>
    <n v="2"/>
    <s v="P1"/>
    <x v="10"/>
    <s v="NB75_YSAS075CNO02_B"/>
    <s v="A5023872B$0004174_2048-YSAS075CNO02"/>
    <n v="2048"/>
    <s v="EA5023872B"/>
    <s v="na"/>
    <s v="na"/>
    <s v="na"/>
    <s v="Bezel Dent"/>
    <s v="Bezel Dent"/>
    <x v="8"/>
    <x v="2"/>
  </r>
  <r>
    <n v="8"/>
    <x v="12"/>
    <n v="2102"/>
    <s v="na"/>
    <d v="2021-01-14T00:00:00"/>
    <s v="NaT"/>
    <s v="FSK"/>
    <n v="3"/>
    <s v="WB1"/>
    <x v="12"/>
    <s v="NX75_YDAS075DNS02_C"/>
    <s v="A5024285B$0001256_2047-YDAS075DNS02"/>
    <n v="2047"/>
    <s v="EA5024285B"/>
    <s v="na"/>
    <s v="na"/>
    <s v="na"/>
    <s v="No display"/>
    <s v="No display"/>
    <x v="9"/>
    <x v="2"/>
  </r>
  <r>
    <n v="9"/>
    <x v="12"/>
    <n v="2102"/>
    <s v="na"/>
    <d v="2021-01-14T00:00:00"/>
    <s v="NaT"/>
    <s v="FSK"/>
    <n v="3"/>
    <s v="I5"/>
    <x v="12"/>
    <s v="NX75_YDAS075DNS02_C"/>
    <s v="A5024285B$0000833_2047-YDAS075DNS02"/>
    <n v="2047"/>
    <s v="EA5024285B"/>
    <s v="na"/>
    <s v="na"/>
    <s v="na"/>
    <s v="B/L Particle"/>
    <s v="B/L Particle"/>
    <x v="5"/>
    <x v="2"/>
  </r>
  <r>
    <n v="10"/>
    <x v="12"/>
    <n v="2102"/>
    <s v="na"/>
    <d v="2021-01-14T00:00:00"/>
    <s v="NaT"/>
    <s v="FSK"/>
    <n v="2"/>
    <s v="I5"/>
    <x v="10"/>
    <s v="NB75_YSAS075CNO02_B"/>
    <s v="A5023872B$0003543_2048-YSAS075CNO02"/>
    <n v="2048"/>
    <s v="EA5023872B"/>
    <s v="na"/>
    <s v="na"/>
    <s v="na"/>
    <s v="D/L Defect"/>
    <s v="D/L Defect"/>
    <x v="2"/>
    <x v="2"/>
  </r>
  <r>
    <n v="11"/>
    <x v="12"/>
    <n v="2102"/>
    <s v="na"/>
    <d v="2021-01-14T00:00:00"/>
    <s v="NaT"/>
    <s v="FSK"/>
    <n v="3"/>
    <s v="I1"/>
    <x v="12"/>
    <s v="NX75_YDAS075DNS02_C"/>
    <s v="A5024285B$0000904_2047-YDAS075DNS02"/>
    <n v="2047"/>
    <s v="EA5024285B"/>
    <s v="na"/>
    <s v="na"/>
    <s v="na"/>
    <s v="D/L Defect"/>
    <s v="D/L Defect"/>
    <x v="2"/>
    <x v="2"/>
  </r>
  <r>
    <n v="12"/>
    <x v="12"/>
    <n v="2102"/>
    <s v="na"/>
    <d v="2021-01-15T00:00:00"/>
    <s v="NaT"/>
    <s v="FSK"/>
    <n v="15"/>
    <s v="NVM"/>
    <x v="8"/>
    <s v="NH55_YDAS055DNU02"/>
    <s v="A5013700A$0057602_2047-YDAS055DNU02"/>
    <n v="2047"/>
    <s v="EA5013700A"/>
    <s v="na"/>
    <s v="na"/>
    <s v="na"/>
    <s v="Led Fail"/>
    <s v="Led Fail"/>
    <x v="3"/>
    <x v="2"/>
  </r>
  <r>
    <n v="13"/>
    <x v="12"/>
    <n v="2102"/>
    <s v="na"/>
    <d v="2021-01-15T00:00:00"/>
    <s v="NaT"/>
    <s v="FSK"/>
    <n v="1"/>
    <s v="I5"/>
    <x v="6"/>
    <s v="NB85_YSAS085CNU02"/>
    <s v="A5013703A$0022256_2048-YSAS085CNU02"/>
    <n v="2048"/>
    <s v="EA5013703A"/>
    <s v="na"/>
    <s v="na"/>
    <s v="na"/>
    <s v="D/L Defect"/>
    <s v="D/L Defect"/>
    <x v="2"/>
    <x v="2"/>
  </r>
  <r>
    <n v="14"/>
    <x v="13"/>
    <n v="2103"/>
    <s v="na"/>
    <d v="2021-01-18T00:00:00"/>
    <s v="NaT"/>
    <s v="FSK"/>
    <n v="5"/>
    <s v="I8"/>
    <x v="11"/>
    <s v="NH65_YDAS065DNU02"/>
    <s v="A5013677A$0057133_2047-YDAS065DNU02"/>
    <n v="2047"/>
    <s v="EA5013677A"/>
    <s v="na"/>
    <s v="na"/>
    <s v="na"/>
    <s v="B/L Particle"/>
    <s v="B/L Particle"/>
    <x v="5"/>
    <x v="2"/>
  </r>
  <r>
    <n v="15"/>
    <x v="13"/>
    <n v="2103"/>
    <s v="na"/>
    <d v="2021-01-18T00:00:00"/>
    <s v="NaT"/>
    <s v="FSK"/>
    <n v="5"/>
    <s v="WB1"/>
    <x v="11"/>
    <s v="NH65_YDAS065DNU02"/>
    <s v="A5013677A$0053486_2046-YDAS065DNU02"/>
    <n v="2046"/>
    <s v="EA5013677A"/>
    <s v="na"/>
    <s v="na"/>
    <s v="na"/>
    <s v="No display"/>
    <s v="No display"/>
    <x v="9"/>
    <x v="2"/>
  </r>
  <r>
    <n v="16"/>
    <x v="13"/>
    <n v="2103"/>
    <s v="na"/>
    <d v="2021-01-19T00:00:00"/>
    <s v="NaT"/>
    <s v="FSK"/>
    <n v="5"/>
    <s v="I8"/>
    <x v="11"/>
    <s v="NH65_YDAS065DNU02"/>
    <s v="A5013677A$0056890_2047-YDAS065DNU02"/>
    <n v="2047"/>
    <s v="EA5013677A"/>
    <s v="na"/>
    <s v="na"/>
    <s v="na"/>
    <s v="B/L Particle"/>
    <s v="B/L Particle"/>
    <x v="5"/>
    <x v="2"/>
  </r>
  <r>
    <n v="17"/>
    <x v="13"/>
    <n v="2103"/>
    <s v="na"/>
    <d v="2021-01-19T00:00:00"/>
    <s v="NaT"/>
    <s v="FSK"/>
    <n v="3"/>
    <s v="I5"/>
    <x v="6"/>
    <s v="NB85_YSAS085CNU02"/>
    <s v="A5013703A$0025891_2050-YSAS085CNU02"/>
    <n v="2050"/>
    <s v="EA5013703A"/>
    <s v="na"/>
    <s v="na"/>
    <s v="na"/>
    <s v="D/L Open On/Off"/>
    <s v="D/L Open On/Off"/>
    <x v="2"/>
    <x v="2"/>
  </r>
  <r>
    <n v="18"/>
    <x v="13"/>
    <n v="2103"/>
    <s v="na"/>
    <d v="2021-01-19T00:00:00"/>
    <s v="NaT"/>
    <s v="FSK"/>
    <n v="2"/>
    <s v="NVM"/>
    <x v="10"/>
    <s v="NB75_YSAS075CNO02_B"/>
    <s v="A5023872B$0002758_2048-YSAS075CNO02"/>
    <n v="2048"/>
    <s v="EA5023872B"/>
    <s v="na"/>
    <s v="na"/>
    <s v="na"/>
    <s v="Led Fail"/>
    <s v="Led Fail"/>
    <x v="3"/>
    <x v="2"/>
  </r>
  <r>
    <n v="19"/>
    <x v="13"/>
    <n v="2103"/>
    <s v="na"/>
    <d v="2021-01-20T00:00:00"/>
    <s v="NaT"/>
    <s v="FSK"/>
    <n v="15"/>
    <s v="I8"/>
    <x v="8"/>
    <s v="NH55_YDAS055DNU02"/>
    <s v="A5013700B$0001597_2049-YDAS055DNU02"/>
    <n v="2049"/>
    <s v="EA5013700B"/>
    <s v="na"/>
    <s v="na"/>
    <s v="na"/>
    <s v="No display"/>
    <s v="No display"/>
    <x v="9"/>
    <x v="2"/>
  </r>
  <r>
    <n v="20"/>
    <x v="13"/>
    <n v="2103"/>
    <s v="na"/>
    <d v="2021-01-21T00:00:00"/>
    <s v="NaT"/>
    <s v="FSK"/>
    <n v="2"/>
    <s v="WB1"/>
    <x v="12"/>
    <s v="NX75_YDAS075DNS02_C"/>
    <s v="A5024285B$0000986_2047-YDAS075DNS02"/>
    <n v="2047"/>
    <s v="EA5024285B"/>
    <s v="na"/>
    <s v="na"/>
    <s v="na"/>
    <s v="No display"/>
    <s v="No display"/>
    <x v="9"/>
    <x v="2"/>
  </r>
  <r>
    <n v="21"/>
    <x v="13"/>
    <n v="2103"/>
    <s v="na"/>
    <d v="2021-01-22T00:00:00"/>
    <s v="NaT"/>
    <s v="FSK"/>
    <n v="2"/>
    <s v="WB2"/>
    <x v="12"/>
    <s v="NX75_YDAS075DNS02_C"/>
    <s v="A5024285B$0002577_2047-YDAS075DNS02"/>
    <n v="2047"/>
    <s v="EA5024285B"/>
    <s v="na"/>
    <s v="na"/>
    <s v="na"/>
    <s v="W/B data fail"/>
    <s v="W/B data fail"/>
    <x v="9"/>
    <x v="2"/>
  </r>
  <r>
    <n v="22"/>
    <x v="14"/>
    <n v="2104"/>
    <s v="na"/>
    <d v="2021-01-27T00:00:00"/>
    <s v="NaT"/>
    <s v="FSK"/>
    <n v="3"/>
    <s v="WB1"/>
    <x v="13"/>
    <s v="SB2H_YD9S085DTU01"/>
    <s v="A5014097A$0022579_2049-YD9S085DTU01"/>
    <n v="2049"/>
    <s v="EA5014097A"/>
    <s v="na"/>
    <s v="na"/>
    <s v="na"/>
    <s v="W/B data fail"/>
    <s v="W/B data fail"/>
    <x v="9"/>
    <x v="3"/>
  </r>
  <r>
    <n v="23"/>
    <x v="14"/>
    <n v="2104"/>
    <s v="na"/>
    <d v="2021-01-28T00:00:00"/>
    <s v="NaT"/>
    <s v="FSK"/>
    <n v="16"/>
    <s v="I8"/>
    <x v="8"/>
    <s v="NH55_YDAS055DNU02"/>
    <s v="A5013700B$0002607_2049-YDAS055DNU02"/>
    <n v="2049"/>
    <s v="EA5013700B"/>
    <s v="na"/>
    <s v="na"/>
    <s v="na"/>
    <s v="B/L Sheet Wrinkle"/>
    <s v="B/L Sheet Wrinkle"/>
    <x v="10"/>
    <x v="2"/>
  </r>
  <r>
    <n v="24"/>
    <x v="14"/>
    <n v="2104"/>
    <s v="na"/>
    <d v="2021-01-28T00:00:00"/>
    <s v="NaT"/>
    <s v="FSK"/>
    <n v="16"/>
    <s v="I8"/>
    <x v="8"/>
    <s v="NH55_YDAS055DNU02"/>
    <s v="A5013700B$0002379_2049-YDAS055DNU02"/>
    <n v="2049"/>
    <s v="EA5013700B"/>
    <s v="na"/>
    <s v="na"/>
    <s v="na"/>
    <s v="B/L Sheet Wrinkle"/>
    <s v="B/L Sheet Wrinkle"/>
    <x v="10"/>
    <x v="2"/>
  </r>
  <r>
    <n v="25"/>
    <x v="14"/>
    <n v="2104"/>
    <s v="na"/>
    <d v="2021-01-28T00:00:00"/>
    <s v="NaT"/>
    <s v="FSK"/>
    <n v="6"/>
    <s v="I10"/>
    <x v="8"/>
    <s v="NH55_YDAS055DNU02"/>
    <s v="A5013700B$0006108_2050-YDAS055DNU02"/>
    <n v="2050"/>
    <s v="EA5013700B"/>
    <s v="na"/>
    <s v="na"/>
    <s v="na"/>
    <s v="B/L Sheet Wrinkle"/>
    <s v="B/L Sheet Wrinkle"/>
    <x v="10"/>
    <x v="2"/>
  </r>
  <r>
    <n v="26"/>
    <x v="14"/>
    <n v="2104"/>
    <s v="na"/>
    <d v="2021-01-29T00:00:00"/>
    <s v="NaT"/>
    <s v="FSK"/>
    <n v="15"/>
    <s v="P1"/>
    <x v="11"/>
    <s v="NH65_YDAS065DNU02"/>
    <s v="A5013677A$0059156_2048-YDAS065DNU02"/>
    <n v="2048"/>
    <s v="EA5013677A"/>
    <s v="na"/>
    <s v="na"/>
    <s v="na"/>
    <s v="Pol Scratch"/>
    <s v="Pol Scratch"/>
    <x v="7"/>
    <x v="2"/>
  </r>
  <r>
    <n v="27"/>
    <x v="14"/>
    <n v="2104"/>
    <s v="na"/>
    <d v="2021-01-29T00:00:00"/>
    <s v="NaT"/>
    <s v="FSK"/>
    <n v="11"/>
    <s v="I9"/>
    <x v="7"/>
    <s v="SBL2_YD9S049DND01"/>
    <s v="A5014743A$0064747_2053-YD9S049DND01"/>
    <n v="2053"/>
    <s v="EA5014743A"/>
    <s v="na"/>
    <s v="na"/>
    <s v="na"/>
    <s v="D/L Defect"/>
    <s v="D/L Defect"/>
    <x v="2"/>
    <x v="3"/>
  </r>
  <r>
    <n v="28"/>
    <x v="14"/>
    <n v="2104"/>
    <s v="na"/>
    <d v="2021-01-29T00:00:00"/>
    <s v="NaT"/>
    <s v="FSK"/>
    <n v="16"/>
    <s v="I8"/>
    <x v="8"/>
    <s v="NH55_YDAS055DNU02"/>
    <s v="A5013700B$0001954_2049-YDAS055DNU02"/>
    <n v="2049"/>
    <s v="EA5013700B"/>
    <s v="na"/>
    <s v="na"/>
    <s v="na"/>
    <s v="B/L Sheet Wrinkle"/>
    <s v="B/L Sheet Wrinkle"/>
    <x v="10"/>
    <x v="2"/>
  </r>
  <r>
    <n v="29"/>
    <x v="14"/>
    <n v="2104"/>
    <s v="na"/>
    <d v="2021-01-29T00:00:00"/>
    <s v="NaT"/>
    <s v="FSK"/>
    <n v="16"/>
    <s v="I8"/>
    <x v="8"/>
    <s v="NH55_YDAS055DNU02"/>
    <s v="A5013700B$0001955_2049-YDAS055DNU02"/>
    <n v="2049"/>
    <s v="EA5013700B"/>
    <s v="na"/>
    <s v="na"/>
    <s v="na"/>
    <s v="B/L Sheet Wrinkle"/>
    <s v="B/L Sheet Wrinkle"/>
    <x v="10"/>
    <x v="2"/>
  </r>
  <r>
    <n v="30"/>
    <x v="14"/>
    <n v="2104"/>
    <s v="na"/>
    <d v="2021-01-29T00:00:00"/>
    <s v="NaT"/>
    <s v="FSK"/>
    <n v="16"/>
    <s v="I8"/>
    <x v="8"/>
    <s v="NH55_YDAS055DNU02"/>
    <s v="A5013700B$0001960_2049-YDAS055DNU02"/>
    <n v="2049"/>
    <s v="EA5013700B"/>
    <s v="na"/>
    <s v="na"/>
    <s v="na"/>
    <s v="B/L Sheet Wrinkle"/>
    <s v="B/L Sheet Wrinkle"/>
    <x v="10"/>
    <x v="2"/>
  </r>
  <r>
    <n v="31"/>
    <x v="14"/>
    <n v="2104"/>
    <s v="na"/>
    <d v="2021-01-29T00:00:00"/>
    <s v="NaT"/>
    <s v="FSK"/>
    <n v="16"/>
    <s v="I8"/>
    <x v="8"/>
    <s v="NH55_YDAS055DNU02"/>
    <s v="A5013700B$0001946_2049-YDAS055DNU02"/>
    <n v="2049"/>
    <s v="EA5013700B"/>
    <s v="na"/>
    <s v="na"/>
    <s v="na"/>
    <s v="B/L Sheet Wrinkle"/>
    <s v="B/L Sheet Wrinkle"/>
    <x v="10"/>
    <x v="2"/>
  </r>
  <r>
    <n v="32"/>
    <x v="14"/>
    <n v="2104"/>
    <s v="na"/>
    <d v="2021-01-29T00:00:00"/>
    <s v="NaT"/>
    <s v="FSK"/>
    <n v="2"/>
    <s v="WB1"/>
    <x v="12"/>
    <s v="NX75_YDAS075DNS02_C"/>
    <s v="A5024285B$0002819_2047-YDAS075DNS02"/>
    <n v="2047"/>
    <s v="EA5024285B"/>
    <s v="na"/>
    <s v="na"/>
    <s v="na"/>
    <s v="No display"/>
    <s v="No display"/>
    <x v="9"/>
    <x v="2"/>
  </r>
  <r>
    <n v="33"/>
    <x v="14"/>
    <n v="2104"/>
    <s v="na"/>
    <d v="2021-01-29T00:00:00"/>
    <s v="NaT"/>
    <s v="FSK"/>
    <n v="16"/>
    <s v="I8"/>
    <x v="8"/>
    <s v="NH55_YDAS055DNU02"/>
    <s v="A5013700B$0001947_2049-YDAS055DNU02"/>
    <n v="2049"/>
    <s v="EA5013700B"/>
    <s v="na"/>
    <s v="na"/>
    <s v="na"/>
    <s v="B/L Sheet Wrinkle"/>
    <s v="B/L Sheet Wrinkle"/>
    <x v="10"/>
    <x v="2"/>
  </r>
  <r>
    <n v="34"/>
    <x v="14"/>
    <n v="2104"/>
    <s v="na"/>
    <d v="2021-01-29T00:00:00"/>
    <s v="NaT"/>
    <s v="FSK"/>
    <n v="15"/>
    <s v="WB1"/>
    <x v="11"/>
    <s v="NH65_YDAS065DNU02"/>
    <s v="A5013677A$0059939_2050-YDAS065DNU02"/>
    <n v="2050"/>
    <s v="EA5013677A"/>
    <s v="na"/>
    <s v="na"/>
    <s v="na"/>
    <s v="D/B Defect"/>
    <s v="D/B Defect"/>
    <x v="2"/>
    <x v="2"/>
  </r>
  <r>
    <n v="35"/>
    <x v="15"/>
    <n v="2105"/>
    <s v="na"/>
    <d v="2021-02-01T00:00:00"/>
    <s v="NaT"/>
    <s v="FSK"/>
    <n v="6"/>
    <s v="NVM"/>
    <x v="8"/>
    <s v="NH55_YDAS055DNU02"/>
    <s v="A5013700B$0003831_2050-YDAS055DNU02"/>
    <n v="2050"/>
    <s v="EA5013700B"/>
    <s v="na"/>
    <s v="na"/>
    <s v="na"/>
    <s v="Led Fail"/>
    <s v="Led Fail"/>
    <x v="3"/>
    <x v="2"/>
  </r>
  <r>
    <n v="36"/>
    <x v="15"/>
    <n v="2105"/>
    <s v="na"/>
    <d v="2021-02-01T00:00:00"/>
    <s v="NaT"/>
    <s v="FSK"/>
    <n v="6"/>
    <s v="I9"/>
    <x v="8"/>
    <s v="NH55_YDAS055DNU02"/>
    <s v="A5013700B$0004858_2050-YDAS055DNU02"/>
    <n v="2050"/>
    <s v="EA5013700B"/>
    <s v="na"/>
    <s v="na"/>
    <s v="na"/>
    <s v="B/L Particle"/>
    <s v="B/L Particle"/>
    <x v="5"/>
    <x v="2"/>
  </r>
  <r>
    <n v="37"/>
    <x v="15"/>
    <n v="2105"/>
    <s v="na"/>
    <d v="2021-02-02T00:00:00"/>
    <s v="NaT"/>
    <s v="FSK"/>
    <n v="10"/>
    <s v="P14"/>
    <x v="7"/>
    <s v="SBL2_YD9S049DND01"/>
    <s v="A5014743A$0058298_2050-YD9S049DND01"/>
    <n v="2050"/>
    <s v="EA5014743A"/>
    <s v="na"/>
    <s v="na"/>
    <s v="na"/>
    <s v="Chassis bent"/>
    <s v="Chassis bent"/>
    <x v="11"/>
    <x v="3"/>
  </r>
  <r>
    <n v="38"/>
    <x v="15"/>
    <n v="2105"/>
    <s v="na"/>
    <d v="2021-02-02T00:00:00"/>
    <s v="NaT"/>
    <s v="FSK"/>
    <n v="6"/>
    <s v="NVM"/>
    <x v="8"/>
    <s v="NH55_YDAS055DNU02"/>
    <s v="A5013700B$0005258_2050-YDAS055DNU02"/>
    <n v="2050"/>
    <s v="EA5013700B"/>
    <s v="na"/>
    <s v="na"/>
    <s v="na"/>
    <s v="Led Fail"/>
    <s v="Led Fail"/>
    <x v="3"/>
    <x v="2"/>
  </r>
  <r>
    <n v="39"/>
    <x v="15"/>
    <n v="2105"/>
    <s v="na"/>
    <d v="2021-02-03T00:00:00"/>
    <s v="NaT"/>
    <s v="FSK"/>
    <n v="3"/>
    <s v="WB1"/>
    <x v="12"/>
    <s v="NX75_YDAS075DNS02_C"/>
    <s v="A5024285B$0004536_2051-YDAS075DNS02"/>
    <n v="2051"/>
    <s v="EA5024285B"/>
    <s v="na"/>
    <s v="na"/>
    <s v="na"/>
    <s v="No display (O-Cell)"/>
    <s v="No display (O-Cell)"/>
    <x v="1"/>
    <x v="2"/>
  </r>
  <r>
    <n v="40"/>
    <x v="15"/>
    <n v="2105"/>
    <s v="na"/>
    <d v="2021-02-03T00:00:00"/>
    <s v="NaT"/>
    <s v="FSK"/>
    <n v="18"/>
    <s v="I9"/>
    <x v="7"/>
    <s v="SBL2_YD9S049DND01"/>
    <s v="A5025367A$0020209_2101-YD9S049DND01"/>
    <n v="2101"/>
    <s v="EA5025367A"/>
    <s v="na"/>
    <s v="na"/>
    <s v="na"/>
    <s v="B/L Sheet Wrinkle"/>
    <s v="B/L Sheet Wrinkle"/>
    <x v="10"/>
    <x v="3"/>
  </r>
  <r>
    <n v="41"/>
    <x v="15"/>
    <n v="2105"/>
    <s v="na"/>
    <d v="2021-02-03T00:00:00"/>
    <s v="NaT"/>
    <s v="FSK"/>
    <n v="11"/>
    <s v="I9"/>
    <x v="7"/>
    <s v="SBL2_YD9S049DND01"/>
    <s v="A5025367A$0020103_2053-YD9S049DND01"/>
    <n v="2053"/>
    <s v="EA5025367A"/>
    <s v="na"/>
    <s v="na"/>
    <s v="na"/>
    <s v="B/L Sheet Wrinkle"/>
    <s v="B/L Sheet Wrinkle"/>
    <x v="10"/>
    <x v="3"/>
  </r>
  <r>
    <n v="42"/>
    <x v="15"/>
    <n v="2105"/>
    <s v="na"/>
    <d v="2021-02-04T00:00:00"/>
    <s v="NaT"/>
    <s v="FSK"/>
    <n v="2"/>
    <s v="I5"/>
    <x v="9"/>
    <s v="NH75_YDAS075DNN02"/>
    <s v="A5013674A$0018875_2101-YDAS075DNN02"/>
    <n v="2101"/>
    <s v="EA5013674A"/>
    <s v="na"/>
    <s v="na"/>
    <s v="na"/>
    <s v="B/L Particle"/>
    <s v="B/L Particle"/>
    <x v="5"/>
    <x v="2"/>
  </r>
  <r>
    <n v="43"/>
    <x v="15"/>
    <n v="2105"/>
    <s v="na"/>
    <d v="2021-02-04T00:00:00"/>
    <s v="NaT"/>
    <s v="FSK"/>
    <n v="3"/>
    <s v="NVM"/>
    <x v="12"/>
    <s v="NX75_YDAS075DNS02_C"/>
    <s v="A5024285B$0003810_2051-YDAS075DNS02"/>
    <n v="2051"/>
    <s v="EA5024285B"/>
    <s v="na"/>
    <s v="na"/>
    <s v="na"/>
    <s v="Led Fail"/>
    <s v="Led Fail"/>
    <x v="3"/>
    <x v="2"/>
  </r>
  <r>
    <n v="44"/>
    <x v="15"/>
    <n v="2105"/>
    <s v="na"/>
    <d v="2021-02-05T00:00:00"/>
    <s v="NaT"/>
    <s v="FSK"/>
    <n v="3"/>
    <s v="I5"/>
    <x v="12"/>
    <s v="NX75_YDAS075DND02_S"/>
    <s v="A5016527B$0001305_2051-YDAS075DND02"/>
    <n v="2051"/>
    <s v="EA5016527B"/>
    <s v="na"/>
    <s v="na"/>
    <s v="na"/>
    <s v="D/L Defect"/>
    <s v="D/L Defect"/>
    <x v="2"/>
    <x v="2"/>
  </r>
  <r>
    <n v="45"/>
    <x v="15"/>
    <n v="2105"/>
    <s v="na"/>
    <d v="2021-02-05T00:00:00"/>
    <s v="NaT"/>
    <s v="FSK"/>
    <n v="1"/>
    <s v="I5"/>
    <x v="13"/>
    <s v="SB2H_YD9S085DTU01"/>
    <s v="A5014097A$0026959_2102-YD9S085DTU01"/>
    <n v="2102"/>
    <s v="EA5014097A"/>
    <s v="na"/>
    <s v="na"/>
    <s v="na"/>
    <s v="B/L Particle"/>
    <s v="B/L Particle"/>
    <x v="5"/>
    <x v="3"/>
  </r>
  <r>
    <n v="46"/>
    <x v="16"/>
    <n v="2106"/>
    <s v="na"/>
    <d v="2021-02-08T00:00:00"/>
    <s v="NaT"/>
    <s v="FSK"/>
    <n v="6"/>
    <s v="WB1"/>
    <x v="8"/>
    <s v="NH55_YDAS055DNU02"/>
    <s v="A5013700A$0056665_2046-YDAS055DNU02"/>
    <n v="2046"/>
    <s v="EA5013700A"/>
    <s v="na"/>
    <s v="na"/>
    <s v="na"/>
    <s v="W/B data fail"/>
    <s v="W/B data fail"/>
    <x v="9"/>
    <x v="2"/>
  </r>
  <r>
    <n v="47"/>
    <x v="16"/>
    <n v="2106"/>
    <s v="na"/>
    <d v="2021-02-08T00:00:00"/>
    <s v="NaT"/>
    <s v="FSK"/>
    <n v="15"/>
    <s v="I8"/>
    <x v="11"/>
    <s v="NH65_YDAS065DNU02"/>
    <s v="A5013677B$0006959_2051-YDAS065DNU02"/>
    <n v="2051"/>
    <s v="EA5013677B"/>
    <s v="na"/>
    <s v="na"/>
    <s v="na"/>
    <s v="D/L Defect"/>
    <s v="D/L Defect"/>
    <x v="2"/>
    <x v="2"/>
  </r>
  <r>
    <n v="48"/>
    <x v="16"/>
    <n v="2106"/>
    <s v="na"/>
    <d v="2021-02-08T00:00:00"/>
    <s v="NaT"/>
    <s v="FSK"/>
    <n v="6"/>
    <s v="NVM"/>
    <x v="8"/>
    <s v="NH55_YDAS055DNU02"/>
    <s v="A5013700B$0008394_2051-YDAS055DNU02"/>
    <n v="2051"/>
    <s v="EA5013700B"/>
    <s v="na"/>
    <s v="na"/>
    <s v="na"/>
    <s v="LD board fail"/>
    <s v="LD board fail"/>
    <x v="3"/>
    <x v="2"/>
  </r>
  <r>
    <n v="49"/>
    <x v="17"/>
    <n v="2107"/>
    <s v="na"/>
    <d v="2021-02-15T00:00:00"/>
    <s v="NaT"/>
    <s v="FSK"/>
    <n v="15"/>
    <s v="P1"/>
    <x v="11"/>
    <s v="NH65_YDAS065DNU02"/>
    <s v="A5013677A$0063250_2052-YDAS065DNU02"/>
    <n v="2052"/>
    <s v="EA5013677A"/>
    <s v="na"/>
    <s v="na"/>
    <s v="na"/>
    <s v="Pol Bubble"/>
    <s v="Pol Bubble"/>
    <x v="7"/>
    <x v="2"/>
  </r>
  <r>
    <n v="50"/>
    <x v="17"/>
    <n v="2107"/>
    <s v="na"/>
    <d v="2021-02-15T00:00:00"/>
    <s v="NaT"/>
    <s v="FSK"/>
    <n v="11"/>
    <s v="WB2"/>
    <x v="7"/>
    <s v="SBL2_YD9S049DND01"/>
    <s v="A5014743A$0064374_2052-YD9S049DND01"/>
    <n v="2052"/>
    <s v="EA5014743A"/>
    <s v="na"/>
    <s v="na"/>
    <s v="na"/>
    <s v="No display"/>
    <s v="No display"/>
    <x v="9"/>
    <x v="3"/>
  </r>
  <r>
    <n v="51"/>
    <x v="17"/>
    <n v="2107"/>
    <s v="na"/>
    <d v="2021-02-16T00:00:00"/>
    <s v="NaT"/>
    <s v="FSK"/>
    <n v="2"/>
    <s v="WB1"/>
    <x v="12"/>
    <s v="NX75_YDAS075DNS02_C"/>
    <s v="A5024285B$0005840_2052-YDAS075DNS02"/>
    <n v="2052"/>
    <s v="EA5024285B"/>
    <s v="na"/>
    <s v="na"/>
    <s v="na"/>
    <s v="W/B data fail"/>
    <s v="W/B data fail"/>
    <x v="9"/>
    <x v="2"/>
  </r>
  <r>
    <n v="52"/>
    <x v="17"/>
    <n v="2107"/>
    <s v="na"/>
    <d v="2021-02-16T00:00:00"/>
    <s v="NaT"/>
    <s v="FSK"/>
    <n v="2"/>
    <s v="I1"/>
    <x v="12"/>
    <s v="NX75_YDAS075DNS02_C"/>
    <s v="A5024285B$0005875_2052-YDAS075DNS02"/>
    <n v="2052"/>
    <s v="EA5024285B"/>
    <s v="na"/>
    <s v="na"/>
    <s v="na"/>
    <s v="D/B Defect"/>
    <s v="D/B Defect"/>
    <x v="2"/>
    <x v="2"/>
  </r>
  <r>
    <n v="53"/>
    <x v="17"/>
    <n v="2107"/>
    <s v="na"/>
    <d v="2021-02-16T00:00:00"/>
    <s v="NaT"/>
    <s v="FSK"/>
    <n v="15"/>
    <s v="NVM"/>
    <x v="11"/>
    <s v="NH65_YDAS065DNU02"/>
    <s v="A5013677B$0010580_2052-YDAS065DNU02"/>
    <n v="2052"/>
    <s v="EA5013677B"/>
    <s v="na"/>
    <s v="na"/>
    <s v="na"/>
    <s v="No display"/>
    <s v="No display"/>
    <x v="9"/>
    <x v="2"/>
  </r>
  <r>
    <n v="54"/>
    <x v="17"/>
    <n v="2107"/>
    <s v="na"/>
    <d v="2021-02-16T00:00:00"/>
    <s v="NaT"/>
    <s v="FSK"/>
    <n v="2"/>
    <s v="I5"/>
    <x v="10"/>
    <s v="NB75_YSAS075CNO02_B"/>
    <s v="A5023872B$0008984_2052-YSAS075CNO02"/>
    <n v="2052"/>
    <s v="EA5023872B"/>
    <s v="na"/>
    <s v="na"/>
    <s v="na"/>
    <s v="White Spot"/>
    <s v="White Spot"/>
    <x v="6"/>
    <x v="2"/>
  </r>
  <r>
    <n v="55"/>
    <x v="17"/>
    <n v="2107"/>
    <s v="na"/>
    <d v="2021-02-16T00:00:00"/>
    <s v="NaT"/>
    <s v="FSK"/>
    <n v="6"/>
    <s v="NVM"/>
    <x v="8"/>
    <s v="NH55_YDAS055DNU02"/>
    <s v="A5013700B$0011248_2052-YDAS055DNU02"/>
    <n v="2052"/>
    <s v="EA5013700B"/>
    <s v="na"/>
    <s v="na"/>
    <s v="na"/>
    <s v="No display"/>
    <s v="No display"/>
    <x v="9"/>
    <x v="2"/>
  </r>
  <r>
    <n v="56"/>
    <x v="17"/>
    <n v="2107"/>
    <s v="na"/>
    <d v="2021-02-18T00:00:00"/>
    <s v="NaT"/>
    <s v="FSK"/>
    <n v="8"/>
    <s v="I8"/>
    <x v="11"/>
    <s v="NH65_YDAS065DNU02"/>
    <s v="A5013677A$0062158_2052-YDAS065DNU02"/>
    <n v="2052"/>
    <s v="EA5013677A"/>
    <s v="na"/>
    <s v="na"/>
    <s v="na"/>
    <s v="Drain Open"/>
    <s v="Drain Open"/>
    <x v="2"/>
    <x v="2"/>
  </r>
  <r>
    <n v="57"/>
    <x v="17"/>
    <n v="2107"/>
    <s v="na"/>
    <d v="2021-02-20T00:00:00"/>
    <s v="NaT"/>
    <s v="FSK"/>
    <n v="6"/>
    <s v="NVM"/>
    <x v="8"/>
    <s v="NH55_YDAS055DNU02"/>
    <s v="A5013700B$0012624_2053-YDAS055DNU02"/>
    <n v="2053"/>
    <s v="EA5013700B"/>
    <s v="na"/>
    <s v="na"/>
    <s v="na"/>
    <s v="A/D"/>
    <s v="A/D"/>
    <x v="9"/>
    <x v="2"/>
  </r>
  <r>
    <n v="58"/>
    <x v="17"/>
    <n v="2107"/>
    <s v="na"/>
    <d v="2021-02-20T00:00:00"/>
    <s v="NaT"/>
    <s v="FSK"/>
    <n v="6"/>
    <s v="WB1"/>
    <x v="8"/>
    <s v="NH55_YDAS055DNU02"/>
    <s v="A5013700B$0011986_2053-YDAS055DNU02"/>
    <n v="2053"/>
    <s v="EA5013700B"/>
    <s v="na"/>
    <s v="na"/>
    <s v="na"/>
    <s v="O-Cell A/D"/>
    <s v="O-Cell A/D"/>
    <x v="1"/>
    <x v="2"/>
  </r>
  <r>
    <n v="59"/>
    <x v="18"/>
    <n v="2108"/>
    <s v="na"/>
    <d v="2021-02-22T00:00:00"/>
    <s v="NaT"/>
    <s v="FSK"/>
    <n v="6"/>
    <s v="WB1"/>
    <x v="11"/>
    <s v="NH65_YDAS065DNU02"/>
    <s v="A5013677A$0062363_2052-YDAS065DNU02"/>
    <n v="2052"/>
    <s v="EA5013677A"/>
    <s v="na"/>
    <s v="na"/>
    <s v="na"/>
    <s v="W/B NG"/>
    <s v="W/B NG"/>
    <x v="9"/>
    <x v="2"/>
  </r>
  <r>
    <n v="60"/>
    <x v="18"/>
    <n v="2108"/>
    <s v="na"/>
    <d v="2021-02-26T00:00:00"/>
    <s v="NaT"/>
    <s v="FSK"/>
    <n v="6"/>
    <s v="WB1"/>
    <x v="11"/>
    <s v="NH65_YDAS065DNU02"/>
    <s v="A5013677B$0011773_2053-YDAS065DNU02"/>
    <n v="2053"/>
    <s v="EA5013677B"/>
    <s v="na"/>
    <s v="na"/>
    <s v="na"/>
    <s v="Half picture"/>
    <s v="Half picture"/>
    <x v="9"/>
    <x v="2"/>
  </r>
  <r>
    <n v="61"/>
    <x v="19"/>
    <n v="2109"/>
    <s v="na"/>
    <d v="2021-03-03T00:00:00"/>
    <s v="NaT"/>
    <s v="FSK"/>
    <n v="1"/>
    <s v="NVM"/>
    <x v="14"/>
    <s v="NXB85_YDAS085DNU01"/>
    <s v="A5016564A$0002276_2101-YDAS085DNU02"/>
    <n v="2101"/>
    <s v="EA5016564A"/>
    <s v="na"/>
    <s v="na"/>
    <s v="na"/>
    <s v="Led Fail"/>
    <s v="Led Fail"/>
    <x v="3"/>
    <x v="2"/>
  </r>
  <r>
    <n v="62"/>
    <x v="19"/>
    <n v="2109"/>
    <s v="na"/>
    <d v="2021-03-04T00:00:00"/>
    <s v="NaT"/>
    <s v="FSK"/>
    <n v="3"/>
    <s v="I5"/>
    <x v="10"/>
    <s v="NB75_YSAS075CNO02_B"/>
    <s v="A5023872B$0015387_2101-YSAS075CNO02"/>
    <n v="2101"/>
    <s v="EA5023872B"/>
    <s v="na"/>
    <s v="na"/>
    <s v="na"/>
    <s v="A/D"/>
    <s v="A/D"/>
    <x v="9"/>
    <x v="2"/>
  </r>
  <r>
    <n v="63"/>
    <x v="20"/>
    <n v="2110"/>
    <s v="na"/>
    <d v="2021-03-08T00:00:00"/>
    <s v="NaT"/>
    <s v="FSK"/>
    <n v="2"/>
    <s v="WB1"/>
    <x v="10"/>
    <s v="NB75_YSAS075CNO02_B"/>
    <s v="A5023872B$0012677_2101-YSAS075CNO02"/>
    <n v="2101"/>
    <s v="EA5023872B"/>
    <s v="na"/>
    <s v="na"/>
    <s v="na"/>
    <s v="W/B data fail"/>
    <s v="W/B data fail"/>
    <x v="9"/>
    <x v="2"/>
  </r>
  <r>
    <n v="64"/>
    <x v="20"/>
    <n v="2110"/>
    <s v="na"/>
    <d v="2021-03-08T00:00:00"/>
    <s v="NaT"/>
    <s v="FSK"/>
    <n v="1"/>
    <s v="I1"/>
    <x v="15"/>
    <s v="NX85_YDAS085DNU01"/>
    <s v="A5016535A$0028986_2102-YDAS085DNU02"/>
    <n v="2102"/>
    <s v="EA5016535A"/>
    <s v="na"/>
    <s v="na"/>
    <s v="na"/>
    <s v="D/L Defect"/>
    <s v="D/L Defect"/>
    <x v="2"/>
    <x v="2"/>
  </r>
  <r>
    <n v="65"/>
    <x v="20"/>
    <n v="2110"/>
    <s v="na"/>
    <d v="2021-03-10T00:00:00"/>
    <s v="NaT"/>
    <s v="FSK"/>
    <n v="2"/>
    <s v="WB1"/>
    <x v="12"/>
    <s v="NX75_YDAS075DNS02_C"/>
    <s v="A5024285B$0008719_2103-YDAS075DNS02"/>
    <n v="2103"/>
    <s v="EA5024285B"/>
    <s v="na"/>
    <s v="na"/>
    <s v="na"/>
    <s v="W/B data fail"/>
    <s v="W/B data fail"/>
    <x v="9"/>
    <x v="2"/>
  </r>
  <r>
    <n v="66"/>
    <x v="20"/>
    <n v="2110"/>
    <s v="na"/>
    <d v="2021-03-11T00:00:00"/>
    <s v="NaT"/>
    <s v="FSK"/>
    <n v="1"/>
    <s v="WB1"/>
    <x v="12"/>
    <s v="NX75_YDAS075DNS02_C"/>
    <s v="A5024285B$0008358_2103-YDAS075DNS02"/>
    <n v="2103"/>
    <s v="EA5024285B"/>
    <s v="na"/>
    <s v="na"/>
    <s v="na"/>
    <s v="W/B data fail"/>
    <s v="W/B data fail"/>
    <x v="9"/>
    <x v="2"/>
  </r>
  <r>
    <n v="67"/>
    <x v="21"/>
    <n v="2111"/>
    <s v="na"/>
    <d v="2021-03-15T00:00:00"/>
    <s v="NaT"/>
    <s v="FSK"/>
    <n v="1"/>
    <s v="I5"/>
    <x v="6"/>
    <s v="NB85_YSAS085CNU02"/>
    <s v="A5013703A$0024199_2048-YSAS085CNU02"/>
    <n v="2048"/>
    <s v="EA5013703A"/>
    <s v="na"/>
    <s v="na"/>
    <s v="na"/>
    <s v="D/L Defect"/>
    <s v="D/L Defect"/>
    <x v="2"/>
    <x v="2"/>
  </r>
  <r>
    <n v="68"/>
    <x v="21"/>
    <n v="2111"/>
    <s v="na"/>
    <d v="2021-03-16T00:00:00"/>
    <s v="NaT"/>
    <s v="FSK"/>
    <n v="2"/>
    <s v="I5"/>
    <x v="10"/>
    <s v="NB75_YSAS075CNO02_B"/>
    <s v="A5023872B$0016955_2102-YSAS075CNO02"/>
    <n v="2102"/>
    <s v="EA5023872B"/>
    <s v="na"/>
    <s v="na"/>
    <s v="na"/>
    <s v="D/B Defect"/>
    <s v="D/B Defect"/>
    <x v="2"/>
    <x v="2"/>
  </r>
  <r>
    <n v="69"/>
    <x v="21"/>
    <n v="2111"/>
    <s v="na"/>
    <d v="2021-03-16T00:00:00"/>
    <s v="NaT"/>
    <s v="FSK"/>
    <n v="3"/>
    <s v="I9"/>
    <x v="12"/>
    <s v="NX75_YDAS075DNS02_C"/>
    <s v="A5024285B$0008970_2103-YDAS075DNS02"/>
    <n v="2103"/>
    <s v="EA5024285B"/>
    <s v="na"/>
    <s v="na"/>
    <s v="na"/>
    <s v="B/L Particle"/>
    <s v="B/L Particle"/>
    <x v="5"/>
    <x v="2"/>
  </r>
  <r>
    <n v="70"/>
    <x v="22"/>
    <n v="2112"/>
    <s v="na"/>
    <d v="2021-03-23T00:00:00"/>
    <s v="NaT"/>
    <s v="FSK"/>
    <n v="1"/>
    <s v="WB1"/>
    <x v="6"/>
    <s v="NB85_YSAS085CNU02"/>
    <s v="A5013703A$0033487_2104-YSAS085CNU02"/>
    <n v="2104"/>
    <s v="EA5013703A"/>
    <s v="na"/>
    <s v="na"/>
    <s v="na"/>
    <s v="No display"/>
    <s v="No display"/>
    <x v="9"/>
    <x v="2"/>
  </r>
  <r>
    <n v="71"/>
    <x v="22"/>
    <n v="2112"/>
    <s v="na"/>
    <d v="2021-03-23T00:00:00"/>
    <s v="NaT"/>
    <s v="FSK"/>
    <n v="2"/>
    <s v="QA"/>
    <x v="16"/>
    <s v="NXB75_YDAS075DNS02_C"/>
    <s v="A5024290B$0000767_2053-YDAS075DNS02"/>
    <n v="2053"/>
    <s v="EA5024290B"/>
    <s v="na"/>
    <s v="na"/>
    <s v="na"/>
    <s v="Bezel etc"/>
    <s v="Bezel etc"/>
    <x v="8"/>
    <x v="2"/>
  </r>
  <r>
    <n v="72"/>
    <x v="22"/>
    <n v="2112"/>
    <s v="na"/>
    <d v="2021-03-23T00:00:00"/>
    <s v="NaT"/>
    <s v="FSK"/>
    <n v="1"/>
    <s v="I1"/>
    <x v="15"/>
    <s v="NX85_YDAS085DNU01"/>
    <s v="A5016535A$0031100_2103-YDAS085DNU02"/>
    <n v="2103"/>
    <s v="EA5016535A"/>
    <s v="na"/>
    <s v="na"/>
    <s v="na"/>
    <s v="A/D"/>
    <s v="A/D"/>
    <x v="9"/>
    <x v="2"/>
  </r>
  <r>
    <n v="73"/>
    <x v="22"/>
    <n v="2112"/>
    <s v="na"/>
    <d v="2021-03-25T00:00:00"/>
    <s v="NaT"/>
    <s v="FSK"/>
    <n v="2"/>
    <s v="P6"/>
    <x v="0"/>
    <s v="APH75_YSBM075CNO02"/>
    <s v="A5027728A$0001707_2105-YSBM075CNO02"/>
    <n v="2105"/>
    <s v="EA5027728A"/>
    <s v="na"/>
    <s v="na"/>
    <s v="na"/>
    <s v="Chassis bent"/>
    <s v="Chassis bent"/>
    <x v="11"/>
    <x v="0"/>
  </r>
  <r>
    <n v="74"/>
    <x v="22"/>
    <n v="2112"/>
    <s v="na"/>
    <d v="2021-03-26T00:00:00"/>
    <s v="NaT"/>
    <s v="FSK"/>
    <n v="2"/>
    <s v="WB1"/>
    <x v="0"/>
    <s v="APH75_YSBM075CNO02"/>
    <s v="A5027728A$0000685_2105-YSBM075CNO02"/>
    <n v="2105"/>
    <s v="EA5027728A"/>
    <s v="na"/>
    <s v="na"/>
    <s v="na"/>
    <s v="No display"/>
    <s v="No display"/>
    <x v="9"/>
    <x v="0"/>
  </r>
  <r>
    <n v="75"/>
    <x v="23"/>
    <n v="2113"/>
    <s v="na"/>
    <d v="2021-04-01T00:00:00"/>
    <s v="NaT"/>
    <s v="FSK"/>
    <n v="3"/>
    <s v="WB2"/>
    <x v="12"/>
    <s v="NX75_YDAS075DNS02_C"/>
    <s v="A5024285B$0012962_2104-YDAS075DNS02"/>
    <n v="2104"/>
    <s v="EA5024285B"/>
    <s v="na"/>
    <s v="na"/>
    <s v="na"/>
    <s v="No display"/>
    <s v="No display"/>
    <x v="9"/>
    <x v="2"/>
  </r>
  <r>
    <n v="76"/>
    <x v="9"/>
    <n v="2116"/>
    <s v="na"/>
    <d v="2021-04-20T00:00:00"/>
    <s v="NaT"/>
    <s v="FSK"/>
    <n v="3"/>
    <s v="WB1"/>
    <x v="12"/>
    <s v="NX75_YDAS075DNS02_C"/>
    <s v="A5024285B$0016484_2109-YDAS075DNS02"/>
    <n v="2109"/>
    <s v="EA5024285B"/>
    <s v="na"/>
    <s v="na"/>
    <s v="na"/>
    <s v="W/B data fail"/>
    <s v="W/B data fail"/>
    <x v="9"/>
    <x v="2"/>
  </r>
  <r>
    <n v="77"/>
    <x v="9"/>
    <n v="2116"/>
    <s v="na"/>
    <d v="2021-04-20T00:00:00"/>
    <s v="NaT"/>
    <s v="FSK"/>
    <n v="3"/>
    <s v="WB1"/>
    <x v="12"/>
    <s v="NX75_YDAS075DNS02_C"/>
    <s v="A5024285B$0016596_2109-YDAS075DNS02"/>
    <n v="2109"/>
    <s v="EA5024285B"/>
    <s v="na"/>
    <s v="na"/>
    <s v="na"/>
    <s v="W/B data fail"/>
    <s v="W/B data fail"/>
    <x v="9"/>
    <x v="2"/>
  </r>
  <r>
    <n v="78"/>
    <x v="9"/>
    <n v="2116"/>
    <s v="na"/>
    <d v="2021-04-20T00:00:00"/>
    <s v="NaT"/>
    <s v="FSK"/>
    <n v="3"/>
    <s v="WB1"/>
    <x v="12"/>
    <s v="NX75_YDAS075DNS02_C"/>
    <s v="A5024285B$0016441_2109-YDAS075DNS02"/>
    <n v="2109"/>
    <s v="EA5024285B"/>
    <s v="na"/>
    <s v="na"/>
    <s v="na"/>
    <s v="W/B data fail"/>
    <s v="W/B data fail"/>
    <x v="9"/>
    <x v="2"/>
  </r>
  <r>
    <n v="79"/>
    <x v="9"/>
    <n v="2116"/>
    <s v="na"/>
    <d v="2021-04-21T00:00:00"/>
    <s v="NaT"/>
    <s v="FSK"/>
    <n v="2"/>
    <s v="WB1"/>
    <x v="12"/>
    <s v="NX75_YDAS075DNS02_C"/>
    <s v="A5024285B$0016514_2109-YDAS075DNS02"/>
    <n v="2109"/>
    <s v="EA5024285B"/>
    <s v="na"/>
    <s v="na"/>
    <s v="na"/>
    <s v="W/B data fail"/>
    <s v="W/B data fail"/>
    <x v="9"/>
    <x v="2"/>
  </r>
  <r>
    <n v="80"/>
    <x v="9"/>
    <n v="2116"/>
    <s v="na"/>
    <d v="2021-04-21T00:00:00"/>
    <s v="NaT"/>
    <s v="FSK"/>
    <n v="3"/>
    <s v="WB1"/>
    <x v="12"/>
    <s v="NX75_YDAS075DNS02_C"/>
    <s v="A5024285B$0016250_2106-YDAS075DNS02"/>
    <n v="2106"/>
    <s v="EA5024285B"/>
    <s v="na"/>
    <s v="na"/>
    <s v="na"/>
    <s v="W/B data fail"/>
    <s v="W/B data fail"/>
    <x v="9"/>
    <x v="2"/>
  </r>
  <r>
    <n v="81"/>
    <x v="9"/>
    <n v="2116"/>
    <s v="na"/>
    <d v="2021-04-21T00:00:00"/>
    <s v="NaT"/>
    <s v="FSK"/>
    <n v="4"/>
    <s v="I8"/>
    <x v="12"/>
    <s v="NX75_YDAS075DNS02_C"/>
    <s v="A5024285B$0016385_2109-YDAS075DNS02"/>
    <n v="2109"/>
    <s v="EA5024285B"/>
    <s v="na"/>
    <s v="na"/>
    <s v="na"/>
    <s v="G/L Defect"/>
    <s v="G/L Defect"/>
    <x v="2"/>
    <x v="2"/>
  </r>
  <r>
    <n v="82"/>
    <x v="9"/>
    <n v="2116"/>
    <s v="na"/>
    <d v="2021-04-21T00:00:00"/>
    <s v="NaT"/>
    <s v="FSK"/>
    <n v="2"/>
    <s v="WB1"/>
    <x v="12"/>
    <s v="NX75_YDAS075DNS02_C"/>
    <s v="A5024285B$0015337_2105-YDAS075DNS02"/>
    <n v="2105"/>
    <s v="EA5024285B"/>
    <s v="na"/>
    <s v="na"/>
    <s v="na"/>
    <s v="W/B data fail"/>
    <s v="W/B data fail"/>
    <x v="9"/>
    <x v="2"/>
  </r>
  <r>
    <n v="83"/>
    <x v="9"/>
    <n v="2116"/>
    <s v="na"/>
    <d v="2021-04-21T00:00:00"/>
    <s v="NaT"/>
    <s v="FSK"/>
    <n v="2"/>
    <s v="WB1"/>
    <x v="12"/>
    <s v="NX75_YDAS075DNS02_C"/>
    <s v="A5024285B$0015000_2105-YDAS075DNS02"/>
    <n v="2105"/>
    <s v="EA5024285B"/>
    <s v="na"/>
    <s v="na"/>
    <s v="na"/>
    <s v="W/B data fail"/>
    <s v="W/B data fail"/>
    <x v="9"/>
    <x v="2"/>
  </r>
  <r>
    <n v="84"/>
    <x v="9"/>
    <n v="2116"/>
    <s v="na"/>
    <d v="2021-04-21T00:00:00"/>
    <s v="NaT"/>
    <s v="FSK"/>
    <n v="2"/>
    <s v="WB1"/>
    <x v="12"/>
    <s v="NX75_YDAS075DNS02_C"/>
    <s v="A5024285B$0014761_2105-YDAS075DNS02"/>
    <n v="2105"/>
    <s v="EA5024285B"/>
    <s v="na"/>
    <s v="na"/>
    <s v="na"/>
    <s v="W/B data fail"/>
    <s v="W/B data fail"/>
    <x v="9"/>
    <x v="2"/>
  </r>
  <r>
    <n v="85"/>
    <x v="9"/>
    <n v="2116"/>
    <s v="na"/>
    <d v="2021-04-22T00:00:00"/>
    <s v="NaT"/>
    <s v="FSK"/>
    <n v="2"/>
    <s v="I5"/>
    <x v="12"/>
    <s v="NX75_YDAS075DNS02_C"/>
    <s v="A5024285B$0014792_2105-YDAS075DNS02"/>
    <n v="2105"/>
    <s v="EA5024285B"/>
    <s v="na"/>
    <s v="na"/>
    <s v="na"/>
    <s v="G/L Defect"/>
    <s v="G/L Defect"/>
    <x v="2"/>
    <x v="2"/>
  </r>
  <r>
    <n v="86"/>
    <x v="9"/>
    <n v="2116"/>
    <s v="na"/>
    <d v="2021-04-22T00:00:00"/>
    <s v="NaT"/>
    <s v="FSK"/>
    <n v="2"/>
    <s v="NVM"/>
    <x v="12"/>
    <s v="NX75_YDAS075DNS02_C"/>
    <s v="A5024285B$0015616_2106-YDAS075DNS02"/>
    <n v="2106"/>
    <s v="EA5024285B"/>
    <s v="na"/>
    <s v="na"/>
    <s v="na"/>
    <s v="D/L Defect"/>
    <s v="D/L Defect"/>
    <x v="2"/>
    <x v="2"/>
  </r>
  <r>
    <n v="87"/>
    <x v="24"/>
    <n v="2117"/>
    <s v="na"/>
    <d v="2021-04-26T00:00:00"/>
    <s v="NaT"/>
    <s v="FSK"/>
    <n v="1"/>
    <s v="WB1"/>
    <x v="15"/>
    <s v="NX85_YDAS085DNU01"/>
    <s v="A5016535A$0035163_2108-YDAS085DNU02"/>
    <n v="2108"/>
    <s v="EA5016535A"/>
    <s v="na"/>
    <s v="na"/>
    <s v="na"/>
    <s v="W/B data fail"/>
    <s v="W/B data fail"/>
    <x v="9"/>
    <x v="2"/>
  </r>
  <r>
    <n v="88"/>
    <x v="0"/>
    <n v="2118"/>
    <s v="na"/>
    <d v="2021-05-04T00:00:00"/>
    <s v="NaT"/>
    <s v="FSK"/>
    <n v="3"/>
    <s v="I5"/>
    <x v="12"/>
    <s v="NX75_YDAS075DNS02_C"/>
    <s v="A5024285B$0017608_2110-YDAS075DNS02"/>
    <n v="2110"/>
    <s v="EA5024285B"/>
    <s v="na"/>
    <s v="na"/>
    <s v="na"/>
    <s v="B/L Sheet Wrinkle"/>
    <s v="B/L Sheet Wrinkle"/>
    <x v="10"/>
    <x v="2"/>
  </r>
  <r>
    <n v="89"/>
    <x v="0"/>
    <n v="2118"/>
    <s v="na"/>
    <d v="2021-05-05T00:00:00"/>
    <s v="NaT"/>
    <s v="FSK"/>
    <n v="2"/>
    <s v="I5"/>
    <x v="0"/>
    <s v="APH75_YSBM075CNO02"/>
    <s v="A5027728A$0003526_2110-YSBM075CNO02"/>
    <n v="2110"/>
    <s v="EA5027728A"/>
    <s v="na"/>
    <s v="na"/>
    <s v="na"/>
    <s v="G/L Defect"/>
    <s v="G/L Defect"/>
    <x v="2"/>
    <x v="0"/>
  </r>
  <r>
    <n v="90"/>
    <x v="0"/>
    <n v="2118"/>
    <s v="na"/>
    <d v="2021-05-06T00:00:00"/>
    <s v="NaT"/>
    <s v="FSK"/>
    <n v="2"/>
    <s v="I5"/>
    <x v="15"/>
    <s v="NX85_YDAS085DNU01"/>
    <s v="A5016535A$0035871_2109-YDAS085DNU02"/>
    <n v="2109"/>
    <s v="EA5016535A"/>
    <s v="na"/>
    <s v="na"/>
    <s v="na"/>
    <s v="B/L Scratch"/>
    <s v="B/L Scratch"/>
    <x v="10"/>
    <x v="2"/>
  </r>
  <r>
    <n v="91"/>
    <x v="25"/>
    <n v="2119"/>
    <s v="na"/>
    <d v="2021-05-11T00:00:00"/>
    <s v="NaT"/>
    <s v="FSK"/>
    <n v="3"/>
    <s v="I5"/>
    <x v="10"/>
    <s v="NB75_YSAS075CNG02_S"/>
    <s v="A5013706B$0002265_2110-YSAS075CNG02"/>
    <n v="2110"/>
    <s v="EA5013706B"/>
    <s v="na"/>
    <s v="na"/>
    <s v="na"/>
    <s v="D/L Open On/Off"/>
    <s v="D/L Open On/Off"/>
    <x v="2"/>
    <x v="2"/>
  </r>
  <r>
    <n v="92"/>
    <x v="1"/>
    <n v="2120"/>
    <s v="na"/>
    <d v="2021-05-17T00:00:00"/>
    <s v="NaT"/>
    <s v="FSK"/>
    <n v="2"/>
    <s v="P5"/>
    <x v="2"/>
    <s v="AR75_YDBM075DCS02_4S"/>
    <s v="A5027710A$0000204_2112-YDBM075DCS02"/>
    <n v="2112"/>
    <s v="EA5027710A"/>
    <s v="na"/>
    <s v="na"/>
    <s v="na"/>
    <s v="B/L Particle"/>
    <s v="B/L Particle"/>
    <x v="5"/>
    <x v="0"/>
  </r>
  <r>
    <n v="93"/>
    <x v="1"/>
    <n v="2120"/>
    <s v="na"/>
    <d v="2021-05-21T00:00:00"/>
    <s v="NaT"/>
    <s v="FSK"/>
    <n v="2"/>
    <s v="WB1"/>
    <x v="15"/>
    <s v="NX85_YDAS085DNU01"/>
    <s v="A5016535A$0039817_2113-YDAS085DNU02"/>
    <n v="2113"/>
    <s v="EA5016535A"/>
    <s v="na"/>
    <s v="na"/>
    <s v="na"/>
    <s v="W/B data fail"/>
    <s v="W/B data fail"/>
    <x v="9"/>
    <x v="2"/>
  </r>
  <r>
    <n v="94"/>
    <x v="1"/>
    <n v="2120"/>
    <s v="na"/>
    <d v="2021-05-22T00:00:00"/>
    <s v="NaT"/>
    <s v="FSK"/>
    <n v="2"/>
    <s v="WB1"/>
    <x v="12"/>
    <s v="NX75_YDAS075DNS02_C"/>
    <s v="A5024285B$0019574_2112-YDAS075DNS02"/>
    <n v="2112"/>
    <s v="EA5024285B"/>
    <s v="na"/>
    <s v="na"/>
    <s v="na"/>
    <s v="W/B data fail"/>
    <s v="W/B data fail"/>
    <x v="9"/>
    <x v="2"/>
  </r>
  <r>
    <n v="95"/>
    <x v="26"/>
    <n v="2121"/>
    <s v="na"/>
    <d v="2021-05-24T00:00:00"/>
    <s v="NaT"/>
    <s v="FSK"/>
    <n v="3"/>
    <s v="WB1"/>
    <x v="17"/>
    <s v="AX75_YDBM075CCS02_4S"/>
    <s v="A5027722A$0000234_2112-YDBM075CCS02"/>
    <n v="2112"/>
    <s v="EA5027722A"/>
    <s v="na"/>
    <s v="na"/>
    <s v="na"/>
    <s v="W/B data fail"/>
    <s v="W/B data fail"/>
    <x v="9"/>
    <x v="0"/>
  </r>
  <r>
    <n v="96"/>
    <x v="26"/>
    <n v="2121"/>
    <s v="na"/>
    <d v="2021-05-25T00:00:00"/>
    <s v="NaT"/>
    <s v="FSK"/>
    <n v="3"/>
    <s v="I5"/>
    <x v="17"/>
    <s v="AX75_YDBM075CCS02_2S"/>
    <s v="A5027719A$0000746_2113-YDBM075CCS02"/>
    <n v="2113"/>
    <s v="EA5027719A"/>
    <s v="na"/>
    <s v="na"/>
    <s v="na"/>
    <s v="B/L Sheet Wrinkle"/>
    <s v="B/L Sheet Wrinkle"/>
    <x v="10"/>
    <x v="0"/>
  </r>
  <r>
    <n v="97"/>
    <x v="26"/>
    <n v="2121"/>
    <s v="na"/>
    <d v="2021-05-25T00:00:00"/>
    <s v="NaT"/>
    <s v="FSK"/>
    <n v="3"/>
    <s v="I5"/>
    <x v="17"/>
    <s v="AX75_YDBM075CCS02_2S"/>
    <s v="A5027719A$0000738_2113-YDBM075CCS02"/>
    <n v="2113"/>
    <s v="EA5027719A"/>
    <s v="na"/>
    <s v="na"/>
    <s v="na"/>
    <s v="B/L Sheet Wrinkle"/>
    <s v="B/L Sheet Wrinkle"/>
    <x v="10"/>
    <x v="0"/>
  </r>
  <r>
    <n v="98"/>
    <x v="26"/>
    <n v="2121"/>
    <s v="na"/>
    <d v="2021-05-25T00:00:00"/>
    <s v="NaT"/>
    <s v="FSK"/>
    <n v="3"/>
    <s v="I5"/>
    <x v="17"/>
    <s v="AX75_YDBM075CCS02_2S"/>
    <s v="A5027719A$0000833_2113-YDBM075CCS02"/>
    <n v="2113"/>
    <s v="EA5027719A"/>
    <s v="na"/>
    <s v="na"/>
    <s v="na"/>
    <s v="B/L Sheet Wrinkle"/>
    <s v="B/L Sheet Wrinkle"/>
    <x v="10"/>
    <x v="0"/>
  </r>
  <r>
    <n v="99"/>
    <x v="26"/>
    <n v="2121"/>
    <s v="na"/>
    <d v="2021-05-25T00:00:00"/>
    <s v="NaT"/>
    <s v="FSK"/>
    <n v="2"/>
    <s v="I4"/>
    <x v="10"/>
    <s v="NB75_YSAS075CNG02_S"/>
    <s v="A5013706B$0008839_2115-YSAS075CNG02"/>
    <n v="2115"/>
    <s v="EA5013706B"/>
    <s v="na"/>
    <s v="na"/>
    <s v="na"/>
    <s v="EDID fail"/>
    <s v="EDID fail"/>
    <x v="9"/>
    <x v="2"/>
  </r>
  <r>
    <n v="100"/>
    <x v="26"/>
    <n v="2121"/>
    <s v="na"/>
    <d v="2021-05-26T00:00:00"/>
    <s v="NaT"/>
    <s v="FSK"/>
    <n v="2"/>
    <s v="I4"/>
    <x v="10"/>
    <s v="NB75_YSAS075CNG02_S"/>
    <s v="A5013706B$0006912_2113-YSAS075CNG02"/>
    <n v="2113"/>
    <s v="EA5013706B"/>
    <s v="na"/>
    <s v="na"/>
    <s v="na"/>
    <s v="EDID fail"/>
    <s v="EDID fail"/>
    <x v="9"/>
    <x v="2"/>
  </r>
  <r>
    <n v="101"/>
    <x v="26"/>
    <n v="2121"/>
    <s v="na"/>
    <d v="2021-05-26T00:00:00"/>
    <s v="NaT"/>
    <s v="FSK"/>
    <n v="2"/>
    <s v="I5"/>
    <x v="10"/>
    <s v="NB75_YSAS075CNG02_S"/>
    <s v="A5013706B$0007388_2113-YSAS075CNG02"/>
    <n v="2113"/>
    <s v="EA5013706B"/>
    <s v="na"/>
    <s v="na"/>
    <s v="na"/>
    <s v="No display"/>
    <s v="No display"/>
    <x v="9"/>
    <x v="2"/>
  </r>
  <r>
    <n v="102"/>
    <x v="26"/>
    <n v="2121"/>
    <s v="na"/>
    <d v="2021-05-28T00:00:00"/>
    <s v="NaT"/>
    <s v="FSK"/>
    <n v="1"/>
    <s v="I5"/>
    <x v="15"/>
    <s v="NX85_YDAS085DNU01"/>
    <s v="A5016535A$0038806_2113-YDAS085DNU02"/>
    <n v="2113"/>
    <s v="EA5016535A"/>
    <s v="na"/>
    <s v="na"/>
    <s v="na"/>
    <s v="O-Cell A/D"/>
    <s v="O-Cell A/D"/>
    <x v="1"/>
    <x v="2"/>
  </r>
  <r>
    <n v="103"/>
    <x v="26"/>
    <n v="2121"/>
    <s v="na"/>
    <d v="2021-05-28T00:00:00"/>
    <s v="NaT"/>
    <s v="FSK"/>
    <n v="1"/>
    <s v="I5"/>
    <x v="15"/>
    <s v="NX85_YDAS085DNU01"/>
    <s v="A5016535A$0039504_2113-YDAS085DNU02"/>
    <n v="2113"/>
    <s v="EA5016535A"/>
    <s v="na"/>
    <s v="na"/>
    <s v="na"/>
    <s v="B/L Particle"/>
    <s v="B/L Particle"/>
    <x v="5"/>
    <x v="2"/>
  </r>
  <r>
    <n v="104"/>
    <x v="27"/>
    <n v="2122"/>
    <s v="na"/>
    <d v="2021-06-01T00:00:00"/>
    <s v="NaT"/>
    <s v="FSK"/>
    <n v="3"/>
    <s v="I5"/>
    <x v="18"/>
    <s v="AG85_YDBO085DAU02"/>
    <s v="A5030086B$0000974_2119-YDBO085DAU02"/>
    <n v="2119"/>
    <s v="EA5030086B"/>
    <s v="na"/>
    <s v="na"/>
    <s v="na"/>
    <s v="B/L Particle"/>
    <s v="B/L Particle"/>
    <x v="5"/>
    <x v="0"/>
  </r>
  <r>
    <n v="105"/>
    <x v="27"/>
    <n v="2122"/>
    <s v="na"/>
    <d v="2021-06-02T00:00:00"/>
    <s v="NaT"/>
    <s v="FSK"/>
    <n v="3"/>
    <s v="NVM"/>
    <x v="19"/>
    <s v="AX85_YDBM085CNU02"/>
    <s v="A5027716A$0000634_2114-YDBM085CNU02"/>
    <n v="2114"/>
    <s v="EA5027716A"/>
    <s v="na"/>
    <s v="na"/>
    <s v="na"/>
    <s v="LED fail"/>
    <s v="Led Fail"/>
    <x v="3"/>
    <x v="0"/>
  </r>
  <r>
    <n v="106"/>
    <x v="27"/>
    <n v="2122"/>
    <s v="na"/>
    <d v="2021-06-02T00:00:00"/>
    <s v="NaT"/>
    <s v="FSK"/>
    <n v="2"/>
    <s v="P1"/>
    <x v="12"/>
    <s v="NX75_YDAS075DNS02_C"/>
    <s v="A5024285B$0020125_2114-YDAS075DNS02"/>
    <n v="2114"/>
    <s v="EA5024285B"/>
    <s v="na"/>
    <s v="na"/>
    <s v="na"/>
    <s v="Visual App."/>
    <s v="Visual App."/>
    <x v="11"/>
    <x v="2"/>
  </r>
  <r>
    <n v="107"/>
    <x v="27"/>
    <n v="2122"/>
    <s v="na"/>
    <d v="2021-06-02T00:00:00"/>
    <s v="NaT"/>
    <s v="FSK"/>
    <n v="2"/>
    <s v="WB1"/>
    <x v="12"/>
    <s v="NX75_YDAS075DNS02_C"/>
    <s v="A5024285B$0019868_2112-YDAS075DNS02"/>
    <n v="2112"/>
    <s v="EA5024285B"/>
    <s v="na"/>
    <s v="na"/>
    <s v="na"/>
    <s v="No display"/>
    <s v="No display"/>
    <x v="9"/>
    <x v="2"/>
  </r>
  <r>
    <n v="108"/>
    <x v="2"/>
    <n v="2123"/>
    <s v="na"/>
    <d v="2021-06-07T00:00:00"/>
    <s v="NaT"/>
    <s v="FSK"/>
    <n v="2"/>
    <s v="WB1"/>
    <x v="12"/>
    <s v="NX75_YDAS075DNS02_C"/>
    <s v="A5024285B$0020110_2114-YDAS075DNS02"/>
    <n v="2114"/>
    <s v="EA5024285B"/>
    <s v="na"/>
    <s v="na"/>
    <s v="na"/>
    <s v="No display"/>
    <s v="No display"/>
    <x v="9"/>
    <x v="2"/>
  </r>
  <r>
    <n v="109"/>
    <x v="2"/>
    <n v="2123"/>
    <s v="na"/>
    <d v="2021-06-07T00:00:00"/>
    <s v="NaT"/>
    <s v="FSK"/>
    <n v="2"/>
    <s v="P1"/>
    <x v="0"/>
    <s v="APH75_YSBM075CNO02"/>
    <s v="A5027728A$0007558_2115-YSBM075CNO02"/>
    <n v="2115"/>
    <s v="EA5027728A"/>
    <s v="na"/>
    <s v="na"/>
    <s v="na"/>
    <s v="B/L CNT etc"/>
    <s v="B/L CNT etc"/>
    <x v="11"/>
    <x v="0"/>
  </r>
  <r>
    <n v="110"/>
    <x v="2"/>
    <n v="2123"/>
    <s v="na"/>
    <d v="2021-06-07T00:00:00"/>
    <s v="NaT"/>
    <s v="FSK"/>
    <n v="2"/>
    <s v="P1"/>
    <x v="0"/>
    <s v="APH75_YSBM075CNO02"/>
    <s v="A5027728A$0008154_2115-YSBM075CNO02"/>
    <n v="2115"/>
    <s v="EA5027728A"/>
    <s v="na"/>
    <s v="na"/>
    <s v="na"/>
    <s v="B/L CNT etc"/>
    <s v="B/L CNT etc"/>
    <x v="11"/>
    <x v="0"/>
  </r>
  <r>
    <n v="111"/>
    <x v="2"/>
    <n v="2123"/>
    <s v="na"/>
    <d v="2021-06-09T00:00:00"/>
    <s v="NaT"/>
    <s v="FSK"/>
    <n v="1"/>
    <s v="WB1"/>
    <x v="15"/>
    <s v="NX85_YDAS085DNU01"/>
    <s v="A5016535B$0001267_2115-YDAS085DNU02"/>
    <n v="2115"/>
    <s v="EA5016535B"/>
    <s v="na"/>
    <s v="na"/>
    <s v="na"/>
    <s v="W/B data fail"/>
    <s v="W/B data fail"/>
    <x v="9"/>
    <x v="2"/>
  </r>
  <r>
    <n v="112"/>
    <x v="2"/>
    <n v="2123"/>
    <s v="na"/>
    <d v="2021-06-09T00:00:00"/>
    <s v="NaT"/>
    <s v="FSK"/>
    <n v="2"/>
    <s v="P2"/>
    <x v="0"/>
    <s v="APH75_YSBM075CNO02"/>
    <s v="A5027728A$0008194_2115-YSBM075CNO02"/>
    <n v="2115"/>
    <s v="EA5027728A"/>
    <s v="na"/>
    <s v="na"/>
    <s v="na"/>
    <s v="B/L CNT etc"/>
    <s v="B/L CNT etc"/>
    <x v="11"/>
    <x v="0"/>
  </r>
  <r>
    <n v="113"/>
    <x v="2"/>
    <n v="2123"/>
    <s v="na"/>
    <d v="2021-06-10T00:00:00"/>
    <s v="NaT"/>
    <s v="FSK"/>
    <n v="1"/>
    <s v="WB1"/>
    <x v="15"/>
    <s v="NX85_YDAS085DNU01"/>
    <s v="A5016535A$0036876_2110-YDAS085DNU02"/>
    <n v="2110"/>
    <s v="EA5016535A"/>
    <s v="na"/>
    <s v="na"/>
    <s v="na"/>
    <s v="W/B data fail"/>
    <s v="W/B data fail"/>
    <x v="9"/>
    <x v="2"/>
  </r>
  <r>
    <n v="114"/>
    <x v="2"/>
    <n v="2123"/>
    <s v="na"/>
    <d v="2021-06-11T00:00:00"/>
    <s v="NaT"/>
    <s v="FSK"/>
    <n v="1"/>
    <s v="NVM"/>
    <x v="10"/>
    <s v="NB75_YSAS075CNG02_S"/>
    <s v="A5013706B$0009314_2115-YSAS075CNG02"/>
    <n v="2115"/>
    <s v="EA5013706B"/>
    <s v="na"/>
    <s v="na"/>
    <s v="na"/>
    <s v="LED fail"/>
    <s v="LED fail"/>
    <x v="3"/>
    <x v="2"/>
  </r>
  <r>
    <n v="115"/>
    <x v="2"/>
    <n v="2123"/>
    <s v="na"/>
    <d v="2021-06-11T00:00:00"/>
    <s v="NaT"/>
    <s v="FSK"/>
    <n v="2"/>
    <s v="I1"/>
    <x v="2"/>
    <s v="AR75_YDBM075DCS02_2S"/>
    <s v="A5027707B$0000619_2116-YDBM075DCS02"/>
    <n v="2116"/>
    <s v="EA5027707B"/>
    <s v="na"/>
    <s v="na"/>
    <s v="na"/>
    <s v="LED fail"/>
    <s v="LED fail"/>
    <x v="3"/>
    <x v="0"/>
  </r>
  <r>
    <n v="116"/>
    <x v="28"/>
    <n v="2124"/>
    <s v="na"/>
    <d v="2021-06-16T00:00:00"/>
    <s v="NaT"/>
    <s v="FSK"/>
    <n v="3"/>
    <s v="WB1"/>
    <x v="0"/>
    <s v="APH75_YSBM075CNO02"/>
    <s v="A5027728A$0008103_2115-YSBM075CNO02"/>
    <n v="2115"/>
    <s v="EA5027728A"/>
    <s v="na"/>
    <s v="na"/>
    <s v="na"/>
    <s v="No display"/>
    <s v="No display"/>
    <x v="9"/>
    <x v="0"/>
  </r>
  <r>
    <n v="117"/>
    <x v="28"/>
    <n v="2124"/>
    <s v="na"/>
    <d v="2021-06-16T00:00:00"/>
    <s v="NaT"/>
    <s v="FSK"/>
    <n v="2"/>
    <s v="I1"/>
    <x v="5"/>
    <s v="AG75_YDBO075DAS02"/>
    <s v="A5039502A$0001258_2121-YDBO075DAS02"/>
    <n v="2121"/>
    <s v="EA5039502A"/>
    <s v="na"/>
    <s v="na"/>
    <s v="na"/>
    <s v="H-dot etc"/>
    <s v="H-dot etc"/>
    <x v="12"/>
    <x v="0"/>
  </r>
  <r>
    <n v="118"/>
    <x v="29"/>
    <n v="2125"/>
    <s v="na"/>
    <d v="2021-06-24T00:00:00"/>
    <s v="NaT"/>
    <s v="FSK"/>
    <n v="4"/>
    <s v="WB1"/>
    <x v="2"/>
    <s v="AR75_YDBM075DCS02_4S"/>
    <s v="A5027710B$0001547_2118-YDBM075DCS02"/>
    <n v="2118"/>
    <s v="EA5027710B"/>
    <s v="na"/>
    <s v="na"/>
    <s v="na"/>
    <s v="No display"/>
    <s v="No display"/>
    <x v="9"/>
    <x v="0"/>
  </r>
  <r>
    <n v="119"/>
    <x v="8"/>
    <n v="2126"/>
    <s v="na"/>
    <d v="2021-06-28T00:00:00"/>
    <s v="NaT"/>
    <s v="FSK"/>
    <n v="1"/>
    <s v="I5"/>
    <x v="4"/>
    <s v="AQ85_HDBO085DDU02"/>
    <s v="A5039495A$0000386_2123-HDBO085DDU02"/>
    <n v="2123"/>
    <s v="EA5039495A"/>
    <s v="na"/>
    <s v="na"/>
    <s v="na"/>
    <s v="D/L Defect"/>
    <s v="D/L Defect"/>
    <x v="2"/>
    <x v="0"/>
  </r>
  <r>
    <n v="120"/>
    <x v="8"/>
    <n v="2126"/>
    <s v="na"/>
    <d v="2021-06-28T00:00:00"/>
    <s v="NaT"/>
    <s v="FSK"/>
    <n v="2"/>
    <s v="I4"/>
    <x v="10"/>
    <s v="NB75_YSAS075CNG02_S"/>
    <s v="A5013706B$0012253_2117-YSAS075CNG02"/>
    <n v="2117"/>
    <s v="EA5013706B"/>
    <s v="na"/>
    <s v="na"/>
    <s v="na"/>
    <s v="Glass Broken"/>
    <s v="Glass Broken"/>
    <x v="11"/>
    <x v="2"/>
  </r>
  <r>
    <n v="121"/>
    <x v="8"/>
    <n v="2126"/>
    <s v="na"/>
    <d v="2021-06-29T00:00:00"/>
    <s v="NaT"/>
    <s v="FSK"/>
    <n v="2"/>
    <s v="I1"/>
    <x v="0"/>
    <s v="APH75_YSBM075CNO02"/>
    <s v="A5027728A$0009541_2119-YSBM075CNO02"/>
    <n v="2119"/>
    <s v="EA5027728A"/>
    <s v="na"/>
    <s v="na"/>
    <s v="na"/>
    <s v="LED fail"/>
    <s v="LED fail"/>
    <x v="3"/>
    <x v="0"/>
  </r>
  <r>
    <n v="122"/>
    <x v="8"/>
    <n v="2126"/>
    <s v="na"/>
    <d v="2021-06-29T00:00:00"/>
    <s v="NaT"/>
    <s v="FSK"/>
    <n v="3"/>
    <s v="I2"/>
    <x v="19"/>
    <s v="AX85_YDBM085CNU02"/>
    <s v="A5027716A$0002784_2117-YDBM085CNU02"/>
    <n v="2117"/>
    <s v="EA5027716A"/>
    <s v="na"/>
    <s v="na"/>
    <s v="na"/>
    <s v="Aluminium Frame Gap"/>
    <s v="Aluminium Frame Gap"/>
    <x v="13"/>
    <x v="0"/>
  </r>
  <r>
    <n v="123"/>
    <x v="8"/>
    <n v="2126"/>
    <s v="na"/>
    <d v="2021-06-29T00:00:00"/>
    <s v="NaT"/>
    <s v="FSK"/>
    <n v="3"/>
    <s v="I5"/>
    <x v="17"/>
    <s v="AX75_YDBM075CCS02_2S"/>
    <s v="A5027719A$0005015_2118-YDBM075CCS02"/>
    <n v="2118"/>
    <s v="EA5027719A"/>
    <s v="na"/>
    <s v="na"/>
    <s v="na"/>
    <s v="B/L Particle"/>
    <s v="B/L Particle"/>
    <x v="5"/>
    <x v="0"/>
  </r>
  <r>
    <n v="124"/>
    <x v="8"/>
    <n v="2126"/>
    <s v="na"/>
    <d v="2021-06-29T00:00:00"/>
    <s v="NaT"/>
    <s v="FSK"/>
    <n v="3"/>
    <s v="I4"/>
    <x v="17"/>
    <s v="AX75_YDBM075CCS02_2S"/>
    <s v="A5027719A$0005074_2118-YDBM075CCS02"/>
    <n v="2118"/>
    <s v="EA5027719A"/>
    <s v="na"/>
    <s v="na"/>
    <s v="na"/>
    <s v="EDID fail"/>
    <s v="EDID fail"/>
    <x v="9"/>
    <x v="0"/>
  </r>
  <r>
    <n v="125"/>
    <x v="8"/>
    <n v="2126"/>
    <s v="na"/>
    <d v="2021-06-30T00:00:00"/>
    <s v="NaT"/>
    <s v="FSK"/>
    <n v="2"/>
    <s v="NVM"/>
    <x v="0"/>
    <s v="APH75_YSBM075CNO02"/>
    <s v="A5027728A$0008426_2119-YSBM075CNO02"/>
    <n v="2119"/>
    <s v="EA5027728A"/>
    <s v="na"/>
    <s v="na"/>
    <s v="na"/>
    <s v="LED fail"/>
    <s v="LED fail"/>
    <x v="3"/>
    <x v="0"/>
  </r>
  <r>
    <n v="126"/>
    <x v="8"/>
    <n v="2126"/>
    <s v="na"/>
    <d v="2021-07-02T00:00:00"/>
    <s v="NaT"/>
    <s v="FSK"/>
    <n v="3"/>
    <s v="WB1"/>
    <x v="19"/>
    <s v="AX85_YDBM085CNU02"/>
    <s v="A5027716A$0002962_2117-YDBM085CNU02"/>
    <n v="2117"/>
    <s v="EA5027716A"/>
    <s v="na"/>
    <s v="na"/>
    <s v="na"/>
    <s v="O-Cell A/D"/>
    <s v="O-Cell A/D"/>
    <x v="1"/>
    <x v="0"/>
  </r>
  <r>
    <n v="127"/>
    <x v="3"/>
    <n v="2127"/>
    <s v="na"/>
    <d v="2021-07-07T00:00:00"/>
    <s v="NaT"/>
    <s v="FSK"/>
    <n v="2"/>
    <s v="NVM"/>
    <x v="3"/>
    <s v="AQ75_HDBO075DDU02"/>
    <s v="A5039491A$0000069_2121-HDBO075DDU02"/>
    <n v="2121"/>
    <s v="EA5039491A"/>
    <s v="na"/>
    <s v="na"/>
    <s v="na"/>
    <s v="LED fail"/>
    <s v="LED fail"/>
    <x v="3"/>
    <x v="0"/>
  </r>
  <r>
    <n v="128"/>
    <x v="3"/>
    <n v="2127"/>
    <s v="na"/>
    <d v="2021-07-08T00:00:00"/>
    <s v="NaT"/>
    <s v="FSK"/>
    <n v="4"/>
    <s v="WB1"/>
    <x v="2"/>
    <s v="AR75_YDBM075DCS02_2S"/>
    <s v="A5027707A$0006482_2120-YDBM075DCS02"/>
    <n v="2120"/>
    <s v="EA5027707A"/>
    <s v="na"/>
    <s v="na"/>
    <s v="na"/>
    <s v="No display"/>
    <s v="No display"/>
    <x v="9"/>
    <x v="0"/>
  </r>
  <r>
    <n v="129"/>
    <x v="3"/>
    <n v="2127"/>
    <s v="na"/>
    <d v="2021-07-08T00:00:00"/>
    <s v="NaT"/>
    <s v="FSK"/>
    <n v="2"/>
    <s v="WB1"/>
    <x v="0"/>
    <s v="APH75_YSBM075CNO02"/>
    <s v="A5027728A$0010962_2120-YSBM075CNO02"/>
    <n v="2120"/>
    <s v="EA5027728A"/>
    <s v="na"/>
    <s v="na"/>
    <s v="na"/>
    <s v="A/D"/>
    <s v="A/D"/>
    <x v="9"/>
    <x v="0"/>
  </r>
  <r>
    <n v="130"/>
    <x v="3"/>
    <n v="2127"/>
    <s v="na"/>
    <d v="2021-07-09T00:00:00"/>
    <s v="NaT"/>
    <s v="FSK"/>
    <n v="3"/>
    <s v="WB1"/>
    <x v="17"/>
    <s v="AX75_YDBM075CCS02_4S"/>
    <s v="A5027722A$0002607_2119-YDBM075CCS02"/>
    <n v="2119"/>
    <s v="EA5027722A"/>
    <s v="na"/>
    <s v="na"/>
    <s v="na"/>
    <s v="D/L Defect"/>
    <s v="D/L Defect"/>
    <x v="2"/>
    <x v="0"/>
  </r>
  <r>
    <n v="131"/>
    <x v="3"/>
    <n v="2127"/>
    <s v="na"/>
    <d v="2021-07-09T00:00:00"/>
    <s v="NaT"/>
    <s v="FSK"/>
    <n v="3"/>
    <s v="NVM"/>
    <x v="17"/>
    <s v="AX75_YDBM075CCS02_4S"/>
    <s v="A5027722A$0002186_2117-YDBM075CCS02"/>
    <n v="2117"/>
    <s v="EA5027722A"/>
    <s v="na"/>
    <s v="na"/>
    <s v="na"/>
    <s v="LED fail"/>
    <s v="LED fail"/>
    <x v="3"/>
    <x v="0"/>
  </r>
  <r>
    <n v="132"/>
    <x v="3"/>
    <n v="2127"/>
    <s v="na"/>
    <d v="2021-07-09T00:00:00"/>
    <s v="NaT"/>
    <s v="FSK"/>
    <n v="4"/>
    <s v="I5"/>
    <x v="2"/>
    <s v="AR75_YDBM075DCS02_4S"/>
    <s v="A5027710B$0002963_2118-YDBM075DCS02"/>
    <n v="2118"/>
    <s v="EA5027710B"/>
    <s v="na"/>
    <s v="na"/>
    <s v="na"/>
    <s v="B/L Particle"/>
    <s v="B/L Particle"/>
    <x v="5"/>
    <x v="0"/>
  </r>
  <r>
    <n v="133"/>
    <x v="30"/>
    <n v="2128"/>
    <s v="na"/>
    <d v="2021-07-12T00:00:00"/>
    <s v="NaT"/>
    <s v="FSK"/>
    <n v="4"/>
    <s v="NVM"/>
    <x v="2"/>
    <s v="AR75_YDBM075DCS02_4S"/>
    <s v="A5027710B$0002942_2118-YDBM075DCS02"/>
    <n v="2118"/>
    <s v="EA5027710B"/>
    <s v="na"/>
    <s v="na"/>
    <s v="na"/>
    <s v="LED fail"/>
    <s v="LED fail"/>
    <x v="3"/>
    <x v="0"/>
  </r>
  <r>
    <n v="134"/>
    <x v="30"/>
    <n v="2128"/>
    <s v="na"/>
    <d v="2021-07-13T00:00:00"/>
    <s v="NaT"/>
    <s v="FSK"/>
    <n v="3"/>
    <s v="I5"/>
    <x v="0"/>
    <s v="APH75_YSBM075CNO02"/>
    <s v="A5027728A$0012597_2121-YSBM075CNO02"/>
    <n v="2121"/>
    <s v="EA5027728A"/>
    <s v="na"/>
    <s v="na"/>
    <s v="na"/>
    <s v="D/L Defect"/>
    <s v="D/L Defect"/>
    <x v="2"/>
    <x v="0"/>
  </r>
  <r>
    <n v="135"/>
    <x v="30"/>
    <n v="2128"/>
    <s v="na"/>
    <d v="2021-07-14T00:00:00"/>
    <s v="NaT"/>
    <s v="FSK"/>
    <n v="3"/>
    <s v="I5"/>
    <x v="0"/>
    <s v="APH75_YSBM075CNO02"/>
    <s v="A5027728A$0011684_2120-YSBM075CNO02"/>
    <n v="2120"/>
    <s v="EA5027728A"/>
    <s v="na"/>
    <s v="na"/>
    <s v="na"/>
    <s v="D/L Defect"/>
    <s v="D/L Defect"/>
    <x v="2"/>
    <x v="0"/>
  </r>
  <r>
    <n v="136"/>
    <x v="30"/>
    <n v="2128"/>
    <s v="na"/>
    <d v="2021-07-15T00:00:00"/>
    <s v="NaT"/>
    <s v="FSK"/>
    <n v="2"/>
    <s v="NVM"/>
    <x v="17"/>
    <s v="AX75_YDBM075CCS02_4S"/>
    <s v="A5027722A$0003860_2121-YDBM075CCS02"/>
    <n v="2121"/>
    <s v="EA5027722A"/>
    <s v="na"/>
    <s v="na"/>
    <s v="na"/>
    <s v="LED fail"/>
    <s v="LED fail"/>
    <x v="3"/>
    <x v="0"/>
  </r>
  <r>
    <n v="137"/>
    <x v="30"/>
    <n v="2128"/>
    <s v="na"/>
    <d v="2021-07-15T00:00:00"/>
    <s v="NaT"/>
    <s v="FSK"/>
    <n v="2"/>
    <s v="NVM"/>
    <x v="10"/>
    <s v="NB75_YSAS075CNG02_S"/>
    <s v="A5013706B$0015178_2121-YSAS075CNG02"/>
    <n v="2121"/>
    <s v="EA5013706B"/>
    <s v="na"/>
    <s v="na"/>
    <s v="na"/>
    <s v="LED fail"/>
    <s v="LED fail"/>
    <x v="3"/>
    <x v="2"/>
  </r>
  <r>
    <n v="138"/>
    <x v="30"/>
    <n v="2128"/>
    <s v="na"/>
    <d v="2021-07-15T00:00:00"/>
    <s v="NaT"/>
    <s v="FSK"/>
    <n v="2"/>
    <s v="WB1"/>
    <x v="12"/>
    <s v="NX75_YDAS075DNS02_C"/>
    <s v="A5024285B$0023022_2117-YDAS075DNS02"/>
    <n v="2117"/>
    <s v="EA5024285B"/>
    <s v="na"/>
    <s v="na"/>
    <s v="na"/>
    <s v="No display"/>
    <s v="No display"/>
    <x v="9"/>
    <x v="2"/>
  </r>
  <r>
    <n v="139"/>
    <x v="30"/>
    <n v="2128"/>
    <s v="na"/>
    <d v="2021-07-16T00:00:00"/>
    <s v="NaT"/>
    <s v="FSK"/>
    <n v="3"/>
    <s v="NVM"/>
    <x v="10"/>
    <s v="NB75_YSAS075CNG02_S"/>
    <s v="A5013706B$0014576_2120-YSAS075CNG02"/>
    <n v="2120"/>
    <s v="EA5013706B"/>
    <s v="na"/>
    <s v="na"/>
    <s v="na"/>
    <s v="LED fail"/>
    <s v="LED fail"/>
    <x v="3"/>
    <x v="2"/>
  </r>
  <r>
    <n v="140"/>
    <x v="30"/>
    <n v="2128"/>
    <s v="na"/>
    <d v="2021-07-16T00:00:00"/>
    <s v="NaT"/>
    <s v="FSK"/>
    <n v="3"/>
    <s v="WB1"/>
    <x v="10"/>
    <s v="NB75_YSAS075CNG02_S"/>
    <s v="A5013706B$0013177_2118-YSAS075CNG02"/>
    <n v="2118"/>
    <s v="EA5013706B"/>
    <s v="na"/>
    <s v="na"/>
    <s v="na"/>
    <s v="W/B NG"/>
    <s v="W/B NG"/>
    <x v="9"/>
    <x v="2"/>
  </r>
  <r>
    <n v="141"/>
    <x v="4"/>
    <n v="2129"/>
    <s v="na"/>
    <d v="2021-07-19T00:00:00"/>
    <s v="NaT"/>
    <s v="FSK"/>
    <n v="2"/>
    <s v="I1"/>
    <x v="10"/>
    <s v="NB75_YSAS075CNG02_S"/>
    <s v="A5013706B$0014309_2120-YSAS075CNG02"/>
    <n v="2120"/>
    <s v="EA5013706B"/>
    <s v="na"/>
    <s v="na"/>
    <s v="na"/>
    <s v="No display"/>
    <s v="No display"/>
    <x v="9"/>
    <x v="2"/>
  </r>
  <r>
    <n v="142"/>
    <x v="4"/>
    <n v="2129"/>
    <s v="na"/>
    <d v="2021-07-20T00:00:00"/>
    <s v="NaT"/>
    <s v="FSK"/>
    <n v="3"/>
    <s v="I5"/>
    <x v="17"/>
    <s v="AX75_YDBM075CCS02_4S"/>
    <s v="A5027722A$0004072_2121-YDBM075CCS02"/>
    <n v="2121"/>
    <s v="EA5027722A"/>
    <s v="na"/>
    <s v="na"/>
    <s v="na"/>
    <s v="D/L Defect"/>
    <s v="D/L Defect"/>
    <x v="2"/>
    <x v="0"/>
  </r>
  <r>
    <n v="143"/>
    <x v="4"/>
    <n v="2129"/>
    <s v="na"/>
    <d v="2021-07-20T00:00:00"/>
    <s v="NaT"/>
    <s v="FSK"/>
    <n v="2"/>
    <s v="P1"/>
    <x v="0"/>
    <s v="APH75_YSBM075CNO02"/>
    <s v="A5027728A$0013555_2122-YSBM075CNO02"/>
    <n v="2122"/>
    <s v="EA5027728A"/>
    <s v="na"/>
    <s v="na"/>
    <s v="na"/>
    <s v="B/L CNT broken"/>
    <s v="B/L CNT broken"/>
    <x v="11"/>
    <x v="0"/>
  </r>
  <r>
    <n v="144"/>
    <x v="4"/>
    <n v="2129"/>
    <s v="na"/>
    <d v="2021-07-21T00:00:00"/>
    <s v="NaT"/>
    <s v="FSK"/>
    <n v="2"/>
    <s v="I5"/>
    <x v="0"/>
    <s v="APH75_YSBM075CNO02"/>
    <s v="A5027728A$0013573_2122-YSBM075CNO02"/>
    <n v="2122"/>
    <s v="EA5027728A"/>
    <s v="na"/>
    <s v="na"/>
    <s v="na"/>
    <s v="B/L Particle"/>
    <s v="B/L Particle"/>
    <x v="5"/>
    <x v="0"/>
  </r>
  <r>
    <n v="145"/>
    <x v="4"/>
    <n v="2129"/>
    <s v="na"/>
    <d v="2021-07-21T00:00:00"/>
    <s v="NaT"/>
    <s v="FSK"/>
    <n v="2"/>
    <s v="P1"/>
    <x v="0"/>
    <s v="APH75_YSBM075CNO02"/>
    <s v="A5027728A$0012922_2121-YSBM075CNO02"/>
    <n v="2121"/>
    <s v="EA5027728A"/>
    <s v="na"/>
    <s v="na"/>
    <s v="na"/>
    <s v="B/L CNT broken"/>
    <s v="B/L CNT broken"/>
    <x v="11"/>
    <x v="0"/>
  </r>
  <r>
    <n v="146"/>
    <x v="4"/>
    <n v="2129"/>
    <s v="na"/>
    <d v="2021-07-22T00:00:00"/>
    <s v="NaT"/>
    <s v="FSK"/>
    <n v="3"/>
    <s v="NVM"/>
    <x v="18"/>
    <s v="AG85_YDBO085DAU02"/>
    <s v="A5039507A$0000852_2121-YDBO085DAU02"/>
    <n v="2121"/>
    <s v="EA5039507A"/>
    <s v="na"/>
    <s v="na"/>
    <s v="na"/>
    <s v="LED fail"/>
    <s v="LED fail"/>
    <x v="3"/>
    <x v="0"/>
  </r>
  <r>
    <n v="147"/>
    <x v="4"/>
    <n v="2129"/>
    <s v="na"/>
    <d v="2021-07-22T00:00:00"/>
    <s v="NaT"/>
    <s v="FSK"/>
    <n v="3"/>
    <s v="I1"/>
    <x v="18"/>
    <s v="AG85_YDBO085DAU02"/>
    <s v="A5039507A$0000864_2121-YDBO085DAU02"/>
    <n v="2121"/>
    <s v="EA5039507A"/>
    <s v="na"/>
    <s v="na"/>
    <s v="na"/>
    <s v="Aluminium Frame Gap"/>
    <s v="Aluminium Frame Gap"/>
    <x v="13"/>
    <x v="0"/>
  </r>
  <r>
    <n v="148"/>
    <x v="4"/>
    <n v="2129"/>
    <s v="na"/>
    <d v="2021-07-22T00:00:00"/>
    <s v="NaT"/>
    <s v="FSK"/>
    <n v="2"/>
    <s v="I5"/>
    <x v="0"/>
    <s v="APH75_YSBM075CNO02"/>
    <s v="A5027728A$0013983_2122-YSBM075CNO02"/>
    <n v="2122"/>
    <s v="EA5027728A"/>
    <s v="na"/>
    <s v="na"/>
    <s v="na"/>
    <s v="A/D"/>
    <s v="A/D"/>
    <x v="9"/>
    <x v="0"/>
  </r>
  <r>
    <n v="149"/>
    <x v="4"/>
    <n v="2129"/>
    <s v="na"/>
    <d v="2021-07-23T00:00:00"/>
    <s v="NaT"/>
    <s v="FSK"/>
    <n v="2"/>
    <s v="NVM"/>
    <x v="0"/>
    <s v="APH75_YSBM075CNO02"/>
    <s v="A5027728A$0010859_2121-YSBM075CNO02"/>
    <n v="2121"/>
    <s v="EA5027728A"/>
    <s v="na"/>
    <s v="na"/>
    <s v="na"/>
    <s v="LED fail"/>
    <s v="LED fail"/>
    <x v="3"/>
    <x v="0"/>
  </r>
  <r>
    <n v="150"/>
    <x v="4"/>
    <n v="2129"/>
    <s v="na"/>
    <d v="2021-07-23T00:00:00"/>
    <s v="NaT"/>
    <s v="FSK"/>
    <n v="4"/>
    <s v="I5"/>
    <x v="0"/>
    <s v="APH75_YSBM075CNO02"/>
    <s v="A5027728A$0013713_2122-YSBM075CNO02"/>
    <n v="2122"/>
    <s v="EA5027728A"/>
    <s v="na"/>
    <s v="na"/>
    <s v="na"/>
    <s v="A/D"/>
    <s v="A/D"/>
    <x v="9"/>
    <x v="0"/>
  </r>
  <r>
    <n v="151"/>
    <x v="4"/>
    <n v="2129"/>
    <s v="na"/>
    <d v="2021-07-23T00:00:00"/>
    <s v="NaT"/>
    <s v="FSK"/>
    <n v="4"/>
    <s v="NVM"/>
    <x v="0"/>
    <s v="APH75_YSBM075CNO02"/>
    <s v="A5027728A$0010885_2121-YSBM075CNO02"/>
    <n v="2121"/>
    <s v="EA5027728A"/>
    <s v="na"/>
    <s v="na"/>
    <s v="na"/>
    <s v="LED fail"/>
    <s v="LED fail"/>
    <x v="3"/>
    <x v="0"/>
  </r>
  <r>
    <n v="152"/>
    <x v="4"/>
    <n v="2129"/>
    <s v="na"/>
    <d v="2021-07-23T00:00:00"/>
    <s v="NaT"/>
    <s v="FSK"/>
    <n v="2"/>
    <s v="I5"/>
    <x v="0"/>
    <s v="APH75_YSBM075CNO02"/>
    <s v="A5027728A$0013326_2122-YSBM075CNO02"/>
    <n v="2122"/>
    <s v="EA5027728A"/>
    <s v="na"/>
    <s v="na"/>
    <s v="na"/>
    <s v="G/L Defect"/>
    <s v="G/L Defect"/>
    <x v="2"/>
    <x v="0"/>
  </r>
  <r>
    <n v="153"/>
    <x v="4"/>
    <n v="2129"/>
    <s v="na"/>
    <d v="2021-07-23T00:00:00"/>
    <s v="NaT"/>
    <s v="FSK"/>
    <n v="2"/>
    <s v="P1"/>
    <x v="0"/>
    <s v="APH75_YSBM075CNO02"/>
    <s v="A5027728A$0014910_2123-YSBM075CNO02"/>
    <n v="2123"/>
    <s v="EA5027728A"/>
    <s v="na"/>
    <s v="na"/>
    <s v="na"/>
    <s v="B/L CNT broken"/>
    <s v="B/L CNT broken"/>
    <x v="11"/>
    <x v="0"/>
  </r>
  <r>
    <n v="154"/>
    <x v="10"/>
    <n v="2132"/>
    <s v="na"/>
    <d v="2021-08-09T00:00:00"/>
    <s v="NaT"/>
    <s v="FSK"/>
    <n v="4"/>
    <s v="I5"/>
    <x v="2"/>
    <s v="AR75_YDBM075DCS02_4S"/>
    <s v="A5027710A$0004454_2124-YDBM075DCS02"/>
    <n v="2124"/>
    <s v="EA5027710A"/>
    <s v="na"/>
    <s v="na"/>
    <s v="na"/>
    <s v="D/L Defect"/>
    <s v="D/L Defect"/>
    <x v="2"/>
    <x v="0"/>
  </r>
  <r>
    <n v="155"/>
    <x v="10"/>
    <n v="2132"/>
    <s v="na"/>
    <d v="2021-08-11T00:00:00"/>
    <s v="NaT"/>
    <s v="FSK"/>
    <n v="2"/>
    <s v="NVM"/>
    <x v="5"/>
    <s v="AG75_YDBO075DAS02"/>
    <s v="A5039502A$0003395_2123-YDBO075DAS02"/>
    <n v="2123"/>
    <s v="EA5039502A"/>
    <s v="na"/>
    <s v="na"/>
    <s v="na"/>
    <s v="No display"/>
    <s v="No display"/>
    <x v="9"/>
    <x v="0"/>
  </r>
  <r>
    <n v="156"/>
    <x v="10"/>
    <n v="2132"/>
    <s v="na"/>
    <d v="2021-08-12T00:00:00"/>
    <s v="NaT"/>
    <s v="FSK"/>
    <n v="2"/>
    <s v="WB1"/>
    <x v="5"/>
    <s v="AG75_YDBO075DAS02"/>
    <s v="A5039502A$0002192_2122-YDBO075DAS02"/>
    <n v="2122"/>
    <s v="EA5039502A"/>
    <s v="na"/>
    <s v="na"/>
    <s v="na"/>
    <s v="No display"/>
    <s v="No display"/>
    <x v="9"/>
    <x v="0"/>
  </r>
  <r>
    <n v="157"/>
    <x v="10"/>
    <n v="2132"/>
    <s v="na"/>
    <d v="2021-08-12T00:00:00"/>
    <s v="NaT"/>
    <s v="FSK"/>
    <n v="3"/>
    <s v="NVM"/>
    <x v="17"/>
    <s v="AX75_YDBM075CCS02_4S"/>
    <s v="A5027722A$0007412_2126-YDBM075CCS02"/>
    <n v="2126"/>
    <s v="EA5027722A"/>
    <s v="na"/>
    <s v="na"/>
    <s v="na"/>
    <s v="LED fail"/>
    <s v="LED fail"/>
    <x v="3"/>
    <x v="0"/>
  </r>
  <r>
    <n v="158"/>
    <x v="10"/>
    <n v="2132"/>
    <s v="na"/>
    <d v="2021-08-12T00:00:00"/>
    <s v="NaT"/>
    <s v="FSK"/>
    <n v="3"/>
    <s v="I5"/>
    <x v="17"/>
    <s v="AX75_YDBM075CCS02_4S"/>
    <s v="A5027722A$0005246_2124-YDBM075CCS02"/>
    <n v="2124"/>
    <s v="EA5027722A"/>
    <s v="na"/>
    <s v="na"/>
    <s v="na"/>
    <s v="D/L Defect"/>
    <s v="D/L Defect"/>
    <x v="2"/>
    <x v="0"/>
  </r>
  <r>
    <n v="159"/>
    <x v="10"/>
    <n v="2132"/>
    <s v="na"/>
    <d v="2021-08-12T00:00:00"/>
    <s v="NaT"/>
    <s v="FSK"/>
    <n v="2"/>
    <s v="P1"/>
    <x v="5"/>
    <s v="AG75_YDBO075DAS02"/>
    <s v="A5030081A$0000500_2114-YDBO075DAS02"/>
    <n v="2114"/>
    <s v="EA5030081A"/>
    <s v="na"/>
    <s v="na"/>
    <s v="na"/>
    <s v="B/L wire broken"/>
    <s v="B/L wire broken"/>
    <x v="11"/>
    <x v="0"/>
  </r>
  <r>
    <n v="160"/>
    <x v="10"/>
    <n v="2132"/>
    <s v="na"/>
    <d v="2021-08-12T00:00:00"/>
    <s v="NaT"/>
    <s v="FSK"/>
    <n v="3"/>
    <s v="I6"/>
    <x v="17"/>
    <s v="AX75_YDBM075CCS02_4S"/>
    <s v="A5027722A$0007561_2126-YDBM075CCS02"/>
    <n v="2126"/>
    <s v="EA5027722A"/>
    <s v="na"/>
    <s v="na"/>
    <s v="na"/>
    <s v="LED fail"/>
    <s v="LED fail"/>
    <x v="3"/>
    <x v="0"/>
  </r>
  <r>
    <n v="161"/>
    <x v="6"/>
    <n v="2133"/>
    <s v="na"/>
    <d v="2021-08-16T00:00:00"/>
    <s v="NaT"/>
    <s v="FSK"/>
    <n v="16"/>
    <s v="P1"/>
    <x v="20"/>
    <s v="AG65_YDBO065DBU02"/>
    <s v="A5032151A$0000278_2120-YDBO065DBU02"/>
    <n v="2120"/>
    <s v="EA5032151A"/>
    <s v="na"/>
    <s v="na"/>
    <s v="na"/>
    <s v="Pol Bubble"/>
    <s v="Pol Bubble"/>
    <x v="7"/>
    <x v="0"/>
  </r>
  <r>
    <n v="162"/>
    <x v="6"/>
    <n v="2133"/>
    <s v="na"/>
    <d v="2021-08-16T00:00:00"/>
    <s v="NaT"/>
    <s v="FSK"/>
    <n v="4"/>
    <s v="I5"/>
    <x v="2"/>
    <s v="AR75_YDBM075DCS02_2S"/>
    <s v="A5027707A$0006767_2120-YDBM075DCS02"/>
    <n v="2120"/>
    <s v="EA5027707A"/>
    <s v="na"/>
    <s v="na"/>
    <s v="na"/>
    <s v="B/L Particle"/>
    <s v="B/L Particle"/>
    <x v="5"/>
    <x v="0"/>
  </r>
  <r>
    <n v="163"/>
    <x v="6"/>
    <n v="2133"/>
    <s v="na"/>
    <d v="2021-08-17T00:00:00"/>
    <s v="NaT"/>
    <s v="FSK"/>
    <n v="3"/>
    <s v="I8"/>
    <x v="17"/>
    <s v="AX75_YDBM075CCS02_4S"/>
    <s v="A5027722A$0006021_2126-YDBM075CCS02"/>
    <n v="2126"/>
    <s v="EA5027722A"/>
    <s v="na"/>
    <s v="na"/>
    <s v="na"/>
    <s v="No display"/>
    <s v="No display"/>
    <x v="9"/>
    <x v="0"/>
  </r>
  <r>
    <n v="164"/>
    <x v="6"/>
    <n v="2133"/>
    <s v="na"/>
    <d v="2021-08-18T00:00:00"/>
    <s v="NaT"/>
    <s v="FSK"/>
    <n v="4"/>
    <s v="P1"/>
    <x v="2"/>
    <s v="AR75_YDBM075DCS02_4S"/>
    <s v="A5027710A$0005984_2125-YDBM075DCS02"/>
    <n v="2125"/>
    <s v="EA5027710A"/>
    <s v="na"/>
    <s v="na"/>
    <s v="na"/>
    <s v="B/L Particle"/>
    <s v="B/L Particle"/>
    <x v="5"/>
    <x v="0"/>
  </r>
  <r>
    <n v="165"/>
    <x v="6"/>
    <n v="2133"/>
    <s v="na"/>
    <d v="2021-08-18T00:00:00"/>
    <s v="NaT"/>
    <s v="FSK"/>
    <n v="1"/>
    <s v="I5"/>
    <x v="15"/>
    <s v="NX85_YDAS085DNU01"/>
    <s v="A5016535B$0006605_2126-YDAS085DNU02"/>
    <n v="2126"/>
    <s v="EA5016535B"/>
    <s v="na"/>
    <s v="na"/>
    <s v="na"/>
    <s v="B/L Particle"/>
    <s v="B/L Particle"/>
    <x v="5"/>
    <x v="2"/>
  </r>
  <r>
    <n v="166"/>
    <x v="6"/>
    <n v="2133"/>
    <s v="na"/>
    <d v="2021-08-19T00:00:00"/>
    <s v="NaT"/>
    <s v="FSK"/>
    <n v="2"/>
    <s v="WB1"/>
    <x v="5"/>
    <s v="AG75_YDBO075DAS02"/>
    <s v="A5030081A$0000553_2114-YDBO075DAS02"/>
    <n v="2114"/>
    <s v="EA5030081A"/>
    <s v="na"/>
    <s v="na"/>
    <s v="na"/>
    <s v="O-Cell A/D"/>
    <s v="O-Cell A/D"/>
    <x v="1"/>
    <x v="0"/>
  </r>
  <r>
    <n v="167"/>
    <x v="6"/>
    <n v="2133"/>
    <s v="na"/>
    <d v="2021-08-19T00:00:00"/>
    <s v="NaT"/>
    <s v="FSK"/>
    <n v="2"/>
    <s v="WB1"/>
    <x v="5"/>
    <s v="AG75_YDBO075DAS02"/>
    <s v="A5030081A$0001475_2115-YDBO075DAS02"/>
    <n v="2115"/>
    <s v="EA5030081A"/>
    <s v="na"/>
    <s v="na"/>
    <s v="na"/>
    <s v="No display"/>
    <s v="No display"/>
    <x v="9"/>
    <x v="0"/>
  </r>
  <r>
    <n v="168"/>
    <x v="6"/>
    <n v="2133"/>
    <s v="na"/>
    <d v="2021-08-19T00:00:00"/>
    <s v="NaT"/>
    <s v="FSK"/>
    <n v="3"/>
    <s v="I5"/>
    <x v="17"/>
    <s v="AX75_YDBM075CCS02_4S"/>
    <s v="A5027722A$0006634_2126-YDBM075CCS02"/>
    <n v="2126"/>
    <s v="EA5027722A"/>
    <s v="na"/>
    <s v="na"/>
    <s v="na"/>
    <s v="D/L Defect"/>
    <s v="D/L Defect"/>
    <x v="2"/>
    <x v="0"/>
  </r>
  <r>
    <n v="169"/>
    <x v="6"/>
    <n v="2133"/>
    <s v="na"/>
    <d v="2021-08-19T00:00:00"/>
    <s v="NaT"/>
    <s v="FSK"/>
    <n v="3"/>
    <s v="I5"/>
    <x v="17"/>
    <s v="AX75_YDBM075CCS02_4S"/>
    <s v="A5027722A$0007516_2126-YDBM075CCS02"/>
    <n v="2126"/>
    <s v="EA5027722A"/>
    <s v="na"/>
    <s v="na"/>
    <s v="na"/>
    <s v="D/L Defect"/>
    <s v="D/L Defect"/>
    <x v="2"/>
    <x v="0"/>
  </r>
  <r>
    <n v="170"/>
    <x v="6"/>
    <n v="2133"/>
    <s v="na"/>
    <d v="2021-08-20T00:00:00"/>
    <s v="NaT"/>
    <s v="FSK"/>
    <n v="3"/>
    <s v="I5"/>
    <x v="17"/>
    <s v="AX75_YDBM075CCS02_4S"/>
    <s v="A5027722A$0007074_2126-YDBM075CCS02"/>
    <n v="2126"/>
    <s v="EA5027722A"/>
    <s v="na"/>
    <s v="na"/>
    <s v="na"/>
    <s v="G/L Defect"/>
    <s v="G/L Defect"/>
    <x v="2"/>
    <x v="0"/>
  </r>
  <r>
    <n v="171"/>
    <x v="6"/>
    <n v="2133"/>
    <s v="na"/>
    <d v="2021-08-20T00:00:00"/>
    <s v="NaT"/>
    <s v="FSK"/>
    <n v="4"/>
    <s v="I5"/>
    <x v="2"/>
    <s v="AR75_YDBM075DCS02_4S"/>
    <s v="A5027710A$0005800_2124-YDBM075DCS02"/>
    <n v="2124"/>
    <s v="EA5027710A"/>
    <s v="na"/>
    <s v="na"/>
    <s v="na"/>
    <s v="H-dot etc"/>
    <s v="H-dot etc"/>
    <x v="12"/>
    <x v="0"/>
  </r>
  <r>
    <n v="172"/>
    <x v="31"/>
    <n v="2134"/>
    <s v="na"/>
    <d v="2021-08-23T00:00:00"/>
    <s v="NaT"/>
    <s v="FSK"/>
    <n v="2"/>
    <s v="WB1"/>
    <x v="12"/>
    <s v="NX75_YDAS075DNS02_C"/>
    <s v="A5024285B$0023661_2125-YDAS075DNS02"/>
    <n v="2125"/>
    <s v="EA5024285B"/>
    <s v="na"/>
    <s v="na"/>
    <s v="na"/>
    <s v="A/D"/>
    <s v="A/D"/>
    <x v="9"/>
    <x v="2"/>
  </r>
  <r>
    <n v="173"/>
    <x v="31"/>
    <n v="2134"/>
    <s v="na"/>
    <d v="2021-08-23T00:00:00"/>
    <s v="NaT"/>
    <s v="FSK"/>
    <n v="1"/>
    <s v="I1"/>
    <x v="15"/>
    <s v="NX85_YDAS085DNU01"/>
    <s v="A5016535B$0006692_2126-YDAS085DNU02"/>
    <n v="2126"/>
    <s v="EA5016535B"/>
    <s v="na"/>
    <s v="na"/>
    <s v="na"/>
    <s v="A/D"/>
    <s v="A/D"/>
    <x v="9"/>
    <x v="2"/>
  </r>
  <r>
    <n v="174"/>
    <x v="31"/>
    <n v="2134"/>
    <s v="na"/>
    <d v="2021-08-23T00:00:00"/>
    <s v="NaT"/>
    <s v="FSK"/>
    <n v="16"/>
    <s v="I8"/>
    <x v="20"/>
    <s v="AG65_YDBO065DBU02"/>
    <s v="A5032151A$0003441_2123-YDBO065DBU02"/>
    <n v="2123"/>
    <s v="EA5032151A"/>
    <s v="na"/>
    <s v="na"/>
    <s v="na"/>
    <s v="B/L Particle"/>
    <s v="B/L Particle"/>
    <x v="5"/>
    <x v="0"/>
  </r>
  <r>
    <n v="175"/>
    <x v="31"/>
    <n v="2134"/>
    <s v="na"/>
    <d v="2021-08-24T00:00:00"/>
    <s v="NaT"/>
    <s v="FSK"/>
    <n v="2"/>
    <s v="WB1"/>
    <x v="12"/>
    <s v="NX75_YDAS075DNS02_C"/>
    <s v="A5024285B$0023638_2125-YDAS075DNS02"/>
    <n v="2125"/>
    <s v="EA5024285B"/>
    <s v="na"/>
    <s v="na"/>
    <s v="na"/>
    <s v="W/B data fail"/>
    <s v="W/B data fail"/>
    <x v="9"/>
    <x v="2"/>
  </r>
  <r>
    <n v="176"/>
    <x v="31"/>
    <n v="2134"/>
    <s v="na"/>
    <d v="2021-08-24T00:00:00"/>
    <s v="NaT"/>
    <s v="FSK"/>
    <n v="16"/>
    <s v="I8"/>
    <x v="20"/>
    <s v="AG65_YDBO065DBU02"/>
    <s v="A5032151A$0003118_2123-YDBO065DBU02"/>
    <n v="2123"/>
    <s v="EA5032151A"/>
    <s v="na"/>
    <s v="na"/>
    <s v="na"/>
    <s v="B/L Particle"/>
    <s v="B/L Particle"/>
    <x v="5"/>
    <x v="0"/>
  </r>
  <r>
    <n v="177"/>
    <x v="31"/>
    <n v="2134"/>
    <s v="na"/>
    <d v="2021-08-24T00:00:00"/>
    <s v="NaT"/>
    <s v="FSK"/>
    <n v="4"/>
    <s v="I5"/>
    <x v="2"/>
    <s v="AR75_YDBM075DCS02_4S"/>
    <s v="A5027710A$0007114_2126-YDBM075DCS02"/>
    <n v="2126"/>
    <s v="EA5027710A"/>
    <s v="na"/>
    <s v="na"/>
    <s v="na"/>
    <s v="D/L Defect"/>
    <s v="D/L Defect"/>
    <x v="2"/>
    <x v="0"/>
  </r>
  <r>
    <n v="178"/>
    <x v="31"/>
    <n v="2134"/>
    <s v="na"/>
    <d v="2021-08-24T00:00:00"/>
    <s v="NaT"/>
    <s v="FSK"/>
    <n v="4"/>
    <s v="P1"/>
    <x v="2"/>
    <s v="AR75_YDBM075DCS02_4S"/>
    <s v="A5027710A$0004679_2124-YDBM075DCS02"/>
    <n v="2124"/>
    <s v="EA5027710A"/>
    <s v="na"/>
    <s v="na"/>
    <s v="na"/>
    <s v="Bezel Dent"/>
    <s v="Bezel Dent"/>
    <x v="8"/>
    <x v="0"/>
  </r>
  <r>
    <n v="179"/>
    <x v="31"/>
    <n v="2134"/>
    <s v="na"/>
    <d v="2021-08-25T00:00:00"/>
    <s v="NaT"/>
    <s v="FSK"/>
    <n v="4"/>
    <s v="I5"/>
    <x v="2"/>
    <s v="AR75_YDBM075DCS02_4S"/>
    <s v="a5027710a$0006783_2125-ydbm075dcs02"/>
    <n v="2125"/>
    <s v="EA5027710A"/>
    <s v="na"/>
    <s v="na"/>
    <s v="na"/>
    <s v="D/L Defect"/>
    <s v="D/L Defect"/>
    <x v="2"/>
    <x v="0"/>
  </r>
  <r>
    <n v="180"/>
    <x v="32"/>
    <n v="2135"/>
    <s v="na"/>
    <d v="2021-08-30T00:00:00"/>
    <s v="NaT"/>
    <s v="FSK"/>
    <n v="3"/>
    <s v="I2"/>
    <x v="19"/>
    <s v="AX85_YDBM085CNU02"/>
    <s v="A5027716A$0005398_2124-YDBM085CNU02"/>
    <n v="2124"/>
    <s v="EA5027716A"/>
    <s v="na"/>
    <s v="na"/>
    <s v="na"/>
    <s v="A/D"/>
    <s v="A/D"/>
    <x v="9"/>
    <x v="0"/>
  </r>
  <r>
    <n v="181"/>
    <x v="32"/>
    <n v="2135"/>
    <s v="na"/>
    <d v="2021-08-30T00:00:00"/>
    <s v="NaT"/>
    <s v="FSK"/>
    <n v="2"/>
    <s v="WB1"/>
    <x v="16"/>
    <s v="NXB75_YDAS075DNS02_C"/>
    <s v="A5024290B$0001871_2103-YDAS075DNS02"/>
    <n v="2103"/>
    <s v="EA5024290B"/>
    <s v="na"/>
    <s v="na"/>
    <s v="na"/>
    <s v="W/B data fail"/>
    <s v="W/B data fail"/>
    <x v="9"/>
    <x v="2"/>
  </r>
  <r>
    <n v="182"/>
    <x v="32"/>
    <n v="2135"/>
    <s v="na"/>
    <d v="2021-08-30T00:00:00"/>
    <s v="NaT"/>
    <s v="FSK"/>
    <n v="2"/>
    <s v="WB1"/>
    <x v="16"/>
    <s v="NXB75_YDAS075DNS02_C"/>
    <s v="A5024290B$0001862_2103-YDAS075DNS02"/>
    <n v="2103"/>
    <s v="EA5024290B"/>
    <s v="na"/>
    <s v="na"/>
    <s v="na"/>
    <s v="No display"/>
    <s v="No display"/>
    <x v="9"/>
    <x v="2"/>
  </r>
  <r>
    <n v="183"/>
    <x v="32"/>
    <n v="2135"/>
    <s v="na"/>
    <d v="2021-08-31T00:00:00"/>
    <s v="NaT"/>
    <s v="FSK"/>
    <n v="4"/>
    <s v="I5"/>
    <x v="0"/>
    <s v="APH75_YSBM075CNO02"/>
    <s v="A5027728A$0017340_2127-YSBM075CNO02"/>
    <n v="2127"/>
    <s v="EA5027728A"/>
    <s v="na"/>
    <s v="na"/>
    <s v="na"/>
    <s v="B/L Sheet Wrinkle"/>
    <s v="B/L Sheet Wrinkle"/>
    <x v="10"/>
    <x v="0"/>
  </r>
  <r>
    <n v="184"/>
    <x v="32"/>
    <n v="2135"/>
    <s v="na"/>
    <d v="2021-08-31T00:00:00"/>
    <s v="NaT"/>
    <s v="FSK"/>
    <n v="3"/>
    <s v="I5"/>
    <x v="17"/>
    <s v="AX75_YDBM075CCS02_4S"/>
    <s v="A5027722A$0008856_2128-YDBM075CCS02"/>
    <n v="2128"/>
    <s v="EA5027722A"/>
    <s v="na"/>
    <s v="na"/>
    <s v="na"/>
    <s v="D/L Defect"/>
    <s v="D/L Defect"/>
    <x v="2"/>
    <x v="0"/>
  </r>
  <r>
    <n v="185"/>
    <x v="32"/>
    <n v="2135"/>
    <s v="na"/>
    <d v="2021-09-02T00:00:00"/>
    <s v="NaT"/>
    <s v="FSK"/>
    <n v="2"/>
    <s v="I5"/>
    <x v="5"/>
    <s v="AG75_YDBO075DAS02"/>
    <s v="A5030081A$0001430_2115-YDBO075DAS02"/>
    <n v="2115"/>
    <s v="EA5030081A"/>
    <s v="na"/>
    <s v="na"/>
    <s v="na"/>
    <s v="Pol Stain"/>
    <s v="Pol Stain"/>
    <x v="0"/>
    <x v="0"/>
  </r>
  <r>
    <n v="186"/>
    <x v="32"/>
    <n v="2135"/>
    <s v="na"/>
    <d v="2021-09-02T00:00:00"/>
    <s v="NaT"/>
    <s v="FSK"/>
    <n v="2"/>
    <s v="WB1"/>
    <x v="5"/>
    <s v="AG75_YDBO075DAS02"/>
    <s v="A5030081A$0001396_2115-YDBO075DAS02"/>
    <n v="2115"/>
    <s v="EA5030081A"/>
    <s v="na"/>
    <s v="na"/>
    <s v="na"/>
    <s v="No display"/>
    <s v="No display"/>
    <x v="9"/>
    <x v="0"/>
  </r>
  <r>
    <n v="187"/>
    <x v="32"/>
    <n v="2135"/>
    <s v="na"/>
    <d v="2021-09-03T00:00:00"/>
    <s v="NaT"/>
    <s v="FSK"/>
    <n v="15"/>
    <s v="I8"/>
    <x v="20"/>
    <s v="AG65_YDBO065DBU02"/>
    <s v="A5032151A$0007333_2127-YDBO065DBU02"/>
    <n v="2127"/>
    <s v="EA5032151A"/>
    <s v="na"/>
    <s v="na"/>
    <s v="na"/>
    <s v="B/L Particle"/>
    <s v="B/L Particle"/>
    <x v="5"/>
    <x v="0"/>
  </r>
  <r>
    <n v="188"/>
    <x v="32"/>
    <n v="2135"/>
    <s v="na"/>
    <d v="2021-09-03T00:00:00"/>
    <s v="NaT"/>
    <s v="FSK"/>
    <n v="15"/>
    <s v="WB1"/>
    <x v="20"/>
    <s v="AG65_YDBO065DBU02"/>
    <s v="A5032151A$0007670_2127-YDBO065DBU02"/>
    <n v="2127"/>
    <s v="EA5032151A"/>
    <s v="na"/>
    <s v="na"/>
    <s v="na"/>
    <s v="O-Cell A/D"/>
    <s v="O-Cell A/D"/>
    <x v="1"/>
    <x v="0"/>
  </r>
  <r>
    <n v="189"/>
    <x v="33"/>
    <n v="2136"/>
    <s v="na"/>
    <d v="2021-09-06T00:00:00"/>
    <s v="NaT"/>
    <s v="FSK"/>
    <n v="4"/>
    <s v="P5"/>
    <x v="2"/>
    <s v="AR75_YDBM075DCS02_4S"/>
    <s v="A5027710A$0008906_2128-YDBM075DCS02"/>
    <n v="2128"/>
    <s v="EA5027710A"/>
    <s v="na"/>
    <s v="na"/>
    <s v="na"/>
    <s v="B/L Particle"/>
    <s v="B/L Particle"/>
    <x v="5"/>
    <x v="0"/>
  </r>
  <r>
    <n v="190"/>
    <x v="33"/>
    <n v="2136"/>
    <s v="na"/>
    <d v="2021-09-09T00:00:00"/>
    <s v="NaT"/>
    <s v="FSK"/>
    <n v="4"/>
    <s v="NVM"/>
    <x v="2"/>
    <s v="AR75_YDBM075DCS02_2S"/>
    <s v="A5027707A$0014022_2127-YDBM075DCS02"/>
    <n v="2127"/>
    <s v="EA5027707A"/>
    <s v="na"/>
    <s v="na"/>
    <s v="na"/>
    <s v="LED fail"/>
    <s v="LED fail"/>
    <x v="3"/>
    <x v="0"/>
  </r>
  <r>
    <n v="191"/>
    <x v="33"/>
    <n v="2136"/>
    <s v="na"/>
    <d v="2021-09-09T00:00:00"/>
    <s v="NaT"/>
    <s v="FSK"/>
    <n v="3"/>
    <s v="I5"/>
    <x v="18"/>
    <s v="AG85_YDBO085DAU02"/>
    <s v="A5030086A$0000439_2114-YDBO085DAU02"/>
    <n v="2114"/>
    <s v="EA5030086A"/>
    <s v="na"/>
    <s v="na"/>
    <s v="na"/>
    <s v="B/L Particle"/>
    <s v="B/L Particle"/>
    <x v="5"/>
    <x v="0"/>
  </r>
  <r>
    <n v="192"/>
    <x v="33"/>
    <n v="2136"/>
    <s v="na"/>
    <d v="2021-09-10T00:00:00"/>
    <s v="NaT"/>
    <s v="FSK"/>
    <n v="2"/>
    <s v="WB1"/>
    <x v="5"/>
    <s v="AG75_YDBO075DAS02"/>
    <s v="A5030081A$0000619_2114-YDBO075DAS02"/>
    <n v="2114"/>
    <s v="EA5030081A"/>
    <s v="na"/>
    <s v="na"/>
    <s v="na"/>
    <s v="W/B NG"/>
    <s v="W/B NG"/>
    <x v="9"/>
    <x v="0"/>
  </r>
  <r>
    <n v="193"/>
    <x v="34"/>
    <n v="2137"/>
    <s v="na"/>
    <d v="2021-09-16T00:00:00"/>
    <s v="NaT"/>
    <s v="FSK"/>
    <n v="3"/>
    <s v="I1"/>
    <x v="19"/>
    <s v="AX85_YDBM085CNU02"/>
    <s v="A5027716A$0006629_2127-YDBM085CNU02"/>
    <n v="2127"/>
    <s v="EA5027716A"/>
    <s v="na"/>
    <s v="na"/>
    <s v="na"/>
    <s v="A/D"/>
    <s v="A/D"/>
    <x v="9"/>
    <x v="0"/>
  </r>
  <r>
    <n v="194"/>
    <x v="34"/>
    <n v="2137"/>
    <s v="na"/>
    <d v="2021-09-16T00:00:00"/>
    <s v="NaT"/>
    <s v="FSK"/>
    <n v="4"/>
    <s v="I5"/>
    <x v="0"/>
    <s v="APH75_YSBM075CNO02"/>
    <s v="A5027728A$0018436_2128-YSBM075CNO02"/>
    <n v="2128"/>
    <s v="EA5027728A"/>
    <s v="na"/>
    <s v="na"/>
    <s v="na"/>
    <s v="D/B Defect"/>
    <s v="D/B Defect"/>
    <x v="2"/>
    <x v="0"/>
  </r>
  <r>
    <n v="195"/>
    <x v="34"/>
    <n v="2137"/>
    <s v="na"/>
    <d v="2021-09-16T00:00:00"/>
    <s v="NaT"/>
    <s v="FSK"/>
    <n v="2"/>
    <s v="NVM"/>
    <x v="17"/>
    <s v="AX75_YDBM075CCS02_2S"/>
    <s v="A5027719A$0010232_2126-YDBM075CCS02"/>
    <n v="2126"/>
    <s v="EA5027719A"/>
    <s v="na"/>
    <s v="na"/>
    <s v="na"/>
    <s v="No display"/>
    <s v="No display"/>
    <x v="9"/>
    <x v="0"/>
  </r>
  <r>
    <n v="1"/>
    <x v="35"/>
    <n v="2009"/>
    <s v="na"/>
    <d v="2020-02-26T00:00:00"/>
    <d v="2020-02-26T00:00:00"/>
    <s v="INZ"/>
    <s v="IQC"/>
    <s v="na"/>
    <x v="8"/>
    <s v="YDAS055DNU02"/>
    <s v="A5013700A$0003057_2003"/>
    <n v="2003"/>
    <s v="A-5013-700-A"/>
    <s v="SSV"/>
    <s v="na"/>
    <s v="na"/>
    <s v="TAPE etc"/>
    <s v="TAPE etc"/>
    <x v="11"/>
    <x v="2"/>
  </r>
  <r>
    <n v="2"/>
    <x v="35"/>
    <n v="2009"/>
    <s v="na"/>
    <d v="2020-02-28T00:00:00"/>
    <d v="2020-02-28T00:00:00"/>
    <s v="INZ"/>
    <s v="IQC"/>
    <s v="na"/>
    <x v="11"/>
    <s v="YDAS065DNU02"/>
    <s v="A5013677A$0003118_2003"/>
    <n v="2003"/>
    <s v="A-5013-677-A"/>
    <s v="SSV"/>
    <s v="na"/>
    <s v="na"/>
    <s v="Bezel NG"/>
    <s v="Bezel NG"/>
    <x v="8"/>
    <x v="2"/>
  </r>
  <r>
    <n v="3"/>
    <x v="35"/>
    <n v="2009"/>
    <s v="na"/>
    <d v="2020-02-28T00:00:00"/>
    <d v="2020-02-28T00:00:00"/>
    <s v="INZ"/>
    <s v="IQC"/>
    <s v="na"/>
    <x v="11"/>
    <s v="YDAS065DNU02"/>
    <s v="A5013677A$0003151_2003"/>
    <n v="2003"/>
    <s v="A-5013-677-A"/>
    <s v="SSV"/>
    <s v="na"/>
    <s v="na"/>
    <s v="Bezel Scratch"/>
    <s v="Bezel Scratch"/>
    <x v="8"/>
    <x v="2"/>
  </r>
  <r>
    <n v="4"/>
    <x v="36"/>
    <n v="2015"/>
    <s v="na"/>
    <d v="2020-04-08T00:00:00"/>
    <d v="2020-04-08T00:00:00"/>
    <s v="INZ"/>
    <s v="IQC"/>
    <s v="na"/>
    <x v="11"/>
    <s v="YDAS065DNU02"/>
    <s v="A5013677A$0003164_2003"/>
    <n v="2003"/>
    <s v="A-5013-677-A"/>
    <s v="SSV"/>
    <s v="na"/>
    <s v="na"/>
    <s v="Chassis bent"/>
    <s v="Chassis bent"/>
    <x v="11"/>
    <x v="2"/>
  </r>
  <r>
    <n v="5"/>
    <x v="37"/>
    <n v="2019"/>
    <s v="na"/>
    <d v="2020-05-08T00:00:00"/>
    <d v="2020-05-08T00:00:00"/>
    <s v="INZ"/>
    <s v="R4"/>
    <s v="na"/>
    <x v="8"/>
    <s v="YDAS055DNU02"/>
    <s v="A5013700A$0003090_2003"/>
    <n v="2003"/>
    <s v="A-5013-700-A"/>
    <s v="SSV"/>
    <s v="na"/>
    <s v="na"/>
    <s v="T-CON A/D"/>
    <s v="T-CON A/D"/>
    <x v="9"/>
    <x v="2"/>
  </r>
  <r>
    <n v="6"/>
    <x v="38"/>
    <n v="2023"/>
    <s v="na"/>
    <d v="2020-06-01T00:00:00"/>
    <d v="2020-06-01T00:00:00"/>
    <s v="INZ"/>
    <s v="R4"/>
    <s v="na"/>
    <x v="8"/>
    <s v="YDAS055DNU02"/>
    <s v="A5013700A$0003004_2003"/>
    <n v="2003"/>
    <s v="A-5013-700-A"/>
    <s v="SSV"/>
    <s v="na"/>
    <s v="na"/>
    <s v="LED fail"/>
    <s v="LED fail"/>
    <x v="3"/>
    <x v="2"/>
  </r>
  <r>
    <n v="7"/>
    <x v="39"/>
    <n v="2033"/>
    <s v="na"/>
    <d v="2020-08-13T00:00:00"/>
    <d v="2020-08-17T00:00:00"/>
    <s v="INZ"/>
    <s v="R4"/>
    <s v="na"/>
    <x v="11"/>
    <s v="YDAS065DNU02"/>
    <s v="A5013677A$0015565_2027"/>
    <n v="2027"/>
    <s v="A-5013-677-A"/>
    <s v="SSV"/>
    <s v="na"/>
    <s v="na"/>
    <s v="O-Cell A/D"/>
    <s v="O-Cell A/D"/>
    <x v="1"/>
    <x v="2"/>
  </r>
  <r>
    <n v="8"/>
    <x v="40"/>
    <n v="2040"/>
    <s v="na"/>
    <d v="2020-09-30T00:00:00"/>
    <d v="2020-09-30T00:00:00"/>
    <s v="INZ"/>
    <s v="R4"/>
    <s v="na"/>
    <x v="8"/>
    <s v="YDAS055DNU02"/>
    <s v="A5013700A$0034805_2034"/>
    <n v="2034"/>
    <s v="A-5013-700-A"/>
    <s v="SSV"/>
    <s v="na"/>
    <s v="na"/>
    <s v="B/L light leakage"/>
    <s v="Chassis Gap"/>
    <x v="11"/>
    <x v="2"/>
  </r>
  <r>
    <n v="9"/>
    <x v="41"/>
    <n v="2049"/>
    <s v="na"/>
    <d v="2020-12-02T00:00:00"/>
    <d v="2020-12-02T00:00:00"/>
    <s v="INZ"/>
    <s v="R4"/>
    <s v="na"/>
    <x v="8"/>
    <s v="YDAS055DNU02"/>
    <s v="A5013700A$0048432_2043"/>
    <n v="2043"/>
    <s v="A-5013-700-A"/>
    <s v="SSV"/>
    <s v="na"/>
    <s v="na"/>
    <s v="Color fail"/>
    <s v="Color fail"/>
    <x v="9"/>
    <x v="2"/>
  </r>
  <r>
    <n v="10"/>
    <x v="42"/>
    <n v="2052"/>
    <s v="na"/>
    <d v="2020-12-23T00:00:00"/>
    <d v="2020-12-23T00:00:00"/>
    <s v="INZ"/>
    <s v="R4"/>
    <s v="na"/>
    <x v="8"/>
    <s v="YDAS055DNU02"/>
    <s v="A5013700A$0057503_2047"/>
    <n v="2047"/>
    <s v="A-5013-700-A"/>
    <s v="SSV"/>
    <s v="na"/>
    <s v="na"/>
    <s v="Color fail"/>
    <s v="Color fail"/>
    <x v="9"/>
    <x v="2"/>
  </r>
  <r>
    <n v="11"/>
    <x v="12"/>
    <n v="2102"/>
    <s v="na"/>
    <d v="2021-01-13T00:00:00"/>
    <d v="2021-01-13T00:00:00"/>
    <s v="INZ"/>
    <s v="R4"/>
    <s v="na"/>
    <x v="11"/>
    <s v="YDAS065DNU02"/>
    <s v="A5013677A$0056273_2047"/>
    <n v="2047"/>
    <s v="A-5013-677-A"/>
    <s v="SSV"/>
    <s v="na"/>
    <s v="na"/>
    <s v="LED fail"/>
    <s v="LED fail"/>
    <x v="3"/>
    <x v="2"/>
  </r>
  <r>
    <n v="12"/>
    <x v="16"/>
    <n v="2105"/>
    <s v="na"/>
    <d v="2021-02-05T00:00:00"/>
    <d v="2021-02-08T00:00:00"/>
    <s v="INZ"/>
    <s v="R4"/>
    <s v="na"/>
    <x v="8"/>
    <s v="YDAS055DNU02(1)"/>
    <s v="A5013700B$0008767_2052"/>
    <n v="2052"/>
    <s v="A-5013-700-B"/>
    <s v="SSV"/>
    <s v="na"/>
    <s v="na"/>
    <s v="T-CON A/D"/>
    <s v="T-CON A/D"/>
    <x v="9"/>
    <x v="2"/>
  </r>
  <r>
    <n v="1"/>
    <x v="4"/>
    <n v="2129"/>
    <s v="na"/>
    <d v="2021-07-19T00:00:00"/>
    <d v="2021-07-19T00:00:00"/>
    <s v="INZ"/>
    <s v="Line"/>
    <s v="na"/>
    <x v="18"/>
    <s v="YDBO085DAU02"/>
    <s v="A5039507A$0003007_2124"/>
    <n v="2124"/>
    <s v="A-5039-507-A"/>
    <s v="SSVE"/>
    <s v="na"/>
    <s v="na"/>
    <s v="LED fail"/>
    <s v="LED fail"/>
    <x v="3"/>
    <x v="0"/>
  </r>
  <r>
    <n v="1"/>
    <x v="2"/>
    <n v="2123"/>
    <s v="na"/>
    <d v="2021-06-10T00:00:00"/>
    <d v="2021-06-10T00:00:00"/>
    <s v="INZ"/>
    <s v="IQC"/>
    <s v="na"/>
    <x v="3"/>
    <s v="HDBO075DDU02"/>
    <s v="A5028174A$0000391_2111"/>
    <n v="2111"/>
    <s v="A-5028-174-A"/>
    <s v="SSVE"/>
    <s v="na"/>
    <s v="na"/>
    <s v="Others "/>
    <s v="na"/>
    <x v="4"/>
    <x v="0"/>
  </r>
  <r>
    <n v="2"/>
    <x v="8"/>
    <n v="2126"/>
    <s v="na"/>
    <d v="2021-06-29T00:00:00"/>
    <d v="2021-06-29T00:00:00"/>
    <s v="INZ"/>
    <s v="R7"/>
    <s v="na"/>
    <x v="4"/>
    <s v="HDBO085DDU02"/>
    <s v="A5028495A$0000477_2123"/>
    <n v="2123"/>
    <s v="A-5028-495-A"/>
    <s v="SSVE"/>
    <s v="na"/>
    <s v="na"/>
    <s v="D/D short"/>
    <s v="D/D short"/>
    <x v="2"/>
    <x v="0"/>
  </r>
  <r>
    <n v="3"/>
    <x v="6"/>
    <n v="2126"/>
    <s v="na"/>
    <d v="2021-06-28T00:00:00"/>
    <d v="2021-08-17T00:00:00"/>
    <s v="INZ"/>
    <s v="QA"/>
    <s v="na"/>
    <x v="4"/>
    <s v="HDBO085DDU02"/>
    <s v="A5028495A$0000064_2120"/>
    <n v="2120"/>
    <s v="A-5028-495-A"/>
    <s v="SSVE"/>
    <s v="na"/>
    <s v="na"/>
    <s v="Others "/>
    <s v="na"/>
    <x v="4"/>
    <x v="0"/>
  </r>
  <r>
    <n v="4"/>
    <x v="6"/>
    <n v="2133"/>
    <s v="na"/>
    <d v="2021-08-17T00:00:00"/>
    <d v="2021-08-17T00:00:00"/>
    <s v="INZ"/>
    <s v="R7"/>
    <s v="na"/>
    <x v="4"/>
    <s v="HDBO085DDU02"/>
    <s v="A5028177A$0000187_2109"/>
    <n v="2109"/>
    <s v="A-5028-177-A"/>
    <s v="SSVE"/>
    <s v="na"/>
    <s v="na"/>
    <s v="Others "/>
    <s v="na"/>
    <x v="4"/>
    <x v="0"/>
  </r>
  <r>
    <n v="5"/>
    <x v="6"/>
    <n v="2133"/>
    <s v="na"/>
    <d v="2021-08-17T00:00:00"/>
    <d v="2021-08-17T00:00:00"/>
    <s v="INZ"/>
    <s v="R7"/>
    <s v="na"/>
    <x v="4"/>
    <s v="HDBO085DDU02"/>
    <s v="A5028177A$0000188_2109"/>
    <n v="2109"/>
    <s v="A-5028-177-A"/>
    <s v="SSVE"/>
    <s v="na"/>
    <s v="na"/>
    <s v="Others "/>
    <s v="na"/>
    <x v="4"/>
    <x v="0"/>
  </r>
  <r>
    <n v="6"/>
    <x v="6"/>
    <n v="2133"/>
    <s v="na"/>
    <d v="2021-08-17T00:00:00"/>
    <d v="2021-08-17T00:00:00"/>
    <s v="INZ"/>
    <s v="R7"/>
    <s v="na"/>
    <x v="4"/>
    <s v="HDBO085DDU02"/>
    <s v="A5028177A$0000189_2109"/>
    <n v="2109"/>
    <s v="A-5028-177-A"/>
    <s v="SSVE"/>
    <s v="na"/>
    <s v="na"/>
    <s v="Others "/>
    <s v="na"/>
    <x v="4"/>
    <x v="0"/>
  </r>
  <r>
    <n v="7"/>
    <x v="6"/>
    <n v="2133"/>
    <s v="na"/>
    <d v="2021-08-17T00:00:00"/>
    <d v="2021-08-17T00:00:00"/>
    <s v="INZ"/>
    <s v="R7"/>
    <s v="na"/>
    <x v="4"/>
    <s v="HDBO085DDU02"/>
    <s v="A5028177A$0000190_2109"/>
    <n v="2109"/>
    <s v="A-5028-177-A"/>
    <s v="SSVE"/>
    <s v="na"/>
    <s v="na"/>
    <s v="Others "/>
    <s v="na"/>
    <x v="4"/>
    <x v="0"/>
  </r>
  <r>
    <n v="8"/>
    <x v="6"/>
    <n v="2133"/>
    <s v="na"/>
    <d v="2021-08-17T00:00:00"/>
    <d v="2021-08-17T00:00:00"/>
    <s v="INZ"/>
    <s v="R7"/>
    <s v="na"/>
    <x v="4"/>
    <s v="HDBO085DDU02"/>
    <s v="A5028177A$0000191_2109"/>
    <n v="2109"/>
    <s v="A-5028-177-A"/>
    <s v="SSVE"/>
    <s v="na"/>
    <s v="na"/>
    <s v="Others "/>
    <s v="na"/>
    <x v="4"/>
    <x v="0"/>
  </r>
  <r>
    <n v="9"/>
    <x v="6"/>
    <n v="2133"/>
    <s v="na"/>
    <d v="2021-08-17T00:00:00"/>
    <d v="2021-08-17T00:00:00"/>
    <s v="INZ"/>
    <s v="R7"/>
    <s v="na"/>
    <x v="4"/>
    <s v="HDBO085DDU02"/>
    <s v="A5028177A$0000192_2109"/>
    <n v="2109"/>
    <s v="A-5028-177-A"/>
    <s v="SSVE"/>
    <s v="na"/>
    <s v="na"/>
    <s v="Others "/>
    <s v="na"/>
    <x v="4"/>
    <x v="0"/>
  </r>
  <r>
    <n v="10"/>
    <x v="6"/>
    <n v="2133"/>
    <s v="na"/>
    <d v="2021-08-17T00:00:00"/>
    <d v="2021-08-17T00:00:00"/>
    <s v="INZ"/>
    <s v="R7"/>
    <s v="na"/>
    <x v="4"/>
    <s v="HDBO085DDU02"/>
    <s v="A5028177A$0000193_2109"/>
    <n v="2109"/>
    <s v="A-5028-177-A"/>
    <s v="SSVE"/>
    <s v="na"/>
    <s v="na"/>
    <s v="Others "/>
    <s v="na"/>
    <x v="4"/>
    <x v="0"/>
  </r>
  <r>
    <n v="11"/>
    <x v="6"/>
    <n v="2133"/>
    <s v="na"/>
    <d v="2021-08-17T00:00:00"/>
    <d v="2021-08-17T00:00:00"/>
    <s v="INZ"/>
    <s v="R7"/>
    <s v="na"/>
    <x v="4"/>
    <s v="HDBO085DDU02"/>
    <s v="A5028177A$0000194_2109"/>
    <n v="2109"/>
    <s v="A-5028-177-A"/>
    <s v="SSVE"/>
    <s v="na"/>
    <s v="na"/>
    <s v="Others "/>
    <s v="na"/>
    <x v="4"/>
    <x v="0"/>
  </r>
  <r>
    <n v="12"/>
    <x v="6"/>
    <n v="2133"/>
    <s v="na"/>
    <d v="2021-08-17T00:00:00"/>
    <d v="2021-08-17T00:00:00"/>
    <s v="INZ"/>
    <s v="R7"/>
    <s v="na"/>
    <x v="4"/>
    <s v="HDBO085DDU02"/>
    <s v="A5028177A$0000195_2109"/>
    <n v="2109"/>
    <s v="A-5028-177-A"/>
    <s v="SSVE"/>
    <s v="na"/>
    <s v="na"/>
    <s v="Others "/>
    <s v="na"/>
    <x v="4"/>
    <x v="0"/>
  </r>
  <r>
    <n v="13"/>
    <x v="6"/>
    <n v="2133"/>
    <s v="na"/>
    <d v="2021-08-17T00:00:00"/>
    <d v="2021-08-17T00:00:00"/>
    <s v="INZ"/>
    <s v="R7"/>
    <s v="na"/>
    <x v="4"/>
    <s v="HDBO085DDU02"/>
    <s v="A5028177A$0000196_2109"/>
    <n v="2109"/>
    <s v="A-5028-177-A"/>
    <s v="SSVE"/>
    <s v="na"/>
    <s v="na"/>
    <s v="Others "/>
    <s v="na"/>
    <x v="4"/>
    <x v="0"/>
  </r>
  <r>
    <n v="14"/>
    <x v="6"/>
    <n v="2133"/>
    <s v="na"/>
    <d v="2021-08-20T00:00:00"/>
    <d v="2021-08-20T00:00:00"/>
    <s v="INZ"/>
    <s v="R7"/>
    <s v="na"/>
    <x v="3"/>
    <s v="HDBO075DDU02"/>
    <s v="A5028174A$0000362_2111"/>
    <n v="2111"/>
    <s v="A-5028-174-A"/>
    <s v="SSVE"/>
    <s v="na"/>
    <s v="na"/>
    <s v="Others "/>
    <s v="na"/>
    <x v="4"/>
    <x v="0"/>
  </r>
  <r>
    <n v="15"/>
    <x v="6"/>
    <n v="2133"/>
    <s v="na"/>
    <d v="2021-08-20T00:00:00"/>
    <d v="2021-08-20T00:00:00"/>
    <s v="INZ"/>
    <s v="R7"/>
    <s v="na"/>
    <x v="3"/>
    <s v="HDBO075DDU02"/>
    <s v="A5028174A$0000363_2111"/>
    <n v="2111"/>
    <s v="A-5028-174-A"/>
    <s v="SSVE"/>
    <s v="na"/>
    <s v="na"/>
    <s v="Others "/>
    <s v="na"/>
    <x v="4"/>
    <x v="0"/>
  </r>
  <r>
    <n v="16"/>
    <x v="6"/>
    <n v="2133"/>
    <s v="na"/>
    <d v="2021-08-20T00:00:00"/>
    <d v="2021-08-20T00:00:00"/>
    <s v="INZ"/>
    <s v="R7"/>
    <s v="na"/>
    <x v="3"/>
    <s v="HDBO075DDU02"/>
    <s v="A5028174A$0000364_2111"/>
    <n v="2111"/>
    <s v="A-5028-174-A"/>
    <s v="SSVE"/>
    <s v="na"/>
    <s v="na"/>
    <s v="Others "/>
    <s v="na"/>
    <x v="4"/>
    <x v="0"/>
  </r>
  <r>
    <n v="17"/>
    <x v="6"/>
    <n v="2133"/>
    <s v="na"/>
    <d v="2021-08-20T00:00:00"/>
    <d v="2021-08-20T00:00:00"/>
    <s v="INZ"/>
    <s v="R7"/>
    <s v="na"/>
    <x v="3"/>
    <s v="HDBO075DDU02"/>
    <s v="A5028174A$0000365_2111"/>
    <n v="2111"/>
    <s v="A-5028-174-A"/>
    <s v="SSVE"/>
    <s v="na"/>
    <s v="na"/>
    <s v="Others "/>
    <s v="na"/>
    <x v="4"/>
    <x v="0"/>
  </r>
  <r>
    <n v="18"/>
    <x v="6"/>
    <n v="2133"/>
    <s v="na"/>
    <d v="2021-08-20T00:00:00"/>
    <d v="2021-08-20T00:00:00"/>
    <s v="INZ"/>
    <s v="R7"/>
    <s v="na"/>
    <x v="3"/>
    <s v="HDBO075DDU02"/>
    <s v="A5028174A$0000366_2111"/>
    <n v="2111"/>
    <s v="A-5028-174-A"/>
    <s v="SSVE"/>
    <s v="na"/>
    <s v="na"/>
    <s v="Others "/>
    <s v="na"/>
    <x v="4"/>
    <x v="0"/>
  </r>
  <r>
    <n v="19"/>
    <x v="31"/>
    <n v="2133"/>
    <s v="na"/>
    <d v="2021-08-19T00:00:00"/>
    <d v="2021-08-23T00:00:00"/>
    <s v="INZ"/>
    <s v="QA"/>
    <s v="na"/>
    <x v="4"/>
    <s v="HDBO085DDU02"/>
    <s v="A5028495A$0000567_2123"/>
    <n v="2123"/>
    <s v="A-5028-495-A"/>
    <s v="SSVE"/>
    <s v="na"/>
    <s v="na"/>
    <s v="na"/>
    <s v="na"/>
    <x v="4"/>
    <x v="0"/>
  </r>
  <r>
    <n v="1"/>
    <x v="29"/>
    <n v="2125"/>
    <s v="na"/>
    <d v="2021-06-23T00:00:00"/>
    <d v="2021-06-23T00:00:00"/>
    <s v="INZ"/>
    <s v="IQC"/>
    <s v="na"/>
    <x v="5"/>
    <s v="YDBO075DAS02"/>
    <s v="A5039502A$0003081_2123"/>
    <n v="2123"/>
    <s v="A-5039-502-A"/>
    <s v="SSVE"/>
    <s v="na"/>
    <s v="na"/>
    <s v="na"/>
    <s v="na"/>
    <x v="4"/>
    <x v="0"/>
  </r>
  <r>
    <n v="2"/>
    <x v="29"/>
    <n v="2125"/>
    <s v="na"/>
    <d v="2021-06-23T00:00:00"/>
    <d v="2021-06-23T00:00:00"/>
    <s v="INZ"/>
    <s v="IQC"/>
    <s v="na"/>
    <x v="5"/>
    <s v="YDBO075DAS02"/>
    <s v="A5039502A$0003091_2123"/>
    <n v="2123"/>
    <s v="A-5039-502-A"/>
    <s v="SSVE"/>
    <s v="na"/>
    <s v="na"/>
    <s v="na"/>
    <s v="na"/>
    <x v="4"/>
    <x v="0"/>
  </r>
  <r>
    <n v="3"/>
    <x v="32"/>
    <n v="2135"/>
    <s v="na"/>
    <d v="2021-09-02T00:00:00"/>
    <d v="2021-09-02T00:00:00"/>
    <s v="INZ"/>
    <s v="Line"/>
    <s v="na"/>
    <x v="5"/>
    <s v="YDBO075DAS02"/>
    <s v="A5039502A$0004858_2124"/>
    <n v="2124"/>
    <s v="A-5039-502-A"/>
    <s v="SSVE"/>
    <s v="na"/>
    <s v="na"/>
    <s v="RAF tengo"/>
    <s v="RAF tengo"/>
    <x v="7"/>
    <x v="0"/>
  </r>
  <r>
    <n v="1"/>
    <x v="9"/>
    <n v="2116"/>
    <s v="na"/>
    <d v="2021-04-22T00:00:00"/>
    <d v="2021-04-22T00:00:00"/>
    <s v="INZ"/>
    <s v="IQC"/>
    <s v="na"/>
    <x v="2"/>
    <s v="YDBM075DCS02"/>
    <s v="A5027707A$0000670_2113"/>
    <n v="2113"/>
    <s v="A-5027-707-A"/>
    <s v="SSVE"/>
    <s v="na"/>
    <s v="na"/>
    <s v="Panel light leak"/>
    <s v="Panel light leak"/>
    <x v="6"/>
    <x v="0"/>
  </r>
  <r>
    <n v="2"/>
    <x v="29"/>
    <n v="2125"/>
    <s v="na"/>
    <d v="2021-06-22T00:00:00"/>
    <d v="2021-06-22T00:00:00"/>
    <s v="INZ"/>
    <s v="SBI"/>
    <s v="na"/>
    <x v="2"/>
    <s v="YDBM075DCS02"/>
    <s v="A5027707A$0005533_2119"/>
    <n v="2119"/>
    <s v="A-5027-707-A"/>
    <s v="SSVE"/>
    <s v="na"/>
    <s v="na"/>
    <s v="na"/>
    <s v="na"/>
    <x v="4"/>
    <x v="0"/>
  </r>
  <r>
    <n v="3"/>
    <x v="29"/>
    <n v="2125"/>
    <s v="na"/>
    <d v="2021-06-22T00:00:00"/>
    <d v="2021-06-22T00:00:00"/>
    <s v="INZ"/>
    <s v="SBI"/>
    <s v="na"/>
    <x v="2"/>
    <s v="YDBM075DCS02"/>
    <s v="A5027707A$0005822_2119"/>
    <n v="2119"/>
    <s v="A-5027-707-A"/>
    <s v="SSVE"/>
    <s v="na"/>
    <s v="na"/>
    <s v="na"/>
    <s v="na"/>
    <x v="4"/>
    <x v="0"/>
  </r>
  <r>
    <n v="4"/>
    <x v="8"/>
    <n v="2126"/>
    <s v="na"/>
    <d v="2021-06-29T00:00:00"/>
    <d v="2021-06-29T00:00:00"/>
    <s v="INZ"/>
    <s v="SBI"/>
    <s v="na"/>
    <x v="2"/>
    <s v="YDBM075DCS02"/>
    <s v="A5027707A$0005825_2119"/>
    <n v="2119"/>
    <s v="A-5027-707-A"/>
    <s v="SSVE"/>
    <s v="na"/>
    <s v="na"/>
    <s v="na"/>
    <s v="na"/>
    <x v="4"/>
    <x v="0"/>
  </r>
  <r>
    <n v="5"/>
    <x v="8"/>
    <n v="2126"/>
    <s v="na"/>
    <d v="2021-06-29T00:00:00"/>
    <d v="2021-06-29T00:00:00"/>
    <s v="INZ"/>
    <s v="SBI"/>
    <s v="na"/>
    <x v="2"/>
    <s v="YDBM075DCS02"/>
    <s v="A5027707A$0006231_2119"/>
    <n v="2119"/>
    <s v="A-5027-707-A"/>
    <s v="SSVE"/>
    <s v="na"/>
    <s v="na"/>
    <s v="na"/>
    <s v="na"/>
    <x v="4"/>
    <x v="0"/>
  </r>
  <r>
    <n v="6"/>
    <x v="8"/>
    <n v="2126"/>
    <s v="na"/>
    <d v="2021-06-29T00:00:00"/>
    <d v="2021-06-29T00:00:00"/>
    <s v="INZ"/>
    <s v="SBI"/>
    <s v="na"/>
    <x v="2"/>
    <s v="YDBM075DCS02"/>
    <s v="A5027707A$0006235_2119"/>
    <n v="2119"/>
    <s v="A-5027-707-A"/>
    <s v="SSVE"/>
    <s v="na"/>
    <s v="na"/>
    <s v="na"/>
    <s v="na"/>
    <x v="4"/>
    <x v="0"/>
  </r>
  <r>
    <n v="7"/>
    <x v="4"/>
    <n v="2129"/>
    <s v="na"/>
    <d v="2021-07-19T00:00:00"/>
    <d v="2021-07-19T00:00:00"/>
    <s v="INZ"/>
    <s v="Line"/>
    <s v="na"/>
    <x v="2"/>
    <s v="YDBM075DCS02"/>
    <s v="A5027707A$0010309_2124"/>
    <n v="2124"/>
    <s v="A-5027-707-A"/>
    <s v="SSVE"/>
    <s v="na"/>
    <s v="na"/>
    <s v="D/D short"/>
    <s v="D/D short"/>
    <x v="2"/>
    <x v="0"/>
  </r>
  <r>
    <n v="8"/>
    <x v="5"/>
    <n v="2130"/>
    <s v="na"/>
    <d v="2021-07-29T00:00:00"/>
    <d v="2021-07-29T00:00:00"/>
    <s v="INZ"/>
    <s v="Line"/>
    <s v="na"/>
    <x v="2"/>
    <s v="YDBM075DCS02"/>
    <s v="A5027707A$0013829_2127"/>
    <n v="2127"/>
    <s v="A-5027-707-A"/>
    <s v="SSVE"/>
    <s v="na"/>
    <s v="na"/>
    <s v="Noise"/>
    <s v="Noise"/>
    <x v="9"/>
    <x v="0"/>
  </r>
  <r>
    <n v="9"/>
    <x v="31"/>
    <n v="2134"/>
    <s v="na"/>
    <d v="2021-08-26T00:00:00"/>
    <d v="2021-08-26T00:00:00"/>
    <s v="INZ"/>
    <s v="Line"/>
    <s v="na"/>
    <x v="2"/>
    <s v="YDBM075DCS02"/>
    <s v="A5027707C$0000426_2128"/>
    <n v="2128"/>
    <s v="A-5027-707-C"/>
    <s v="SSVE"/>
    <s v="na"/>
    <s v="na"/>
    <s v="D/L defect"/>
    <s v="D/L defect"/>
    <x v="2"/>
    <x v="0"/>
  </r>
  <r>
    <n v="10"/>
    <x v="31"/>
    <n v="2134"/>
    <s v="na"/>
    <d v="2021-08-26T00:00:00"/>
    <d v="2021-08-26T00:00:00"/>
    <s v="INZ"/>
    <s v="Line"/>
    <s v="na"/>
    <x v="2"/>
    <s v="YDBM075DCS02"/>
    <s v="A5027707C$0000392_2128"/>
    <n v="2128"/>
    <s v="A-5027-707-C"/>
    <s v="SSVE"/>
    <s v="na"/>
    <s v="na"/>
    <s v="D/L defect"/>
    <s v="D/L defect"/>
    <x v="2"/>
    <x v="0"/>
  </r>
  <r>
    <n v="11"/>
    <x v="31"/>
    <n v="2134"/>
    <s v="na"/>
    <d v="2021-08-26T00:00:00"/>
    <d v="2021-08-26T00:00:00"/>
    <s v="INZ"/>
    <s v="Line"/>
    <s v="na"/>
    <x v="2"/>
    <s v="YDBM075DCS02"/>
    <s v="A5027707C$0000289_2128"/>
    <n v="2128"/>
    <s v="A-5027-707-C"/>
    <s v="SSVE"/>
    <s v="na"/>
    <s v="na"/>
    <s v="D/L defect"/>
    <s v="D/L defect"/>
    <x v="2"/>
    <x v="0"/>
  </r>
  <r>
    <n v="1"/>
    <x v="35"/>
    <n v="2009"/>
    <s v="TV"/>
    <d v="2020-02-27T00:00:00"/>
    <d v="2020-02-27T00:00:00"/>
    <s v="SOEM"/>
    <s v="Line"/>
    <s v="TV"/>
    <x v="8"/>
    <s v="YDAS065DNU02"/>
    <s v="A5013700A$0002379_2003-YDAS055DNU02"/>
    <n v="2003"/>
    <s v="A5013677*"/>
    <s v="SSV"/>
    <s v="na"/>
    <s v="na"/>
    <s v="Aluminium Frame Dent"/>
    <s v="Aluminium Frame Dent"/>
    <x v="13"/>
    <x v="2"/>
  </r>
  <r>
    <n v="2"/>
    <x v="35"/>
    <n v="2009"/>
    <s v="TV"/>
    <d v="2020-02-27T00:00:00"/>
    <d v="2020-02-27T00:00:00"/>
    <s v="SOEM"/>
    <s v="Line"/>
    <s v="TV"/>
    <x v="11"/>
    <s v="YDAS055DNU02"/>
    <s v="A5013677A$0003047_2003-YDAS065DNU02"/>
    <n v="2003"/>
    <s v="A5013700*"/>
    <s v="SSV"/>
    <s v="na"/>
    <s v="na"/>
    <s v="Aluminium Frame etc"/>
    <s v="Aluminium Frame etc"/>
    <x v="13"/>
    <x v="2"/>
  </r>
  <r>
    <n v="3"/>
    <x v="43"/>
    <n v="2021"/>
    <s v="TV"/>
    <d v="2020-05-20T00:00:00"/>
    <d v="2020-05-20T00:00:00"/>
    <s v="SOEM"/>
    <s v="Line"/>
    <s v="TV"/>
    <x v="8"/>
    <s v="YDAS055DNU02"/>
    <s v="A5013700A$0004031_2008-YDAS055DNU02"/>
    <n v="2008"/>
    <s v="A5013700*"/>
    <s v="SSV"/>
    <s v="na"/>
    <s v="na"/>
    <s v="B/L particle"/>
    <s v="B/L particle"/>
    <x v="5"/>
    <x v="2"/>
  </r>
  <r>
    <n v="4"/>
    <x v="43"/>
    <n v="2021"/>
    <s v="TV"/>
    <d v="2020-05-20T00:00:00"/>
    <d v="2020-05-20T00:00:00"/>
    <s v="SOEM"/>
    <s v="Line"/>
    <s v="TV"/>
    <x v="11"/>
    <s v="YDAS065DNU02"/>
    <s v="A5013677A$0003757_2009-YDAS065DNU02"/>
    <n v="2009"/>
    <s v="A5013677*"/>
    <s v="SSV"/>
    <s v="na"/>
    <s v="na"/>
    <s v="B/L particle"/>
    <s v="B/L particle"/>
    <x v="5"/>
    <x v="2"/>
  </r>
  <r>
    <n v="5"/>
    <x v="43"/>
    <n v="2021"/>
    <s v="TV"/>
    <d v="2020-05-21T00:00:00"/>
    <d v="2020-05-21T00:00:00"/>
    <s v="SOEM"/>
    <s v="Line"/>
    <s v="TV"/>
    <x v="11"/>
    <s v="YDAS065DNU02"/>
    <s v="A5013677A$0002601_2003-YDAS065DNU02"/>
    <n v="2003"/>
    <s v="A5013677*"/>
    <s v="SSV"/>
    <s v="na"/>
    <s v="na"/>
    <s v="B/L particle"/>
    <s v="B/L particle"/>
    <x v="5"/>
    <x v="2"/>
  </r>
  <r>
    <n v="6"/>
    <x v="43"/>
    <n v="2021"/>
    <s v="TV"/>
    <d v="2020-05-21T00:00:00"/>
    <d v="2020-05-21T00:00:00"/>
    <s v="SOEM"/>
    <s v="Line"/>
    <s v="TV"/>
    <x v="11"/>
    <s v="YDAS065DNU02"/>
    <s v="A5013677A$0003823_2009-YDAS065DNU02"/>
    <n v="2009"/>
    <s v="A5013677*"/>
    <s v="SSV"/>
    <s v="na"/>
    <s v="na"/>
    <s v="B/L particle"/>
    <s v="B/L particle"/>
    <x v="5"/>
    <x v="2"/>
  </r>
  <r>
    <n v="7"/>
    <x v="44"/>
    <n v="2024"/>
    <s v="TV"/>
    <d v="2020-06-10T00:00:00"/>
    <d v="2020-06-10T00:00:00"/>
    <s v="SOEM"/>
    <s v="Line"/>
    <s v="TV"/>
    <x v="8"/>
    <s v="YDAS055DNU02"/>
    <s v="A5013700A$0004788_2010-YDAS055DNU02"/>
    <n v="2010"/>
    <s v="A5013700*"/>
    <s v="SSV"/>
    <s v="na"/>
    <s v="na"/>
    <s v="B/L particle"/>
    <s v="B/L particle"/>
    <x v="5"/>
    <x v="2"/>
  </r>
  <r>
    <n v="9"/>
    <x v="44"/>
    <n v="2024"/>
    <s v="TV"/>
    <d v="2020-06-11T00:00:00"/>
    <d v="2020-06-11T00:00:00"/>
    <s v="SOEM"/>
    <s v="Line"/>
    <s v="TV"/>
    <x v="8"/>
    <s v="YDAS055DNU02"/>
    <s v="A5013700A$0007358_2011-YDAS055DNU02"/>
    <n v="2011"/>
    <s v="A5013700*"/>
    <s v="SSV"/>
    <s v="na"/>
    <s v="na"/>
    <s v="B/L particle"/>
    <s v="B/L particle"/>
    <x v="5"/>
    <x v="2"/>
  </r>
  <r>
    <n v="10"/>
    <x v="44"/>
    <n v="2024"/>
    <s v="TV"/>
    <d v="2020-06-12T00:00:00"/>
    <d v="2020-06-12T00:00:00"/>
    <s v="SOEM"/>
    <s v="Line"/>
    <s v="TV"/>
    <x v="11"/>
    <s v="YDAS065DNU02"/>
    <s v="A5013677A$0004972_2011-YDAS065DNU02"/>
    <n v="2011"/>
    <s v="A5013677*"/>
    <s v="SSV"/>
    <s v="na"/>
    <s v="na"/>
    <s v="B/L particle"/>
    <s v="B/L particle"/>
    <x v="5"/>
    <x v="2"/>
  </r>
  <r>
    <n v="8"/>
    <x v="44"/>
    <n v="2024"/>
    <s v="TV"/>
    <d v="2020-06-10T00:00:00"/>
    <d v="2020-06-10T00:00:00"/>
    <s v="SOEM"/>
    <s v="Line"/>
    <s v="TV"/>
    <x v="8"/>
    <s v="YDAS055DNU02"/>
    <s v="A5013700A$0008698_2013-YDAS055DNU02"/>
    <n v="2013"/>
    <s v="A5013700*"/>
    <s v="SSV"/>
    <s v="na"/>
    <s v="na"/>
    <s v="D/L open"/>
    <s v="D/L open"/>
    <x v="2"/>
    <x v="2"/>
  </r>
  <r>
    <n v="11"/>
    <x v="45"/>
    <n v="2025"/>
    <s v="TV"/>
    <d v="2020-06-15T00:00:00"/>
    <d v="2020-06-15T00:00:00"/>
    <s v="SOEM"/>
    <s v="Line"/>
    <s v="TV"/>
    <x v="8"/>
    <s v="YDAS055DNU02"/>
    <s v="A5013700A$0009268_2014-YDAS055DNU02"/>
    <n v="2014"/>
    <s v="A5013700*"/>
    <s v="SSV"/>
    <s v="na"/>
    <s v="na"/>
    <s v="Pol scratch "/>
    <s v="Pol scratch "/>
    <x v="7"/>
    <x v="2"/>
  </r>
  <r>
    <n v="12"/>
    <x v="45"/>
    <n v="2025"/>
    <s v="TV"/>
    <d v="2020-06-16T00:00:00"/>
    <d v="2020-06-16T00:00:00"/>
    <s v="SOEM"/>
    <s v="Line"/>
    <s v="TV"/>
    <x v="8"/>
    <s v="YDAS055DNU02"/>
    <s v="A5013700A$0008593_2013-YDAS055DNU02"/>
    <n v="2013"/>
    <s v="A5013700*"/>
    <s v="SSV"/>
    <s v="na"/>
    <s v="na"/>
    <s v="D/D short"/>
    <s v="D/D short"/>
    <x v="2"/>
    <x v="2"/>
  </r>
  <r>
    <n v="13"/>
    <x v="45"/>
    <n v="2025"/>
    <s v="TV"/>
    <d v="2020-06-19T00:00:00"/>
    <d v="2020-06-19T00:00:00"/>
    <s v="SOEM"/>
    <s v="Line"/>
    <s v="TV"/>
    <x v="11"/>
    <s v="YDAS065DNU02"/>
    <s v="A5013677A$0004738_2011-YDAS065DNU02"/>
    <n v="2011"/>
    <s v="A5013677*"/>
    <s v="SSV"/>
    <s v="na"/>
    <s v="na"/>
    <s v="LED fail"/>
    <s v="LED fail"/>
    <x v="3"/>
    <x v="2"/>
  </r>
  <r>
    <n v="14"/>
    <x v="46"/>
    <n v="2026"/>
    <s v="TV"/>
    <d v="2020-06-23T00:00:00"/>
    <d v="2020-06-23T00:00:00"/>
    <s v="SOEM"/>
    <s v="Line"/>
    <s v="TV"/>
    <x v="8"/>
    <s v="YDAS055DNU02"/>
    <s v="A5013700A$0008256_2013-YDAS055DNU02"/>
    <n v="2013"/>
    <s v="A5013700*"/>
    <s v="SSV"/>
    <s v="na"/>
    <s v="na"/>
    <s v="G/L defect"/>
    <s v="G/L defect"/>
    <x v="2"/>
    <x v="2"/>
  </r>
  <r>
    <n v="15"/>
    <x v="46"/>
    <n v="2026"/>
    <s v="TV"/>
    <d v="2020-06-25T00:00:00"/>
    <d v="2020-06-25T00:00:00"/>
    <s v="SOEM"/>
    <s v="Line"/>
    <s v="TV"/>
    <x v="11"/>
    <s v="YDAS065DNU02"/>
    <s v="A5013677A$0011559_2017-YDAS065DNU02"/>
    <n v="2017"/>
    <s v="A5013677*"/>
    <s v="SSV"/>
    <s v="na"/>
    <s v="na"/>
    <s v="B/L particle"/>
    <s v="B/L particle"/>
    <x v="5"/>
    <x v="2"/>
  </r>
  <r>
    <n v="16"/>
    <x v="46"/>
    <n v="2026"/>
    <s v="TV"/>
    <d v="2020-06-25T00:00:00"/>
    <d v="2020-06-25T00:00:00"/>
    <s v="SOEM"/>
    <s v="Line"/>
    <s v="TV"/>
    <x v="11"/>
    <s v="YDAS065DNU02"/>
    <s v="A5013677A$0012244_2017-YDAS065DNU02"/>
    <n v="2017"/>
    <s v="A5013677*"/>
    <s v="SSV"/>
    <s v="na"/>
    <s v="na"/>
    <s v="B/L particle"/>
    <s v="B/L particle"/>
    <x v="5"/>
    <x v="2"/>
  </r>
  <r>
    <n v="17"/>
    <x v="46"/>
    <n v="2026"/>
    <s v="TV"/>
    <d v="2020-06-25T00:00:00"/>
    <d v="2020-06-25T00:00:00"/>
    <s v="SOEM"/>
    <s v="Line"/>
    <s v="TV"/>
    <x v="11"/>
    <s v="YDAS065DNU02"/>
    <s v="A5013677A$0011813_2017-YDAS065DNU02"/>
    <n v="2017"/>
    <s v="A5013677*"/>
    <s v="SSV"/>
    <s v="na"/>
    <s v="na"/>
    <s v="A/D etc"/>
    <s v="O-Cell A/D"/>
    <x v="1"/>
    <x v="2"/>
  </r>
  <r>
    <n v="18"/>
    <x v="47"/>
    <n v="2028"/>
    <s v="TV"/>
    <d v="2020-07-08T00:00:00"/>
    <d v="2020-07-08T00:00:00"/>
    <s v="SOEM"/>
    <s v="Line"/>
    <s v="TV"/>
    <x v="8"/>
    <s v="YDAS055DNU02"/>
    <s v="A5013700A$0011255_2016-YDAS055DNU02"/>
    <n v="2016"/>
    <s v="A5013700*"/>
    <s v="SSV"/>
    <s v="na"/>
    <s v="na"/>
    <s v="Standby 5x"/>
    <s v="No display (T-con)"/>
    <x v="9"/>
    <x v="2"/>
  </r>
  <r>
    <n v="19"/>
    <x v="47"/>
    <n v="2028"/>
    <s v="TV"/>
    <d v="2020-07-09T00:00:00"/>
    <d v="2020-07-09T00:00:00"/>
    <s v="SOEM"/>
    <s v="Line"/>
    <s v="TV"/>
    <x v="8"/>
    <s v="YDAS055DNU02"/>
    <s v="A5013700A$0010843_2016-YDAS055DNU02"/>
    <n v="2016"/>
    <s v="A5013700*"/>
    <s v="SSV"/>
    <s v="na"/>
    <s v="na"/>
    <s v="D/D short"/>
    <s v="D/D short"/>
    <x v="2"/>
    <x v="2"/>
  </r>
  <r>
    <n v="20"/>
    <x v="47"/>
    <n v="2028"/>
    <s v="TV"/>
    <d v="2020-07-09T00:00:00"/>
    <d v="2020-07-09T00:00:00"/>
    <s v="SOEM"/>
    <s v="Line"/>
    <s v="TV"/>
    <x v="8"/>
    <s v="YDAS055DNU02"/>
    <s v="A5013700A$0010989_2016-YDAS055DNU02"/>
    <n v="2016"/>
    <s v="A5013700*"/>
    <s v="SSV"/>
    <s v="na"/>
    <s v="na"/>
    <s v="B/L particle"/>
    <s v="B/L particle"/>
    <x v="5"/>
    <x v="2"/>
  </r>
  <r>
    <n v="21"/>
    <x v="47"/>
    <n v="2028"/>
    <s v="TV"/>
    <d v="2020-07-09T00:00:00"/>
    <d v="2020-07-09T00:00:00"/>
    <s v="SOEM"/>
    <s v="Line"/>
    <s v="TV"/>
    <x v="8"/>
    <s v="YDAS055DNU02"/>
    <s v="A5013700A$0013987_2023-YDAS055DNU02"/>
    <n v="2023"/>
    <s v="A5013700*"/>
    <s v="SSV"/>
    <s v="na"/>
    <s v="na"/>
    <s v="B/L particle"/>
    <s v="B/L particle"/>
    <x v="5"/>
    <x v="2"/>
  </r>
  <r>
    <n v="22"/>
    <x v="47"/>
    <n v="2028"/>
    <s v="TV"/>
    <d v="2020-07-10T00:00:00"/>
    <d v="2020-07-10T00:00:00"/>
    <s v="SOEM"/>
    <s v="Line"/>
    <s v="TV"/>
    <x v="8"/>
    <s v="YDAS055DNU02"/>
    <s v="A5013700A$0014613_2024-YDAS055DNU02"/>
    <n v="2024"/>
    <s v="A5013700*"/>
    <s v="SSV"/>
    <s v="na"/>
    <s v="na"/>
    <s v="G/L defect"/>
    <s v="G/L defect"/>
    <x v="2"/>
    <x v="2"/>
  </r>
  <r>
    <n v="23"/>
    <x v="48"/>
    <n v="2029"/>
    <s v="TV"/>
    <d v="2020-07-16T00:00:00"/>
    <d v="2020-07-16T00:00:00"/>
    <s v="SOEM"/>
    <s v="Line"/>
    <s v="TV"/>
    <x v="8"/>
    <s v="YDAS055DNU02"/>
    <s v="A5013700A$0016751_2024-YDAS055DNU02"/>
    <n v="2024"/>
    <s v="A5013700*"/>
    <s v="SSV"/>
    <s v="na"/>
    <s v="na"/>
    <s v="B/L particle"/>
    <s v="B/L particle"/>
    <x v="5"/>
    <x v="2"/>
  </r>
  <r>
    <n v="24"/>
    <x v="48"/>
    <n v="2029"/>
    <s v="TV"/>
    <d v="2020-07-16T00:00:00"/>
    <d v="2020-07-16T00:00:00"/>
    <s v="SOEM"/>
    <s v="Line"/>
    <s v="TV"/>
    <x v="11"/>
    <s v="YDAS065DNU02"/>
    <s v="A5013677A$0014854_2024-YDAS065DNU02"/>
    <n v="2024"/>
    <s v="A5013677*"/>
    <s v="SSV"/>
    <s v="na"/>
    <s v="na"/>
    <s v="B/L particle"/>
    <s v="B/L particle"/>
    <x v="5"/>
    <x v="2"/>
  </r>
  <r>
    <n v="25"/>
    <x v="48"/>
    <n v="2029"/>
    <s v="TV"/>
    <d v="2020-07-15T00:00:00"/>
    <d v="2020-07-15T00:00:00"/>
    <s v="SOEM"/>
    <s v="Line"/>
    <s v="TV"/>
    <x v="11"/>
    <s v="YDAS065DNU02"/>
    <s v="A5013677A$0014744_2024-YDAS065DNU02"/>
    <n v="2024"/>
    <s v="A5013677*"/>
    <s v="SSV"/>
    <s v="na"/>
    <s v="na"/>
    <s v="Standby 5x"/>
    <s v="No display (T-con)"/>
    <x v="9"/>
    <x v="2"/>
  </r>
  <r>
    <n v="26"/>
    <x v="49"/>
    <n v="2031"/>
    <s v="TV"/>
    <d v="2020-07-27T00:00:00"/>
    <d v="2020-07-27T00:00:00"/>
    <s v="SOEM"/>
    <s v="Line"/>
    <s v="TV"/>
    <x v="11"/>
    <s v="YDAS065DNU02"/>
    <s v="A5013677A$0014462_2022-YDAS065DNU02"/>
    <n v="2022"/>
    <s v="A5013677*"/>
    <s v="SSV"/>
    <s v="na"/>
    <s v="na"/>
    <s v="B/L particle"/>
    <s v="B/L particle"/>
    <x v="5"/>
    <x v="2"/>
  </r>
  <r>
    <n v="27"/>
    <x v="50"/>
    <n v="2032"/>
    <s v="TV"/>
    <d v="2020-08-08T00:00:00"/>
    <d v="2020-08-08T00:00:00"/>
    <s v="SOEM"/>
    <s v="Line"/>
    <s v="TV"/>
    <x v="11"/>
    <s v="YDAS065DNU02"/>
    <s v="A5013677A$0017793_2027-YDAS065DNU02"/>
    <n v="2027"/>
    <s v="A5013677*"/>
    <s v="SSV"/>
    <s v="na"/>
    <s v="na"/>
    <s v="B/L particle"/>
    <s v="B/L particle"/>
    <x v="5"/>
    <x v="2"/>
  </r>
  <r>
    <n v="28"/>
    <x v="50"/>
    <n v="2032"/>
    <s v="TV"/>
    <d v="2020-08-08T00:00:00"/>
    <d v="2020-08-08T00:00:00"/>
    <s v="SOEM"/>
    <s v="Line"/>
    <s v="TV"/>
    <x v="11"/>
    <s v="YDAS065DNU02"/>
    <s v="A5013677A$0017758_2027-YDAS065DNU02"/>
    <n v="2027"/>
    <s v="A5013677*"/>
    <s v="SSV"/>
    <s v="na"/>
    <s v="na"/>
    <s v="B/L particle"/>
    <s v="B/L particle"/>
    <x v="5"/>
    <x v="2"/>
  </r>
  <r>
    <n v="29"/>
    <x v="50"/>
    <n v="2032"/>
    <s v="TV"/>
    <d v="2020-08-08T00:00:00"/>
    <d v="2020-08-08T00:00:00"/>
    <s v="SOEM"/>
    <s v="Line"/>
    <s v="TV"/>
    <x v="11"/>
    <s v="YDAS065DNU02"/>
    <s v="A5013677A$0017787_2027-YDAS065DNU02"/>
    <n v="2027"/>
    <s v="A5013677*"/>
    <s v="SSV"/>
    <s v="na"/>
    <s v="na"/>
    <s v="B/L particle"/>
    <s v="B/L particle"/>
    <x v="5"/>
    <x v="2"/>
  </r>
  <r>
    <n v="30"/>
    <x v="51"/>
    <n v="2033"/>
    <s v="TV"/>
    <d v="2020-08-10T00:00:00"/>
    <d v="2020-08-10T00:00:00"/>
    <s v="SOEM"/>
    <s v="Line"/>
    <s v="TV"/>
    <x v="11"/>
    <s v="YDAS065DNU02"/>
    <s v="A5013677A$0020250_2029-YDAS065DNU02"/>
    <n v="2029"/>
    <s v="A5013677*"/>
    <s v="SSV"/>
    <s v="na"/>
    <s v="na"/>
    <s v="B/L particle"/>
    <s v="B/L particle"/>
    <x v="5"/>
    <x v="2"/>
  </r>
  <r>
    <n v="31"/>
    <x v="51"/>
    <n v="2033"/>
    <s v="TV"/>
    <d v="2020-08-10T00:00:00"/>
    <d v="2020-08-10T00:00:00"/>
    <s v="SOEM"/>
    <s v="Line"/>
    <s v="TV"/>
    <x v="11"/>
    <s v="YDAS065DNU02"/>
    <s v="A5013677A$0020221_2029-YDAS065DNU02"/>
    <n v="2029"/>
    <s v="A5013677*"/>
    <s v="SSV"/>
    <s v="na"/>
    <s v="na"/>
    <s v="B/L particle"/>
    <s v="B/L particle"/>
    <x v="5"/>
    <x v="2"/>
  </r>
  <r>
    <n v="32"/>
    <x v="51"/>
    <n v="2033"/>
    <s v="TV"/>
    <d v="2020-08-12T00:00:00"/>
    <d v="2020-08-12T00:00:00"/>
    <s v="SOEM"/>
    <s v="Line"/>
    <s v="TV"/>
    <x v="8"/>
    <s v="YDAS055DNU02"/>
    <s v="A5013700A$0021986_2026-YDAS055DNU02"/>
    <n v="2026"/>
    <s v="A5013700*"/>
    <s v="SSV"/>
    <s v="na"/>
    <s v="na"/>
    <s v="D/D short"/>
    <s v="D/D short"/>
    <x v="2"/>
    <x v="2"/>
  </r>
  <r>
    <n v="33"/>
    <x v="51"/>
    <n v="2033"/>
    <s v="TV"/>
    <d v="2020-08-15T00:00:00"/>
    <d v="2020-08-15T00:00:00"/>
    <s v="SOEM"/>
    <s v="Line"/>
    <s v="TV"/>
    <x v="11"/>
    <s v="YDAS065DNU02"/>
    <s v="A5013677A$0019815_2028-YDAS065DNU02"/>
    <n v="2028"/>
    <s v="A5013677*"/>
    <s v="SSV"/>
    <s v="na"/>
    <s v="na"/>
    <s v="B/L particle"/>
    <s v="B/L particle"/>
    <x v="5"/>
    <x v="2"/>
  </r>
  <r>
    <n v="40"/>
    <x v="52"/>
    <n v="2035"/>
    <s v="TV"/>
    <d v="2020-08-26T00:00:00"/>
    <d v="2020-08-26T00:00:00"/>
    <s v="SOEM"/>
    <s v="Line"/>
    <s v="TV"/>
    <x v="11"/>
    <s v="YDAS065DNU02"/>
    <s v="A5013677A$0020912_2029-YDAS065DNU02"/>
    <n v="2029"/>
    <s v="A5013677*"/>
    <s v="SSV"/>
    <s v="na"/>
    <s v="na"/>
    <s v="No display (T-con)"/>
    <s v="No display (T-con)"/>
    <x v="9"/>
    <x v="2"/>
  </r>
  <r>
    <n v="41"/>
    <x v="53"/>
    <n v="2036"/>
    <s v="TV"/>
    <d v="2020-09-03T00:00:00"/>
    <d v="2020-09-03T00:00:00"/>
    <s v="SOEM"/>
    <s v="Line"/>
    <s v="TV"/>
    <x v="8"/>
    <s v="YDAS055DNU02"/>
    <s v="A5013700A$0024977_2027-YDAS055DNU02"/>
    <n v="2027"/>
    <s v="A5013700*"/>
    <s v="SSV"/>
    <s v="na"/>
    <s v="na"/>
    <s v="D/L defect"/>
    <s v="D/L defect"/>
    <x v="2"/>
    <x v="2"/>
  </r>
  <r>
    <n v="42"/>
    <x v="53"/>
    <n v="2036"/>
    <s v="TV"/>
    <d v="2020-09-03T00:00:00"/>
    <d v="2020-09-03T00:00:00"/>
    <s v="SOEM"/>
    <s v="Line"/>
    <s v="TV"/>
    <x v="11"/>
    <s v="YDAS065DNU02"/>
    <s v="A5013677A$0024472_2030-YDAS065DNU02"/>
    <n v="2030"/>
    <s v="A5013677*"/>
    <s v="SSV"/>
    <s v="na"/>
    <s v="na"/>
    <s v="Black spot"/>
    <s v="Black spot"/>
    <x v="6"/>
    <x v="2"/>
  </r>
  <r>
    <n v="43"/>
    <x v="54"/>
    <n v="2037"/>
    <s v="TV"/>
    <d v="2020-09-07T00:00:00"/>
    <d v="2020-09-07T00:00:00"/>
    <s v="SOEM"/>
    <s v="Line"/>
    <s v="TV"/>
    <x v="11"/>
    <s v="YDAS065DNU02"/>
    <s v="A5013677A$0025650_2030-YDAS065DNU02"/>
    <n v="2030"/>
    <s v="A5013677*"/>
    <s v="SSV"/>
    <s v="na"/>
    <s v="na"/>
    <s v="Mura etc"/>
    <s v="Mura etc"/>
    <x v="6"/>
    <x v="2"/>
  </r>
  <r>
    <n v="44"/>
    <x v="55"/>
    <n v="2038"/>
    <s v="TV"/>
    <d v="2020-09-14T00:00:00"/>
    <d v="2020-09-14T00:00:00"/>
    <s v="SOEM"/>
    <s v="Line"/>
    <s v="TV"/>
    <x v="8"/>
    <s v="YDAS055DNU02"/>
    <s v="A5013700A$0030181_2032-YDAS055DNU02"/>
    <n v="2032"/>
    <s v="A5013700*"/>
    <s v="SSV"/>
    <s v="na"/>
    <s v="na"/>
    <s v="LED fail"/>
    <s v="LED fail"/>
    <x v="3"/>
    <x v="2"/>
  </r>
  <r>
    <n v="45"/>
    <x v="56"/>
    <n v="2039"/>
    <s v="TV"/>
    <d v="2020-09-25T00:00:00"/>
    <d v="2020-09-25T00:00:00"/>
    <s v="SOEM"/>
    <s v="Line"/>
    <s v="TV"/>
    <x v="8"/>
    <s v="YDAS055DNU02"/>
    <s v="A5013700A$0029135_2032-YDAS055DNU02"/>
    <n v="2032"/>
    <s v="A5013700*"/>
    <s v="SSV"/>
    <s v="na"/>
    <s v="na"/>
    <s v="No display (T-con)"/>
    <s v="No display (T-con)"/>
    <x v="9"/>
    <x v="2"/>
  </r>
  <r>
    <n v="46"/>
    <x v="40"/>
    <n v="2040"/>
    <s v="TV"/>
    <d v="2020-09-30T00:00:00"/>
    <d v="2020-09-30T00:00:00"/>
    <s v="SOEM"/>
    <s v="Line"/>
    <s v="TV"/>
    <x v="8"/>
    <s v="YDAS055DNU02"/>
    <s v="A5013700A$0034570_2034-YDAS055DNU02"/>
    <n v="2034"/>
    <s v="A5013700*"/>
    <s v="SSV"/>
    <s v="na"/>
    <s v="na"/>
    <s v="B/L particle"/>
    <s v="B/L particle"/>
    <x v="5"/>
    <x v="2"/>
  </r>
  <r>
    <n v="47"/>
    <x v="40"/>
    <n v="2040"/>
    <s v="TV"/>
    <d v="2020-09-30T00:00:00"/>
    <d v="2020-09-30T00:00:00"/>
    <s v="SOEM"/>
    <s v="Line"/>
    <s v="TV"/>
    <x v="8"/>
    <s v="YDAS055DNU02"/>
    <s v="A5013700A$0016798_2024-YDAS055DNU02"/>
    <n v="2024"/>
    <s v="A5013700*"/>
    <s v="SSV"/>
    <s v="na"/>
    <s v="na"/>
    <s v="No display (O-Cell)"/>
    <s v="No display (O-Cell)"/>
    <x v="1"/>
    <x v="2"/>
  </r>
  <r>
    <n v="48"/>
    <x v="57"/>
    <n v="2041"/>
    <s v="TV"/>
    <d v="2020-10-08T00:00:00"/>
    <d v="2020-10-08T00:00:00"/>
    <s v="SOEM"/>
    <s v="Line"/>
    <s v="TV"/>
    <x v="8"/>
    <s v="YDAS055DNU02"/>
    <s v="A5013700A$0036108_2036-YDAS055DNU02"/>
    <n v="2036"/>
    <s v="A5013700*"/>
    <s v="SSV"/>
    <s v="na"/>
    <s v="na"/>
    <s v="D/D short"/>
    <s v="D/D short"/>
    <x v="2"/>
    <x v="2"/>
  </r>
  <r>
    <n v="49"/>
    <x v="57"/>
    <n v="2041"/>
    <s v="TV"/>
    <d v="2020-10-08T00:00:00"/>
    <d v="2020-10-08T00:00:00"/>
    <s v="SOEM"/>
    <s v="Line"/>
    <s v="TV"/>
    <x v="11"/>
    <s v="YDAS065DNU02"/>
    <s v="A5013677A$0036779_2037-YDAS065DNU02"/>
    <n v="2037"/>
    <s v="A5013677*"/>
    <s v="SSV"/>
    <s v="na"/>
    <s v="na"/>
    <s v="B/L particle"/>
    <s v="B/L particle"/>
    <x v="5"/>
    <x v="2"/>
  </r>
  <r>
    <n v="50"/>
    <x v="58"/>
    <n v="2043"/>
    <s v="TV"/>
    <d v="2020-10-21T00:00:00"/>
    <d v="2020-10-21T00:00:00"/>
    <s v="SOEM"/>
    <s v="Line"/>
    <s v="TV"/>
    <x v="8"/>
    <s v="YDAS055DNU02"/>
    <s v="A5013700A$0040355_2039-YDAS055DNU02"/>
    <n v="2039"/>
    <s v="A5013700*"/>
    <s v="SSV"/>
    <s v="na"/>
    <s v="na"/>
    <s v="B/L particle"/>
    <s v="B/L particle"/>
    <x v="5"/>
    <x v="2"/>
  </r>
  <r>
    <n v="51"/>
    <x v="58"/>
    <n v="2043"/>
    <s v="TV"/>
    <d v="2020-10-22T00:00:00"/>
    <d v="2020-10-22T00:00:00"/>
    <s v="SOEM"/>
    <s v="Line"/>
    <s v="TV"/>
    <x v="8"/>
    <s v="YDAS055DNU02"/>
    <s v="A5013700A$0040944_2039-YDAS055DNU02"/>
    <n v="2039"/>
    <s v="A5013700*"/>
    <s v="SSV"/>
    <s v="na"/>
    <s v="na"/>
    <s v="B/L particle"/>
    <s v="B/L particle"/>
    <x v="5"/>
    <x v="2"/>
  </r>
  <r>
    <n v="52"/>
    <x v="41"/>
    <n v="2049"/>
    <s v="TV"/>
    <d v="2020-12-04T00:00:00"/>
    <d v="2020-12-04T00:00:00"/>
    <s v="SOEM"/>
    <s v="Line"/>
    <s v="TV"/>
    <x v="11"/>
    <s v="YDAS065DNU02"/>
    <s v="A5013677A$0044981_2041-YDAS065DNU02"/>
    <n v="2041"/>
    <s v="A5013677*"/>
    <s v="SSV"/>
    <s v="na"/>
    <s v="na"/>
    <s v="O-Cell A/D"/>
    <s v="O-Cell A/D"/>
    <x v="1"/>
    <x v="2"/>
  </r>
  <r>
    <n v="53"/>
    <x v="41"/>
    <n v="2049"/>
    <s v="TV"/>
    <d v="2020-12-04T00:00:00"/>
    <d v="2020-12-04T00:00:00"/>
    <s v="SOEM"/>
    <s v="Line"/>
    <s v="TV"/>
    <x v="11"/>
    <s v="YDAS065DNU02"/>
    <s v="A5013677A$0048287_2042-YDAS065DNU02"/>
    <n v="2042"/>
    <s v="A5013677*"/>
    <s v="SSV"/>
    <s v="na"/>
    <s v="na"/>
    <s v="LED fail"/>
    <s v="LED fail"/>
    <x v="3"/>
    <x v="2"/>
  </r>
  <r>
    <n v="54"/>
    <x v="42"/>
    <n v="2052"/>
    <s v="TV"/>
    <d v="2020-12-23T00:00:00"/>
    <d v="2020-12-23T00:00:00"/>
    <s v="SOEM"/>
    <s v="Line"/>
    <s v="TV"/>
    <x v="11"/>
    <s v="YDAS065DNU02"/>
    <s v="A5013677A$0047621_2042-YDAS065DNU02"/>
    <n v="2042"/>
    <s v="A5013677*"/>
    <s v="SSV"/>
    <s v="na"/>
    <s v="na"/>
    <s v="D/B defect"/>
    <s v="D/B defect"/>
    <x v="2"/>
    <x v="2"/>
  </r>
  <r>
    <n v="55"/>
    <x v="11"/>
    <n v="2101"/>
    <s v="TV"/>
    <d v="2021-01-04T00:00:00"/>
    <d v="2021-01-04T00:00:00"/>
    <s v="SOEM"/>
    <s v="Line"/>
    <s v="TV"/>
    <x v="11"/>
    <s v="YDAS065DNU02"/>
    <s v="A5013677A$0047509_2042-YDAS065DNU02"/>
    <n v="2042"/>
    <s v="A5013677*"/>
    <s v="SSV"/>
    <s v="na"/>
    <s v="na"/>
    <s v="B/L particle"/>
    <s v="B/L particle"/>
    <x v="5"/>
    <x v="2"/>
  </r>
  <r>
    <n v="56"/>
    <x v="11"/>
    <n v="2101"/>
    <s v="TV"/>
    <d v="2021-01-04T00:00:00"/>
    <d v="2021-01-04T00:00:00"/>
    <s v="SOEM"/>
    <s v="Line"/>
    <s v="TV"/>
    <x v="11"/>
    <s v="YDAS065DNU02"/>
    <s v="A5013677A$0058539_2047-YDAS065DNU02"/>
    <n v="2047"/>
    <s v="A5013677*"/>
    <s v="SSV"/>
    <s v="na"/>
    <s v="na"/>
    <s v="B/L particle"/>
    <s v="B/L particle"/>
    <x v="5"/>
    <x v="2"/>
  </r>
  <r>
    <n v="57"/>
    <x v="13"/>
    <n v="2103"/>
    <s v="TV"/>
    <d v="2021-01-19T00:00:00"/>
    <d v="2021-01-19T00:00:00"/>
    <s v="SOEM"/>
    <s v="Line"/>
    <s v="TV"/>
    <x v="11"/>
    <s v="YDAS065DNU02"/>
    <s v="A5013677B$0000579_2048-YDAS065DNU02"/>
    <n v="2048"/>
    <s v="A5013677*"/>
    <s v="SSV"/>
    <s v="na"/>
    <s v="na"/>
    <s v="B/L particle"/>
    <s v="B/L particle"/>
    <x v="5"/>
    <x v="2"/>
  </r>
  <r>
    <n v="58"/>
    <x v="14"/>
    <n v="2104"/>
    <s v="TV"/>
    <d v="2021-01-29T00:00:00"/>
    <d v="2021-01-29T00:00:00"/>
    <s v="SOEM"/>
    <s v="Line"/>
    <s v="TV"/>
    <x v="8"/>
    <s v="YDAS055DNU02"/>
    <s v="A5013700B$0007272_2051-YDAS055DNU02"/>
    <n v="2051"/>
    <s v="A5013700*"/>
    <s v="SSV"/>
    <s v="na"/>
    <s v="na"/>
    <s v="O-Cell A/D"/>
    <s v="O-Cell A/D"/>
    <x v="1"/>
    <x v="2"/>
  </r>
  <r>
    <n v="59"/>
    <x v="16"/>
    <n v="2106"/>
    <s v="TV"/>
    <d v="2021-02-11T00:00:00"/>
    <d v="2021-02-11T00:00:00"/>
    <s v="SOEM"/>
    <s v="Line"/>
    <s v="TV"/>
    <x v="11"/>
    <s v="YDAS065DNU02"/>
    <s v="A5013677B$0013141_2101-YDAS065DNU02"/>
    <n v="2101"/>
    <s v="A5013677*"/>
    <s v="SSV"/>
    <s v="na"/>
    <s v="na"/>
    <s v="Aluminium Frame Dent"/>
    <s v="Aluminium Frame Dent"/>
    <x v="13"/>
    <x v="2"/>
  </r>
  <r>
    <n v="60"/>
    <x v="16"/>
    <n v="2106"/>
    <s v="TV"/>
    <d v="2021-02-11T00:00:00"/>
    <d v="2021-02-11T00:00:00"/>
    <s v="SOEM"/>
    <s v="Line"/>
    <s v="TV"/>
    <x v="11"/>
    <s v="YDAS065DNU02"/>
    <s v="A5013677B$0013201_2101-YDAS065DNU02"/>
    <n v="2101"/>
    <s v="A5013677*"/>
    <s v="SSV"/>
    <s v="na"/>
    <s v="na"/>
    <s v="B/L particle"/>
    <s v="B/L particle"/>
    <x v="5"/>
    <x v="2"/>
  </r>
  <r>
    <n v="61"/>
    <x v="16"/>
    <n v="2106"/>
    <s v="TV"/>
    <d v="2021-02-11T00:00:00"/>
    <d v="2021-02-11T00:00:00"/>
    <s v="SOEM"/>
    <s v="Line"/>
    <s v="TV"/>
    <x v="11"/>
    <s v="YDAS065DNU02"/>
    <s v="A5013677B$0013266_2101-YDAS065DNU02"/>
    <n v="2101"/>
    <s v="A5013677*"/>
    <s v="SSV"/>
    <s v="na"/>
    <s v="na"/>
    <s v="Pol bubble "/>
    <s v="Pol bubble "/>
    <x v="7"/>
    <x v="2"/>
  </r>
  <r>
    <n v="62"/>
    <x v="18"/>
    <n v="2108"/>
    <s v="TV"/>
    <d v="2021-02-24T00:00:00"/>
    <d v="2021-02-24T00:00:00"/>
    <s v="SOEM"/>
    <s v="Line"/>
    <s v="TV"/>
    <x v="11"/>
    <s v="YDAS065DNU02"/>
    <s v="A5013677B$0015599_2104-YDAS065DNU02"/>
    <n v="2104"/>
    <s v="A5013677*"/>
    <s v="SSV"/>
    <s v="na"/>
    <s v="na"/>
    <s v="No display (T-con)"/>
    <s v="A/D etc"/>
    <x v="9"/>
    <x v="2"/>
  </r>
  <r>
    <n v="63"/>
    <x v="19"/>
    <n v="2109"/>
    <s v="TV"/>
    <d v="2021-03-01T00:00:00"/>
    <d v="2021-03-01T00:00:00"/>
    <s v="SOEM"/>
    <s v="Line"/>
    <s v="TV"/>
    <x v="11"/>
    <s v="YDAS065DNU02"/>
    <s v="A5013677B$0015083_2103-YDAS065DNU02"/>
    <n v="2103"/>
    <s v="A5013677*"/>
    <s v="SSV"/>
    <s v="na"/>
    <s v="na"/>
    <s v="O-Cell A/D"/>
    <s v="O-Cell A/D"/>
    <x v="1"/>
    <x v="2"/>
  </r>
  <r>
    <n v="64"/>
    <x v="22"/>
    <n v="2112"/>
    <s v="TV"/>
    <d v="2021-03-22T00:00:00"/>
    <d v="2021-03-22T00:00:00"/>
    <s v="SOEM"/>
    <s v="Line"/>
    <s v="TV"/>
    <x v="11"/>
    <s v="YDAS065DNU02"/>
    <s v="A5013677B$0013884_2102-YDAS065DNU02"/>
    <n v="2102"/>
    <s v="A5013677*"/>
    <s v="SSV"/>
    <s v="na"/>
    <s v="na"/>
    <s v="W/B data fail"/>
    <s v="W/B data fail"/>
    <x v="9"/>
    <x v="2"/>
  </r>
  <r>
    <n v="65"/>
    <x v="22"/>
    <n v="2112"/>
    <s v="TV"/>
    <d v="2021-03-23T00:00:00"/>
    <d v="2021-03-23T00:00:00"/>
    <s v="SOEM"/>
    <s v="Line"/>
    <s v="TV"/>
    <x v="11"/>
    <s v="YDAS065DNU02"/>
    <s v="A5013677B$0014705_2103-YDAS065DNU02"/>
    <n v="2103"/>
    <s v="A5013677*"/>
    <s v="SSV"/>
    <s v="na"/>
    <s v="na"/>
    <s v="No display (T-con)"/>
    <s v="A/D etc"/>
    <x v="9"/>
    <x v="2"/>
  </r>
  <r>
    <n v="66"/>
    <x v="22"/>
    <n v="2112"/>
    <s v="TV"/>
    <d v="2021-03-23T00:00:00"/>
    <d v="2021-03-23T00:00:00"/>
    <s v="SOEM"/>
    <s v="Line"/>
    <s v="TV"/>
    <x v="11"/>
    <s v="YDAS065DNU02"/>
    <s v="A5013677B$0014817_2103-YDAS065DNU02"/>
    <n v="2103"/>
    <s v="A5013677*"/>
    <s v="SSV"/>
    <s v="na"/>
    <s v="na"/>
    <s v="B/L particle"/>
    <s v="B/L particle"/>
    <x v="5"/>
    <x v="2"/>
  </r>
  <r>
    <n v="67"/>
    <x v="23"/>
    <n v="2113"/>
    <s v="TV"/>
    <d v="2021-04-01T00:00:00"/>
    <d v="2021-04-01T00:00:00"/>
    <s v="SOEM"/>
    <s v="Line"/>
    <s v="TV"/>
    <x v="11"/>
    <s v="YDAS065DNU02"/>
    <s v="A5013677B$0017093_2108-YDAS065DNU02"/>
    <n v="2108"/>
    <s v="A5013677*"/>
    <s v="SSV"/>
    <s v="na"/>
    <s v="na"/>
    <s v="LED fail"/>
    <s v="LED fail"/>
    <x v="3"/>
    <x v="2"/>
  </r>
  <r>
    <n v="68"/>
    <x v="23"/>
    <n v="2113"/>
    <s v="TV"/>
    <d v="2021-04-01T00:00:00"/>
    <d v="2021-04-01T00:00:00"/>
    <s v="SOEM"/>
    <s v="Line"/>
    <s v="TV"/>
    <x v="11"/>
    <s v="YDAS065DNU02"/>
    <s v="A5013677B$0016693_2107-YDAS065DNU02"/>
    <n v="2107"/>
    <s v="A5013677*"/>
    <s v="SSV"/>
    <s v="na"/>
    <s v="na"/>
    <s v="B/L particle"/>
    <s v="B/L particle"/>
    <x v="5"/>
    <x v="2"/>
  </r>
  <r>
    <n v="69"/>
    <x v="59"/>
    <n v="2115"/>
    <s v="TV"/>
    <d v="2021-04-12T00:00:00"/>
    <d v="2021-04-12T00:00:00"/>
    <s v="SOEM"/>
    <s v="Line"/>
    <s v="TV"/>
    <x v="11"/>
    <s v="YDAS065DNU02"/>
    <s v="A5013677B$0016471_2104-YDAS065DNU02"/>
    <n v="2104"/>
    <s v="A5013677*"/>
    <s v="SSV"/>
    <s v="na"/>
    <s v="na"/>
    <s v="B/L scratch"/>
    <s v="B/L scratch"/>
    <x v="10"/>
    <x v="2"/>
  </r>
  <r>
    <n v="70"/>
    <x v="59"/>
    <n v="2115"/>
    <s v="TV"/>
    <d v="2021-04-12T00:00:00"/>
    <d v="2021-04-12T00:00:00"/>
    <s v="SOEM"/>
    <s v="Line"/>
    <s v="TV"/>
    <x v="11"/>
    <s v="YDAS065DNU02"/>
    <s v="A5013677B$0016524_2104-YDAS065DNU02"/>
    <n v="2104"/>
    <s v="A5013677*"/>
    <s v="SSV"/>
    <s v="na"/>
    <s v="na"/>
    <s v="D/D short"/>
    <s v="D/D short"/>
    <x v="2"/>
    <x v="2"/>
  </r>
  <r>
    <n v="71"/>
    <x v="59"/>
    <n v="2117"/>
    <s v="TV"/>
    <d v="2021-04-26T00:00:00"/>
    <d v="2021-04-12T00:00:00"/>
    <s v="SOEM"/>
    <s v="Line"/>
    <s v="TV"/>
    <x v="11"/>
    <s v="YDAS065DNU02"/>
    <s v="A5013677B$0020312_2109-YDAS065DNU02"/>
    <n v="2109"/>
    <s v="A5013677*"/>
    <s v="SSV"/>
    <s v="na"/>
    <s v="na"/>
    <s v="B/L scratch"/>
    <s v="B/L scratch"/>
    <x v="10"/>
    <x v="2"/>
  </r>
  <r>
    <n v="72"/>
    <x v="29"/>
    <n v="2125"/>
    <s v="TV"/>
    <d v="2021-06-23T00:00:00"/>
    <d v="2021-06-23T00:00:00"/>
    <s v="SOEM"/>
    <s v="Line"/>
    <s v="TV"/>
    <x v="11"/>
    <s v="YDAS065DNU02"/>
    <s v="A5013677B$0029128_2116-YDAS065DNU02"/>
    <n v="2116"/>
    <s v="A5013677*"/>
    <s v="SSV"/>
    <s v="na"/>
    <s v="na"/>
    <s v="G/C short"/>
    <s v="G/C short"/>
    <x v="2"/>
    <x v="2"/>
  </r>
  <r>
    <n v="1"/>
    <x v="60"/>
    <n v="2022"/>
    <s v="TV"/>
    <d v="2020-05-28T00:00:00"/>
    <d v="2020-05-28T00:00:00"/>
    <s v="SOEM"/>
    <s v="Line"/>
    <s v="TV"/>
    <x v="6"/>
    <s v="YSAS085CNU02"/>
    <s v="A5013703A$0002970_2009-YSAS085CNU02"/>
    <n v="2009"/>
    <s v="A-5013-704-**"/>
    <s v="SSV"/>
    <s v="na"/>
    <s v="na"/>
    <s v="LED fail"/>
    <s v="LED fail"/>
    <x v="3"/>
    <x v="2"/>
  </r>
  <r>
    <n v="2"/>
    <x v="61"/>
    <n v="2030"/>
    <s v="na"/>
    <d v="2020-07-21T00:00:00"/>
    <d v="2020-07-21T00:00:00"/>
    <s v="SOEM"/>
    <s v="Line"/>
    <s v="na"/>
    <x v="6"/>
    <s v="YSAS085CNU02"/>
    <s v="A5013703A$0000021_1947-YSAS085CNU02"/>
    <n v="1947"/>
    <s v="A-5013-704-**"/>
    <s v="SSV"/>
    <s v="na"/>
    <s v="na"/>
    <s v="B/L particle"/>
    <s v="B/L particle"/>
    <x v="5"/>
    <x v="2"/>
  </r>
  <r>
    <n v="3"/>
    <x v="61"/>
    <n v="2030"/>
    <s v="na"/>
    <d v="2020-07-22T00:00:00"/>
    <d v="2020-07-22T00:00:00"/>
    <s v="SOEM"/>
    <s v="Line"/>
    <s v="na"/>
    <x v="6"/>
    <s v="YSAS085CNU02"/>
    <s v="A5013703A$0008247_2022-YSAS085CNU02"/>
    <n v="2022"/>
    <s v="A-5013-704-**"/>
    <s v="SSV"/>
    <s v="na"/>
    <s v="na"/>
    <s v="Black spot"/>
    <s v="Mura etc"/>
    <x v="6"/>
    <x v="2"/>
  </r>
  <r>
    <n v="4"/>
    <x v="50"/>
    <n v="2032"/>
    <s v="TV"/>
    <d v="2020-08-08T00:00:00"/>
    <d v="2020-08-08T00:00:00"/>
    <s v="SOEM"/>
    <s v="Line"/>
    <s v="TV"/>
    <x v="6"/>
    <s v="YSAS085CNU02"/>
    <s v="A5013703A$0011560_2027-YSAS085CNU02"/>
    <n v="2027"/>
    <s v="A-5013-704-**"/>
    <s v="SSV"/>
    <s v="na"/>
    <s v="na"/>
    <s v="LED fail"/>
    <s v="LED fail"/>
    <x v="3"/>
    <x v="2"/>
  </r>
  <r>
    <n v="5"/>
    <x v="39"/>
    <n v="2034"/>
    <s v="TV"/>
    <d v="2020-08-21T00:00:00"/>
    <d v="2020-08-21T00:00:00"/>
    <s v="SOEM"/>
    <s v="Line"/>
    <s v="TV"/>
    <x v="6"/>
    <s v="YSAS085CNU02"/>
    <s v="A5013703A$0012523_2028-YSAS085CNU02"/>
    <n v="2028"/>
    <s v="A-5013-704-**"/>
    <s v="SSV"/>
    <s v="na"/>
    <s v="na"/>
    <s v="Mura etc"/>
    <s v="Mura etc"/>
    <x v="6"/>
    <x v="2"/>
  </r>
  <r>
    <n v="6"/>
    <x v="39"/>
    <n v="2034"/>
    <s v="TV"/>
    <d v="2020-08-21T00:00:00"/>
    <d v="2020-08-21T00:00:00"/>
    <s v="SOEM"/>
    <s v="Line"/>
    <s v="TV"/>
    <x v="6"/>
    <s v="YSAS085CNU02"/>
    <s v="A5013703A$0011785_2027-YSAS085CNU02"/>
    <n v="2028"/>
    <s v="A-5013-704-**"/>
    <s v="SSV"/>
    <s v="na"/>
    <s v="na"/>
    <s v="D/L defect"/>
    <s v="D/L defect"/>
    <x v="2"/>
    <x v="2"/>
  </r>
  <r>
    <n v="7"/>
    <x v="53"/>
    <n v="2036"/>
    <s v="TV"/>
    <d v="2020-09-02T00:00:00"/>
    <d v="2020-09-02T00:00:00"/>
    <s v="SOEM"/>
    <s v="Line"/>
    <s v="TV"/>
    <x v="6"/>
    <s v="YSAS085CNU02"/>
    <s v="A5013703A$0014583_2032-YSAS085CNU02"/>
    <n v="2032"/>
    <s v="A-5013-704-**"/>
    <s v="SSV"/>
    <s v="na"/>
    <s v="na"/>
    <s v="D/L defect"/>
    <s v="D/L defect"/>
    <x v="2"/>
    <x v="2"/>
  </r>
  <r>
    <n v="8"/>
    <x v="55"/>
    <n v="2038"/>
    <s v="TV"/>
    <d v="2020-09-17T00:00:00"/>
    <d v="2020-09-17T00:00:00"/>
    <s v="SOEM"/>
    <s v="Line"/>
    <s v="TV"/>
    <x v="6"/>
    <s v="YSAS085CNU02"/>
    <s v="A5013703A$0015893_2033-YSAS085CNU02"/>
    <n v="2033"/>
    <s v="A-5013-704-**"/>
    <s v="SSV"/>
    <s v="na"/>
    <s v="na"/>
    <s v="B/L particle"/>
    <s v="B/L particle"/>
    <x v="5"/>
    <x v="2"/>
  </r>
  <r>
    <n v="9"/>
    <x v="55"/>
    <n v="2038"/>
    <s v="TV"/>
    <d v="2020-09-17T00:00:00"/>
    <d v="2020-09-17T00:00:00"/>
    <s v="SOEM"/>
    <s v="Line"/>
    <s v="TV"/>
    <x v="6"/>
    <s v="YSAS085CNU02"/>
    <s v="A5013703A$0015896_2033-YSAS085CNU02"/>
    <n v="2033"/>
    <s v="A-5013-704-**"/>
    <s v="SSV"/>
    <s v="na"/>
    <s v="na"/>
    <s v="D/D short"/>
    <s v="D/D short"/>
    <x v="2"/>
    <x v="2"/>
  </r>
  <r>
    <n v="10"/>
    <x v="41"/>
    <n v="2049"/>
    <s v="TV"/>
    <d v="2020-11-30T00:00:00"/>
    <d v="2020-11-30T00:00:00"/>
    <s v="SOEM"/>
    <s v="Line"/>
    <s v="TV"/>
    <x v="6"/>
    <s v="YSAS085CNU02"/>
    <s v="A5013703A$0018362_2039-YSAS085CNU02"/>
    <n v="2039"/>
    <s v="A-5013-704-**"/>
    <s v="SSV"/>
    <s v="na"/>
    <s v="na"/>
    <s v="D/L defect"/>
    <s v="D/L defect"/>
    <x v="2"/>
    <x v="2"/>
  </r>
  <r>
    <n v="11"/>
    <x v="41"/>
    <n v="2049"/>
    <s v="TV"/>
    <d v="2020-11-30T00:00:00"/>
    <d v="2020-11-30T00:00:00"/>
    <s v="SOEM"/>
    <s v="Line"/>
    <s v="TV"/>
    <x v="6"/>
    <s v="YSAS085CNU02"/>
    <s v="A5013703A$0018273_2038-YSAS085CNU02"/>
    <n v="2039"/>
    <s v="A-5013-704-**"/>
    <s v="SSV"/>
    <s v="na"/>
    <s v="na"/>
    <s v="D/L defect"/>
    <s v="D/L defect"/>
    <x v="2"/>
    <x v="2"/>
  </r>
  <r>
    <n v="12"/>
    <x v="41"/>
    <n v="2049"/>
    <s v="TV"/>
    <d v="2020-11-30T00:00:00"/>
    <d v="2020-11-30T00:00:00"/>
    <s v="SOEM"/>
    <s v="Line"/>
    <s v="TV"/>
    <x v="6"/>
    <s v="YSAS085CNU02"/>
    <s v="A5013703A$0018198_2039-YSAS085CNU02"/>
    <n v="2039"/>
    <s v="A-5013-704-**"/>
    <s v="SSV"/>
    <s v="na"/>
    <s v="na"/>
    <s v="D/L defect"/>
    <s v="D/L defect"/>
    <x v="2"/>
    <x v="2"/>
  </r>
  <r>
    <n v="13"/>
    <x v="41"/>
    <n v="2049"/>
    <s v="TV"/>
    <d v="2020-11-30T00:00:00"/>
    <d v="2020-11-30T00:00:00"/>
    <s v="SOEM"/>
    <s v="Line"/>
    <s v="TV"/>
    <x v="6"/>
    <s v="YSAS085CNU02"/>
    <s v="A5013703A$0018252_2039-YSAS085CNU02"/>
    <n v="2039"/>
    <s v="A-5013-704-**"/>
    <s v="SSV"/>
    <s v="na"/>
    <s v="na"/>
    <s v="D/L defect"/>
    <s v="D/L defect"/>
    <x v="2"/>
    <x v="2"/>
  </r>
  <r>
    <n v="14"/>
    <x v="62"/>
    <n v="2051"/>
    <s v="TV"/>
    <d v="2020-12-16T00:00:00"/>
    <d v="2020-12-16T00:00:00"/>
    <s v="SOEM"/>
    <s v="Line"/>
    <s v="TV"/>
    <x v="6"/>
    <s v="YSAS085CNU02"/>
    <s v="A5013703A$0021282_2045-YSAS085CNU02"/>
    <n v="2045"/>
    <s v="A-5013-704-**"/>
    <s v="SSV"/>
    <s v="na"/>
    <s v="na"/>
    <s v="O-Cell A/D"/>
    <s v="O-Cell A/D"/>
    <x v="1"/>
    <x v="2"/>
  </r>
  <r>
    <n v="15"/>
    <x v="62"/>
    <n v="2051"/>
    <s v="TV"/>
    <d v="2020-12-16T00:00:00"/>
    <d v="2020-12-16T00:00:00"/>
    <s v="SOEM"/>
    <s v="Line"/>
    <s v="TV"/>
    <x v="6"/>
    <s v="YSAS085CNU02"/>
    <s v="A5013703A$0021018_2045-YSAS085CNU02"/>
    <n v="2045"/>
    <s v="A-5013-704-**"/>
    <s v="SSV"/>
    <s v="na"/>
    <s v="na"/>
    <s v="No display (T-con)"/>
    <s v="No display (T-con)"/>
    <x v="9"/>
    <x v="2"/>
  </r>
  <r>
    <n v="16"/>
    <x v="22"/>
    <n v="2112"/>
    <s v="TV"/>
    <d v="2021-03-23T00:00:00"/>
    <d v="2021-03-23T00:00:00"/>
    <s v="SOEM"/>
    <s v="Line"/>
    <s v="TV"/>
    <x v="6"/>
    <s v="YSAS085CNU02"/>
    <s v="A5013703A$0035318_2108-YSAS085CNU02"/>
    <n v="2108"/>
    <s v="A-5013-704-**"/>
    <s v="SSV"/>
    <s v="na"/>
    <s v="na"/>
    <s v="LED fail"/>
    <s v="LED fail"/>
    <x v="3"/>
    <x v="2"/>
  </r>
  <r>
    <n v="17"/>
    <x v="23"/>
    <n v="2113"/>
    <s v="TV"/>
    <d v="2021-04-03T00:00:00"/>
    <d v="2021-04-03T00:00:00"/>
    <s v="SOEM"/>
    <s v="Line"/>
    <s v="TV"/>
    <x v="6"/>
    <s v="YSAS085CNU02"/>
    <s v="A5013703A$0035044_2107-YSAS085CNU02"/>
    <n v="2107"/>
    <s v="A-5013-704-**"/>
    <s v="SSV"/>
    <s v="na"/>
    <s v="na"/>
    <s v="A/D etc"/>
    <s v="A/D etc"/>
    <x v="9"/>
    <x v="2"/>
  </r>
  <r>
    <n v="18"/>
    <x v="26"/>
    <n v="2121"/>
    <s v="TV"/>
    <d v="2021-05-26T00:00:00"/>
    <d v="2021-05-26T00:00:00"/>
    <s v="SOEM"/>
    <s v="Line"/>
    <s v="TV"/>
    <x v="6"/>
    <s v="YSAS085CNU02"/>
    <s v="A5013703B$0000070_2115-YSAS085CNU02"/>
    <n v="2115"/>
    <s v="A-5013-704-**"/>
    <s v="SSV"/>
    <s v="na"/>
    <s v="na"/>
    <s v="G/G short"/>
    <s v="G/G short"/>
    <x v="2"/>
    <x v="2"/>
  </r>
  <r>
    <n v="1"/>
    <x v="49"/>
    <n v="2031"/>
    <s v="TV"/>
    <d v="2020-07-27T00:00:00"/>
    <d v="2020-07-27T00:00:00"/>
    <s v="SOEM"/>
    <s v="Line"/>
    <s v="TV"/>
    <x v="14"/>
    <s v="YDAS085DNU02"/>
    <s v="A5016564A$0000314_2024-YDAS085DNU02"/>
    <n v="2024"/>
    <s v="A5016564*"/>
    <s v="SSV"/>
    <s v="na"/>
    <s v="na"/>
    <s v="Black spot"/>
    <s v="Black spot"/>
    <x v="6"/>
    <x v="2"/>
  </r>
  <r>
    <n v="2"/>
    <x v="50"/>
    <n v="2032"/>
    <s v="TV"/>
    <d v="2020-08-03T00:00:00"/>
    <d v="2020-08-03T00:00:00"/>
    <s v="SOEM"/>
    <s v="Line"/>
    <s v="TV"/>
    <x v="15"/>
    <s v="YDAS085DNU01"/>
    <s v="A5016535A$0004215_2023-YDAS085DNU02"/>
    <n v="2023"/>
    <s v="A5016535*"/>
    <n v="0"/>
    <s v="na"/>
    <s v="na"/>
    <s v="Black spot"/>
    <s v="Black spot"/>
    <x v="6"/>
    <x v="2"/>
  </r>
  <r>
    <n v="3"/>
    <x v="50"/>
    <n v="2032"/>
    <s v="TV"/>
    <d v="2020-08-04T00:00:00"/>
    <d v="2020-08-04T00:00:00"/>
    <s v="SOEM"/>
    <s v="Line"/>
    <s v="TV"/>
    <x v="15"/>
    <s v="YDAS085DNU01"/>
    <s v="A5016535A$0003891_2023-YDAS085DNU02"/>
    <n v="2023"/>
    <s v="A5016535*"/>
    <n v="0"/>
    <s v="na"/>
    <s v="na"/>
    <s v="D/L defect"/>
    <s v="D/L defect"/>
    <x v="2"/>
    <x v="2"/>
  </r>
  <r>
    <n v="4"/>
    <x v="50"/>
    <n v="2032"/>
    <s v="TV"/>
    <d v="2020-08-08T00:00:00"/>
    <d v="2020-08-08T00:00:00"/>
    <s v="SOEM"/>
    <s v="Line"/>
    <s v="TV"/>
    <x v="15"/>
    <s v="YDAS085DNU01"/>
    <s v="A5016535A$0004188_2023-YDAS085DNU02"/>
    <n v="2023"/>
    <s v="A5016535*"/>
    <n v="0"/>
    <s v="na"/>
    <s v="na"/>
    <s v="Black spot"/>
    <s v="Black spot"/>
    <x v="6"/>
    <x v="2"/>
  </r>
  <r>
    <n v="6"/>
    <x v="51"/>
    <n v="2033"/>
    <s v="TV"/>
    <d v="2020-08-15T00:00:00"/>
    <d v="2020-08-15T00:00:00"/>
    <s v="SOEM"/>
    <s v="Line"/>
    <s v="TV"/>
    <x v="15"/>
    <s v="YDAS085DNU01"/>
    <s v="A5016535A$0006211_2028-YDAS085DNU02"/>
    <n v="2028"/>
    <s v="A5016535*"/>
    <n v="0"/>
    <s v="na"/>
    <s v="na"/>
    <s v="D/L defect"/>
    <s v="D/L defect"/>
    <x v="2"/>
    <x v="2"/>
  </r>
  <r>
    <n v="8"/>
    <x v="51"/>
    <n v="2033"/>
    <s v="TV"/>
    <d v="2020-08-15T00:00:00"/>
    <d v="2020-08-15T00:00:00"/>
    <s v="SOEM"/>
    <s v="Line"/>
    <s v="TV"/>
    <x v="15"/>
    <s v="YDAS085DNU01"/>
    <s v="A5016535A$0006615_2028-YDAS085DNU02"/>
    <n v="2028"/>
    <s v="A5016535*"/>
    <n v="0"/>
    <s v="na"/>
    <s v="na"/>
    <s v="D/D short"/>
    <s v="D/D short"/>
    <x v="2"/>
    <x v="2"/>
  </r>
  <r>
    <n v="9"/>
    <x v="51"/>
    <n v="2033"/>
    <s v="TV"/>
    <d v="2020-08-14T00:00:00"/>
    <d v="2020-08-14T00:00:00"/>
    <s v="SOEM"/>
    <s v="Line"/>
    <s v="TV"/>
    <x v="15"/>
    <s v="YDAS085DNU01"/>
    <s v="A5016535A$0006827_2029-YDAS085DNU02"/>
    <n v="2029"/>
    <s v="A5016535*"/>
    <n v="0"/>
    <s v="na"/>
    <s v="na"/>
    <s v="Half Picture"/>
    <s v="T-CON A/D"/>
    <x v="9"/>
    <x v="2"/>
  </r>
  <r>
    <n v="10"/>
    <x v="39"/>
    <n v="2034"/>
    <s v="TV"/>
    <d v="2020-08-18T00:00:00"/>
    <d v="2020-08-18T00:00:00"/>
    <s v="SOEM"/>
    <s v="Line"/>
    <s v="TV"/>
    <x v="15"/>
    <s v="YDAS085DNU01"/>
    <s v="A5016535A$0008187_2030-YDAS085DNU02"/>
    <n v="2030"/>
    <s v="A5016535*"/>
    <n v="0"/>
    <s v="na"/>
    <s v="na"/>
    <s v="D/L defect"/>
    <s v="D/L defect"/>
    <x v="2"/>
    <x v="2"/>
  </r>
  <r>
    <n v="11"/>
    <x v="39"/>
    <n v="2034"/>
    <s v="TV"/>
    <d v="2020-08-19T00:00:00"/>
    <d v="2020-08-19T00:00:00"/>
    <s v="SOEM"/>
    <s v="Line"/>
    <s v="TV"/>
    <x v="15"/>
    <s v="YDAS085DNU01"/>
    <s v="A5016535A$0008748_2030-YDAS085DNU02"/>
    <n v="2030"/>
    <s v="A5016535*"/>
    <n v="0"/>
    <s v="na"/>
    <s v="na"/>
    <s v="B/L Sheet fail"/>
    <s v="B/L Sheet fail"/>
    <x v="10"/>
    <x v="2"/>
  </r>
  <r>
    <n v="12"/>
    <x v="39"/>
    <n v="2034"/>
    <s v="TV"/>
    <d v="2020-08-19T00:00:00"/>
    <d v="2020-08-19T00:00:00"/>
    <s v="SOEM"/>
    <s v="Line"/>
    <s v="TV"/>
    <x v="15"/>
    <s v="YDAS085DNU01"/>
    <s v="A5016535A$0008749_2030-YDAS085DNU02"/>
    <n v="2030"/>
    <s v="A5016535*"/>
    <n v="0"/>
    <s v="na"/>
    <s v="na"/>
    <s v="B/L Sheet fail"/>
    <s v="B/L Sheet fail"/>
    <x v="10"/>
    <x v="2"/>
  </r>
  <r>
    <n v="13"/>
    <x v="39"/>
    <n v="2034"/>
    <s v="TV"/>
    <d v="2020-08-19T00:00:00"/>
    <d v="2020-08-19T00:00:00"/>
    <s v="SOEM"/>
    <s v="Line"/>
    <s v="TV"/>
    <x v="15"/>
    <s v="YDAS085DNU01"/>
    <s v="A5016535A$0008750_2030-YDAS085DNU02"/>
    <n v="2030"/>
    <s v="A5016535*"/>
    <n v="0"/>
    <s v="na"/>
    <s v="na"/>
    <s v="B/L Sheet fail"/>
    <s v="B/L Sheet fail"/>
    <x v="10"/>
    <x v="2"/>
  </r>
  <r>
    <n v="14"/>
    <x v="39"/>
    <n v="2034"/>
    <s v="TV"/>
    <d v="2020-08-19T00:00:00"/>
    <d v="2020-08-19T00:00:00"/>
    <s v="SOEM"/>
    <s v="Line"/>
    <s v="TV"/>
    <x v="15"/>
    <s v="YDAS085DNU01"/>
    <s v="A5016535A$0008590_2030-YDAS085DNU02"/>
    <n v="2030"/>
    <s v="A5016535*"/>
    <n v="0"/>
    <s v="na"/>
    <s v="na"/>
    <s v="D/D short"/>
    <s v="D/D short"/>
    <x v="2"/>
    <x v="2"/>
  </r>
  <r>
    <n v="15"/>
    <x v="39"/>
    <n v="2034"/>
    <s v="TV"/>
    <d v="2020-08-20T00:00:00"/>
    <d v="2020-08-20T00:00:00"/>
    <s v="SOEM"/>
    <s v="Line"/>
    <s v="TV"/>
    <x v="15"/>
    <s v="YDAS085DNU01"/>
    <s v="A5016535A$0008645_2030-YDAS085DNU02"/>
    <n v="2030"/>
    <s v="A5016535*"/>
    <n v="0"/>
    <s v="na"/>
    <s v="na"/>
    <s v="D/L defect"/>
    <s v="D/L defect"/>
    <x v="2"/>
    <x v="2"/>
  </r>
  <r>
    <n v="16"/>
    <x v="52"/>
    <n v="2035"/>
    <s v="TV"/>
    <d v="2020-08-27T00:00:00"/>
    <d v="2020-08-27T00:00:00"/>
    <s v="SOEM"/>
    <s v="Line"/>
    <s v="TV"/>
    <x v="15"/>
    <s v="YDAS085DNU01"/>
    <s v="A5016535A$0009210_2030-YDAS085DNU02"/>
    <n v="2030"/>
    <s v="A5016535*"/>
    <n v="0"/>
    <s v="na"/>
    <s v="na"/>
    <s v="D/L defect"/>
    <s v="D/L defect"/>
    <x v="2"/>
    <x v="2"/>
  </r>
  <r>
    <n v="17"/>
    <x v="54"/>
    <n v="2037"/>
    <s v="TV"/>
    <d v="2020-09-08T00:00:00"/>
    <d v="2020-09-08T00:00:00"/>
    <s v="SOEM"/>
    <s v="Line"/>
    <s v="TV"/>
    <x v="15"/>
    <s v="YDAS085DNU01"/>
    <s v="A5016535A$0010910_2032-YDAS085DNU02"/>
    <n v="2032"/>
    <s v="A5016535*"/>
    <n v="0"/>
    <s v="na"/>
    <s v="na"/>
    <s v="B/L particle"/>
    <s v="B/L particle"/>
    <x v="5"/>
    <x v="2"/>
  </r>
  <r>
    <n v="18"/>
    <x v="63"/>
    <n v="2042"/>
    <s v="TV"/>
    <d v="2020-10-15T00:00:00"/>
    <d v="2020-10-15T00:00:00"/>
    <s v="SOEM"/>
    <s v="Line"/>
    <s v="TV"/>
    <x v="15"/>
    <s v="YDAS085DNU01"/>
    <s v="A5016535A$0014964_2038-YDAS085DNU02"/>
    <n v="2038"/>
    <s v="A5016535*"/>
    <n v="0"/>
    <s v="na"/>
    <s v="na"/>
    <s v="D/L defect"/>
    <s v="D/L defect"/>
    <x v="2"/>
    <x v="2"/>
  </r>
  <r>
    <n v="19"/>
    <x v="58"/>
    <n v="2043"/>
    <s v="TV"/>
    <d v="2020-10-21T00:00:00"/>
    <d v="2020-10-21T00:00:00"/>
    <s v="SOEM"/>
    <s v="Line"/>
    <s v="TV"/>
    <x v="15"/>
    <s v="YDAS085DNU01"/>
    <s v="A5016535A$0017210_2040-YDAS085DNU02"/>
    <n v="2040"/>
    <s v="A5016535*"/>
    <n v="0"/>
    <s v="na"/>
    <s v="na"/>
    <s v="LED fail"/>
    <s v="LED fail"/>
    <x v="3"/>
    <x v="2"/>
  </r>
  <r>
    <n v="20"/>
    <x v="12"/>
    <n v="2102"/>
    <s v="TV"/>
    <d v="2021-01-13T00:00:00"/>
    <d v="2021-01-13T00:00:00"/>
    <s v="SOEM"/>
    <s v="Line"/>
    <s v="TV"/>
    <x v="15"/>
    <s v="YDAS085DNU01"/>
    <s v="A5016535A$0021128_2043-YDAS085DNU02"/>
    <n v="2043"/>
    <s v="A5016535*"/>
    <n v="0"/>
    <s v="na"/>
    <s v="na"/>
    <s v="B/L Sheet fail"/>
    <s v="B/L Sheet fail"/>
    <x v="10"/>
    <x v="2"/>
  </r>
  <r>
    <n v="21"/>
    <x v="12"/>
    <n v="2102"/>
    <s v="TV"/>
    <d v="2021-01-13T00:00:00"/>
    <d v="2021-01-13T00:00:00"/>
    <s v="SOEM"/>
    <s v="Line"/>
    <s v="TV"/>
    <x v="15"/>
    <s v="YDAS085DNU01"/>
    <s v="A5016535A$0023292_2049-YDAS085DNU02"/>
    <n v="2049"/>
    <s v="A5016535*"/>
    <n v="0"/>
    <s v="na"/>
    <s v="na"/>
    <s v="LED fail"/>
    <s v="LED fail"/>
    <x v="3"/>
    <x v="2"/>
  </r>
  <r>
    <n v="22"/>
    <x v="12"/>
    <n v="2102"/>
    <s v="TV"/>
    <d v="2021-01-13T00:00:00"/>
    <d v="2021-01-13T00:00:00"/>
    <s v="SOEM"/>
    <s v="Line"/>
    <s v="TV"/>
    <x v="15"/>
    <s v="YDAS085DNU01"/>
    <s v="A5016535A$0024415_2050-YDAS085DNU02"/>
    <n v="2050"/>
    <s v="A5016535*"/>
    <n v="0"/>
    <s v="na"/>
    <s v="na"/>
    <s v="D/L defect"/>
    <s v="D/L defect"/>
    <x v="2"/>
    <x v="2"/>
  </r>
  <r>
    <n v="23"/>
    <x v="18"/>
    <n v="2108"/>
    <s v="TV"/>
    <d v="2021-02-23T00:00:00"/>
    <d v="2021-02-23T00:00:00"/>
    <s v="SOEM"/>
    <s v="Line"/>
    <s v="TV"/>
    <x v="15"/>
    <s v="YDAS085DNU01"/>
    <s v="A5016535A$0030123_2103-YDAS085DNU02"/>
    <n v="2103"/>
    <s v="A5016535*"/>
    <n v="0"/>
    <s v="na"/>
    <s v="na"/>
    <s v="D/L defect"/>
    <s v="D/L defect"/>
    <x v="2"/>
    <x v="2"/>
  </r>
  <r>
    <n v="24"/>
    <x v="18"/>
    <n v="2108"/>
    <s v="TV"/>
    <d v="2021-02-24T00:00:00"/>
    <d v="2021-02-24T00:00:00"/>
    <s v="SOEM"/>
    <s v="Line"/>
    <s v="TV"/>
    <x v="15"/>
    <s v="YDAS085DNU01"/>
    <s v="A5016535A$0030693_2103-YDAS085DNU02"/>
    <n v="2103"/>
    <s v="A5016535*"/>
    <n v="0"/>
    <s v="na"/>
    <s v="na"/>
    <s v="LED fail"/>
    <s v="LED fail"/>
    <x v="3"/>
    <x v="2"/>
  </r>
  <r>
    <n v="25"/>
    <x v="18"/>
    <n v="2108"/>
    <s v="TV"/>
    <d v="2021-02-24T00:00:00"/>
    <d v="2021-02-24T00:00:00"/>
    <s v="SOEM"/>
    <s v="Line"/>
    <s v="TV"/>
    <x v="15"/>
    <s v="YDAS085DNU01"/>
    <s v="A5016535A$0024803_2051-YDAS085DNU02"/>
    <n v="2051"/>
    <s v="A5016535*"/>
    <n v="0"/>
    <s v="na"/>
    <s v="na"/>
    <s v="W/B data fail"/>
    <s v="W/B data fail"/>
    <x v="9"/>
    <x v="2"/>
  </r>
  <r>
    <n v="26"/>
    <x v="21"/>
    <n v="2111"/>
    <s v="TV"/>
    <d v="2021-03-19T00:00:00"/>
    <d v="2021-03-19T00:00:00"/>
    <s v="SOEM"/>
    <s v="Line"/>
    <s v="TV"/>
    <x v="15"/>
    <s v="YDAS085DNU01"/>
    <s v="A5016535A$0034840_2108-YDAS085DNU02"/>
    <n v="2108"/>
    <s v="A5016535*"/>
    <n v="0"/>
    <s v="na"/>
    <s v="na"/>
    <s v="W/B data fail"/>
    <s v="W/B data fail"/>
    <x v="9"/>
    <x v="2"/>
  </r>
  <r>
    <n v="27"/>
    <x v="23"/>
    <n v="2113"/>
    <s v="TV"/>
    <d v="2021-04-02T00:00:00"/>
    <d v="2021-04-02T00:00:00"/>
    <s v="SOEM"/>
    <s v="Line"/>
    <s v="TV"/>
    <x v="15"/>
    <s v="YDAS085DNU01"/>
    <s v="A5016535A$0033473_2105-YDAS085DNU02"/>
    <n v="2105"/>
    <s v="A5016535*"/>
    <n v="0"/>
    <s v="na"/>
    <s v="na"/>
    <s v="S-CNT broken"/>
    <s v="S-CNT broken"/>
    <x v="11"/>
    <x v="2"/>
  </r>
  <r>
    <n v="28"/>
    <x v="0"/>
    <n v="2118"/>
    <s v="TV"/>
    <d v="2021-05-04T00:00:00"/>
    <d v="2021-05-04T00:00:00"/>
    <s v="SOEM"/>
    <s v="Line"/>
    <s v="TV"/>
    <x v="15"/>
    <s v="YDAS085DNU01"/>
    <s v="A5016535A$0037626_2111-YDAS085DNU02"/>
    <n v="2111"/>
    <s v="A5016535*"/>
    <n v="0"/>
    <s v="na"/>
    <s v="na"/>
    <s v="Black spot"/>
    <s v="B/L Sheet fail"/>
    <x v="10"/>
    <x v="2"/>
  </r>
  <r>
    <n v="29"/>
    <x v="27"/>
    <n v="2122"/>
    <s v="TV"/>
    <d v="2021-06-01T00:00:00"/>
    <d v="2021-06-01T00:00:00"/>
    <s v="SOEM"/>
    <s v="Line"/>
    <s v="TV"/>
    <x v="15"/>
    <s v="YDAS085DNU01"/>
    <s v="A5016535B$0000713_2115-YDAS085DNU02"/>
    <n v="2115"/>
    <s v="A5016535*"/>
    <n v="0"/>
    <s v="na"/>
    <s v="na"/>
    <s v="Screw floating"/>
    <s v="Screw floating"/>
    <x v="11"/>
    <x v="2"/>
  </r>
  <r>
    <n v="30"/>
    <x v="27"/>
    <n v="2122"/>
    <s v="TV"/>
    <d v="2021-06-01T00:00:00"/>
    <d v="2021-06-01T00:00:00"/>
    <s v="SOEM"/>
    <s v="Line"/>
    <s v="TV"/>
    <x v="14"/>
    <s v="YDAS085DNU02"/>
    <s v="A5016564A$0001989_2051-YDAS085DNU02"/>
    <n v="2051"/>
    <s v="A5016564*"/>
    <s v="SSV"/>
    <s v="na"/>
    <s v="na"/>
    <s v="Screw floating"/>
    <s v="Screw floating"/>
    <x v="11"/>
    <x v="2"/>
  </r>
  <r>
    <n v="31"/>
    <x v="5"/>
    <n v="2130"/>
    <s v="TV"/>
    <d v="2021-07-26T00:00:00"/>
    <d v="2021-07-26T00:00:00"/>
    <s v="SOEM"/>
    <s v="Line"/>
    <s v="TV"/>
    <x v="15"/>
    <s v="YDAS085DNU01"/>
    <s v="A5016535B$0006115_2122-YDAS085DNU02"/>
    <n v="2122"/>
    <s v="A5016535*"/>
    <n v="0"/>
    <s v="na"/>
    <s v="na"/>
    <s v="D/L defect"/>
    <s v="D/L defect"/>
    <x v="2"/>
    <x v="2"/>
  </r>
  <r>
    <n v="1"/>
    <x v="4"/>
    <n v="2129"/>
    <s v="TV"/>
    <d v="2021-07-23T00:00:00"/>
    <d v="2021-07-23T00:00:00"/>
    <s v="SOEM"/>
    <s v="Line"/>
    <s v="TV"/>
    <x v="20"/>
    <s v="YDBO075DAS02"/>
    <s v="A5032151A$0000348_2120-YDBO065DBU02"/>
    <n v="2120"/>
    <s v="A-5032-151-X"/>
    <s v="SSV"/>
    <s v="na"/>
    <s v="na"/>
    <s v="B/L particle"/>
    <s v="B/L particle"/>
    <x v="5"/>
    <x v="0"/>
  </r>
  <r>
    <n v="1"/>
    <x v="26"/>
    <n v="2121"/>
    <s v="TV"/>
    <d v="2021-05-25T00:00:00"/>
    <d v="2021-05-25T00:00:00"/>
    <s v="SOEM"/>
    <s v="Line"/>
    <s v="TV"/>
    <x v="18"/>
    <s v="YDBO085DAU02"/>
    <s v="A5030086B$0000050_2117-YDBO085DAU02"/>
    <n v="2117"/>
    <s v="A-5030-086-X"/>
    <s v="SSV"/>
    <s v="na"/>
    <s v="na"/>
    <s v="Bracket fail"/>
    <s v="Bracket fail"/>
    <x v="11"/>
    <x v="0"/>
  </r>
  <r>
    <n v="2"/>
    <x v="29"/>
    <n v="2125"/>
    <s v="TV"/>
    <d v="2021-06-23T00:00:00"/>
    <d v="2021-06-23T00:00:00"/>
    <s v="SOEM"/>
    <s v="Line"/>
    <s v="TV"/>
    <x v="18"/>
    <s v="YDBO085DAU02"/>
    <s v="A5039507A$0000723_2120-YDBO085DAU02"/>
    <n v="2120"/>
    <s v="A-5039-507-X"/>
    <s v="SSV"/>
    <s v="na"/>
    <s v="na"/>
    <s v="G/L defect"/>
    <s v="G/L defect"/>
    <x v="2"/>
    <x v="0"/>
  </r>
  <r>
    <n v="3"/>
    <x v="5"/>
    <n v="2130"/>
    <s v="TV"/>
    <d v="2021-07-31T00:00:00"/>
    <d v="2021-07-31T00:00:00"/>
    <s v="SOEM"/>
    <s v="Line"/>
    <s v="TV"/>
    <x v="18"/>
    <s v="YDBO085DAU02"/>
    <s v="A5039507A$0001544_2121-YDBO085DAU02"/>
    <n v="2121"/>
    <s v="A-5039-507-X"/>
    <s v="SSV"/>
    <s v="na"/>
    <s v="na"/>
    <s v="B/L particle"/>
    <s v="B/L particle"/>
    <x v="5"/>
    <x v="0"/>
  </r>
  <r>
    <n v="4"/>
    <x v="5"/>
    <n v="2130"/>
    <s v="TV"/>
    <d v="2021-07-31T00:00:00"/>
    <d v="2021-07-31T00:00:00"/>
    <s v="SOEM"/>
    <s v="Line"/>
    <s v="TV"/>
    <x v="18"/>
    <s v="YDBO085DAU02"/>
    <s v="A5039507A$0001670_2121-YDBO085DAU02"/>
    <n v="2121"/>
    <s v="A-5039-507-X"/>
    <s v="SSV"/>
    <s v="na"/>
    <s v="na"/>
    <s v="B/L particle"/>
    <s v="B/L particle"/>
    <x v="5"/>
    <x v="0"/>
  </r>
  <r>
    <n v="5"/>
    <x v="5"/>
    <n v="2130"/>
    <s v="TV"/>
    <d v="2021-07-31T00:00:00"/>
    <d v="2021-07-31T00:00:00"/>
    <s v="SOEM"/>
    <s v="Line"/>
    <s v="TV"/>
    <x v="18"/>
    <s v="YDBO085DAU02"/>
    <s v="A5039507A$0001521_2121-YDBO085DAU02"/>
    <n v="2121"/>
    <s v="A-5039-507-X"/>
    <s v="SSV"/>
    <s v="na"/>
    <s v="na"/>
    <s v="B/L particle"/>
    <s v="B/L particle"/>
    <x v="5"/>
    <x v="0"/>
  </r>
  <r>
    <n v="6"/>
    <x v="5"/>
    <n v="2130"/>
    <s v="TV"/>
    <d v="2021-07-31T00:00:00"/>
    <d v="2021-07-31T00:00:00"/>
    <s v="SOEM"/>
    <s v="Line"/>
    <s v="TV"/>
    <x v="18"/>
    <s v="YDBO085DAU02"/>
    <s v="A5039507A$0001909_2121-YDBO085DAU03"/>
    <n v="2121"/>
    <s v="A-5039-507-X"/>
    <s v="SSV"/>
    <s v="na"/>
    <s v="na"/>
    <s v="A/D etc"/>
    <s v="A/D etc"/>
    <x v="9"/>
    <x v="0"/>
  </r>
  <r>
    <n v="7"/>
    <x v="5"/>
    <n v="2130"/>
    <s v="TV"/>
    <d v="2021-07-31T00:00:00"/>
    <d v="2021-07-31T00:00:00"/>
    <s v="SOEM"/>
    <s v="Line"/>
    <s v="TV"/>
    <x v="18"/>
    <s v="YDBO085DAU02"/>
    <s v="A5039507A$0001676_2121-YDBO085DAU02"/>
    <n v="2121"/>
    <s v="A-5039-507-X"/>
    <s v="SSV"/>
    <s v="na"/>
    <s v="na"/>
    <s v="EDID fail"/>
    <s v="EDID fail"/>
    <x v="9"/>
    <x v="0"/>
  </r>
  <r>
    <n v="8"/>
    <x v="64"/>
    <n v="2131"/>
    <s v="TV"/>
    <d v="2021-08-02T00:00:00"/>
    <d v="2021-08-02T00:00:00"/>
    <s v="SOEM"/>
    <s v="Line"/>
    <s v="TV"/>
    <x v="18"/>
    <s v="YDBO085DAU02"/>
    <s v="A5039507A$0002444_2124-YDBO085DAU02"/>
    <n v="2124"/>
    <s v="A-5039-507-X"/>
    <s v="SSV"/>
    <s v="na"/>
    <s v="na"/>
    <s v="D/B defect"/>
    <s v="D/B defect"/>
    <x v="2"/>
    <x v="0"/>
  </r>
  <r>
    <n v="9"/>
    <x v="64"/>
    <n v="2131"/>
    <s v="TV"/>
    <d v="2021-08-02T00:00:00"/>
    <d v="2021-08-02T00:00:00"/>
    <s v="SOEM"/>
    <s v="Line"/>
    <s v="TV"/>
    <x v="18"/>
    <s v="YDBO085DAU02"/>
    <s v="A5039507A$0002798_2124-YDBO085DAU02"/>
    <n v="2124"/>
    <s v="A-5039-507-X"/>
    <s v="SSV"/>
    <s v="na"/>
    <s v="na"/>
    <s v="LD board CNT fail"/>
    <s v="LD board CNT fail"/>
    <x v="11"/>
    <x v="0"/>
  </r>
  <r>
    <n v="10"/>
    <x v="31"/>
    <n v="2134"/>
    <s v="TV"/>
    <d v="2021-08-23T00:00:00"/>
    <d v="2021-08-23T00:00:00"/>
    <s v="SOEM"/>
    <s v="Line"/>
    <s v="TV"/>
    <x v="18"/>
    <s v="YDBO085DAU02"/>
    <s v="A5039507A$0002107_2124-YDBO085DAU02"/>
    <n v="2124"/>
    <s v="A-5039-507-X"/>
    <s v="SSV"/>
    <s v="na"/>
    <s v="na"/>
    <s v="D/L defect"/>
    <s v="D/L defect"/>
    <x v="2"/>
    <x v="0"/>
  </r>
  <r>
    <n v="11"/>
    <x v="34"/>
    <n v="2137"/>
    <s v="TV"/>
    <d v="2021-09-15T00:00:00"/>
    <d v="2021-09-15T00:00:00"/>
    <s v="SOEM"/>
    <s v="Line"/>
    <s v="TV"/>
    <x v="18"/>
    <s v="YDBO085DAU02"/>
    <s v="A5039507A$0002832_2124-YDBO085DAU02"/>
    <n v="2124"/>
    <s v="A-5039-507-X"/>
    <s v="SSV"/>
    <s v="na"/>
    <s v="na"/>
    <s v="Bracket fail"/>
    <s v="Bracket fail"/>
    <x v="11"/>
    <x v="0"/>
  </r>
  <r>
    <n v="12"/>
    <x v="34"/>
    <n v="2137"/>
    <s v="TV"/>
    <d v="2021-09-17T00:00:00"/>
    <d v="2021-09-15T00:00:00"/>
    <s v="SOEM"/>
    <s v="Line"/>
    <s v="TV"/>
    <x v="18"/>
    <s v="YDBO085DAU02"/>
    <s v="A5039507A$0005048_2128-YDBO085DAU02"/>
    <n v="2128"/>
    <s v="A-5039-507-X"/>
    <s v="SSV"/>
    <s v="na"/>
    <s v="na"/>
    <s v="B/L particle"/>
    <s v="B/L particle"/>
    <x v="5"/>
    <x v="0"/>
  </r>
  <r>
    <n v="1"/>
    <x v="59"/>
    <n v="2115"/>
    <s v="TV"/>
    <d v="2021-04-16T00:00:00"/>
    <d v="2021-04-16T00:00:00"/>
    <s v="SOEM"/>
    <s v="Line"/>
    <s v="TV"/>
    <x v="19"/>
    <s v="YDBM085CNU02"/>
    <s v="A5027713A$0000039_2110-YDBM085CNU02"/>
    <n v="2110"/>
    <s v="A-5027-713-X"/>
    <s v="SSV"/>
    <s v="na"/>
    <s v="na"/>
    <s v="Bezel etc"/>
    <s v="Bezel etc"/>
    <x v="8"/>
    <x v="0"/>
  </r>
  <r>
    <n v="2"/>
    <x v="59"/>
    <n v="2115"/>
    <s v="TV"/>
    <d v="2021-04-16T00:00:00"/>
    <d v="2021-04-16T00:00:00"/>
    <s v="SOEM"/>
    <s v="Line"/>
    <s v="TV"/>
    <x v="19"/>
    <s v="YDBM085CNU02"/>
    <s v="A5027713A$0000051_2110-YDBM085CNU02"/>
    <n v="2110"/>
    <s v="A-5027-713-X"/>
    <s v="SSV"/>
    <s v="na"/>
    <s v="na"/>
    <s v="Screw floating"/>
    <s v="Screw floating"/>
    <x v="11"/>
    <x v="0"/>
  </r>
  <r>
    <n v="3"/>
    <x v="0"/>
    <n v="2118"/>
    <s v="TV"/>
    <d v="2021-05-03T00:00:00"/>
    <d v="2021-05-03T00:00:00"/>
    <s v="SOEM"/>
    <s v="Line"/>
    <s v="TV"/>
    <x v="19"/>
    <s v="YDBM085CNU02"/>
    <s v="A5027713A$0000599_2114-YDBM085CNU02"/>
    <n v="2114"/>
    <s v="A-5027-713-X"/>
    <s v="SSV"/>
    <s v="na"/>
    <s v="na"/>
    <s v="Black spot"/>
    <s v="Black spot"/>
    <x v="6"/>
    <x v="0"/>
  </r>
  <r>
    <n v="4"/>
    <x v="27"/>
    <n v="2122"/>
    <s v="TV"/>
    <d v="2021-06-02T00:00:00"/>
    <d v="2021-06-02T00:00:00"/>
    <s v="SOEM"/>
    <s v="Line"/>
    <s v="TV"/>
    <x v="19"/>
    <s v="YDBM085CNU02"/>
    <s v="A5027713A$0002417_2116-YDBM085CNU02"/>
    <n v="2116"/>
    <s v="A-5027-713-X"/>
    <s v="SSV"/>
    <s v="na"/>
    <s v="na"/>
    <s v="B/L particle"/>
    <s v="B/L particle"/>
    <x v="5"/>
    <x v="0"/>
  </r>
  <r>
    <n v="5"/>
    <x v="27"/>
    <n v="2122"/>
    <s v="TV"/>
    <d v="2021-06-03T00:00:00"/>
    <d v="2021-06-03T00:00:00"/>
    <s v="SOEM"/>
    <s v="Line"/>
    <s v="TV"/>
    <x v="19"/>
    <s v="YDBM085CNU02"/>
    <s v="A5027713A$0004174_2117-YDBM085CNU02"/>
    <n v="2117"/>
    <s v="A-5027-713-X"/>
    <s v="SSV"/>
    <s v="na"/>
    <s v="na"/>
    <s v="Black spot"/>
    <s v="Black spot"/>
    <x v="6"/>
    <x v="0"/>
  </r>
  <r>
    <n v="6"/>
    <x v="27"/>
    <n v="2122"/>
    <s v="TV"/>
    <d v="2021-06-04T00:00:00"/>
    <d v="2021-06-04T00:00:00"/>
    <s v="SOEM"/>
    <s v="Line"/>
    <s v="TV"/>
    <x v="19"/>
    <s v="YDBM085CNU02"/>
    <s v="A5027713A$0004251_2117-YDBM085CNU02"/>
    <n v="2117"/>
    <s v="A-5027-713-X"/>
    <s v="SSV"/>
    <s v="na"/>
    <s v="na"/>
    <s v="Pol stain"/>
    <s v="Pol stain"/>
    <x v="0"/>
    <x v="0"/>
  </r>
  <r>
    <n v="7"/>
    <x v="27"/>
    <n v="2122"/>
    <s v="TV"/>
    <d v="2021-06-04T00:00:00"/>
    <d v="2021-06-04T00:00:00"/>
    <s v="SOEM"/>
    <s v="Line"/>
    <s v="TV"/>
    <x v="19"/>
    <s v="YDBM085CNU02"/>
    <s v="A5027713A$0001712_2115-YDBM085CNU02"/>
    <n v="2115"/>
    <s v="A-5027-713-X"/>
    <s v="SSV"/>
    <s v="na"/>
    <s v="na"/>
    <s v="D/L defect"/>
    <s v="D/L defect"/>
    <x v="2"/>
    <x v="0"/>
  </r>
  <r>
    <n v="8"/>
    <x v="27"/>
    <n v="2122"/>
    <s v="TV"/>
    <d v="2021-06-05T00:00:00"/>
    <d v="2021-06-05T00:00:00"/>
    <s v="SOEM"/>
    <s v="Line"/>
    <s v="TV"/>
    <x v="19"/>
    <s v="YDBM085CNU02"/>
    <s v="A5027713A$0003832_2117-YDBM085CNU02"/>
    <n v="2117"/>
    <s v="A-5027-713-X"/>
    <s v="SSV"/>
    <s v="na"/>
    <s v="na"/>
    <s v="B/L particle"/>
    <s v="B/L particle"/>
    <x v="5"/>
    <x v="0"/>
  </r>
  <r>
    <n v="9"/>
    <x v="8"/>
    <n v="2126"/>
    <s v="TV"/>
    <d v="2021-06-29T00:00:00"/>
    <d v="2021-06-29T00:00:00"/>
    <s v="SOEM"/>
    <s v="Line"/>
    <s v="TV"/>
    <x v="19"/>
    <s v="YDBM085CNU02"/>
    <s v="A5027713A$0005791_2119-YDBM085CNU02"/>
    <n v="2119"/>
    <s v="A-5027-713-X"/>
    <s v="SSV"/>
    <s v="na"/>
    <s v="na"/>
    <s v="LED fail"/>
    <s v="LED fail"/>
    <x v="3"/>
    <x v="0"/>
  </r>
  <r>
    <n v="10"/>
    <x v="8"/>
    <n v="2126"/>
    <s v="TV"/>
    <d v="2021-06-29T00:00:00"/>
    <d v="2021-06-29T00:00:00"/>
    <s v="SOEM"/>
    <s v="Line"/>
    <s v="TV"/>
    <x v="19"/>
    <s v="YDBM085CNU02"/>
    <s v="A5027713A$0006030_2120-YDBM085CNU02"/>
    <n v="2020"/>
    <s v="A-5027-713-X"/>
    <s v="SSV"/>
    <s v="na"/>
    <s v="na"/>
    <s v="Mura etc"/>
    <s v="B/L Sheet fail"/>
    <x v="10"/>
    <x v="0"/>
  </r>
  <r>
    <n v="11"/>
    <x v="6"/>
    <n v="2133"/>
    <s v="TV"/>
    <d v="2021-08-17T00:00:00"/>
    <d v="2021-08-17T00:00:00"/>
    <s v="SOEM"/>
    <s v="Line"/>
    <s v="TV"/>
    <x v="19"/>
    <s v="YDBM085CNU02"/>
    <s v="A5027713A$0007602_2124-YDBM085CNU02"/>
    <n v="2124"/>
    <s v="A-5027-713-X"/>
    <s v="SSV"/>
    <s v="na"/>
    <s v="na"/>
    <s v="Mura etc"/>
    <s v="LED etc"/>
    <x v="3"/>
    <x v="0"/>
  </r>
  <r>
    <n v="12"/>
    <x v="31"/>
    <n v="2134"/>
    <s v="TV"/>
    <d v="2021-08-24T00:00:00"/>
    <d v="2021-08-24T00:00:00"/>
    <s v="SOEM"/>
    <s v="Line"/>
    <s v="TV"/>
    <x v="19"/>
    <s v="YDBM085CNU02"/>
    <s v="A5027713A$0008070_2125-YDBM085CNU02"/>
    <n v="2125"/>
    <s v="A-5027-713-X"/>
    <s v="SSV"/>
    <s v="na"/>
    <s v="na"/>
    <s v="D/L defect"/>
    <s v="D/L defect"/>
    <x v="2"/>
    <x v="0"/>
  </r>
  <r>
    <n v="13"/>
    <x v="31"/>
    <n v="2134"/>
    <s v="TV"/>
    <d v="2021-08-24T00:00:00"/>
    <d v="2021-08-24T00:00:00"/>
    <s v="SOEM"/>
    <s v="Line"/>
    <s v="TV"/>
    <x v="19"/>
    <s v="YDBM085CNU02"/>
    <s v="A5027713A$0009553_2126-YDBM085CNU02"/>
    <n v="2126"/>
    <s v="A-5027-713-X"/>
    <s v="SSV"/>
    <s v="na"/>
    <s v="na"/>
    <s v="B/L particle"/>
    <s v="B/L particle"/>
    <x v="5"/>
    <x v="0"/>
  </r>
  <r>
    <n v="14"/>
    <x v="32"/>
    <n v="2135"/>
    <s v="TV"/>
    <d v="2021-09-03T00:00:00"/>
    <d v="2021-09-03T00:00:00"/>
    <s v="SOEM"/>
    <s v="Line"/>
    <s v="TV"/>
    <x v="19"/>
    <s v="YDBM085CNU02"/>
    <s v="A5027713A$0008907_2126-YDBM085CNU02"/>
    <n v="2126"/>
    <s v="A-5027-713-X"/>
    <s v="SSV"/>
    <s v="na"/>
    <s v="na"/>
    <s v="D/L defect"/>
    <s v="D/L defect"/>
    <x v="2"/>
    <x v="0"/>
  </r>
  <r>
    <n v="1"/>
    <x v="54"/>
    <n v="2037"/>
    <s v="TV"/>
    <d v="2020-09-07T00:00:00"/>
    <d v="2020-09-07T00:00:00"/>
    <s v="SOEM"/>
    <s v="Line"/>
    <s v="TV"/>
    <x v="10"/>
    <s v="YSAS075CNO02"/>
    <s v="A5023872A$0002758_2032-YSAS075CNO02"/>
    <n v="2032"/>
    <s v="A-5013-706-**"/>
    <s v="SSV"/>
    <s v="na"/>
    <s v="na"/>
    <s v="G/L defect"/>
    <s v="G/L defect"/>
    <x v="2"/>
    <x v="2"/>
  </r>
  <r>
    <n v="2"/>
    <x v="55"/>
    <n v="2038"/>
    <s v="TV"/>
    <d v="2020-09-14T00:00:00"/>
    <d v="2020-09-14T00:00:00"/>
    <s v="SOEM"/>
    <s v="Line"/>
    <s v="TV"/>
    <x v="10"/>
    <s v="YSAS075CNO02"/>
    <s v="A5023872A$0006469_2033-YSAS075CNO02"/>
    <n v="2033"/>
    <s v="A-5013-706-**"/>
    <s v="SSV"/>
    <s v="na"/>
    <s v="na"/>
    <s v="G/L defect"/>
    <s v="G/L defect"/>
    <x v="2"/>
    <x v="2"/>
  </r>
  <r>
    <n v="3"/>
    <x v="40"/>
    <n v="2040"/>
    <s v="TV"/>
    <d v="2020-10-02T00:00:00"/>
    <d v="2020-10-02T00:00:00"/>
    <s v="SOEM"/>
    <s v="Line"/>
    <s v="TV"/>
    <x v="10"/>
    <s v="YSAS075CNO02"/>
    <s v="A5023872A$0014476_2036-YSAS075CNO02"/>
    <n v="2036"/>
    <s v="A-5013-706-**"/>
    <s v="SSV"/>
    <s v="na"/>
    <s v="na"/>
    <s v="Drain open"/>
    <s v="Drain open"/>
    <x v="2"/>
    <x v="2"/>
  </r>
  <r>
    <n v="4"/>
    <x v="40"/>
    <n v="2040"/>
    <s v="TV"/>
    <d v="2020-10-02T00:00:00"/>
    <d v="2020-10-02T00:00:00"/>
    <s v="SOEM"/>
    <s v="Line"/>
    <s v="TV"/>
    <x v="10"/>
    <s v="YSAS075CNO02"/>
    <s v="A5023872A$0013803_2036-YSAS075CNO02"/>
    <n v="2036"/>
    <s v="A-5013-706-**"/>
    <s v="SSV"/>
    <s v="na"/>
    <s v="na"/>
    <s v="No display (O-Cell)"/>
    <s v="No display (O-Cell)"/>
    <x v="1"/>
    <x v="2"/>
  </r>
  <r>
    <n v="5"/>
    <x v="57"/>
    <n v="2041"/>
    <s v="TV"/>
    <d v="2020-10-06T00:00:00"/>
    <d v="2020-10-06T00:00:00"/>
    <s v="SOEM"/>
    <s v="Line"/>
    <s v="TV"/>
    <x v="10"/>
    <s v="YSAS075CNO02"/>
    <s v="A5023872A$0014538_2036-YSAS075CNO02"/>
    <n v="2036"/>
    <s v="A-5013-706-**"/>
    <s v="SSV"/>
    <s v="na"/>
    <s v="na"/>
    <s v="LED fail"/>
    <s v="LED fail"/>
    <x v="3"/>
    <x v="2"/>
  </r>
  <r>
    <n v="6"/>
    <x v="57"/>
    <n v="2041"/>
    <s v="TV"/>
    <d v="2020-10-09T00:00:00"/>
    <d v="2020-10-09T00:00:00"/>
    <s v="SOEM"/>
    <s v="Line"/>
    <s v="TV"/>
    <x v="10"/>
    <s v="YSAS075CNO02"/>
    <s v="A5023872A$0013900_2036-YSAS075CNO02"/>
    <n v="2036"/>
    <s v="A-5013-706-**"/>
    <s v="SSV"/>
    <s v="na"/>
    <s v="na"/>
    <s v="D/L defect"/>
    <s v="D/L defect"/>
    <x v="2"/>
    <x v="2"/>
  </r>
  <r>
    <n v="7"/>
    <x v="57"/>
    <n v="2041"/>
    <s v="TV"/>
    <d v="2020-10-09T00:00:00"/>
    <d v="2020-10-09T00:00:00"/>
    <s v="SOEM"/>
    <s v="Line"/>
    <s v="TV"/>
    <x v="10"/>
    <s v="YSAS075CNO02"/>
    <s v="A5023872A$0014678_2036-YSAS075CNO02"/>
    <n v="2036"/>
    <s v="A-5013-706-**"/>
    <s v="SSV"/>
    <s v="na"/>
    <s v="na"/>
    <s v="O-Cell A/D"/>
    <s v="O-Cell A/D"/>
    <x v="1"/>
    <x v="2"/>
  </r>
  <r>
    <n v="8"/>
    <x v="65"/>
    <n v="2044"/>
    <s v="TV"/>
    <d v="2020-10-27T00:00:00"/>
    <d v="2020-10-27T00:00:00"/>
    <s v="SOEM"/>
    <s v="Line"/>
    <s v="TV"/>
    <x v="10"/>
    <s v="YSAS075CNO02"/>
    <s v="A5023872A$0023962_2039-YSAS075CNO02"/>
    <n v="2039"/>
    <s v="A-5013-706-**"/>
    <s v="SSV"/>
    <s v="na"/>
    <s v="na"/>
    <s v="G/L defect"/>
    <s v="G/L defect"/>
    <x v="2"/>
    <x v="2"/>
  </r>
  <r>
    <n v="9"/>
    <x v="65"/>
    <n v="2044"/>
    <s v="TV"/>
    <d v="2020-10-27T00:00:00"/>
    <d v="2020-10-27T00:00:00"/>
    <s v="SOEM"/>
    <s v="Line"/>
    <s v="TV"/>
    <x v="10"/>
    <s v="YSAS075CNO02"/>
    <s v="A5023872A$0021170_2038-YSAS075CNO02"/>
    <n v="2038"/>
    <s v="A-5013-706-**"/>
    <s v="SSV"/>
    <s v="na"/>
    <s v="na"/>
    <s v="White spot"/>
    <s v="B/L scratch"/>
    <x v="10"/>
    <x v="2"/>
  </r>
  <r>
    <n v="10"/>
    <x v="41"/>
    <n v="2049"/>
    <s v="TV"/>
    <d v="2020-12-04T00:00:00"/>
    <d v="2020-12-04T00:00:00"/>
    <s v="SOEM"/>
    <s v="Line"/>
    <s v="TV"/>
    <x v="10"/>
    <s v="YSAS075CNO02"/>
    <s v="A5023872A$0024149_2039-YSAS075CNO02"/>
    <n v="2039"/>
    <s v="A-5013-706-**"/>
    <s v="SSV"/>
    <s v="na"/>
    <s v="na"/>
    <s v="Mura etc"/>
    <s v="Mura etc"/>
    <x v="6"/>
    <x v="2"/>
  </r>
  <r>
    <n v="11"/>
    <x v="11"/>
    <n v="2101"/>
    <s v="TV"/>
    <d v="2021-01-04T00:00:00"/>
    <d v="2021-01-04T00:00:00"/>
    <s v="SOEM"/>
    <s v="Line"/>
    <s v="TV"/>
    <x v="10"/>
    <s v="YSAS075CNO02"/>
    <s v="A5023872A$0033945_2046-YSAS075CNO02"/>
    <n v="2046"/>
    <s v="A-5013-706-**"/>
    <s v="SSV"/>
    <s v="na"/>
    <s v="na"/>
    <s v="D/L open"/>
    <s v="D/L open"/>
    <x v="2"/>
    <x v="2"/>
  </r>
  <r>
    <n v="12"/>
    <x v="11"/>
    <n v="2101"/>
    <s v="TV"/>
    <d v="2021-01-07T00:00:00"/>
    <d v="2021-01-07T00:00:00"/>
    <s v="SOEM"/>
    <s v="Line"/>
    <s v="TV"/>
    <x v="10"/>
    <s v="YSAS075CNO02"/>
    <s v="A5023872B$0001140_2048-YSAS075CNO02"/>
    <n v="2048"/>
    <s v="A-5013-706-**"/>
    <s v="SSV"/>
    <s v="na"/>
    <s v="na"/>
    <s v="LED fail"/>
    <s v="LED fail"/>
    <x v="3"/>
    <x v="2"/>
  </r>
  <r>
    <n v="13"/>
    <x v="12"/>
    <n v="2102"/>
    <s v="TV"/>
    <d v="2021-01-13T00:00:00"/>
    <d v="2021-01-13T00:00:00"/>
    <s v="SOEM"/>
    <s v="Line"/>
    <s v="TV"/>
    <x v="10"/>
    <s v="YSAS075CNO02"/>
    <s v="A5023872A$0033251_2046-YSAS075CNO02"/>
    <n v="2046"/>
    <s v="A-5013-706-**"/>
    <s v="SSV"/>
    <s v="na"/>
    <s v="na"/>
    <s v="LED fail"/>
    <s v="LED fail"/>
    <x v="3"/>
    <x v="2"/>
  </r>
  <r>
    <n v="14"/>
    <x v="12"/>
    <n v="2102"/>
    <s v="TV"/>
    <d v="2021-01-13T00:00:00"/>
    <d v="2021-01-13T00:00:00"/>
    <s v="SOEM"/>
    <s v="Line"/>
    <s v="TV"/>
    <x v="10"/>
    <s v="YSAS075CNO02"/>
    <s v="A5023872B$0001968_2048-YSAS075CNO02"/>
    <n v="2048"/>
    <s v="A-5013-706-**"/>
    <s v="SSV"/>
    <s v="na"/>
    <s v="na"/>
    <s v="D/L defect"/>
    <s v="D/L defect"/>
    <x v="2"/>
    <x v="2"/>
  </r>
  <r>
    <n v="15"/>
    <x v="15"/>
    <n v="2105"/>
    <s v="TV"/>
    <d v="2021-02-04T00:00:00"/>
    <d v="2021-02-04T00:00:00"/>
    <s v="SOEM"/>
    <s v="Line"/>
    <s v="TV"/>
    <x v="10"/>
    <s v="YSAS075CNO02"/>
    <s v="A5023872B$0007500_2050-YSAS075CNO02"/>
    <n v="2050"/>
    <s v="A-5013-706-**"/>
    <s v="SSV"/>
    <s v="na"/>
    <s v="na"/>
    <s v="D/B defect"/>
    <s v="D/B defect"/>
    <x v="2"/>
    <x v="2"/>
  </r>
  <r>
    <n v="16"/>
    <x v="15"/>
    <n v="2105"/>
    <s v="TV"/>
    <d v="2021-02-04T00:00:00"/>
    <d v="2021-02-04T00:00:00"/>
    <s v="SOEM"/>
    <s v="Line"/>
    <s v="TV"/>
    <x v="10"/>
    <s v="YSAS075CNO02"/>
    <s v="A5023872B$0008702_2051-YSAS075CNO02"/>
    <n v="2051"/>
    <s v="A-5013-706-**"/>
    <s v="SSV"/>
    <s v="na"/>
    <s v="na"/>
    <s v="D/B defect"/>
    <s v="D/B defect"/>
    <x v="2"/>
    <x v="2"/>
  </r>
  <r>
    <n v="18"/>
    <x v="15"/>
    <n v="2105"/>
    <s v="TV"/>
    <d v="2021-02-06T00:00:00"/>
    <d v="2021-02-06T00:00:00"/>
    <s v="SOEM"/>
    <s v="Line"/>
    <s v="TV"/>
    <x v="10"/>
    <s v="YSAS075CNO02"/>
    <s v="A5023872B$0010445_2053-YSAS075CNO02"/>
    <n v="2053"/>
    <s v="A-5013-706-**"/>
    <s v="SSV"/>
    <s v="na"/>
    <s v="na"/>
    <s v="G/D short"/>
    <s v="G/D short"/>
    <x v="2"/>
    <x v="2"/>
  </r>
  <r>
    <n v="20"/>
    <x v="15"/>
    <n v="2105"/>
    <s v="TV"/>
    <d v="2021-02-06T00:00:00"/>
    <d v="2021-02-06T00:00:00"/>
    <s v="SOEM"/>
    <s v="Line"/>
    <s v="TV"/>
    <x v="10"/>
    <s v="YSAS075CNO02"/>
    <s v="A5023872B$0009574_2053-YSAS075CNO02"/>
    <n v="2053"/>
    <s v="A-5013-706-**"/>
    <s v="SSV"/>
    <s v="na"/>
    <s v="na"/>
    <s v="No display (O-Cell)"/>
    <s v="No display (O-Cell)"/>
    <x v="1"/>
    <x v="2"/>
  </r>
  <r>
    <n v="19"/>
    <x v="16"/>
    <n v="2106"/>
    <s v="TV"/>
    <d v="2021-02-11T00:00:00"/>
    <d v="2021-02-11T00:00:00"/>
    <s v="SOEM"/>
    <s v="Line"/>
    <s v="TV"/>
    <x v="10"/>
    <s v="YSAS075CNO02"/>
    <s v="A5023872B$0014277_2101-YSAS075CNO02"/>
    <n v="2101"/>
    <s v="A-5013-706-**"/>
    <s v="SSV"/>
    <s v="na"/>
    <s v="na"/>
    <s v="LED fail"/>
    <s v="LED fail"/>
    <x v="3"/>
    <x v="2"/>
  </r>
  <r>
    <n v="21"/>
    <x v="19"/>
    <n v="2109"/>
    <s v="TV"/>
    <d v="2021-03-05T00:00:00"/>
    <d v="2021-03-05T00:00:00"/>
    <s v="SOEM"/>
    <s v="Line"/>
    <s v="TV"/>
    <x v="10"/>
    <s v="YSAS075CNO02"/>
    <s v="A5023872B$0018782_2103-YSAS075CNO02"/>
    <n v="2103"/>
    <s v="A-5013-706-**"/>
    <s v="SSV"/>
    <s v="na"/>
    <s v="na"/>
    <s v="B/L Sheet fail"/>
    <s v="B/L Sheet fail"/>
    <x v="10"/>
    <x v="2"/>
  </r>
  <r>
    <n v="22"/>
    <x v="23"/>
    <n v="2113"/>
    <s v="TV"/>
    <d v="2021-04-01T00:00:00"/>
    <d v="2021-04-01T00:00:00"/>
    <s v="SOEM"/>
    <s v="Line"/>
    <s v="TV"/>
    <x v="10"/>
    <s v="YSAS075CNO02"/>
    <s v="A5023872B$0025426_2109-YSAS075CNO02"/>
    <n v="2109"/>
    <s v="A-5013-706-**"/>
    <s v="SSV"/>
    <s v="na"/>
    <s v="na"/>
    <s v="G/L defect"/>
    <s v="G/L defect"/>
    <x v="2"/>
    <x v="2"/>
  </r>
  <r>
    <n v="23"/>
    <x v="23"/>
    <n v="2113"/>
    <s v="TV"/>
    <d v="2021-04-01T00:00:00"/>
    <d v="2021-04-01T00:00:00"/>
    <s v="SOEM"/>
    <s v="Line"/>
    <s v="TV"/>
    <x v="10"/>
    <s v="YSAS075CNO02"/>
    <s v="A5023872B$0024866_2109-YSAS075CNO02"/>
    <n v="2109"/>
    <s v="A-5013-706-**"/>
    <s v="SSV"/>
    <s v="na"/>
    <s v="na"/>
    <s v="Screw floating"/>
    <s v="Screw floating"/>
    <x v="11"/>
    <x v="2"/>
  </r>
  <r>
    <n v="1"/>
    <x v="66"/>
    <n v="2114"/>
    <s v="TV"/>
    <d v="2021-04-10T00:00:00"/>
    <d v="2021-04-10T00:00:00"/>
    <s v="SOEM"/>
    <s v="Line"/>
    <s v="TV"/>
    <x v="0"/>
    <s v="YSBM075CNO02"/>
    <s v="A5027725A$0000923_2110_YSBM075CNO02"/>
    <n v="2102"/>
    <s v="A-5027-725-X"/>
    <s v="SSV"/>
    <s v="na"/>
    <s v="na"/>
    <s v="B/L particle"/>
    <s v="B/L particle"/>
    <x v="5"/>
    <x v="0"/>
  </r>
  <r>
    <n v="2"/>
    <x v="59"/>
    <n v="2115"/>
    <s v="TV"/>
    <d v="2021-04-14T00:00:00"/>
    <d v="2021-04-14T00:00:00"/>
    <s v="SOEM"/>
    <s v="Line"/>
    <s v="TV"/>
    <x v="0"/>
    <s v="YSBM075CNO02"/>
    <s v="A5027725A$00001381_2110_YSBM075CNO02"/>
    <n v="2110"/>
    <s v="A-5027-725-X"/>
    <s v="SSV"/>
    <s v="na"/>
    <s v="na"/>
    <s v="LED fail"/>
    <s v="LED fail"/>
    <x v="3"/>
    <x v="0"/>
  </r>
  <r>
    <n v="3"/>
    <x v="59"/>
    <n v="2115"/>
    <s v="TV"/>
    <d v="2021-04-15T00:00:00"/>
    <d v="2021-04-15T00:00:00"/>
    <s v="SOEM"/>
    <s v="Line"/>
    <s v="TV"/>
    <x v="0"/>
    <s v="YSBM075CNO02"/>
    <s v="A5027725A$00002263_2111_YSBM075CNO02"/>
    <n v="2111"/>
    <s v="A-5027-725-X"/>
    <s v="SSV"/>
    <s v="na"/>
    <s v="na"/>
    <s v="G/L defect"/>
    <s v="G/L defect"/>
    <x v="2"/>
    <x v="0"/>
  </r>
  <r>
    <n v="4"/>
    <x v="9"/>
    <n v="2116"/>
    <s v="TV"/>
    <d v="2021-04-24T00:00:00"/>
    <d v="2021-04-24T00:00:00"/>
    <s v="SOEM"/>
    <s v="Line"/>
    <s v="TV"/>
    <x v="0"/>
    <s v="YSBM075CNO02"/>
    <s v="A5027725A$0004835_2113_YSBM075CNO02"/>
    <n v="2113"/>
    <s v="A-5027-725-X"/>
    <s v="SSV"/>
    <s v="na"/>
    <s v="na"/>
    <s v="D/L defect"/>
    <s v="D/L defect"/>
    <x v="2"/>
    <x v="0"/>
  </r>
  <r>
    <n v="5"/>
    <x v="24"/>
    <n v="2117"/>
    <s v="TV"/>
    <d v="2021-04-26T00:00:00"/>
    <d v="2021-04-26T00:00:00"/>
    <s v="SOEM"/>
    <s v="Line"/>
    <s v="TV"/>
    <x v="0"/>
    <s v="YSBM075CNO02"/>
    <s v="A5027725A$0004724_2113_YSBM075CNO02"/>
    <n v="2113"/>
    <s v="A-5027-725-X"/>
    <s v="SSV"/>
    <s v="na"/>
    <s v="na"/>
    <s v="B/L particle"/>
    <s v="Pol stain"/>
    <x v="0"/>
    <x v="0"/>
  </r>
  <r>
    <n v="6"/>
    <x v="24"/>
    <n v="2117"/>
    <s v="TV"/>
    <d v="2021-04-26T00:00:00"/>
    <d v="2021-04-26T00:00:00"/>
    <s v="SOEM"/>
    <s v="Line"/>
    <s v="TV"/>
    <x v="0"/>
    <s v="YSBM075CNO02"/>
    <s v="A5027725A$0006564_2113_YSBM075CNO02"/>
    <n v="2113"/>
    <s v="A-5027-725-X"/>
    <s v="SSV"/>
    <s v="na"/>
    <s v="na"/>
    <s v="G/D short"/>
    <s v="G/D short"/>
    <x v="2"/>
    <x v="0"/>
  </r>
  <r>
    <n v="7"/>
    <x v="24"/>
    <n v="2117"/>
    <s v="TV"/>
    <d v="2021-04-27T00:00:00"/>
    <d v="2021-04-27T00:00:00"/>
    <s v="SOEM"/>
    <s v="Line"/>
    <s v="TV"/>
    <x v="0"/>
    <s v="YSBM075CNO02"/>
    <s v="A5027725A$0006925_2114_YSBM075CNO02"/>
    <n v="2114"/>
    <s v="A-5027-725-X"/>
    <s v="SSV"/>
    <s v="na"/>
    <s v="na"/>
    <s v="B/L particle"/>
    <s v="B/L particle"/>
    <x v="5"/>
    <x v="0"/>
  </r>
  <r>
    <n v="8"/>
    <x v="0"/>
    <n v="2118"/>
    <s v="TV"/>
    <d v="2021-05-04T00:00:00"/>
    <d v="2021-05-04T00:00:00"/>
    <s v="SOEM"/>
    <s v="Line"/>
    <s v="TV"/>
    <x v="0"/>
    <s v="YSBM075CNO02"/>
    <s v="A5027725A$0002964_2112_YSBM075CNO02"/>
    <n v="2112"/>
    <s v="A-5027-725-X"/>
    <s v="SSV"/>
    <s v="na"/>
    <s v="na"/>
    <s v="Screw floating"/>
    <s v="Screw floating"/>
    <x v="11"/>
    <x v="0"/>
  </r>
  <r>
    <n v="9"/>
    <x v="26"/>
    <n v="2121"/>
    <s v="TV"/>
    <d v="2021-05-27T00:00:00"/>
    <d v="2021-05-27T00:00:00"/>
    <s v="SOEM"/>
    <s v="Line"/>
    <s v="TV"/>
    <x v="0"/>
    <s v="YSBM075CNO02"/>
    <s v="A5027725A$0009114_2116_YSBM075CNO02"/>
    <n v="2116"/>
    <s v="A-5027-725-X"/>
    <s v="SSV"/>
    <s v="na"/>
    <s v="na"/>
    <s v="D/L defect"/>
    <s v="D/L defect"/>
    <x v="2"/>
    <x v="0"/>
  </r>
  <r>
    <n v="10"/>
    <x v="26"/>
    <n v="2123"/>
    <s v="TV"/>
    <d v="2021-06-10T00:00:00"/>
    <d v="2021-05-27T00:00:00"/>
    <s v="SOEM"/>
    <s v="Line"/>
    <s v="TV"/>
    <x v="0"/>
    <s v="YSBM075CNO02"/>
    <s v="A5027725A$0011548_2117_YSBM075CNO02"/>
    <n v="2117"/>
    <s v="A-5027-725-X"/>
    <s v="SSV"/>
    <s v="na"/>
    <s v="na"/>
    <s v="D/L defect"/>
    <s v="D/L defect"/>
    <x v="2"/>
    <x v="0"/>
  </r>
  <r>
    <n v="11"/>
    <x v="29"/>
    <n v="2125"/>
    <s v="TV"/>
    <d v="2021-06-25T00:00:00"/>
    <d v="2021-06-25T00:00:00"/>
    <s v="SOEM"/>
    <s v="Line"/>
    <s v="TV"/>
    <x v="0"/>
    <s v="YSBM075CNO02"/>
    <s v="A5027725A$0012965_2119_YSBM075CNO02"/>
    <n v="2119"/>
    <s v="A-5027-725-X"/>
    <s v="SSV"/>
    <s v="na"/>
    <s v="na"/>
    <s v="Mura etc"/>
    <s v="B/L Sheet fail"/>
    <x v="10"/>
    <x v="0"/>
  </r>
  <r>
    <n v="12"/>
    <x v="29"/>
    <n v="2125"/>
    <s v="TV"/>
    <d v="2021-06-25T00:00:00"/>
    <d v="2021-06-25T00:00:00"/>
    <s v="SOEM"/>
    <s v="Line"/>
    <s v="TV"/>
    <x v="0"/>
    <s v="YSBM075CNO02"/>
    <s v="A5027725A$0012863_2119_YSBM075CNO02"/>
    <n v="2119"/>
    <s v="A-5027-725-X"/>
    <s v="SSV"/>
    <s v="na"/>
    <s v="na"/>
    <s v="D/B defect"/>
    <s v="D/B defect"/>
    <x v="2"/>
    <x v="0"/>
  </r>
  <r>
    <n v="13"/>
    <x v="8"/>
    <n v="2126"/>
    <s v="TV"/>
    <d v="2021-06-28T00:00:00"/>
    <d v="2021-06-28T00:00:00"/>
    <s v="SOEM"/>
    <s v="Line"/>
    <s v="TV"/>
    <x v="0"/>
    <s v="YSBM075CNO02"/>
    <s v="A5027725A$0012423_2119_YSBM075CNO02"/>
    <n v="2119"/>
    <s v="A-5027-725-X"/>
    <s v="SSV"/>
    <s v="na"/>
    <s v="na"/>
    <s v="No display (O-Cell)"/>
    <s v="No display (O-Cell)"/>
    <x v="1"/>
    <x v="0"/>
  </r>
  <r>
    <n v="14"/>
    <x v="4"/>
    <n v="2129"/>
    <s v="TV"/>
    <d v="2021-07-19T00:00:00"/>
    <d v="2021-07-19T00:00:00"/>
    <s v="SOEM"/>
    <s v="Line"/>
    <s v="TV"/>
    <x v="0"/>
    <s v="YSBM075CNO02"/>
    <s v="A5027725A$0014456_2120_YSBM075CNO02"/>
    <n v="2120"/>
    <s v="A-5027-725-X"/>
    <s v="SSV"/>
    <s v="na"/>
    <s v="na"/>
    <s v="D/L defect"/>
    <s v="D/L defect"/>
    <x v="2"/>
    <x v="0"/>
  </r>
  <r>
    <n v="15"/>
    <x v="4"/>
    <n v="2129"/>
    <s v="TV"/>
    <d v="2021-07-19T00:00:00"/>
    <d v="2021-07-19T00:00:00"/>
    <s v="SOEM"/>
    <s v="Line"/>
    <s v="TV"/>
    <x v="0"/>
    <s v="YSBM075CNO02"/>
    <s v="A5027725A$0013640_2120_YSBM075CNO02"/>
    <n v="2120"/>
    <s v="A-5027-725-X"/>
    <s v="SSV"/>
    <s v="na"/>
    <s v="na"/>
    <s v="B/L particle"/>
    <s v="B/L particle"/>
    <x v="5"/>
    <x v="0"/>
  </r>
  <r>
    <n v="16"/>
    <x v="5"/>
    <n v="2130"/>
    <s v="TV"/>
    <d v="2021-07-27T00:00:00"/>
    <d v="2021-07-27T00:00:00"/>
    <s v="SOEM"/>
    <s v="Line"/>
    <s v="TV"/>
    <x v="0"/>
    <s v="YSBM075CNO02"/>
    <s v="A5027725A$0015537_2121_YSBM075CNO02"/>
    <n v="2121"/>
    <s v="A-5027-725-X"/>
    <s v="SSV"/>
    <s v="na"/>
    <s v="na"/>
    <s v="D/L defect"/>
    <s v="D/L defect"/>
    <x v="2"/>
    <x v="0"/>
  </r>
  <r>
    <n v="17"/>
    <x v="5"/>
    <n v="2130"/>
    <s v="TV"/>
    <d v="2021-07-29T00:00:00"/>
    <d v="2021-07-29T00:00:00"/>
    <s v="SOEM"/>
    <s v="Line"/>
    <s v="TV"/>
    <x v="0"/>
    <s v="YSBM075CNO02"/>
    <s v="A5027725A$0016114_2123_YSBM075CNO02"/>
    <n v="2123"/>
    <s v="A-5027-725-X"/>
    <s v="SSV"/>
    <s v="na"/>
    <s v="na"/>
    <s v="D/L defect"/>
    <s v="D/L defect"/>
    <x v="2"/>
    <x v="0"/>
  </r>
  <r>
    <n v="18"/>
    <x v="5"/>
    <n v="2130"/>
    <s v="TV"/>
    <d v="2021-07-29T00:00:00"/>
    <d v="2021-07-29T00:00:00"/>
    <s v="SOEM"/>
    <s v="Line"/>
    <s v="TV"/>
    <x v="0"/>
    <s v="YSBM075CNO02"/>
    <s v="A5027725A$0016452_2123_YSBM075CNO02"/>
    <n v="2123"/>
    <s v="A-5027-725-X"/>
    <s v="SSV"/>
    <s v="na"/>
    <s v="na"/>
    <s v="Bezel Scratch"/>
    <s v="Bezel Scratch"/>
    <x v="8"/>
    <x v="0"/>
  </r>
  <r>
    <n v="19"/>
    <x v="10"/>
    <n v="2132"/>
    <s v="TV"/>
    <d v="2021-08-14T00:00:00"/>
    <d v="2021-08-14T00:00:00"/>
    <s v="SOEM"/>
    <s v="Line"/>
    <s v="TV"/>
    <x v="0"/>
    <s v="YSBM075CNO02"/>
    <s v="A5027725A$0017002_2123_YSBM075CNO02"/>
    <n v="2123"/>
    <s v="A-5027-725-X"/>
    <s v="SSV"/>
    <s v="na"/>
    <s v="na"/>
    <s v="D/L defect"/>
    <s v="D/L defect"/>
    <x v="2"/>
    <x v="0"/>
  </r>
  <r>
    <n v="20"/>
    <x v="10"/>
    <n v="2132"/>
    <s v="TV"/>
    <d v="2021-08-15T00:00:00"/>
    <d v="2021-08-15T00:00:00"/>
    <s v="SOEM"/>
    <s v="Line"/>
    <s v="TV"/>
    <x v="0"/>
    <s v="YSBM075CNO02"/>
    <s v="A5027725A$0018544_2125_YSBM075CNO02"/>
    <n v="2124"/>
    <s v="A-5027-725-X"/>
    <s v="SSV"/>
    <s v="na"/>
    <s v="na"/>
    <s v="Mura etc"/>
    <s v="LED fail"/>
    <x v="3"/>
    <x v="0"/>
  </r>
  <r>
    <n v="21"/>
    <x v="6"/>
    <n v="2133"/>
    <s v="TV"/>
    <d v="2021-08-16T00:00:00"/>
    <d v="2021-08-16T00:00:00"/>
    <s v="SOEM"/>
    <s v="Line"/>
    <s v="TV"/>
    <x v="0"/>
    <s v="YSBM075CNO02"/>
    <s v="A5027725A$0018096_2124_YSBM075CNO02"/>
    <n v="2124"/>
    <s v="A-5027-725-X"/>
    <s v="SSV"/>
    <s v="na"/>
    <s v="na"/>
    <s v="D/L defect"/>
    <s v="D/L defect"/>
    <x v="2"/>
    <x v="0"/>
  </r>
  <r>
    <n v="22"/>
    <x v="31"/>
    <n v="2134"/>
    <s v="TV"/>
    <d v="2021-08-25T00:00:00"/>
    <d v="2021-08-25T00:00:00"/>
    <s v="SOEM"/>
    <s v="Line"/>
    <s v="TV"/>
    <x v="0"/>
    <s v="YSBM075CNO02"/>
    <s v="A5027725A$0019637_2126_YSBM075CNO02"/>
    <n v="2126"/>
    <s v="A-5027-725-X"/>
    <s v="SSV"/>
    <s v="na"/>
    <s v="na"/>
    <s v="White spot"/>
    <s v="B/L stain"/>
    <x v="10"/>
    <x v="0"/>
  </r>
  <r>
    <n v="23"/>
    <x v="31"/>
    <n v="2134"/>
    <s v="TV"/>
    <d v="2021-08-25T00:00:00"/>
    <d v="2021-08-25T00:00:00"/>
    <s v="SOEM"/>
    <s v="Line"/>
    <s v="TV"/>
    <x v="0"/>
    <s v="YSBM075CNO02"/>
    <s v="A5027725A$0019357_2126_YSBM075CNO02"/>
    <n v="2126"/>
    <s v="A-5027-725-X"/>
    <s v="SSV"/>
    <s v="na"/>
    <s v="na"/>
    <s v="LED fail"/>
    <s v="LED fail"/>
    <x v="3"/>
    <x v="0"/>
  </r>
  <r>
    <n v="24"/>
    <x v="31"/>
    <n v="2134"/>
    <s v="TV"/>
    <d v="2021-08-25T00:00:00"/>
    <d v="2021-08-25T00:00:00"/>
    <s v="SOEM"/>
    <s v="Line"/>
    <s v="TV"/>
    <x v="0"/>
    <s v="YSBM075CNO02"/>
    <s v="A5027725A$0019453_2126_YSBM075CNO02"/>
    <n v="2126"/>
    <s v="A-5027-725-X"/>
    <s v="SSV"/>
    <s v="na"/>
    <s v="na"/>
    <s v="H-dot over"/>
    <s v="H-dot over"/>
    <x v="12"/>
    <x v="0"/>
  </r>
  <r>
    <n v="25"/>
    <x v="31"/>
    <n v="2134"/>
    <s v="TV"/>
    <d v="2021-08-26T00:00:00"/>
    <d v="2021-08-26T00:00:00"/>
    <s v="SOEM"/>
    <s v="Line"/>
    <s v="TV"/>
    <x v="0"/>
    <s v="YSBM075CNO02"/>
    <s v="A5027725A$0021650_2127_YSBM075CNO02"/>
    <n v="2127"/>
    <s v="A-5027-725-X"/>
    <s v="SSV"/>
    <s v="na"/>
    <s v="na"/>
    <s v="D/D short"/>
    <s v="D/D short"/>
    <x v="2"/>
    <x v="0"/>
  </r>
  <r>
    <n v="26"/>
    <x v="31"/>
    <n v="2134"/>
    <s v="TV"/>
    <d v="2021-08-26T00:00:00"/>
    <d v="2021-08-26T00:00:00"/>
    <s v="SOEM"/>
    <s v="Line"/>
    <s v="TV"/>
    <x v="0"/>
    <s v="YSBM075CNO02"/>
    <s v="A5027725A$0022521_2127_YSBM075CNO02"/>
    <n v="2127"/>
    <s v="A-5027-725-X"/>
    <s v="SSV"/>
    <s v="na"/>
    <s v="na"/>
    <s v="A/D etc"/>
    <s v="Noise"/>
    <x v="9"/>
    <x v="0"/>
  </r>
  <r>
    <n v="27"/>
    <x v="31"/>
    <n v="2134"/>
    <s v="TV"/>
    <d v="2021-08-26T00:00:00"/>
    <d v="2021-08-26T00:00:00"/>
    <s v="SOEM"/>
    <s v="Line"/>
    <s v="TV"/>
    <x v="0"/>
    <s v="YSBM075CNO02"/>
    <s v="A5027725A$0019226_2126_YSBM075CNO02"/>
    <n v="2126"/>
    <s v="A-5027-725-X"/>
    <s v="SSV"/>
    <s v="na"/>
    <s v="na"/>
    <s v="No display (T-con)"/>
    <s v="No display (T-con)"/>
    <x v="9"/>
    <x v="0"/>
  </r>
  <r>
    <n v="28"/>
    <x v="33"/>
    <n v="2136"/>
    <s v="TV"/>
    <d v="2021-09-07T00:00:00"/>
    <d v="2021-09-07T00:00:00"/>
    <s v="SOEM"/>
    <s v="Line"/>
    <s v="TV"/>
    <x v="0"/>
    <s v="YSBM075CNO02"/>
    <s v="A5027725A$0022986_2128_YSBM075CNO02"/>
    <n v="2128"/>
    <s v="A-5027-725-X"/>
    <s v="SSV"/>
    <s v="na"/>
    <s v="na"/>
    <s v="D/L defect"/>
    <s v="D/L defect"/>
    <x v="2"/>
    <x v="0"/>
  </r>
  <r>
    <n v="29"/>
    <x v="33"/>
    <n v="2136"/>
    <s v="TV"/>
    <d v="2021-09-07T00:00:00"/>
    <d v="2021-09-07T00:00:00"/>
    <s v="SOEM"/>
    <s v="Line"/>
    <s v="TV"/>
    <x v="0"/>
    <s v="YSBM075CNO02"/>
    <s v="A5027725A$0022850_2128_YSBM075CNO02"/>
    <n v="2128"/>
    <s v="A-5027-725-X"/>
    <s v="SSV"/>
    <s v="na"/>
    <s v="na"/>
    <s v="O-Cell A/D"/>
    <s v="O-Cell A/D"/>
    <x v="1"/>
    <x v="0"/>
  </r>
  <r>
    <n v="30"/>
    <x v="33"/>
    <n v="2136"/>
    <s v="TV"/>
    <d v="2021-09-08T00:00:00"/>
    <d v="2021-09-08T00:00:00"/>
    <s v="SOEM"/>
    <s v="Line"/>
    <s v="TV"/>
    <x v="0"/>
    <s v="YSBM075CNO02"/>
    <s v="A5027725A$0023653_2130_YSBM075CNO02"/>
    <n v="2130"/>
    <s v="A-5027-725-X"/>
    <s v="SSV"/>
    <s v="na"/>
    <s v="na"/>
    <s v="D/L defect"/>
    <s v="D/L defect"/>
    <x v="2"/>
    <x v="0"/>
  </r>
  <r>
    <n v="31"/>
    <x v="33"/>
    <n v="2136"/>
    <s v="TV"/>
    <d v="2021-09-08T00:00:00"/>
    <d v="2021-09-08T00:00:00"/>
    <s v="SOEM"/>
    <s v="Line"/>
    <s v="TV"/>
    <x v="0"/>
    <s v="YSBM075CNO02"/>
    <s v="A5027725A$0023566_2130_YSBM075CNO02"/>
    <n v="2130"/>
    <s v="A-5027-725-X"/>
    <s v="SSV"/>
    <s v="na"/>
    <s v="na"/>
    <s v="O-Cell A/D"/>
    <s v="O-Cell A/D"/>
    <x v="1"/>
    <x v="0"/>
  </r>
  <r>
    <n v="1"/>
    <x v="27"/>
    <n v="2137"/>
    <s v="TV"/>
    <d v="2021-09-13T00:00:00"/>
    <d v="2021-06-01T00:00:00"/>
    <s v="SOEM"/>
    <s v="Line"/>
    <s v="TV"/>
    <x v="12"/>
    <s v="YDAS075DND01"/>
    <s v="A5024290B$0003513_2130-YDAS075DNS02"/>
    <n v="2130"/>
    <s v="A5016527*"/>
    <s v="SSV"/>
    <s v="na"/>
    <s v="na"/>
    <s v="No display (O-Cell)"/>
    <s v="No display (O-Cell)"/>
    <x v="1"/>
    <x v="2"/>
  </r>
  <r>
    <n v="1"/>
    <x v="5"/>
    <n v="2130"/>
    <s v="TV"/>
    <d v="2021-07-31T00:00:00"/>
    <d v="2021-07-31T00:00:00"/>
    <s v="SOEM"/>
    <s v="Line"/>
    <s v="TV"/>
    <x v="5"/>
    <s v="YDBO075DAS02"/>
    <s v="A5039502A$0000166_2121-YDBO075DAS02"/>
    <n v="2121"/>
    <s v="A-5030-081-X"/>
    <s v="SSV"/>
    <s v="na"/>
    <s v="na"/>
    <s v="Pol dent"/>
    <s v="Pol dent"/>
    <x v="7"/>
    <x v="0"/>
  </r>
  <r>
    <n v="2"/>
    <x v="6"/>
    <n v="2133"/>
    <s v="TV"/>
    <d v="2021-08-20T00:00:00"/>
    <d v="2021-08-20T00:00:00"/>
    <s v="SOEM"/>
    <s v="Line"/>
    <s v="TV"/>
    <x v="5"/>
    <s v="YDBO075DAS02"/>
    <s v="A5039502A$0003575_2123-YDBO075DAS02"/>
    <n v="2123"/>
    <s v="A-5030-081-X"/>
    <s v="SSV"/>
    <s v="na"/>
    <s v="na"/>
    <s v="No display (T-con)"/>
    <s v="No display (T-con)"/>
    <x v="9"/>
    <x v="0"/>
  </r>
  <r>
    <n v="3"/>
    <x v="32"/>
    <n v="2135"/>
    <s v="TV"/>
    <d v="2021-09-04T00:00:00"/>
    <d v="2021-09-04T00:00:00"/>
    <s v="SOEM"/>
    <s v="Line"/>
    <s v="TV"/>
    <x v="5"/>
    <s v="YDBO075DAS02"/>
    <s v="A5039502A$0002914_2122-YDBO075DAS02"/>
    <n v="2122"/>
    <s v="A-5030-081-X"/>
    <s v="SSV"/>
    <s v="na"/>
    <s v="na"/>
    <s v="LED fail"/>
    <s v="LED fail"/>
    <x v="3"/>
    <x v="0"/>
  </r>
  <r>
    <n v="4"/>
    <x v="33"/>
    <n v="2136"/>
    <s v="TV"/>
    <d v="2021-09-07T00:00:00"/>
    <d v="2021-09-07T00:00:00"/>
    <s v="SOEM"/>
    <s v="Line"/>
    <s v="TV"/>
    <x v="5"/>
    <s v="YDBO075DAS02"/>
    <s v="A5039502A$0002856_2122-YDBO075DAS02"/>
    <n v="2122"/>
    <s v="A-5030-081-X"/>
    <s v="SSV"/>
    <s v="na"/>
    <s v="na"/>
    <s v="G/G short"/>
    <s v="G/G short"/>
    <x v="2"/>
    <x v="0"/>
  </r>
  <r>
    <n v="1"/>
    <x v="0"/>
    <n v="2118"/>
    <s v="na"/>
    <d v="2021-05-05T00:00:00"/>
    <d v="2021-05-05T00:00:00"/>
    <s v="SOEM"/>
    <s v="Line"/>
    <s v="na"/>
    <x v="2"/>
    <s v="YDBM075DCS02"/>
    <s v="A5027707A$0001758_2114-YDBM075DCS02"/>
    <n v="2114"/>
    <s v="A-5027-707-X"/>
    <s v="SSV"/>
    <s v="na"/>
    <s v="na"/>
    <s v="B/L particle"/>
    <s v="B/L particle"/>
    <x v="5"/>
    <x v="0"/>
  </r>
  <r>
    <n v="2"/>
    <x v="0"/>
    <n v="2118"/>
    <s v="na"/>
    <d v="2021-05-07T00:00:00"/>
    <d v="2021-05-07T00:00:00"/>
    <s v="SOEM"/>
    <s v="Line"/>
    <s v="na"/>
    <x v="2"/>
    <s v="YDBM075DCS02"/>
    <s v="A5027707A$0001236_2114-YDBM075DCS02"/>
    <n v="2114"/>
    <s v="A-5027-707-X"/>
    <s v="SSV"/>
    <s v="na"/>
    <s v="na"/>
    <s v="D/D short"/>
    <s v="D/D short"/>
    <x v="2"/>
    <x v="0"/>
  </r>
  <r>
    <n v="3"/>
    <x v="0"/>
    <n v="2118"/>
    <s v="na"/>
    <d v="2021-05-08T00:00:00"/>
    <d v="2021-05-08T00:00:00"/>
    <s v="SOEM"/>
    <s v="Line"/>
    <s v="na"/>
    <x v="2"/>
    <s v="YDBM075DCS02"/>
    <s v="A5027707A$0002707_2115-YDBM075DCS02"/>
    <n v="2115"/>
    <s v="A-5027-707-X"/>
    <s v="SSV"/>
    <s v="na"/>
    <s v="na"/>
    <s v="No display (T-con)"/>
    <s v="No display (T-con)"/>
    <x v="9"/>
    <x v="0"/>
  </r>
  <r>
    <n v="4"/>
    <x v="26"/>
    <n v="2121"/>
    <s v="na"/>
    <d v="2021-05-26T00:00:00"/>
    <d v="2021-05-26T00:00:00"/>
    <s v="SOEM"/>
    <s v="Line"/>
    <s v="na"/>
    <x v="2"/>
    <s v="YDBM075DCS02"/>
    <s v="A5027707B$0000428_2116-YDBM075DCS02"/>
    <n v="2116"/>
    <s v="A-5027-707-X"/>
    <s v="SSV"/>
    <s v="na"/>
    <s v="na"/>
    <s v="Mura etc"/>
    <s v="B/L Sheet fail"/>
    <x v="10"/>
    <x v="0"/>
  </r>
  <r>
    <n v="5"/>
    <x v="2"/>
    <n v="2123"/>
    <s v="na"/>
    <d v="2021-06-12T00:00:00"/>
    <d v="2021-06-12T00:00:00"/>
    <s v="SOEM"/>
    <s v="Line"/>
    <s v="na"/>
    <x v="2"/>
    <s v="YDBM075DCS02"/>
    <s v="A5027707A$0005871_2119-YDBM075DCS02"/>
    <n v="2119"/>
    <s v="A-5027-707-X"/>
    <s v="SSV"/>
    <s v="na"/>
    <s v="na"/>
    <s v="No display (O-Cell)"/>
    <s v="No display (O-Cell)"/>
    <x v="1"/>
    <x v="0"/>
  </r>
  <r>
    <n v="6"/>
    <x v="28"/>
    <n v="2124"/>
    <s v="na"/>
    <d v="2021-06-15T00:00:00"/>
    <d v="2021-06-15T00:00:00"/>
    <s v="SOEM"/>
    <s v="Line"/>
    <s v="na"/>
    <x v="2"/>
    <s v="YDBM075DCS02"/>
    <s v="A5027707B$0002167_2117-YDBM075DCS02"/>
    <n v="2117"/>
    <s v="A-5027-707-X"/>
    <s v="SSV"/>
    <s v="na"/>
    <s v="na"/>
    <s v="Pol stain"/>
    <s v="B/L stain"/>
    <x v="10"/>
    <x v="0"/>
  </r>
  <r>
    <n v="7"/>
    <x v="28"/>
    <n v="2124"/>
    <s v="na"/>
    <d v="2021-06-15T00:00:00"/>
    <d v="2021-06-15T00:00:00"/>
    <s v="SOEM"/>
    <s v="Line"/>
    <s v="na"/>
    <x v="2"/>
    <s v="YDBM075DCS02"/>
    <s v="A5027707B$0001973_2117-YDBM075DCS02"/>
    <n v="2117"/>
    <s v="A-5027-707-X"/>
    <s v="SSV"/>
    <s v="na"/>
    <s v="na"/>
    <s v="D/L defect"/>
    <s v="D/L defect"/>
    <x v="2"/>
    <x v="0"/>
  </r>
  <r>
    <n v="8"/>
    <x v="30"/>
    <n v="2128"/>
    <s v="na"/>
    <d v="2021-07-15T00:00:00"/>
    <d v="2021-07-15T00:00:00"/>
    <s v="SOEM"/>
    <s v="Line"/>
    <s v="na"/>
    <x v="2"/>
    <s v="YDBM075DCS02"/>
    <s v="A5027707A$0006609_2120-YDBM075DCS02"/>
    <n v="2120"/>
    <s v="A-5027-707-X"/>
    <s v="SSV"/>
    <s v="na"/>
    <s v="na"/>
    <s v="D/L defect"/>
    <s v="D/L defect"/>
    <x v="2"/>
    <x v="0"/>
  </r>
  <r>
    <n v="9"/>
    <x v="5"/>
    <n v="2130"/>
    <s v="na"/>
    <d v="2021-07-27T00:00:00"/>
    <d v="2021-07-27T00:00:00"/>
    <s v="SOEM"/>
    <s v="Line"/>
    <s v="na"/>
    <x v="2"/>
    <s v="YDBM075DCS02"/>
    <s v="A5027707A$0007646_2121-YDBM075DCS02"/>
    <n v="2121"/>
    <s v="A-5027-707-X"/>
    <s v="SSV"/>
    <s v="na"/>
    <s v="na"/>
    <s v="D/L defect"/>
    <s v="D/L defect"/>
    <x v="2"/>
    <x v="0"/>
  </r>
  <r>
    <n v="10"/>
    <x v="64"/>
    <n v="2131"/>
    <s v="na"/>
    <d v="2021-08-08T00:00:00"/>
    <d v="2021-08-08T00:00:00"/>
    <s v="SOEM"/>
    <s v="Line"/>
    <s v="na"/>
    <x v="2"/>
    <s v="YDBM075DCS02"/>
    <s v="A5027707A$0008663_2123-YDBM075DCS02"/>
    <n v="2123"/>
    <s v="A-5027-707-X"/>
    <s v="SSV"/>
    <s v="na"/>
    <s v="na"/>
    <s v="B/L particle"/>
    <s v="B/L particle"/>
    <x v="5"/>
    <x v="0"/>
  </r>
  <r>
    <n v="11"/>
    <x v="64"/>
    <n v="2132"/>
    <s v="na"/>
    <d v="2021-08-09T00:00:00"/>
    <d v="2021-08-08T00:00:00"/>
    <s v="SOEM"/>
    <s v="Line"/>
    <s v="na"/>
    <x v="2"/>
    <s v="YDBM075DCS02"/>
    <s v="A5027707A$0008509_2123-YDBM075DCS02"/>
    <n v="2123"/>
    <s v="A-5027-707-X"/>
    <s v="SSV"/>
    <s v="na"/>
    <s v="na"/>
    <s v="D/L defect"/>
    <s v="D/L defect"/>
    <x v="2"/>
    <x v="0"/>
  </r>
  <r>
    <n v="12"/>
    <x v="64"/>
    <n v="2132"/>
    <s v="na"/>
    <d v="2021-08-09T00:00:00"/>
    <d v="2021-08-08T00:00:00"/>
    <s v="SOEM"/>
    <s v="Line"/>
    <s v="na"/>
    <x v="2"/>
    <s v="YDBM075DCS02"/>
    <s v="A5027707A$0008154_2122-YDBM075DCS02"/>
    <n v="2122"/>
    <s v="A-5027-707-X"/>
    <s v="SSV"/>
    <s v="na"/>
    <s v="na"/>
    <s v="O-Cell A/D"/>
    <s v="O-Cell A/D"/>
    <x v="1"/>
    <x v="0"/>
  </r>
  <r>
    <n v="13"/>
    <x v="31"/>
    <n v="2134"/>
    <s v="na"/>
    <d v="2021-08-27T00:00:00"/>
    <d v="2021-08-27T00:00:00"/>
    <s v="SOEM"/>
    <s v="Line"/>
    <s v="na"/>
    <x v="2"/>
    <s v="YDBM075DCS02"/>
    <s v="A5027707A$0010120_2124-YDBM075DCS02"/>
    <n v="2124"/>
    <s v="A-5027-707-X"/>
    <s v="SSV"/>
    <s v="na"/>
    <s v="na"/>
    <s v="B/L particle"/>
    <s v="B/L particle"/>
    <x v="5"/>
    <x v="0"/>
  </r>
  <r>
    <n v="14"/>
    <x v="34"/>
    <n v="2137"/>
    <s v="na"/>
    <d v="2021-09-14T00:00:00"/>
    <d v="2021-09-14T00:00:00"/>
    <s v="SOEM"/>
    <s v="Line"/>
    <s v="na"/>
    <x v="2"/>
    <s v="YDBM075DCS02"/>
    <s v="A5027707C$0000099_2128-YDBM075DCS03"/>
    <n v="2128"/>
    <s v="A-5027-707-X"/>
    <s v="SSV"/>
    <s v="na"/>
    <s v="na"/>
    <s v="D/L defect"/>
    <s v="D/L defect"/>
    <x v="2"/>
    <x v="0"/>
  </r>
  <r>
    <n v="15"/>
    <x v="34"/>
    <n v="2137"/>
    <s v="na"/>
    <d v="2021-09-14T00:00:00"/>
    <d v="2021-09-14T00:00:00"/>
    <s v="SOEM"/>
    <s v="Line"/>
    <s v="na"/>
    <x v="2"/>
    <s v="YDBM075DCS02"/>
    <s v="A5027707C$0000200_2128-YDBM075DCS04"/>
    <n v="2128"/>
    <s v="A-5027-707-X"/>
    <s v="SSV"/>
    <s v="na"/>
    <s v="na"/>
    <s v="D/L defect"/>
    <s v="D/L defect"/>
    <x v="2"/>
    <x v="0"/>
  </r>
  <r>
    <n v="16"/>
    <x v="34"/>
    <n v="2137"/>
    <s v="na"/>
    <d v="2021-09-15T00:00:00"/>
    <d v="2021-09-15T00:00:00"/>
    <s v="SOEM"/>
    <s v="Line"/>
    <s v="na"/>
    <x v="2"/>
    <s v="YDBM075DCS02"/>
    <s v="A5027707C$0000238_2128-YDBM075DCS04"/>
    <n v="2128"/>
    <s v="A-5027-707-X"/>
    <s v="SSV"/>
    <s v="na"/>
    <s v="na"/>
    <s v="D/L defect"/>
    <s v="D/L defect"/>
    <x v="2"/>
    <x v="0"/>
  </r>
  <r>
    <n v="17"/>
    <x v="34"/>
    <n v="2137"/>
    <s v="na"/>
    <d v="2021-09-16T00:00:00"/>
    <d v="2021-09-15T00:00:00"/>
    <s v="SOEM"/>
    <s v="Line"/>
    <s v="na"/>
    <x v="2"/>
    <s v="YDBM075DCS02"/>
    <s v="A5027707C$0000073_2128-YDBM075DCS04"/>
    <n v="2128"/>
    <s v="A-5027-707-X"/>
    <s v="SSV"/>
    <s v="na"/>
    <s v="na"/>
    <s v="G/B defect"/>
    <s v="G/B defect"/>
    <x v="2"/>
    <x v="0"/>
  </r>
  <r>
    <n v="18"/>
    <x v="34"/>
    <n v="2137"/>
    <s v="na"/>
    <d v="2021-09-16T00:00:00"/>
    <d v="2021-09-15T00:00:00"/>
    <s v="SOEM"/>
    <s v="Line"/>
    <s v="na"/>
    <x v="2"/>
    <s v="YDBM075DCS02"/>
    <s v="A5027707C$0000277_2128-YDBM075DCS04"/>
    <n v="2128"/>
    <s v="A-5027-707-X"/>
    <s v="SSV"/>
    <s v="na"/>
    <s v="na"/>
    <s v="D/L defect"/>
    <s v="D/L defect"/>
    <x v="2"/>
    <x v="0"/>
  </r>
  <r>
    <n v="19"/>
    <x v="34"/>
    <n v="2137"/>
    <s v="na"/>
    <d v="2021-09-17T00:00:00"/>
    <d v="2021-09-15T00:00:00"/>
    <s v="SOEM"/>
    <s v="Line"/>
    <s v="na"/>
    <x v="2"/>
    <s v="YDBM075DCS02"/>
    <s v="A5027707C$0002355_2130-YDBM075DCS04"/>
    <n v="2130"/>
    <s v="A-5027-707-X"/>
    <s v="SSV"/>
    <s v="na"/>
    <s v="na"/>
    <s v="Screw hole Fail"/>
    <s v="Screw hole Fail"/>
    <x v="11"/>
    <x v="0"/>
  </r>
  <r>
    <n v="20"/>
    <x v="34"/>
    <n v="2137"/>
    <s v="na"/>
    <d v="2021-09-17T00:00:00"/>
    <d v="2021-09-15T00:00:00"/>
    <s v="SOEM"/>
    <s v="Line"/>
    <s v="na"/>
    <x v="2"/>
    <s v="YDBM075DCS02"/>
    <s v="A5027707C$0002315_2130-YDBM075DCS04"/>
    <n v="2130"/>
    <s v="A-5027-707-X"/>
    <s v="SSV"/>
    <s v="na"/>
    <s v="na"/>
    <s v="D/L defect"/>
    <s v="D/L defect"/>
    <x v="2"/>
    <x v="0"/>
  </r>
  <r>
    <n v="1"/>
    <x v="1"/>
    <n v="2120"/>
    <s v="na"/>
    <d v="2021-05-20T00:00:00"/>
    <d v="2021-05-20T00:00:00"/>
    <s v="SOEM"/>
    <s v="Line"/>
    <s v="na"/>
    <x v="17"/>
    <s v="YDBM075CCS02"/>
    <s v="A5027719A$0001855_2115-YDBM075CCS02"/>
    <n v="2115"/>
    <s v="A-5027-719-X"/>
    <s v="SSV"/>
    <s v="na"/>
    <s v="na"/>
    <s v="Pol scratch "/>
    <s v="Pol scratch "/>
    <x v="7"/>
    <x v="0"/>
  </r>
  <r>
    <n v="2"/>
    <x v="1"/>
    <n v="2122"/>
    <s v="na"/>
    <d v="2021-06-03T00:00:00"/>
    <d v="2021-05-20T00:00:00"/>
    <s v="SOEM"/>
    <s v="Line"/>
    <s v="na"/>
    <x v="17"/>
    <s v="YDBM075CCS02"/>
    <s v="A5027719A$0002625_2116-YDBM075CCS02"/>
    <n v="2116"/>
    <s v="A-5027-719-X"/>
    <s v="SSV"/>
    <s v="na"/>
    <s v="na"/>
    <s v="Mura etc"/>
    <s v="B/L Sheet fail"/>
    <x v="10"/>
    <x v="0"/>
  </r>
  <r>
    <n v="3"/>
    <x v="2"/>
    <n v="2123"/>
    <s v="na"/>
    <d v="2021-06-08T00:00:00"/>
    <d v="2021-06-08T00:00:00"/>
    <s v="SOEM"/>
    <s v="Line"/>
    <s v="na"/>
    <x v="17"/>
    <s v="YDBM075CCS02"/>
    <s v="A5027719A$0003412_2117-YDBM075CCS02"/>
    <n v="2117"/>
    <s v="A-5027-719-X"/>
    <s v="SSV"/>
    <s v="na"/>
    <s v="na"/>
    <s v="Pol stain"/>
    <s v="B/L stain"/>
    <x v="10"/>
    <x v="0"/>
  </r>
  <r>
    <n v="4"/>
    <x v="2"/>
    <n v="2123"/>
    <s v="na"/>
    <d v="2021-06-10T00:00:00"/>
    <d v="2021-06-10T00:00:00"/>
    <s v="SOEM"/>
    <s v="Line"/>
    <s v="na"/>
    <x v="17"/>
    <s v="YDBM075CCS02"/>
    <s v="A5027719A$0005720_2118-YDBM075CCS02"/>
    <n v="2118"/>
    <s v="A-5027-719-X"/>
    <s v="SSV"/>
    <s v="na"/>
    <s v="na"/>
    <s v="B/L particle"/>
    <s v="B/L particle"/>
    <x v="5"/>
    <x v="0"/>
  </r>
  <r>
    <n v="5"/>
    <x v="30"/>
    <n v="2128"/>
    <s v="na"/>
    <d v="2021-07-15T00:00:00"/>
    <d v="2021-07-15T00:00:00"/>
    <s v="SOEM"/>
    <s v="Line"/>
    <s v="na"/>
    <x v="17"/>
    <s v="YDBM075CCS02"/>
    <s v="A5027719A$0004209_2118-YDBM075CCS02"/>
    <n v="2118"/>
    <s v="A-5027-719-X"/>
    <s v="SSV"/>
    <s v="na"/>
    <s v="na"/>
    <s v="D/L defect"/>
    <s v="D/L defect"/>
    <x v="2"/>
    <x v="0"/>
  </r>
  <r>
    <n v="6"/>
    <x v="30"/>
    <n v="2130"/>
    <s v="na"/>
    <d v="2021-07-28T00:00:00"/>
    <d v="2021-07-15T00:00:00"/>
    <s v="SOEM"/>
    <s v="Line"/>
    <s v="na"/>
    <x v="17"/>
    <s v="YDBM075CCS02"/>
    <s v="A5027719A$0007554_2120-YDBM075CCS02"/>
    <n v="2120"/>
    <s v="A-5027-719-X"/>
    <s v="SSV"/>
    <s v="na"/>
    <s v="na"/>
    <s v="D/B defect"/>
    <s v="D/B defect"/>
    <x v="2"/>
    <x v="0"/>
  </r>
  <r>
    <n v="7"/>
    <x v="10"/>
    <n v="2132"/>
    <s v="na"/>
    <d v="2021-08-11T00:00:00"/>
    <d v="2021-08-11T00:00:00"/>
    <s v="SOEM"/>
    <s v="Line"/>
    <s v="na"/>
    <x v="17"/>
    <s v="YDBM075CCS02"/>
    <s v="A5027719A$0009817_2125-YDBM075CCS02"/>
    <n v="2125"/>
    <s v="A-5027-719-X"/>
    <s v="SSV"/>
    <s v="na"/>
    <s v="na"/>
    <s v="White spot"/>
    <s v="B/L stain"/>
    <x v="10"/>
    <x v="0"/>
  </r>
  <r>
    <n v="8"/>
    <x v="10"/>
    <n v="2132"/>
    <s v="na"/>
    <d v="2021-08-12T00:00:00"/>
    <d v="2021-08-12T00:00:00"/>
    <s v="SOEM"/>
    <s v="Line"/>
    <s v="na"/>
    <x v="17"/>
    <s v="YDBM075CCS02"/>
    <s v="A5027719A$0008286_2124-YDBM075CCS02"/>
    <n v="2124"/>
    <s v="A-5027-719-X"/>
    <s v="SSV"/>
    <s v="na"/>
    <s v="na"/>
    <s v="LED fail"/>
    <s v="LED fail"/>
    <x v="3"/>
    <x v="0"/>
  </r>
  <r>
    <n v="9"/>
    <x v="6"/>
    <n v="2133"/>
    <s v="na"/>
    <d v="2021-08-19T00:00:00"/>
    <d v="2021-08-19T00:00:00"/>
    <s v="SOEM"/>
    <s v="Line"/>
    <s v="na"/>
    <x v="17"/>
    <s v="YDBM075CCS02"/>
    <s v="A5027719A$0008569_2124-YDBM075CCS02"/>
    <n v="2124"/>
    <s v="A-5027-719-X"/>
    <s v="SSV"/>
    <s v="na"/>
    <s v="na"/>
    <s v="D/L defect"/>
    <s v="D/L defect"/>
    <x v="2"/>
    <x v="0"/>
  </r>
  <r>
    <n v="10"/>
    <x v="6"/>
    <n v="2133"/>
    <s v="na"/>
    <d v="2021-08-19T00:00:00"/>
    <d v="2021-08-19T00:00:00"/>
    <s v="SOEM"/>
    <s v="Line"/>
    <s v="na"/>
    <x v="17"/>
    <s v="YDBM075CCS02"/>
    <s v="A5027719A$0009036_2124-YDBM075CCS02"/>
    <n v="2124"/>
    <s v="A-5027-719-X"/>
    <s v="SSV"/>
    <s v="na"/>
    <s v="na"/>
    <s v="Chassis bent"/>
    <s v="Chassis bent"/>
    <x v="11"/>
    <x v="0"/>
  </r>
  <r>
    <n v="11"/>
    <x v="31"/>
    <n v="2134"/>
    <s v="na"/>
    <d v="2021-08-27T00:00:00"/>
    <d v="2021-08-27T00:00:00"/>
    <s v="SOEM"/>
    <s v="Line"/>
    <s v="na"/>
    <x v="17"/>
    <s v="YDBM075CCS02"/>
    <s v="A5027719A$0010477_2126-YDBM075CCS02"/>
    <n v="2126"/>
    <s v="A-5027-719-X"/>
    <s v="SSV"/>
    <s v="na"/>
    <s v="na"/>
    <s v="LED fail"/>
    <s v="LED fail"/>
    <x v="3"/>
    <x v="0"/>
  </r>
  <r>
    <n v="12"/>
    <x v="6"/>
    <n v="2137"/>
    <s v="na"/>
    <d v="2021-09-15T00:00:00"/>
    <d v="2021-08-19T00:00:00"/>
    <s v="SOEM"/>
    <s v="Line"/>
    <s v="na"/>
    <x v="17"/>
    <s v="YDBM075CCS02"/>
    <s v="A5027719C$0010477_2126-YDBM075CCS02"/>
    <n v="2126"/>
    <s v="A-5027-719-X"/>
    <s v="SSV"/>
    <s v="na"/>
    <s v="na"/>
    <s v="No display (O-Cell)"/>
    <s v="No display (O-Cell)"/>
    <x v="1"/>
    <x v="0"/>
  </r>
  <r>
    <n v="13"/>
    <x v="34"/>
    <n v="2137"/>
    <s v="na"/>
    <d v="2021-09-18T00:00:00"/>
    <d v="2021-09-18T00:00:00"/>
    <s v="SOEM"/>
    <s v="Line"/>
    <s v="na"/>
    <x v="17"/>
    <s v="YDBM075CCS02"/>
    <s v="A5027719C$0000925_2130-YDBM075CCS02"/>
    <n v="2130"/>
    <s v="A-5027-719-X"/>
    <s v="SSV"/>
    <s v="na"/>
    <s v="na"/>
    <s v="D/L defect"/>
    <s v="D/L defect"/>
    <x v="2"/>
    <x v="0"/>
  </r>
  <r>
    <n v="14"/>
    <x v="34"/>
    <n v="2137"/>
    <s v="na"/>
    <d v="2021-09-18T00:00:00"/>
    <d v="2021-09-18T00:00:00"/>
    <s v="SOEM"/>
    <s v="Line"/>
    <s v="na"/>
    <x v="17"/>
    <s v="YDBM075CCS02"/>
    <s v="A5027719C$0001097_2130-YDBM075CCS02"/>
    <n v="2130"/>
    <s v="A-5027-719-X"/>
    <s v="SSV"/>
    <s v="na"/>
    <s v="na"/>
    <s v="O-Cell A/D"/>
    <s v="O-Cell A/D"/>
    <x v="1"/>
    <x v="0"/>
  </r>
  <r>
    <n v="15"/>
    <x v="34"/>
    <n v="2137"/>
    <s v="na"/>
    <d v="2021-09-18T00:00:00"/>
    <d v="2021-09-18T00:00:00"/>
    <s v="SOEM"/>
    <s v="Line"/>
    <s v="na"/>
    <x v="17"/>
    <s v="YDBM075CCS02"/>
    <s v="A5027719C$0002054_2131-YDBM075CCS02"/>
    <n v="2131"/>
    <s v="A-5027-719-X"/>
    <s v="SSV"/>
    <s v="na"/>
    <s v="na"/>
    <s v="White spot"/>
    <s v="B/L stain"/>
    <x v="10"/>
    <x v="0"/>
  </r>
  <r>
    <n v="1"/>
    <x v="67"/>
    <n v="2002"/>
    <s v="na"/>
    <d v="2020-01-08T00:00:00"/>
    <d v="2020-01-08T00:00:00"/>
    <s v="SOEM"/>
    <s v="Line"/>
    <s v="na"/>
    <x v="1"/>
    <s v="na"/>
    <s v="na"/>
    <s v="na"/>
    <s v="na"/>
    <s v="na"/>
    <s v="na"/>
    <s v="na"/>
    <s v="D/B defect"/>
    <s v="D/B defect"/>
    <x v="2"/>
    <x v="1"/>
  </r>
  <r>
    <n v="5"/>
    <x v="68"/>
    <n v="2007"/>
    <s v="na"/>
    <d v="2020-02-12T00:00:00"/>
    <d v="2020-02-12T00:00:00"/>
    <s v="SOEM"/>
    <s v="Line"/>
    <s v="na"/>
    <x v="1"/>
    <s v="na"/>
    <s v="na"/>
    <s v="na"/>
    <s v="na"/>
    <s v="na"/>
    <s v="na"/>
    <s v="na"/>
    <s v="LED fail"/>
    <s v="LED fail"/>
    <x v="3"/>
    <x v="1"/>
  </r>
  <r>
    <n v="6"/>
    <x v="68"/>
    <n v="2007"/>
    <s v="TV"/>
    <d v="2020-02-11T00:00:00"/>
    <d v="2020-02-12T00:00:00"/>
    <s v="SOEM"/>
    <s v="Line"/>
    <s v="TV"/>
    <x v="10"/>
    <s v="YSAS075CNG02"/>
    <s v="A5013706A$0001189_1951-YSAS075CNG02"/>
    <n v="1951"/>
    <s v="A-5013-706-**"/>
    <s v="SSV"/>
    <s v="na"/>
    <s v="na"/>
    <s v="Standby 6x"/>
    <s v="LED fail"/>
    <x v="3"/>
    <x v="2"/>
  </r>
  <r>
    <n v="7"/>
    <x v="68"/>
    <n v="2007"/>
    <s v="TV"/>
    <d v="2020-02-14T00:00:00"/>
    <d v="2020-02-15T00:00:00"/>
    <s v="SOEM"/>
    <s v="Line"/>
    <s v="TV"/>
    <x v="10"/>
    <s v="YSAS075CNG02"/>
    <s v="A5013706A$0001298_1951-YSAS075CNG02"/>
    <n v="1951"/>
    <s v="A-5013-706-**"/>
    <s v="SSV"/>
    <s v="na"/>
    <s v="na"/>
    <s v="Standby 5x"/>
    <s v="No display (T-con)"/>
    <x v="9"/>
    <x v="2"/>
  </r>
  <r>
    <n v="8"/>
    <x v="69"/>
    <n v="2020"/>
    <s v="TV"/>
    <d v="2020-05-16T00:00:00"/>
    <d v="2020-05-16T00:00:00"/>
    <s v="SOEM"/>
    <s v="Line"/>
    <s v="TV"/>
    <x v="10"/>
    <s v="YSAS075CNG02"/>
    <s v="A5013706A$0007692_2007-YSAS075CNG02"/>
    <n v="2007"/>
    <s v="A-5013-706-**"/>
    <s v="SSV"/>
    <s v="na"/>
    <s v="na"/>
    <s v="D/L defect"/>
    <s v="D/L defect"/>
    <x v="2"/>
    <x v="2"/>
  </r>
  <r>
    <n v="9"/>
    <x v="69"/>
    <n v="2020"/>
    <s v="TV"/>
    <d v="2020-05-16T00:00:00"/>
    <d v="2020-05-16T00:00:00"/>
    <s v="SOEM"/>
    <s v="Line"/>
    <s v="TV"/>
    <x v="10"/>
    <s v="YSAS075CNG02"/>
    <s v="A5013706A$0007660_2007-YSAS075CNG02"/>
    <n v="2007"/>
    <s v="A-5013-706-**"/>
    <s v="SSV"/>
    <s v="na"/>
    <s v="na"/>
    <s v="D/L defect"/>
    <s v="D/L defect"/>
    <x v="2"/>
    <x v="2"/>
  </r>
  <r>
    <n v="10"/>
    <x v="43"/>
    <n v="2021"/>
    <s v="TV"/>
    <d v="2020-05-18T00:00:00"/>
    <d v="2020-05-18T00:00:00"/>
    <s v="SOEM"/>
    <s v="Line"/>
    <s v="TV"/>
    <x v="10"/>
    <s v="YSAS075CNG02"/>
    <s v="A5013706A$0008342_2011_YSAS075CNG02"/>
    <n v="2011"/>
    <s v="A-5013-706-**"/>
    <s v="SSV"/>
    <s v="na"/>
    <s v="na"/>
    <s v="O-Cell A/D"/>
    <s v="O-Cell A/D"/>
    <x v="1"/>
    <x v="2"/>
  </r>
  <r>
    <n v="11"/>
    <x v="38"/>
    <n v="2023"/>
    <s v="TV"/>
    <d v="2020-06-03T00:00:00"/>
    <d v="2020-06-03T00:00:00"/>
    <s v="SOEM"/>
    <s v="Line"/>
    <s v="TV"/>
    <x v="10"/>
    <s v="YSAS075CNG02"/>
    <s v="A5013706A$0008413_2011-YSAS075CNG02"/>
    <n v="2011"/>
    <s v="A-5013-706-**"/>
    <s v="SSV"/>
    <s v="na"/>
    <s v="na"/>
    <s v="Mura etc"/>
    <s v="B/L sheet wrinkle"/>
    <x v="10"/>
    <x v="2"/>
  </r>
  <r>
    <n v="12"/>
    <x v="38"/>
    <n v="2023"/>
    <s v="TV"/>
    <d v="2020-06-03T00:00:00"/>
    <d v="2020-06-03T00:00:00"/>
    <s v="SOEM"/>
    <s v="Line"/>
    <s v="TV"/>
    <x v="10"/>
    <s v="YSAS075CNG02"/>
    <s v="A5013706A$0000059_1949-YSAS075CNG02"/>
    <n v="1949"/>
    <s v="A-5013-706-**"/>
    <s v="SSV"/>
    <s v="na"/>
    <s v="na"/>
    <s v="Mura etc"/>
    <s v="B/L sheet wrinkle"/>
    <x v="10"/>
    <x v="2"/>
  </r>
  <r>
    <n v="13"/>
    <x v="38"/>
    <n v="2023"/>
    <s v="TV"/>
    <d v="2020-06-03T00:00:00"/>
    <d v="2020-06-03T00:00:00"/>
    <s v="SOEM"/>
    <s v="Line"/>
    <s v="TV"/>
    <x v="10"/>
    <s v="YSAS075CNG02"/>
    <s v="A5013706A$0008925_2011-YSAS075CNG02"/>
    <n v="2011"/>
    <s v="A-5013-706-**"/>
    <s v="SSV"/>
    <s v="na"/>
    <s v="na"/>
    <s v="LED fail"/>
    <s v="LED fail"/>
    <x v="3"/>
    <x v="2"/>
  </r>
  <r>
    <n v="14"/>
    <x v="38"/>
    <n v="2023"/>
    <s v="TV"/>
    <d v="2020-06-03T00:00:00"/>
    <d v="2020-06-03T00:00:00"/>
    <s v="SOEM"/>
    <s v="Line"/>
    <s v="TV"/>
    <x v="10"/>
    <s v="YSAS075CNG02"/>
    <s v="A5013706A$0008372_2011-YSAS075CNG02"/>
    <n v="2011"/>
    <s v="A-5013-706-**"/>
    <s v="SSV"/>
    <s v="na"/>
    <s v="na"/>
    <s v="Mura etc"/>
    <s v="Chassis bent"/>
    <x v="11"/>
    <x v="2"/>
  </r>
  <r>
    <n v="15"/>
    <x v="44"/>
    <n v="2024"/>
    <s v="TV"/>
    <d v="2020-06-12T00:00:00"/>
    <d v="2020-06-12T00:00:00"/>
    <s v="SOEM"/>
    <s v="Line"/>
    <s v="TV"/>
    <x v="10"/>
    <s v="YSAS075CNG02"/>
    <s v="A5013706A$0010696_2014-YSAS075CNG02"/>
    <n v="2014"/>
    <s v="A-5013-706-**"/>
    <s v="SSV"/>
    <s v="na"/>
    <s v="na"/>
    <s v="Pol particle "/>
    <s v="Pol particle "/>
    <x v="0"/>
    <x v="2"/>
  </r>
  <r>
    <n v="16"/>
    <x v="44"/>
    <n v="2024"/>
    <s v="TV"/>
    <d v="2020-06-12T00:00:00"/>
    <d v="2020-06-12T00:00:00"/>
    <s v="SOEM"/>
    <s v="Line"/>
    <s v="TV"/>
    <x v="10"/>
    <s v="YSAS075CNG02"/>
    <s v="A5013706A$0011147_2015-YSAS075CNG02"/>
    <n v="2015"/>
    <s v="A-5013-706-**"/>
    <s v="SSV"/>
    <s v="na"/>
    <s v="na"/>
    <s v="Pol particle "/>
    <s v="Pol particle "/>
    <x v="0"/>
    <x v="2"/>
  </r>
  <r>
    <n v="18"/>
    <x v="44"/>
    <n v="2024"/>
    <s v="TV"/>
    <d v="2020-06-13T00:00:00"/>
    <d v="2020-06-13T00:00:00"/>
    <s v="SOEM"/>
    <s v="Line"/>
    <s v="TV"/>
    <x v="10"/>
    <s v="YSAS075CNG02"/>
    <s v="A5013706A$0011973_2015-YSAS075CNG02"/>
    <n v="2015"/>
    <s v="A-5013-706-**"/>
    <s v="SSV"/>
    <s v="na"/>
    <s v="na"/>
    <s v="Pol particle "/>
    <s v="Pol particle "/>
    <x v="0"/>
    <x v="2"/>
  </r>
  <r>
    <n v="20"/>
    <x v="44"/>
    <n v="2024"/>
    <s v="TV"/>
    <d v="2020-06-13T00:00:00"/>
    <d v="2020-06-13T00:00:00"/>
    <s v="SOEM"/>
    <s v="Line"/>
    <s v="TV"/>
    <x v="10"/>
    <s v="YSAS075CNG02"/>
    <s v="A5013706A$0010430_2014-YSAS075CNG02"/>
    <n v="2014"/>
    <s v="A-5013-706-**"/>
    <s v="SSV"/>
    <s v="na"/>
    <s v="na"/>
    <s v="Pol particle "/>
    <s v="Pol particle "/>
    <x v="0"/>
    <x v="2"/>
  </r>
  <r>
    <n v="19"/>
    <x v="44"/>
    <n v="2024"/>
    <s v="TV"/>
    <d v="2020-06-13T00:00:00"/>
    <d v="2020-06-13T00:00:00"/>
    <s v="SOEM"/>
    <s v="Line"/>
    <s v="TV"/>
    <x v="10"/>
    <s v="YSAS075CNG02"/>
    <s v="A5013706A$0011698_2015-YSAS075CNG02"/>
    <n v="2015"/>
    <s v="A-5013-706-**"/>
    <s v="SSV"/>
    <s v="na"/>
    <s v="na"/>
    <s v="D/L open"/>
    <s v="D/L open"/>
    <x v="2"/>
    <x v="2"/>
  </r>
  <r>
    <n v="21"/>
    <x v="45"/>
    <n v="2025"/>
    <s v="TV"/>
    <d v="2020-06-16T00:00:00"/>
    <d v="2020-06-16T00:00:00"/>
    <s v="SOEM"/>
    <s v="Line"/>
    <s v="TV"/>
    <x v="10"/>
    <s v="YSAS075CNG02"/>
    <s v="A5013706A$0010972_2014-YSAS075CNG02"/>
    <n v="2014"/>
    <s v="A-5013-706-**"/>
    <s v="SSV"/>
    <s v="na"/>
    <s v="na"/>
    <s v="Pol particle "/>
    <s v="Pol particle "/>
    <x v="0"/>
    <x v="2"/>
  </r>
  <r>
    <n v="22"/>
    <x v="45"/>
    <n v="2025"/>
    <s v="TV"/>
    <d v="2020-06-17T00:00:00"/>
    <d v="2020-06-17T00:00:00"/>
    <s v="SOEM"/>
    <s v="Line"/>
    <s v="TV"/>
    <x v="10"/>
    <s v="YSAS075CNG02"/>
    <s v="A5013706A$0010854_2014-YSAS075CNG02"/>
    <n v="2014"/>
    <s v="A-5013-706-**"/>
    <s v="SSV"/>
    <s v="na"/>
    <s v="na"/>
    <s v="Pol particle "/>
    <s v="Pol particle "/>
    <x v="0"/>
    <x v="2"/>
  </r>
  <r>
    <n v="23"/>
    <x v="46"/>
    <n v="2026"/>
    <s v="TV"/>
    <d v="2020-06-23T00:00:00"/>
    <d v="2020-06-23T00:00:00"/>
    <s v="SOEM"/>
    <s v="Line"/>
    <s v="TV"/>
    <x v="10"/>
    <s v="YSAS075CNG02"/>
    <s v="A5013706A$0015615_2020-YSAS075CNG02"/>
    <n v="2020"/>
    <s v="A-5013-706-**"/>
    <s v="SSV"/>
    <s v="na"/>
    <s v="na"/>
    <s v="Mura etc"/>
    <s v="Mura etc"/>
    <x v="6"/>
    <x v="2"/>
  </r>
  <r>
    <n v="24"/>
    <x v="46"/>
    <n v="2026"/>
    <s v="TV"/>
    <d v="2020-06-24T00:00:00"/>
    <d v="2020-06-24T00:00:00"/>
    <s v="SOEM"/>
    <s v="Line"/>
    <s v="TV"/>
    <x v="10"/>
    <s v="YSAS075CNG02"/>
    <s v="A5013706A$0009162_2012-YSAS075CNG02"/>
    <n v="2012"/>
    <s v="A-5013-706-**"/>
    <s v="SSV"/>
    <s v="na"/>
    <s v="na"/>
    <s v="D/D short"/>
    <s v="D/D short"/>
    <x v="2"/>
    <x v="2"/>
  </r>
  <r>
    <n v="25"/>
    <x v="61"/>
    <n v="2030"/>
    <s v="TV"/>
    <d v="2020-07-20T00:00:00"/>
    <d v="2020-07-20T00:00:00"/>
    <s v="SOEM"/>
    <s v="Line"/>
    <s v="TV"/>
    <x v="10"/>
    <s v="YSAS075CNG02"/>
    <s v="A5013706A$0023389_2026-YSAS075CNG02"/>
    <n v="2026"/>
    <s v="A-5013-706-**"/>
    <s v="SSV"/>
    <s v="na"/>
    <s v="na"/>
    <s v="D/D short"/>
    <s v="D/D short"/>
    <x v="2"/>
    <x v="2"/>
  </r>
  <r>
    <n v="26"/>
    <x v="61"/>
    <n v="2030"/>
    <s v="TV"/>
    <d v="2020-07-20T00:00:00"/>
    <d v="2020-07-20T00:00:00"/>
    <s v="SOEM"/>
    <s v="Line"/>
    <s v="TV"/>
    <x v="10"/>
    <s v="YSAS075CNG02"/>
    <s v="A5013706A$0023139_2025-YSAS075CNG02"/>
    <n v="2025"/>
    <s v="A-5013-706-**"/>
    <s v="SSV"/>
    <s v="na"/>
    <s v="na"/>
    <s v="O-Cell A/D"/>
    <s v="O-Cell A/D"/>
    <x v="1"/>
    <x v="2"/>
  </r>
  <r>
    <n v="27"/>
    <x v="50"/>
    <n v="2032"/>
    <s v="TV"/>
    <d v="2020-08-05T00:00:00"/>
    <d v="2020-08-05T00:00:00"/>
    <s v="SOEM"/>
    <s v="Line"/>
    <s v="TV"/>
    <x v="10"/>
    <s v="YSAS075CNG02"/>
    <s v="A5013706A$0023923_2026-YSAS075CNG02"/>
    <n v="2026"/>
    <s v="A-5013-706-**"/>
    <s v="SSV"/>
    <s v="na"/>
    <s v="na"/>
    <s v="Pol particle "/>
    <s v="Pol particle "/>
    <x v="0"/>
    <x v="2"/>
  </r>
  <r>
    <n v="28"/>
    <x v="50"/>
    <n v="2032"/>
    <s v="TV"/>
    <d v="2020-08-06T00:00:00"/>
    <d v="2020-08-06T00:00:00"/>
    <s v="SOEM"/>
    <s v="Line"/>
    <s v="TV"/>
    <x v="10"/>
    <s v="YSAS075CNG02"/>
    <s v="A5013706A$0029061_2029-YSAS075CNG02"/>
    <n v="2029"/>
    <s v="A-5013-706-**"/>
    <s v="SSV"/>
    <s v="na"/>
    <s v="na"/>
    <s v="No display (O-Cell)"/>
    <s v="No display (O-Cell)"/>
    <x v="1"/>
    <x v="2"/>
  </r>
  <r>
    <n v="29"/>
    <x v="50"/>
    <n v="2032"/>
    <s v="TV"/>
    <d v="2020-08-06T00:00:00"/>
    <d v="2020-08-06T00:00:00"/>
    <s v="SOEM"/>
    <s v="Line"/>
    <s v="TV"/>
    <x v="10"/>
    <s v="YSAS075CNG02"/>
    <s v="A5013706A$0029216_2029-YSAS075CNG02"/>
    <n v="2029"/>
    <s v="A-5013-706-**"/>
    <s v="SSV"/>
    <s v="na"/>
    <s v="na"/>
    <s v="Mura etc"/>
    <s v="B/L sheet wrinkle"/>
    <x v="10"/>
    <x v="2"/>
  </r>
  <r>
    <n v="30"/>
    <x v="50"/>
    <n v="2032"/>
    <s v="TV"/>
    <d v="2020-08-06T00:00:00"/>
    <d v="2020-08-06T00:00:00"/>
    <s v="SOEM"/>
    <s v="Line"/>
    <s v="TV"/>
    <x v="10"/>
    <s v="YSAS075CNG02"/>
    <s v="A5013706A$0028862_2029-YSAS075CNG02"/>
    <n v="2029"/>
    <s v="A-5013-706-**"/>
    <s v="SSV"/>
    <s v="na"/>
    <s v="na"/>
    <s v="D/B defect"/>
    <s v="D/B defect"/>
    <x v="2"/>
    <x v="2"/>
  </r>
  <r>
    <n v="31"/>
    <x v="50"/>
    <n v="2032"/>
    <s v="TV"/>
    <d v="2020-08-06T00:00:00"/>
    <d v="2020-08-06T00:00:00"/>
    <s v="SOEM"/>
    <s v="Line"/>
    <s v="TV"/>
    <x v="10"/>
    <s v="YSAS075CNG02"/>
    <s v="A5013706A$0029263_2029-YSAS075CNG02"/>
    <n v="2029"/>
    <s v="A-5013-706-**"/>
    <s v="SSV"/>
    <s v="na"/>
    <s v="na"/>
    <s v="Pol particle "/>
    <s v="Pol particle "/>
    <x v="0"/>
    <x v="2"/>
  </r>
  <r>
    <n v="32"/>
    <x v="50"/>
    <n v="2032"/>
    <s v="TV"/>
    <d v="2020-08-06T00:00:00"/>
    <d v="2020-08-06T00:00:00"/>
    <s v="SOEM"/>
    <s v="Line"/>
    <s v="TV"/>
    <x v="10"/>
    <s v="YSAS075CNG02"/>
    <s v="A5013706A$0023998_2026-YSAS075CNG02"/>
    <n v="2026"/>
    <s v="A-5013-706-**"/>
    <s v="SSV"/>
    <s v="na"/>
    <s v="na"/>
    <s v="Pol particle "/>
    <s v="Pol particle "/>
    <x v="0"/>
    <x v="2"/>
  </r>
  <r>
    <n v="33"/>
    <x v="50"/>
    <n v="2032"/>
    <s v="TV"/>
    <d v="2020-08-06T00:00:00"/>
    <d v="2020-08-06T00:00:00"/>
    <s v="SOEM"/>
    <s v="Line"/>
    <s v="TV"/>
    <x v="10"/>
    <s v="YSAS075CNG02"/>
    <s v="A5013706A$0028834_2029-YSAS075CNG02"/>
    <n v="2029"/>
    <s v="A-5013-706-**"/>
    <s v="SSV"/>
    <s v="na"/>
    <s v="na"/>
    <s v="D/L defect"/>
    <s v="D/L defect"/>
    <x v="2"/>
    <x v="2"/>
  </r>
  <r>
    <n v="34"/>
    <x v="50"/>
    <n v="2032"/>
    <s v="TV"/>
    <d v="2020-08-07T00:00:00"/>
    <d v="2020-08-07T00:00:00"/>
    <s v="SOEM"/>
    <s v="Line"/>
    <s v="TV"/>
    <x v="10"/>
    <s v="YSAS075CNG02"/>
    <s v="A5013706A$0028725_2029-YSAS075CNG02"/>
    <n v="2029"/>
    <s v="A-5013-706-**"/>
    <s v="SSV"/>
    <s v="na"/>
    <s v="na"/>
    <s v="No display (O-Cell)"/>
    <s v="No display (O-Cell)"/>
    <x v="1"/>
    <x v="2"/>
  </r>
  <r>
    <n v="35"/>
    <x v="50"/>
    <n v="2032"/>
    <s v="TV"/>
    <d v="2020-08-07T00:00:00"/>
    <d v="2020-08-07T00:00:00"/>
    <s v="SOEM"/>
    <s v="Line"/>
    <s v="TV"/>
    <x v="10"/>
    <s v="YSAS075CNG02"/>
    <s v="A5013706A$0024074_2026-YSAS075CNG02"/>
    <n v="2026"/>
    <s v="A-5013-706-**"/>
    <s v="SSV"/>
    <s v="na"/>
    <s v="na"/>
    <s v="LED fail"/>
    <s v="LED fail"/>
    <x v="3"/>
    <x v="2"/>
  </r>
  <r>
    <n v="36"/>
    <x v="51"/>
    <n v="2033"/>
    <s v="TV"/>
    <d v="2020-08-10T00:00:00"/>
    <d v="2020-08-10T00:00:00"/>
    <s v="SOEM"/>
    <s v="Line"/>
    <s v="TV"/>
    <x v="10"/>
    <s v="YSAS075CNG02"/>
    <s v="A5013706A$0031247_2029-YSAS075CNG02"/>
    <n v="2029"/>
    <s v="A-5013-706-**"/>
    <s v="SSV"/>
    <s v="na"/>
    <s v="na"/>
    <s v="D/D short"/>
    <s v="D/D short"/>
    <x v="2"/>
    <x v="2"/>
  </r>
  <r>
    <n v="37"/>
    <x v="51"/>
    <n v="2033"/>
    <s v="TV"/>
    <d v="2020-08-15T00:00:00"/>
    <d v="2020-08-15T00:00:00"/>
    <s v="SOEM"/>
    <s v="Line"/>
    <s v="TV"/>
    <x v="10"/>
    <s v="YSAS075CNG02"/>
    <s v="A5013706A$0027438_2027-YSAS075CNG02"/>
    <n v="2027"/>
    <s v="A-5013-706-**"/>
    <s v="SSV"/>
    <s v="na"/>
    <s v="na"/>
    <s v="G/B defect"/>
    <s v="G/B defect"/>
    <x v="2"/>
    <x v="2"/>
  </r>
  <r>
    <n v="38"/>
    <x v="39"/>
    <n v="2034"/>
    <s v="TV"/>
    <d v="2020-08-17T00:00:00"/>
    <d v="2020-08-17T00:00:00"/>
    <s v="SOEM"/>
    <s v="Line"/>
    <s v="TV"/>
    <x v="10"/>
    <s v="YSAS075CNG02"/>
    <s v="A5013706A$0027119_2027-YSAS075CNG02"/>
    <n v="2027"/>
    <s v="A-5013-706-**"/>
    <s v="SSV"/>
    <s v="na"/>
    <s v="na"/>
    <s v="No display (O-Cell)"/>
    <s v="No display (O-Cell)"/>
    <x v="1"/>
    <x v="2"/>
  </r>
  <r>
    <n v="39"/>
    <x v="39"/>
    <n v="2034"/>
    <s v="TV"/>
    <d v="2020-08-17T00:00:00"/>
    <d v="2020-08-17T00:00:00"/>
    <s v="SOEM"/>
    <s v="Line"/>
    <s v="TV"/>
    <x v="10"/>
    <s v="YSAS075CNG02"/>
    <s v="A5013706A$0034654_2030-YSAS075CNG02"/>
    <n v="2030"/>
    <s v="A-5013-706-**"/>
    <s v="SSV"/>
    <s v="na"/>
    <s v="na"/>
    <s v="B/L Sheet fail"/>
    <s v="B/L Sheet fail"/>
    <x v="10"/>
    <x v="2"/>
  </r>
  <r>
    <n v="40"/>
    <x v="39"/>
    <n v="2034"/>
    <s v="TV"/>
    <d v="2020-08-19T00:00:00"/>
    <d v="2020-08-19T00:00:00"/>
    <s v="SOEM"/>
    <s v="Line"/>
    <s v="TV"/>
    <x v="10"/>
    <s v="YSAS075CNG02"/>
    <s v="A5013706A$0036188_2030-YSAS075CNG02"/>
    <n v="2030"/>
    <s v="A-5013-706-**"/>
    <s v="SSV"/>
    <s v="na"/>
    <s v="na"/>
    <s v="O-Cell A/D"/>
    <s v="O-Cell A/D"/>
    <x v="1"/>
    <x v="2"/>
  </r>
  <r>
    <n v="41"/>
    <x v="52"/>
    <n v="2035"/>
    <s v="TV"/>
    <d v="2020-08-25T00:00:00"/>
    <d v="2020-08-25T00:00:00"/>
    <s v="SOEM"/>
    <s v="Line"/>
    <s v="TV"/>
    <x v="10"/>
    <s v="YSAS075CNG02"/>
    <s v="A5013706A$0035622_2030-YSAS075CNG02"/>
    <n v="2030"/>
    <s v="A-5013-706-**"/>
    <s v="SSV"/>
    <s v="na"/>
    <s v="na"/>
    <s v="D/D short"/>
    <s v="D/D short"/>
    <x v="2"/>
    <x v="2"/>
  </r>
  <r>
    <n v="42"/>
    <x v="52"/>
    <n v="2035"/>
    <s v="TV"/>
    <d v="2020-08-29T00:00:00"/>
    <d v="2020-08-29T00:00:00"/>
    <s v="SOEM"/>
    <s v="Line"/>
    <s v="TV"/>
    <x v="10"/>
    <s v="YSAS075CNG02"/>
    <s v="A5013706A$0038719_2031-YSAS075CNG02"/>
    <n v="2031"/>
    <s v="A-5013-706-**"/>
    <s v="SSV"/>
    <s v="na"/>
    <s v="na"/>
    <s v="No display (O-Cell)"/>
    <s v="No display (O-Cell)"/>
    <x v="1"/>
    <x v="2"/>
  </r>
  <r>
    <n v="43"/>
    <x v="53"/>
    <n v="2036"/>
    <s v="TV"/>
    <d v="2020-09-01T00:00:00"/>
    <d v="2020-09-01T00:00:00"/>
    <s v="SOEM"/>
    <s v="Line"/>
    <s v="TV"/>
    <x v="10"/>
    <s v="YSAS075CNG02"/>
    <s v="A5013706A$0040065_2032-YSAS075CNG02"/>
    <n v="2032"/>
    <s v="A-5013-706-**"/>
    <s v="SSV"/>
    <s v="na"/>
    <s v="na"/>
    <s v="Mura etc"/>
    <s v="Mura etc"/>
    <x v="6"/>
    <x v="2"/>
  </r>
  <r>
    <n v="44"/>
    <x v="53"/>
    <n v="2036"/>
    <s v="TV"/>
    <d v="2020-09-05T00:00:00"/>
    <d v="2020-09-05T00:00:00"/>
    <s v="SOEM"/>
    <s v="Line"/>
    <s v="TV"/>
    <x v="10"/>
    <s v="YSAS075CNG02"/>
    <s v="A5013706A$0039880_2032-YSAS075CNG02"/>
    <n v="2032"/>
    <s v="A-5013-706-**"/>
    <s v="SSV"/>
    <s v="na"/>
    <s v="na"/>
    <s v="B/L particle"/>
    <s v="B/L particle"/>
    <x v="5"/>
    <x v="2"/>
  </r>
  <r>
    <n v="45"/>
    <x v="19"/>
    <n v="2109"/>
    <s v="TV"/>
    <d v="2021-03-05T00:00:00"/>
    <d v="2021-03-05T00:00:00"/>
    <s v="SOEM"/>
    <s v="Line"/>
    <s v="TV"/>
    <x v="10"/>
    <s v="YSAS075CNG02"/>
    <s v="A5013706A$0900056_2034_YSAS075CNG02"/>
    <n v="2034"/>
    <s v="A-5013-706-**"/>
    <s v="SSV"/>
    <s v="na"/>
    <s v="na"/>
    <s v="B/L particle"/>
    <s v="B/L particle"/>
    <x v="5"/>
    <x v="2"/>
  </r>
  <r>
    <n v="46"/>
    <x v="19"/>
    <n v="2109"/>
    <s v="TV"/>
    <d v="2021-03-05T00:00:00"/>
    <d v="2021-03-05T00:00:00"/>
    <s v="SOEM"/>
    <s v="Line"/>
    <s v="TV"/>
    <x v="10"/>
    <s v="YSAS075CNG02"/>
    <s v="A5013706A$0900052_2034_YSAS075CNG02"/>
    <n v="2034"/>
    <s v="A-5013-706-**"/>
    <s v="SSV"/>
    <s v="na"/>
    <s v="na"/>
    <s v="O-Cell A/D"/>
    <s v="O-Cell A/D"/>
    <x v="1"/>
    <x v="2"/>
  </r>
  <r>
    <n v="47"/>
    <x v="66"/>
    <n v="2114"/>
    <s v="TV"/>
    <d v="2021-04-09T00:00:00"/>
    <d v="2021-04-09T00:00:00"/>
    <s v="SOEM"/>
    <s v="Line"/>
    <s v="TV"/>
    <x v="10"/>
    <s v="YSAS075CNG02"/>
    <s v="A5013706A$0001981_2110_YSAS075CNG02"/>
    <n v="2110"/>
    <s v="A-5013-706-**"/>
    <s v="SSV"/>
    <s v="na"/>
    <s v="na"/>
    <s v="Mura etc"/>
    <s v="Mura etc"/>
    <x v="6"/>
    <x v="2"/>
  </r>
  <r>
    <n v="48"/>
    <x v="66"/>
    <n v="2114"/>
    <s v="TV"/>
    <d v="2021-04-09T00:00:00"/>
    <d v="2021-04-09T00:00:00"/>
    <s v="SOEM"/>
    <s v="Line"/>
    <s v="TV"/>
    <x v="10"/>
    <s v="YSAS075CNG02"/>
    <s v="A5013706A$0000472_2119_YSAS075CNG02"/>
    <n v="2119"/>
    <s v="A-5013-706-**"/>
    <s v="SSV"/>
    <s v="na"/>
    <s v="na"/>
    <s v="B/L Sheet fail"/>
    <s v="B/L Sheet fail"/>
    <x v="10"/>
    <x v="2"/>
  </r>
  <r>
    <n v="49"/>
    <x v="66"/>
    <n v="2115"/>
    <s v="TV"/>
    <d v="2021-04-12T00:00:00"/>
    <d v="2021-04-09T00:00:00"/>
    <s v="SOEM"/>
    <s v="Line"/>
    <s v="TV"/>
    <x v="10"/>
    <s v="YSAS075CNG02"/>
    <s v="A5013706B$0003001_2110_YSAS075CNG02"/>
    <n v="2110"/>
    <s v="A-5013-706-**"/>
    <s v="SSV"/>
    <s v="na"/>
    <s v="na"/>
    <s v="Pol stain"/>
    <s v="Pol stain"/>
    <x v="0"/>
    <x v="2"/>
  </r>
  <r>
    <n v="50"/>
    <x v="6"/>
    <n v="2133"/>
    <s v="TV"/>
    <d v="2021-08-18T00:00:00"/>
    <d v="2021-08-18T00:00:00"/>
    <s v="SOEM"/>
    <s v="Line"/>
    <s v="TV"/>
    <x v="10"/>
    <s v="YSAS075CNG02"/>
    <s v="A5013706B$0007916_2114_YSAS075CNG02"/>
    <n v="2114"/>
    <s v="A-5013-706-**"/>
    <s v="SSV"/>
    <s v="na"/>
    <s v="na"/>
    <s v="D/C short"/>
    <s v="D/C short"/>
    <x v="2"/>
    <x v="2"/>
  </r>
  <r>
    <n v="1"/>
    <x v="48"/>
    <n v="2029"/>
    <s v="TV"/>
    <d v="2020-07-17T00:00:00"/>
    <d v="2020-07-17T00:00:00"/>
    <s v="SOEM"/>
    <s v="Line"/>
    <s v="TV"/>
    <x v="12"/>
    <s v="YDAS075DND01"/>
    <s v="A5016527A$0008262_2024-YDAS075DND02"/>
    <n v="2024"/>
    <s v="A5016527*"/>
    <s v="SSV"/>
    <s v="na"/>
    <s v="na"/>
    <s v="Standby 5x"/>
    <s v="No display (T-con)"/>
    <x v="9"/>
    <x v="2"/>
  </r>
  <r>
    <n v="2"/>
    <x v="61"/>
    <n v="2030"/>
    <s v="TV"/>
    <d v="2020-07-24T00:00:00"/>
    <d v="2020-07-24T00:00:00"/>
    <s v="SOEM"/>
    <s v="Line"/>
    <s v="TV"/>
    <x v="12"/>
    <s v="YDAS075DND01"/>
    <s v="A5016527A$0008544_2024-YDAS075DND02"/>
    <n v="2024"/>
    <s v="A5016527*"/>
    <s v="SSV"/>
    <s v="na"/>
    <s v="na"/>
    <s v="H-dot G over"/>
    <s v="H-dot G over"/>
    <x v="12"/>
    <x v="2"/>
  </r>
  <r>
    <n v="3"/>
    <x v="50"/>
    <n v="2032"/>
    <s v="TV"/>
    <d v="2020-08-04T00:00:00"/>
    <d v="2020-08-04T00:00:00"/>
    <s v="SOEM"/>
    <s v="Line"/>
    <s v="TV"/>
    <x v="12"/>
    <s v="YDAS075DND01"/>
    <s v="A5016527A$0012817_2028-YDAS075DND02"/>
    <n v="2028"/>
    <s v="A5016527*"/>
    <s v="SSV"/>
    <s v="na"/>
    <s v="na"/>
    <s v="LED fail"/>
    <s v="LED fail"/>
    <x v="3"/>
    <x v="2"/>
  </r>
  <r>
    <n v="4"/>
    <x v="50"/>
    <n v="2032"/>
    <s v="TV"/>
    <d v="2020-08-04T00:00:00"/>
    <d v="2020-08-04T00:00:00"/>
    <s v="SOEM"/>
    <s v="Line"/>
    <s v="TV"/>
    <x v="12"/>
    <s v="YDAS075DND01"/>
    <s v="A5016527A$0012773_2028-YDAS075DND02"/>
    <n v="2028"/>
    <s v="A5016527*"/>
    <s v="SSV"/>
    <s v="na"/>
    <s v="na"/>
    <s v="Standby 5x"/>
    <s v="No display (T-con)"/>
    <x v="9"/>
    <x v="2"/>
  </r>
  <r>
    <n v="5"/>
    <x v="51"/>
    <n v="2033"/>
    <s v="TV"/>
    <d v="2020-08-11T00:00:00"/>
    <d v="2020-08-11T00:00:00"/>
    <s v="SOEM"/>
    <s v="Line"/>
    <s v="TV"/>
    <x v="12"/>
    <s v="YDAS075DND01"/>
    <s v="A5016527A$0015550_2028-YDAS075DND02"/>
    <n v="2028"/>
    <s v="A5016527*"/>
    <s v="SSV"/>
    <s v="na"/>
    <s v="na"/>
    <s v="D/B defect"/>
    <s v="D/B defect"/>
    <x v="2"/>
    <x v="2"/>
  </r>
  <r>
    <n v="6"/>
    <x v="39"/>
    <n v="2034"/>
    <s v="TV"/>
    <d v="2020-08-21T00:00:00"/>
    <d v="2020-08-21T00:00:00"/>
    <s v="SOEM"/>
    <s v="Line"/>
    <s v="TV"/>
    <x v="12"/>
    <s v="YDAS075DND01"/>
    <s v="A5016527A$0016492_2028-YDAS075DND02"/>
    <n v="2028"/>
    <s v="A5016527*"/>
    <s v="SSV"/>
    <s v="na"/>
    <s v="na"/>
    <s v="B/L stain"/>
    <s v="B/L stain"/>
    <x v="10"/>
    <x v="2"/>
  </r>
  <r>
    <n v="7"/>
    <x v="52"/>
    <n v="2035"/>
    <s v="TV"/>
    <d v="2020-08-24T00:00:00"/>
    <d v="2020-08-24T00:00:00"/>
    <s v="SOEM"/>
    <s v="Line"/>
    <s v="TV"/>
    <x v="12"/>
    <s v="YDAS075DND01"/>
    <s v="A5016527A$0020676_2031-YDAS075DND02"/>
    <n v="2031"/>
    <s v="A5016527*"/>
    <s v="SSV"/>
    <s v="na"/>
    <s v="na"/>
    <s v="White spot"/>
    <s v="White spot"/>
    <x v="6"/>
    <x v="2"/>
  </r>
  <r>
    <n v="8"/>
    <x v="52"/>
    <n v="2035"/>
    <s v="TV"/>
    <d v="2020-08-24T00:00:00"/>
    <d v="2020-08-24T00:00:00"/>
    <s v="SOEM"/>
    <s v="Line"/>
    <s v="TV"/>
    <x v="12"/>
    <s v="YDAS075DND01"/>
    <s v="A5016527A$0019855_2031-YDAS075DND02"/>
    <n v="2031"/>
    <s v="A5016527*"/>
    <s v="SSV"/>
    <s v="na"/>
    <s v="na"/>
    <s v="B/L Sheet fail"/>
    <s v="B/L Sheet fail"/>
    <x v="10"/>
    <x v="2"/>
  </r>
  <r>
    <n v="9"/>
    <x v="54"/>
    <n v="2037"/>
    <s v="TV"/>
    <d v="2020-09-10T00:00:00"/>
    <d v="2020-09-10T00:00:00"/>
    <s v="SOEM"/>
    <s v="Line"/>
    <s v="TV"/>
    <x v="12"/>
    <s v="YDAS075DND01"/>
    <s v="A5016527A$0024098_2033-YDAS075DND02"/>
    <n v="2033"/>
    <s v="A5016527*"/>
    <s v="SSV"/>
    <s v="na"/>
    <s v="na"/>
    <s v="D/D short"/>
    <s v="D/D short"/>
    <x v="2"/>
    <x v="2"/>
  </r>
  <r>
    <n v="10"/>
    <x v="63"/>
    <n v="2042"/>
    <s v="TV"/>
    <d v="2020-10-15T00:00:00"/>
    <d v="2020-10-15T00:00:00"/>
    <s v="SOEM"/>
    <s v="Line"/>
    <s v="TV"/>
    <x v="12"/>
    <s v="YDAS075DND01"/>
    <s v="A5016527A$0029012_2038-YDAS075DND02"/>
    <n v="2038"/>
    <s v="A5016527*"/>
    <s v="SSV"/>
    <s v="na"/>
    <s v="na"/>
    <s v="B/L particle"/>
    <s v="B/L particle"/>
    <x v="5"/>
    <x v="2"/>
  </r>
  <r>
    <n v="11"/>
    <x v="58"/>
    <n v="2043"/>
    <s v="TV"/>
    <d v="2020-10-22T00:00:00"/>
    <d v="2020-10-22T00:00:00"/>
    <s v="SOEM"/>
    <s v="Line"/>
    <s v="TV"/>
    <x v="12"/>
    <s v="YDAS075DND01"/>
    <s v="A5016527A$0029836_2039-YDAS075DND02"/>
    <n v="2039"/>
    <s v="A5016527*"/>
    <s v="SSV"/>
    <s v="na"/>
    <s v="na"/>
    <s v="Mura etc"/>
    <s v="Mura etc"/>
    <x v="6"/>
    <x v="2"/>
  </r>
  <r>
    <n v="12"/>
    <x v="58"/>
    <n v="2043"/>
    <s v="TV"/>
    <d v="2020-10-22T00:00:00"/>
    <d v="2020-10-22T00:00:00"/>
    <s v="SOEM"/>
    <s v="Line"/>
    <s v="TV"/>
    <x v="12"/>
    <s v="YDAS075DND01"/>
    <s v="A5016527A$0029837_2039-YDAS075DND02"/>
    <n v="2039"/>
    <s v="A5016527*"/>
    <s v="SSV"/>
    <s v="na"/>
    <s v="na"/>
    <s v="D/C short"/>
    <s v="D/C short"/>
    <x v="2"/>
    <x v="2"/>
  </r>
  <r>
    <n v="13"/>
    <x v="11"/>
    <n v="2101"/>
    <s v="TV"/>
    <d v="2021-01-05T00:00:00"/>
    <d v="2021-01-05T00:00:00"/>
    <s v="SOEM"/>
    <s v="Line"/>
    <s v="TV"/>
    <x v="12"/>
    <s v="YDAS075DND01"/>
    <s v="A5016527B$0000020_2044-YDAS075DND02"/>
    <n v="2044"/>
    <s v="A5016527*"/>
    <s v="SSV"/>
    <s v="na"/>
    <s v="na"/>
    <s v="B/L particle"/>
    <s v="B/L particle"/>
    <x v="5"/>
    <x v="2"/>
  </r>
  <r>
    <n v="14"/>
    <x v="13"/>
    <n v="2103"/>
    <s v="TV"/>
    <d v="2021-01-18T00:00:00"/>
    <d v="2021-01-18T00:00:00"/>
    <s v="SOEM"/>
    <s v="Line"/>
    <s v="TV"/>
    <x v="12"/>
    <s v="YDAS075DND01"/>
    <s v="A5016527B$0000921_2046-YDAS075DND02"/>
    <n v="2046"/>
    <s v="A5016527*"/>
    <s v="SSV"/>
    <s v="na"/>
    <s v="na"/>
    <s v="No display (O-Cell)"/>
    <s v="No display (O-Cell)"/>
    <x v="1"/>
    <x v="2"/>
  </r>
  <r>
    <n v="15"/>
    <x v="15"/>
    <n v="2105"/>
    <s v="TV"/>
    <d v="2021-02-02T00:00:00"/>
    <d v="2021-02-02T00:00:00"/>
    <s v="SOEM"/>
    <s v="Line"/>
    <s v="TV"/>
    <x v="12"/>
    <s v="YDAS075DND01"/>
    <s v="A5016527B$0007987_2052-YDAS075DND02"/>
    <n v="2052"/>
    <s v="A5016527*"/>
    <s v="SSV"/>
    <s v="na"/>
    <s v="na"/>
    <s v="No display (T-con)"/>
    <s v="No display (T-con)"/>
    <x v="9"/>
    <x v="2"/>
  </r>
  <r>
    <n v="16"/>
    <x v="22"/>
    <n v="2112"/>
    <s v="TV"/>
    <d v="2021-03-23T00:00:00"/>
    <d v="2021-03-23T00:00:00"/>
    <s v="SOEM"/>
    <s v="Line"/>
    <s v="TV"/>
    <x v="12"/>
    <s v="YDAS075DND01"/>
    <s v="A5016527B$0010600_2104-YDAS075DND02"/>
    <n v="2104"/>
    <s v="A5016527*"/>
    <s v="SSV"/>
    <s v="na"/>
    <s v="na"/>
    <s v="D/L defect"/>
    <s v="D/L defect"/>
    <x v="2"/>
    <x v="2"/>
  </r>
  <r>
    <n v="17"/>
    <x v="22"/>
    <n v="2112"/>
    <s v="TV"/>
    <d v="2021-03-24T00:00:00"/>
    <d v="2021-03-24T00:00:00"/>
    <s v="SOEM"/>
    <s v="Line"/>
    <s v="TV"/>
    <x v="12"/>
    <s v="YDAS075DND01"/>
    <s v="A5016527B$0010847_2105-YDAS075DND02"/>
    <n v="2105"/>
    <s v="A5016527*"/>
    <s v="SSV"/>
    <s v="na"/>
    <s v="na"/>
    <s v="Visual app."/>
    <s v="Visual app."/>
    <x v="11"/>
    <x v="2"/>
  </r>
  <r>
    <n v="18"/>
    <x v="59"/>
    <n v="2115"/>
    <s v="TV"/>
    <d v="2021-04-13T00:00:00"/>
    <d v="2021-04-13T00:00:00"/>
    <s v="SOEM"/>
    <s v="Line"/>
    <s v="TV"/>
    <x v="12"/>
    <s v="YDAS075DND01"/>
    <s v="A5016527B$0011971_2110-YDAS075DND02"/>
    <n v="2110"/>
    <s v="A5016527*"/>
    <s v="SSV"/>
    <s v="na"/>
    <s v="na"/>
    <s v="Pol stain"/>
    <s v="Pol stain"/>
    <x v="0"/>
    <x v="2"/>
  </r>
  <r>
    <n v="19"/>
    <x v="27"/>
    <n v="2122"/>
    <s v="TV"/>
    <d v="2021-05-31T00:00:00"/>
    <d v="2021-06-01T00:00:00"/>
    <s v="SOEM"/>
    <s v="Line"/>
    <s v="TV"/>
    <x v="12"/>
    <s v="YDAS075DND01"/>
    <s v="A5016527B$0012532_2110-YDAS075DND02"/>
    <n v="2110"/>
    <s v="A5016527*"/>
    <s v="SSV"/>
    <s v="na"/>
    <s v="na"/>
    <s v="Black spot"/>
    <s v="Black spot"/>
    <x v="6"/>
    <x v="2"/>
  </r>
  <r>
    <n v="1"/>
    <x v="34"/>
    <n v="2137"/>
    <s v="Inprocess"/>
    <d v="2021-09-15T00:00:00"/>
    <d v="2021-09-15T00:00:00"/>
    <s v="FBC"/>
    <s v="SF10"/>
    <s v="Line"/>
    <x v="20"/>
    <s v="YDBO065DBU02"/>
    <s v="A5032151A$0011580_2129"/>
    <n v="2129"/>
    <s v="A-5032-151-**"/>
    <s v="SSVE"/>
    <s v="A5032151A"/>
    <s v="$0011580_"/>
    <s v="B/L Particle"/>
    <s v="B/L Particle"/>
    <x v="5"/>
    <x v="0"/>
  </r>
  <r>
    <n v="14"/>
    <x v="6"/>
    <n v="2133"/>
    <s v="na"/>
    <d v="2021-08-19T00:00:00"/>
    <d v="2021-08-19T00:00:00"/>
    <s v="INZ"/>
    <s v="QA"/>
    <s v="na"/>
    <x v="4"/>
    <s v="HDBO085DDU02"/>
    <s v="A5028495A$0000577_2123"/>
    <n v="2123"/>
    <s v="A-5028-495-A"/>
    <s v="SSVE"/>
    <s v="na"/>
    <s v="na"/>
    <s v="na"/>
    <s v="na"/>
    <x v="4"/>
    <x v="0"/>
  </r>
  <r>
    <n v="196"/>
    <x v="70"/>
    <n v="2138"/>
    <s v="na"/>
    <d v="2021-09-20T00:00:00"/>
    <s v="NaT"/>
    <s v="FSK"/>
    <n v="3"/>
    <s v="NVM"/>
    <x v="19"/>
    <s v="AX85_YDBM085CNU02"/>
    <s v="A5027716A$0007914_2131-YDBM085CNU02"/>
    <n v="2131"/>
    <s v="EA5027716A"/>
    <s v="na"/>
    <s v="na"/>
    <s v="na"/>
    <s v="A/D"/>
    <s v="A/D"/>
    <x v="9"/>
    <x v="0"/>
  </r>
  <r>
    <n v="197"/>
    <x v="70"/>
    <n v="2138"/>
    <s v="na"/>
    <d v="2021-09-20T00:00:00"/>
    <s v="NaT"/>
    <s v="FSK"/>
    <n v="3"/>
    <s v="P1"/>
    <x v="19"/>
    <s v="AX85_YDBM085CNU02"/>
    <s v="A5027716A$0007509_2131-YDBM085CNU02"/>
    <n v="2131"/>
    <s v="EA5027716A"/>
    <s v="na"/>
    <s v="na"/>
    <s v="na"/>
    <s v="Bezel Gap (AL)"/>
    <s v="Bezel Gap (AL)"/>
    <x v="13"/>
    <x v="0"/>
  </r>
  <r>
    <n v="198"/>
    <x v="70"/>
    <n v="2138"/>
    <s v="na"/>
    <d v="2021-09-21T00:00:00"/>
    <s v="NaT"/>
    <s v="FSK"/>
    <n v="16"/>
    <s v="I9"/>
    <x v="20"/>
    <s v="AG65_YDBO065DBU02"/>
    <s v="A5032151A$0012672_2129-YDBO065DBU02"/>
    <n v="2129"/>
    <s v="EA5032151A"/>
    <s v="na"/>
    <s v="na"/>
    <s v="na"/>
    <s v="D/L Defect"/>
    <s v="D/L Defect"/>
    <x v="2"/>
    <x v="0"/>
  </r>
  <r>
    <n v="199"/>
    <x v="70"/>
    <n v="2138"/>
    <s v="na"/>
    <d v="2021-09-21T00:00:00"/>
    <s v="NaT"/>
    <s v="FSK"/>
    <n v="16"/>
    <s v="I8"/>
    <x v="20"/>
    <s v="AG65_YDBO065DBU02"/>
    <s v="A5032151A$0012008_2129-YDBO065DBU02"/>
    <n v="2129"/>
    <s v="EA5032151A"/>
    <s v="na"/>
    <s v="na"/>
    <s v="na"/>
    <s v="Dot etc"/>
    <s v="Dot etc"/>
    <x v="12"/>
    <x v="0"/>
  </r>
  <r>
    <n v="200"/>
    <x v="70"/>
    <n v="2138"/>
    <s v="na"/>
    <d v="2021-09-22T00:00:00"/>
    <s v="NaT"/>
    <s v="FSK"/>
    <n v="2"/>
    <s v="WB1"/>
    <x v="16"/>
    <s v="NXB75_YDAS075DNS02_C"/>
    <s v="A5024290B$0003420_2130-YDAS075DNS02"/>
    <n v="2130"/>
    <s v="EA5024290B"/>
    <s v="na"/>
    <s v="na"/>
    <s v="na"/>
    <s v="No display"/>
    <s v="No display"/>
    <x v="9"/>
    <x v="2"/>
  </r>
  <r>
    <n v="201"/>
    <x v="70"/>
    <n v="2138"/>
    <s v="na"/>
    <d v="2021-09-22T00:00:00"/>
    <s v="NaT"/>
    <s v="FSK"/>
    <n v="4"/>
    <s v="I5"/>
    <x v="2"/>
    <s v="AR75_YDBM075DCS02_4S"/>
    <s v="A5027710C$0002582_2130-YDBM075DCS02"/>
    <n v="2130"/>
    <s v="EA5027710C"/>
    <s v="na"/>
    <s v="na"/>
    <s v="na"/>
    <s v="H-dot etc"/>
    <s v="H-dot etc"/>
    <x v="12"/>
    <x v="0"/>
  </r>
  <r>
    <n v="202"/>
    <x v="70"/>
    <n v="2138"/>
    <s v="na"/>
    <d v="2021-09-22T00:00:00"/>
    <s v="NaT"/>
    <s v="FSK"/>
    <n v="3"/>
    <s v="NVM"/>
    <x v="17"/>
    <s v="AX75_YDBM075CCS02_4S"/>
    <s v="A5027722C$0000057_2129-YDBM075CCS02"/>
    <n v="2129"/>
    <s v="EA5027722C"/>
    <s v="na"/>
    <s v="na"/>
    <s v="na"/>
    <s v="LED fail"/>
    <s v="LED fail"/>
    <x v="3"/>
    <x v="0"/>
  </r>
  <r>
    <n v="203"/>
    <x v="70"/>
    <n v="2138"/>
    <s v="na"/>
    <d v="2021-09-23T00:00:00"/>
    <s v="NaT"/>
    <s v="FSK"/>
    <n v="3"/>
    <s v="P8"/>
    <x v="17"/>
    <s v="AX75_YDBM075CCS02_4S"/>
    <s v="A5027722C$0001186_2131-YDBM075CCS02"/>
    <n v="2131"/>
    <s v="EA5027722C"/>
    <s v="na"/>
    <s v="na"/>
    <s v="na"/>
    <s v="User hole fail"/>
    <s v="User hole fail"/>
    <x v="11"/>
    <x v="0"/>
  </r>
  <r>
    <n v="204"/>
    <x v="70"/>
    <n v="2138"/>
    <s v="na"/>
    <d v="2021-09-23T00:00:00"/>
    <s v="NaT"/>
    <s v="FSK"/>
    <n v="3"/>
    <s v="I5"/>
    <x v="17"/>
    <s v="AX75_YDBM075CCS02_2S"/>
    <s v="A5027719C$0000406_2129-YDBM075CCS02"/>
    <n v="2129"/>
    <s v="EA5027719C"/>
    <s v="na"/>
    <s v="na"/>
    <s v="na"/>
    <s v="G/L Defect"/>
    <s v="G/L Defect"/>
    <x v="2"/>
    <x v="0"/>
  </r>
  <r>
    <n v="205"/>
    <x v="70"/>
    <n v="2138"/>
    <s v="na"/>
    <d v="2021-09-23T00:00:00"/>
    <s v="NaT"/>
    <s v="FSK"/>
    <n v="4"/>
    <s v="I1"/>
    <x v="2"/>
    <s v="AR75_YDBM075DCS02_4S"/>
    <s v="A5027710C$0000561_2129-YDBM075DCS02"/>
    <n v="2129"/>
    <s v="EA5027710C"/>
    <s v="na"/>
    <s v="na"/>
    <s v="na"/>
    <s v="A/D"/>
    <s v="A/D"/>
    <x v="9"/>
    <x v="0"/>
  </r>
  <r>
    <n v="206"/>
    <x v="70"/>
    <n v="2138"/>
    <s v="na"/>
    <d v="2021-09-23T00:00:00"/>
    <s v="NaT"/>
    <s v="FSK"/>
    <n v="4"/>
    <s v="I1"/>
    <x v="2"/>
    <s v="AR75_YDBM075DCS02_4S"/>
    <s v="A5027710C$0000559_2129-YDBM075DCS02"/>
    <n v="2129"/>
    <s v="EA5027710C"/>
    <s v="na"/>
    <s v="na"/>
    <s v="na"/>
    <s v="A/D"/>
    <s v="A/D"/>
    <x v="9"/>
    <x v="0"/>
  </r>
  <r>
    <n v="207"/>
    <x v="70"/>
    <n v="2138"/>
    <s v="na"/>
    <d v="2021-09-24T00:00:00"/>
    <s v="NaT"/>
    <s v="FSK"/>
    <n v="4"/>
    <s v="I5"/>
    <x v="2"/>
    <s v="AR75_YDBM075DCS02_4S"/>
    <s v="A5027710C$0000569_2129-YDBM075DCS02"/>
    <n v="2129"/>
    <s v="EA5027710C"/>
    <s v="na"/>
    <s v="na"/>
    <s v="na"/>
    <s v="D/L Defect"/>
    <s v="D/L Defect"/>
    <x v="2"/>
    <x v="0"/>
  </r>
  <r>
    <n v="208"/>
    <x v="70"/>
    <n v="2138"/>
    <s v="na"/>
    <d v="2021-09-24T00:00:00"/>
    <s v="NaT"/>
    <s v="FSK"/>
    <n v="4"/>
    <s v="WB1"/>
    <x v="2"/>
    <s v="AR75_YDBM075DCS02_4S"/>
    <s v="A5027710C$0002721_2130-YDBM075DCS02"/>
    <n v="2130"/>
    <s v="EA5027710C"/>
    <s v="na"/>
    <s v="na"/>
    <s v="na"/>
    <s v="D/L Defect"/>
    <s v="D/L Defect"/>
    <x v="2"/>
    <x v="0"/>
  </r>
  <r>
    <n v="209"/>
    <x v="70"/>
    <n v="2138"/>
    <s v="na"/>
    <d v="2021-09-24T00:00:00"/>
    <s v="NaT"/>
    <s v="FSK"/>
    <n v="3"/>
    <s v="NVM"/>
    <x v="17"/>
    <s v="AX75_YDBM075CCS02_4S"/>
    <s v="A5027722C$0001051_2131-YDBM075CCS02"/>
    <n v="2131"/>
    <s v="EA5027722C"/>
    <s v="na"/>
    <s v="na"/>
    <s v="na"/>
    <s v="LED fail"/>
    <s v="LED fail"/>
    <x v="3"/>
    <x v="0"/>
  </r>
  <r>
    <n v="210"/>
    <x v="70"/>
    <n v="2138"/>
    <s v="na"/>
    <d v="2021-09-24T00:00:00"/>
    <s v="NaT"/>
    <s v="FSK"/>
    <n v="4"/>
    <s v="I1"/>
    <x v="2"/>
    <s v="AR75_YDBM075DCS02_4S"/>
    <s v="A5027710C$0005084_2132-YDBM075DCS02"/>
    <n v="2132"/>
    <s v="EA5027710C"/>
    <s v="na"/>
    <s v="na"/>
    <s v="na"/>
    <s v="D/L Defect"/>
    <s v="D/L Defect"/>
    <x v="2"/>
    <x v="0"/>
  </r>
  <r>
    <n v="211"/>
    <x v="70"/>
    <n v="2138"/>
    <s v="na"/>
    <d v="2021-09-24T00:00:00"/>
    <s v="NaT"/>
    <s v="FSK"/>
    <n v="2"/>
    <s v="I5"/>
    <x v="14"/>
    <s v="NXB85_YDAS085DNU01"/>
    <s v="A5016564B$0001009_2131-YDAS085DNU02"/>
    <n v="2131"/>
    <s v="EA5016564B"/>
    <s v="na"/>
    <s v="na"/>
    <s v="na"/>
    <s v="G/L Defect"/>
    <s v="G/L Defect"/>
    <x v="2"/>
    <x v="2"/>
  </r>
  <r>
    <n v="15"/>
    <x v="70"/>
    <n v="2138"/>
    <s v="TV"/>
    <d v="2021-09-23T00:00:00"/>
    <d v="2021-09-23T00:00:00"/>
    <s v="SOEM"/>
    <s v="Line"/>
    <s v="TV"/>
    <x v="19"/>
    <s v="YDBM085CNU02"/>
    <s v="A5027713A$0012764_2131-YDBM085CNU02"/>
    <n v="2131"/>
    <s v="A-5027-713-X"/>
    <s v="SSV"/>
    <s v="na"/>
    <s v="na"/>
    <s v="G/L defect"/>
    <s v="G/L defect"/>
    <x v="2"/>
    <x v="0"/>
  </r>
  <r>
    <n v="16"/>
    <x v="70"/>
    <n v="2138"/>
    <s v="TV"/>
    <d v="2021-09-23T00:00:00"/>
    <d v="2021-09-23T00:00:00"/>
    <s v="SOEM"/>
    <s v="Line"/>
    <s v="TV"/>
    <x v="19"/>
    <s v="YDBM085CNU02"/>
    <s v="A5027713A$0012901_2131-YDBM085CNU02"/>
    <n v="2131"/>
    <s v="A-5027-713-X"/>
    <s v="SSV"/>
    <s v="na"/>
    <s v="na"/>
    <s v="B/L Sheet fail"/>
    <s v="B/L Sheet fail"/>
    <x v="10"/>
    <x v="0"/>
  </r>
  <r>
    <n v="17"/>
    <x v="70"/>
    <n v="2138"/>
    <s v="TV"/>
    <d v="2021-09-24T00:00:00"/>
    <d v="2021-09-24T00:00:00"/>
    <s v="SOEM"/>
    <s v="Line"/>
    <s v="TV"/>
    <x v="19"/>
    <s v="YDBM085CNU02"/>
    <s v="A5027713A$0012911_2131-YDBM085CNU02"/>
    <n v="2131"/>
    <s v="A-5027-713-X"/>
    <s v="SSV"/>
    <s v="na"/>
    <s v="na"/>
    <s v="B/L Sheet fail"/>
    <s v="B/L Sheet fail"/>
    <x v="10"/>
    <x v="0"/>
  </r>
  <r>
    <n v="18"/>
    <x v="70"/>
    <n v="2138"/>
    <s v="TV"/>
    <d v="2021-09-24T00:00:00"/>
    <d v="2021-09-24T00:00:00"/>
    <s v="SOEM"/>
    <s v="Line"/>
    <s v="TV"/>
    <x v="19"/>
    <s v="YDBM085CNU02"/>
    <s v="A5027713A$0012912_2131-YDBM085CNU02"/>
    <n v="2131"/>
    <s v="A-5027-713-X"/>
    <s v="SSV"/>
    <s v="na"/>
    <s v="na"/>
    <s v="B/L Sheet fail"/>
    <s v="B/L Sheet fail"/>
    <x v="10"/>
    <x v="0"/>
  </r>
  <r>
    <n v="32"/>
    <x v="70"/>
    <n v="2138"/>
    <s v="TV"/>
    <d v="2021-09-25T00:00:00"/>
    <d v="2021-09-25T00:00:00"/>
    <s v="SOEM"/>
    <s v="Line"/>
    <s v="TV"/>
    <x v="0"/>
    <s v="YSBM075CNO02"/>
    <s v="A5027725A$0020894_2127_YSBM075CNO02"/>
    <n v="2127"/>
    <s v="A-5027-725-X"/>
    <s v="SSV"/>
    <s v="na"/>
    <s v="na"/>
    <s v="O-Cell A/D"/>
    <s v="O-Cell A/D"/>
    <x v="1"/>
    <x v="0"/>
  </r>
  <r>
    <n v="212"/>
    <x v="71"/>
    <n v="2139"/>
    <s v="na"/>
    <d v="2021-09-27T00:00:00"/>
    <s v="NaT"/>
    <s v="FSK"/>
    <n v="4"/>
    <s v="I1"/>
    <x v="2"/>
    <s v="AR75_YDBM075DCS02_4S"/>
    <s v="A5027710C$0004685_2132-YDBM075DCS02"/>
    <n v="2132"/>
    <s v="EA5027710C"/>
    <s v="na"/>
    <s v="na"/>
    <s v="na"/>
    <s v="D/L Defect"/>
    <s v="D/L Defect"/>
    <x v="2"/>
    <x v="0"/>
  </r>
  <r>
    <n v="213"/>
    <x v="71"/>
    <n v="2139"/>
    <s v="na"/>
    <d v="2021-09-27T00:00:00"/>
    <s v="NaT"/>
    <s v="FSK"/>
    <n v="4"/>
    <s v="I5"/>
    <x v="2"/>
    <s v="AR75_YDBM075DCS02_4S"/>
    <s v="A5027710C$0001490_2130-YDBM075DCS02"/>
    <n v="2130"/>
    <s v="EA5027710C"/>
    <s v="na"/>
    <s v="na"/>
    <s v="na"/>
    <s v="D/L Defect"/>
    <s v="D/L Defect"/>
    <x v="2"/>
    <x v="0"/>
  </r>
  <r>
    <n v="214"/>
    <x v="71"/>
    <n v="2139"/>
    <s v="na"/>
    <d v="2021-09-27T00:00:00"/>
    <s v="NaT"/>
    <s v="FSK"/>
    <n v="3"/>
    <s v="NVM"/>
    <x v="17"/>
    <s v="AX75_YDBM075CCS02_4S"/>
    <s v="A5027722C$0000465_2129-YDBM075CCS02"/>
    <n v="2129"/>
    <s v="EA5027722C"/>
    <s v="na"/>
    <s v="na"/>
    <s v="na"/>
    <s v="LED fail"/>
    <s v="LED fail"/>
    <x v="3"/>
    <x v="0"/>
  </r>
  <r>
    <n v="215"/>
    <x v="71"/>
    <n v="2139"/>
    <s v="na"/>
    <d v="2021-09-28T00:00:00"/>
    <s v="NaT"/>
    <s v="FSK"/>
    <n v="4"/>
    <s v="P1"/>
    <x v="2"/>
    <s v="AR75_YDBM075DCS02_4S"/>
    <s v="A5027710C$0004739_2132-YDBM075DCS02"/>
    <n v="2132"/>
    <s v="EA5027710C"/>
    <s v="na"/>
    <s v="na"/>
    <s v="na"/>
    <s v="Others "/>
    <s v="Others "/>
    <x v="14"/>
    <x v="0"/>
  </r>
  <r>
    <n v="216"/>
    <x v="71"/>
    <n v="2139"/>
    <s v="na"/>
    <d v="2021-09-28T00:00:00"/>
    <s v="NaT"/>
    <s v="FSK"/>
    <n v="3"/>
    <s v="I5"/>
    <x v="17"/>
    <s v="AX75_YDBM075CCS02_2S"/>
    <s v="A5027719C$0002207_2131-YDBM075CCS02"/>
    <n v="2131"/>
    <s v="EA5027719C"/>
    <s v="na"/>
    <s v="na"/>
    <s v="na"/>
    <s v="D/L Defect"/>
    <s v="D/L Defect"/>
    <x v="2"/>
    <x v="0"/>
  </r>
  <r>
    <n v="217"/>
    <x v="71"/>
    <n v="2139"/>
    <s v="na"/>
    <d v="2021-09-28T00:00:00"/>
    <s v="NaT"/>
    <s v="FSK"/>
    <n v="4"/>
    <s v="I5"/>
    <x v="2"/>
    <s v="AR75_YDBM075DCS02_4S"/>
    <s v="A5027710C$0004770_2132-YDBM075DCS02"/>
    <n v="2132"/>
    <s v="EA5027710C"/>
    <s v="na"/>
    <s v="na"/>
    <s v="na"/>
    <s v="D/L Defect"/>
    <s v="D/L Defect"/>
    <x v="2"/>
    <x v="0"/>
  </r>
  <r>
    <n v="218"/>
    <x v="71"/>
    <n v="2139"/>
    <s v="na"/>
    <d v="2021-09-28T00:00:00"/>
    <s v="NaT"/>
    <s v="FSK"/>
    <n v="4"/>
    <s v="I5"/>
    <x v="2"/>
    <s v="AR75_YDBM075DCS02_4S"/>
    <s v="A5027710C$0003754_2131-YDBM075DCS02"/>
    <n v="2131"/>
    <s v="EA5027710C"/>
    <s v="na"/>
    <s v="na"/>
    <s v="na"/>
    <s v="W/B NG"/>
    <s v="W/B NG"/>
    <x v="9"/>
    <x v="0"/>
  </r>
  <r>
    <n v="219"/>
    <x v="71"/>
    <n v="2139"/>
    <s v="na"/>
    <d v="2021-09-29T00:00:00"/>
    <s v="NaT"/>
    <s v="FSK"/>
    <n v="4"/>
    <s v="P1"/>
    <x v="2"/>
    <s v="AR75_YDBM075DCS02_4S"/>
    <s v="A5027710C$0004921_2132-YDBM075DCS02"/>
    <n v="2132"/>
    <s v="EA5027710C"/>
    <s v="na"/>
    <s v="na"/>
    <s v="na"/>
    <s v="Others "/>
    <s v="Others "/>
    <x v="14"/>
    <x v="0"/>
  </r>
  <r>
    <n v="220"/>
    <x v="71"/>
    <n v="2139"/>
    <s v="na"/>
    <d v="2021-09-29T00:00:00"/>
    <s v="NaT"/>
    <s v="FSK"/>
    <n v="4"/>
    <s v="P1"/>
    <x v="2"/>
    <s v="AR75_YDBM075DCS02_4S"/>
    <s v="A5027710C$0003745_2131-YDBM075DCS02"/>
    <n v="2131"/>
    <s v="EA5027710C"/>
    <s v="na"/>
    <s v="na"/>
    <s v="na"/>
    <s v="Others "/>
    <s v="Others "/>
    <x v="14"/>
    <x v="0"/>
  </r>
  <r>
    <n v="221"/>
    <x v="71"/>
    <n v="2139"/>
    <s v="na"/>
    <d v="2021-09-29T00:00:00"/>
    <s v="NaT"/>
    <s v="FSK"/>
    <n v="4"/>
    <s v="P1"/>
    <x v="2"/>
    <s v="AR75_YDBM075DCS02_4S"/>
    <s v="A5027710C$0003900_2131-YDBM075DCS02"/>
    <n v="2131"/>
    <s v="EA5027710C"/>
    <s v="na"/>
    <s v="na"/>
    <s v="na"/>
    <s v="Others "/>
    <s v="Others "/>
    <x v="14"/>
    <x v="0"/>
  </r>
  <r>
    <n v="222"/>
    <x v="71"/>
    <n v="2139"/>
    <s v="na"/>
    <d v="2021-09-29T00:00:00"/>
    <s v="NaT"/>
    <s v="FSK"/>
    <n v="4"/>
    <s v="P1"/>
    <x v="2"/>
    <s v="AR75_YDBM075DCS02_4S"/>
    <s v="A5027710C$0003889_2131-YDBM075DCS02"/>
    <n v="2131"/>
    <s v="EA5027710C"/>
    <s v="na"/>
    <s v="na"/>
    <s v="na"/>
    <s v="Others "/>
    <s v="Others "/>
    <x v="14"/>
    <x v="0"/>
  </r>
  <r>
    <n v="223"/>
    <x v="71"/>
    <n v="2139"/>
    <s v="na"/>
    <d v="2021-09-29T00:00:00"/>
    <s v="NaT"/>
    <s v="FSK"/>
    <n v="3"/>
    <s v="I5"/>
    <x v="19"/>
    <s v="AX85_YDBM085CNU02"/>
    <s v="A5027716A$0009497_2132-YDBM085CNU02"/>
    <n v="2132"/>
    <s v="EA5027716A"/>
    <s v="na"/>
    <s v="na"/>
    <s v="na"/>
    <s v="G/L Defect"/>
    <s v="G/L Defect"/>
    <x v="2"/>
    <x v="0"/>
  </r>
  <r>
    <n v="224"/>
    <x v="71"/>
    <n v="2139"/>
    <s v="na"/>
    <d v="2021-09-30T00:00:00"/>
    <s v="NaT"/>
    <s v="FSK"/>
    <n v="4"/>
    <s v="I2"/>
    <x v="2"/>
    <s v="AR75_YDBM075DCS02_2S"/>
    <s v="A5027707C$0003946_2131-YDBM075DCS02"/>
    <n v="2131"/>
    <s v="EA5027707C"/>
    <s v="na"/>
    <s v="na"/>
    <s v="na"/>
    <s v="Half picture"/>
    <s v="Half picture"/>
    <x v="9"/>
    <x v="0"/>
  </r>
  <r>
    <n v="225"/>
    <x v="71"/>
    <n v="2139"/>
    <s v="na"/>
    <d v="2021-09-30T00:00:00"/>
    <s v="NaT"/>
    <s v="FSK"/>
    <n v="4"/>
    <s v="I2"/>
    <x v="2"/>
    <s v="AR75_YDBM075DCS02_2S"/>
    <s v="A5027707C$0003507_2131-YDBM075DCS02"/>
    <n v="2131"/>
    <s v="EA5027707C"/>
    <s v="na"/>
    <s v="na"/>
    <s v="na"/>
    <s v="D/L Defect"/>
    <s v="D/L Defect"/>
    <x v="2"/>
    <x v="0"/>
  </r>
  <r>
    <n v="226"/>
    <x v="71"/>
    <n v="2139"/>
    <s v="na"/>
    <d v="2021-10-01T00:00:00"/>
    <s v="NaT"/>
    <s v="FSK"/>
    <n v="2"/>
    <s v="I1"/>
    <x v="0"/>
    <s v="APH75_YSBM075CNO02"/>
    <s v="A5027728A$0021930_2132-YSBM075CNO02"/>
    <n v="2132"/>
    <s v="EA5027728A"/>
    <s v="na"/>
    <s v="na"/>
    <s v="na"/>
    <s v="Glass Broken"/>
    <s v="Glass Broken"/>
    <x v="11"/>
    <x v="0"/>
  </r>
  <r>
    <n v="227"/>
    <x v="71"/>
    <n v="2139"/>
    <s v="na"/>
    <d v="2021-10-01T00:00:00"/>
    <s v="NaT"/>
    <s v="FSK"/>
    <n v="3"/>
    <s v="I5"/>
    <x v="0"/>
    <s v="APH75_YSBM075CNO02"/>
    <s v="A5027728A$0020438_2130-YSBM075CNO02"/>
    <n v="2130"/>
    <s v="EA5027728A"/>
    <s v="na"/>
    <s v="na"/>
    <s v="na"/>
    <s v="G/L Defect"/>
    <s v="G/L Defect"/>
    <x v="2"/>
    <x v="0"/>
  </r>
  <r>
    <n v="228"/>
    <x v="71"/>
    <n v="2139"/>
    <s v="na"/>
    <d v="2021-10-01T00:00:00"/>
    <s v="NaT"/>
    <s v="FSK"/>
    <n v="3"/>
    <s v="WB1"/>
    <x v="0"/>
    <s v="APH75_YSBM075CNO02"/>
    <s v="A5027728A$0022828_2133-YSBM075CNO02"/>
    <n v="2133"/>
    <s v="EA5027728A"/>
    <s v="na"/>
    <s v="na"/>
    <s v="na"/>
    <s v="No display"/>
    <s v="No display"/>
    <x v="9"/>
    <x v="0"/>
  </r>
  <r>
    <n v="229"/>
    <x v="72"/>
    <n v="2140"/>
    <s v="na"/>
    <d v="2021-10-04T00:00:00"/>
    <s v="NaT"/>
    <s v="FSK"/>
    <n v="3"/>
    <s v="I5"/>
    <x v="0"/>
    <s v="APH75_YSBM075CNO02"/>
    <s v="A5027728A$0021156_2131-YSBM075CNO02"/>
    <n v="2131"/>
    <s v="EA5027728A"/>
    <s v="na"/>
    <s v="na"/>
    <s v="na"/>
    <s v="D/L Defect"/>
    <s v="D/L Defect"/>
    <x v="2"/>
    <x v="0"/>
  </r>
  <r>
    <n v="230"/>
    <x v="72"/>
    <n v="2140"/>
    <s v="na"/>
    <d v="2021-10-05T00:00:00"/>
    <s v="NaT"/>
    <s v="FSK"/>
    <n v="3"/>
    <s v="I5"/>
    <x v="17"/>
    <s v="AX75_YDBM075CCS02_2S"/>
    <s v="A5027719C$0003458_2132-YDBM075CCS02"/>
    <n v="2132"/>
    <s v="EA5027719C"/>
    <s v="na"/>
    <s v="na"/>
    <s v="na"/>
    <s v="D/L Defect"/>
    <s v="D/L Defect"/>
    <x v="2"/>
    <x v="0"/>
  </r>
  <r>
    <n v="231"/>
    <x v="72"/>
    <n v="2140"/>
    <s v="na"/>
    <d v="2021-10-05T00:00:00"/>
    <s v="NaT"/>
    <s v="FSK"/>
    <n v="3"/>
    <s v="I5"/>
    <x v="17"/>
    <s v="AX75_YDBM075CCS02_2S"/>
    <s v="A5027719C$0003473_2132-YDBM075CCS02"/>
    <n v="2132"/>
    <s v="EA5027719C"/>
    <s v="na"/>
    <s v="na"/>
    <s v="na"/>
    <s v="D/L Defect"/>
    <s v="D/L Defect"/>
    <x v="2"/>
    <x v="0"/>
  </r>
  <r>
    <n v="232"/>
    <x v="72"/>
    <n v="2140"/>
    <s v="na"/>
    <d v="2021-10-07T00:00:00"/>
    <s v="NaT"/>
    <s v="FSK"/>
    <n v="2"/>
    <s v="I5"/>
    <x v="2"/>
    <s v="AR75_YDBM075DCS02_2S"/>
    <s v="A5027707C$0005385_2133-YDBM075DCS02"/>
    <n v="2133"/>
    <s v="EA5027707C"/>
    <s v="na"/>
    <s v="na"/>
    <s v="na"/>
    <s v="D/L Defect"/>
    <s v="D/L Defect"/>
    <x v="2"/>
    <x v="0"/>
  </r>
  <r>
    <n v="233"/>
    <x v="72"/>
    <n v="2140"/>
    <s v="na"/>
    <d v="2021-10-08T00:00:00"/>
    <s v="NaT"/>
    <s v="FSK"/>
    <n v="2"/>
    <s v="I5"/>
    <x v="2"/>
    <s v="AR75_YDBM075DCS02_2S"/>
    <s v="A5027707C$0006122_2133-YDBM075DCS02"/>
    <n v="2133"/>
    <s v="EA5027707C"/>
    <s v="na"/>
    <s v="na"/>
    <s v="na"/>
    <s v="D/L Defect"/>
    <s v="D/L Defect"/>
    <x v="2"/>
    <x v="0"/>
  </r>
  <r>
    <n v="33"/>
    <x v="71"/>
    <n v="2139"/>
    <s v="TV"/>
    <d v="2021-09-27T00:00:00"/>
    <d v="2021-09-27T00:00:00"/>
    <s v="SOEM"/>
    <s v="Line"/>
    <s v="TV"/>
    <x v="0"/>
    <s v="YSBM075CNO02"/>
    <s v="A5027725A$0019784_2126_YSBM075CNO02"/>
    <n v="2126"/>
    <s v="A-5027-725-X"/>
    <s v="SSV"/>
    <s v="na"/>
    <s v="na"/>
    <s v="Pol stain"/>
    <s v="B/L stain"/>
    <x v="10"/>
    <x v="0"/>
  </r>
  <r>
    <n v="34"/>
    <x v="71"/>
    <n v="2139"/>
    <s v="TV"/>
    <d v="2021-09-27T00:00:00"/>
    <d v="2021-09-27T00:00:00"/>
    <s v="SOEM"/>
    <s v="Line"/>
    <s v="TV"/>
    <x v="0"/>
    <s v="YSBM075CNO02"/>
    <s v="A5027725A$0019052_2126_YSBM075CNO02"/>
    <n v="2126"/>
    <s v="A-5027-725-X"/>
    <s v="SSV"/>
    <s v="na"/>
    <s v="na"/>
    <s v="D/D short"/>
    <s v="D/D short"/>
    <x v="2"/>
    <x v="0"/>
  </r>
  <r>
    <n v="2"/>
    <x v="71"/>
    <n v="2139"/>
    <s v="TV"/>
    <d v="2021-10-02T00:00:00"/>
    <d v="2021-10-02T00:00:00"/>
    <s v="SOEM"/>
    <s v="Line"/>
    <s v="TV"/>
    <x v="12"/>
    <s v="YDAS075DND01"/>
    <s v="A5024290B$0003606_2130-YDAS075DNS02"/>
    <n v="2130"/>
    <s v="A5016527*"/>
    <s v="SSV"/>
    <s v="na"/>
    <s v="na"/>
    <s v="D/B defect"/>
    <s v="D/B defect"/>
    <x v="2"/>
    <x v="2"/>
  </r>
  <r>
    <n v="16"/>
    <x v="71"/>
    <n v="2139"/>
    <s v="na"/>
    <d v="2021-10-02T00:00:00"/>
    <d v="2021-10-02T00:00:00"/>
    <s v="SOEM"/>
    <s v="Line"/>
    <s v="na"/>
    <x v="17"/>
    <s v="YDBM075CCS02"/>
    <s v="A5027719C$0002641_2131-YDBM075CCS02"/>
    <n v="2131"/>
    <s v="A-5027-719-X"/>
    <s v="SSV"/>
    <s v="na"/>
    <s v="na"/>
    <s v="Glass broken "/>
    <s v="Glass broken "/>
    <x v="11"/>
    <x v="0"/>
  </r>
  <r>
    <n v="11"/>
    <x v="34"/>
    <n v="2137"/>
    <s v="na"/>
    <d v="2021-09-14T00:00:00"/>
    <d v="2021-09-14T00:00:00"/>
    <s v="CTTI"/>
    <s v="Line"/>
    <s v="na"/>
    <x v="0"/>
    <s v="YSBM075CNO02"/>
    <s v="A5027725A$0023132_2131"/>
    <n v="2131"/>
    <s v="A-5027-725-A"/>
    <s v="SSVE"/>
    <s v="na"/>
    <s v="na"/>
    <s v="Pol particle "/>
    <s v="Pol particle "/>
    <x v="0"/>
    <x v="0"/>
  </r>
  <r>
    <n v="12"/>
    <x v="34"/>
    <n v="2137"/>
    <s v="na"/>
    <d v="2021-09-15T00:00:00"/>
    <d v="2021-09-15T00:00:00"/>
    <s v="CTTI"/>
    <s v="Line"/>
    <s v="na"/>
    <x v="0"/>
    <s v="YSBM075CNO02"/>
    <s v="A5027725A$0024343_2131"/>
    <n v="2131"/>
    <s v="A-5027-725-A"/>
    <s v="SSVE"/>
    <s v="na"/>
    <s v="na"/>
    <s v="Pol particle "/>
    <s v="Pol particle "/>
    <x v="0"/>
    <x v="0"/>
  </r>
  <r>
    <n v="13"/>
    <x v="34"/>
    <n v="2137"/>
    <s v="na"/>
    <d v="2021-09-16T00:00:00"/>
    <d v="2021-09-16T00:00:00"/>
    <s v="CTTI"/>
    <s v="Line"/>
    <s v="na"/>
    <x v="0"/>
    <s v="YSBM075CNO02"/>
    <s v="A5027725A$0024356_2131"/>
    <n v="2131"/>
    <s v="A-5027-725-A"/>
    <s v="SSVE"/>
    <s v="na"/>
    <s v="na"/>
    <s v="Panel light leak"/>
    <s v="Panel light leak"/>
    <x v="6"/>
    <x v="0"/>
  </r>
  <r>
    <n v="14"/>
    <x v="34"/>
    <n v="2137"/>
    <s v="na"/>
    <d v="2021-09-14T00:00:00"/>
    <d v="2021-09-14T00:00:00"/>
    <s v="CTTI"/>
    <s v="Line"/>
    <s v="na"/>
    <x v="0"/>
    <s v="YSBM075CNO02"/>
    <s v="A5027725A$0021484_2129"/>
    <n v="2129"/>
    <s v="A-5027-725-A"/>
    <s v="SSVE"/>
    <s v="na"/>
    <s v="na"/>
    <s v="Pol stain"/>
    <s v="Pol stain"/>
    <x v="0"/>
    <x v="0"/>
  </r>
  <r>
    <n v="15"/>
    <x v="34"/>
    <n v="2137"/>
    <s v="na"/>
    <d v="2021-09-15T00:00:00"/>
    <d v="2021-09-15T00:00:00"/>
    <s v="CTTI"/>
    <s v="Line"/>
    <s v="na"/>
    <x v="0"/>
    <s v="YSBM075CNO02"/>
    <s v="A5027725A$0023489_2131"/>
    <n v="2131"/>
    <s v="A-5027-725-A"/>
    <s v="SSVE"/>
    <s v="na"/>
    <s v="na"/>
    <s v="Pol stain"/>
    <s v="Pol stain"/>
    <x v="0"/>
    <x v="0"/>
  </r>
  <r>
    <n v="16"/>
    <x v="34"/>
    <n v="2137"/>
    <s v="na"/>
    <d v="2021-09-16T00:00:00"/>
    <d v="2021-09-16T00:00:00"/>
    <s v="CTTI"/>
    <s v="Line"/>
    <s v="na"/>
    <x v="0"/>
    <s v="YSBM075CNO02"/>
    <s v="A5027725A$0024597_2131"/>
    <n v="2131"/>
    <s v="A-5027-725-A"/>
    <s v="SSVE"/>
    <s v="na"/>
    <s v="na"/>
    <s v="Pol particle "/>
    <s v="Pol particle "/>
    <x v="0"/>
    <x v="0"/>
  </r>
  <r>
    <n v="17"/>
    <x v="70"/>
    <n v="2138"/>
    <s v="na"/>
    <d v="2021-09-21T00:00:00"/>
    <d v="2021-09-21T00:00:00"/>
    <s v="CTTI"/>
    <s v="Line"/>
    <s v="na"/>
    <x v="0"/>
    <s v="YSBM075CNO02"/>
    <s v="A5027725A$0025379_2131"/>
    <n v="2131"/>
    <s v="A-5027-725-A"/>
    <s v="SSVE"/>
    <s v="na"/>
    <s v="na"/>
    <s v="Pol particle "/>
    <s v="Pol particle "/>
    <x v="0"/>
    <x v="0"/>
  </r>
  <r>
    <n v="18"/>
    <x v="70"/>
    <n v="2138"/>
    <s v="na"/>
    <d v="2021-09-22T00:00:00"/>
    <d v="2021-09-22T00:00:00"/>
    <s v="CTTI"/>
    <s v="Line"/>
    <s v="na"/>
    <x v="0"/>
    <s v="YSBM075CNO02"/>
    <s v="A5027725A$0025479_2131"/>
    <n v="2131"/>
    <s v="A-5027-725-A"/>
    <s v="SSVE"/>
    <s v="na"/>
    <s v="na"/>
    <s v="Pol spot"/>
    <s v="Pol spot"/>
    <x v="0"/>
    <x v="0"/>
  </r>
  <r>
    <n v="19"/>
    <x v="70"/>
    <n v="2138"/>
    <s v="na"/>
    <d v="2021-09-23T00:00:00"/>
    <d v="2021-09-23T00:00:00"/>
    <s v="CTTI"/>
    <s v="Line"/>
    <s v="na"/>
    <x v="0"/>
    <s v="YSBM075CNO02"/>
    <s v="A5027725A$0025483_2131"/>
    <n v="2131"/>
    <s v="A-5027-725-A"/>
    <s v="SSVE"/>
    <s v="na"/>
    <s v="na"/>
    <s v="Pol spot"/>
    <s v="Pol spot"/>
    <x v="0"/>
    <x v="0"/>
  </r>
  <r>
    <n v="20"/>
    <x v="70"/>
    <n v="2138"/>
    <s v="na"/>
    <d v="2021-09-24T00:00:00"/>
    <d v="2021-09-24T00:00:00"/>
    <s v="CTTI"/>
    <s v="Line"/>
    <s v="na"/>
    <x v="0"/>
    <s v="YSBM075CNO02"/>
    <s v="A5027725A$0025613_2131"/>
    <n v="2131"/>
    <s v="A-5027-725-A"/>
    <s v="SSVE"/>
    <s v="na"/>
    <s v="na"/>
    <s v="No display (O-Cell)"/>
    <s v="No display (O-Cell)"/>
    <x v="1"/>
    <x v="0"/>
  </r>
  <r>
    <n v="21"/>
    <x v="70"/>
    <n v="2138"/>
    <s v="na"/>
    <d v="2021-09-21T00:00:00"/>
    <d v="2021-09-21T00:00:00"/>
    <s v="CTTI"/>
    <s v="Line"/>
    <s v="na"/>
    <x v="0"/>
    <s v="YSBM075CNO02"/>
    <s v="A5027725A$0025401_2131"/>
    <n v="2131"/>
    <s v="A-5027-725-A"/>
    <s v="SSVE"/>
    <s v="na"/>
    <s v="na"/>
    <s v="Dot etc"/>
    <s v="Dot etc"/>
    <x v="12"/>
    <x v="0"/>
  </r>
  <r>
    <n v="22"/>
    <x v="70"/>
    <n v="2138"/>
    <s v="na"/>
    <d v="2021-09-22T00:00:00"/>
    <d v="2021-09-22T00:00:00"/>
    <s v="CTTI"/>
    <s v="Line"/>
    <s v="na"/>
    <x v="0"/>
    <s v="YSBM075CNO02"/>
    <s v="A5027725A$0025621_2131"/>
    <n v="2131"/>
    <s v="A-5027-725-A"/>
    <s v="SSVE"/>
    <s v="na"/>
    <s v="na"/>
    <s v="Mura etc"/>
    <s v="Mura etc"/>
    <x v="6"/>
    <x v="0"/>
  </r>
  <r>
    <n v="23"/>
    <x v="70"/>
    <n v="2138"/>
    <s v="na"/>
    <d v="2021-09-23T00:00:00"/>
    <d v="2021-09-23T00:00:00"/>
    <s v="CTTI"/>
    <s v="Line"/>
    <s v="na"/>
    <x v="0"/>
    <s v="YSBM075CNO02"/>
    <s v="A5027725A$0021436_2129"/>
    <n v="2129"/>
    <s v="A-5027-725-A"/>
    <s v="SSVE"/>
    <s v="na"/>
    <s v="na"/>
    <s v="Pol particle "/>
    <s v="Pol particle "/>
    <x v="0"/>
    <x v="0"/>
  </r>
  <r>
    <n v="24"/>
    <x v="70"/>
    <n v="2138"/>
    <s v="na"/>
    <d v="2021-09-24T00:00:00"/>
    <d v="2021-09-24T00:00:00"/>
    <s v="CTTI"/>
    <s v="Line"/>
    <s v="na"/>
    <x v="0"/>
    <s v="YSBM075CNO02"/>
    <s v="A5027725A$0025636_2131"/>
    <n v="2131"/>
    <s v="A-5027-725-A"/>
    <s v="SSVE"/>
    <s v="na"/>
    <s v="na"/>
    <s v="Pol particle "/>
    <s v="Pol particle "/>
    <x v="0"/>
    <x v="0"/>
  </r>
  <r>
    <n v="25"/>
    <x v="71"/>
    <n v="2139"/>
    <s v="na"/>
    <d v="2021-09-27T00:00:00"/>
    <d v="2021-09-27T00:00:00"/>
    <s v="CTTI"/>
    <s v="Line"/>
    <s v="na"/>
    <x v="0"/>
    <s v="YSBM075CNO02"/>
    <s v="A5027725A$0024132_2130"/>
    <n v="2130"/>
    <s v="A-5027-725-A"/>
    <s v="SSVE"/>
    <s v="na"/>
    <s v="na"/>
    <s v="Pol particle "/>
    <s v="Pol particle "/>
    <x v="0"/>
    <x v="0"/>
  </r>
  <r>
    <n v="12"/>
    <x v="71"/>
    <n v="2139"/>
    <s v="na"/>
    <d v="2021-10-01T00:00:00"/>
    <d v="2021-10-01T00:00:00"/>
    <s v="INZ"/>
    <s v="Line"/>
    <s v="na"/>
    <x v="2"/>
    <s v="YDBM075DCS02"/>
    <s v="A5027707C$0006685_2133"/>
    <n v="2133"/>
    <s v="A-5027-707-C"/>
    <s v="SSVE"/>
    <s v="na"/>
    <s v="na"/>
    <s v="G/L defect"/>
    <s v="G/L defect"/>
    <x v="2"/>
    <x v="0"/>
  </r>
  <r>
    <n v="19"/>
    <x v="32"/>
    <n v="2140"/>
    <s v="TV"/>
    <d v="2021-10-08T00:00:00"/>
    <d v="2021-09-03T00:00:00"/>
    <s v="SOEM"/>
    <s v="Line"/>
    <s v="TV"/>
    <x v="19"/>
    <s v="YDBM085CNU02"/>
    <s v="A5027713A$0010087_2126-YDBM085CNU02"/>
    <n v="2126"/>
    <s v="A-5027-713-X"/>
    <s v="SSV"/>
    <s v="na"/>
    <s v="na"/>
    <s v="B/L Sheet fail"/>
    <s v="B/L Sheet fail"/>
    <x v="10"/>
    <x v="0"/>
  </r>
  <r>
    <n v="20"/>
    <x v="32"/>
    <n v="2140"/>
    <s v="TV"/>
    <d v="2021-10-08T00:00:00"/>
    <d v="2021-09-03T00:00:00"/>
    <s v="SOEM"/>
    <s v="Line"/>
    <s v="TV"/>
    <x v="19"/>
    <s v="YDBM085CNU02"/>
    <s v="A5027713A$0013344_2132-YDBM085CNU02"/>
    <n v="2132"/>
    <s v="A-5027-713-X"/>
    <s v="SSV"/>
    <s v="na"/>
    <s v="na"/>
    <s v="B/L Sheet fail"/>
    <s v="B/L Sheet fail"/>
    <x v="10"/>
    <x v="0"/>
  </r>
  <r>
    <n v="21"/>
    <x v="32"/>
    <n v="2140"/>
    <s v="TV"/>
    <d v="2021-10-08T00:00:00"/>
    <d v="2021-09-03T00:00:00"/>
    <s v="SOEM"/>
    <s v="Line"/>
    <s v="TV"/>
    <x v="19"/>
    <s v="YDBM085CNU02"/>
    <s v="A5027713A$0013352_2132-YDBM085CNU02"/>
    <n v="2132"/>
    <s v="A-5027-713-X"/>
    <s v="SSV"/>
    <s v="na"/>
    <s v="na"/>
    <s v="B/L Sheet fail"/>
    <s v="B/L Sheet fail"/>
    <x v="10"/>
    <x v="0"/>
  </r>
  <r>
    <n v="22"/>
    <x v="32"/>
    <n v="2140"/>
    <s v="TV"/>
    <d v="2021-10-08T00:00:00"/>
    <d v="2021-09-03T00:00:00"/>
    <s v="SOEM"/>
    <s v="Line"/>
    <s v="TV"/>
    <x v="19"/>
    <s v="YDBM085CNU02"/>
    <s v="A5027713A$0013354_2132-YDBM085CNU02"/>
    <n v="2132"/>
    <s v="A-5027-713-X"/>
    <s v="SSV"/>
    <s v="na"/>
    <s v="na"/>
    <s v="B/L Sheet fail"/>
    <s v="B/L Sheet fail"/>
    <x v="10"/>
    <x v="0"/>
  </r>
  <r>
    <n v="23"/>
    <x v="32"/>
    <n v="2140"/>
    <s v="TV"/>
    <d v="2021-10-08T00:00:00"/>
    <d v="2021-09-03T00:00:00"/>
    <s v="SOEM"/>
    <s v="Line"/>
    <s v="TV"/>
    <x v="19"/>
    <s v="YDBM085CNU02"/>
    <s v="A5027713A$0011375_2130-YDBM085CNU02"/>
    <n v="2130"/>
    <s v="A-5027-713-X"/>
    <s v="SSV"/>
    <s v="na"/>
    <s v="na"/>
    <s v="B/L Sheet fail"/>
    <s v="B/L Sheet fail"/>
    <x v="10"/>
    <x v="0"/>
  </r>
  <r>
    <n v="24"/>
    <x v="32"/>
    <n v="2140"/>
    <s v="TV"/>
    <d v="2021-10-08T00:00:00"/>
    <d v="2021-09-03T00:00:00"/>
    <s v="SOEM"/>
    <s v="Line"/>
    <s v="TV"/>
    <x v="19"/>
    <s v="YDBM085CNU02"/>
    <s v="A5027713A$0011379_2130-YDBM085CNU02"/>
    <n v="2132"/>
    <s v="A-5027-713-X"/>
    <s v="SSV"/>
    <s v="na"/>
    <s v="na"/>
    <s v="B/L Sheet fail"/>
    <s v="B/L Sheet fail"/>
    <x v="10"/>
    <x v="0"/>
  </r>
  <r>
    <n v="25"/>
    <x v="32"/>
    <n v="2140"/>
    <s v="TV"/>
    <d v="2021-10-08T00:00:00"/>
    <d v="2021-09-03T00:00:00"/>
    <s v="SOEM"/>
    <s v="Line"/>
    <s v="TV"/>
    <x v="19"/>
    <s v="YDBM085CNU02"/>
    <s v="A5027713A$0011374_2130-YDBM085CNU02"/>
    <n v="2130"/>
    <s v="A-5027-713-X"/>
    <s v="SSV"/>
    <s v="na"/>
    <s v="na"/>
    <s v="B/L Sheet fail"/>
    <s v="B/L Sheet fail"/>
    <x v="10"/>
    <x v="0"/>
  </r>
  <r>
    <n v="26"/>
    <x v="32"/>
    <n v="2140"/>
    <s v="TV"/>
    <d v="2021-10-08T00:00:00"/>
    <d v="2021-09-03T00:00:00"/>
    <s v="SOEM"/>
    <s v="Line"/>
    <s v="TV"/>
    <x v="19"/>
    <s v="YDBM085CNU02"/>
    <s v="A5027713A$0013348_2132-YDBM085CNU02"/>
    <n v="2132"/>
    <s v="A-5027-713-X"/>
    <s v="SSV"/>
    <s v="na"/>
    <s v="na"/>
    <s v="B/L Sheet fail"/>
    <s v="B/L Sheet fail"/>
    <x v="10"/>
    <x v="0"/>
  </r>
  <r>
    <n v="27"/>
    <x v="32"/>
    <n v="2140"/>
    <s v="TV"/>
    <d v="2021-10-08T00:00:00"/>
    <d v="2021-09-03T00:00:00"/>
    <s v="SOEM"/>
    <s v="Line"/>
    <s v="TV"/>
    <x v="19"/>
    <s v="YDBM085CNU02"/>
    <s v="A5027713A$0013347_2132-YDBM085CNU02"/>
    <n v="2132"/>
    <s v="A-5027-713-X"/>
    <s v="SSV"/>
    <s v="na"/>
    <s v="na"/>
    <s v="B/L Sheet fail"/>
    <s v="B/L Sheet fail"/>
    <x v="10"/>
    <x v="0"/>
  </r>
  <r>
    <n v="28"/>
    <x v="32"/>
    <n v="2140"/>
    <s v="TV"/>
    <d v="2021-10-08T00:00:00"/>
    <d v="2021-09-03T00:00:00"/>
    <s v="SOEM"/>
    <s v="Line"/>
    <s v="TV"/>
    <x v="19"/>
    <s v="YDBM085CNU02"/>
    <s v="A5027713A$0013339_2132-YDBM085CNU02"/>
    <n v="2132"/>
    <s v="A-5027-713-X"/>
    <s v="SSV"/>
    <s v="na"/>
    <s v="na"/>
    <s v="B/L Sheet fail"/>
    <s v="B/L Sheet fail"/>
    <x v="10"/>
    <x v="0"/>
  </r>
  <r>
    <n v="29"/>
    <x v="32"/>
    <n v="2140"/>
    <s v="TV"/>
    <d v="2021-10-08T00:00:00"/>
    <d v="2021-09-03T00:00:00"/>
    <s v="SOEM"/>
    <s v="Line"/>
    <s v="TV"/>
    <x v="19"/>
    <s v="YDBM085CNU02"/>
    <s v="A5027713A$0013340_2132-YDBM085CNU02"/>
    <n v="2132"/>
    <s v="A-5027-713-X"/>
    <s v="SSV"/>
    <s v="na"/>
    <s v="na"/>
    <s v="B/L Sheet fail"/>
    <s v="B/L Sheet fail"/>
    <x v="10"/>
    <x v="0"/>
  </r>
  <r>
    <n v="30"/>
    <x v="32"/>
    <n v="2140"/>
    <s v="TV"/>
    <d v="2021-10-08T00:00:00"/>
    <d v="2021-09-03T00:00:00"/>
    <s v="SOEM"/>
    <s v="Line"/>
    <s v="TV"/>
    <x v="19"/>
    <s v="YDBM085CNU02"/>
    <s v="A5027713A$0013341_2132-YDBM085CNU02"/>
    <n v="2132"/>
    <s v="A-5027-713-X"/>
    <s v="SSV"/>
    <s v="na"/>
    <s v="na"/>
    <s v="B/L Sheet fail"/>
    <s v="B/L Sheet fail"/>
    <x v="10"/>
    <x v="0"/>
  </r>
  <r>
    <n v="31"/>
    <x v="32"/>
    <n v="2140"/>
    <s v="TV"/>
    <d v="2021-10-08T00:00:00"/>
    <d v="2021-09-03T00:00:00"/>
    <s v="SOEM"/>
    <s v="Line"/>
    <s v="TV"/>
    <x v="19"/>
    <s v="YDBM085CNU02"/>
    <s v="A5027713A$0013342_2132-YDBM085CNU02"/>
    <n v="2132"/>
    <s v="A-5027-713-X"/>
    <s v="SSV"/>
    <s v="na"/>
    <s v="na"/>
    <s v="B/L Sheet fail"/>
    <s v="B/L Sheet fail"/>
    <x v="10"/>
    <x v="0"/>
  </r>
  <r>
    <n v="32"/>
    <x v="32"/>
    <n v="2140"/>
    <s v="TV"/>
    <d v="2021-10-08T00:00:00"/>
    <d v="2021-09-03T00:00:00"/>
    <s v="SOEM"/>
    <s v="Line"/>
    <s v="TV"/>
    <x v="19"/>
    <s v="YDBM085CNU02"/>
    <s v="A5027713A$0013343_2132-YDBM085CNU02"/>
    <n v="2132"/>
    <s v="A-5027-713-X"/>
    <s v="SSV"/>
    <s v="na"/>
    <s v="na"/>
    <s v="B/L Sheet fail"/>
    <s v="B/L Sheet fail"/>
    <x v="10"/>
    <x v="0"/>
  </r>
  <r>
    <n v="33"/>
    <x v="32"/>
    <n v="2140"/>
    <s v="TV"/>
    <d v="2021-10-08T00:00:00"/>
    <d v="2021-09-03T00:00:00"/>
    <s v="SOEM"/>
    <s v="Line"/>
    <s v="TV"/>
    <x v="19"/>
    <s v="YDBM085CNU02"/>
    <s v="A5027713A$0013349_2132-YDBM085CNU02"/>
    <n v="2132"/>
    <s v="A-5027-713-X"/>
    <s v="SSV"/>
    <s v="na"/>
    <s v="na"/>
    <s v="B/L Sheet fail"/>
    <s v="B/L Sheet fail"/>
    <x v="10"/>
    <x v="0"/>
  </r>
  <r>
    <n v="34"/>
    <x v="32"/>
    <n v="2140"/>
    <s v="TV"/>
    <d v="2021-10-08T00:00:00"/>
    <d v="2021-09-03T00:00:00"/>
    <s v="SOEM"/>
    <s v="Line"/>
    <s v="TV"/>
    <x v="19"/>
    <s v="YDBM085CNU02"/>
    <s v="A5027713A$0013345_2132-YDBM085CNU02"/>
    <n v="2132"/>
    <s v="A-5027-713-X"/>
    <s v="SSV"/>
    <s v="na"/>
    <s v="na"/>
    <s v="B/L Sheet fail"/>
    <s v="B/L Sheet fail"/>
    <x v="10"/>
    <x v="0"/>
  </r>
  <r>
    <n v="35"/>
    <x v="32"/>
    <n v="2140"/>
    <s v="TV"/>
    <d v="2021-10-08T00:00:00"/>
    <d v="2021-09-03T00:00:00"/>
    <s v="SOEM"/>
    <s v="Line"/>
    <s v="TV"/>
    <x v="19"/>
    <s v="YDBM085CNU02"/>
    <s v="A5027713A$0011346_2130-YDBM085CNU02"/>
    <n v="2132"/>
    <s v="A-5027-713-X"/>
    <s v="SSV"/>
    <s v="na"/>
    <s v="na"/>
    <s v="B/L Sheet fail"/>
    <s v="B/L Sheet fail"/>
    <x v="10"/>
    <x v="0"/>
  </r>
  <r>
    <n v="36"/>
    <x v="32"/>
    <n v="2140"/>
    <s v="TV"/>
    <d v="2021-10-08T00:00:00"/>
    <d v="2021-09-03T00:00:00"/>
    <s v="SOEM"/>
    <s v="Line"/>
    <s v="TV"/>
    <x v="19"/>
    <s v="YDBM085CNU02"/>
    <s v="A5027713A$0011165_2129-YDBM085CNU02"/>
    <n v="2129"/>
    <s v="A-5027-713-X"/>
    <s v="SSV"/>
    <s v="na"/>
    <s v="na"/>
    <s v="B/L Sheet fail"/>
    <s v="B/L Sheet fail"/>
    <x v="10"/>
    <x v="0"/>
  </r>
  <r>
    <n v="37"/>
    <x v="32"/>
    <n v="2140"/>
    <s v="TV"/>
    <d v="2021-10-08T00:00:00"/>
    <d v="2021-09-03T00:00:00"/>
    <s v="SOEM"/>
    <s v="Line"/>
    <s v="TV"/>
    <x v="19"/>
    <s v="YDBM085CNU02"/>
    <s v="A5027713A$0011161_2129-YDBM085CNU02"/>
    <n v="2129"/>
    <s v="A-5027-713-X"/>
    <s v="SSV"/>
    <s v="na"/>
    <s v="na"/>
    <s v="B/L Sheet fail"/>
    <s v="B/L Sheet fail"/>
    <x v="10"/>
    <x v="0"/>
  </r>
  <r>
    <n v="38"/>
    <x v="32"/>
    <n v="2140"/>
    <s v="TV"/>
    <d v="2021-10-08T00:00:00"/>
    <d v="2021-09-03T00:00:00"/>
    <s v="SOEM"/>
    <s v="Line"/>
    <s v="TV"/>
    <x v="19"/>
    <s v="YDBM085CNU02"/>
    <s v="A5027713A$0010922_2128-YDBM085CNU02"/>
    <n v="2128"/>
    <s v="A-5027-713-X"/>
    <s v="SSV"/>
    <s v="na"/>
    <s v="na"/>
    <s v="B/L Sheet fail"/>
    <s v="B/L Sheet fail"/>
    <x v="10"/>
    <x v="0"/>
  </r>
  <r>
    <n v="39"/>
    <x v="32"/>
    <n v="2140"/>
    <s v="TV"/>
    <d v="2021-10-08T00:00:00"/>
    <d v="2021-09-03T00:00:00"/>
    <s v="SOEM"/>
    <s v="Line"/>
    <s v="TV"/>
    <x v="19"/>
    <s v="YDBM085CNU02"/>
    <s v="A5027713A$0011157_2129-YDBM085CNU02"/>
    <n v="2129"/>
    <s v="A-5027-713-X"/>
    <s v="SSV"/>
    <s v="na"/>
    <s v="na"/>
    <s v="B/L Sheet fail"/>
    <s v="B/L Sheet fail"/>
    <x v="10"/>
    <x v="0"/>
  </r>
  <r>
    <n v="40"/>
    <x v="32"/>
    <n v="2140"/>
    <s v="TV"/>
    <d v="2021-10-08T00:00:00"/>
    <d v="2021-09-03T00:00:00"/>
    <s v="SOEM"/>
    <s v="Line"/>
    <s v="TV"/>
    <x v="19"/>
    <s v="YDBM085CNU02"/>
    <s v="A5027713A$0011116_2129-YDBM085CNU02"/>
    <n v="2129"/>
    <s v="A-5027-713-X"/>
    <s v="SSV"/>
    <s v="na"/>
    <s v="na"/>
    <s v="B/L Sheet fail"/>
    <s v="B/L Sheet fail"/>
    <x v="10"/>
    <x v="0"/>
  </r>
  <r>
    <n v="35"/>
    <x v="71"/>
    <n v="2140"/>
    <s v="TV"/>
    <d v="2021-10-06T00:00:00"/>
    <d v="2021-09-27T00:00:00"/>
    <s v="SOEM"/>
    <s v="Line"/>
    <s v="TV"/>
    <x v="0"/>
    <s v="YSBM075CNO02"/>
    <s v="A5027725A$0026208_2132_YSBM075CNO02"/>
    <n v="2132"/>
    <s v="A-5027-725-X"/>
    <s v="SSV"/>
    <s v="na"/>
    <s v="na"/>
    <s v="Pol stain"/>
    <s v="B/L stain"/>
    <x v="10"/>
    <x v="0"/>
  </r>
  <r>
    <n v="200"/>
    <x v="73"/>
    <n v="2141"/>
    <s v="na"/>
    <d v="2021-10-11T00:00:00"/>
    <s v="NaT"/>
    <s v="FSK"/>
    <n v="2"/>
    <s v="WB1"/>
    <x v="12"/>
    <s v="NX75_YDAS075DNS02_C"/>
    <s v="A5024285B$0024887_2131-YDAS075DNS02"/>
    <n v="2131"/>
    <s v="EA5024285B"/>
    <s v="na"/>
    <s v="na"/>
    <s v="na"/>
    <s v="No display"/>
    <s v="No display"/>
    <x v="9"/>
    <x v="2"/>
  </r>
  <r>
    <n v="201"/>
    <x v="73"/>
    <n v="2141"/>
    <s v="na"/>
    <d v="2021-10-12T00:00:00"/>
    <s v="NaT"/>
    <s v="FSK"/>
    <n v="3"/>
    <s v="WB1"/>
    <x v="17"/>
    <s v="AX75_YDBM075CCS02_4S"/>
    <s v="A5027722C$0002229_2133-YDBM075CCS02"/>
    <n v="2133"/>
    <s v="EA5027722C"/>
    <s v="na"/>
    <s v="na"/>
    <s v="na"/>
    <s v="A/D"/>
    <s v="A/D"/>
    <x v="9"/>
    <x v="0"/>
  </r>
  <r>
    <n v="202"/>
    <x v="73"/>
    <n v="2141"/>
    <s v="na"/>
    <d v="2021-10-13T00:00:00"/>
    <s v="NaT"/>
    <s v="FSK"/>
    <n v="4"/>
    <s v="I1"/>
    <x v="2"/>
    <s v="AR75_YDBM075DCS02_2S"/>
    <s v="A5027707C$0005163_2133-YDBM075DCS02"/>
    <n v="2133"/>
    <s v="EA5027707C"/>
    <s v="na"/>
    <s v="na"/>
    <s v="na"/>
    <s v="D/L Defect"/>
    <s v="D/L Defect"/>
    <x v="2"/>
    <x v="0"/>
  </r>
  <r>
    <n v="203"/>
    <x v="73"/>
    <n v="2141"/>
    <s v="na"/>
    <d v="2021-10-14T00:00:00"/>
    <s v="NaT"/>
    <s v="FSK"/>
    <n v="5"/>
    <s v="I5"/>
    <x v="2"/>
    <s v="AR75_YDBM075DCS02_4S"/>
    <s v="A5027710C$0007887_2134-YDBM075DCS02"/>
    <n v="2134"/>
    <s v="EA5027710C"/>
    <s v="na"/>
    <s v="na"/>
    <s v="na"/>
    <s v="D/L Defect"/>
    <s v="D/L Defect"/>
    <x v="2"/>
    <x v="0"/>
  </r>
  <r>
    <n v="204"/>
    <x v="73"/>
    <n v="2141"/>
    <s v="na"/>
    <d v="2021-10-15T00:00:00"/>
    <s v="NaT"/>
    <s v="FSK"/>
    <n v="4"/>
    <s v="I1"/>
    <x v="2"/>
    <s v="AR75_YDBM075DCS02_2S"/>
    <s v="A5027707C$0007247_2133-YDBM075DCS02"/>
    <n v="2133"/>
    <s v="EA5027707C"/>
    <s v="na"/>
    <s v="na"/>
    <s v="na"/>
    <s v="D/L Defect"/>
    <s v="D/L Defect"/>
    <x v="2"/>
    <x v="0"/>
  </r>
  <r>
    <n v="205"/>
    <x v="73"/>
    <n v="2141"/>
    <s v="na"/>
    <d v="2021-10-15T00:00:00"/>
    <s v="NaT"/>
    <s v="FSK"/>
    <n v="4"/>
    <s v="WB1"/>
    <x v="2"/>
    <s v="AR75_YDBM075DCS02_2S"/>
    <s v="A5027707C$0007747_2134-YDBM075DCS02"/>
    <n v="2134"/>
    <s v="EA5027707C"/>
    <s v="na"/>
    <s v="na"/>
    <s v="na"/>
    <s v="O-Cell A/D"/>
    <s v="O-Cell A/D"/>
    <x v="1"/>
    <x v="0"/>
  </r>
  <r>
    <n v="206"/>
    <x v="73"/>
    <n v="2141"/>
    <s v="na"/>
    <d v="2021-10-15T00:00:00"/>
    <s v="NaT"/>
    <s v="FSK"/>
    <n v="4"/>
    <s v="NVM"/>
    <x v="2"/>
    <s v="AR75_YDBM075DCS02_2S"/>
    <s v="A5027707C$0007297_2133-YDBM075DCS02"/>
    <n v="2133"/>
    <s v="EA5027707C"/>
    <s v="na"/>
    <s v="na"/>
    <s v="na"/>
    <s v="LED fail"/>
    <s v="LED fail"/>
    <x v="3"/>
    <x v="0"/>
  </r>
  <r>
    <n v="207"/>
    <x v="73"/>
    <n v="2141"/>
    <s v="na"/>
    <d v="2021-10-15T00:00:00"/>
    <s v="NaT"/>
    <s v="FSK"/>
    <n v="4"/>
    <s v="I5"/>
    <x v="2"/>
    <s v="AR75_YDBM075DCS02_2S"/>
    <s v="A5027707C$0007289_2133-YDBM075DCS02"/>
    <n v="2133"/>
    <s v="EA5027707C"/>
    <s v="na"/>
    <s v="na"/>
    <s v="na"/>
    <s v="D/L Defect"/>
    <s v="D/L Defect"/>
    <x v="2"/>
    <x v="0"/>
  </r>
  <r>
    <n v="73"/>
    <x v="73"/>
    <n v="2141"/>
    <s v="TV"/>
    <d v="2021-10-11T00:00:00"/>
    <d v="2021-10-11T00:00:00"/>
    <s v="SOEM"/>
    <s v="Line"/>
    <s v="TV"/>
    <x v="11"/>
    <s v="YDAS065DNU02"/>
    <s v="A5013677B$0023402_2114-YDAS065DNU02"/>
    <n v="2114"/>
    <s v="A5013677*"/>
    <s v="SSV"/>
    <s v="na"/>
    <s v="na"/>
    <s v="B/L stain"/>
    <s v="B/L stain"/>
    <x v="10"/>
    <x v="2"/>
  </r>
  <r>
    <n v="74"/>
    <x v="73"/>
    <n v="2141"/>
    <s v="TV"/>
    <d v="2021-10-12T00:00:00"/>
    <d v="2021-10-12T00:00:00"/>
    <s v="SOEM"/>
    <s v="Line"/>
    <s v="TV"/>
    <x v="11"/>
    <s v="YDAS065DNU03"/>
    <s v="A5013677B$0023067_2114-YDAS065DNU02"/>
    <n v="2114"/>
    <s v="na"/>
    <s v="na"/>
    <s v="na"/>
    <s v="na"/>
    <s v="Aluminium Frame Dent"/>
    <s v="Aluminium Frame Dent"/>
    <x v="13"/>
    <x v="2"/>
  </r>
  <r>
    <n v="75"/>
    <x v="73"/>
    <n v="2141"/>
    <s v="TV"/>
    <d v="2021-10-12T00:00:00"/>
    <d v="2021-10-12T00:00:00"/>
    <s v="SOEM"/>
    <s v="Line"/>
    <s v="TV"/>
    <x v="11"/>
    <s v="YDAS065DNU04"/>
    <s v="A5013677B$0021100_2112-YDAS065DNU02"/>
    <n v="2112"/>
    <s v="na"/>
    <s v="na"/>
    <s v="na"/>
    <s v="na"/>
    <s v="Aluminium Frame Dent"/>
    <s v="Aluminium Frame Dent"/>
    <x v="13"/>
    <x v="2"/>
  </r>
  <r>
    <n v="19"/>
    <x v="72"/>
    <n v="2140"/>
    <s v="TV"/>
    <d v="2021-10-08T00:00:00"/>
    <d v="2021-10-08T00:00:00"/>
    <s v="SOEM"/>
    <s v="Line"/>
    <s v="TV"/>
    <x v="19"/>
    <s v="YDBM085CNU02"/>
    <s v="A5027713A$0010087_2126-YDBM085CNU02"/>
    <n v="2126"/>
    <s v="A-5027-713-X"/>
    <s v="SSV"/>
    <s v="na"/>
    <s v="na"/>
    <s v="B/L Sheet fail"/>
    <s v="B/L Sheet fail"/>
    <x v="10"/>
    <x v="0"/>
  </r>
  <r>
    <n v="20"/>
    <x v="72"/>
    <n v="2140"/>
    <s v="TV"/>
    <d v="2021-10-08T00:00:00"/>
    <d v="2021-10-08T00:00:00"/>
    <s v="SOEM"/>
    <s v="Line"/>
    <s v="TV"/>
    <x v="19"/>
    <s v="YDBM085CNU02"/>
    <s v="A5027713A$0013344_2132-YDBM085CNU02"/>
    <n v="2132"/>
    <s v="A-5027-713-X"/>
    <s v="SSV"/>
    <s v="na"/>
    <s v="na"/>
    <s v="B/L Sheet fail"/>
    <s v="B/L Sheet fail"/>
    <x v="10"/>
    <x v="0"/>
  </r>
  <r>
    <n v="21"/>
    <x v="72"/>
    <n v="2140"/>
    <s v="TV"/>
    <d v="2021-10-08T00:00:00"/>
    <d v="2021-10-08T00:00:00"/>
    <s v="SOEM"/>
    <s v="Line"/>
    <s v="TV"/>
    <x v="19"/>
    <s v="YDBM085CNU02"/>
    <s v="A5027713A$0013352_2132-YDBM085CNU02"/>
    <n v="2132"/>
    <s v="A-5027-713-X"/>
    <s v="SSV"/>
    <s v="na"/>
    <s v="na"/>
    <s v="B/L Sheet fail"/>
    <s v="B/L Sheet fail"/>
    <x v="10"/>
    <x v="0"/>
  </r>
  <r>
    <n v="22"/>
    <x v="72"/>
    <n v="2140"/>
    <s v="TV"/>
    <d v="2021-10-08T00:00:00"/>
    <d v="2021-10-08T00:00:00"/>
    <s v="SOEM"/>
    <s v="Line"/>
    <s v="TV"/>
    <x v="19"/>
    <s v="YDBM085CNU02"/>
    <s v="A5027713A$0013354_2132-YDBM085CNU02"/>
    <n v="2132"/>
    <s v="A-5027-713-X"/>
    <s v="SSV"/>
    <s v="na"/>
    <s v="na"/>
    <s v="B/L Sheet fail"/>
    <s v="B/L Sheet fail"/>
    <x v="10"/>
    <x v="0"/>
  </r>
  <r>
    <n v="23"/>
    <x v="72"/>
    <n v="2140"/>
    <s v="TV"/>
    <d v="2021-10-08T00:00:00"/>
    <d v="2021-10-08T00:00:00"/>
    <s v="SOEM"/>
    <s v="Line"/>
    <s v="TV"/>
    <x v="19"/>
    <s v="YDBM085CNU02"/>
    <s v="A5027713A$0011375_2130-YDBM085CNU02"/>
    <n v="2130"/>
    <s v="A-5027-713-X"/>
    <s v="SSV"/>
    <s v="na"/>
    <s v="na"/>
    <s v="B/L Sheet fail"/>
    <s v="B/L Sheet fail"/>
    <x v="10"/>
    <x v="0"/>
  </r>
  <r>
    <n v="24"/>
    <x v="72"/>
    <n v="2140"/>
    <s v="TV"/>
    <d v="2021-10-08T00:00:00"/>
    <d v="2021-10-08T00:00:00"/>
    <s v="SOEM"/>
    <s v="Line"/>
    <s v="TV"/>
    <x v="19"/>
    <s v="YDBM085CNU02"/>
    <s v="A5027713A$0011379_2130-YDBM085CNU02"/>
    <n v="2132"/>
    <s v="A-5027-713-X"/>
    <s v="SSV"/>
    <s v="na"/>
    <s v="na"/>
    <s v="B/L Sheet fail"/>
    <s v="B/L Sheet fail"/>
    <x v="10"/>
    <x v="0"/>
  </r>
  <r>
    <n v="25"/>
    <x v="72"/>
    <n v="2140"/>
    <s v="TV"/>
    <d v="2021-10-08T00:00:00"/>
    <d v="2021-10-08T00:00:00"/>
    <s v="SOEM"/>
    <s v="Line"/>
    <s v="TV"/>
    <x v="19"/>
    <s v="YDBM085CNU02"/>
    <s v="A5027713A$0011374_2130-YDBM085CNU02"/>
    <n v="2130"/>
    <s v="A-5027-713-X"/>
    <s v="SSV"/>
    <s v="na"/>
    <s v="na"/>
    <s v="B/L Sheet fail"/>
    <s v="B/L Sheet fail"/>
    <x v="10"/>
    <x v="0"/>
  </r>
  <r>
    <n v="26"/>
    <x v="72"/>
    <n v="2140"/>
    <s v="TV"/>
    <d v="2021-10-08T00:00:00"/>
    <d v="2021-10-08T00:00:00"/>
    <s v="SOEM"/>
    <s v="Line"/>
    <s v="TV"/>
    <x v="19"/>
    <s v="YDBM085CNU02"/>
    <s v="A5027713A$0013348_2132-YDBM085CNU02"/>
    <n v="2132"/>
    <s v="A-5027-713-X"/>
    <s v="SSV"/>
    <s v="na"/>
    <s v="na"/>
    <s v="B/L Sheet fail"/>
    <s v="B/L Sheet fail"/>
    <x v="10"/>
    <x v="0"/>
  </r>
  <r>
    <n v="27"/>
    <x v="72"/>
    <n v="2140"/>
    <s v="TV"/>
    <d v="2021-10-08T00:00:00"/>
    <d v="2021-10-08T00:00:00"/>
    <s v="SOEM"/>
    <s v="Line"/>
    <s v="TV"/>
    <x v="19"/>
    <s v="YDBM085CNU02"/>
    <s v="A5027713A$0013347_2132-YDBM085CNU02"/>
    <n v="2132"/>
    <s v="A-5027-713-X"/>
    <s v="SSV"/>
    <s v="na"/>
    <s v="na"/>
    <s v="B/L Sheet fail"/>
    <s v="B/L Sheet fail"/>
    <x v="10"/>
    <x v="0"/>
  </r>
  <r>
    <n v="28"/>
    <x v="72"/>
    <n v="2140"/>
    <s v="TV"/>
    <d v="2021-10-08T00:00:00"/>
    <d v="2021-10-08T00:00:00"/>
    <s v="SOEM"/>
    <s v="Line"/>
    <s v="TV"/>
    <x v="19"/>
    <s v="YDBM085CNU02"/>
    <s v="A5027713A$0013339_2132-YDBM085CNU02"/>
    <n v="2132"/>
    <s v="A-5027-713-X"/>
    <s v="SSV"/>
    <s v="na"/>
    <s v="na"/>
    <s v="B/L Sheet fail"/>
    <s v="B/L Sheet fail"/>
    <x v="10"/>
    <x v="0"/>
  </r>
  <r>
    <n v="29"/>
    <x v="72"/>
    <n v="2140"/>
    <s v="TV"/>
    <d v="2021-10-08T00:00:00"/>
    <d v="2021-10-08T00:00:00"/>
    <s v="SOEM"/>
    <s v="Line"/>
    <s v="TV"/>
    <x v="19"/>
    <s v="YDBM085CNU02"/>
    <s v="A5027713A$0013340_2132-YDBM085CNU02"/>
    <n v="2132"/>
    <s v="A-5027-713-X"/>
    <s v="SSV"/>
    <s v="na"/>
    <s v="na"/>
    <s v="B/L Sheet fail"/>
    <s v="B/L Sheet fail"/>
    <x v="10"/>
    <x v="0"/>
  </r>
  <r>
    <n v="30"/>
    <x v="72"/>
    <n v="2140"/>
    <s v="TV"/>
    <d v="2021-10-08T00:00:00"/>
    <d v="2021-10-08T00:00:00"/>
    <s v="SOEM"/>
    <s v="Line"/>
    <s v="TV"/>
    <x v="19"/>
    <s v="YDBM085CNU02"/>
    <s v="A5027713A$0013341_2132-YDBM085CNU02"/>
    <n v="2132"/>
    <s v="A-5027-713-X"/>
    <s v="SSV"/>
    <s v="na"/>
    <s v="na"/>
    <s v="B/L Sheet fail"/>
    <s v="B/L Sheet fail"/>
    <x v="10"/>
    <x v="0"/>
  </r>
  <r>
    <n v="31"/>
    <x v="72"/>
    <n v="2140"/>
    <s v="TV"/>
    <d v="2021-10-08T00:00:00"/>
    <d v="2021-10-08T00:00:00"/>
    <s v="SOEM"/>
    <s v="Line"/>
    <s v="TV"/>
    <x v="19"/>
    <s v="YDBM085CNU02"/>
    <s v="A5027713A$0013342_2132-YDBM085CNU02"/>
    <n v="2132"/>
    <s v="A-5027-713-X"/>
    <s v="SSV"/>
    <s v="na"/>
    <s v="na"/>
    <s v="B/L Sheet fail"/>
    <s v="B/L Sheet fail"/>
    <x v="10"/>
    <x v="0"/>
  </r>
  <r>
    <n v="32"/>
    <x v="72"/>
    <n v="2140"/>
    <s v="TV"/>
    <d v="2021-10-08T00:00:00"/>
    <d v="2021-10-08T00:00:00"/>
    <s v="SOEM"/>
    <s v="Line"/>
    <s v="TV"/>
    <x v="19"/>
    <s v="YDBM085CNU02"/>
    <s v="A5027713A$0013343_2132-YDBM085CNU02"/>
    <n v="2132"/>
    <s v="A-5027-713-X"/>
    <s v="SSV"/>
    <s v="na"/>
    <s v="na"/>
    <s v="B/L Sheet fail"/>
    <s v="B/L Sheet fail"/>
    <x v="10"/>
    <x v="0"/>
  </r>
  <r>
    <n v="33"/>
    <x v="72"/>
    <n v="2140"/>
    <s v="TV"/>
    <d v="2021-10-08T00:00:00"/>
    <d v="2021-10-08T00:00:00"/>
    <s v="SOEM"/>
    <s v="Line"/>
    <s v="TV"/>
    <x v="19"/>
    <s v="YDBM085CNU02"/>
    <s v="A5027713A$0013349_2132-YDBM085CNU02"/>
    <n v="2132"/>
    <s v="A-5027-713-X"/>
    <s v="SSV"/>
    <s v="na"/>
    <s v="na"/>
    <s v="B/L Sheet fail"/>
    <s v="B/L Sheet fail"/>
    <x v="10"/>
    <x v="0"/>
  </r>
  <r>
    <n v="34"/>
    <x v="72"/>
    <n v="2140"/>
    <s v="TV"/>
    <d v="2021-10-08T00:00:00"/>
    <d v="2021-10-08T00:00:00"/>
    <s v="SOEM"/>
    <s v="Line"/>
    <s v="TV"/>
    <x v="19"/>
    <s v="YDBM085CNU02"/>
    <s v="A5027713A$0013345_2132-YDBM085CNU02"/>
    <n v="2132"/>
    <s v="A-5027-713-X"/>
    <s v="SSV"/>
    <s v="na"/>
    <s v="na"/>
    <s v="B/L Sheet fail"/>
    <s v="B/L Sheet fail"/>
    <x v="10"/>
    <x v="0"/>
  </r>
  <r>
    <n v="35"/>
    <x v="72"/>
    <n v="2140"/>
    <s v="TV"/>
    <d v="2021-10-08T00:00:00"/>
    <d v="2021-10-08T00:00:00"/>
    <s v="SOEM"/>
    <s v="Line"/>
    <s v="TV"/>
    <x v="19"/>
    <s v="YDBM085CNU02"/>
    <s v="A5027713A$0011346_2130-YDBM085CNU02"/>
    <n v="2132"/>
    <s v="A-5027-713-X"/>
    <s v="SSV"/>
    <s v="na"/>
    <s v="na"/>
    <s v="B/L Sheet fail"/>
    <s v="B/L Sheet fail"/>
    <x v="10"/>
    <x v="0"/>
  </r>
  <r>
    <n v="36"/>
    <x v="72"/>
    <n v="2140"/>
    <s v="TV"/>
    <d v="2021-10-08T00:00:00"/>
    <d v="2021-10-08T00:00:00"/>
    <s v="SOEM"/>
    <s v="Line"/>
    <s v="TV"/>
    <x v="19"/>
    <s v="YDBM085CNU02"/>
    <s v="A5027713A$0011165_2129-YDBM085CNU02"/>
    <n v="2129"/>
    <s v="A-5027-713-X"/>
    <s v="SSV"/>
    <s v="na"/>
    <s v="na"/>
    <s v="B/L Sheet fail"/>
    <s v="B/L Sheet fail"/>
    <x v="10"/>
    <x v="0"/>
  </r>
  <r>
    <n v="37"/>
    <x v="72"/>
    <n v="2140"/>
    <s v="TV"/>
    <d v="2021-10-08T00:00:00"/>
    <d v="2021-10-08T00:00:00"/>
    <s v="SOEM"/>
    <s v="Line"/>
    <s v="TV"/>
    <x v="19"/>
    <s v="YDBM085CNU02"/>
    <s v="A5027713A$0011161_2129-YDBM085CNU02"/>
    <n v="2129"/>
    <s v="A-5027-713-X"/>
    <s v="SSV"/>
    <s v="na"/>
    <s v="na"/>
    <s v="B/L Sheet fail"/>
    <s v="B/L Sheet fail"/>
    <x v="10"/>
    <x v="0"/>
  </r>
  <r>
    <n v="38"/>
    <x v="72"/>
    <n v="2140"/>
    <s v="TV"/>
    <d v="2021-10-08T00:00:00"/>
    <d v="2021-10-08T00:00:00"/>
    <s v="SOEM"/>
    <s v="Line"/>
    <s v="TV"/>
    <x v="19"/>
    <s v="YDBM085CNU02"/>
    <s v="A5027713A$0010922_2128-YDBM085CNU02"/>
    <n v="2128"/>
    <s v="A-5027-713-X"/>
    <s v="SSV"/>
    <s v="na"/>
    <s v="na"/>
    <s v="B/L Sheet fail"/>
    <s v="B/L Sheet fail"/>
    <x v="10"/>
    <x v="0"/>
  </r>
  <r>
    <n v="39"/>
    <x v="72"/>
    <n v="2140"/>
    <s v="TV"/>
    <d v="2021-10-08T00:00:00"/>
    <d v="2021-10-08T00:00:00"/>
    <s v="SOEM"/>
    <s v="Line"/>
    <s v="TV"/>
    <x v="19"/>
    <s v="YDBM085CNU02"/>
    <s v="A5027713A$0011157_2129-YDBM085CNU02"/>
    <n v="2129"/>
    <s v="A-5027-713-X"/>
    <s v="SSV"/>
    <s v="na"/>
    <s v="na"/>
    <s v="B/L Sheet fail"/>
    <s v="B/L Sheet fail"/>
    <x v="10"/>
    <x v="0"/>
  </r>
  <r>
    <n v="40"/>
    <x v="72"/>
    <n v="2140"/>
    <s v="TV"/>
    <d v="2021-10-08T00:00:00"/>
    <d v="2021-10-08T00:00:00"/>
    <s v="SOEM"/>
    <s v="Line"/>
    <s v="TV"/>
    <x v="19"/>
    <s v="YDBM085CNU02"/>
    <s v="A5027713A$0011116_2129-YDBM085CNU02"/>
    <n v="2129"/>
    <s v="A-5027-713-X"/>
    <s v="SSV"/>
    <s v="na"/>
    <s v="na"/>
    <s v="B/L Sheet fail"/>
    <s v="B/L Sheet fail"/>
    <x v="10"/>
    <x v="0"/>
  </r>
  <r>
    <n v="21"/>
    <x v="73"/>
    <n v="2141"/>
    <s v="na"/>
    <d v="2021-10-11T00:00:00"/>
    <d v="2021-10-11T00:00:00"/>
    <s v="SOEM"/>
    <s v="Line"/>
    <s v="na"/>
    <x v="2"/>
    <s v="YDBM075DCS02"/>
    <s v="A5027707C$0008248_2134-YDBM075DCS04"/>
    <n v="2134"/>
    <s v="A-5027-707-X"/>
    <s v="SSV"/>
    <s v="na"/>
    <s v="na"/>
    <s v="Mura etc"/>
    <s v="B/L Sheet fail"/>
    <x v="10"/>
    <x v="0"/>
  </r>
  <r>
    <n v="22"/>
    <x v="73"/>
    <n v="2141"/>
    <s v="na"/>
    <d v="2021-10-11T00:00:00"/>
    <d v="2021-10-11T00:00:00"/>
    <s v="SOEM"/>
    <s v="Line"/>
    <s v="na"/>
    <x v="2"/>
    <s v="YDBM075DCS02"/>
    <s v="A5027707C$0008100_2134-YDBM075DCS04"/>
    <n v="2134"/>
    <s v="A-5027-707-X"/>
    <s v="SSV"/>
    <s v="na"/>
    <s v="na"/>
    <s v="D/L defect"/>
    <s v="D/L defect"/>
    <x v="2"/>
    <x v="0"/>
  </r>
  <r>
    <n v="23"/>
    <x v="73"/>
    <n v="2141"/>
    <s v="na"/>
    <d v="2021-10-12T00:00:00"/>
    <d v="2021-10-12T00:00:00"/>
    <s v="SOEM"/>
    <s v="Line"/>
    <s v="na"/>
    <x v="2"/>
    <s v="YDBM075DCS02"/>
    <s v="A5027707C$0006063_2133-YDBM075DCS04"/>
    <n v="2133"/>
    <s v="A-5027-707-X"/>
    <s v="SSV"/>
    <s v="na"/>
    <s v="na"/>
    <s v="Flicker"/>
    <s v="Flicker"/>
    <x v="6"/>
    <x v="0"/>
  </r>
  <r>
    <n v="24"/>
    <x v="73"/>
    <n v="2141"/>
    <s v="na"/>
    <d v="2021-10-12T00:00:00"/>
    <d v="2021-10-12T00:00:00"/>
    <s v="SOEM"/>
    <s v="Line"/>
    <s v="na"/>
    <x v="2"/>
    <s v="YDBM075DCS02"/>
    <s v="A5027707C$0006504_2133-YDBM075DCS04"/>
    <n v="2133"/>
    <s v="A-5027-707-X"/>
    <s v="SSV"/>
    <s v="na"/>
    <s v="na"/>
    <s v="D/L defect"/>
    <s v="D/L defect"/>
    <x v="2"/>
    <x v="0"/>
  </r>
  <r>
    <n v="25"/>
    <x v="73"/>
    <n v="2141"/>
    <s v="na"/>
    <d v="2021-10-13T00:00:00"/>
    <d v="2021-10-13T00:00:00"/>
    <s v="SOEM"/>
    <s v="Line"/>
    <s v="na"/>
    <x v="2"/>
    <s v="YDBM075DCS02"/>
    <s v="A5027707C$0008867_2134-YDBM075DCS04"/>
    <n v="2134"/>
    <s v="A-5027-707-X"/>
    <s v="SSV"/>
    <s v="na"/>
    <s v="na"/>
    <s v="D/L defect"/>
    <s v="D/L defect"/>
    <x v="2"/>
    <x v="0"/>
  </r>
  <r>
    <n v="204"/>
    <x v="73"/>
    <n v="2141"/>
    <s v="na"/>
    <d v="2021-10-14T00:00:00"/>
    <s v="NaT"/>
    <s v="FSK"/>
    <n v="5"/>
    <s v="I1"/>
    <x v="2"/>
    <s v="AR75_YDBM075DCS02_4S"/>
    <s v="A5027710C$0005680_2133-YDBM075DCS02"/>
    <n v="2133"/>
    <s v="EA5027710C"/>
    <s v="na"/>
    <s v="na"/>
    <s v="na"/>
    <s v="D/L Defect"/>
    <s v="D/L Defect"/>
    <x v="2"/>
    <x v="0"/>
  </r>
  <r>
    <n v="209"/>
    <x v="74"/>
    <n v="2142"/>
    <s v="na"/>
    <d v="2021-10-18T00:00:00"/>
    <s v="NaT"/>
    <s v="FSK"/>
    <n v="2"/>
    <s v="P2"/>
    <x v="0"/>
    <s v="APH75_YSBM075CNO02"/>
    <s v="A5027728A$0022589_2133-YSBM075CNO02"/>
    <n v="2133"/>
    <s v="EA5027728A"/>
    <s v="na"/>
    <s v="na"/>
    <s v="na"/>
    <s v="B/L CNT etc"/>
    <s v="B/L CNT etc"/>
    <x v="11"/>
    <x v="0"/>
  </r>
  <r>
    <n v="210"/>
    <x v="74"/>
    <n v="2142"/>
    <s v="na"/>
    <d v="2021-10-18T00:00:00"/>
    <s v="NaT"/>
    <s v="FSK"/>
    <n v="3"/>
    <s v="NVM"/>
    <x v="17"/>
    <s v="AX75_YDBM075CCS02_4S"/>
    <s v="A5027722C$0002984_2135-YDBM075CCS02"/>
    <n v="2135"/>
    <s v="EA5027722C"/>
    <s v="na"/>
    <s v="na"/>
    <s v="na"/>
    <s v="LED fail"/>
    <s v="LED fail"/>
    <x v="3"/>
    <x v="0"/>
  </r>
  <r>
    <n v="211"/>
    <x v="74"/>
    <n v="2142"/>
    <s v="na"/>
    <d v="2021-10-19T00:00:00"/>
    <s v="NaT"/>
    <s v="FSK"/>
    <n v="4"/>
    <s v="I5"/>
    <x v="0"/>
    <s v="APH75_YSBM075CNO02"/>
    <s v="A5027728A$0024657_2134-YSBM075CNO02"/>
    <n v="2134"/>
    <s v="EA5027728A"/>
    <s v="na"/>
    <s v="na"/>
    <s v="na"/>
    <s v="B/L Spot"/>
    <s v="B/L Spot"/>
    <x v="10"/>
    <x v="0"/>
  </r>
  <r>
    <n v="212"/>
    <x v="74"/>
    <n v="2142"/>
    <s v="na"/>
    <d v="2021-10-20T00:00:00"/>
    <s v="NaT"/>
    <s v="FSK"/>
    <n v="3"/>
    <s v="I5"/>
    <x v="17"/>
    <s v="AX75_YDBM075CCS02_2S"/>
    <s v="A5027719C$0003859_2133-YDBM075CCS02"/>
    <n v="2133"/>
    <s v="EA5027719C"/>
    <s v="na"/>
    <s v="na"/>
    <s v="na"/>
    <s v="T-CON A/D"/>
    <s v="T-CON A/D"/>
    <x v="9"/>
    <x v="0"/>
  </r>
  <r>
    <n v="213"/>
    <x v="74"/>
    <n v="2142"/>
    <s v="na"/>
    <d v="2021-10-20T00:00:00"/>
    <s v="NaT"/>
    <s v="FSK"/>
    <n v="5"/>
    <s v="I5"/>
    <x v="2"/>
    <s v="AR75_YDBM075DCS02_4S"/>
    <s v="A5027710C$0006870_2134-YDBM075DCS02"/>
    <n v="2134"/>
    <s v="EA5027710C"/>
    <s v="na"/>
    <s v="na"/>
    <s v="na"/>
    <s v="D/L Defect"/>
    <s v="D/L Defect"/>
    <x v="2"/>
    <x v="0"/>
  </r>
  <r>
    <n v="214"/>
    <x v="74"/>
    <n v="2142"/>
    <s v="na"/>
    <d v="2021-10-20T00:00:00"/>
    <s v="NaT"/>
    <s v="FSK"/>
    <n v="5"/>
    <s v="I5"/>
    <x v="2"/>
    <s v="AR75_YDBM075DCS02_4S"/>
    <s v="A5027710C$0006825_2134-YDBM075DCS02"/>
    <n v="2134"/>
    <s v="EA5027710C"/>
    <s v="na"/>
    <s v="na"/>
    <s v="na"/>
    <s v="D/L Defect"/>
    <s v="D/L Defect"/>
    <x v="2"/>
    <x v="0"/>
  </r>
  <r>
    <n v="215"/>
    <x v="74"/>
    <n v="2142"/>
    <s v="na"/>
    <d v="2021-10-20T00:00:00"/>
    <s v="NaT"/>
    <s v="FSK"/>
    <n v="2"/>
    <s v="I5"/>
    <x v="12"/>
    <s v="NX75_YDAS075DNS02_C"/>
    <s v="A5024285B$0025511_2134-YDAS075DNS02"/>
    <n v="2134"/>
    <s v="EA5024285B"/>
    <s v="na"/>
    <s v="na"/>
    <s v="na"/>
    <s v="D/L Defect"/>
    <s v="D/L Defect"/>
    <x v="2"/>
    <x v="2"/>
  </r>
  <r>
    <n v="216"/>
    <x v="74"/>
    <n v="2142"/>
    <s v="na"/>
    <d v="2021-10-21T00:00:00"/>
    <s v="NaT"/>
    <s v="FSK"/>
    <n v="4"/>
    <s v="I2"/>
    <x v="2"/>
    <s v="AR75_YDBM075DCS02_4S"/>
    <s v="A5027710A$0009129_2134-YDBM075DCS02"/>
    <n v="2134"/>
    <s v="EA5027710A"/>
    <s v="na"/>
    <s v="na"/>
    <s v="na"/>
    <s v="No display"/>
    <s v="No display"/>
    <x v="9"/>
    <x v="0"/>
  </r>
  <r>
    <n v="217"/>
    <x v="74"/>
    <n v="2142"/>
    <s v="na"/>
    <d v="2021-10-22T00:00:00"/>
    <s v="NaT"/>
    <s v="FSK"/>
    <n v="4"/>
    <s v="I2"/>
    <x v="2"/>
    <s v="AR75_YDBM075DCS02_4S"/>
    <s v="A5027710A$0010232_2135-YDBM075DCS02"/>
    <n v="2135"/>
    <s v="EA5027710A"/>
    <s v="na"/>
    <s v="na"/>
    <s v="na"/>
    <s v="D/L Defect"/>
    <s v="D/L Defect"/>
    <x v="2"/>
    <x v="0"/>
  </r>
  <r>
    <n v="2"/>
    <x v="32"/>
    <n v="2135"/>
    <s v="na"/>
    <d v="2021-09-03T00:00:00"/>
    <d v="2021-09-03T00:00:00"/>
    <s v="CTTI"/>
    <s v="Line"/>
    <s v="na"/>
    <x v="2"/>
    <s v="YDBM075DCS02"/>
    <s v="A5027707C$0000667_2128-YDBM075DCS02"/>
    <n v="2128"/>
    <s v="A-5027-707-**"/>
    <s v="SSVE"/>
    <s v="na"/>
    <s v="na"/>
    <s v="Pol particle "/>
    <s v="Pol particle "/>
    <x v="0"/>
    <x v="0"/>
  </r>
  <r>
    <n v="3"/>
    <x v="7"/>
    <n v="2138"/>
    <s v="na"/>
    <d v="2021-09-23T00:00:00"/>
    <s v="NaT"/>
    <s v="CTTI"/>
    <s v="Line"/>
    <s v="na"/>
    <x v="2"/>
    <s v="YDBM075DCS02"/>
    <s v="A5027707C$0000647_2128-YDBM075DCS02"/>
    <n v="2128"/>
    <s v="A-5027-707-**"/>
    <s v="SSVE"/>
    <s v="na"/>
    <s v="na"/>
    <s v="No display (O-Cell)"/>
    <s v="No display (O-Cell)"/>
    <x v="1"/>
    <x v="0"/>
  </r>
  <r>
    <n v="2"/>
    <x v="8"/>
    <n v="2126"/>
    <s v="na"/>
    <d v="2021-06-29T00:00:00"/>
    <d v="2021-06-29T00:00:00"/>
    <s v="INZ"/>
    <s v="R7"/>
    <s v="na"/>
    <x v="4"/>
    <s v="HDBO085DDU02"/>
    <s v="A5039495A$0000477_2123"/>
    <n v="2123"/>
    <s v="A-5039-495-A"/>
    <s v="SSVE"/>
    <s v="na"/>
    <s v="na"/>
    <s v="D/D short"/>
    <s v="D/D short"/>
    <x v="2"/>
    <x v="0"/>
  </r>
  <r>
    <n v="3"/>
    <x v="6"/>
    <n v="2126"/>
    <s v="na"/>
    <d v="2021-06-28T00:00:00"/>
    <d v="2021-08-17T00:00:00"/>
    <s v="INZ"/>
    <s v="QA"/>
    <s v="na"/>
    <x v="4"/>
    <s v="HDBO085DDU02"/>
    <s v="A5039495A$0000064_2120"/>
    <n v="2120"/>
    <s v="A-5039-495-A"/>
    <s v="SSVE"/>
    <s v="na"/>
    <s v="na"/>
    <s v="Others "/>
    <s v="na"/>
    <x v="4"/>
    <x v="0"/>
  </r>
  <r>
    <n v="19"/>
    <x v="31"/>
    <n v="2133"/>
    <s v="na"/>
    <d v="2021-08-19T00:00:00"/>
    <d v="2021-08-23T00:00:00"/>
    <s v="INZ"/>
    <s v="QA"/>
    <s v="na"/>
    <x v="4"/>
    <s v="HDBO085DDU02"/>
    <s v="A5039495A$0000577_2123"/>
    <n v="2123"/>
    <s v="A-5039-495-A"/>
    <s v="SSVE"/>
    <s v="na"/>
    <s v="na"/>
    <s v="na"/>
    <s v="na"/>
    <x v="4"/>
    <x v="0"/>
  </r>
  <r>
    <n v="218"/>
    <x v="75"/>
    <n v="2143"/>
    <s v="na"/>
    <d v="2021-10-25T00:00:00"/>
    <s v="nan"/>
    <s v="FSK"/>
    <n v="4"/>
    <s v="I5"/>
    <x v="2"/>
    <s v="AR75_YDBM075DCS02_4S"/>
    <s v="A5027710C$0006180_2133-YDBM075DCS02"/>
    <n v="2133"/>
    <s v="EA5027710C"/>
    <s v="na"/>
    <s v="na"/>
    <s v="na"/>
    <s v="O-Cell A/D"/>
    <s v="O-Cell A/D"/>
    <x v="1"/>
    <x v="0"/>
  </r>
  <r>
    <n v="219"/>
    <x v="75"/>
    <n v="2143"/>
    <s v="na"/>
    <d v="2021-10-25T00:00:00"/>
    <s v="nan"/>
    <s v="FSK"/>
    <n v="4"/>
    <s v="I5"/>
    <x v="2"/>
    <s v="AR75_YDBM075DCS02_4S"/>
    <s v="A5027710C$0006228_2133-YDBM075DCS02"/>
    <n v="2133"/>
    <s v="EA5027710C"/>
    <s v="na"/>
    <s v="na"/>
    <s v="na"/>
    <s v="D/L Defect"/>
    <s v="D/L Defect"/>
    <x v="2"/>
    <x v="0"/>
  </r>
  <r>
    <n v="220"/>
    <x v="75"/>
    <n v="2143"/>
    <s v="na"/>
    <d v="2021-10-25T00:00:00"/>
    <s v="nan"/>
    <s v="FSK"/>
    <n v="4"/>
    <s v="I4"/>
    <x v="2"/>
    <s v="AR75_YDBM075DCS02_4S"/>
    <s v="A5027710C$0005357_2133-YDBM075DCS02"/>
    <n v="2133"/>
    <s v="EA5027710C"/>
    <s v="na"/>
    <s v="na"/>
    <s v="na"/>
    <s v="No display"/>
    <s v="No display"/>
    <x v="9"/>
    <x v="0"/>
  </r>
  <r>
    <n v="221"/>
    <x v="75"/>
    <n v="2143"/>
    <s v="na"/>
    <d v="2021-10-25T00:00:00"/>
    <s v="nan"/>
    <s v="FSK"/>
    <n v="3"/>
    <s v="NVM"/>
    <x v="17"/>
    <s v="AX75_YDBM075CCS02_4S"/>
    <s v="A5027722C$0004559_2136-YDBM075CCS02"/>
    <n v="2136"/>
    <s v="EA5027722C"/>
    <s v="na"/>
    <s v="na"/>
    <s v="na"/>
    <s v="No display"/>
    <s v="No display"/>
    <x v="9"/>
    <x v="0"/>
  </r>
  <r>
    <n v="222"/>
    <x v="75"/>
    <n v="2143"/>
    <s v="na"/>
    <d v="2021-10-26T00:00:00"/>
    <s v="nan"/>
    <s v="FSK"/>
    <n v="4"/>
    <s v="WB1"/>
    <x v="0"/>
    <s v="APH75_YSBM075CNO02"/>
    <s v="A5027728A$0025305_2135-YSBM075CNO02"/>
    <n v="2135"/>
    <s v="EA5027728A"/>
    <s v="na"/>
    <s v="na"/>
    <s v="na"/>
    <s v="No display"/>
    <s v="No display"/>
    <x v="9"/>
    <x v="0"/>
  </r>
  <r>
    <n v="223"/>
    <x v="75"/>
    <n v="2143"/>
    <s v="na"/>
    <d v="2021-10-27T00:00:00"/>
    <s v="nan"/>
    <s v="FSK"/>
    <n v="2"/>
    <s v="I1"/>
    <x v="15"/>
    <s v="NX85_YDAS085DNU01"/>
    <s v="A5016535B$0008693_2132-YDAS085DNU02"/>
    <n v="2132"/>
    <s v="EA5016535B"/>
    <s v="na"/>
    <s v="na"/>
    <s v="na"/>
    <s v="D/L Defect"/>
    <s v="D/L Defect"/>
    <x v="2"/>
    <x v="2"/>
  </r>
  <r>
    <n v="224"/>
    <x v="75"/>
    <n v="2143"/>
    <s v="na"/>
    <d v="2021-10-27T00:00:00"/>
    <s v="nan"/>
    <s v="FSK"/>
    <n v="2"/>
    <s v="NVM"/>
    <x v="15"/>
    <s v="NX85_YDAS085DNU01"/>
    <s v="A5016535B$0007694_2128-YDAS085DNU02"/>
    <n v="2128"/>
    <s v="EA5016535B"/>
    <s v="na"/>
    <s v="na"/>
    <s v="na"/>
    <s v="LED fail"/>
    <s v="LED fail"/>
    <x v="3"/>
    <x v="2"/>
  </r>
  <r>
    <n v="225"/>
    <x v="75"/>
    <n v="2143"/>
    <s v="na"/>
    <d v="2021-10-28T00:00:00"/>
    <s v="nan"/>
    <s v="FSK"/>
    <n v="3"/>
    <s v="I5"/>
    <x v="19"/>
    <s v="AX85_YDBM085CNU02"/>
    <s v="A5027716A$0010552_2135-YDBM085CNU02"/>
    <n v="2135"/>
    <s v="EA5027716A"/>
    <s v="na"/>
    <s v="na"/>
    <s v="na"/>
    <s v="White Spot"/>
    <s v="White Spot"/>
    <x v="6"/>
    <x v="0"/>
  </r>
  <r>
    <n v="226"/>
    <x v="75"/>
    <n v="2143"/>
    <s v="na"/>
    <d v="2021-10-28T00:00:00"/>
    <s v="nan"/>
    <s v="FSK"/>
    <n v="3"/>
    <s v="I5"/>
    <x v="19"/>
    <s v="AX85_YDBM085CNU02"/>
    <s v="A5027716A$0010562_2135-YDBM085CNU02"/>
    <n v="2135"/>
    <s v="EA5027716A"/>
    <s v="na"/>
    <s v="na"/>
    <s v="na"/>
    <s v="White Spot"/>
    <s v="White Spot"/>
    <x v="6"/>
    <x v="0"/>
  </r>
  <r>
    <n v="227"/>
    <x v="75"/>
    <n v="2143"/>
    <s v="na"/>
    <d v="2021-10-28T00:00:00"/>
    <s v="nan"/>
    <s v="FSK"/>
    <n v="3"/>
    <s v="I5"/>
    <x v="19"/>
    <s v="AX85_YDBM085CNU02"/>
    <s v="A5027716A$0010632_2135-YDBM085CNU02"/>
    <n v="2135"/>
    <s v="EA5027716A"/>
    <s v="na"/>
    <s v="na"/>
    <s v="na"/>
    <s v="White Spot"/>
    <s v="White Spot"/>
    <x v="6"/>
    <x v="0"/>
  </r>
  <r>
    <n v="228"/>
    <x v="75"/>
    <n v="2143"/>
    <s v="na"/>
    <d v="2021-10-28T00:00:00"/>
    <s v="nan"/>
    <s v="FSK"/>
    <n v="3"/>
    <s v="I5"/>
    <x v="19"/>
    <s v="AX85_YDBM085CNU02"/>
    <s v="A5027716A$0010566_2135-YDBM085CNU02"/>
    <n v="2135"/>
    <s v="EA5027716A"/>
    <s v="na"/>
    <s v="na"/>
    <s v="na"/>
    <s v="White Spot"/>
    <s v="White Spot"/>
    <x v="6"/>
    <x v="0"/>
  </r>
  <r>
    <n v="229"/>
    <x v="75"/>
    <n v="2143"/>
    <s v="na"/>
    <d v="2021-10-28T00:00:00"/>
    <s v="nan"/>
    <s v="FSK"/>
    <n v="3"/>
    <s v="I5"/>
    <x v="19"/>
    <s v="AX85_YDBM085CNU02"/>
    <s v="A5027716A$0010629_2135-YDBM085CNU02"/>
    <n v="2135"/>
    <s v="EA5027716A"/>
    <s v="na"/>
    <s v="na"/>
    <s v="na"/>
    <s v="White Spot"/>
    <s v="White Spot"/>
    <x v="6"/>
    <x v="0"/>
  </r>
  <r>
    <n v="230"/>
    <x v="75"/>
    <n v="2143"/>
    <s v="na"/>
    <d v="2021-10-28T00:00:00"/>
    <s v="nan"/>
    <s v="FSK"/>
    <n v="3"/>
    <s v="I5"/>
    <x v="19"/>
    <s v="AX85_YDBM085CNU02"/>
    <s v="A5027716A$0010625_2135-YDBM085CNU02"/>
    <n v="2135"/>
    <s v="EA5027716A"/>
    <s v="na"/>
    <s v="na"/>
    <s v="na"/>
    <s v="White Spot"/>
    <s v="White Spot"/>
    <x v="6"/>
    <x v="0"/>
  </r>
  <r>
    <n v="231"/>
    <x v="75"/>
    <n v="2143"/>
    <s v="na"/>
    <d v="2021-10-28T00:00:00"/>
    <s v="nan"/>
    <s v="FSK"/>
    <n v="3"/>
    <s v="I5"/>
    <x v="19"/>
    <s v="AX85_YDBM085CNU02"/>
    <s v="A5027716A$0010739_2135-YDBM085CNU02"/>
    <n v="2135"/>
    <s v="EA5027716A"/>
    <s v="na"/>
    <s v="na"/>
    <s v="na"/>
    <s v="White Spot"/>
    <s v="White Spot"/>
    <x v="6"/>
    <x v="0"/>
  </r>
  <r>
    <n v="232"/>
    <x v="75"/>
    <n v="2143"/>
    <s v="na"/>
    <d v="2021-10-28T00:00:00"/>
    <s v="nan"/>
    <s v="FSK"/>
    <n v="3"/>
    <s v="I5"/>
    <x v="19"/>
    <s v="AX85_YDBM085CNU02"/>
    <s v="A5027716A$0010738_2135-YDBM085CNU02"/>
    <n v="2135"/>
    <s v="EA5027716A"/>
    <s v="na"/>
    <s v="na"/>
    <s v="na"/>
    <s v="White Spot"/>
    <s v="White Spot"/>
    <x v="6"/>
    <x v="0"/>
  </r>
  <r>
    <n v="233"/>
    <x v="75"/>
    <n v="2143"/>
    <s v="na"/>
    <d v="2021-10-28T00:00:00"/>
    <s v="nan"/>
    <s v="FSK"/>
    <n v="3"/>
    <s v="I5"/>
    <x v="19"/>
    <s v="AX85_YDBM085CNU02"/>
    <s v="A5027716A$0010736_2135-YDBM085CNU02"/>
    <n v="2135"/>
    <s v="EA5027716A"/>
    <s v="na"/>
    <s v="na"/>
    <s v="na"/>
    <s v="White Spot"/>
    <s v="White Spot"/>
    <x v="6"/>
    <x v="0"/>
  </r>
  <r>
    <n v="234"/>
    <x v="75"/>
    <n v="2143"/>
    <s v="na"/>
    <d v="2021-10-28T00:00:00"/>
    <s v="nan"/>
    <s v="FSK"/>
    <n v="3"/>
    <s v="I5"/>
    <x v="19"/>
    <s v="AX85_YDBM085CNU02"/>
    <s v="A5027716A$0010734_2135-YDBM085CNU02"/>
    <n v="2135"/>
    <s v="EA5027716A"/>
    <s v="na"/>
    <s v="na"/>
    <s v="na"/>
    <s v="White Spot"/>
    <s v="White Spot"/>
    <x v="6"/>
    <x v="0"/>
  </r>
  <r>
    <n v="235"/>
    <x v="75"/>
    <n v="2143"/>
    <s v="na"/>
    <d v="2021-10-28T00:00:00"/>
    <s v="nan"/>
    <s v="FSK"/>
    <n v="3"/>
    <s v="I5"/>
    <x v="19"/>
    <s v="AX85_YDBM085CNU02"/>
    <s v="A5027716A$0010731_2135-YDBM085CNU02"/>
    <n v="2135"/>
    <s v="EA5027716A"/>
    <s v="na"/>
    <s v="na"/>
    <s v="na"/>
    <s v="White Spot"/>
    <s v="White Spot"/>
    <x v="6"/>
    <x v="0"/>
  </r>
  <r>
    <n v="236"/>
    <x v="75"/>
    <n v="2143"/>
    <s v="na"/>
    <d v="2021-10-28T00:00:00"/>
    <s v="nan"/>
    <s v="FSK"/>
    <n v="3"/>
    <s v="I5"/>
    <x v="19"/>
    <s v="AX85_YDBM085CNU02"/>
    <s v="A5027716A$0010732_2135-YDBM085CNU02"/>
    <n v="2135"/>
    <s v="EA5027716A"/>
    <s v="na"/>
    <s v="na"/>
    <s v="na"/>
    <s v="White Spot"/>
    <s v="White Spot"/>
    <x v="6"/>
    <x v="0"/>
  </r>
  <r>
    <n v="237"/>
    <x v="75"/>
    <n v="2143"/>
    <s v="na"/>
    <d v="2021-10-28T00:00:00"/>
    <s v="nan"/>
    <s v="FSK"/>
    <n v="3"/>
    <s v="I5"/>
    <x v="19"/>
    <s v="AX85_YDBM085CNU02"/>
    <s v="A5027716A$0010737_2135-YDBM085CNU02"/>
    <n v="2135"/>
    <s v="EA5027716A"/>
    <s v="na"/>
    <s v="na"/>
    <s v="na"/>
    <s v="White Spot"/>
    <s v="White Spot"/>
    <x v="6"/>
    <x v="0"/>
  </r>
  <r>
    <n v="238"/>
    <x v="75"/>
    <n v="2143"/>
    <s v="na"/>
    <d v="2021-10-28T00:00:00"/>
    <s v="nan"/>
    <s v="FSK"/>
    <n v="3"/>
    <s v="I5"/>
    <x v="19"/>
    <s v="AX85_YDBM085CNU02"/>
    <s v="A5027716A$0010724_2135-YDBM085CNU02"/>
    <n v="2135"/>
    <s v="EA5027716A"/>
    <s v="na"/>
    <s v="na"/>
    <s v="na"/>
    <s v="White Spot"/>
    <s v="White Spot"/>
    <x v="6"/>
    <x v="0"/>
  </r>
  <r>
    <n v="239"/>
    <x v="75"/>
    <n v="2143"/>
    <s v="na"/>
    <d v="2021-10-28T00:00:00"/>
    <s v="nan"/>
    <s v="FSK"/>
    <n v="3"/>
    <s v="I5"/>
    <x v="19"/>
    <s v="AX85_YDBM085CNU02"/>
    <s v="A5027716A$0010722_2135-YDBM085CNU02"/>
    <n v="2135"/>
    <s v="EA5027716A"/>
    <s v="na"/>
    <s v="na"/>
    <s v="na"/>
    <s v="White Spot"/>
    <s v="White Spot"/>
    <x v="6"/>
    <x v="0"/>
  </r>
  <r>
    <n v="240"/>
    <x v="75"/>
    <n v="2143"/>
    <s v="na"/>
    <d v="2021-10-28T00:00:00"/>
    <s v="nan"/>
    <s v="FSK"/>
    <n v="3"/>
    <s v="I5"/>
    <x v="19"/>
    <s v="AX85_YDBM085CNU02"/>
    <s v="A5027716A$0010748_2135-YDBM085CNU02"/>
    <n v="2135"/>
    <s v="EA5027716A"/>
    <s v="na"/>
    <s v="na"/>
    <s v="na"/>
    <s v="White Spot"/>
    <s v="White Spot"/>
    <x v="6"/>
    <x v="0"/>
  </r>
  <r>
    <n v="241"/>
    <x v="75"/>
    <n v="2143"/>
    <s v="na"/>
    <d v="2021-10-28T00:00:00"/>
    <s v="nan"/>
    <s v="FSK"/>
    <n v="3"/>
    <s v="I5"/>
    <x v="19"/>
    <s v="AX85_YDBM085CNU02"/>
    <s v="A5027716A$0010746_2135-YDBM085CNU02"/>
    <n v="2135"/>
    <s v="EA5027716A"/>
    <s v="na"/>
    <s v="na"/>
    <s v="na"/>
    <s v="White Spot"/>
    <s v="White Spot"/>
    <x v="6"/>
    <x v="0"/>
  </r>
  <r>
    <n v="242"/>
    <x v="75"/>
    <n v="2143"/>
    <s v="na"/>
    <d v="2021-10-28T00:00:00"/>
    <s v="nan"/>
    <s v="FSK"/>
    <n v="3"/>
    <s v="I5"/>
    <x v="19"/>
    <s v="AX85_YDBM085CNU02"/>
    <s v="A5027716A$0010743_2135-YDBM085CNU02"/>
    <n v="2135"/>
    <s v="EA5027716A"/>
    <s v="na"/>
    <s v="na"/>
    <s v="na"/>
    <s v="White Spot"/>
    <s v="White Spot"/>
    <x v="6"/>
    <x v="0"/>
  </r>
  <r>
    <n v="243"/>
    <x v="75"/>
    <n v="2143"/>
    <s v="na"/>
    <d v="2021-10-28T00:00:00"/>
    <s v="nan"/>
    <s v="FSK"/>
    <n v="3"/>
    <s v="I5"/>
    <x v="19"/>
    <s v="AX85_YDBM085CNU02"/>
    <s v="A5027716A$0010747_2135-YDBM085CNU02"/>
    <n v="2135"/>
    <s v="EA5027716A"/>
    <s v="na"/>
    <s v="na"/>
    <s v="na"/>
    <s v="White Spot"/>
    <s v="White Spot"/>
    <x v="6"/>
    <x v="0"/>
  </r>
  <r>
    <n v="244"/>
    <x v="75"/>
    <n v="2143"/>
    <s v="na"/>
    <d v="2021-10-28T00:00:00"/>
    <s v="nan"/>
    <s v="FSK"/>
    <n v="3"/>
    <s v="I5"/>
    <x v="19"/>
    <s v="AX85_YDBM085CNU02"/>
    <s v="A5027716A$0010759_2135-YDBM085CNU02"/>
    <n v="2135"/>
    <s v="EA5027716A"/>
    <s v="na"/>
    <s v="na"/>
    <s v="na"/>
    <s v="White Spot"/>
    <s v="White Spot"/>
    <x v="6"/>
    <x v="0"/>
  </r>
  <r>
    <n v="245"/>
    <x v="75"/>
    <n v="2143"/>
    <s v="na"/>
    <d v="2021-10-29T00:00:00"/>
    <s v="nan"/>
    <s v="FSK"/>
    <n v="3"/>
    <s v="I5"/>
    <x v="19"/>
    <s v="AX85_YDBM085CNU02"/>
    <s v="A5027716A$0011494_2136-YDBM085CNU02"/>
    <n v="2136"/>
    <s v="EA5027716A"/>
    <s v="na"/>
    <s v="na"/>
    <s v="na"/>
    <s v="A/D"/>
    <s v="A/D"/>
    <x v="9"/>
    <x v="0"/>
  </r>
  <r>
    <n v="246"/>
    <x v="75"/>
    <n v="2143"/>
    <s v="na"/>
    <d v="2021-10-29T00:00:00"/>
    <s v="nan"/>
    <s v="FSK"/>
    <n v="3"/>
    <s v="I5"/>
    <x v="19"/>
    <s v="AX85_YDBM085CNU02"/>
    <s v="A5027716A$0011547_2136-YDBM085CNU02"/>
    <n v="2136"/>
    <s v="EA5027716A"/>
    <s v="na"/>
    <s v="na"/>
    <s v="na"/>
    <s v="White Spot"/>
    <s v="White Spot"/>
    <x v="6"/>
    <x v="0"/>
  </r>
  <r>
    <n v="247"/>
    <x v="75"/>
    <n v="2143"/>
    <s v="na"/>
    <d v="2021-10-29T00:00:00"/>
    <s v="nan"/>
    <s v="FSK"/>
    <n v="3"/>
    <s v="I5"/>
    <x v="19"/>
    <s v="AX85_YDBM085CNU02"/>
    <s v="A5027716A$0011090_2136-YDBM085CNU02"/>
    <n v="2136"/>
    <s v="EA5027716A"/>
    <s v="na"/>
    <s v="na"/>
    <s v="na"/>
    <s v="White Spot"/>
    <s v="White Spot"/>
    <x v="6"/>
    <x v="0"/>
  </r>
  <r>
    <n v="248"/>
    <x v="75"/>
    <n v="2143"/>
    <s v="na"/>
    <d v="2021-10-29T00:00:00"/>
    <s v="nan"/>
    <s v="FSK"/>
    <n v="3"/>
    <s v="I5"/>
    <x v="19"/>
    <s v="AX85_YDBM085CNU02"/>
    <s v="A5027716A$0010964_2136-YDBM085CNU02"/>
    <n v="2136"/>
    <s v="EA5027716A"/>
    <s v="na"/>
    <s v="na"/>
    <s v="na"/>
    <s v="Uniform etc"/>
    <s v="Uniform etc"/>
    <x v="6"/>
    <x v="0"/>
  </r>
  <r>
    <n v="249"/>
    <x v="75"/>
    <n v="2143"/>
    <s v="na"/>
    <d v="2021-10-29T00:00:00"/>
    <s v="nan"/>
    <s v="FSK"/>
    <n v="3"/>
    <s v="I5"/>
    <x v="19"/>
    <s v="AX85_YDBM085CNU02"/>
    <s v="A5027716A$0010958_2136-YDBM085CNU02"/>
    <n v="2136"/>
    <s v="EA5027716A"/>
    <s v="na"/>
    <s v="na"/>
    <s v="na"/>
    <s v="White Spot"/>
    <s v="White Spot"/>
    <x v="6"/>
    <x v="0"/>
  </r>
  <r>
    <n v="250"/>
    <x v="75"/>
    <n v="2143"/>
    <s v="na"/>
    <d v="2021-10-29T00:00:00"/>
    <s v="nan"/>
    <s v="FSK"/>
    <n v="3"/>
    <s v="I5"/>
    <x v="19"/>
    <s v="AX85_YDBM085CNU02"/>
    <s v="A5027716A$0011073_2136-YDBM085CNU02"/>
    <n v="2136"/>
    <s v="EA5027716A"/>
    <s v="na"/>
    <s v="na"/>
    <s v="na"/>
    <s v="White Spot"/>
    <s v="White Spot"/>
    <x v="6"/>
    <x v="0"/>
  </r>
  <r>
    <n v="251"/>
    <x v="75"/>
    <n v="2143"/>
    <s v="na"/>
    <d v="2021-10-29T00:00:00"/>
    <s v="nan"/>
    <s v="FSK"/>
    <n v="3"/>
    <s v="I5"/>
    <x v="19"/>
    <s v="AX85_YDBM085CNU02"/>
    <s v="A5027716A$0011066_2136-YDBM085CNU02"/>
    <n v="2136"/>
    <s v="EA5027716A"/>
    <s v="na"/>
    <s v="na"/>
    <s v="na"/>
    <s v="White Spot"/>
    <s v="White Spot"/>
    <x v="6"/>
    <x v="0"/>
  </r>
  <r>
    <n v="252"/>
    <x v="75"/>
    <n v="2143"/>
    <s v="na"/>
    <d v="2021-10-29T00:00:00"/>
    <s v="nan"/>
    <s v="FSK"/>
    <n v="3"/>
    <s v="I5"/>
    <x v="19"/>
    <s v="AX85_YDBM085CNU02"/>
    <s v="A5027716A$0011065_2136-YDBM085CNU02"/>
    <n v="2136"/>
    <s v="EA5027716A"/>
    <s v="na"/>
    <s v="na"/>
    <s v="na"/>
    <s v="White Spot"/>
    <s v="White Spot"/>
    <x v="6"/>
    <x v="0"/>
  </r>
  <r>
    <n v="253"/>
    <x v="75"/>
    <n v="2143"/>
    <s v="na"/>
    <d v="2021-10-29T00:00:00"/>
    <s v="nan"/>
    <s v="FSK"/>
    <n v="3"/>
    <s v="I5"/>
    <x v="19"/>
    <s v="AX85_YDBM085CNU02"/>
    <s v="A5027716A$0011160_2136-YDBM085CNU02"/>
    <n v="2136"/>
    <s v="EA5027716A"/>
    <s v="na"/>
    <s v="na"/>
    <s v="na"/>
    <s v="White Spot"/>
    <s v="White Spot"/>
    <x v="6"/>
    <x v="0"/>
  </r>
  <r>
    <n v="254"/>
    <x v="75"/>
    <n v="2143"/>
    <s v="na"/>
    <d v="2021-10-29T00:00:00"/>
    <s v="nan"/>
    <s v="FSK"/>
    <n v="3"/>
    <s v="I5"/>
    <x v="19"/>
    <s v="AX85_YDBM085CNU02"/>
    <s v="A5027716A$0011159_2136-YDBM085CNU02"/>
    <n v="2136"/>
    <s v="EA5027716A"/>
    <s v="na"/>
    <s v="na"/>
    <s v="na"/>
    <s v="White Spot"/>
    <s v="White Spot"/>
    <x v="6"/>
    <x v="0"/>
  </r>
  <r>
    <n v="255"/>
    <x v="75"/>
    <n v="2143"/>
    <s v="na"/>
    <d v="2021-10-29T00:00:00"/>
    <s v="nan"/>
    <s v="FSK"/>
    <n v="3"/>
    <s v="I5"/>
    <x v="19"/>
    <s v="AX85_YDBM085CNU02"/>
    <s v="A5027716A$0011155_2136-YDBM085CNU02"/>
    <n v="2136"/>
    <s v="EA5027716A"/>
    <s v="na"/>
    <s v="na"/>
    <s v="na"/>
    <s v="White Spot"/>
    <s v="White Spot"/>
    <x v="6"/>
    <x v="0"/>
  </r>
  <r>
    <n v="256"/>
    <x v="75"/>
    <n v="2143"/>
    <s v="na"/>
    <d v="2021-10-29T00:00:00"/>
    <s v="nan"/>
    <s v="FSK"/>
    <n v="3"/>
    <s v="I5"/>
    <x v="19"/>
    <s v="AX85_YDBM085CNU02"/>
    <s v="A5027716A$0011154_2136-YDBM085CNU02"/>
    <n v="2136"/>
    <s v="EA5027716A"/>
    <s v="na"/>
    <s v="na"/>
    <s v="na"/>
    <s v="White Spot"/>
    <s v="White Spot"/>
    <x v="6"/>
    <x v="0"/>
  </r>
  <r>
    <n v="257"/>
    <x v="75"/>
    <n v="2143"/>
    <s v="na"/>
    <d v="2021-10-29T00:00:00"/>
    <s v="nan"/>
    <s v="FSK"/>
    <n v="3"/>
    <s v="I5"/>
    <x v="19"/>
    <s v="AX85_YDBM085CNU02"/>
    <s v="A5027716A$0011158_2136-YDBM085CNU02"/>
    <n v="2136"/>
    <s v="EA5027716A"/>
    <s v="na"/>
    <s v="na"/>
    <s v="na"/>
    <s v="White Spot"/>
    <s v="White Spot"/>
    <x v="6"/>
    <x v="0"/>
  </r>
  <r>
    <n v="258"/>
    <x v="75"/>
    <n v="2143"/>
    <s v="na"/>
    <d v="2021-10-29T00:00:00"/>
    <s v="nan"/>
    <s v="FSK"/>
    <n v="3"/>
    <s v="I5"/>
    <x v="19"/>
    <s v="AX85_YDBM085CNU02"/>
    <s v="A5027716A$0011157_2136-YDBM085CNU02"/>
    <n v="2136"/>
    <s v="EA5027716A"/>
    <s v="na"/>
    <s v="na"/>
    <s v="na"/>
    <s v="White Spot"/>
    <s v="White Spot"/>
    <x v="6"/>
    <x v="0"/>
  </r>
  <r>
    <n v="259"/>
    <x v="75"/>
    <n v="2143"/>
    <s v="na"/>
    <d v="2021-10-29T00:00:00"/>
    <s v="nan"/>
    <s v="FSK"/>
    <n v="3"/>
    <s v="I5"/>
    <x v="19"/>
    <s v="AX85_YDBM085CNU02"/>
    <s v="A5027716A$0011153_2136-YDBM085CNU02"/>
    <n v="2136"/>
    <s v="EA5027716A"/>
    <s v="na"/>
    <s v="na"/>
    <s v="na"/>
    <s v="White Spot"/>
    <s v="White Spot"/>
    <x v="6"/>
    <x v="0"/>
  </r>
  <r>
    <n v="260"/>
    <x v="75"/>
    <n v="2143"/>
    <s v="na"/>
    <d v="2021-10-29T00:00:00"/>
    <s v="nan"/>
    <s v="FSK"/>
    <n v="3"/>
    <s v="I5"/>
    <x v="19"/>
    <s v="AX85_YDBM085CNU02"/>
    <s v="A5027716A$0011150_2136-YDBM085CNU02"/>
    <n v="2136"/>
    <s v="EA5027716A"/>
    <s v="na"/>
    <s v="na"/>
    <s v="na"/>
    <s v="White Spot"/>
    <s v="White Spot"/>
    <x v="6"/>
    <x v="0"/>
  </r>
  <r>
    <n v="261"/>
    <x v="75"/>
    <n v="2143"/>
    <s v="na"/>
    <d v="2021-10-29T00:00:00"/>
    <s v="nan"/>
    <s v="FSK"/>
    <n v="3"/>
    <s v="I5"/>
    <x v="19"/>
    <s v="AX85_YDBM085CNU02"/>
    <s v="A5027716A$0011149_2136-YDBM085CNU02"/>
    <n v="2136"/>
    <s v="EA5027716A"/>
    <s v="na"/>
    <s v="na"/>
    <s v="na"/>
    <s v="White Spot"/>
    <s v="White Spot"/>
    <x v="6"/>
    <x v="0"/>
  </r>
  <r>
    <n v="262"/>
    <x v="75"/>
    <n v="2143"/>
    <s v="na"/>
    <d v="2021-10-29T00:00:00"/>
    <s v="nan"/>
    <s v="FSK"/>
    <n v="3"/>
    <s v="I5"/>
    <x v="19"/>
    <s v="AX85_YDBM085CNU02"/>
    <s v="A5027716A$0011152_2136-YDBM085CNU02"/>
    <n v="2136"/>
    <s v="EA5027716A"/>
    <s v="na"/>
    <s v="na"/>
    <s v="na"/>
    <s v="White Spot"/>
    <s v="White Spot"/>
    <x v="6"/>
    <x v="0"/>
  </r>
  <r>
    <n v="263"/>
    <x v="75"/>
    <s v="na"/>
    <s v="na"/>
    <d v="2021-10-29T00:00:00"/>
    <s v="nan"/>
    <s v="FSK"/>
    <n v="1"/>
    <s v="NVM"/>
    <x v="1"/>
    <s v="NX85_YDAS085DNU01"/>
    <s v="A5016535B$0010620_2136-YDAS085DNU02"/>
    <n v="2136"/>
    <s v="EA5016535B"/>
    <s v="na"/>
    <s v="na"/>
    <s v="na"/>
    <s v="na"/>
    <s v="LED fail"/>
    <x v="3"/>
    <x v="1"/>
  </r>
  <r>
    <n v="74"/>
    <x v="73"/>
    <n v="2141"/>
    <s v="TV"/>
    <d v="2021-10-12T00:00:00"/>
    <d v="2021-10-12T00:00:00"/>
    <s v="SOEM"/>
    <s v="Line"/>
    <s v="TV"/>
    <x v="11"/>
    <s v="YDAS065DNU02"/>
    <s v="A5013677B$0023067_2114-YDAS065DNU02"/>
    <n v="2114"/>
    <s v="A5013677*"/>
    <s v="SSV"/>
    <s v="na"/>
    <s v="na"/>
    <s v="Aluminium Frame Dent"/>
    <s v="Aluminium Frame Dent"/>
    <x v="13"/>
    <x v="2"/>
  </r>
  <r>
    <n v="75"/>
    <x v="73"/>
    <n v="2141"/>
    <s v="TV"/>
    <d v="2021-10-12T00:00:00"/>
    <d v="2021-10-12T00:00:00"/>
    <s v="SOEM"/>
    <s v="Line"/>
    <s v="TV"/>
    <x v="11"/>
    <s v="YDAS065DNU02"/>
    <s v="A5013677B$0021100_2112-YDAS065DNU02"/>
    <n v="2112"/>
    <s v="A5013677*"/>
    <s v="SSV"/>
    <s v="na"/>
    <s v="na"/>
    <s v="Aluminium Frame Dent"/>
    <s v="Aluminium Frame Dent"/>
    <x v="13"/>
    <x v="2"/>
  </r>
  <r>
    <n v="76"/>
    <x v="75"/>
    <n v="2143"/>
    <s v="TV"/>
    <d v="2021-10-29T00:00:00"/>
    <d v="2021-10-29T00:00:00"/>
    <s v="SOEM"/>
    <s v="Line"/>
    <s v="TV"/>
    <x v="11"/>
    <s v="YDAS065DNU02"/>
    <s v="A5013677B$0023053_2114-YDAS065DNU02"/>
    <n v="2114"/>
    <s v="A5013677*"/>
    <s v="SSV"/>
    <s v="na"/>
    <s v="na"/>
    <s v="Aluminium Frame Dent"/>
    <s v="Aluminium Frame Dent"/>
    <x v="13"/>
    <x v="2"/>
  </r>
  <r>
    <n v="41"/>
    <x v="75"/>
    <n v="2143"/>
    <s v="TV"/>
    <d v="2021-10-28T00:00:00"/>
    <d v="2021-10-28T00:00:00"/>
    <s v="SOEM"/>
    <s v="Line"/>
    <s v="TV"/>
    <x v="19"/>
    <s v="YDBM085CNU02"/>
    <s v="A5027713A$0012975_2131-YDBM085CNU02"/>
    <n v="2131"/>
    <s v="A-5027-713-X"/>
    <s v="SSV"/>
    <s v="na"/>
    <s v="na"/>
    <s v="D/L defect"/>
    <s v="D/L defect"/>
    <x v="2"/>
    <x v="0"/>
  </r>
  <r>
    <n v="42"/>
    <x v="75"/>
    <n v="2143"/>
    <s v="TV"/>
    <d v="2021-10-29T00:00:00"/>
    <d v="2021-10-29T00:00:00"/>
    <s v="SOEM"/>
    <s v="Line"/>
    <s v="TV"/>
    <x v="19"/>
    <s v="YDBM085CNU02"/>
    <s v="A5027713A$0010702_2128-YDBM085CNU02"/>
    <n v="2128"/>
    <s v="A-5027-713-X"/>
    <s v="SSV"/>
    <s v="na"/>
    <s v="na"/>
    <s v="B/L etc"/>
    <s v="B/L etc"/>
    <x v="10"/>
    <x v="0"/>
  </r>
  <r>
    <n v="36"/>
    <x v="75"/>
    <n v="2143"/>
    <s v="TV"/>
    <d v="2021-10-28T00:00:00"/>
    <d v="2021-10-28T00:00:00"/>
    <s v="SOEM"/>
    <s v="Line"/>
    <s v="TV"/>
    <x v="0"/>
    <s v="YSBM075CNO02"/>
    <s v="A5027725A$0028400_2134_YSBM075CNO02"/>
    <n v="2134"/>
    <s v="A-5027-725-X"/>
    <s v="SSV"/>
    <s v="na"/>
    <s v="na"/>
    <s v="LED fail"/>
    <s v="LED fail"/>
    <x v="3"/>
    <x v="0"/>
  </r>
  <r>
    <n v="37"/>
    <x v="75"/>
    <n v="2143"/>
    <s v="TV"/>
    <d v="2021-10-28T00:00:00"/>
    <d v="2021-10-28T00:00:00"/>
    <s v="SOEM"/>
    <s v="Line"/>
    <s v="TV"/>
    <x v="0"/>
    <s v="YSBM075CNO02"/>
    <s v="A5027725A$0031682_2137_YSBM075CNO02"/>
    <n v="2137"/>
    <s v="A-5027-725-X"/>
    <s v="SSV"/>
    <s v="na"/>
    <s v="na"/>
    <s v="LED fail"/>
    <s v="LED fail"/>
    <x v="3"/>
    <x v="0"/>
  </r>
  <r>
    <n v="38"/>
    <x v="75"/>
    <n v="2143"/>
    <s v="TV"/>
    <d v="2021-10-28T00:00:00"/>
    <d v="2021-10-28T00:00:00"/>
    <s v="SOEM"/>
    <s v="Line"/>
    <s v="TV"/>
    <x v="0"/>
    <s v="YSBM075CNO02"/>
    <s v="A5027725A$0031441_2137_YSBM075CNO02"/>
    <n v="2137"/>
    <s v="A-5027-725-X"/>
    <s v="SSV"/>
    <s v="na"/>
    <s v="na"/>
    <s v="LED fail"/>
    <s v="LED fail"/>
    <x v="3"/>
    <x v="0"/>
  </r>
  <r>
    <n v="39"/>
    <x v="75"/>
    <n v="2143"/>
    <s v="TV"/>
    <d v="2021-10-28T00:00:00"/>
    <d v="2021-10-28T00:00:00"/>
    <s v="SOEM"/>
    <s v="Line"/>
    <s v="TV"/>
    <x v="0"/>
    <s v="YSBM075CNO02"/>
    <s v="A5027725A$0031820_2137_YSBM075CNO02"/>
    <n v="2137"/>
    <s v="A-5027-725-X"/>
    <s v="SSV"/>
    <s v="na"/>
    <s v="na"/>
    <s v="EDID fail"/>
    <s v="EDID fail"/>
    <x v="9"/>
    <x v="0"/>
  </r>
  <r>
    <n v="40"/>
    <x v="75"/>
    <n v="2143"/>
    <s v="TV"/>
    <d v="2021-10-29T00:00:00"/>
    <d v="2021-10-29T00:00:00"/>
    <s v="SOEM"/>
    <s v="Line"/>
    <s v="TV"/>
    <x v="0"/>
    <s v="YSBM075CNO02"/>
    <s v="A5027725A$0029043_2135_YSBM075CNO02"/>
    <n v="2135"/>
    <s v="A-5027-725-X"/>
    <s v="SSV"/>
    <s v="na"/>
    <s v="na"/>
    <s v="O-dot etc"/>
    <s v="O-dot distance"/>
    <x v="12"/>
    <x v="0"/>
  </r>
  <r>
    <n v="17"/>
    <x v="75"/>
    <n v="2143"/>
    <s v="na"/>
    <d v="2021-10-27T00:00:00"/>
    <d v="2021-10-27T00:00:00"/>
    <s v="SOEM"/>
    <s v="Line"/>
    <s v="na"/>
    <x v="17"/>
    <s v="YDBM075CCS02"/>
    <s v="A5027719C$0004188_2133-YDBM075CCS02"/>
    <n v="2133"/>
    <s v="A-5027-719-X"/>
    <s v="SSV"/>
    <s v="na"/>
    <s v="na"/>
    <s v="D/L defect"/>
    <s v="D/L defect"/>
    <x v="2"/>
    <x v="0"/>
  </r>
  <r>
    <n v="18"/>
    <x v="75"/>
    <n v="2143"/>
    <s v="na"/>
    <d v="2021-10-27T00:00:00"/>
    <d v="2021-10-27T00:00:00"/>
    <s v="SOEM"/>
    <s v="Line"/>
    <s v="na"/>
    <x v="17"/>
    <s v="YDBM075CCS02"/>
    <s v="A5027719C$0004156_2133-YDBM075CCS02"/>
    <n v="2133"/>
    <s v="A-5027-719-X"/>
    <s v="SSV"/>
    <s v="na"/>
    <s v="na"/>
    <s v="D/L defect"/>
    <s v="D/L defect"/>
    <x v="2"/>
    <x v="0"/>
  </r>
  <r>
    <n v="263"/>
    <x v="75"/>
    <n v="2143"/>
    <s v="na"/>
    <d v="2021-10-29T00:00:00"/>
    <s v="NaT"/>
    <s v="FSK"/>
    <n v="1"/>
    <s v="NVM"/>
    <x v="15"/>
    <s v="NX85_YDAS085DNU01"/>
    <s v="A5016535B$0010620_2136-YDAS085DNU02"/>
    <n v="2136"/>
    <s v="EA5016535B"/>
    <s v="na"/>
    <s v="na"/>
    <s v="na"/>
    <s v="LED fail"/>
    <s v="LED fail"/>
    <x v="3"/>
    <x v="2"/>
  </r>
  <r>
    <n v="264"/>
    <x v="76"/>
    <n v="2144"/>
    <s v="na"/>
    <d v="2021-11-02T00:00:00"/>
    <s v="NaT"/>
    <s v="FSK"/>
    <n v="3"/>
    <s v="I5"/>
    <x v="19"/>
    <s v="AX85_YDBM085CNU02"/>
    <s v="A5027716A$0011147_2136-YDBM085CNU02"/>
    <n v="2136"/>
    <s v="EA5027716A"/>
    <s v="na"/>
    <s v="na"/>
    <s v="na"/>
    <s v="White Spot"/>
    <s v="White Spot"/>
    <x v="6"/>
    <x v="0"/>
  </r>
  <r>
    <n v="265"/>
    <x v="76"/>
    <n v="2144"/>
    <s v="na"/>
    <d v="2021-11-02T00:00:00"/>
    <s v="NaT"/>
    <s v="FSK"/>
    <n v="3"/>
    <s v="I5"/>
    <x v="19"/>
    <s v="AX85_YDBM085CNU02"/>
    <s v="A5027716A$0011143_2136-YDBM085CNU02"/>
    <n v="2136"/>
    <s v="EA5027716A"/>
    <s v="na"/>
    <s v="na"/>
    <s v="na"/>
    <s v="White Spot"/>
    <s v="White Spot"/>
    <x v="6"/>
    <x v="0"/>
  </r>
  <r>
    <n v="266"/>
    <x v="76"/>
    <n v="2144"/>
    <s v="na"/>
    <d v="2021-11-02T00:00:00"/>
    <s v="NaT"/>
    <s v="FSK"/>
    <n v="3"/>
    <s v="I5"/>
    <x v="19"/>
    <s v="AX85_YDBM085CNU02"/>
    <s v="A5027716A$0011142_2136-YDBM085CNU02"/>
    <n v="2136"/>
    <s v="EA5027716A"/>
    <s v="na"/>
    <s v="na"/>
    <s v="na"/>
    <s v="White Spot"/>
    <s v="White Spot"/>
    <x v="6"/>
    <x v="0"/>
  </r>
  <r>
    <n v="267"/>
    <x v="76"/>
    <n v="2144"/>
    <s v="na"/>
    <d v="2021-11-02T00:00:00"/>
    <s v="NaT"/>
    <s v="FSK"/>
    <n v="3"/>
    <s v="I5"/>
    <x v="19"/>
    <s v="AX85_YDBM085CNU02"/>
    <s v="A5027716A$0011139_2136-YDBM085CNU02"/>
    <n v="2136"/>
    <s v="EA5027716A"/>
    <s v="na"/>
    <s v="na"/>
    <s v="na"/>
    <s v="White Spot"/>
    <s v="White Spot"/>
    <x v="6"/>
    <x v="0"/>
  </r>
  <r>
    <n v="268"/>
    <x v="76"/>
    <n v="2144"/>
    <s v="na"/>
    <d v="2021-11-02T00:00:00"/>
    <s v="NaT"/>
    <s v="FSK"/>
    <n v="3"/>
    <s v="I5"/>
    <x v="19"/>
    <s v="AX85_YDBM085CNU02"/>
    <s v="A5027716A$0011138_2136-YDBM085CNU02"/>
    <n v="2136"/>
    <s v="EA5027716A"/>
    <s v="na"/>
    <s v="na"/>
    <s v="na"/>
    <s v="White Spot"/>
    <s v="White Spot"/>
    <x v="6"/>
    <x v="0"/>
  </r>
  <r>
    <n v="269"/>
    <x v="76"/>
    <n v="2144"/>
    <s v="na"/>
    <d v="2021-11-02T00:00:00"/>
    <s v="NaT"/>
    <s v="FSK"/>
    <n v="3"/>
    <s v="I5"/>
    <x v="19"/>
    <s v="AX85_YDBM085CNU02"/>
    <s v="A5027716A$0011144_2136-YDBM085CNU02"/>
    <n v="2136"/>
    <s v="EA5027716A"/>
    <s v="na"/>
    <s v="na"/>
    <s v="na"/>
    <s v="White Spot"/>
    <s v="White Spot"/>
    <x v="6"/>
    <x v="0"/>
  </r>
  <r>
    <n v="270"/>
    <x v="76"/>
    <n v="2144"/>
    <s v="na"/>
    <d v="2021-11-02T00:00:00"/>
    <s v="NaT"/>
    <s v="FSK"/>
    <n v="3"/>
    <s v="I5"/>
    <x v="19"/>
    <s v="AX85_YDBM085CNU02"/>
    <s v="A5027716A$0011140_2136-YDBM085CNU02"/>
    <n v="2136"/>
    <s v="EA5027716A"/>
    <s v="na"/>
    <s v="na"/>
    <s v="na"/>
    <s v="White Spot"/>
    <s v="White Spot"/>
    <x v="6"/>
    <x v="0"/>
  </r>
  <r>
    <n v="271"/>
    <x v="76"/>
    <n v="2144"/>
    <s v="na"/>
    <d v="2021-11-02T00:00:00"/>
    <s v="NaT"/>
    <s v="FSK"/>
    <n v="3"/>
    <s v="I5"/>
    <x v="19"/>
    <s v="AX85_YDBM085CNU02"/>
    <s v="A5027716A$0011145_2136-YDBM085CNU02"/>
    <n v="2136"/>
    <s v="EA5027716A"/>
    <s v="na"/>
    <s v="na"/>
    <s v="na"/>
    <s v="White Spot"/>
    <s v="White Spot"/>
    <x v="6"/>
    <x v="0"/>
  </r>
  <r>
    <n v="272"/>
    <x v="76"/>
    <n v="2144"/>
    <s v="na"/>
    <d v="2021-11-02T00:00:00"/>
    <s v="NaT"/>
    <s v="FSK"/>
    <n v="3"/>
    <s v="I5"/>
    <x v="19"/>
    <s v="AX85_YDBM085CNU02"/>
    <s v="A5027716A$0010006_2134-YDBM085CNU02"/>
    <n v="2134"/>
    <s v="EA5027716A"/>
    <s v="na"/>
    <s v="na"/>
    <s v="na"/>
    <s v="White Spot"/>
    <s v="White Spot"/>
    <x v="6"/>
    <x v="0"/>
  </r>
  <r>
    <n v="273"/>
    <x v="76"/>
    <n v="2144"/>
    <s v="na"/>
    <d v="2021-11-02T00:00:00"/>
    <s v="NaT"/>
    <s v="FSK"/>
    <n v="3"/>
    <s v="I5"/>
    <x v="19"/>
    <s v="AX85_YDBM085CNU02"/>
    <s v="A5027716A$0010003_2134-YDBM085CNU02"/>
    <n v="2134"/>
    <s v="EA5027716A"/>
    <s v="na"/>
    <s v="na"/>
    <s v="na"/>
    <s v="White Spot"/>
    <s v="White Spot"/>
    <x v="6"/>
    <x v="0"/>
  </r>
  <r>
    <n v="274"/>
    <x v="76"/>
    <n v="2144"/>
    <s v="na"/>
    <d v="2021-11-02T00:00:00"/>
    <s v="NaT"/>
    <s v="FSK"/>
    <n v="3"/>
    <s v="I5"/>
    <x v="19"/>
    <s v="AX85_YDBM085CNU02"/>
    <s v="A5027716A$0010002_2134-YDBM085CNU02"/>
    <n v="2134"/>
    <s v="EA5027716A"/>
    <s v="na"/>
    <s v="na"/>
    <s v="na"/>
    <s v="White Spot"/>
    <s v="White Spot"/>
    <x v="6"/>
    <x v="0"/>
  </r>
  <r>
    <n v="275"/>
    <x v="76"/>
    <n v="2144"/>
    <s v="na"/>
    <d v="2021-11-02T00:00:00"/>
    <s v="NaT"/>
    <s v="FSK"/>
    <n v="3"/>
    <s v="I5"/>
    <x v="19"/>
    <s v="AX85_YDBM085CNU02"/>
    <s v="A5027716A$0009998_2134-YDBM085CNU02"/>
    <n v="2134"/>
    <s v="EA5027716A"/>
    <s v="na"/>
    <s v="na"/>
    <s v="na"/>
    <s v="White Spot"/>
    <s v="White Spot"/>
    <x v="6"/>
    <x v="0"/>
  </r>
  <r>
    <n v="276"/>
    <x v="76"/>
    <n v="2144"/>
    <s v="na"/>
    <d v="2021-11-02T00:00:00"/>
    <s v="NaT"/>
    <s v="FSK"/>
    <n v="3"/>
    <s v="I5"/>
    <x v="19"/>
    <s v="AX85_YDBM085CNU02"/>
    <s v="A5027716A$0009997_2134-YDBM085CNU02"/>
    <n v="2134"/>
    <s v="EA5027716A"/>
    <s v="na"/>
    <s v="na"/>
    <s v="na"/>
    <s v="White Spot"/>
    <s v="White Spot"/>
    <x v="6"/>
    <x v="0"/>
  </r>
  <r>
    <n v="277"/>
    <x v="76"/>
    <n v="2144"/>
    <s v="na"/>
    <d v="2021-11-02T00:00:00"/>
    <s v="NaT"/>
    <s v="FSK"/>
    <n v="3"/>
    <s v="I5"/>
    <x v="19"/>
    <s v="AX85_YDBM085CNU02"/>
    <s v="A5027716A$0009996_2134-YDBM085CNU02"/>
    <n v="2134"/>
    <s v="EA5027716A"/>
    <s v="na"/>
    <s v="na"/>
    <s v="na"/>
    <s v="White Spot"/>
    <s v="White Spot"/>
    <x v="6"/>
    <x v="0"/>
  </r>
  <r>
    <n v="278"/>
    <x v="76"/>
    <n v="2144"/>
    <s v="na"/>
    <d v="2021-11-02T00:00:00"/>
    <s v="NaT"/>
    <s v="FSK"/>
    <n v="3"/>
    <s v="I5"/>
    <x v="19"/>
    <s v="AX85_YDBM085CNU02"/>
    <s v="A5027716A$0009987_2134-YDBM085CNU02"/>
    <n v="2134"/>
    <s v="EA5027716A"/>
    <s v="na"/>
    <s v="na"/>
    <s v="na"/>
    <s v="White Spot"/>
    <s v="White Spot"/>
    <x v="6"/>
    <x v="0"/>
  </r>
  <r>
    <n v="279"/>
    <x v="76"/>
    <n v="2144"/>
    <s v="na"/>
    <d v="2021-11-02T00:00:00"/>
    <s v="NaT"/>
    <s v="FSK"/>
    <n v="3"/>
    <s v="I5"/>
    <x v="17"/>
    <s v="AX75_YDBM075CCS02_4S"/>
    <s v="A5027722C$0004563_2136-YDBM075CCS02"/>
    <n v="2136"/>
    <s v="EA5027722C"/>
    <s v="na"/>
    <s v="na"/>
    <s v="na"/>
    <s v="D/L Defect"/>
    <s v="D/L Defect"/>
    <x v="2"/>
    <x v="0"/>
  </r>
  <r>
    <n v="2"/>
    <x v="72"/>
    <n v="2138"/>
    <s v="Inprocess"/>
    <d v="2021-09-24T00:00:00"/>
    <d v="2021-10-07T00:00:00"/>
    <s v="FBC"/>
    <s v="SF10"/>
    <s v="Line"/>
    <x v="20"/>
    <s v="YDBO065DBU02"/>
    <s v="A5032151A$0014851_2130"/>
    <n v="2130"/>
    <s v="A-5032-151-**"/>
    <s v="SSVE"/>
    <s v="A5032151A"/>
    <s v="$0014851_"/>
    <s v="B/L Particle"/>
    <s v="B/L Particle"/>
    <x v="5"/>
    <x v="0"/>
  </r>
  <r>
    <n v="3"/>
    <x v="72"/>
    <n v="2138"/>
    <s v="Inprocess"/>
    <d v="2021-09-24T00:00:00"/>
    <d v="2021-10-07T00:00:00"/>
    <s v="FBC"/>
    <s v="SF10"/>
    <s v="Line"/>
    <x v="20"/>
    <s v="YDBO065DBU02"/>
    <s v="A5032151A$0016691_2131"/>
    <n v="2131"/>
    <s v="A-5032-151-**"/>
    <s v="SSVE"/>
    <s v="A5032151A"/>
    <s v="$0016691_"/>
    <s v="H-Line"/>
    <s v="D/L Defect"/>
    <x v="2"/>
    <x v="0"/>
  </r>
  <r>
    <n v="4"/>
    <x v="74"/>
    <n v="2141"/>
    <s v="Inprocess"/>
    <d v="2021-10-13T00:00:00"/>
    <d v="2021-10-18T00:00:00"/>
    <s v="FBC"/>
    <s v="SF10"/>
    <s v="Line"/>
    <x v="18"/>
    <s v="YDBO085DAU02"/>
    <s v="A5030086B$0008629_2134"/>
    <n v="2134"/>
    <s v="A-5030-086-**"/>
    <s v="SSVE"/>
    <s v="A5030086B"/>
    <s v="$0008629_"/>
    <s v="No Display (O-cell)"/>
    <s v="No display (O-cell)"/>
    <x v="1"/>
    <x v="0"/>
  </r>
  <r>
    <n v="12"/>
    <x v="72"/>
    <s v="na"/>
    <s v="Inprocess"/>
    <s v="17/9/2021"/>
    <d v="2021-10-07T00:00:00"/>
    <s v="FBC"/>
    <s v="SF12"/>
    <s v="Line"/>
    <x v="5"/>
    <s v="YDBO075DAS02"/>
    <s v="A5030081B$0009162_2130"/>
    <n v="2130"/>
    <s v="A-5030-081-**"/>
    <s v="SSVE"/>
    <s v="na"/>
    <s v="na"/>
    <s v="No display (O-Cell)"/>
    <s v="No display (O-Cell)"/>
    <x v="1"/>
    <x v="0"/>
  </r>
  <r>
    <n v="13"/>
    <x v="77"/>
    <n v="2144"/>
    <s v="na"/>
    <d v="2021-11-02T00:00:00"/>
    <d v="2021-11-08T00:00:00"/>
    <s v="INZ"/>
    <s v="Line"/>
    <s v="na"/>
    <x v="2"/>
    <s v="YDBM075DCS02"/>
    <s v="A5027707A$0020184_2138"/>
    <n v="2138"/>
    <s v="A-5027-707-A"/>
    <s v="SSVE"/>
    <s v="na"/>
    <s v="na"/>
    <s v="No display (T-con)"/>
    <s v="No display (T-con)"/>
    <x v="9"/>
    <x v="0"/>
  </r>
  <r>
    <n v="275"/>
    <x v="77"/>
    <n v="2145"/>
    <s v="na"/>
    <d v="2021-11-08T00:00:00"/>
    <s v="NaT"/>
    <s v="FSK"/>
    <n v="3"/>
    <s v="NVM"/>
    <x v="14"/>
    <s v="NXB85_YDAS085DNU01"/>
    <s v="A5016564B$0001152_2137-YDAS085DNU02"/>
    <n v="2137"/>
    <s v="EA5016564B"/>
    <s v="na"/>
    <s v="na"/>
    <s v="na"/>
    <s v="LED fail"/>
    <s v="LED fail"/>
    <x v="3"/>
    <x v="2"/>
  </r>
  <r>
    <n v="276"/>
    <x v="77"/>
    <n v="2145"/>
    <s v="na"/>
    <d v="2021-11-10T00:00:00"/>
    <s v="NaT"/>
    <s v="FSK"/>
    <n v="3"/>
    <s v="I5"/>
    <x v="15"/>
    <s v="NX85_YDAS085DNU01"/>
    <s v="A5016535B$0012493_2138-YDAS085DNU02"/>
    <n v="2138"/>
    <s v="EA5016535B"/>
    <s v="na"/>
    <s v="na"/>
    <s v="na"/>
    <s v="D/L Defect"/>
    <s v="D/L Defect"/>
    <x v="2"/>
    <x v="2"/>
  </r>
  <r>
    <n v="43"/>
    <x v="75"/>
    <n v="2145"/>
    <s v="TV"/>
    <d v="2021-11-11T00:00:00"/>
    <d v="2021-10-28T00:00:00"/>
    <s v="SOEM"/>
    <s v="Line"/>
    <s v="TV"/>
    <x v="19"/>
    <s v="YDBM085CNU02"/>
    <s v="A5027713A$0014777_2136-YDBM085CNU02"/>
    <n v="2136"/>
    <s v="A-5027-713-X"/>
    <s v="SSV"/>
    <s v="na"/>
    <s v="na"/>
    <s v="D/D short"/>
    <s v="D/D short"/>
    <x v="2"/>
    <x v="0"/>
  </r>
  <r>
    <n v="41"/>
    <x v="77"/>
    <n v="2145"/>
    <s v="TV"/>
    <d v="2021-11-09T00:00:00"/>
    <d v="2021-11-09T00:00:00"/>
    <s v="SOEM"/>
    <s v="Line"/>
    <s v="TV"/>
    <x v="0"/>
    <s v="YSBM075CNO02"/>
    <s v="A5027725A$0031975_2138_YSBM075CNO02"/>
    <n v="2138"/>
    <s v="A-5027-725-X"/>
    <s v="SSV"/>
    <s v="na"/>
    <s v="na"/>
    <s v="Mura etc"/>
    <s v="LED etc"/>
    <x v="3"/>
    <x v="0"/>
  </r>
  <r>
    <n v="42"/>
    <x v="77"/>
    <n v="2145"/>
    <s v="TV"/>
    <d v="2021-11-09T00:00:00"/>
    <d v="2021-11-09T00:00:00"/>
    <s v="SOEM"/>
    <s v="Line"/>
    <s v="TV"/>
    <x v="0"/>
    <s v="YSBM075CNO02"/>
    <s v="A5027725A$0031915_2138_YSBM075CNO02"/>
    <n v="2138"/>
    <s v="A-5027-725-X"/>
    <s v="SSV"/>
    <s v="na"/>
    <s v="na"/>
    <s v="O-Cell A/D"/>
    <s v="O-Cell A/D"/>
    <x v="1"/>
    <x v="0"/>
  </r>
  <r>
    <n v="43"/>
    <x v="77"/>
    <n v="2145"/>
    <s v="TV"/>
    <d v="2021-11-11T00:00:00"/>
    <d v="2021-11-11T00:00:00"/>
    <s v="SOEM"/>
    <s v="Line"/>
    <s v="TV"/>
    <x v="0"/>
    <s v="YSBM075CNO02"/>
    <s v="A5027725A$0032571_2138_YSBM075CNO02"/>
    <n v="2138"/>
    <s v="A-5027-725-X"/>
    <s v="SSV"/>
    <s v="na"/>
    <s v="na"/>
    <s v="LED fail"/>
    <s v="LED fail"/>
    <x v="3"/>
    <x v="0"/>
  </r>
  <r>
    <n v="26"/>
    <x v="73"/>
    <n v="2141"/>
    <s v="na"/>
    <d v="2021-10-11T00:00:00"/>
    <d v="2021-10-11T00:00:00"/>
    <s v="CTTI"/>
    <s v="Line"/>
    <s v="na"/>
    <x v="0"/>
    <s v="YSBM075CNO02"/>
    <s v="A5027725A$0027208_2132"/>
    <n v="2132"/>
    <s v="A-5027-725-A"/>
    <s v="SSVE"/>
    <s v="na"/>
    <s v="na"/>
    <s v="Line etc "/>
    <s v="Line etc "/>
    <x v="2"/>
    <x v="0"/>
  </r>
  <r>
    <n v="27"/>
    <x v="73"/>
    <n v="2141"/>
    <s v="na"/>
    <d v="2021-10-12T00:00:00"/>
    <d v="2021-10-12T00:00:00"/>
    <s v="CTTI"/>
    <s v="Line"/>
    <s v="na"/>
    <x v="0"/>
    <s v="YSBM075CNO02"/>
    <s v="A5027725A$0028040_2133"/>
    <n v="2133"/>
    <s v="A-5027-725-A"/>
    <s v="SSVE"/>
    <s v="na"/>
    <s v="na"/>
    <s v="Pol particle "/>
    <s v="Pol particle "/>
    <x v="0"/>
    <x v="0"/>
  </r>
  <r>
    <n v="28"/>
    <x v="74"/>
    <n v="2142"/>
    <s v="na"/>
    <d v="2021-10-18T00:00:00"/>
    <d v="2021-10-18T00:00:00"/>
    <s v="CTTI"/>
    <s v="Line"/>
    <s v="na"/>
    <x v="0"/>
    <s v="YSBM075CNO02"/>
    <s v="A5027725A$0027753_2133"/>
    <n v="2133"/>
    <s v="A-5027-725-A"/>
    <s v="SSVE"/>
    <s v="na"/>
    <s v="na"/>
    <s v="Pol spot"/>
    <s v="Pol spot"/>
    <x v="0"/>
    <x v="0"/>
  </r>
  <r>
    <n v="29"/>
    <x v="74"/>
    <n v="2142"/>
    <s v="na"/>
    <d v="2021-10-19T00:00:00"/>
    <d v="2021-10-19T00:00:00"/>
    <s v="CTTI"/>
    <s v="Line"/>
    <s v="na"/>
    <x v="0"/>
    <s v="YSBM075CNO02"/>
    <s v="A5027725A$0024655_2131"/>
    <n v="2131"/>
    <s v="A-5027-725-A"/>
    <s v="SSVE"/>
    <s v="na"/>
    <s v="na"/>
    <s v="Pol particle "/>
    <s v="Pol particle "/>
    <x v="0"/>
    <x v="0"/>
  </r>
  <r>
    <n v="30"/>
    <x v="74"/>
    <n v="2142"/>
    <s v="na"/>
    <d v="2021-10-19T00:00:00"/>
    <d v="2021-10-19T00:00:00"/>
    <s v="CTTI"/>
    <s v="Line"/>
    <s v="na"/>
    <x v="0"/>
    <s v="YSBM075CNO02"/>
    <s v="A5027725A$0028393_2134"/>
    <n v="2134"/>
    <s v="A-5027-725-A"/>
    <s v="SSVE"/>
    <s v="na"/>
    <s v="na"/>
    <s v="Pol spot"/>
    <s v="Pol spot"/>
    <x v="0"/>
    <x v="0"/>
  </r>
  <r>
    <n v="31"/>
    <x v="75"/>
    <n v="2143"/>
    <s v="na"/>
    <d v="2021-10-25T00:00:00"/>
    <d v="2021-10-25T00:00:00"/>
    <s v="CTTI"/>
    <s v="Line"/>
    <s v="na"/>
    <x v="0"/>
    <s v="YSBM075CNO02"/>
    <s v="A5027725A$0030700_2136"/>
    <n v="2136"/>
    <s v="A-5027-725-A"/>
    <s v="SSVE"/>
    <s v="na"/>
    <s v="na"/>
    <s v="No display (O-Cell)"/>
    <s v="No display (O-Cell)"/>
    <x v="1"/>
    <x v="0"/>
  </r>
  <r>
    <n v="3"/>
    <x v="70"/>
    <n v="2138"/>
    <s v="na"/>
    <d v="2021-09-23T00:00:00"/>
    <d v="2021-09-23T00:00:00"/>
    <s v="CTTI"/>
    <s v="Line"/>
    <s v="na"/>
    <x v="2"/>
    <s v="YDBM075DCS02"/>
    <s v="A5027707C$0000647_2128-YDBM075DCS02"/>
    <n v="2128"/>
    <s v="A-5027-707-**"/>
    <s v="SSVE"/>
    <s v="na"/>
    <s v="na"/>
    <s v="No display (O-Cell)"/>
    <s v="No display (O-Cell)"/>
    <x v="1"/>
    <x v="0"/>
  </r>
  <r>
    <n v="4"/>
    <x v="74"/>
    <n v="2142"/>
    <s v="na"/>
    <d v="2021-10-18T00:00:00"/>
    <d v="2021-10-18T00:00:00"/>
    <s v="CTTI"/>
    <s v="Line"/>
    <s v="na"/>
    <x v="2"/>
    <s v="YDBM075DCS02"/>
    <s v="A5027707C$0001140_2129-YDBM075DCS02"/>
    <n v="2129"/>
    <s v="A-5027-707-**"/>
    <s v="SSVE"/>
    <s v="na"/>
    <s v="na"/>
    <s v="Pol particle "/>
    <s v="Pol particle "/>
    <x v="0"/>
    <x v="0"/>
  </r>
  <r>
    <n v="277"/>
    <x v="78"/>
    <n v="2146"/>
    <s v="na"/>
    <d v="2021-11-15T00:00:00"/>
    <s v="NaT"/>
    <s v="FSK"/>
    <n v="1"/>
    <s v="I5"/>
    <x v="15"/>
    <s v="NX85_YDAS085DNU01"/>
    <s v="A5016535B$0010535_2136-YDAS085DNU02"/>
    <n v="2136"/>
    <s v="EA5016535B"/>
    <s v="na"/>
    <s v="na"/>
    <s v="na"/>
    <s v="H-dot etc"/>
    <s v="H-dot etc"/>
    <x v="12"/>
    <x v="2"/>
  </r>
  <r>
    <n v="278"/>
    <x v="78"/>
    <n v="2146"/>
    <s v="na"/>
    <d v="2021-11-16T00:00:00"/>
    <s v="NaT"/>
    <s v="FSK"/>
    <n v="16"/>
    <s v="P9"/>
    <x v="20"/>
    <s v="AG65_YDBO065DBU02"/>
    <s v="A5032151A$0008732_2127-YDBO065DBU02"/>
    <n v="2127"/>
    <s v="EA5032151A"/>
    <s v="na"/>
    <s v="na"/>
    <s v="na"/>
    <s v="B/L Particle"/>
    <s v="B/L Particle"/>
    <x v="5"/>
    <x v="0"/>
  </r>
  <r>
    <n v="279"/>
    <x v="78"/>
    <n v="2146"/>
    <s v="na"/>
    <d v="2021-11-18T00:00:00"/>
    <s v="NaT"/>
    <s v="FSK"/>
    <n v="3"/>
    <s v="WB1"/>
    <x v="2"/>
    <s v="AR75_YDBM075DCS02_4S"/>
    <s v="A5027710A$0010858_2135-YDBM075DCS02"/>
    <n v="2135"/>
    <s v="EA5027710A"/>
    <s v="na"/>
    <s v="na"/>
    <s v="na"/>
    <s v="No display (O-Cell)"/>
    <s v="No display (O-Cell)"/>
    <x v="1"/>
    <x v="0"/>
  </r>
  <r>
    <n v="19"/>
    <x v="78"/>
    <n v="2146"/>
    <s v="na"/>
    <d v="2021-11-15T00:00:00"/>
    <d v="2021-11-15T00:00:00"/>
    <s v="SOEM"/>
    <s v="Line"/>
    <s v="na"/>
    <x v="17"/>
    <s v="YDBM075CCS02"/>
    <s v="A5027719C$0004637_2134-YDBM075CCS02"/>
    <n v="2134"/>
    <s v="A-5027-719-X"/>
    <s v="SSV"/>
    <s v="na"/>
    <s v="na"/>
    <s v="D/L defect"/>
    <s v="D/L defect"/>
    <x v="2"/>
    <x v="0"/>
  </r>
  <r>
    <n v="14"/>
    <x v="79"/>
    <n v="2147"/>
    <s v="na"/>
    <d v="2021-11-24T00:00:00"/>
    <d v="2021-11-24T00:00:00"/>
    <s v="INZ"/>
    <s v="Line"/>
    <s v="na"/>
    <x v="2"/>
    <s v="YDBM075DCS02"/>
    <s v="A5027707A$0020940_2140"/>
    <n v="2140"/>
    <s v="A-5027-707-A"/>
    <s v="SSVE"/>
    <s v="na"/>
    <s v="na"/>
    <s v="Mura etc"/>
    <s v="Mura etc"/>
    <x v="6"/>
    <x v="0"/>
  </r>
  <r>
    <n v="280"/>
    <x v="79"/>
    <n v="2147"/>
    <s v="na"/>
    <d v="2021-11-23T00:00:00"/>
    <s v="NaT"/>
    <s v="FSK"/>
    <n v="2"/>
    <s v="WB1"/>
    <x v="5"/>
    <s v="AG75_YDBO075DAS02"/>
    <s v="A5030081B$0008444_2130-YDBO075DAS02"/>
    <n v="2130"/>
    <s v="EA5030081B"/>
    <s v="na"/>
    <s v="na"/>
    <s v="na"/>
    <s v="No display"/>
    <s v="No display"/>
    <x v="9"/>
    <x v="0"/>
  </r>
  <r>
    <n v="281"/>
    <x v="79"/>
    <n v="2147"/>
    <s v="na"/>
    <d v="2021-11-24T00:00:00"/>
    <s v="NaT"/>
    <s v="FSK"/>
    <n v="2"/>
    <s v="I5"/>
    <x v="5"/>
    <s v="AG75_YDBO075DAS02"/>
    <s v="A5030081B$0013701_2135-YDBO075DAS02"/>
    <n v="2135"/>
    <s v="EA5030081B"/>
    <s v="na"/>
    <s v="na"/>
    <s v="na"/>
    <s v="White Spot"/>
    <s v="White Spot"/>
    <x v="6"/>
    <x v="0"/>
  </r>
  <r>
    <n v="282"/>
    <x v="79"/>
    <n v="2147"/>
    <s v="na"/>
    <d v="2021-11-24T00:00:00"/>
    <s v="NaT"/>
    <s v="FSK"/>
    <n v="2"/>
    <s v="NVM"/>
    <x v="5"/>
    <s v="AG75_YDBO075DAS02"/>
    <s v="A5030081B$0013704_2135-YDBO075DAS02"/>
    <n v="2135"/>
    <s v="EA5030081B"/>
    <s v="na"/>
    <s v="na"/>
    <s v="na"/>
    <s v="No display"/>
    <s v="No display"/>
    <x v="9"/>
    <x v="0"/>
  </r>
  <r>
    <n v="283"/>
    <x v="79"/>
    <n v="2147"/>
    <s v="na"/>
    <d v="2021-11-26T00:00:00"/>
    <s v="NaT"/>
    <s v="FSK"/>
    <n v="4"/>
    <s v="NVM"/>
    <x v="2"/>
    <s v="AR75_YDBM075DCS02_4S"/>
    <s v="A5027710A$0011005_2135-YDBM075DCS02"/>
    <n v="2135"/>
    <s v="EA5027710A"/>
    <s v="na"/>
    <s v="na"/>
    <s v="na"/>
    <s v="No display"/>
    <s v="No display"/>
    <x v="9"/>
    <x v="0"/>
  </r>
  <r>
    <n v="284"/>
    <x v="79"/>
    <n v="2147"/>
    <s v="na"/>
    <d v="2021-11-26T00:00:00"/>
    <s v="NaT"/>
    <s v="FSK"/>
    <n v="4"/>
    <s v="I5"/>
    <x v="2"/>
    <s v="AR75_YDBM075DCS02_4S"/>
    <s v="A5027710A$0014266_2137-YDBM075DCS02"/>
    <n v="2137"/>
    <s v="EA5027710A"/>
    <s v="na"/>
    <s v="na"/>
    <s v="na"/>
    <s v="B/L Particle"/>
    <s v="B/L Particle"/>
    <x v="5"/>
    <x v="0"/>
  </r>
  <r>
    <n v="44"/>
    <x v="79"/>
    <n v="2147"/>
    <s v="TV"/>
    <d v="2021-11-22T00:00:00"/>
    <d v="2021-11-22T00:00:00"/>
    <s v="SOEM"/>
    <s v="Line"/>
    <s v="TV"/>
    <x v="19"/>
    <s v="YDBM085CNU02"/>
    <s v="A5027713A$0014962_2136-YDBM085CNU02"/>
    <n v="2136"/>
    <s v="A-5027-713-X"/>
    <s v="SSV"/>
    <s v="na"/>
    <s v="na"/>
    <s v="B/L particle"/>
    <s v="B/L particle"/>
    <x v="5"/>
    <x v="0"/>
  </r>
  <r>
    <n v="45"/>
    <x v="79"/>
    <n v="2147"/>
    <s v="TV"/>
    <d v="2021-11-22T00:00:00"/>
    <d v="2021-11-22T00:00:00"/>
    <s v="SOEM"/>
    <s v="Line"/>
    <s v="TV"/>
    <x v="19"/>
    <s v="YDBM085CNU02"/>
    <s v="A5027713A$0015590_2138-YDBM085CNU02"/>
    <n v="2138"/>
    <s v="A-5027-713-X"/>
    <s v="SSV"/>
    <s v="na"/>
    <s v="na"/>
    <s v="B/L etc"/>
    <s v="B/L etc"/>
    <x v="10"/>
    <x v="0"/>
  </r>
  <r>
    <n v="46"/>
    <x v="79"/>
    <n v="2147"/>
    <s v="TV"/>
    <d v="2021-11-23T00:00:00"/>
    <d v="2021-11-23T00:00:00"/>
    <s v="SOEM"/>
    <s v="Line"/>
    <s v="TV"/>
    <x v="19"/>
    <s v="YDBM085CNU02"/>
    <s v="A5027713A$0014809_2136-YDBM085CNU02"/>
    <n v="2136"/>
    <s v="A-5027-713-X"/>
    <s v="SSV"/>
    <s v="na"/>
    <s v="na"/>
    <s v="G/C short"/>
    <s v="G/C short"/>
    <x v="2"/>
    <x v="0"/>
  </r>
  <r>
    <n v="26"/>
    <x v="79"/>
    <n v="2147"/>
    <s v="na"/>
    <d v="2021-11-23T00:00:00"/>
    <d v="2021-11-23T00:00:00"/>
    <s v="SOEM"/>
    <s v="Line"/>
    <s v="na"/>
    <x v="2"/>
    <s v="YDBM075DCS02"/>
    <s v="A5027707A$0015574_2135-YDBM075DCS02"/>
    <n v="2135"/>
    <s v="A-5027-707-X"/>
    <s v="SSV"/>
    <s v="na"/>
    <s v="na"/>
    <s v="No display (T-con)"/>
    <s v="No display (T-con)"/>
    <x v="9"/>
    <x v="0"/>
  </r>
  <r>
    <n v="285"/>
    <x v="80"/>
    <n v="2148"/>
    <s v="na"/>
    <d v="2021-11-29T00:00:00"/>
    <s v="NaT"/>
    <s v="FSK"/>
    <n v="2"/>
    <s v="I5"/>
    <x v="0"/>
    <s v="APH75_YSBM075CNO02"/>
    <s v="A5027728A$0028313_2137-YSBM075CNO02"/>
    <n v="2137"/>
    <s v="EA5027728A"/>
    <s v="na"/>
    <s v="na"/>
    <s v="na"/>
    <s v="B/L Particle"/>
    <s v="B/L Particle"/>
    <x v="5"/>
    <x v="0"/>
  </r>
  <r>
    <n v="286"/>
    <x v="80"/>
    <n v="2148"/>
    <s v="na"/>
    <d v="2021-11-29T00:00:00"/>
    <s v="NaT"/>
    <s v="FSK"/>
    <n v="2"/>
    <s v="NVM"/>
    <x v="0"/>
    <s v="APH75_YSBM075CNO02"/>
    <s v="A5027728A$0028790_2137-YSBM075CNO02"/>
    <n v="2137"/>
    <s v="EA5027728A"/>
    <s v="na"/>
    <s v="na"/>
    <s v="na"/>
    <s v="LED etc"/>
    <s v="LED etc"/>
    <x v="3"/>
    <x v="0"/>
  </r>
  <r>
    <n v="287"/>
    <x v="80"/>
    <n v="2148"/>
    <s v="na"/>
    <d v="2021-11-29T00:00:00"/>
    <s v="NaT"/>
    <s v="FSK"/>
    <n v="2"/>
    <s v="NVM"/>
    <x v="0"/>
    <s v="APH75_YSBM075CNO02"/>
    <s v="A5027728A$0028867_2137-YSBM075CNO02"/>
    <n v="2137"/>
    <s v="EA5027728A"/>
    <s v="na"/>
    <s v="na"/>
    <s v="na"/>
    <s v="LED fail"/>
    <s v="LED fail"/>
    <x v="3"/>
    <x v="0"/>
  </r>
  <r>
    <n v="288"/>
    <x v="80"/>
    <n v="2148"/>
    <s v="na"/>
    <d v="2021-11-29T00:00:00"/>
    <s v="NaT"/>
    <s v="FSK"/>
    <n v="3"/>
    <s v="NVM"/>
    <x v="18"/>
    <s v="AG85_YDBO085DAU02"/>
    <s v="a5030086b$0007644_2134-ydbo085dau02"/>
    <n v="2134"/>
    <s v="EA5030086B"/>
    <s v="na"/>
    <s v="na"/>
    <s v="na"/>
    <s v="LED fail"/>
    <s v="LED fail"/>
    <x v="3"/>
    <x v="0"/>
  </r>
  <r>
    <n v="289"/>
    <x v="80"/>
    <n v="2148"/>
    <s v="na"/>
    <d v="2021-11-29T00:00:00"/>
    <s v="NaT"/>
    <s v="FSK"/>
    <n v="2"/>
    <s v="NVM"/>
    <x v="0"/>
    <s v="APH75_YSBM075CNO02"/>
    <s v="A5027728A$0028928_2137-YSBM075CNO02"/>
    <n v="2137"/>
    <s v="EA5027728A"/>
    <s v="na"/>
    <s v="na"/>
    <s v="na"/>
    <s v="LED fail"/>
    <s v="LED fail"/>
    <x v="3"/>
    <x v="0"/>
  </r>
  <r>
    <n v="290"/>
    <x v="80"/>
    <n v="2148"/>
    <s v="na"/>
    <d v="2021-11-30T00:00:00"/>
    <s v="NaT"/>
    <s v="FSK"/>
    <n v="2"/>
    <s v="I5"/>
    <x v="0"/>
    <s v="APH75_YSBM075CNO02"/>
    <s v="A5027728A$0028986_2137-YSBM075CNO02"/>
    <n v="2137"/>
    <s v="EA5027728A"/>
    <s v="na"/>
    <s v="na"/>
    <s v="na"/>
    <s v="Black Spot"/>
    <s v="Black Spot"/>
    <x v="6"/>
    <x v="0"/>
  </r>
  <r>
    <n v="291"/>
    <x v="80"/>
    <n v="2148"/>
    <s v="na"/>
    <d v="2021-11-30T00:00:00"/>
    <s v="NaT"/>
    <s v="FSK"/>
    <n v="2"/>
    <s v="WB1"/>
    <x v="0"/>
    <s v="APH75_YSBM075CNO02"/>
    <s v="A5027728A$0028996_2137-YSBM075CNO02"/>
    <n v="2137"/>
    <s v="EA5027728A"/>
    <s v="na"/>
    <s v="na"/>
    <s v="na"/>
    <s v="No display"/>
    <s v="No display"/>
    <x v="9"/>
    <x v="0"/>
  </r>
  <r>
    <n v="292"/>
    <x v="80"/>
    <n v="2148"/>
    <s v="na"/>
    <d v="2021-12-01T00:00:00"/>
    <s v="NaT"/>
    <s v="FSK"/>
    <n v="2"/>
    <s v="I5"/>
    <x v="12"/>
    <s v="NX75_YDAS075DNS02_C"/>
    <s v="A5024285B$0026322_2139-YDAS075DNS02"/>
    <n v="2139"/>
    <s v="EA5024285B"/>
    <s v="na"/>
    <s v="na"/>
    <s v="na"/>
    <s v="Uniform etc"/>
    <s v="Uniform etc"/>
    <x v="6"/>
    <x v="2"/>
  </r>
  <r>
    <n v="293"/>
    <x v="80"/>
    <n v="2148"/>
    <s v="na"/>
    <d v="2021-12-01T00:00:00"/>
    <s v="NaT"/>
    <s v="FSK"/>
    <n v="1"/>
    <s v="I5"/>
    <x v="15"/>
    <s v="NX85_YDAS085DNU01"/>
    <s v="A5016535B$0012320_2137-YDAS085DNU02"/>
    <n v="2137"/>
    <s v="EA5016535B"/>
    <s v="na"/>
    <s v="na"/>
    <s v="na"/>
    <s v="B/L Particle"/>
    <s v="B/L Particle"/>
    <x v="5"/>
    <x v="2"/>
  </r>
  <r>
    <n v="294"/>
    <x v="80"/>
    <n v="2148"/>
    <s v="na"/>
    <d v="2021-12-01T00:00:00"/>
    <s v="NaT"/>
    <s v="FSK"/>
    <n v="2"/>
    <s v="WB1"/>
    <x v="16"/>
    <s v="NXB75_YDAS075DNS02_C"/>
    <s v="A5024290B$0004732_2138-YDAS075DNS02"/>
    <n v="2138"/>
    <s v="EA5024290B"/>
    <s v="na"/>
    <s v="na"/>
    <s v="na"/>
    <s v="W/B NG"/>
    <s v="W/B NG"/>
    <x v="9"/>
    <x v="2"/>
  </r>
  <r>
    <n v="295"/>
    <x v="80"/>
    <n v="2148"/>
    <s v="na"/>
    <d v="2021-12-02T00:00:00"/>
    <s v="NaT"/>
    <s v="FSK"/>
    <n v="3"/>
    <s v="WB1"/>
    <x v="19"/>
    <s v="AX85_YDBM085CNU02"/>
    <s v="A5027716A$0010303_2135-YDBM085CNU02"/>
    <n v="2135"/>
    <s v="EA5027716A"/>
    <s v="na"/>
    <s v="na"/>
    <s v="na"/>
    <s v="F Bubble"/>
    <s v="F Bubble"/>
    <x v="15"/>
    <x v="0"/>
  </r>
  <r>
    <n v="296"/>
    <x v="80"/>
    <n v="2148"/>
    <s v="na"/>
    <d v="2021-12-02T00:00:00"/>
    <s v="NaT"/>
    <s v="FSK"/>
    <n v="16"/>
    <s v="I9"/>
    <x v="20"/>
    <s v="AG65_YDBO065DBU02"/>
    <s v="A5032151A$0026818_2135-YDBO065DBU02"/>
    <n v="2135"/>
    <s v="EA5032151A"/>
    <s v="na"/>
    <s v="na"/>
    <s v="na"/>
    <s v="B/L Particle"/>
    <s v="B/L Particle"/>
    <x v="5"/>
    <x v="0"/>
  </r>
  <r>
    <n v="47"/>
    <x v="80"/>
    <n v="2148"/>
    <s v="TV"/>
    <d v="2021-11-30T00:00:00"/>
    <d v="2021-11-30T00:00:00"/>
    <s v="SOEM"/>
    <s v="Line"/>
    <s v="TV"/>
    <x v="19"/>
    <s v="YDBM085CNU02"/>
    <s v="A5027713A$0017859_2142-YDBM085CNU02"/>
    <n v="2142"/>
    <s v="A-5027-713-X"/>
    <s v="SSV"/>
    <s v="na"/>
    <s v="na"/>
    <s v="No display (T-con)"/>
    <s v="No display (T-con)"/>
    <x v="9"/>
    <x v="0"/>
  </r>
  <r>
    <n v="48"/>
    <x v="80"/>
    <n v="2148"/>
    <s v="TV"/>
    <d v="2021-12-03T00:00:00"/>
    <d v="2021-12-03T00:00:00"/>
    <s v="SOEM"/>
    <s v="Line"/>
    <s v="TV"/>
    <x v="19"/>
    <s v="YDBM085CNU02"/>
    <s v="A5027713A$0016968_2142-YDBM085CNU02"/>
    <n v="2142"/>
    <s v="A-5027-713-X"/>
    <s v="SSV"/>
    <s v="na"/>
    <s v="na"/>
    <s v="Aluminium Frame NG"/>
    <s v="Aluminium Frame NG"/>
    <x v="13"/>
    <x v="0"/>
  </r>
  <r>
    <n v="44"/>
    <x v="80"/>
    <n v="2148"/>
    <s v="TV"/>
    <d v="2021-11-29T00:00:00"/>
    <d v="2021-11-29T00:00:00"/>
    <s v="SOEM"/>
    <s v="Line"/>
    <s v="TV"/>
    <x v="0"/>
    <s v="YSBM075CNO02"/>
    <s v="A5027725A$0031554_2137_YSBM075CNO02"/>
    <n v="2137"/>
    <s v="A-5027-725-X"/>
    <s v="SSV"/>
    <s v="na"/>
    <s v="na"/>
    <s v="LED fail"/>
    <s v="LED fail"/>
    <x v="3"/>
    <x v="0"/>
  </r>
  <r>
    <n v="45"/>
    <x v="80"/>
    <n v="2148"/>
    <s v="TV"/>
    <d v="2021-11-30T00:00:00"/>
    <d v="2021-11-30T00:00:00"/>
    <s v="SOEM"/>
    <s v="Line"/>
    <s v="TV"/>
    <x v="0"/>
    <s v="YSBM075CNO02"/>
    <s v="A5027725A$0033390_2142_YSBM075CNO02"/>
    <n v="2142"/>
    <s v="A-5027-725-X"/>
    <s v="SSV"/>
    <s v="na"/>
    <s v="na"/>
    <s v="G/L defect"/>
    <s v="G/L defect"/>
    <x v="2"/>
    <x v="0"/>
  </r>
  <r>
    <n v="297"/>
    <x v="81"/>
    <n v="2149"/>
    <s v="na"/>
    <d v="2021-12-06T00:00:00"/>
    <s v="NaT"/>
    <s v="FSK"/>
    <n v="2"/>
    <s v="WB1"/>
    <x v="14"/>
    <s v="NXB85_YDAS085DNU01"/>
    <s v="A5016564C$0000027_2141-YDAS085DNU02"/>
    <n v="2141"/>
    <s v="EA5016564C"/>
    <s v="na"/>
    <s v="na"/>
    <s v="na"/>
    <s v="W/B NG"/>
    <s v="W/B NG"/>
    <x v="9"/>
    <x v="2"/>
  </r>
  <r>
    <n v="298"/>
    <x v="81"/>
    <n v="2149"/>
    <s v="na"/>
    <d v="2021-12-06T00:00:00"/>
    <s v="NaT"/>
    <s v="FSK"/>
    <n v="16"/>
    <s v="P1"/>
    <x v="20"/>
    <s v="AG65_YDBO065DBU02"/>
    <s v="A5032151A$0037216_2139-YDBO065DBU02"/>
    <n v="2139"/>
    <s v="EA5032151A"/>
    <s v="na"/>
    <s v="na"/>
    <s v="na"/>
    <s v="Pol Bubble"/>
    <s v="Pol Bubble"/>
    <x v="7"/>
    <x v="0"/>
  </r>
  <r>
    <n v="299"/>
    <x v="81"/>
    <n v="2149"/>
    <s v="na"/>
    <d v="2021-12-07T00:00:00"/>
    <s v="NaT"/>
    <s v="FSK"/>
    <n v="2"/>
    <s v="I5"/>
    <x v="16"/>
    <s v="NXB75_YDAS075DNS02_C"/>
    <s v="A5024290B$0005118_2142-YDAS075DNS02"/>
    <n v="2142"/>
    <s v="EA5024290B"/>
    <s v="na"/>
    <s v="na"/>
    <s v="na"/>
    <s v="A/D"/>
    <s v="A/D"/>
    <x v="9"/>
    <x v="2"/>
  </r>
  <r>
    <n v="300"/>
    <x v="81"/>
    <n v="2149"/>
    <s v="na"/>
    <d v="2021-12-07T00:00:00"/>
    <s v="NaT"/>
    <s v="FSK"/>
    <n v="2"/>
    <s v="WB1"/>
    <x v="16"/>
    <s v="NXB75_YDAS075DNS02_C"/>
    <s v="A5024290B$0005289_2142-YDAS075DNS02"/>
    <n v="2142"/>
    <s v="EA5024290B"/>
    <s v="na"/>
    <s v="na"/>
    <s v="na"/>
    <s v="No display"/>
    <s v="No display"/>
    <x v="9"/>
    <x v="2"/>
  </r>
  <r>
    <n v="49"/>
    <x v="80"/>
    <n v="2149"/>
    <s v="TV"/>
    <d v="2021-12-06T00:00:00"/>
    <d v="2021-12-03T00:00:00"/>
    <s v="SOEM"/>
    <s v="Line"/>
    <s v="TV"/>
    <x v="19"/>
    <s v="YDBM085CNU02"/>
    <s v="A5027713A$0016402_2142-YDBM085CNU02"/>
    <n v="2142"/>
    <s v="A-5027-713-X"/>
    <s v="SSV"/>
    <s v="na"/>
    <s v="na"/>
    <s v="D/D short"/>
    <s v="D/D short"/>
    <x v="2"/>
    <x v="0"/>
  </r>
  <r>
    <n v="5"/>
    <x v="81"/>
    <n v="2148"/>
    <s v="Inprocess"/>
    <d v="2021-12-02T00:00:00"/>
    <d v="2021-12-07T00:00:00"/>
    <s v="FBC"/>
    <s v="SF05"/>
    <s v="Line"/>
    <x v="20"/>
    <s v="YDBO065DBU02"/>
    <s v="A5032151A$0025309_2134"/>
    <n v="2134"/>
    <s v="A-5032-151-**"/>
    <s v="SSVE"/>
    <s v="A5032151A"/>
    <s v="$0025309_"/>
    <s v="B/L Particle"/>
    <s v="B/L Particle"/>
    <x v="5"/>
    <x v="0"/>
  </r>
  <r>
    <n v="218"/>
    <x v="80"/>
    <n v="2144"/>
    <s v="Inprocess"/>
    <d v="2021-11-01T00:00:00"/>
    <d v="2021-12-02T00:00:00"/>
    <s v="FBC"/>
    <s v="SF15"/>
    <s v="Line"/>
    <x v="4"/>
    <s v="HDBO085DDU02"/>
    <s v="A5028177B$0001129_2137"/>
    <n v="2137"/>
    <s v="A-5028-177-**"/>
    <s v="SSVE"/>
    <s v="na"/>
    <s v="na"/>
    <s v="Mura"/>
    <s v="B/L sheet wrinkle"/>
    <x v="10"/>
    <x v="0"/>
  </r>
  <r>
    <n v="219"/>
    <x v="80"/>
    <n v="2144"/>
    <s v="Inprocess"/>
    <d v="2021-11-01T00:00:00"/>
    <d v="2021-12-02T00:00:00"/>
    <s v="FBC"/>
    <s v="SF15"/>
    <s v="Line"/>
    <x v="4"/>
    <s v="HDBO085DDU02"/>
    <s v="A5028177B$0001028_2136"/>
    <n v="2136"/>
    <s v="A-5028-177-**"/>
    <s v="SSVE"/>
    <s v="na"/>
    <s v="na"/>
    <s v="Patron Activo"/>
    <s v="T-Con A/D"/>
    <x v="9"/>
    <x v="0"/>
  </r>
  <r>
    <n v="13"/>
    <x v="78"/>
    <n v="2143"/>
    <s v="Inprocess"/>
    <d v="2021-10-28T00:00:00"/>
    <d v="2021-11-18T00:00:00"/>
    <s v="FBC"/>
    <s v="SF12"/>
    <s v="Line"/>
    <x v="5"/>
    <s v="YDBO075DAS02"/>
    <s v="A5030081B$0014026_2135"/>
    <n v="2135"/>
    <s v="A-5030-081-**"/>
    <s v="SSVE"/>
    <s v="na"/>
    <s v="na"/>
    <s v="No display (O-Cell)"/>
    <s v="No display (O-Cell)"/>
    <x v="1"/>
    <x v="0"/>
  </r>
  <r>
    <n v="301"/>
    <x v="82"/>
    <n v="2150"/>
    <s v="na"/>
    <d v="2021-12-15T00:00:00"/>
    <s v="NaT"/>
    <s v="FSK"/>
    <n v="2"/>
    <s v="WB1"/>
    <x v="12"/>
    <s v="NX75_YDAS075DNS02_C"/>
    <s v="A5024285B$0026199_2139-YDAS075DNS02"/>
    <n v="2139"/>
    <s v="EA5024285B"/>
    <s v="na"/>
    <s v="na"/>
    <s v="na"/>
    <s v="No display"/>
    <s v="No display"/>
    <x v="9"/>
    <x v="2"/>
  </r>
  <r>
    <n v="46"/>
    <x v="82"/>
    <n v="2150"/>
    <s v="TV"/>
    <d v="2021-12-17T00:00:00"/>
    <d v="2021-12-17T00:00:00"/>
    <s v="SOEM"/>
    <s v="Line"/>
    <s v="TV"/>
    <x v="0"/>
    <s v="YSBM075CNO02"/>
    <s v="A5027725A$0034050_2142_YSBM075CNO02"/>
    <n v="2142"/>
    <s v="A-5027-725-X"/>
    <s v="SSV"/>
    <s v="na"/>
    <s v="na"/>
    <s v="Black spot"/>
    <s v="B/L particle"/>
    <x v="5"/>
    <x v="0"/>
  </r>
  <r>
    <n v="27"/>
    <x v="82"/>
    <n v="2150"/>
    <s v="na"/>
    <d v="2021-12-16T00:00:00"/>
    <d v="2021-12-16T00:00:00"/>
    <s v="SOEM"/>
    <s v="Line"/>
    <s v="na"/>
    <x v="2"/>
    <s v="YDBM075DCS02"/>
    <s v="A5027707C$0009068_2144-YDBM075DCS02"/>
    <n v="2144"/>
    <s v="A-5027-707-X"/>
    <s v="SSV"/>
    <s v="na"/>
    <s v="na"/>
    <s v="B/L Sheet fail"/>
    <s v="B/L Sheet fail"/>
    <x v="10"/>
    <x v="0"/>
  </r>
  <r>
    <n v="47"/>
    <x v="83"/>
    <n v="2151"/>
    <s v="TV"/>
    <d v="2021-12-21T00:00:00"/>
    <d v="2021-12-21T00:00:00"/>
    <s v="SOEM"/>
    <s v="Line"/>
    <s v="TV"/>
    <x v="0"/>
    <s v="YSBM075CNO02"/>
    <s v="A5027725A$0034137_2142_YSBM075CNO02"/>
    <n v="2142"/>
    <s v="A-5027-725-X"/>
    <s v="SSV"/>
    <s v="na"/>
    <s v="na"/>
    <s v="Black spot"/>
    <s v="B/L particle"/>
    <x v="5"/>
    <x v="0"/>
  </r>
  <r>
    <n v="50"/>
    <x v="84"/>
    <n v="2152"/>
    <s v="TV"/>
    <d v="2021-12-31T00:00:00"/>
    <d v="2021-12-31T00:00:00"/>
    <s v="SOEM"/>
    <s v="Line"/>
    <s v="TV"/>
    <x v="19"/>
    <s v="YDBM085CNU02"/>
    <s v="A5027713A$0017873_2143-YDBM085CNU02"/>
    <n v="2143"/>
    <s v="A-5027-713-X"/>
    <s v="SSV"/>
    <s v="na"/>
    <s v="na"/>
    <s v="D/D short"/>
    <s v="D/D short"/>
    <x v="2"/>
    <x v="0"/>
  </r>
  <r>
    <n v="48"/>
    <x v="84"/>
    <n v="2152"/>
    <s v="TV"/>
    <d v="2021-12-29T00:00:00"/>
    <d v="2021-12-29T00:00:00"/>
    <s v="SOEM"/>
    <s v="Line"/>
    <s v="TV"/>
    <x v="0"/>
    <s v="YSBM075CNO02"/>
    <s v="A5027725A$0037112_2146_YSBM075CNO02"/>
    <n v="2146"/>
    <s v="A-5027-725-X"/>
    <s v="SSV"/>
    <s v="na"/>
    <s v="na"/>
    <s v="No display (T-con)"/>
    <s v="No display (T-con)"/>
    <x v="9"/>
    <x v="0"/>
  </r>
  <r>
    <n v="49"/>
    <x v="84"/>
    <n v="2152"/>
    <s v="TV"/>
    <d v="2021-12-29T00:00:00"/>
    <d v="2021-12-29T00:00:00"/>
    <s v="SOEM"/>
    <s v="Line"/>
    <s v="TV"/>
    <x v="0"/>
    <s v="YSBM075CNO02"/>
    <s v="A5027725A$0036447_2145_YSBM075CNO02"/>
    <n v="2145"/>
    <s v="A-5027-725-X"/>
    <s v="SSV"/>
    <s v="na"/>
    <s v="na"/>
    <s v="LED fail"/>
    <s v="LED fail"/>
    <x v="3"/>
    <x v="0"/>
  </r>
  <r>
    <n v="50"/>
    <x v="84"/>
    <n v="2152"/>
    <s v="TV"/>
    <d v="2021-12-29T00:00:00"/>
    <d v="2021-12-29T00:00:00"/>
    <s v="SOEM"/>
    <s v="Line"/>
    <s v="TV"/>
    <x v="0"/>
    <s v="YSBM075CNO02"/>
    <s v="A5027725A$0036983_2146_YSBM075CNO02"/>
    <n v="2146"/>
    <s v="A-5027-725-X"/>
    <s v="SSV"/>
    <s v="na"/>
    <s v="na"/>
    <s v="Mura etc"/>
    <s v="B/L Sheet fail"/>
    <x v="10"/>
    <x v="0"/>
  </r>
  <r>
    <n v="51"/>
    <x v="84"/>
    <n v="2152"/>
    <s v="TV"/>
    <d v="2021-12-30T00:00:00"/>
    <d v="2021-12-30T00:00:00"/>
    <s v="SOEM"/>
    <s v="Line"/>
    <s v="TV"/>
    <x v="0"/>
    <s v="YSBM075CNO02"/>
    <s v="A5027725A$0037792_2147_YSBM075CNO02"/>
    <n v="2147"/>
    <s v="A-5027-725-X"/>
    <s v="SSV"/>
    <s v="na"/>
    <s v="na"/>
    <s v="D/B defect"/>
    <s v="D/B defect"/>
    <x v="2"/>
    <x v="0"/>
  </r>
  <r>
    <n v="28"/>
    <x v="84"/>
    <n v="2152"/>
    <s v="na"/>
    <d v="2021-12-29T00:00:00"/>
    <d v="2021-12-29T00:00:00"/>
    <s v="SOEM"/>
    <s v="Line"/>
    <s v="na"/>
    <x v="2"/>
    <s v="YDBM075DCS02"/>
    <s v="A5027707A$0023504_2145-YDBM075DCS02"/>
    <n v="2145"/>
    <s v="A-5027-707-X"/>
    <s v="SSV"/>
    <s v="na"/>
    <s v="na"/>
    <s v="Pol bubble "/>
    <s v="Pol bubble "/>
    <x v="7"/>
    <x v="0"/>
  </r>
  <r>
    <n v="20"/>
    <x v="83"/>
    <n v="2151"/>
    <s v="na"/>
    <d v="2021-12-20T00:00:00"/>
    <d v="2021-12-20T00:00:00"/>
    <s v="SOEM"/>
    <s v="Line"/>
    <s v="na"/>
    <x v="17"/>
    <s v="YDBM075CCS02"/>
    <s v="A5027719C$0009366_2143-YDBM075CCS02"/>
    <n v="2143"/>
    <s v="A-5027-719-X"/>
    <s v="SSV"/>
    <s v="na"/>
    <s v="na"/>
    <s v="No display (T-con)"/>
    <s v="No display (T-con)"/>
    <x v="9"/>
    <x v="0"/>
  </r>
  <r>
    <n v="21"/>
    <x v="84"/>
    <n v="2152"/>
    <s v="na"/>
    <d v="2021-12-30T00:00:00"/>
    <d v="2021-12-30T00:00:00"/>
    <s v="SOEM"/>
    <s v="Line"/>
    <s v="na"/>
    <x v="17"/>
    <s v="YDBM075CCS02"/>
    <s v="A5027719A$0012208_2145-YDBM075CCS02"/>
    <n v="2145"/>
    <s v="A-5027-719-X"/>
    <s v="SSV"/>
    <s v="na"/>
    <s v="na"/>
    <s v="LED fail"/>
    <s v="LED fail"/>
    <x v="3"/>
    <x v="0"/>
  </r>
  <r>
    <n v="22"/>
    <x v="84"/>
    <n v="2152"/>
    <s v="na"/>
    <d v="2021-12-30T00:00:00"/>
    <d v="2021-12-30T00:00:00"/>
    <s v="SOEM"/>
    <s v="Line"/>
    <s v="na"/>
    <x v="17"/>
    <s v="YDBM075CCS02"/>
    <s v="A5027719A$0012445_2145-YDBM075CCS02"/>
    <n v="2145"/>
    <s v="A-5027-719-X"/>
    <s v="SSV"/>
    <s v="na"/>
    <s v="na"/>
    <s v="LED fail"/>
    <s v="LED fail"/>
    <x v="3"/>
    <x v="0"/>
  </r>
  <r>
    <m/>
    <x v="85"/>
    <m/>
    <m/>
    <m/>
    <m/>
    <m/>
    <m/>
    <m/>
    <x v="21"/>
    <m/>
    <m/>
    <m/>
    <m/>
    <m/>
    <m/>
    <m/>
    <m/>
    <m/>
    <x v="16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88047E-11E0-4C6C-B10B-56B0C2BB6F5E}" name="PivotTable2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4:D34" firstHeaderRow="1" firstDataRow="2" firstDataCol="1" rowPageCount="2" colPageCount="1"/>
  <pivotFields count="21">
    <pivotField showAll="0"/>
    <pivotField axis="axisRow" showAll="0">
      <items count="87">
        <item x="67"/>
        <item x="68"/>
        <item x="35"/>
        <item x="36"/>
        <item x="37"/>
        <item x="69"/>
        <item x="43"/>
        <item x="60"/>
        <item x="38"/>
        <item x="44"/>
        <item x="45"/>
        <item x="46"/>
        <item x="47"/>
        <item x="48"/>
        <item x="61"/>
        <item x="49"/>
        <item x="50"/>
        <item x="51"/>
        <item x="39"/>
        <item x="52"/>
        <item x="53"/>
        <item x="54"/>
        <item x="55"/>
        <item x="56"/>
        <item x="40"/>
        <item x="57"/>
        <item x="63"/>
        <item x="58"/>
        <item x="65"/>
        <item x="41"/>
        <item x="62"/>
        <item x="42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66"/>
        <item x="59"/>
        <item x="9"/>
        <item x="24"/>
        <item x="0"/>
        <item x="25"/>
        <item x="1"/>
        <item x="26"/>
        <item x="27"/>
        <item x="2"/>
        <item x="28"/>
        <item x="29"/>
        <item x="8"/>
        <item x="3"/>
        <item x="30"/>
        <item x="4"/>
        <item x="5"/>
        <item x="64"/>
        <item x="10"/>
        <item x="6"/>
        <item x="31"/>
        <item x="32"/>
        <item x="7"/>
        <item x="33"/>
        <item x="34"/>
        <item x="70"/>
        <item x="71"/>
        <item x="72"/>
        <item x="85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Col" showAll="0">
      <items count="23">
        <item h="1" x="7"/>
        <item h="1" x="8"/>
        <item h="1" x="20"/>
        <item h="1" x="11"/>
        <item h="1" x="5"/>
        <item h="1" x="0"/>
        <item h="1" x="3"/>
        <item x="2"/>
        <item x="17"/>
        <item h="1" x="10"/>
        <item h="1" x="9"/>
        <item h="1" x="12"/>
        <item h="1" x="16"/>
        <item h="1" x="18"/>
        <item h="1" x="4"/>
        <item h="1" x="19"/>
        <item h="1" x="6"/>
        <item h="1" x="15"/>
        <item h="1" x="14"/>
        <item h="1" x="13"/>
        <item h="1" x="1"/>
        <item h="1" x="21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8">
        <item h="1" x="4"/>
        <item h="1" x="13"/>
        <item h="1" x="11"/>
        <item h="1" x="8"/>
        <item h="1" x="10"/>
        <item x="12"/>
        <item h="1" x="5"/>
        <item h="1" x="3"/>
        <item x="2"/>
        <item x="1"/>
        <item h="1" x="7"/>
        <item h="1" x="0"/>
        <item x="9"/>
        <item h="1" x="6"/>
        <item h="1" x="14"/>
        <item h="1" x="16"/>
        <item h="1" x="15"/>
        <item t="default"/>
      </items>
    </pivotField>
    <pivotField axis="axisPage" multipleItemSelectionAllowed="1" showAll="0">
      <items count="5">
        <item h="1" x="3"/>
        <item h="1" x="2"/>
        <item x="0"/>
        <item h="1" x="1"/>
        <item t="default"/>
      </items>
    </pivotField>
  </pivotFields>
  <rowFields count="1">
    <field x="1"/>
  </rowFields>
  <rowItems count="29">
    <i>
      <x v="49"/>
    </i>
    <i>
      <x v="52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9"/>
    </i>
    <i>
      <x v="70"/>
    </i>
    <i>
      <x v="71"/>
    </i>
    <i>
      <x v="72"/>
    </i>
    <i>
      <x v="74"/>
    </i>
    <i>
      <x v="75"/>
    </i>
    <i>
      <x v="76"/>
    </i>
    <i>
      <x v="77"/>
    </i>
    <i>
      <x v="78"/>
    </i>
    <i>
      <x v="79"/>
    </i>
    <i>
      <x v="80"/>
    </i>
    <i>
      <x v="84"/>
    </i>
    <i t="grand">
      <x/>
    </i>
  </rowItems>
  <colFields count="1">
    <field x="9"/>
  </colFields>
  <colItems count="3">
    <i>
      <x v="7"/>
    </i>
    <i>
      <x v="8"/>
    </i>
    <i t="grand">
      <x/>
    </i>
  </colItems>
  <pageFields count="2">
    <pageField fld="19" hier="-1"/>
    <pageField fld="20" hier="-1"/>
  </pageFields>
  <dataFields count="1">
    <dataField name="Count of ModuleID" fld="11" subtotal="count" baseField="0" baseItem="0"/>
  </dataFields>
  <chartFormats count="42"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2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2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2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2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2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2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3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3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3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" format="3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2"/>
          </reference>
        </references>
      </pivotArea>
    </chartFormat>
    <chartFormat chart="1" format="3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3"/>
          </reference>
        </references>
      </pivotArea>
    </chartFormat>
    <chartFormat chart="1" format="3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4"/>
          </reference>
        </references>
      </pivotArea>
    </chartFormat>
    <chartFormat chart="1" format="3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5"/>
          </reference>
        </references>
      </pivotArea>
    </chartFormat>
    <chartFormat chart="1" format="3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6"/>
          </reference>
        </references>
      </pivotArea>
    </chartFormat>
    <chartFormat chart="1" format="3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7"/>
          </reference>
        </references>
      </pivotArea>
    </chartFormat>
    <chartFormat chart="1" format="3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8"/>
          </reference>
        </references>
      </pivotArea>
    </chartFormat>
    <chartFormat chart="1" format="4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9"/>
          </reference>
        </references>
      </pivotArea>
    </chartFormat>
    <chartFormat chart="1" format="4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0"/>
          </reference>
        </references>
      </pivotArea>
    </chartFormat>
    <chartFormat chart="2" format="4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2" format="4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2" format="4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2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3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4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5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6"/>
          </reference>
        </references>
      </pivotArea>
    </chartFormat>
    <chartFormat chart="2" format="5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7"/>
          </reference>
        </references>
      </pivotArea>
    </chartFormat>
    <chartFormat chart="2" format="6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8"/>
          </reference>
        </references>
      </pivotArea>
    </chartFormat>
    <chartFormat chart="2" format="6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9"/>
          </reference>
        </references>
      </pivotArea>
    </chartFormat>
    <chartFormat chart="2" format="6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78FFB-A410-4A57-8888-A81EAC9A37FC}">
  <sheetPr codeName="Sheet3"/>
  <dimension ref="A1:D34"/>
  <sheetViews>
    <sheetView topLeftCell="A16" workbookViewId="0">
      <selection activeCell="C10" sqref="C10"/>
    </sheetView>
  </sheetViews>
  <sheetFormatPr defaultRowHeight="14.5"/>
  <cols>
    <col min="1" max="1" width="17" bestFit="1" customWidth="1"/>
    <col min="2" max="2" width="16.453125" bestFit="1" customWidth="1"/>
    <col min="3" max="3" width="5.08984375" bestFit="1" customWidth="1"/>
    <col min="4" max="4" width="10.7265625" bestFit="1" customWidth="1"/>
    <col min="5" max="5" width="5.36328125" bestFit="1" customWidth="1"/>
    <col min="6" max="7" width="5.08984375" bestFit="1" customWidth="1"/>
    <col min="8" max="8" width="5.26953125" bestFit="1" customWidth="1"/>
    <col min="9" max="9" width="5.36328125" bestFit="1" customWidth="1"/>
    <col min="10" max="10" width="5.08984375" bestFit="1" customWidth="1"/>
    <col min="11" max="11" width="10.7265625" bestFit="1" customWidth="1"/>
    <col min="12" max="12" width="5.36328125" bestFit="1" customWidth="1"/>
    <col min="13" max="13" width="5.08984375" bestFit="1" customWidth="1"/>
    <col min="14" max="14" width="6.26953125" bestFit="1" customWidth="1"/>
    <col min="15" max="15" width="5.26953125" bestFit="1" customWidth="1"/>
    <col min="16" max="16" width="5.36328125" bestFit="1" customWidth="1"/>
    <col min="17" max="19" width="5.08984375" bestFit="1" customWidth="1"/>
    <col min="20" max="20" width="7.08984375" bestFit="1" customWidth="1"/>
    <col min="21" max="21" width="2.90625" bestFit="1" customWidth="1"/>
    <col min="22" max="23" width="10.7265625" bestFit="1" customWidth="1"/>
  </cols>
  <sheetData>
    <row r="1" spans="1:4">
      <c r="A1" s="36" t="s">
        <v>19</v>
      </c>
      <c r="B1" t="s">
        <v>6211</v>
      </c>
    </row>
    <row r="2" spans="1:4">
      <c r="A2" s="36" t="s">
        <v>20</v>
      </c>
      <c r="B2" t="s">
        <v>960</v>
      </c>
    </row>
    <row r="4" spans="1:4">
      <c r="A4" s="36" t="s">
        <v>6210</v>
      </c>
      <c r="B4" s="36" t="s">
        <v>6209</v>
      </c>
    </row>
    <row r="5" spans="1:4">
      <c r="A5" s="36" t="s">
        <v>6207</v>
      </c>
      <c r="B5" t="s">
        <v>53</v>
      </c>
      <c r="C5" t="s">
        <v>66</v>
      </c>
      <c r="D5" t="s">
        <v>6208</v>
      </c>
    </row>
    <row r="6" spans="1:4">
      <c r="A6" s="26">
        <v>2118</v>
      </c>
      <c r="B6" s="37">
        <v>2</v>
      </c>
      <c r="C6" s="37"/>
      <c r="D6" s="37">
        <v>2</v>
      </c>
    </row>
    <row r="7" spans="1:4">
      <c r="A7" s="26">
        <v>2121</v>
      </c>
      <c r="B7" s="37"/>
      <c r="C7" s="37">
        <v>1</v>
      </c>
      <c r="D7" s="37">
        <v>1</v>
      </c>
    </row>
    <row r="8" spans="1:4">
      <c r="A8" s="26">
        <v>2123</v>
      </c>
      <c r="B8" s="37">
        <v>1</v>
      </c>
      <c r="C8" s="37"/>
      <c r="D8" s="37">
        <v>1</v>
      </c>
    </row>
    <row r="9" spans="1:4">
      <c r="A9" s="26">
        <v>2124</v>
      </c>
      <c r="B9" s="37">
        <v>1</v>
      </c>
      <c r="C9" s="37"/>
      <c r="D9" s="37">
        <v>1</v>
      </c>
    </row>
    <row r="10" spans="1:4">
      <c r="A10" s="26">
        <v>2125</v>
      </c>
      <c r="B10" s="37">
        <v>1</v>
      </c>
      <c r="C10" s="37"/>
      <c r="D10" s="37">
        <v>1</v>
      </c>
    </row>
    <row r="11" spans="1:4">
      <c r="A11" s="26">
        <v>2126</v>
      </c>
      <c r="B11" s="37"/>
      <c r="C11" s="37">
        <v>1</v>
      </c>
      <c r="D11" s="37">
        <v>1</v>
      </c>
    </row>
    <row r="12" spans="1:4">
      <c r="A12" s="26">
        <v>2127</v>
      </c>
      <c r="B12" s="37">
        <v>1</v>
      </c>
      <c r="C12" s="37">
        <v>1</v>
      </c>
      <c r="D12" s="37">
        <v>2</v>
      </c>
    </row>
    <row r="13" spans="1:4">
      <c r="A13" s="26">
        <v>2128</v>
      </c>
      <c r="B13" s="37">
        <v>1</v>
      </c>
      <c r="C13" s="37">
        <v>2</v>
      </c>
      <c r="D13" s="37">
        <v>3</v>
      </c>
    </row>
    <row r="14" spans="1:4">
      <c r="A14" s="26">
        <v>2129</v>
      </c>
      <c r="B14" s="37">
        <v>1</v>
      </c>
      <c r="C14" s="37">
        <v>1</v>
      </c>
      <c r="D14" s="37">
        <v>2</v>
      </c>
    </row>
    <row r="15" spans="1:4">
      <c r="A15" s="26">
        <v>2130</v>
      </c>
      <c r="B15" s="37">
        <v>2</v>
      </c>
      <c r="C15" s="37"/>
      <c r="D15" s="37">
        <v>2</v>
      </c>
    </row>
    <row r="16" spans="1:4">
      <c r="A16" s="26">
        <v>2131</v>
      </c>
      <c r="B16" s="37">
        <v>2</v>
      </c>
      <c r="C16" s="37"/>
      <c r="D16" s="37">
        <v>2</v>
      </c>
    </row>
    <row r="17" spans="1:4">
      <c r="A17" s="26">
        <v>2132</v>
      </c>
      <c r="B17" s="37">
        <v>1</v>
      </c>
      <c r="C17" s="37">
        <v>1</v>
      </c>
      <c r="D17" s="37">
        <v>2</v>
      </c>
    </row>
    <row r="18" spans="1:4">
      <c r="A18" s="26">
        <v>2133</v>
      </c>
      <c r="B18" s="37">
        <v>1</v>
      </c>
      <c r="C18" s="37">
        <v>6</v>
      </c>
      <c r="D18" s="37">
        <v>7</v>
      </c>
    </row>
    <row r="19" spans="1:4">
      <c r="A19" s="26">
        <v>2134</v>
      </c>
      <c r="B19" s="37">
        <v>5</v>
      </c>
      <c r="C19" s="37"/>
      <c r="D19" s="37">
        <v>5</v>
      </c>
    </row>
    <row r="20" spans="1:4">
      <c r="A20" s="26">
        <v>2135</v>
      </c>
      <c r="B20" s="37"/>
      <c r="C20" s="37">
        <v>1</v>
      </c>
      <c r="D20" s="37">
        <v>1</v>
      </c>
    </row>
    <row r="21" spans="1:4">
      <c r="A21" s="26" t="s">
        <v>21</v>
      </c>
      <c r="B21" s="37">
        <v>1</v>
      </c>
      <c r="C21" s="37"/>
      <c r="D21" s="37">
        <v>1</v>
      </c>
    </row>
    <row r="22" spans="1:4">
      <c r="A22" s="26">
        <v>2137</v>
      </c>
      <c r="B22" s="37">
        <v>6</v>
      </c>
      <c r="C22" s="37">
        <v>3</v>
      </c>
      <c r="D22" s="37">
        <v>9</v>
      </c>
    </row>
    <row r="23" spans="1:4">
      <c r="A23" s="26">
        <v>2138</v>
      </c>
      <c r="B23" s="37">
        <v>7</v>
      </c>
      <c r="C23" s="37">
        <v>1</v>
      </c>
      <c r="D23" s="37">
        <v>8</v>
      </c>
    </row>
    <row r="24" spans="1:4">
      <c r="A24" s="26">
        <v>2139</v>
      </c>
      <c r="B24" s="37">
        <v>7</v>
      </c>
      <c r="C24" s="37">
        <v>1</v>
      </c>
      <c r="D24" s="37">
        <v>8</v>
      </c>
    </row>
    <row r="25" spans="1:4">
      <c r="A25" s="26">
        <v>2140</v>
      </c>
      <c r="B25" s="37">
        <v>2</v>
      </c>
      <c r="C25" s="37">
        <v>2</v>
      </c>
      <c r="D25" s="37">
        <v>4</v>
      </c>
    </row>
    <row r="26" spans="1:4">
      <c r="A26" s="26">
        <v>2141</v>
      </c>
      <c r="B26" s="37">
        <v>9</v>
      </c>
      <c r="C26" s="37">
        <v>1</v>
      </c>
      <c r="D26" s="37">
        <v>10</v>
      </c>
    </row>
    <row r="27" spans="1:4">
      <c r="A27" s="26">
        <v>2142</v>
      </c>
      <c r="B27" s="37">
        <v>4</v>
      </c>
      <c r="C27" s="37">
        <v>1</v>
      </c>
      <c r="D27" s="37">
        <v>5</v>
      </c>
    </row>
    <row r="28" spans="1:4">
      <c r="A28" s="26">
        <v>2143</v>
      </c>
      <c r="B28" s="37">
        <v>3</v>
      </c>
      <c r="C28" s="37">
        <v>3</v>
      </c>
      <c r="D28" s="37">
        <v>6</v>
      </c>
    </row>
    <row r="29" spans="1:4">
      <c r="A29" s="26">
        <v>2144</v>
      </c>
      <c r="B29" s="37"/>
      <c r="C29" s="37">
        <v>1</v>
      </c>
      <c r="D29" s="37">
        <v>1</v>
      </c>
    </row>
    <row r="30" spans="1:4">
      <c r="A30" s="26">
        <v>2145</v>
      </c>
      <c r="B30" s="37">
        <v>1</v>
      </c>
      <c r="C30" s="37"/>
      <c r="D30" s="37">
        <v>1</v>
      </c>
    </row>
    <row r="31" spans="1:4">
      <c r="A31" s="26">
        <v>2146</v>
      </c>
      <c r="B31" s="37">
        <v>1</v>
      </c>
      <c r="C31" s="37">
        <v>1</v>
      </c>
      <c r="D31" s="37">
        <v>2</v>
      </c>
    </row>
    <row r="32" spans="1:4">
      <c r="A32" s="26">
        <v>2147</v>
      </c>
      <c r="B32" s="37">
        <v>2</v>
      </c>
      <c r="C32" s="37"/>
      <c r="D32" s="37">
        <v>2</v>
      </c>
    </row>
    <row r="33" spans="1:4">
      <c r="A33" s="26">
        <v>2151</v>
      </c>
      <c r="B33" s="37"/>
      <c r="C33" s="37">
        <v>1</v>
      </c>
      <c r="D33" s="37">
        <v>1</v>
      </c>
    </row>
    <row r="34" spans="1:4">
      <c r="A34" s="26" t="s">
        <v>6208</v>
      </c>
      <c r="B34" s="37">
        <v>62</v>
      </c>
      <c r="C34" s="37">
        <v>29</v>
      </c>
      <c r="D34" s="37">
        <v>91</v>
      </c>
    </row>
  </sheetData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067"/>
  <sheetViews>
    <sheetView topLeftCell="B1" zoomScale="85" zoomScaleNormal="85" workbookViewId="0">
      <selection activeCell="R11" sqref="R11"/>
    </sheetView>
  </sheetViews>
  <sheetFormatPr defaultRowHeight="14.5"/>
  <cols>
    <col min="1" max="1" width="4.08984375" bestFit="1" customWidth="1"/>
    <col min="2" max="2" width="16" bestFit="1" customWidth="1"/>
    <col min="3" max="3" width="12.08984375" bestFit="1" customWidth="1"/>
    <col min="4" max="4" width="10" bestFit="1" customWidth="1"/>
    <col min="5" max="5" width="18.1796875" bestFit="1" customWidth="1"/>
    <col min="6" max="6" width="15.08984375" bestFit="1" customWidth="1"/>
    <col min="7" max="7" width="7.90625" bestFit="1" customWidth="1"/>
    <col min="8" max="8" width="10" bestFit="1" customWidth="1"/>
    <col min="9" max="9" width="8.26953125" bestFit="1" customWidth="1"/>
    <col min="11" max="11" width="23.7265625" hidden="1" customWidth="1"/>
    <col min="12" max="12" width="40.453125" hidden="1" customWidth="1"/>
    <col min="13" max="13" width="10.90625" hidden="1" customWidth="1"/>
    <col min="14" max="14" width="13.453125" hidden="1" customWidth="1"/>
    <col min="15" max="15" width="5.26953125" bestFit="1" customWidth="1"/>
    <col min="16" max="16" width="10.26953125" bestFit="1" customWidth="1"/>
    <col min="17" max="17" width="6.26953125" bestFit="1" customWidth="1"/>
    <col min="18" max="19" width="22.90625" bestFit="1" customWidth="1"/>
    <col min="20" max="20" width="10.453125" bestFit="1" customWidth="1"/>
    <col min="21" max="21" width="8.08984375" bestFit="1" customWidth="1"/>
    <col min="22" max="29" width="16.26953125" style="28" hidden="1" customWidth="1"/>
    <col min="30" max="30" width="15.08984375" customWidth="1"/>
  </cols>
  <sheetData>
    <row r="1" spans="1:2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27" t="s">
        <v>1015</v>
      </c>
      <c r="W1" s="27" t="s">
        <v>1017</v>
      </c>
      <c r="X1" s="29" t="s">
        <v>1638</v>
      </c>
      <c r="Y1" s="29" t="s">
        <v>1639</v>
      </c>
      <c r="Z1" s="29" t="s">
        <v>1640</v>
      </c>
      <c r="AA1" s="29" t="s">
        <v>1641</v>
      </c>
      <c r="AB1" s="29" t="s">
        <v>1646</v>
      </c>
      <c r="AC1" s="29" t="s">
        <v>1647</v>
      </c>
    </row>
    <row r="2" spans="1:29">
      <c r="A2">
        <v>1</v>
      </c>
      <c r="B2">
        <v>2118</v>
      </c>
      <c r="C2">
        <v>2118</v>
      </c>
      <c r="D2" t="s">
        <v>21</v>
      </c>
      <c r="E2" s="22">
        <v>44322</v>
      </c>
      <c r="F2" s="23">
        <v>44322</v>
      </c>
      <c r="G2" t="s">
        <v>24</v>
      </c>
      <c r="H2" t="s">
        <v>28</v>
      </c>
      <c r="I2" t="s">
        <v>21</v>
      </c>
      <c r="J2" t="s">
        <v>52</v>
      </c>
      <c r="K2" t="s">
        <v>71</v>
      </c>
      <c r="L2" t="s">
        <v>112</v>
      </c>
      <c r="M2">
        <v>2112</v>
      </c>
      <c r="N2" t="s">
        <v>805</v>
      </c>
      <c r="O2" t="s">
        <v>865</v>
      </c>
      <c r="P2" t="s">
        <v>21</v>
      </c>
      <c r="Q2" t="s">
        <v>21</v>
      </c>
      <c r="R2" t="s">
        <v>867</v>
      </c>
      <c r="S2" t="s">
        <v>867</v>
      </c>
      <c r="T2" t="s">
        <v>948</v>
      </c>
      <c r="U2" t="s">
        <v>960</v>
      </c>
      <c r="V2" s="28" t="s">
        <v>1061</v>
      </c>
      <c r="W2" s="28" t="s">
        <v>1062</v>
      </c>
      <c r="X2" s="28" t="s">
        <v>1651</v>
      </c>
      <c r="Y2" s="28" t="s">
        <v>1652</v>
      </c>
      <c r="Z2" s="28" t="s">
        <v>1653</v>
      </c>
      <c r="AA2" s="28" t="s">
        <v>1654</v>
      </c>
      <c r="AB2" s="28" t="s">
        <v>1655</v>
      </c>
      <c r="AC2" s="28" t="s">
        <v>1656</v>
      </c>
    </row>
    <row r="3" spans="1:29">
      <c r="A3">
        <v>2</v>
      </c>
      <c r="B3">
        <v>2120</v>
      </c>
      <c r="C3">
        <v>2120</v>
      </c>
      <c r="D3" t="s">
        <v>21</v>
      </c>
      <c r="E3" s="22">
        <v>44335</v>
      </c>
      <c r="F3" s="23">
        <v>44335</v>
      </c>
      <c r="G3" t="s">
        <v>24</v>
      </c>
      <c r="H3" t="s">
        <v>28</v>
      </c>
      <c r="I3" t="s">
        <v>21</v>
      </c>
      <c r="J3" t="s">
        <v>52</v>
      </c>
      <c r="K3" t="s">
        <v>71</v>
      </c>
      <c r="L3" t="s">
        <v>113</v>
      </c>
      <c r="M3">
        <v>2102</v>
      </c>
      <c r="N3" t="s">
        <v>805</v>
      </c>
      <c r="O3" t="s">
        <v>865</v>
      </c>
      <c r="P3" t="s">
        <v>21</v>
      </c>
      <c r="Q3" t="s">
        <v>21</v>
      </c>
      <c r="R3" t="s">
        <v>868</v>
      </c>
      <c r="S3" t="s">
        <v>868</v>
      </c>
      <c r="T3" t="s">
        <v>891</v>
      </c>
      <c r="U3" t="s">
        <v>960</v>
      </c>
      <c r="V3" s="28" t="s">
        <v>1063</v>
      </c>
      <c r="W3" s="28" t="s">
        <v>1064</v>
      </c>
      <c r="X3" s="28" t="s">
        <v>1657</v>
      </c>
      <c r="Y3" s="28" t="s">
        <v>1658</v>
      </c>
      <c r="Z3" s="28" t="s">
        <v>1659</v>
      </c>
      <c r="AA3" s="28" t="s">
        <v>1660</v>
      </c>
      <c r="AB3" s="28" t="s">
        <v>1661</v>
      </c>
      <c r="AC3" s="28" t="s">
        <v>1662</v>
      </c>
    </row>
    <row r="4" spans="1:29">
      <c r="A4">
        <v>3</v>
      </c>
      <c r="B4">
        <v>2123</v>
      </c>
      <c r="C4">
        <v>2123</v>
      </c>
      <c r="D4" t="s">
        <v>21</v>
      </c>
      <c r="E4" s="22">
        <v>44358</v>
      </c>
      <c r="F4" s="23">
        <v>44358</v>
      </c>
      <c r="G4" t="s">
        <v>24</v>
      </c>
      <c r="H4" t="s">
        <v>28</v>
      </c>
      <c r="I4" t="s">
        <v>21</v>
      </c>
      <c r="J4" t="s">
        <v>52</v>
      </c>
      <c r="K4" t="s">
        <v>71</v>
      </c>
      <c r="L4" t="s">
        <v>114</v>
      </c>
      <c r="M4">
        <v>2115</v>
      </c>
      <c r="N4" t="s">
        <v>805</v>
      </c>
      <c r="O4" t="s">
        <v>865</v>
      </c>
      <c r="P4" t="s">
        <v>21</v>
      </c>
      <c r="Q4" t="s">
        <v>21</v>
      </c>
      <c r="R4" t="s">
        <v>868</v>
      </c>
      <c r="S4" t="s">
        <v>868</v>
      </c>
      <c r="T4" t="s">
        <v>891</v>
      </c>
      <c r="U4" t="s">
        <v>960</v>
      </c>
      <c r="V4" s="28" t="s">
        <v>1065</v>
      </c>
      <c r="W4" s="28" t="s">
        <v>1066</v>
      </c>
      <c r="X4" s="28" t="s">
        <v>1663</v>
      </c>
      <c r="Y4" s="28" t="s">
        <v>1664</v>
      </c>
      <c r="Z4" s="28" t="s">
        <v>1665</v>
      </c>
      <c r="AA4" s="28" t="s">
        <v>1666</v>
      </c>
      <c r="AB4" s="28" t="s">
        <v>1667</v>
      </c>
      <c r="AC4" s="28" t="s">
        <v>1668</v>
      </c>
    </row>
    <row r="5" spans="1:29">
      <c r="A5">
        <v>4</v>
      </c>
      <c r="B5">
        <v>2123</v>
      </c>
      <c r="C5">
        <v>2123</v>
      </c>
      <c r="D5" t="s">
        <v>21</v>
      </c>
      <c r="E5" s="22">
        <v>44358</v>
      </c>
      <c r="F5" s="23">
        <v>44358</v>
      </c>
      <c r="G5" t="s">
        <v>24</v>
      </c>
      <c r="H5" t="s">
        <v>28</v>
      </c>
      <c r="I5" t="s">
        <v>21</v>
      </c>
      <c r="J5" t="s">
        <v>52</v>
      </c>
      <c r="K5" t="s">
        <v>71</v>
      </c>
      <c r="L5" t="s">
        <v>115</v>
      </c>
      <c r="M5">
        <v>2115</v>
      </c>
      <c r="N5" t="s">
        <v>805</v>
      </c>
      <c r="O5" t="s">
        <v>865</v>
      </c>
      <c r="P5" t="s">
        <v>21</v>
      </c>
      <c r="Q5" t="s">
        <v>21</v>
      </c>
      <c r="R5" t="s">
        <v>869</v>
      </c>
      <c r="S5" t="s">
        <v>869</v>
      </c>
      <c r="T5" t="s">
        <v>28</v>
      </c>
      <c r="U5" t="s">
        <v>960</v>
      </c>
      <c r="V5" s="28" t="s">
        <v>1067</v>
      </c>
      <c r="W5" s="28" t="s">
        <v>1068</v>
      </c>
      <c r="X5" s="28" t="s">
        <v>1669</v>
      </c>
      <c r="Y5" s="28" t="s">
        <v>1670</v>
      </c>
      <c r="Z5" s="28" t="s">
        <v>1671</v>
      </c>
      <c r="AA5" s="28" t="s">
        <v>1672</v>
      </c>
      <c r="AB5" s="28" t="s">
        <v>1673</v>
      </c>
      <c r="AC5" s="28" t="s">
        <v>1674</v>
      </c>
    </row>
    <row r="6" spans="1:29">
      <c r="A6">
        <v>5</v>
      </c>
      <c r="B6">
        <v>2127</v>
      </c>
      <c r="C6">
        <v>2127</v>
      </c>
      <c r="D6" t="s">
        <v>21</v>
      </c>
      <c r="E6" s="22">
        <v>44386</v>
      </c>
      <c r="F6" s="23">
        <v>44386</v>
      </c>
      <c r="G6" t="s">
        <v>24</v>
      </c>
      <c r="H6" t="s">
        <v>28</v>
      </c>
      <c r="I6" t="s">
        <v>21</v>
      </c>
      <c r="J6" t="s">
        <v>52</v>
      </c>
      <c r="K6" t="s">
        <v>71</v>
      </c>
      <c r="L6" t="s">
        <v>116</v>
      </c>
      <c r="M6">
        <v>2117</v>
      </c>
      <c r="N6" t="s">
        <v>805</v>
      </c>
      <c r="O6" t="s">
        <v>865</v>
      </c>
      <c r="P6" t="s">
        <v>21</v>
      </c>
      <c r="Q6" t="s">
        <v>21</v>
      </c>
      <c r="R6" t="s">
        <v>870</v>
      </c>
      <c r="S6" t="s">
        <v>870</v>
      </c>
      <c r="T6" t="s">
        <v>949</v>
      </c>
      <c r="U6" t="s">
        <v>960</v>
      </c>
      <c r="V6" s="28" t="s">
        <v>1069</v>
      </c>
      <c r="W6" s="28" t="s">
        <v>1070</v>
      </c>
      <c r="X6" s="28" t="s">
        <v>1675</v>
      </c>
      <c r="Y6" s="28" t="s">
        <v>1676</v>
      </c>
      <c r="Z6" s="28" t="s">
        <v>1677</v>
      </c>
      <c r="AA6" s="28" t="s">
        <v>1678</v>
      </c>
      <c r="AB6" s="28" t="s">
        <v>1679</v>
      </c>
      <c r="AC6" s="28" t="s">
        <v>1680</v>
      </c>
    </row>
    <row r="7" spans="1:29">
      <c r="A7">
        <v>6</v>
      </c>
      <c r="B7">
        <v>2129</v>
      </c>
      <c r="C7">
        <v>2129</v>
      </c>
      <c r="D7" t="s">
        <v>21</v>
      </c>
      <c r="E7" s="22">
        <v>44396</v>
      </c>
      <c r="F7" s="23">
        <v>44396</v>
      </c>
      <c r="G7" t="s">
        <v>24</v>
      </c>
      <c r="H7" t="s">
        <v>28</v>
      </c>
      <c r="I7" t="s">
        <v>21</v>
      </c>
      <c r="J7" t="s">
        <v>52</v>
      </c>
      <c r="K7" t="s">
        <v>71</v>
      </c>
      <c r="L7" t="s">
        <v>117</v>
      </c>
      <c r="M7">
        <v>2123</v>
      </c>
      <c r="N7" t="s">
        <v>805</v>
      </c>
      <c r="O7" t="s">
        <v>865</v>
      </c>
      <c r="P7" t="s">
        <v>21</v>
      </c>
      <c r="Q7" t="s">
        <v>21</v>
      </c>
      <c r="R7" t="s">
        <v>868</v>
      </c>
      <c r="S7" t="s">
        <v>868</v>
      </c>
      <c r="T7" t="s">
        <v>891</v>
      </c>
      <c r="U7" t="s">
        <v>960</v>
      </c>
      <c r="V7" s="28" t="s">
        <v>1071</v>
      </c>
      <c r="W7" s="28" t="s">
        <v>1072</v>
      </c>
      <c r="X7" s="28" t="s">
        <v>1681</v>
      </c>
      <c r="Y7" s="28" t="s">
        <v>1682</v>
      </c>
      <c r="Z7" s="28" t="s">
        <v>1683</v>
      </c>
      <c r="AA7" s="28" t="s">
        <v>1684</v>
      </c>
      <c r="AB7" s="28" t="s">
        <v>1685</v>
      </c>
      <c r="AC7" s="28" t="s">
        <v>1686</v>
      </c>
    </row>
    <row r="8" spans="1:29">
      <c r="A8">
        <v>7</v>
      </c>
      <c r="B8">
        <v>2130</v>
      </c>
      <c r="C8">
        <v>2130</v>
      </c>
      <c r="D8" t="s">
        <v>21</v>
      </c>
      <c r="E8" s="22">
        <v>44406</v>
      </c>
      <c r="F8" s="23">
        <v>44406</v>
      </c>
      <c r="G8" t="s">
        <v>24</v>
      </c>
      <c r="H8" t="s">
        <v>28</v>
      </c>
      <c r="I8" t="s">
        <v>21</v>
      </c>
      <c r="J8" t="s">
        <v>52</v>
      </c>
      <c r="K8" t="s">
        <v>71</v>
      </c>
      <c r="L8" t="s">
        <v>1026</v>
      </c>
      <c r="M8">
        <v>2123</v>
      </c>
      <c r="N8" t="s">
        <v>805</v>
      </c>
      <c r="O8" t="s">
        <v>865</v>
      </c>
      <c r="P8" t="s">
        <v>21</v>
      </c>
      <c r="Q8" t="s">
        <v>21</v>
      </c>
      <c r="R8" t="s">
        <v>868</v>
      </c>
      <c r="S8" t="s">
        <v>868</v>
      </c>
      <c r="T8" t="s">
        <v>891</v>
      </c>
      <c r="U8" t="s">
        <v>960</v>
      </c>
      <c r="V8" s="28" t="s">
        <v>1073</v>
      </c>
      <c r="W8" s="28" t="s">
        <v>1072</v>
      </c>
      <c r="X8" s="28" t="s">
        <v>1687</v>
      </c>
      <c r="Y8" s="28" t="s">
        <v>1682</v>
      </c>
      <c r="Z8" s="28" t="s">
        <v>1688</v>
      </c>
      <c r="AA8" s="28" t="s">
        <v>1684</v>
      </c>
      <c r="AB8" s="28" t="s">
        <v>1689</v>
      </c>
      <c r="AC8" s="28" t="s">
        <v>1686</v>
      </c>
    </row>
    <row r="9" spans="1:29">
      <c r="A9">
        <v>8</v>
      </c>
      <c r="B9">
        <v>2133</v>
      </c>
      <c r="C9">
        <v>2133</v>
      </c>
      <c r="D9" t="s">
        <v>21</v>
      </c>
      <c r="E9" s="22">
        <v>44427</v>
      </c>
      <c r="F9" s="23">
        <v>44427</v>
      </c>
      <c r="G9" t="s">
        <v>24</v>
      </c>
      <c r="H9" t="s">
        <v>28</v>
      </c>
      <c r="I9" t="s">
        <v>21</v>
      </c>
      <c r="J9" t="s">
        <v>52</v>
      </c>
      <c r="K9" t="s">
        <v>71</v>
      </c>
      <c r="L9" t="s">
        <v>1027</v>
      </c>
      <c r="M9">
        <v>2125</v>
      </c>
      <c r="N9" t="s">
        <v>805</v>
      </c>
      <c r="O9" t="s">
        <v>865</v>
      </c>
      <c r="P9" t="s">
        <v>21</v>
      </c>
      <c r="Q9" t="s">
        <v>21</v>
      </c>
      <c r="R9" t="s">
        <v>867</v>
      </c>
      <c r="S9" t="s">
        <v>867</v>
      </c>
      <c r="T9" t="s">
        <v>948</v>
      </c>
      <c r="U9" t="s">
        <v>960</v>
      </c>
      <c r="V9" s="28" t="s">
        <v>1074</v>
      </c>
      <c r="W9" s="28" t="s">
        <v>1075</v>
      </c>
      <c r="X9" s="28" t="s">
        <v>1690</v>
      </c>
      <c r="Y9" s="28" t="s">
        <v>1691</v>
      </c>
      <c r="Z9" s="28" t="s">
        <v>1692</v>
      </c>
      <c r="AA9" s="28" t="s">
        <v>1693</v>
      </c>
      <c r="AB9" s="28" t="s">
        <v>1694</v>
      </c>
      <c r="AC9" s="28" t="s">
        <v>1695</v>
      </c>
    </row>
    <row r="10" spans="1:29">
      <c r="A10">
        <v>9</v>
      </c>
      <c r="B10">
        <v>2133</v>
      </c>
      <c r="C10">
        <v>2133</v>
      </c>
      <c r="D10" t="s">
        <v>21</v>
      </c>
      <c r="E10" s="22">
        <v>44427</v>
      </c>
      <c r="F10" s="23">
        <v>44427</v>
      </c>
      <c r="G10" t="s">
        <v>24</v>
      </c>
      <c r="H10" t="s">
        <v>28</v>
      </c>
      <c r="I10" t="s">
        <v>21</v>
      </c>
      <c r="J10" t="s">
        <v>52</v>
      </c>
      <c r="K10" t="s">
        <v>71</v>
      </c>
      <c r="L10" t="s">
        <v>1028</v>
      </c>
      <c r="M10">
        <v>2126</v>
      </c>
      <c r="N10" t="s">
        <v>805</v>
      </c>
      <c r="O10" t="s">
        <v>865</v>
      </c>
      <c r="P10" t="s">
        <v>21</v>
      </c>
      <c r="Q10" t="s">
        <v>21</v>
      </c>
      <c r="R10" t="s">
        <v>867</v>
      </c>
      <c r="S10" t="s">
        <v>867</v>
      </c>
      <c r="T10" t="s">
        <v>948</v>
      </c>
      <c r="U10" t="s">
        <v>960</v>
      </c>
      <c r="V10" s="28" t="s">
        <v>1074</v>
      </c>
      <c r="W10" s="28" t="s">
        <v>1075</v>
      </c>
      <c r="X10" s="28" t="s">
        <v>1690</v>
      </c>
      <c r="Y10" s="28" t="s">
        <v>1691</v>
      </c>
      <c r="Z10" s="28" t="s">
        <v>1692</v>
      </c>
      <c r="AA10" s="28" t="s">
        <v>1693</v>
      </c>
      <c r="AB10" s="28" t="s">
        <v>1694</v>
      </c>
      <c r="AC10" s="28" t="s">
        <v>1695</v>
      </c>
    </row>
    <row r="11" spans="1:29">
      <c r="A11">
        <v>10</v>
      </c>
      <c r="B11">
        <v>2133</v>
      </c>
      <c r="C11">
        <v>2133</v>
      </c>
      <c r="D11" t="s">
        <v>21</v>
      </c>
      <c r="E11" s="22">
        <v>44427</v>
      </c>
      <c r="F11" s="23">
        <v>44427</v>
      </c>
      <c r="G11" t="s">
        <v>24</v>
      </c>
      <c r="H11" t="s">
        <v>28</v>
      </c>
      <c r="I11" t="s">
        <v>21</v>
      </c>
      <c r="J11" t="s">
        <v>52</v>
      </c>
      <c r="K11" t="s">
        <v>71</v>
      </c>
      <c r="L11" t="s">
        <v>1029</v>
      </c>
      <c r="M11">
        <v>2127</v>
      </c>
      <c r="N11" t="s">
        <v>805</v>
      </c>
      <c r="O11" t="s">
        <v>865</v>
      </c>
      <c r="P11" t="s">
        <v>21</v>
      </c>
      <c r="Q11" t="s">
        <v>21</v>
      </c>
      <c r="R11" t="s">
        <v>936</v>
      </c>
      <c r="S11" t="s">
        <v>936</v>
      </c>
      <c r="T11" t="s">
        <v>948</v>
      </c>
      <c r="U11" t="s">
        <v>960</v>
      </c>
      <c r="V11" s="28" t="s">
        <v>1074</v>
      </c>
      <c r="W11" s="28" t="s">
        <v>1075</v>
      </c>
      <c r="X11" s="28" t="s">
        <v>1690</v>
      </c>
      <c r="Y11" s="28" t="s">
        <v>1691</v>
      </c>
      <c r="Z11" s="28" t="s">
        <v>1692</v>
      </c>
      <c r="AA11" s="28" t="s">
        <v>1693</v>
      </c>
      <c r="AB11" s="28" t="s">
        <v>1694</v>
      </c>
      <c r="AC11" s="28" t="s">
        <v>1695</v>
      </c>
    </row>
    <row r="12" spans="1:29">
      <c r="A12">
        <v>11</v>
      </c>
      <c r="B12" t="s">
        <v>21</v>
      </c>
      <c r="C12" t="s">
        <v>21</v>
      </c>
      <c r="D12" t="s">
        <v>21</v>
      </c>
      <c r="E12" s="22" t="s">
        <v>6055</v>
      </c>
      <c r="F12" s="23" t="s">
        <v>6055</v>
      </c>
      <c r="G12" t="s">
        <v>21</v>
      </c>
      <c r="H12" t="s">
        <v>21</v>
      </c>
      <c r="I12" t="s">
        <v>21</v>
      </c>
      <c r="J12" t="s">
        <v>21</v>
      </c>
      <c r="K12" t="s">
        <v>21</v>
      </c>
      <c r="L12" t="s">
        <v>21</v>
      </c>
      <c r="M12" t="s">
        <v>21</v>
      </c>
      <c r="N12" t="s">
        <v>21</v>
      </c>
      <c r="O12" t="s">
        <v>21</v>
      </c>
      <c r="P12" t="s">
        <v>21</v>
      </c>
      <c r="Q12" t="s">
        <v>21</v>
      </c>
      <c r="R12" t="s">
        <v>21</v>
      </c>
      <c r="S12" t="s">
        <v>21</v>
      </c>
      <c r="T12" t="s">
        <v>958</v>
      </c>
    </row>
    <row r="13" spans="1:29">
      <c r="A13">
        <v>1</v>
      </c>
      <c r="B13">
        <v>2126</v>
      </c>
      <c r="C13">
        <v>2126</v>
      </c>
      <c r="D13" t="s">
        <v>21</v>
      </c>
      <c r="E13" s="22">
        <v>44378</v>
      </c>
      <c r="F13" s="23">
        <v>44378</v>
      </c>
      <c r="G13" t="s">
        <v>24</v>
      </c>
      <c r="H13" t="s">
        <v>28</v>
      </c>
      <c r="I13" t="s">
        <v>21</v>
      </c>
      <c r="J13" t="s">
        <v>53</v>
      </c>
      <c r="K13" t="s">
        <v>72</v>
      </c>
      <c r="L13" t="s">
        <v>118</v>
      </c>
      <c r="M13">
        <v>2120</v>
      </c>
      <c r="N13" t="s">
        <v>806</v>
      </c>
      <c r="O13" t="s">
        <v>865</v>
      </c>
      <c r="P13" t="s">
        <v>21</v>
      </c>
      <c r="Q13" t="s">
        <v>21</v>
      </c>
      <c r="R13" t="s">
        <v>867</v>
      </c>
      <c r="S13" t="s">
        <v>867</v>
      </c>
      <c r="T13" t="s">
        <v>948</v>
      </c>
      <c r="U13" t="s">
        <v>960</v>
      </c>
      <c r="V13" s="28" t="s">
        <v>1076</v>
      </c>
      <c r="W13" s="28" t="s">
        <v>1077</v>
      </c>
      <c r="X13" s="28" t="s">
        <v>1696</v>
      </c>
      <c r="Y13" s="28" t="s">
        <v>1697</v>
      </c>
      <c r="Z13" s="28" t="s">
        <v>1698</v>
      </c>
      <c r="AA13" s="28" t="s">
        <v>1699</v>
      </c>
      <c r="AB13" s="28" t="s">
        <v>1700</v>
      </c>
      <c r="AC13" s="28" t="s">
        <v>1701</v>
      </c>
    </row>
    <row r="14" spans="1:29">
      <c r="A14">
        <v>1</v>
      </c>
      <c r="B14">
        <v>2116</v>
      </c>
      <c r="C14">
        <v>2116</v>
      </c>
      <c r="D14" t="s">
        <v>21</v>
      </c>
      <c r="E14" s="22">
        <v>44306</v>
      </c>
      <c r="F14" s="23">
        <v>44306</v>
      </c>
      <c r="G14" t="s">
        <v>25</v>
      </c>
      <c r="H14" t="s">
        <v>29</v>
      </c>
      <c r="I14" t="s">
        <v>29</v>
      </c>
      <c r="J14" t="s">
        <v>54</v>
      </c>
      <c r="K14" t="s">
        <v>73</v>
      </c>
      <c r="L14" t="s">
        <v>119</v>
      </c>
      <c r="M14">
        <v>2108</v>
      </c>
      <c r="N14" t="s">
        <v>807</v>
      </c>
      <c r="O14" t="s">
        <v>865</v>
      </c>
      <c r="P14" t="s">
        <v>21</v>
      </c>
      <c r="Q14" t="s">
        <v>21</v>
      </c>
      <c r="R14" t="s">
        <v>871</v>
      </c>
      <c r="S14" t="s">
        <v>891</v>
      </c>
      <c r="T14" t="s">
        <v>891</v>
      </c>
      <c r="U14" t="s">
        <v>960</v>
      </c>
      <c r="V14" s="28" t="s">
        <v>1051</v>
      </c>
      <c r="W14" s="28" t="s">
        <v>1045</v>
      </c>
      <c r="X14" s="28" t="s">
        <v>1702</v>
      </c>
      <c r="Y14" s="28" t="s">
        <v>1703</v>
      </c>
      <c r="Z14" s="28" t="s">
        <v>1704</v>
      </c>
      <c r="AA14" s="28" t="s">
        <v>1705</v>
      </c>
      <c r="AB14" s="28" t="s">
        <v>1706</v>
      </c>
      <c r="AC14" s="28" t="s">
        <v>1707</v>
      </c>
    </row>
    <row r="15" spans="1:29">
      <c r="A15">
        <v>2</v>
      </c>
      <c r="B15">
        <v>2116</v>
      </c>
      <c r="C15">
        <v>2116</v>
      </c>
      <c r="D15" t="s">
        <v>21</v>
      </c>
      <c r="E15" s="22">
        <v>44306</v>
      </c>
      <c r="F15" s="23">
        <v>44306</v>
      </c>
      <c r="G15" t="s">
        <v>25</v>
      </c>
      <c r="H15" t="s">
        <v>29</v>
      </c>
      <c r="I15" t="s">
        <v>29</v>
      </c>
      <c r="J15" t="s">
        <v>54</v>
      </c>
      <c r="K15" t="s">
        <v>73</v>
      </c>
      <c r="L15" t="s">
        <v>120</v>
      </c>
      <c r="M15">
        <v>2111</v>
      </c>
      <c r="N15" t="s">
        <v>807</v>
      </c>
      <c r="O15" t="s">
        <v>865</v>
      </c>
      <c r="P15" t="s">
        <v>21</v>
      </c>
      <c r="Q15" t="s">
        <v>21</v>
      </c>
      <c r="R15" t="s">
        <v>871</v>
      </c>
      <c r="S15" t="s">
        <v>891</v>
      </c>
      <c r="T15" t="s">
        <v>891</v>
      </c>
      <c r="U15" t="s">
        <v>960</v>
      </c>
      <c r="V15" s="28" t="s">
        <v>1051</v>
      </c>
      <c r="W15" s="28" t="s">
        <v>1045</v>
      </c>
      <c r="X15" s="28" t="s">
        <v>1702</v>
      </c>
      <c r="Y15" s="28" t="s">
        <v>1703</v>
      </c>
      <c r="Z15" s="28" t="s">
        <v>1704</v>
      </c>
      <c r="AA15" s="28" t="s">
        <v>1705</v>
      </c>
      <c r="AB15" s="28" t="s">
        <v>1706</v>
      </c>
      <c r="AC15" s="28" t="s">
        <v>1707</v>
      </c>
    </row>
    <row r="16" spans="1:29">
      <c r="A16">
        <v>3</v>
      </c>
      <c r="B16">
        <v>2116</v>
      </c>
      <c r="C16">
        <v>2116</v>
      </c>
      <c r="D16" t="s">
        <v>21</v>
      </c>
      <c r="E16" s="22">
        <v>44306</v>
      </c>
      <c r="F16" s="23">
        <v>44306</v>
      </c>
      <c r="G16" t="s">
        <v>25</v>
      </c>
      <c r="H16" t="s">
        <v>29</v>
      </c>
      <c r="I16" t="s">
        <v>29</v>
      </c>
      <c r="J16" t="s">
        <v>54</v>
      </c>
      <c r="K16" t="s">
        <v>73</v>
      </c>
      <c r="L16" t="s">
        <v>121</v>
      </c>
      <c r="M16">
        <v>2111</v>
      </c>
      <c r="N16" t="s">
        <v>807</v>
      </c>
      <c r="O16" t="s">
        <v>865</v>
      </c>
      <c r="P16" t="s">
        <v>21</v>
      </c>
      <c r="Q16" t="s">
        <v>21</v>
      </c>
      <c r="R16" t="s">
        <v>871</v>
      </c>
      <c r="S16" t="s">
        <v>891</v>
      </c>
      <c r="T16" t="s">
        <v>891</v>
      </c>
      <c r="U16" t="s">
        <v>960</v>
      </c>
      <c r="V16" s="28" t="s">
        <v>1051</v>
      </c>
      <c r="W16" s="28" t="s">
        <v>1045</v>
      </c>
      <c r="X16" s="28" t="s">
        <v>1702</v>
      </c>
      <c r="Y16" s="28" t="s">
        <v>1703</v>
      </c>
      <c r="Z16" s="28" t="s">
        <v>1704</v>
      </c>
      <c r="AA16" s="28" t="s">
        <v>1705</v>
      </c>
      <c r="AB16" s="28" t="s">
        <v>1706</v>
      </c>
      <c r="AC16" s="28" t="s">
        <v>1707</v>
      </c>
    </row>
    <row r="17" spans="1:29">
      <c r="A17">
        <v>4</v>
      </c>
      <c r="B17">
        <v>2116</v>
      </c>
      <c r="C17">
        <v>2116</v>
      </c>
      <c r="D17" t="s">
        <v>21</v>
      </c>
      <c r="E17" s="22">
        <v>44306</v>
      </c>
      <c r="F17" s="23">
        <v>44306</v>
      </c>
      <c r="G17" t="s">
        <v>25</v>
      </c>
      <c r="H17" t="s">
        <v>29</v>
      </c>
      <c r="I17" t="s">
        <v>29</v>
      </c>
      <c r="J17" t="s">
        <v>54</v>
      </c>
      <c r="K17" t="s">
        <v>73</v>
      </c>
      <c r="L17" t="s">
        <v>122</v>
      </c>
      <c r="M17">
        <v>2111</v>
      </c>
      <c r="N17" t="s">
        <v>807</v>
      </c>
      <c r="O17" t="s">
        <v>865</v>
      </c>
      <c r="P17" t="s">
        <v>21</v>
      </c>
      <c r="Q17" t="s">
        <v>21</v>
      </c>
      <c r="R17" t="s">
        <v>871</v>
      </c>
      <c r="S17" t="s">
        <v>891</v>
      </c>
      <c r="T17" t="s">
        <v>891</v>
      </c>
      <c r="U17" t="s">
        <v>960</v>
      </c>
      <c r="V17" s="28" t="s">
        <v>1051</v>
      </c>
      <c r="W17" s="28" t="s">
        <v>1045</v>
      </c>
      <c r="X17" s="28" t="s">
        <v>1702</v>
      </c>
      <c r="Y17" s="28" t="s">
        <v>1703</v>
      </c>
      <c r="Z17" s="28" t="s">
        <v>1704</v>
      </c>
      <c r="AA17" s="28" t="s">
        <v>1705</v>
      </c>
      <c r="AB17" s="28" t="s">
        <v>1706</v>
      </c>
      <c r="AC17" s="28" t="s">
        <v>1707</v>
      </c>
    </row>
    <row r="18" spans="1:29">
      <c r="A18">
        <v>5</v>
      </c>
      <c r="B18">
        <v>2116</v>
      </c>
      <c r="C18">
        <v>2116</v>
      </c>
      <c r="D18" t="s">
        <v>21</v>
      </c>
      <c r="E18" s="22">
        <v>44306</v>
      </c>
      <c r="F18" s="23">
        <v>44306</v>
      </c>
      <c r="G18" t="s">
        <v>25</v>
      </c>
      <c r="H18" t="s">
        <v>29</v>
      </c>
      <c r="I18" t="s">
        <v>29</v>
      </c>
      <c r="J18" t="s">
        <v>54</v>
      </c>
      <c r="K18" t="s">
        <v>73</v>
      </c>
      <c r="L18" t="s">
        <v>123</v>
      </c>
      <c r="M18">
        <v>2111</v>
      </c>
      <c r="N18" t="s">
        <v>807</v>
      </c>
      <c r="O18" t="s">
        <v>865</v>
      </c>
      <c r="P18" t="s">
        <v>21</v>
      </c>
      <c r="Q18" t="s">
        <v>21</v>
      </c>
      <c r="R18" t="s">
        <v>871</v>
      </c>
      <c r="S18" t="s">
        <v>891</v>
      </c>
      <c r="T18" t="s">
        <v>891</v>
      </c>
      <c r="U18" t="s">
        <v>960</v>
      </c>
      <c r="V18" s="28" t="s">
        <v>1051</v>
      </c>
      <c r="W18" s="28" t="s">
        <v>1045</v>
      </c>
      <c r="X18" s="28" t="s">
        <v>1702</v>
      </c>
      <c r="Y18" s="28" t="s">
        <v>1703</v>
      </c>
      <c r="Z18" s="28" t="s">
        <v>1704</v>
      </c>
      <c r="AA18" s="28" t="s">
        <v>1705</v>
      </c>
      <c r="AB18" s="28" t="s">
        <v>1706</v>
      </c>
      <c r="AC18" s="28" t="s">
        <v>1707</v>
      </c>
    </row>
    <row r="19" spans="1:29">
      <c r="A19">
        <v>6</v>
      </c>
      <c r="B19">
        <v>2116</v>
      </c>
      <c r="C19">
        <v>2116</v>
      </c>
      <c r="D19" t="s">
        <v>21</v>
      </c>
      <c r="E19" s="22">
        <v>44306</v>
      </c>
      <c r="F19" s="23">
        <v>44306</v>
      </c>
      <c r="G19" t="s">
        <v>25</v>
      </c>
      <c r="H19" t="s">
        <v>29</v>
      </c>
      <c r="I19" t="s">
        <v>29</v>
      </c>
      <c r="J19" t="s">
        <v>54</v>
      </c>
      <c r="K19" t="s">
        <v>73</v>
      </c>
      <c r="L19" t="s">
        <v>124</v>
      </c>
      <c r="M19">
        <v>2111</v>
      </c>
      <c r="N19" t="s">
        <v>807</v>
      </c>
      <c r="O19" t="s">
        <v>865</v>
      </c>
      <c r="P19" t="s">
        <v>21</v>
      </c>
      <c r="Q19" t="s">
        <v>21</v>
      </c>
      <c r="R19" t="s">
        <v>871</v>
      </c>
      <c r="S19" t="s">
        <v>891</v>
      </c>
      <c r="T19" t="s">
        <v>891</v>
      </c>
      <c r="U19" t="s">
        <v>960</v>
      </c>
      <c r="V19" s="28" t="s">
        <v>1051</v>
      </c>
      <c r="W19" s="28" t="s">
        <v>1045</v>
      </c>
      <c r="X19" s="28" t="s">
        <v>1702</v>
      </c>
      <c r="Y19" s="28" t="s">
        <v>1703</v>
      </c>
      <c r="Z19" s="28" t="s">
        <v>1704</v>
      </c>
      <c r="AA19" s="28" t="s">
        <v>1705</v>
      </c>
      <c r="AB19" s="28" t="s">
        <v>1706</v>
      </c>
      <c r="AC19" s="28" t="s">
        <v>1707</v>
      </c>
    </row>
    <row r="20" spans="1:29">
      <c r="A20">
        <v>7</v>
      </c>
      <c r="B20">
        <v>2116</v>
      </c>
      <c r="C20">
        <v>2116</v>
      </c>
      <c r="D20" t="s">
        <v>21</v>
      </c>
      <c r="E20" s="22">
        <v>44306</v>
      </c>
      <c r="F20" s="23">
        <v>44306</v>
      </c>
      <c r="G20" t="s">
        <v>25</v>
      </c>
      <c r="H20" t="s">
        <v>29</v>
      </c>
      <c r="I20" t="s">
        <v>29</v>
      </c>
      <c r="J20" t="s">
        <v>54</v>
      </c>
      <c r="K20" t="s">
        <v>73</v>
      </c>
      <c r="L20" t="s">
        <v>125</v>
      </c>
      <c r="M20">
        <v>2111</v>
      </c>
      <c r="N20" t="s">
        <v>807</v>
      </c>
      <c r="O20" t="s">
        <v>865</v>
      </c>
      <c r="P20" t="s">
        <v>21</v>
      </c>
      <c r="Q20" t="s">
        <v>21</v>
      </c>
      <c r="R20" t="s">
        <v>871</v>
      </c>
      <c r="S20" t="s">
        <v>891</v>
      </c>
      <c r="T20" t="s">
        <v>891</v>
      </c>
      <c r="U20" t="s">
        <v>960</v>
      </c>
      <c r="V20" s="28" t="s">
        <v>1051</v>
      </c>
      <c r="W20" s="28" t="s">
        <v>1045</v>
      </c>
      <c r="X20" s="28" t="s">
        <v>1702</v>
      </c>
      <c r="Y20" s="28" t="s">
        <v>1703</v>
      </c>
      <c r="Z20" s="28" t="s">
        <v>1704</v>
      </c>
      <c r="AA20" s="28" t="s">
        <v>1705</v>
      </c>
      <c r="AB20" s="28" t="s">
        <v>1706</v>
      </c>
      <c r="AC20" s="28" t="s">
        <v>1707</v>
      </c>
    </row>
    <row r="21" spans="1:29">
      <c r="A21">
        <v>8</v>
      </c>
      <c r="B21">
        <v>2116</v>
      </c>
      <c r="C21">
        <v>2116</v>
      </c>
      <c r="D21" t="s">
        <v>21</v>
      </c>
      <c r="E21" s="22">
        <v>44306</v>
      </c>
      <c r="F21" s="23">
        <v>44306</v>
      </c>
      <c r="G21" t="s">
        <v>25</v>
      </c>
      <c r="H21" t="s">
        <v>29</v>
      </c>
      <c r="I21" t="s">
        <v>29</v>
      </c>
      <c r="J21" t="s">
        <v>54</v>
      </c>
      <c r="K21" t="s">
        <v>73</v>
      </c>
      <c r="L21" t="s">
        <v>126</v>
      </c>
      <c r="M21">
        <v>2111</v>
      </c>
      <c r="N21" t="s">
        <v>807</v>
      </c>
      <c r="O21" t="s">
        <v>865</v>
      </c>
      <c r="P21" t="s">
        <v>21</v>
      </c>
      <c r="Q21" t="s">
        <v>21</v>
      </c>
      <c r="R21" t="s">
        <v>871</v>
      </c>
      <c r="S21" t="s">
        <v>891</v>
      </c>
      <c r="T21" t="s">
        <v>891</v>
      </c>
      <c r="U21" t="s">
        <v>960</v>
      </c>
      <c r="V21" s="28" t="s">
        <v>1051</v>
      </c>
      <c r="W21" s="28" t="s">
        <v>1045</v>
      </c>
      <c r="X21" s="28" t="s">
        <v>1702</v>
      </c>
      <c r="Y21" s="28" t="s">
        <v>1703</v>
      </c>
      <c r="Z21" s="28" t="s">
        <v>1704</v>
      </c>
      <c r="AA21" s="28" t="s">
        <v>1705</v>
      </c>
      <c r="AB21" s="28" t="s">
        <v>1706</v>
      </c>
      <c r="AC21" s="28" t="s">
        <v>1707</v>
      </c>
    </row>
    <row r="22" spans="1:29">
      <c r="A22">
        <v>9</v>
      </c>
      <c r="B22">
        <v>2116</v>
      </c>
      <c r="C22">
        <v>2116</v>
      </c>
      <c r="D22" t="s">
        <v>21</v>
      </c>
      <c r="E22" s="22">
        <v>44306</v>
      </c>
      <c r="F22" s="23">
        <v>44306</v>
      </c>
      <c r="G22" t="s">
        <v>25</v>
      </c>
      <c r="H22" t="s">
        <v>29</v>
      </c>
      <c r="I22" t="s">
        <v>29</v>
      </c>
      <c r="J22" t="s">
        <v>54</v>
      </c>
      <c r="K22" t="s">
        <v>73</v>
      </c>
      <c r="L22" t="s">
        <v>127</v>
      </c>
      <c r="M22">
        <v>2111</v>
      </c>
      <c r="N22" t="s">
        <v>807</v>
      </c>
      <c r="O22" t="s">
        <v>865</v>
      </c>
      <c r="P22" t="s">
        <v>21</v>
      </c>
      <c r="Q22" t="s">
        <v>21</v>
      </c>
      <c r="R22" t="s">
        <v>871</v>
      </c>
      <c r="S22" t="s">
        <v>891</v>
      </c>
      <c r="T22" t="s">
        <v>891</v>
      </c>
      <c r="U22" t="s">
        <v>960</v>
      </c>
      <c r="V22" s="28" t="s">
        <v>1051</v>
      </c>
      <c r="W22" s="28" t="s">
        <v>1045</v>
      </c>
      <c r="X22" s="28" t="s">
        <v>1702</v>
      </c>
      <c r="Y22" s="28" t="s">
        <v>1703</v>
      </c>
      <c r="Z22" s="28" t="s">
        <v>1704</v>
      </c>
      <c r="AA22" s="28" t="s">
        <v>1705</v>
      </c>
      <c r="AB22" s="28" t="s">
        <v>1706</v>
      </c>
      <c r="AC22" s="28" t="s">
        <v>1707</v>
      </c>
    </row>
    <row r="23" spans="1:29">
      <c r="A23">
        <v>10</v>
      </c>
      <c r="B23">
        <v>2116</v>
      </c>
      <c r="C23">
        <v>2116</v>
      </c>
      <c r="D23" t="s">
        <v>21</v>
      </c>
      <c r="E23" s="22">
        <v>44306</v>
      </c>
      <c r="F23" s="23">
        <v>44306</v>
      </c>
      <c r="G23" t="s">
        <v>25</v>
      </c>
      <c r="H23" t="s">
        <v>29</v>
      </c>
      <c r="I23" t="s">
        <v>29</v>
      </c>
      <c r="J23" t="s">
        <v>54</v>
      </c>
      <c r="K23" t="s">
        <v>73</v>
      </c>
      <c r="L23" t="s">
        <v>128</v>
      </c>
      <c r="M23">
        <v>2111</v>
      </c>
      <c r="N23" t="s">
        <v>807</v>
      </c>
      <c r="O23" t="s">
        <v>865</v>
      </c>
      <c r="P23" t="s">
        <v>21</v>
      </c>
      <c r="Q23" t="s">
        <v>21</v>
      </c>
      <c r="R23" t="s">
        <v>871</v>
      </c>
      <c r="S23" t="s">
        <v>891</v>
      </c>
      <c r="T23" t="s">
        <v>891</v>
      </c>
      <c r="U23" t="s">
        <v>960</v>
      </c>
      <c r="V23" s="28" t="s">
        <v>1051</v>
      </c>
      <c r="W23" s="28" t="s">
        <v>1045</v>
      </c>
      <c r="X23" s="28" t="s">
        <v>1702</v>
      </c>
      <c r="Y23" s="28" t="s">
        <v>1703</v>
      </c>
      <c r="Z23" s="28" t="s">
        <v>1704</v>
      </c>
      <c r="AA23" s="28" t="s">
        <v>1705</v>
      </c>
      <c r="AB23" s="28" t="s">
        <v>1706</v>
      </c>
      <c r="AC23" s="28" t="s">
        <v>1707</v>
      </c>
    </row>
    <row r="24" spans="1:29">
      <c r="A24">
        <v>11</v>
      </c>
      <c r="B24">
        <v>2116</v>
      </c>
      <c r="C24">
        <v>2116</v>
      </c>
      <c r="D24" t="s">
        <v>21</v>
      </c>
      <c r="E24" s="22">
        <v>44306</v>
      </c>
      <c r="F24" s="23">
        <v>44306</v>
      </c>
      <c r="G24" t="s">
        <v>25</v>
      </c>
      <c r="H24" t="s">
        <v>29</v>
      </c>
      <c r="I24" t="s">
        <v>29</v>
      </c>
      <c r="J24" t="s">
        <v>54</v>
      </c>
      <c r="K24" t="s">
        <v>73</v>
      </c>
      <c r="L24" t="s">
        <v>129</v>
      </c>
      <c r="M24">
        <v>2111</v>
      </c>
      <c r="N24" t="s">
        <v>807</v>
      </c>
      <c r="O24" t="s">
        <v>865</v>
      </c>
      <c r="P24" t="s">
        <v>21</v>
      </c>
      <c r="Q24" t="s">
        <v>21</v>
      </c>
      <c r="R24" t="s">
        <v>871</v>
      </c>
      <c r="S24" t="s">
        <v>891</v>
      </c>
      <c r="T24" t="s">
        <v>891</v>
      </c>
      <c r="U24" t="s">
        <v>960</v>
      </c>
      <c r="V24" s="28" t="s">
        <v>1051</v>
      </c>
      <c r="W24" s="28" t="s">
        <v>1045</v>
      </c>
      <c r="X24" s="28" t="s">
        <v>1702</v>
      </c>
      <c r="Y24" s="28" t="s">
        <v>1703</v>
      </c>
      <c r="Z24" s="28" t="s">
        <v>1704</v>
      </c>
      <c r="AA24" s="28" t="s">
        <v>1705</v>
      </c>
      <c r="AB24" s="28" t="s">
        <v>1706</v>
      </c>
      <c r="AC24" s="28" t="s">
        <v>1707</v>
      </c>
    </row>
    <row r="25" spans="1:29">
      <c r="A25">
        <v>12</v>
      </c>
      <c r="B25">
        <v>2116</v>
      </c>
      <c r="C25">
        <v>2116</v>
      </c>
      <c r="D25" t="s">
        <v>21</v>
      </c>
      <c r="E25" s="22">
        <v>44306</v>
      </c>
      <c r="F25" s="23">
        <v>44306</v>
      </c>
      <c r="G25" t="s">
        <v>25</v>
      </c>
      <c r="H25" t="s">
        <v>29</v>
      </c>
      <c r="I25" t="s">
        <v>29</v>
      </c>
      <c r="J25" t="s">
        <v>54</v>
      </c>
      <c r="K25" t="s">
        <v>73</v>
      </c>
      <c r="L25" t="s">
        <v>130</v>
      </c>
      <c r="M25">
        <v>2111</v>
      </c>
      <c r="N25" t="s">
        <v>807</v>
      </c>
      <c r="O25" t="s">
        <v>865</v>
      </c>
      <c r="P25" t="s">
        <v>21</v>
      </c>
      <c r="Q25" t="s">
        <v>21</v>
      </c>
      <c r="R25" t="s">
        <v>871</v>
      </c>
      <c r="S25" t="s">
        <v>891</v>
      </c>
      <c r="T25" t="s">
        <v>891</v>
      </c>
      <c r="U25" t="s">
        <v>960</v>
      </c>
      <c r="V25" s="28" t="s">
        <v>1051</v>
      </c>
      <c r="W25" s="28" t="s">
        <v>1045</v>
      </c>
      <c r="X25" s="28" t="s">
        <v>1702</v>
      </c>
      <c r="Y25" s="28" t="s">
        <v>1703</v>
      </c>
      <c r="Z25" s="28" t="s">
        <v>1704</v>
      </c>
      <c r="AA25" s="28" t="s">
        <v>1705</v>
      </c>
      <c r="AB25" s="28" t="s">
        <v>1706</v>
      </c>
      <c r="AC25" s="28" t="s">
        <v>1707</v>
      </c>
    </row>
    <row r="26" spans="1:29">
      <c r="A26">
        <v>13</v>
      </c>
      <c r="B26">
        <v>2116</v>
      </c>
      <c r="C26">
        <v>2116</v>
      </c>
      <c r="D26" t="s">
        <v>21</v>
      </c>
      <c r="E26" s="22">
        <v>44306</v>
      </c>
      <c r="F26" s="23">
        <v>44306</v>
      </c>
      <c r="G26" t="s">
        <v>25</v>
      </c>
      <c r="H26" t="s">
        <v>29</v>
      </c>
      <c r="I26" t="s">
        <v>29</v>
      </c>
      <c r="J26" t="s">
        <v>54</v>
      </c>
      <c r="K26" t="s">
        <v>73</v>
      </c>
      <c r="L26" t="s">
        <v>131</v>
      </c>
      <c r="M26">
        <v>2111</v>
      </c>
      <c r="N26" t="s">
        <v>807</v>
      </c>
      <c r="O26" t="s">
        <v>865</v>
      </c>
      <c r="P26" t="s">
        <v>21</v>
      </c>
      <c r="Q26" t="s">
        <v>21</v>
      </c>
      <c r="R26" t="s">
        <v>871</v>
      </c>
      <c r="S26" t="s">
        <v>891</v>
      </c>
      <c r="T26" t="s">
        <v>891</v>
      </c>
      <c r="U26" t="s">
        <v>960</v>
      </c>
      <c r="V26" s="28" t="s">
        <v>1051</v>
      </c>
      <c r="W26" s="28" t="s">
        <v>1045</v>
      </c>
      <c r="X26" s="28" t="s">
        <v>1702</v>
      </c>
      <c r="Y26" s="28" t="s">
        <v>1703</v>
      </c>
      <c r="Z26" s="28" t="s">
        <v>1704</v>
      </c>
      <c r="AA26" s="28" t="s">
        <v>1705</v>
      </c>
      <c r="AB26" s="28" t="s">
        <v>1706</v>
      </c>
      <c r="AC26" s="28" t="s">
        <v>1707</v>
      </c>
    </row>
    <row r="27" spans="1:29">
      <c r="A27">
        <v>14</v>
      </c>
      <c r="B27">
        <v>2116</v>
      </c>
      <c r="C27">
        <v>2116</v>
      </c>
      <c r="D27" t="s">
        <v>21</v>
      </c>
      <c r="E27" s="22">
        <v>44306</v>
      </c>
      <c r="F27" s="23">
        <v>44306</v>
      </c>
      <c r="G27" t="s">
        <v>25</v>
      </c>
      <c r="H27" t="s">
        <v>29</v>
      </c>
      <c r="I27" t="s">
        <v>29</v>
      </c>
      <c r="J27" t="s">
        <v>54</v>
      </c>
      <c r="K27" t="s">
        <v>73</v>
      </c>
      <c r="L27" t="s">
        <v>132</v>
      </c>
      <c r="M27">
        <v>2108</v>
      </c>
      <c r="N27" t="s">
        <v>807</v>
      </c>
      <c r="O27" t="s">
        <v>865</v>
      </c>
      <c r="P27" t="s">
        <v>21</v>
      </c>
      <c r="Q27" t="s">
        <v>21</v>
      </c>
      <c r="R27" t="s">
        <v>871</v>
      </c>
      <c r="S27" t="s">
        <v>891</v>
      </c>
      <c r="T27" t="s">
        <v>891</v>
      </c>
      <c r="U27" t="s">
        <v>960</v>
      </c>
      <c r="V27" s="28" t="s">
        <v>1051</v>
      </c>
      <c r="W27" s="28" t="s">
        <v>1045</v>
      </c>
      <c r="X27" s="28" t="s">
        <v>1702</v>
      </c>
      <c r="Y27" s="28" t="s">
        <v>1703</v>
      </c>
      <c r="Z27" s="28" t="s">
        <v>1704</v>
      </c>
      <c r="AA27" s="28" t="s">
        <v>1705</v>
      </c>
      <c r="AB27" s="28" t="s">
        <v>1706</v>
      </c>
      <c r="AC27" s="28" t="s">
        <v>1707</v>
      </c>
    </row>
    <row r="28" spans="1:29">
      <c r="A28">
        <v>15</v>
      </c>
      <c r="B28">
        <v>2116</v>
      </c>
      <c r="C28">
        <v>2116</v>
      </c>
      <c r="D28" t="s">
        <v>21</v>
      </c>
      <c r="E28" s="22">
        <v>44306</v>
      </c>
      <c r="F28" s="23">
        <v>44306</v>
      </c>
      <c r="G28" t="s">
        <v>25</v>
      </c>
      <c r="H28" t="s">
        <v>29</v>
      </c>
      <c r="I28" t="s">
        <v>29</v>
      </c>
      <c r="J28" t="s">
        <v>54</v>
      </c>
      <c r="K28" t="s">
        <v>73</v>
      </c>
      <c r="L28" t="s">
        <v>133</v>
      </c>
      <c r="M28">
        <v>2108</v>
      </c>
      <c r="N28" t="s">
        <v>807</v>
      </c>
      <c r="O28" t="s">
        <v>865</v>
      </c>
      <c r="P28" t="s">
        <v>21</v>
      </c>
      <c r="Q28" t="s">
        <v>21</v>
      </c>
      <c r="R28" t="s">
        <v>871</v>
      </c>
      <c r="S28" t="s">
        <v>891</v>
      </c>
      <c r="T28" t="s">
        <v>891</v>
      </c>
      <c r="U28" t="s">
        <v>960</v>
      </c>
      <c r="V28" s="28" t="s">
        <v>1051</v>
      </c>
      <c r="W28" s="28" t="s">
        <v>1045</v>
      </c>
      <c r="X28" s="28" t="s">
        <v>1702</v>
      </c>
      <c r="Y28" s="28" t="s">
        <v>1703</v>
      </c>
      <c r="Z28" s="28" t="s">
        <v>1704</v>
      </c>
      <c r="AA28" s="28" t="s">
        <v>1705</v>
      </c>
      <c r="AB28" s="28" t="s">
        <v>1706</v>
      </c>
      <c r="AC28" s="28" t="s">
        <v>1707</v>
      </c>
    </row>
    <row r="29" spans="1:29">
      <c r="A29">
        <v>16</v>
      </c>
      <c r="B29">
        <v>2116</v>
      </c>
      <c r="C29">
        <v>2116</v>
      </c>
      <c r="D29" t="s">
        <v>21</v>
      </c>
      <c r="E29" s="22">
        <v>44306</v>
      </c>
      <c r="F29" s="23">
        <v>44306</v>
      </c>
      <c r="G29" t="s">
        <v>25</v>
      </c>
      <c r="H29" t="s">
        <v>29</v>
      </c>
      <c r="I29" t="s">
        <v>29</v>
      </c>
      <c r="J29" t="s">
        <v>54</v>
      </c>
      <c r="K29" t="s">
        <v>73</v>
      </c>
      <c r="L29" t="s">
        <v>134</v>
      </c>
      <c r="M29">
        <v>2111</v>
      </c>
      <c r="N29" t="s">
        <v>807</v>
      </c>
      <c r="O29" t="s">
        <v>865</v>
      </c>
      <c r="P29" t="s">
        <v>21</v>
      </c>
      <c r="Q29" t="s">
        <v>21</v>
      </c>
      <c r="R29" t="s">
        <v>871</v>
      </c>
      <c r="S29" t="s">
        <v>891</v>
      </c>
      <c r="T29" t="s">
        <v>891</v>
      </c>
      <c r="U29" t="s">
        <v>960</v>
      </c>
      <c r="V29" s="28" t="s">
        <v>1051</v>
      </c>
      <c r="W29" s="28" t="s">
        <v>1045</v>
      </c>
      <c r="X29" s="28" t="s">
        <v>1702</v>
      </c>
      <c r="Y29" s="28" t="s">
        <v>1703</v>
      </c>
      <c r="Z29" s="28" t="s">
        <v>1704</v>
      </c>
      <c r="AA29" s="28" t="s">
        <v>1705</v>
      </c>
      <c r="AB29" s="28" t="s">
        <v>1706</v>
      </c>
      <c r="AC29" s="28" t="s">
        <v>1707</v>
      </c>
    </row>
    <row r="30" spans="1:29">
      <c r="A30">
        <v>17</v>
      </c>
      <c r="B30">
        <v>2116</v>
      </c>
      <c r="C30">
        <v>2116</v>
      </c>
      <c r="D30" t="s">
        <v>21</v>
      </c>
      <c r="E30" s="22">
        <v>44306</v>
      </c>
      <c r="F30" s="23">
        <v>44306</v>
      </c>
      <c r="G30" t="s">
        <v>25</v>
      </c>
      <c r="H30" t="s">
        <v>29</v>
      </c>
      <c r="I30" t="s">
        <v>29</v>
      </c>
      <c r="J30" t="s">
        <v>54</v>
      </c>
      <c r="K30" t="s">
        <v>73</v>
      </c>
      <c r="L30" t="s">
        <v>135</v>
      </c>
      <c r="M30">
        <v>2111</v>
      </c>
      <c r="N30" t="s">
        <v>807</v>
      </c>
      <c r="O30" t="s">
        <v>865</v>
      </c>
      <c r="P30" t="s">
        <v>21</v>
      </c>
      <c r="Q30" t="s">
        <v>21</v>
      </c>
      <c r="R30" t="s">
        <v>871</v>
      </c>
      <c r="S30" t="s">
        <v>891</v>
      </c>
      <c r="T30" t="s">
        <v>891</v>
      </c>
      <c r="U30" t="s">
        <v>960</v>
      </c>
      <c r="V30" s="28" t="s">
        <v>1051</v>
      </c>
      <c r="W30" s="28" t="s">
        <v>1045</v>
      </c>
      <c r="X30" s="28" t="s">
        <v>1702</v>
      </c>
      <c r="Y30" s="28" t="s">
        <v>1703</v>
      </c>
      <c r="Z30" s="28" t="s">
        <v>1704</v>
      </c>
      <c r="AA30" s="28" t="s">
        <v>1705</v>
      </c>
      <c r="AB30" s="28" t="s">
        <v>1706</v>
      </c>
      <c r="AC30" s="28" t="s">
        <v>1707</v>
      </c>
    </row>
    <row r="31" spans="1:29">
      <c r="A31">
        <v>18</v>
      </c>
      <c r="B31">
        <v>2116</v>
      </c>
      <c r="C31">
        <v>2116</v>
      </c>
      <c r="D31" t="s">
        <v>21</v>
      </c>
      <c r="E31" s="22">
        <v>44306</v>
      </c>
      <c r="F31" s="23">
        <v>44306</v>
      </c>
      <c r="G31" t="s">
        <v>25</v>
      </c>
      <c r="H31" t="s">
        <v>29</v>
      </c>
      <c r="I31" t="s">
        <v>29</v>
      </c>
      <c r="J31" t="s">
        <v>54</v>
      </c>
      <c r="K31" t="s">
        <v>73</v>
      </c>
      <c r="L31" t="s">
        <v>136</v>
      </c>
      <c r="M31">
        <v>2111</v>
      </c>
      <c r="N31" t="s">
        <v>807</v>
      </c>
      <c r="O31" t="s">
        <v>865</v>
      </c>
      <c r="P31" t="s">
        <v>21</v>
      </c>
      <c r="Q31" t="s">
        <v>21</v>
      </c>
      <c r="R31" t="s">
        <v>871</v>
      </c>
      <c r="S31" t="s">
        <v>891</v>
      </c>
      <c r="T31" t="s">
        <v>891</v>
      </c>
      <c r="U31" t="s">
        <v>960</v>
      </c>
      <c r="V31" s="28" t="s">
        <v>1051</v>
      </c>
      <c r="W31" s="28" t="s">
        <v>1045</v>
      </c>
      <c r="X31" s="28" t="s">
        <v>1702</v>
      </c>
      <c r="Y31" s="28" t="s">
        <v>1703</v>
      </c>
      <c r="Z31" s="28" t="s">
        <v>1704</v>
      </c>
      <c r="AA31" s="28" t="s">
        <v>1705</v>
      </c>
      <c r="AB31" s="28" t="s">
        <v>1706</v>
      </c>
      <c r="AC31" s="28" t="s">
        <v>1707</v>
      </c>
    </row>
    <row r="32" spans="1:29">
      <c r="A32">
        <v>19</v>
      </c>
      <c r="B32">
        <v>2116</v>
      </c>
      <c r="C32">
        <v>2116</v>
      </c>
      <c r="D32" t="s">
        <v>21</v>
      </c>
      <c r="E32" s="22">
        <v>44306</v>
      </c>
      <c r="F32" s="23">
        <v>44306</v>
      </c>
      <c r="G32" t="s">
        <v>25</v>
      </c>
      <c r="H32" t="s">
        <v>29</v>
      </c>
      <c r="I32" t="s">
        <v>29</v>
      </c>
      <c r="J32" t="s">
        <v>54</v>
      </c>
      <c r="K32" t="s">
        <v>73</v>
      </c>
      <c r="L32" t="s">
        <v>137</v>
      </c>
      <c r="M32">
        <v>2111</v>
      </c>
      <c r="N32" t="s">
        <v>807</v>
      </c>
      <c r="O32" t="s">
        <v>865</v>
      </c>
      <c r="P32" t="s">
        <v>21</v>
      </c>
      <c r="Q32" t="s">
        <v>21</v>
      </c>
      <c r="R32" t="s">
        <v>871</v>
      </c>
      <c r="S32" t="s">
        <v>891</v>
      </c>
      <c r="T32" t="s">
        <v>891</v>
      </c>
      <c r="U32" t="s">
        <v>960</v>
      </c>
      <c r="V32" s="28" t="s">
        <v>1051</v>
      </c>
      <c r="W32" s="28" t="s">
        <v>1045</v>
      </c>
      <c r="X32" s="28" t="s">
        <v>1702</v>
      </c>
      <c r="Y32" s="28" t="s">
        <v>1703</v>
      </c>
      <c r="Z32" s="28" t="s">
        <v>1704</v>
      </c>
      <c r="AA32" s="28" t="s">
        <v>1705</v>
      </c>
      <c r="AB32" s="28" t="s">
        <v>1706</v>
      </c>
      <c r="AC32" s="28" t="s">
        <v>1707</v>
      </c>
    </row>
    <row r="33" spans="1:29">
      <c r="A33">
        <v>20</v>
      </c>
      <c r="B33">
        <v>2116</v>
      </c>
      <c r="C33">
        <v>2116</v>
      </c>
      <c r="D33" t="s">
        <v>21</v>
      </c>
      <c r="E33" s="22">
        <v>44306</v>
      </c>
      <c r="F33" s="23">
        <v>44306</v>
      </c>
      <c r="G33" t="s">
        <v>25</v>
      </c>
      <c r="H33" t="s">
        <v>29</v>
      </c>
      <c r="I33" t="s">
        <v>29</v>
      </c>
      <c r="J33" t="s">
        <v>54</v>
      </c>
      <c r="K33" t="s">
        <v>73</v>
      </c>
      <c r="L33" t="s">
        <v>138</v>
      </c>
      <c r="M33">
        <v>2111</v>
      </c>
      <c r="N33" t="s">
        <v>807</v>
      </c>
      <c r="O33" t="s">
        <v>865</v>
      </c>
      <c r="P33" t="s">
        <v>21</v>
      </c>
      <c r="Q33" t="s">
        <v>21</v>
      </c>
      <c r="R33" t="s">
        <v>871</v>
      </c>
      <c r="S33" t="s">
        <v>891</v>
      </c>
      <c r="T33" t="s">
        <v>891</v>
      </c>
      <c r="U33" t="s">
        <v>960</v>
      </c>
      <c r="V33" s="28" t="s">
        <v>1051</v>
      </c>
      <c r="W33" s="28" t="s">
        <v>1045</v>
      </c>
      <c r="X33" s="28" t="s">
        <v>1702</v>
      </c>
      <c r="Y33" s="28" t="s">
        <v>1703</v>
      </c>
      <c r="Z33" s="28" t="s">
        <v>1704</v>
      </c>
      <c r="AA33" s="28" t="s">
        <v>1705</v>
      </c>
      <c r="AB33" s="28" t="s">
        <v>1706</v>
      </c>
      <c r="AC33" s="28" t="s">
        <v>1707</v>
      </c>
    </row>
    <row r="34" spans="1:29">
      <c r="A34">
        <v>21</v>
      </c>
      <c r="B34">
        <v>2116</v>
      </c>
      <c r="C34">
        <v>2116</v>
      </c>
      <c r="D34" t="s">
        <v>21</v>
      </c>
      <c r="E34" s="22">
        <v>44306</v>
      </c>
      <c r="F34" s="23">
        <v>44306</v>
      </c>
      <c r="G34" t="s">
        <v>25</v>
      </c>
      <c r="H34" t="s">
        <v>29</v>
      </c>
      <c r="I34" t="s">
        <v>29</v>
      </c>
      <c r="J34" t="s">
        <v>54</v>
      </c>
      <c r="K34" t="s">
        <v>73</v>
      </c>
      <c r="L34" t="s">
        <v>139</v>
      </c>
      <c r="M34">
        <v>2111</v>
      </c>
      <c r="N34" t="s">
        <v>807</v>
      </c>
      <c r="O34" t="s">
        <v>865</v>
      </c>
      <c r="P34" t="s">
        <v>21</v>
      </c>
      <c r="Q34" t="s">
        <v>21</v>
      </c>
      <c r="R34" t="s">
        <v>871</v>
      </c>
      <c r="S34" t="s">
        <v>891</v>
      </c>
      <c r="T34" t="s">
        <v>891</v>
      </c>
      <c r="U34" t="s">
        <v>960</v>
      </c>
      <c r="V34" s="28" t="s">
        <v>1051</v>
      </c>
      <c r="W34" s="28" t="s">
        <v>1045</v>
      </c>
      <c r="X34" s="28" t="s">
        <v>1702</v>
      </c>
      <c r="Y34" s="28" t="s">
        <v>1703</v>
      </c>
      <c r="Z34" s="28" t="s">
        <v>1704</v>
      </c>
      <c r="AA34" s="28" t="s">
        <v>1705</v>
      </c>
      <c r="AB34" s="28" t="s">
        <v>1706</v>
      </c>
      <c r="AC34" s="28" t="s">
        <v>1707</v>
      </c>
    </row>
    <row r="35" spans="1:29">
      <c r="A35">
        <v>22</v>
      </c>
      <c r="B35">
        <v>2116</v>
      </c>
      <c r="C35">
        <v>2116</v>
      </c>
      <c r="D35" t="s">
        <v>21</v>
      </c>
      <c r="E35" s="22">
        <v>44306</v>
      </c>
      <c r="F35" s="23">
        <v>44306</v>
      </c>
      <c r="G35" t="s">
        <v>25</v>
      </c>
      <c r="H35" t="s">
        <v>29</v>
      </c>
      <c r="I35" t="s">
        <v>29</v>
      </c>
      <c r="J35" t="s">
        <v>54</v>
      </c>
      <c r="K35" t="s">
        <v>73</v>
      </c>
      <c r="L35" t="s">
        <v>140</v>
      </c>
      <c r="M35">
        <v>2111</v>
      </c>
      <c r="N35" t="s">
        <v>807</v>
      </c>
      <c r="O35" t="s">
        <v>865</v>
      </c>
      <c r="P35" t="s">
        <v>21</v>
      </c>
      <c r="Q35" t="s">
        <v>21</v>
      </c>
      <c r="R35" t="s">
        <v>871</v>
      </c>
      <c r="S35" t="s">
        <v>891</v>
      </c>
      <c r="T35" t="s">
        <v>891</v>
      </c>
      <c r="U35" t="s">
        <v>960</v>
      </c>
      <c r="V35" s="28" t="s">
        <v>1051</v>
      </c>
      <c r="W35" s="28" t="s">
        <v>1045</v>
      </c>
      <c r="X35" s="28" t="s">
        <v>1702</v>
      </c>
      <c r="Y35" s="28" t="s">
        <v>1703</v>
      </c>
      <c r="Z35" s="28" t="s">
        <v>1704</v>
      </c>
      <c r="AA35" s="28" t="s">
        <v>1705</v>
      </c>
      <c r="AB35" s="28" t="s">
        <v>1706</v>
      </c>
      <c r="AC35" s="28" t="s">
        <v>1707</v>
      </c>
    </row>
    <row r="36" spans="1:29">
      <c r="A36">
        <v>23</v>
      </c>
      <c r="B36">
        <v>2116</v>
      </c>
      <c r="C36">
        <v>2116</v>
      </c>
      <c r="D36" t="s">
        <v>21</v>
      </c>
      <c r="E36" s="22">
        <v>44306</v>
      </c>
      <c r="F36" s="23">
        <v>44306</v>
      </c>
      <c r="G36" t="s">
        <v>25</v>
      </c>
      <c r="H36" t="s">
        <v>29</v>
      </c>
      <c r="I36" t="s">
        <v>29</v>
      </c>
      <c r="J36" t="s">
        <v>54</v>
      </c>
      <c r="K36" t="s">
        <v>73</v>
      </c>
      <c r="L36" t="s">
        <v>141</v>
      </c>
      <c r="M36">
        <v>2111</v>
      </c>
      <c r="N36" t="s">
        <v>807</v>
      </c>
      <c r="O36" t="s">
        <v>865</v>
      </c>
      <c r="P36" t="s">
        <v>21</v>
      </c>
      <c r="Q36" t="s">
        <v>21</v>
      </c>
      <c r="R36" t="s">
        <v>871</v>
      </c>
      <c r="S36" t="s">
        <v>891</v>
      </c>
      <c r="T36" t="s">
        <v>891</v>
      </c>
      <c r="U36" t="s">
        <v>960</v>
      </c>
      <c r="V36" s="28" t="s">
        <v>1051</v>
      </c>
      <c r="W36" s="28" t="s">
        <v>1045</v>
      </c>
      <c r="X36" s="28" t="s">
        <v>1702</v>
      </c>
      <c r="Y36" s="28" t="s">
        <v>1703</v>
      </c>
      <c r="Z36" s="28" t="s">
        <v>1704</v>
      </c>
      <c r="AA36" s="28" t="s">
        <v>1705</v>
      </c>
      <c r="AB36" s="28" t="s">
        <v>1706</v>
      </c>
      <c r="AC36" s="28" t="s">
        <v>1707</v>
      </c>
    </row>
    <row r="37" spans="1:29">
      <c r="A37">
        <v>24</v>
      </c>
      <c r="B37">
        <v>2116</v>
      </c>
      <c r="C37">
        <v>2116</v>
      </c>
      <c r="D37" t="s">
        <v>21</v>
      </c>
      <c r="E37" s="22">
        <v>44306</v>
      </c>
      <c r="F37" s="23">
        <v>44306</v>
      </c>
      <c r="G37" t="s">
        <v>25</v>
      </c>
      <c r="H37" t="s">
        <v>29</v>
      </c>
      <c r="I37" t="s">
        <v>29</v>
      </c>
      <c r="J37" t="s">
        <v>54</v>
      </c>
      <c r="K37" t="s">
        <v>73</v>
      </c>
      <c r="L37" t="s">
        <v>142</v>
      </c>
      <c r="M37">
        <v>2111</v>
      </c>
      <c r="N37" t="s">
        <v>807</v>
      </c>
      <c r="O37" t="s">
        <v>865</v>
      </c>
      <c r="P37" t="s">
        <v>21</v>
      </c>
      <c r="Q37" t="s">
        <v>21</v>
      </c>
      <c r="R37" t="s">
        <v>871</v>
      </c>
      <c r="S37" t="s">
        <v>891</v>
      </c>
      <c r="T37" t="s">
        <v>891</v>
      </c>
      <c r="U37" t="s">
        <v>960</v>
      </c>
      <c r="V37" s="28" t="s">
        <v>1051</v>
      </c>
      <c r="W37" s="28" t="s">
        <v>1045</v>
      </c>
      <c r="X37" s="28" t="s">
        <v>1702</v>
      </c>
      <c r="Y37" s="28" t="s">
        <v>1703</v>
      </c>
      <c r="Z37" s="28" t="s">
        <v>1704</v>
      </c>
      <c r="AA37" s="28" t="s">
        <v>1705</v>
      </c>
      <c r="AB37" s="28" t="s">
        <v>1706</v>
      </c>
      <c r="AC37" s="28" t="s">
        <v>1707</v>
      </c>
    </row>
    <row r="38" spans="1:29">
      <c r="A38">
        <v>25</v>
      </c>
      <c r="B38">
        <v>2116</v>
      </c>
      <c r="C38">
        <v>2116</v>
      </c>
      <c r="D38" t="s">
        <v>21</v>
      </c>
      <c r="E38" s="22">
        <v>44306</v>
      </c>
      <c r="F38" s="23">
        <v>44306</v>
      </c>
      <c r="G38" t="s">
        <v>25</v>
      </c>
      <c r="H38" t="s">
        <v>29</v>
      </c>
      <c r="I38" t="s">
        <v>29</v>
      </c>
      <c r="J38" t="s">
        <v>54</v>
      </c>
      <c r="K38" t="s">
        <v>73</v>
      </c>
      <c r="L38" t="s">
        <v>143</v>
      </c>
      <c r="M38">
        <v>2108</v>
      </c>
      <c r="N38" t="s">
        <v>807</v>
      </c>
      <c r="O38" t="s">
        <v>865</v>
      </c>
      <c r="P38" t="s">
        <v>21</v>
      </c>
      <c r="Q38" t="s">
        <v>21</v>
      </c>
      <c r="R38" t="s">
        <v>871</v>
      </c>
      <c r="S38" t="s">
        <v>891</v>
      </c>
      <c r="T38" t="s">
        <v>891</v>
      </c>
      <c r="U38" t="s">
        <v>960</v>
      </c>
      <c r="V38" s="28" t="s">
        <v>1051</v>
      </c>
      <c r="W38" s="28" t="s">
        <v>1045</v>
      </c>
      <c r="X38" s="28" t="s">
        <v>1702</v>
      </c>
      <c r="Y38" s="28" t="s">
        <v>1703</v>
      </c>
      <c r="Z38" s="28" t="s">
        <v>1704</v>
      </c>
      <c r="AA38" s="28" t="s">
        <v>1705</v>
      </c>
      <c r="AB38" s="28" t="s">
        <v>1706</v>
      </c>
      <c r="AC38" s="28" t="s">
        <v>1707</v>
      </c>
    </row>
    <row r="39" spans="1:29">
      <c r="A39">
        <v>26</v>
      </c>
      <c r="B39">
        <v>2116</v>
      </c>
      <c r="C39">
        <v>2116</v>
      </c>
      <c r="D39" t="s">
        <v>21</v>
      </c>
      <c r="E39" s="22">
        <v>44306</v>
      </c>
      <c r="F39" s="23">
        <v>44306</v>
      </c>
      <c r="G39" t="s">
        <v>25</v>
      </c>
      <c r="H39" t="s">
        <v>29</v>
      </c>
      <c r="I39" t="s">
        <v>29</v>
      </c>
      <c r="J39" t="s">
        <v>54</v>
      </c>
      <c r="K39" t="s">
        <v>73</v>
      </c>
      <c r="L39" t="s">
        <v>144</v>
      </c>
      <c r="M39">
        <v>2111</v>
      </c>
      <c r="N39" t="s">
        <v>807</v>
      </c>
      <c r="O39" t="s">
        <v>865</v>
      </c>
      <c r="P39" t="s">
        <v>21</v>
      </c>
      <c r="Q39" t="s">
        <v>21</v>
      </c>
      <c r="R39" t="s">
        <v>871</v>
      </c>
      <c r="S39" t="s">
        <v>891</v>
      </c>
      <c r="T39" t="s">
        <v>891</v>
      </c>
      <c r="U39" t="s">
        <v>960</v>
      </c>
      <c r="V39" s="28" t="s">
        <v>1051</v>
      </c>
      <c r="W39" s="28" t="s">
        <v>1045</v>
      </c>
      <c r="X39" s="28" t="s">
        <v>1702</v>
      </c>
      <c r="Y39" s="28" t="s">
        <v>1703</v>
      </c>
      <c r="Z39" s="28" t="s">
        <v>1704</v>
      </c>
      <c r="AA39" s="28" t="s">
        <v>1705</v>
      </c>
      <c r="AB39" s="28" t="s">
        <v>1706</v>
      </c>
      <c r="AC39" s="28" t="s">
        <v>1707</v>
      </c>
    </row>
    <row r="40" spans="1:29">
      <c r="A40">
        <v>27</v>
      </c>
      <c r="B40">
        <v>2116</v>
      </c>
      <c r="C40">
        <v>2116</v>
      </c>
      <c r="D40" t="s">
        <v>21</v>
      </c>
      <c r="E40" s="22">
        <v>44306</v>
      </c>
      <c r="F40" s="23">
        <v>44306</v>
      </c>
      <c r="G40" t="s">
        <v>25</v>
      </c>
      <c r="H40" t="s">
        <v>29</v>
      </c>
      <c r="I40" t="s">
        <v>29</v>
      </c>
      <c r="J40" t="s">
        <v>54</v>
      </c>
      <c r="K40" t="s">
        <v>73</v>
      </c>
      <c r="L40" t="s">
        <v>145</v>
      </c>
      <c r="M40">
        <v>2111</v>
      </c>
      <c r="N40" t="s">
        <v>807</v>
      </c>
      <c r="O40" t="s">
        <v>865</v>
      </c>
      <c r="P40" t="s">
        <v>21</v>
      </c>
      <c r="Q40" t="s">
        <v>21</v>
      </c>
      <c r="R40" t="s">
        <v>871</v>
      </c>
      <c r="S40" t="s">
        <v>891</v>
      </c>
      <c r="T40" t="s">
        <v>891</v>
      </c>
      <c r="U40" t="s">
        <v>960</v>
      </c>
      <c r="V40" s="28" t="s">
        <v>1051</v>
      </c>
      <c r="W40" s="28" t="s">
        <v>1045</v>
      </c>
      <c r="X40" s="28" t="s">
        <v>1702</v>
      </c>
      <c r="Y40" s="28" t="s">
        <v>1703</v>
      </c>
      <c r="Z40" s="28" t="s">
        <v>1704</v>
      </c>
      <c r="AA40" s="28" t="s">
        <v>1705</v>
      </c>
      <c r="AB40" s="28" t="s">
        <v>1706</v>
      </c>
      <c r="AC40" s="28" t="s">
        <v>1707</v>
      </c>
    </row>
    <row r="41" spans="1:29">
      <c r="A41">
        <v>28</v>
      </c>
      <c r="B41">
        <v>2116</v>
      </c>
      <c r="C41">
        <v>2116</v>
      </c>
      <c r="D41" t="s">
        <v>21</v>
      </c>
      <c r="E41" s="22">
        <v>44306</v>
      </c>
      <c r="F41" s="23">
        <v>44306</v>
      </c>
      <c r="G41" t="s">
        <v>25</v>
      </c>
      <c r="H41" t="s">
        <v>29</v>
      </c>
      <c r="I41" t="s">
        <v>29</v>
      </c>
      <c r="J41" t="s">
        <v>54</v>
      </c>
      <c r="K41" t="s">
        <v>73</v>
      </c>
      <c r="L41" t="s">
        <v>146</v>
      </c>
      <c r="M41">
        <v>2111</v>
      </c>
      <c r="N41" t="s">
        <v>807</v>
      </c>
      <c r="O41" t="s">
        <v>865</v>
      </c>
      <c r="P41" t="s">
        <v>21</v>
      </c>
      <c r="Q41" t="s">
        <v>21</v>
      </c>
      <c r="R41" t="s">
        <v>871</v>
      </c>
      <c r="S41" t="s">
        <v>891</v>
      </c>
      <c r="T41" t="s">
        <v>891</v>
      </c>
      <c r="U41" t="s">
        <v>960</v>
      </c>
      <c r="V41" s="28" t="s">
        <v>1051</v>
      </c>
      <c r="W41" s="28" t="s">
        <v>1045</v>
      </c>
      <c r="X41" s="28" t="s">
        <v>1702</v>
      </c>
      <c r="Y41" s="28" t="s">
        <v>1703</v>
      </c>
      <c r="Z41" s="28" t="s">
        <v>1704</v>
      </c>
      <c r="AA41" s="28" t="s">
        <v>1705</v>
      </c>
      <c r="AB41" s="28" t="s">
        <v>1706</v>
      </c>
      <c r="AC41" s="28" t="s">
        <v>1707</v>
      </c>
    </row>
    <row r="42" spans="1:29">
      <c r="A42">
        <v>29</v>
      </c>
      <c r="B42">
        <v>2116</v>
      </c>
      <c r="C42">
        <v>2116</v>
      </c>
      <c r="D42" t="s">
        <v>21</v>
      </c>
      <c r="E42" s="22">
        <v>44306</v>
      </c>
      <c r="F42" s="23">
        <v>44306</v>
      </c>
      <c r="G42" t="s">
        <v>25</v>
      </c>
      <c r="H42" t="s">
        <v>29</v>
      </c>
      <c r="I42" t="s">
        <v>29</v>
      </c>
      <c r="J42" t="s">
        <v>54</v>
      </c>
      <c r="K42" t="s">
        <v>73</v>
      </c>
      <c r="L42" t="s">
        <v>147</v>
      </c>
      <c r="M42">
        <v>2111</v>
      </c>
      <c r="N42" t="s">
        <v>807</v>
      </c>
      <c r="O42" t="s">
        <v>865</v>
      </c>
      <c r="P42" t="s">
        <v>21</v>
      </c>
      <c r="Q42" t="s">
        <v>21</v>
      </c>
      <c r="R42" t="s">
        <v>871</v>
      </c>
      <c r="S42" t="s">
        <v>891</v>
      </c>
      <c r="T42" t="s">
        <v>891</v>
      </c>
      <c r="U42" t="s">
        <v>960</v>
      </c>
      <c r="V42" s="28" t="s">
        <v>1051</v>
      </c>
      <c r="W42" s="28" t="s">
        <v>1045</v>
      </c>
      <c r="X42" s="28" t="s">
        <v>1702</v>
      </c>
      <c r="Y42" s="28" t="s">
        <v>1703</v>
      </c>
      <c r="Z42" s="28" t="s">
        <v>1704</v>
      </c>
      <c r="AA42" s="28" t="s">
        <v>1705</v>
      </c>
      <c r="AB42" s="28" t="s">
        <v>1706</v>
      </c>
      <c r="AC42" s="28" t="s">
        <v>1707</v>
      </c>
    </row>
    <row r="43" spans="1:29">
      <c r="A43">
        <v>30</v>
      </c>
      <c r="B43">
        <v>2116</v>
      </c>
      <c r="C43">
        <v>2116</v>
      </c>
      <c r="D43" t="s">
        <v>21</v>
      </c>
      <c r="E43" s="22">
        <v>44306</v>
      </c>
      <c r="F43" s="23">
        <v>44306</v>
      </c>
      <c r="G43" t="s">
        <v>25</v>
      </c>
      <c r="H43" t="s">
        <v>29</v>
      </c>
      <c r="I43" t="s">
        <v>29</v>
      </c>
      <c r="J43" t="s">
        <v>54</v>
      </c>
      <c r="K43" t="s">
        <v>73</v>
      </c>
      <c r="L43" t="s">
        <v>148</v>
      </c>
      <c r="M43">
        <v>2111</v>
      </c>
      <c r="N43" t="s">
        <v>807</v>
      </c>
      <c r="O43" t="s">
        <v>865</v>
      </c>
      <c r="P43" t="s">
        <v>21</v>
      </c>
      <c r="Q43" t="s">
        <v>21</v>
      </c>
      <c r="R43" t="s">
        <v>871</v>
      </c>
      <c r="S43" t="s">
        <v>891</v>
      </c>
      <c r="T43" t="s">
        <v>891</v>
      </c>
      <c r="U43" t="s">
        <v>960</v>
      </c>
      <c r="V43" s="28" t="s">
        <v>1051</v>
      </c>
      <c r="W43" s="28" t="s">
        <v>1045</v>
      </c>
      <c r="X43" s="28" t="s">
        <v>1702</v>
      </c>
      <c r="Y43" s="28" t="s">
        <v>1703</v>
      </c>
      <c r="Z43" s="28" t="s">
        <v>1704</v>
      </c>
      <c r="AA43" s="28" t="s">
        <v>1705</v>
      </c>
      <c r="AB43" s="28" t="s">
        <v>1706</v>
      </c>
      <c r="AC43" s="28" t="s">
        <v>1707</v>
      </c>
    </row>
    <row r="44" spans="1:29">
      <c r="A44">
        <v>31</v>
      </c>
      <c r="B44">
        <v>2116</v>
      </c>
      <c r="C44">
        <v>2116</v>
      </c>
      <c r="D44" t="s">
        <v>21</v>
      </c>
      <c r="E44" s="22">
        <v>44306</v>
      </c>
      <c r="F44" s="23">
        <v>44306</v>
      </c>
      <c r="G44" t="s">
        <v>25</v>
      </c>
      <c r="H44" t="s">
        <v>29</v>
      </c>
      <c r="I44" t="s">
        <v>29</v>
      </c>
      <c r="J44" t="s">
        <v>54</v>
      </c>
      <c r="K44" t="s">
        <v>73</v>
      </c>
      <c r="L44" t="s">
        <v>149</v>
      </c>
      <c r="M44">
        <v>2111</v>
      </c>
      <c r="N44" t="s">
        <v>807</v>
      </c>
      <c r="O44" t="s">
        <v>865</v>
      </c>
      <c r="P44" t="s">
        <v>21</v>
      </c>
      <c r="Q44" t="s">
        <v>21</v>
      </c>
      <c r="R44" t="s">
        <v>871</v>
      </c>
      <c r="S44" t="s">
        <v>891</v>
      </c>
      <c r="T44" t="s">
        <v>891</v>
      </c>
      <c r="U44" t="s">
        <v>960</v>
      </c>
      <c r="V44" s="28" t="s">
        <v>1051</v>
      </c>
      <c r="W44" s="28" t="s">
        <v>1045</v>
      </c>
      <c r="X44" s="28" t="s">
        <v>1702</v>
      </c>
      <c r="Y44" s="28" t="s">
        <v>1703</v>
      </c>
      <c r="Z44" s="28" t="s">
        <v>1704</v>
      </c>
      <c r="AA44" s="28" t="s">
        <v>1705</v>
      </c>
      <c r="AB44" s="28" t="s">
        <v>1706</v>
      </c>
      <c r="AC44" s="28" t="s">
        <v>1707</v>
      </c>
    </row>
    <row r="45" spans="1:29">
      <c r="A45">
        <v>32</v>
      </c>
      <c r="B45">
        <v>2116</v>
      </c>
      <c r="C45">
        <v>2116</v>
      </c>
      <c r="D45" t="s">
        <v>21</v>
      </c>
      <c r="E45" s="22">
        <v>44306</v>
      </c>
      <c r="F45" s="23">
        <v>44306</v>
      </c>
      <c r="G45" t="s">
        <v>25</v>
      </c>
      <c r="H45" t="s">
        <v>29</v>
      </c>
      <c r="I45" t="s">
        <v>29</v>
      </c>
      <c r="J45" t="s">
        <v>54</v>
      </c>
      <c r="K45" t="s">
        <v>73</v>
      </c>
      <c r="L45" t="s">
        <v>150</v>
      </c>
      <c r="M45">
        <v>2111</v>
      </c>
      <c r="N45" t="s">
        <v>807</v>
      </c>
      <c r="O45" t="s">
        <v>865</v>
      </c>
      <c r="P45" t="s">
        <v>21</v>
      </c>
      <c r="Q45" t="s">
        <v>21</v>
      </c>
      <c r="R45" t="s">
        <v>871</v>
      </c>
      <c r="S45" t="s">
        <v>891</v>
      </c>
      <c r="T45" t="s">
        <v>891</v>
      </c>
      <c r="U45" t="s">
        <v>960</v>
      </c>
      <c r="V45" s="28" t="s">
        <v>1051</v>
      </c>
      <c r="W45" s="28" t="s">
        <v>1045</v>
      </c>
      <c r="X45" s="28" t="s">
        <v>1702</v>
      </c>
      <c r="Y45" s="28" t="s">
        <v>1703</v>
      </c>
      <c r="Z45" s="28" t="s">
        <v>1704</v>
      </c>
      <c r="AA45" s="28" t="s">
        <v>1705</v>
      </c>
      <c r="AB45" s="28" t="s">
        <v>1706</v>
      </c>
      <c r="AC45" s="28" t="s">
        <v>1707</v>
      </c>
    </row>
    <row r="46" spans="1:29">
      <c r="A46">
        <v>33</v>
      </c>
      <c r="B46">
        <v>2116</v>
      </c>
      <c r="C46">
        <v>2116</v>
      </c>
      <c r="D46" t="s">
        <v>21</v>
      </c>
      <c r="E46" s="22">
        <v>44306</v>
      </c>
      <c r="F46" s="23">
        <v>44306</v>
      </c>
      <c r="G46" t="s">
        <v>25</v>
      </c>
      <c r="H46" t="s">
        <v>29</v>
      </c>
      <c r="I46" t="s">
        <v>29</v>
      </c>
      <c r="J46" t="s">
        <v>54</v>
      </c>
      <c r="K46" t="s">
        <v>73</v>
      </c>
      <c r="L46" t="s">
        <v>151</v>
      </c>
      <c r="M46">
        <v>2111</v>
      </c>
      <c r="N46" t="s">
        <v>807</v>
      </c>
      <c r="O46" t="s">
        <v>865</v>
      </c>
      <c r="P46" t="s">
        <v>21</v>
      </c>
      <c r="Q46" t="s">
        <v>21</v>
      </c>
      <c r="R46" t="s">
        <v>871</v>
      </c>
      <c r="S46" t="s">
        <v>891</v>
      </c>
      <c r="T46" t="s">
        <v>891</v>
      </c>
      <c r="U46" t="s">
        <v>960</v>
      </c>
      <c r="V46" s="28" t="s">
        <v>1051</v>
      </c>
      <c r="W46" s="28" t="s">
        <v>1045</v>
      </c>
      <c r="X46" s="28" t="s">
        <v>1702</v>
      </c>
      <c r="Y46" s="28" t="s">
        <v>1703</v>
      </c>
      <c r="Z46" s="28" t="s">
        <v>1704</v>
      </c>
      <c r="AA46" s="28" t="s">
        <v>1705</v>
      </c>
      <c r="AB46" s="28" t="s">
        <v>1706</v>
      </c>
      <c r="AC46" s="28" t="s">
        <v>1707</v>
      </c>
    </row>
    <row r="47" spans="1:29">
      <c r="A47">
        <v>34</v>
      </c>
      <c r="B47">
        <v>2116</v>
      </c>
      <c r="C47">
        <v>2116</v>
      </c>
      <c r="D47" t="s">
        <v>21</v>
      </c>
      <c r="E47" s="22">
        <v>44306</v>
      </c>
      <c r="F47" s="23">
        <v>44306</v>
      </c>
      <c r="G47" t="s">
        <v>25</v>
      </c>
      <c r="H47" t="s">
        <v>29</v>
      </c>
      <c r="I47" t="s">
        <v>29</v>
      </c>
      <c r="J47" t="s">
        <v>54</v>
      </c>
      <c r="K47" t="s">
        <v>73</v>
      </c>
      <c r="L47" t="s">
        <v>152</v>
      </c>
      <c r="M47">
        <v>2111</v>
      </c>
      <c r="N47" t="s">
        <v>807</v>
      </c>
      <c r="O47" t="s">
        <v>865</v>
      </c>
      <c r="P47" t="s">
        <v>21</v>
      </c>
      <c r="Q47" t="s">
        <v>21</v>
      </c>
      <c r="R47" t="s">
        <v>871</v>
      </c>
      <c r="S47" t="s">
        <v>891</v>
      </c>
      <c r="T47" t="s">
        <v>891</v>
      </c>
      <c r="U47" t="s">
        <v>960</v>
      </c>
      <c r="V47" s="28" t="s">
        <v>1051</v>
      </c>
      <c r="W47" s="28" t="s">
        <v>1045</v>
      </c>
      <c r="X47" s="28" t="s">
        <v>1702</v>
      </c>
      <c r="Y47" s="28" t="s">
        <v>1703</v>
      </c>
      <c r="Z47" s="28" t="s">
        <v>1704</v>
      </c>
      <c r="AA47" s="28" t="s">
        <v>1705</v>
      </c>
      <c r="AB47" s="28" t="s">
        <v>1706</v>
      </c>
      <c r="AC47" s="28" t="s">
        <v>1707</v>
      </c>
    </row>
    <row r="48" spans="1:29">
      <c r="A48">
        <v>35</v>
      </c>
      <c r="B48">
        <v>2116</v>
      </c>
      <c r="C48">
        <v>2116</v>
      </c>
      <c r="D48" t="s">
        <v>21</v>
      </c>
      <c r="E48" s="22">
        <v>44306</v>
      </c>
      <c r="F48" s="23">
        <v>44306</v>
      </c>
      <c r="G48" t="s">
        <v>25</v>
      </c>
      <c r="H48" t="s">
        <v>29</v>
      </c>
      <c r="I48" t="s">
        <v>29</v>
      </c>
      <c r="J48" t="s">
        <v>54</v>
      </c>
      <c r="K48" t="s">
        <v>73</v>
      </c>
      <c r="L48" t="s">
        <v>153</v>
      </c>
      <c r="M48">
        <v>2111</v>
      </c>
      <c r="N48" t="s">
        <v>807</v>
      </c>
      <c r="O48" t="s">
        <v>865</v>
      </c>
      <c r="P48" t="s">
        <v>21</v>
      </c>
      <c r="Q48" t="s">
        <v>21</v>
      </c>
      <c r="R48" t="s">
        <v>871</v>
      </c>
      <c r="S48" t="s">
        <v>891</v>
      </c>
      <c r="T48" t="s">
        <v>891</v>
      </c>
      <c r="U48" t="s">
        <v>960</v>
      </c>
      <c r="V48" s="28" t="s">
        <v>1051</v>
      </c>
      <c r="W48" s="28" t="s">
        <v>1045</v>
      </c>
      <c r="X48" s="28" t="s">
        <v>1702</v>
      </c>
      <c r="Y48" s="28" t="s">
        <v>1703</v>
      </c>
      <c r="Z48" s="28" t="s">
        <v>1704</v>
      </c>
      <c r="AA48" s="28" t="s">
        <v>1705</v>
      </c>
      <c r="AB48" s="28" t="s">
        <v>1706</v>
      </c>
      <c r="AC48" s="28" t="s">
        <v>1707</v>
      </c>
    </row>
    <row r="49" spans="1:29">
      <c r="A49">
        <v>36</v>
      </c>
      <c r="B49">
        <v>2116</v>
      </c>
      <c r="C49">
        <v>2116</v>
      </c>
      <c r="D49" t="s">
        <v>21</v>
      </c>
      <c r="E49" s="22">
        <v>44306</v>
      </c>
      <c r="F49" s="23">
        <v>44306</v>
      </c>
      <c r="G49" t="s">
        <v>25</v>
      </c>
      <c r="H49" t="s">
        <v>29</v>
      </c>
      <c r="I49" t="s">
        <v>29</v>
      </c>
      <c r="J49" t="s">
        <v>54</v>
      </c>
      <c r="K49" t="s">
        <v>73</v>
      </c>
      <c r="L49" t="s">
        <v>154</v>
      </c>
      <c r="M49">
        <v>2111</v>
      </c>
      <c r="N49" t="s">
        <v>807</v>
      </c>
      <c r="O49" t="s">
        <v>865</v>
      </c>
      <c r="P49" t="s">
        <v>21</v>
      </c>
      <c r="Q49" t="s">
        <v>21</v>
      </c>
      <c r="R49" t="s">
        <v>871</v>
      </c>
      <c r="S49" t="s">
        <v>891</v>
      </c>
      <c r="T49" t="s">
        <v>891</v>
      </c>
      <c r="U49" t="s">
        <v>960</v>
      </c>
      <c r="V49" s="28" t="s">
        <v>1051</v>
      </c>
      <c r="W49" s="28" t="s">
        <v>1045</v>
      </c>
      <c r="X49" s="28" t="s">
        <v>1702</v>
      </c>
      <c r="Y49" s="28" t="s">
        <v>1703</v>
      </c>
      <c r="Z49" s="28" t="s">
        <v>1704</v>
      </c>
      <c r="AA49" s="28" t="s">
        <v>1705</v>
      </c>
      <c r="AB49" s="28" t="s">
        <v>1706</v>
      </c>
      <c r="AC49" s="28" t="s">
        <v>1707</v>
      </c>
    </row>
    <row r="50" spans="1:29">
      <c r="A50">
        <v>37</v>
      </c>
      <c r="B50">
        <v>2116</v>
      </c>
      <c r="C50">
        <v>2116</v>
      </c>
      <c r="D50" t="s">
        <v>21</v>
      </c>
      <c r="E50" s="22">
        <v>44306</v>
      </c>
      <c r="F50" s="23">
        <v>44306</v>
      </c>
      <c r="G50" t="s">
        <v>25</v>
      </c>
      <c r="H50" t="s">
        <v>29</v>
      </c>
      <c r="I50" t="s">
        <v>29</v>
      </c>
      <c r="J50" t="s">
        <v>54</v>
      </c>
      <c r="K50" t="s">
        <v>73</v>
      </c>
      <c r="L50" t="s">
        <v>155</v>
      </c>
      <c r="M50">
        <v>2111</v>
      </c>
      <c r="N50" t="s">
        <v>807</v>
      </c>
      <c r="O50" t="s">
        <v>865</v>
      </c>
      <c r="P50" t="s">
        <v>21</v>
      </c>
      <c r="Q50" t="s">
        <v>21</v>
      </c>
      <c r="R50" t="s">
        <v>871</v>
      </c>
      <c r="S50" t="s">
        <v>891</v>
      </c>
      <c r="T50" t="s">
        <v>891</v>
      </c>
      <c r="U50" t="s">
        <v>960</v>
      </c>
      <c r="V50" s="28" t="s">
        <v>1051</v>
      </c>
      <c r="W50" s="28" t="s">
        <v>1045</v>
      </c>
      <c r="X50" s="28" t="s">
        <v>1702</v>
      </c>
      <c r="Y50" s="28" t="s">
        <v>1703</v>
      </c>
      <c r="Z50" s="28" t="s">
        <v>1704</v>
      </c>
      <c r="AA50" s="28" t="s">
        <v>1705</v>
      </c>
      <c r="AB50" s="28" t="s">
        <v>1706</v>
      </c>
      <c r="AC50" s="28" t="s">
        <v>1707</v>
      </c>
    </row>
    <row r="51" spans="1:29">
      <c r="A51">
        <v>38</v>
      </c>
      <c r="B51">
        <v>2116</v>
      </c>
      <c r="C51">
        <v>2116</v>
      </c>
      <c r="D51" t="s">
        <v>21</v>
      </c>
      <c r="E51" s="22">
        <v>44306</v>
      </c>
      <c r="F51" s="23">
        <v>44306</v>
      </c>
      <c r="G51" t="s">
        <v>25</v>
      </c>
      <c r="H51" t="s">
        <v>29</v>
      </c>
      <c r="I51" t="s">
        <v>29</v>
      </c>
      <c r="J51" t="s">
        <v>54</v>
      </c>
      <c r="K51" t="s">
        <v>73</v>
      </c>
      <c r="L51" t="s">
        <v>156</v>
      </c>
      <c r="M51">
        <v>2111</v>
      </c>
      <c r="N51" t="s">
        <v>807</v>
      </c>
      <c r="O51" t="s">
        <v>865</v>
      </c>
      <c r="P51" t="s">
        <v>21</v>
      </c>
      <c r="Q51" t="s">
        <v>21</v>
      </c>
      <c r="R51" t="s">
        <v>871</v>
      </c>
      <c r="S51" t="s">
        <v>891</v>
      </c>
      <c r="T51" t="s">
        <v>891</v>
      </c>
      <c r="U51" t="s">
        <v>960</v>
      </c>
      <c r="V51" s="28" t="s">
        <v>1051</v>
      </c>
      <c r="W51" s="28" t="s">
        <v>1045</v>
      </c>
      <c r="X51" s="28" t="s">
        <v>1702</v>
      </c>
      <c r="Y51" s="28" t="s">
        <v>1703</v>
      </c>
      <c r="Z51" s="28" t="s">
        <v>1704</v>
      </c>
      <c r="AA51" s="28" t="s">
        <v>1705</v>
      </c>
      <c r="AB51" s="28" t="s">
        <v>1706</v>
      </c>
      <c r="AC51" s="28" t="s">
        <v>1707</v>
      </c>
    </row>
    <row r="52" spans="1:29">
      <c r="A52">
        <v>39</v>
      </c>
      <c r="B52">
        <v>2116</v>
      </c>
      <c r="C52">
        <v>2116</v>
      </c>
      <c r="D52" t="s">
        <v>21</v>
      </c>
      <c r="E52" s="22">
        <v>44306</v>
      </c>
      <c r="F52" s="23">
        <v>44306</v>
      </c>
      <c r="G52" t="s">
        <v>25</v>
      </c>
      <c r="H52" t="s">
        <v>29</v>
      </c>
      <c r="I52" t="s">
        <v>29</v>
      </c>
      <c r="J52" t="s">
        <v>54</v>
      </c>
      <c r="K52" t="s">
        <v>73</v>
      </c>
      <c r="L52" t="s">
        <v>157</v>
      </c>
      <c r="M52">
        <v>2111</v>
      </c>
      <c r="N52" t="s">
        <v>807</v>
      </c>
      <c r="O52" t="s">
        <v>865</v>
      </c>
      <c r="P52" t="s">
        <v>21</v>
      </c>
      <c r="Q52" t="s">
        <v>21</v>
      </c>
      <c r="R52" t="s">
        <v>871</v>
      </c>
      <c r="S52" t="s">
        <v>891</v>
      </c>
      <c r="T52" t="s">
        <v>891</v>
      </c>
      <c r="U52" t="s">
        <v>960</v>
      </c>
      <c r="V52" s="28" t="s">
        <v>1051</v>
      </c>
      <c r="W52" s="28" t="s">
        <v>1045</v>
      </c>
      <c r="X52" s="28" t="s">
        <v>1702</v>
      </c>
      <c r="Y52" s="28" t="s">
        <v>1703</v>
      </c>
      <c r="Z52" s="28" t="s">
        <v>1704</v>
      </c>
      <c r="AA52" s="28" t="s">
        <v>1705</v>
      </c>
      <c r="AB52" s="28" t="s">
        <v>1706</v>
      </c>
      <c r="AC52" s="28" t="s">
        <v>1707</v>
      </c>
    </row>
    <row r="53" spans="1:29">
      <c r="A53">
        <v>40</v>
      </c>
      <c r="B53">
        <v>2116</v>
      </c>
      <c r="C53">
        <v>2116</v>
      </c>
      <c r="D53" t="s">
        <v>21</v>
      </c>
      <c r="E53" s="22">
        <v>44306</v>
      </c>
      <c r="F53" s="23">
        <v>44306</v>
      </c>
      <c r="G53" t="s">
        <v>25</v>
      </c>
      <c r="H53" t="s">
        <v>29</v>
      </c>
      <c r="I53" t="s">
        <v>29</v>
      </c>
      <c r="J53" t="s">
        <v>54</v>
      </c>
      <c r="K53" t="s">
        <v>73</v>
      </c>
      <c r="L53" t="s">
        <v>158</v>
      </c>
      <c r="M53">
        <v>2111</v>
      </c>
      <c r="N53" t="s">
        <v>807</v>
      </c>
      <c r="O53" t="s">
        <v>865</v>
      </c>
      <c r="P53" t="s">
        <v>21</v>
      </c>
      <c r="Q53" t="s">
        <v>21</v>
      </c>
      <c r="R53" t="s">
        <v>871</v>
      </c>
      <c r="S53" t="s">
        <v>891</v>
      </c>
      <c r="T53" t="s">
        <v>891</v>
      </c>
      <c r="U53" t="s">
        <v>960</v>
      </c>
      <c r="V53" s="28" t="s">
        <v>1051</v>
      </c>
      <c r="W53" s="28" t="s">
        <v>1045</v>
      </c>
      <c r="X53" s="28" t="s">
        <v>1702</v>
      </c>
      <c r="Y53" s="28" t="s">
        <v>1703</v>
      </c>
      <c r="Z53" s="28" t="s">
        <v>1704</v>
      </c>
      <c r="AA53" s="28" t="s">
        <v>1705</v>
      </c>
      <c r="AB53" s="28" t="s">
        <v>1706</v>
      </c>
      <c r="AC53" s="28" t="s">
        <v>1707</v>
      </c>
    </row>
    <row r="54" spans="1:29">
      <c r="A54">
        <v>41</v>
      </c>
      <c r="B54">
        <v>2116</v>
      </c>
      <c r="C54">
        <v>2116</v>
      </c>
      <c r="D54" t="s">
        <v>21</v>
      </c>
      <c r="E54" s="22">
        <v>44306</v>
      </c>
      <c r="F54" s="23">
        <v>44306</v>
      </c>
      <c r="G54" t="s">
        <v>25</v>
      </c>
      <c r="H54" t="s">
        <v>29</v>
      </c>
      <c r="I54" t="s">
        <v>29</v>
      </c>
      <c r="J54" t="s">
        <v>54</v>
      </c>
      <c r="K54" t="s">
        <v>73</v>
      </c>
      <c r="L54" t="s">
        <v>159</v>
      </c>
      <c r="M54">
        <v>2111</v>
      </c>
      <c r="N54" t="s">
        <v>807</v>
      </c>
      <c r="O54" t="s">
        <v>865</v>
      </c>
      <c r="P54" t="s">
        <v>21</v>
      </c>
      <c r="Q54" t="s">
        <v>21</v>
      </c>
      <c r="R54" t="s">
        <v>871</v>
      </c>
      <c r="S54" t="s">
        <v>891</v>
      </c>
      <c r="T54" t="s">
        <v>891</v>
      </c>
      <c r="U54" t="s">
        <v>960</v>
      </c>
      <c r="V54" s="28" t="s">
        <v>1051</v>
      </c>
      <c r="W54" s="28" t="s">
        <v>1045</v>
      </c>
      <c r="X54" s="28" t="s">
        <v>1702</v>
      </c>
      <c r="Y54" s="28" t="s">
        <v>1703</v>
      </c>
      <c r="Z54" s="28" t="s">
        <v>1704</v>
      </c>
      <c r="AA54" s="28" t="s">
        <v>1705</v>
      </c>
      <c r="AB54" s="28" t="s">
        <v>1706</v>
      </c>
      <c r="AC54" s="28" t="s">
        <v>1707</v>
      </c>
    </row>
    <row r="55" spans="1:29">
      <c r="A55">
        <v>42</v>
      </c>
      <c r="B55">
        <v>2116</v>
      </c>
      <c r="C55">
        <v>2116</v>
      </c>
      <c r="D55" t="s">
        <v>21</v>
      </c>
      <c r="E55" s="22">
        <v>44306</v>
      </c>
      <c r="F55" s="23">
        <v>44306</v>
      </c>
      <c r="G55" t="s">
        <v>25</v>
      </c>
      <c r="H55" t="s">
        <v>29</v>
      </c>
      <c r="I55" t="s">
        <v>29</v>
      </c>
      <c r="J55" t="s">
        <v>54</v>
      </c>
      <c r="K55" t="s">
        <v>73</v>
      </c>
      <c r="L55" t="s">
        <v>160</v>
      </c>
      <c r="M55">
        <v>2111</v>
      </c>
      <c r="N55" t="s">
        <v>807</v>
      </c>
      <c r="O55" t="s">
        <v>865</v>
      </c>
      <c r="P55" t="s">
        <v>21</v>
      </c>
      <c r="Q55" t="s">
        <v>21</v>
      </c>
      <c r="R55" t="s">
        <v>871</v>
      </c>
      <c r="S55" t="s">
        <v>891</v>
      </c>
      <c r="T55" t="s">
        <v>891</v>
      </c>
      <c r="U55" t="s">
        <v>960</v>
      </c>
      <c r="V55" s="28" t="s">
        <v>1051</v>
      </c>
      <c r="W55" s="28" t="s">
        <v>1045</v>
      </c>
      <c r="X55" s="28" t="s">
        <v>1702</v>
      </c>
      <c r="Y55" s="28" t="s">
        <v>1703</v>
      </c>
      <c r="Z55" s="28" t="s">
        <v>1704</v>
      </c>
      <c r="AA55" s="28" t="s">
        <v>1705</v>
      </c>
      <c r="AB55" s="28" t="s">
        <v>1706</v>
      </c>
      <c r="AC55" s="28" t="s">
        <v>1707</v>
      </c>
    </row>
    <row r="56" spans="1:29">
      <c r="A56">
        <v>43</v>
      </c>
      <c r="B56">
        <v>2116</v>
      </c>
      <c r="C56">
        <v>2116</v>
      </c>
      <c r="D56" t="s">
        <v>21</v>
      </c>
      <c r="E56" s="22">
        <v>44306</v>
      </c>
      <c r="F56" s="23">
        <v>44306</v>
      </c>
      <c r="G56" t="s">
        <v>25</v>
      </c>
      <c r="H56" t="s">
        <v>29</v>
      </c>
      <c r="I56" t="s">
        <v>29</v>
      </c>
      <c r="J56" t="s">
        <v>54</v>
      </c>
      <c r="K56" t="s">
        <v>73</v>
      </c>
      <c r="L56" t="s">
        <v>161</v>
      </c>
      <c r="M56">
        <v>2111</v>
      </c>
      <c r="N56" t="s">
        <v>807</v>
      </c>
      <c r="O56" t="s">
        <v>865</v>
      </c>
      <c r="P56" t="s">
        <v>21</v>
      </c>
      <c r="Q56" t="s">
        <v>21</v>
      </c>
      <c r="R56" t="s">
        <v>871</v>
      </c>
      <c r="S56" t="s">
        <v>891</v>
      </c>
      <c r="T56" t="s">
        <v>891</v>
      </c>
      <c r="U56" t="s">
        <v>960</v>
      </c>
      <c r="V56" s="28" t="s">
        <v>1051</v>
      </c>
      <c r="W56" s="28" t="s">
        <v>1045</v>
      </c>
      <c r="X56" s="28" t="s">
        <v>1702</v>
      </c>
      <c r="Y56" s="28" t="s">
        <v>1703</v>
      </c>
      <c r="Z56" s="28" t="s">
        <v>1704</v>
      </c>
      <c r="AA56" s="28" t="s">
        <v>1705</v>
      </c>
      <c r="AB56" s="28" t="s">
        <v>1706</v>
      </c>
      <c r="AC56" s="28" t="s">
        <v>1707</v>
      </c>
    </row>
    <row r="57" spans="1:29">
      <c r="A57">
        <v>44</v>
      </c>
      <c r="B57">
        <v>2116</v>
      </c>
      <c r="C57">
        <v>2116</v>
      </c>
      <c r="D57" t="s">
        <v>21</v>
      </c>
      <c r="E57" s="22">
        <v>44306</v>
      </c>
      <c r="F57" s="23">
        <v>44306</v>
      </c>
      <c r="G57" t="s">
        <v>25</v>
      </c>
      <c r="H57" t="s">
        <v>29</v>
      </c>
      <c r="I57" t="s">
        <v>29</v>
      </c>
      <c r="J57" t="s">
        <v>54</v>
      </c>
      <c r="K57" t="s">
        <v>73</v>
      </c>
      <c r="L57" t="s">
        <v>162</v>
      </c>
      <c r="M57">
        <v>2111</v>
      </c>
      <c r="N57" t="s">
        <v>807</v>
      </c>
      <c r="O57" t="s">
        <v>865</v>
      </c>
      <c r="P57" t="s">
        <v>21</v>
      </c>
      <c r="Q57" t="s">
        <v>21</v>
      </c>
      <c r="R57" t="s">
        <v>871</v>
      </c>
      <c r="S57" t="s">
        <v>891</v>
      </c>
      <c r="T57" t="s">
        <v>891</v>
      </c>
      <c r="U57" t="s">
        <v>960</v>
      </c>
      <c r="V57" s="28" t="s">
        <v>1051</v>
      </c>
      <c r="W57" s="28" t="s">
        <v>1045</v>
      </c>
      <c r="X57" s="28" t="s">
        <v>1702</v>
      </c>
      <c r="Y57" s="28" t="s">
        <v>1703</v>
      </c>
      <c r="Z57" s="28" t="s">
        <v>1704</v>
      </c>
      <c r="AA57" s="28" t="s">
        <v>1705</v>
      </c>
      <c r="AB57" s="28" t="s">
        <v>1706</v>
      </c>
      <c r="AC57" s="28" t="s">
        <v>1707</v>
      </c>
    </row>
    <row r="58" spans="1:29">
      <c r="A58">
        <v>45</v>
      </c>
      <c r="B58">
        <v>2116</v>
      </c>
      <c r="C58">
        <v>2116</v>
      </c>
      <c r="D58" t="s">
        <v>21</v>
      </c>
      <c r="E58" s="22">
        <v>44306</v>
      </c>
      <c r="F58" s="23">
        <v>44306</v>
      </c>
      <c r="G58" t="s">
        <v>25</v>
      </c>
      <c r="H58" t="s">
        <v>29</v>
      </c>
      <c r="I58" t="s">
        <v>29</v>
      </c>
      <c r="J58" t="s">
        <v>54</v>
      </c>
      <c r="K58" t="s">
        <v>73</v>
      </c>
      <c r="L58" t="s">
        <v>163</v>
      </c>
      <c r="M58">
        <v>2111</v>
      </c>
      <c r="N58" t="s">
        <v>807</v>
      </c>
      <c r="O58" t="s">
        <v>865</v>
      </c>
      <c r="P58" t="s">
        <v>21</v>
      </c>
      <c r="Q58" t="s">
        <v>21</v>
      </c>
      <c r="R58" t="s">
        <v>871</v>
      </c>
      <c r="S58" t="s">
        <v>891</v>
      </c>
      <c r="T58" t="s">
        <v>891</v>
      </c>
      <c r="U58" t="s">
        <v>960</v>
      </c>
      <c r="V58" s="28" t="s">
        <v>1051</v>
      </c>
      <c r="W58" s="28" t="s">
        <v>1045</v>
      </c>
      <c r="X58" s="28" t="s">
        <v>1702</v>
      </c>
      <c r="Y58" s="28" t="s">
        <v>1703</v>
      </c>
      <c r="Z58" s="28" t="s">
        <v>1704</v>
      </c>
      <c r="AA58" s="28" t="s">
        <v>1705</v>
      </c>
      <c r="AB58" s="28" t="s">
        <v>1706</v>
      </c>
      <c r="AC58" s="28" t="s">
        <v>1707</v>
      </c>
    </row>
    <row r="59" spans="1:29">
      <c r="A59">
        <v>46</v>
      </c>
      <c r="B59">
        <v>2116</v>
      </c>
      <c r="C59">
        <v>2116</v>
      </c>
      <c r="D59" t="s">
        <v>21</v>
      </c>
      <c r="E59" s="22">
        <v>44306</v>
      </c>
      <c r="F59" s="23">
        <v>44306</v>
      </c>
      <c r="G59" t="s">
        <v>25</v>
      </c>
      <c r="H59" t="s">
        <v>29</v>
      </c>
      <c r="I59" t="s">
        <v>29</v>
      </c>
      <c r="J59" t="s">
        <v>54</v>
      </c>
      <c r="K59" t="s">
        <v>73</v>
      </c>
      <c r="L59" t="s">
        <v>164</v>
      </c>
      <c r="M59">
        <v>2111</v>
      </c>
      <c r="N59" t="s">
        <v>807</v>
      </c>
      <c r="O59" t="s">
        <v>865</v>
      </c>
      <c r="P59" t="s">
        <v>21</v>
      </c>
      <c r="Q59" t="s">
        <v>21</v>
      </c>
      <c r="R59" t="s">
        <v>871</v>
      </c>
      <c r="S59" t="s">
        <v>891</v>
      </c>
      <c r="T59" t="s">
        <v>891</v>
      </c>
      <c r="U59" t="s">
        <v>960</v>
      </c>
      <c r="V59" s="28" t="s">
        <v>1051</v>
      </c>
      <c r="W59" s="28" t="s">
        <v>1045</v>
      </c>
      <c r="X59" s="28" t="s">
        <v>1702</v>
      </c>
      <c r="Y59" s="28" t="s">
        <v>1703</v>
      </c>
      <c r="Z59" s="28" t="s">
        <v>1704</v>
      </c>
      <c r="AA59" s="28" t="s">
        <v>1705</v>
      </c>
      <c r="AB59" s="28" t="s">
        <v>1706</v>
      </c>
      <c r="AC59" s="28" t="s">
        <v>1707</v>
      </c>
    </row>
    <row r="60" spans="1:29">
      <c r="A60">
        <v>47</v>
      </c>
      <c r="B60">
        <v>2116</v>
      </c>
      <c r="C60">
        <v>2116</v>
      </c>
      <c r="D60" t="s">
        <v>21</v>
      </c>
      <c r="E60" s="22">
        <v>44306</v>
      </c>
      <c r="F60" s="23">
        <v>44306</v>
      </c>
      <c r="G60" t="s">
        <v>25</v>
      </c>
      <c r="H60" t="s">
        <v>29</v>
      </c>
      <c r="I60" t="s">
        <v>29</v>
      </c>
      <c r="J60" t="s">
        <v>54</v>
      </c>
      <c r="K60" t="s">
        <v>73</v>
      </c>
      <c r="L60" t="s">
        <v>165</v>
      </c>
      <c r="M60">
        <v>2111</v>
      </c>
      <c r="N60" t="s">
        <v>807</v>
      </c>
      <c r="O60" t="s">
        <v>865</v>
      </c>
      <c r="P60" t="s">
        <v>21</v>
      </c>
      <c r="Q60" t="s">
        <v>21</v>
      </c>
      <c r="R60" t="s">
        <v>871</v>
      </c>
      <c r="S60" t="s">
        <v>891</v>
      </c>
      <c r="T60" t="s">
        <v>891</v>
      </c>
      <c r="U60" t="s">
        <v>960</v>
      </c>
      <c r="V60" s="28" t="s">
        <v>1051</v>
      </c>
      <c r="W60" s="28" t="s">
        <v>1045</v>
      </c>
      <c r="X60" s="28" t="s">
        <v>1702</v>
      </c>
      <c r="Y60" s="28" t="s">
        <v>1703</v>
      </c>
      <c r="Z60" s="28" t="s">
        <v>1704</v>
      </c>
      <c r="AA60" s="28" t="s">
        <v>1705</v>
      </c>
      <c r="AB60" s="28" t="s">
        <v>1706</v>
      </c>
      <c r="AC60" s="28" t="s">
        <v>1707</v>
      </c>
    </row>
    <row r="61" spans="1:29">
      <c r="A61">
        <v>48</v>
      </c>
      <c r="B61">
        <v>2116</v>
      </c>
      <c r="C61">
        <v>2116</v>
      </c>
      <c r="D61" t="s">
        <v>21</v>
      </c>
      <c r="E61" s="22">
        <v>44306</v>
      </c>
      <c r="F61" s="23">
        <v>44306</v>
      </c>
      <c r="G61" t="s">
        <v>25</v>
      </c>
      <c r="H61" t="s">
        <v>29</v>
      </c>
      <c r="I61" t="s">
        <v>29</v>
      </c>
      <c r="J61" t="s">
        <v>54</v>
      </c>
      <c r="K61" t="s">
        <v>73</v>
      </c>
      <c r="L61" t="s">
        <v>166</v>
      </c>
      <c r="M61">
        <v>2111</v>
      </c>
      <c r="N61" t="s">
        <v>807</v>
      </c>
      <c r="O61" t="s">
        <v>865</v>
      </c>
      <c r="P61" t="s">
        <v>21</v>
      </c>
      <c r="Q61" t="s">
        <v>21</v>
      </c>
      <c r="R61" t="s">
        <v>871</v>
      </c>
      <c r="S61" t="s">
        <v>891</v>
      </c>
      <c r="T61" t="s">
        <v>891</v>
      </c>
      <c r="U61" t="s">
        <v>960</v>
      </c>
      <c r="V61" s="28" t="s">
        <v>1051</v>
      </c>
      <c r="W61" s="28" t="s">
        <v>1045</v>
      </c>
      <c r="X61" s="28" t="s">
        <v>1702</v>
      </c>
      <c r="Y61" s="28" t="s">
        <v>1703</v>
      </c>
      <c r="Z61" s="28" t="s">
        <v>1704</v>
      </c>
      <c r="AA61" s="28" t="s">
        <v>1705</v>
      </c>
      <c r="AB61" s="28" t="s">
        <v>1706</v>
      </c>
      <c r="AC61" s="28" t="s">
        <v>1707</v>
      </c>
    </row>
    <row r="62" spans="1:29">
      <c r="A62">
        <v>49</v>
      </c>
      <c r="B62">
        <v>2116</v>
      </c>
      <c r="C62">
        <v>2116</v>
      </c>
      <c r="D62" t="s">
        <v>21</v>
      </c>
      <c r="E62" s="22">
        <v>44306</v>
      </c>
      <c r="F62" s="23">
        <v>44306</v>
      </c>
      <c r="G62" t="s">
        <v>25</v>
      </c>
      <c r="H62" t="s">
        <v>29</v>
      </c>
      <c r="I62" t="s">
        <v>29</v>
      </c>
      <c r="J62" t="s">
        <v>54</v>
      </c>
      <c r="K62" t="s">
        <v>73</v>
      </c>
      <c r="L62" t="s">
        <v>167</v>
      </c>
      <c r="M62">
        <v>2111</v>
      </c>
      <c r="N62" t="s">
        <v>807</v>
      </c>
      <c r="O62" t="s">
        <v>865</v>
      </c>
      <c r="P62" t="s">
        <v>21</v>
      </c>
      <c r="Q62" t="s">
        <v>21</v>
      </c>
      <c r="R62" t="s">
        <v>871</v>
      </c>
      <c r="S62" t="s">
        <v>891</v>
      </c>
      <c r="T62" t="s">
        <v>891</v>
      </c>
      <c r="U62" t="s">
        <v>960</v>
      </c>
      <c r="V62" s="28" t="s">
        <v>1051</v>
      </c>
      <c r="W62" s="28" t="s">
        <v>1045</v>
      </c>
      <c r="X62" s="28" t="s">
        <v>1702</v>
      </c>
      <c r="Y62" s="28" t="s">
        <v>1703</v>
      </c>
      <c r="Z62" s="28" t="s">
        <v>1704</v>
      </c>
      <c r="AA62" s="28" t="s">
        <v>1705</v>
      </c>
      <c r="AB62" s="28" t="s">
        <v>1706</v>
      </c>
      <c r="AC62" s="28" t="s">
        <v>1707</v>
      </c>
    </row>
    <row r="63" spans="1:29">
      <c r="A63">
        <v>50</v>
      </c>
      <c r="B63">
        <v>2116</v>
      </c>
      <c r="C63">
        <v>2116</v>
      </c>
      <c r="D63" t="s">
        <v>21</v>
      </c>
      <c r="E63" s="22">
        <v>44306</v>
      </c>
      <c r="F63" s="23">
        <v>44306</v>
      </c>
      <c r="G63" t="s">
        <v>25</v>
      </c>
      <c r="H63" t="s">
        <v>29</v>
      </c>
      <c r="I63" t="s">
        <v>29</v>
      </c>
      <c r="J63" t="s">
        <v>54</v>
      </c>
      <c r="K63" t="s">
        <v>73</v>
      </c>
      <c r="L63" t="s">
        <v>168</v>
      </c>
      <c r="M63">
        <v>2109</v>
      </c>
      <c r="N63" t="s">
        <v>807</v>
      </c>
      <c r="O63" t="s">
        <v>865</v>
      </c>
      <c r="P63" t="s">
        <v>21</v>
      </c>
      <c r="Q63" t="s">
        <v>21</v>
      </c>
      <c r="R63" t="s">
        <v>871</v>
      </c>
      <c r="S63" t="s">
        <v>891</v>
      </c>
      <c r="T63" t="s">
        <v>891</v>
      </c>
      <c r="U63" t="s">
        <v>960</v>
      </c>
      <c r="V63" s="28" t="s">
        <v>1051</v>
      </c>
      <c r="W63" s="28" t="s">
        <v>1045</v>
      </c>
      <c r="X63" s="28" t="s">
        <v>1702</v>
      </c>
      <c r="Y63" s="28" t="s">
        <v>1703</v>
      </c>
      <c r="Z63" s="28" t="s">
        <v>1704</v>
      </c>
      <c r="AA63" s="28" t="s">
        <v>1705</v>
      </c>
      <c r="AB63" s="28" t="s">
        <v>1706</v>
      </c>
      <c r="AC63" s="28" t="s">
        <v>1707</v>
      </c>
    </row>
    <row r="64" spans="1:29">
      <c r="A64">
        <v>51</v>
      </c>
      <c r="B64">
        <v>2116</v>
      </c>
      <c r="C64">
        <v>2116</v>
      </c>
      <c r="D64" t="s">
        <v>21</v>
      </c>
      <c r="E64" s="22">
        <v>44306</v>
      </c>
      <c r="F64" s="23">
        <v>44306</v>
      </c>
      <c r="G64" t="s">
        <v>25</v>
      </c>
      <c r="H64" t="s">
        <v>29</v>
      </c>
      <c r="I64" t="s">
        <v>29</v>
      </c>
      <c r="J64" t="s">
        <v>54</v>
      </c>
      <c r="K64" t="s">
        <v>73</v>
      </c>
      <c r="L64" t="s">
        <v>169</v>
      </c>
      <c r="M64">
        <v>2109</v>
      </c>
      <c r="N64" t="s">
        <v>807</v>
      </c>
      <c r="O64" t="s">
        <v>865</v>
      </c>
      <c r="P64" t="s">
        <v>21</v>
      </c>
      <c r="Q64" t="s">
        <v>21</v>
      </c>
      <c r="R64" t="s">
        <v>871</v>
      </c>
      <c r="S64" t="s">
        <v>891</v>
      </c>
      <c r="T64" t="s">
        <v>891</v>
      </c>
      <c r="U64" t="s">
        <v>960</v>
      </c>
      <c r="V64" s="28" t="s">
        <v>1051</v>
      </c>
      <c r="W64" s="28" t="s">
        <v>1045</v>
      </c>
      <c r="X64" s="28" t="s">
        <v>1702</v>
      </c>
      <c r="Y64" s="28" t="s">
        <v>1703</v>
      </c>
      <c r="Z64" s="28" t="s">
        <v>1704</v>
      </c>
      <c r="AA64" s="28" t="s">
        <v>1705</v>
      </c>
      <c r="AB64" s="28" t="s">
        <v>1706</v>
      </c>
      <c r="AC64" s="28" t="s">
        <v>1707</v>
      </c>
    </row>
    <row r="65" spans="1:29">
      <c r="A65">
        <v>52</v>
      </c>
      <c r="B65">
        <v>2116</v>
      </c>
      <c r="C65">
        <v>2116</v>
      </c>
      <c r="D65" t="s">
        <v>21</v>
      </c>
      <c r="E65" s="22">
        <v>44306</v>
      </c>
      <c r="F65" s="23">
        <v>44306</v>
      </c>
      <c r="G65" t="s">
        <v>25</v>
      </c>
      <c r="H65" t="s">
        <v>29</v>
      </c>
      <c r="I65" t="s">
        <v>29</v>
      </c>
      <c r="J65" t="s">
        <v>54</v>
      </c>
      <c r="K65" t="s">
        <v>73</v>
      </c>
      <c r="L65" t="s">
        <v>170</v>
      </c>
      <c r="M65">
        <v>2109</v>
      </c>
      <c r="N65" t="s">
        <v>807</v>
      </c>
      <c r="O65" t="s">
        <v>865</v>
      </c>
      <c r="P65" t="s">
        <v>21</v>
      </c>
      <c r="Q65" t="s">
        <v>21</v>
      </c>
      <c r="R65" t="s">
        <v>871</v>
      </c>
      <c r="S65" t="s">
        <v>891</v>
      </c>
      <c r="T65" t="s">
        <v>891</v>
      </c>
      <c r="U65" t="s">
        <v>960</v>
      </c>
      <c r="V65" s="28" t="s">
        <v>1051</v>
      </c>
      <c r="W65" s="28" t="s">
        <v>1045</v>
      </c>
      <c r="X65" s="28" t="s">
        <v>1702</v>
      </c>
      <c r="Y65" s="28" t="s">
        <v>1703</v>
      </c>
      <c r="Z65" s="28" t="s">
        <v>1704</v>
      </c>
      <c r="AA65" s="28" t="s">
        <v>1705</v>
      </c>
      <c r="AB65" s="28" t="s">
        <v>1706</v>
      </c>
      <c r="AC65" s="28" t="s">
        <v>1707</v>
      </c>
    </row>
    <row r="66" spans="1:29">
      <c r="A66">
        <v>53</v>
      </c>
      <c r="B66">
        <v>2116</v>
      </c>
      <c r="C66">
        <v>2116</v>
      </c>
      <c r="D66" t="s">
        <v>21</v>
      </c>
      <c r="E66" s="22">
        <v>44306</v>
      </c>
      <c r="F66" s="23">
        <v>44306</v>
      </c>
      <c r="G66" t="s">
        <v>25</v>
      </c>
      <c r="H66" t="s">
        <v>29</v>
      </c>
      <c r="I66" t="s">
        <v>29</v>
      </c>
      <c r="J66" t="s">
        <v>54</v>
      </c>
      <c r="K66" t="s">
        <v>73</v>
      </c>
      <c r="L66" t="s">
        <v>171</v>
      </c>
      <c r="M66">
        <v>2109</v>
      </c>
      <c r="N66" t="s">
        <v>807</v>
      </c>
      <c r="O66" t="s">
        <v>865</v>
      </c>
      <c r="P66" t="s">
        <v>21</v>
      </c>
      <c r="Q66" t="s">
        <v>21</v>
      </c>
      <c r="R66" t="s">
        <v>871</v>
      </c>
      <c r="S66" t="s">
        <v>891</v>
      </c>
      <c r="T66" t="s">
        <v>891</v>
      </c>
      <c r="U66" t="s">
        <v>960</v>
      </c>
      <c r="V66" s="28" t="s">
        <v>1051</v>
      </c>
      <c r="W66" s="28" t="s">
        <v>1045</v>
      </c>
      <c r="X66" s="28" t="s">
        <v>1702</v>
      </c>
      <c r="Y66" s="28" t="s">
        <v>1703</v>
      </c>
      <c r="Z66" s="28" t="s">
        <v>1704</v>
      </c>
      <c r="AA66" s="28" t="s">
        <v>1705</v>
      </c>
      <c r="AB66" s="28" t="s">
        <v>1706</v>
      </c>
      <c r="AC66" s="28" t="s">
        <v>1707</v>
      </c>
    </row>
    <row r="67" spans="1:29">
      <c r="A67">
        <v>54</v>
      </c>
      <c r="B67">
        <v>2116</v>
      </c>
      <c r="C67">
        <v>2116</v>
      </c>
      <c r="D67" t="s">
        <v>21</v>
      </c>
      <c r="E67" s="22">
        <v>44306</v>
      </c>
      <c r="F67" s="23">
        <v>44306</v>
      </c>
      <c r="G67" t="s">
        <v>25</v>
      </c>
      <c r="H67" t="s">
        <v>29</v>
      </c>
      <c r="I67" t="s">
        <v>29</v>
      </c>
      <c r="J67" t="s">
        <v>54</v>
      </c>
      <c r="K67" t="s">
        <v>73</v>
      </c>
      <c r="L67" t="s">
        <v>172</v>
      </c>
      <c r="M67">
        <v>2109</v>
      </c>
      <c r="N67" t="s">
        <v>807</v>
      </c>
      <c r="O67" t="s">
        <v>865</v>
      </c>
      <c r="P67" t="s">
        <v>21</v>
      </c>
      <c r="Q67" t="s">
        <v>21</v>
      </c>
      <c r="R67" t="s">
        <v>871</v>
      </c>
      <c r="S67" t="s">
        <v>891</v>
      </c>
      <c r="T67" t="s">
        <v>891</v>
      </c>
      <c r="U67" t="s">
        <v>960</v>
      </c>
      <c r="V67" s="28" t="s">
        <v>1051</v>
      </c>
      <c r="W67" s="28" t="s">
        <v>1045</v>
      </c>
      <c r="X67" s="28" t="s">
        <v>1702</v>
      </c>
      <c r="Y67" s="28" t="s">
        <v>1703</v>
      </c>
      <c r="Z67" s="28" t="s">
        <v>1704</v>
      </c>
      <c r="AA67" s="28" t="s">
        <v>1705</v>
      </c>
      <c r="AB67" s="28" t="s">
        <v>1706</v>
      </c>
      <c r="AC67" s="28" t="s">
        <v>1707</v>
      </c>
    </row>
    <row r="68" spans="1:29">
      <c r="A68">
        <v>55</v>
      </c>
      <c r="B68">
        <v>2116</v>
      </c>
      <c r="C68">
        <v>2116</v>
      </c>
      <c r="D68" t="s">
        <v>21</v>
      </c>
      <c r="E68" s="22">
        <v>44306</v>
      </c>
      <c r="F68" s="23">
        <v>44306</v>
      </c>
      <c r="G68" t="s">
        <v>25</v>
      </c>
      <c r="H68" t="s">
        <v>29</v>
      </c>
      <c r="I68" t="s">
        <v>29</v>
      </c>
      <c r="J68" t="s">
        <v>54</v>
      </c>
      <c r="K68" t="s">
        <v>73</v>
      </c>
      <c r="L68" t="s">
        <v>173</v>
      </c>
      <c r="M68">
        <v>2109</v>
      </c>
      <c r="N68" t="s">
        <v>807</v>
      </c>
      <c r="O68" t="s">
        <v>865</v>
      </c>
      <c r="P68" t="s">
        <v>21</v>
      </c>
      <c r="Q68" t="s">
        <v>21</v>
      </c>
      <c r="R68" t="s">
        <v>871</v>
      </c>
      <c r="S68" t="s">
        <v>891</v>
      </c>
      <c r="T68" t="s">
        <v>891</v>
      </c>
      <c r="U68" t="s">
        <v>960</v>
      </c>
      <c r="V68" s="28" t="s">
        <v>1051</v>
      </c>
      <c r="W68" s="28" t="s">
        <v>1045</v>
      </c>
      <c r="X68" s="28" t="s">
        <v>1702</v>
      </c>
      <c r="Y68" s="28" t="s">
        <v>1703</v>
      </c>
      <c r="Z68" s="28" t="s">
        <v>1704</v>
      </c>
      <c r="AA68" s="28" t="s">
        <v>1705</v>
      </c>
      <c r="AB68" s="28" t="s">
        <v>1706</v>
      </c>
      <c r="AC68" s="28" t="s">
        <v>1707</v>
      </c>
    </row>
    <row r="69" spans="1:29">
      <c r="A69">
        <v>56</v>
      </c>
      <c r="B69">
        <v>2116</v>
      </c>
      <c r="C69">
        <v>2116</v>
      </c>
      <c r="D69" t="s">
        <v>21</v>
      </c>
      <c r="E69" s="22">
        <v>44306</v>
      </c>
      <c r="F69" s="23">
        <v>44306</v>
      </c>
      <c r="G69" t="s">
        <v>25</v>
      </c>
      <c r="H69" t="s">
        <v>29</v>
      </c>
      <c r="I69" t="s">
        <v>29</v>
      </c>
      <c r="J69" t="s">
        <v>54</v>
      </c>
      <c r="K69" t="s">
        <v>73</v>
      </c>
      <c r="L69" t="s">
        <v>174</v>
      </c>
      <c r="M69">
        <v>2109</v>
      </c>
      <c r="N69" t="s">
        <v>807</v>
      </c>
      <c r="O69" t="s">
        <v>865</v>
      </c>
      <c r="P69" t="s">
        <v>21</v>
      </c>
      <c r="Q69" t="s">
        <v>21</v>
      </c>
      <c r="R69" t="s">
        <v>871</v>
      </c>
      <c r="S69" t="s">
        <v>891</v>
      </c>
      <c r="T69" t="s">
        <v>891</v>
      </c>
      <c r="U69" t="s">
        <v>960</v>
      </c>
      <c r="V69" s="28" t="s">
        <v>1051</v>
      </c>
      <c r="W69" s="28" t="s">
        <v>1045</v>
      </c>
      <c r="X69" s="28" t="s">
        <v>1702</v>
      </c>
      <c r="Y69" s="28" t="s">
        <v>1703</v>
      </c>
      <c r="Z69" s="28" t="s">
        <v>1704</v>
      </c>
      <c r="AA69" s="28" t="s">
        <v>1705</v>
      </c>
      <c r="AB69" s="28" t="s">
        <v>1706</v>
      </c>
      <c r="AC69" s="28" t="s">
        <v>1707</v>
      </c>
    </row>
    <row r="70" spans="1:29">
      <c r="A70">
        <v>57</v>
      </c>
      <c r="B70">
        <v>2116</v>
      </c>
      <c r="C70">
        <v>2116</v>
      </c>
      <c r="D70" t="s">
        <v>21</v>
      </c>
      <c r="E70" s="22">
        <v>44306</v>
      </c>
      <c r="F70" s="23">
        <v>44306</v>
      </c>
      <c r="G70" t="s">
        <v>25</v>
      </c>
      <c r="H70" t="s">
        <v>29</v>
      </c>
      <c r="I70" t="s">
        <v>29</v>
      </c>
      <c r="J70" t="s">
        <v>54</v>
      </c>
      <c r="K70" t="s">
        <v>73</v>
      </c>
      <c r="L70" t="s">
        <v>175</v>
      </c>
      <c r="M70">
        <v>2109</v>
      </c>
      <c r="N70" t="s">
        <v>807</v>
      </c>
      <c r="O70" t="s">
        <v>865</v>
      </c>
      <c r="P70" t="s">
        <v>21</v>
      </c>
      <c r="Q70" t="s">
        <v>21</v>
      </c>
      <c r="R70" t="s">
        <v>871</v>
      </c>
      <c r="S70" t="s">
        <v>891</v>
      </c>
      <c r="T70" t="s">
        <v>891</v>
      </c>
      <c r="U70" t="s">
        <v>960</v>
      </c>
      <c r="V70" s="28" t="s">
        <v>1051</v>
      </c>
      <c r="W70" s="28" t="s">
        <v>1045</v>
      </c>
      <c r="X70" s="28" t="s">
        <v>1702</v>
      </c>
      <c r="Y70" s="28" t="s">
        <v>1703</v>
      </c>
      <c r="Z70" s="28" t="s">
        <v>1704</v>
      </c>
      <c r="AA70" s="28" t="s">
        <v>1705</v>
      </c>
      <c r="AB70" s="28" t="s">
        <v>1706</v>
      </c>
      <c r="AC70" s="28" t="s">
        <v>1707</v>
      </c>
    </row>
    <row r="71" spans="1:29">
      <c r="A71">
        <v>58</v>
      </c>
      <c r="B71">
        <v>2116</v>
      </c>
      <c r="C71">
        <v>2116</v>
      </c>
      <c r="D71" t="s">
        <v>21</v>
      </c>
      <c r="E71" s="22">
        <v>44306</v>
      </c>
      <c r="F71" s="23">
        <v>44306</v>
      </c>
      <c r="G71" t="s">
        <v>25</v>
      </c>
      <c r="H71" t="s">
        <v>29</v>
      </c>
      <c r="I71" t="s">
        <v>29</v>
      </c>
      <c r="J71" t="s">
        <v>54</v>
      </c>
      <c r="K71" t="s">
        <v>73</v>
      </c>
      <c r="L71" t="s">
        <v>176</v>
      </c>
      <c r="M71">
        <v>2109</v>
      </c>
      <c r="N71" t="s">
        <v>807</v>
      </c>
      <c r="O71" t="s">
        <v>865</v>
      </c>
      <c r="P71" t="s">
        <v>21</v>
      </c>
      <c r="Q71" t="s">
        <v>21</v>
      </c>
      <c r="R71" t="s">
        <v>871</v>
      </c>
      <c r="S71" t="s">
        <v>891</v>
      </c>
      <c r="T71" t="s">
        <v>891</v>
      </c>
      <c r="U71" t="s">
        <v>960</v>
      </c>
      <c r="V71" s="28" t="s">
        <v>1051</v>
      </c>
      <c r="W71" s="28" t="s">
        <v>1045</v>
      </c>
      <c r="X71" s="28" t="s">
        <v>1702</v>
      </c>
      <c r="Y71" s="28" t="s">
        <v>1703</v>
      </c>
      <c r="Z71" s="28" t="s">
        <v>1704</v>
      </c>
      <c r="AA71" s="28" t="s">
        <v>1705</v>
      </c>
      <c r="AB71" s="28" t="s">
        <v>1706</v>
      </c>
      <c r="AC71" s="28" t="s">
        <v>1707</v>
      </c>
    </row>
    <row r="72" spans="1:29">
      <c r="A72">
        <v>59</v>
      </c>
      <c r="B72">
        <v>2116</v>
      </c>
      <c r="C72">
        <v>2116</v>
      </c>
      <c r="D72" t="s">
        <v>21</v>
      </c>
      <c r="E72" s="22">
        <v>44306</v>
      </c>
      <c r="F72" s="23">
        <v>44306</v>
      </c>
      <c r="G72" t="s">
        <v>25</v>
      </c>
      <c r="H72" t="s">
        <v>29</v>
      </c>
      <c r="I72" t="s">
        <v>29</v>
      </c>
      <c r="J72" t="s">
        <v>54</v>
      </c>
      <c r="K72" t="s">
        <v>73</v>
      </c>
      <c r="L72" t="s">
        <v>177</v>
      </c>
      <c r="M72">
        <v>2109</v>
      </c>
      <c r="N72" t="s">
        <v>807</v>
      </c>
      <c r="O72" t="s">
        <v>865</v>
      </c>
      <c r="P72" t="s">
        <v>21</v>
      </c>
      <c r="Q72" t="s">
        <v>21</v>
      </c>
      <c r="R72" t="s">
        <v>871</v>
      </c>
      <c r="S72" t="s">
        <v>891</v>
      </c>
      <c r="T72" t="s">
        <v>891</v>
      </c>
      <c r="U72" t="s">
        <v>960</v>
      </c>
      <c r="V72" s="28" t="s">
        <v>1051</v>
      </c>
      <c r="W72" s="28" t="s">
        <v>1045</v>
      </c>
      <c r="X72" s="28" t="s">
        <v>1702</v>
      </c>
      <c r="Y72" s="28" t="s">
        <v>1703</v>
      </c>
      <c r="Z72" s="28" t="s">
        <v>1704</v>
      </c>
      <c r="AA72" s="28" t="s">
        <v>1705</v>
      </c>
      <c r="AB72" s="28" t="s">
        <v>1706</v>
      </c>
      <c r="AC72" s="28" t="s">
        <v>1707</v>
      </c>
    </row>
    <row r="73" spans="1:29">
      <c r="A73">
        <v>60</v>
      </c>
      <c r="B73">
        <v>2116</v>
      </c>
      <c r="C73">
        <v>2116</v>
      </c>
      <c r="D73" t="s">
        <v>21</v>
      </c>
      <c r="E73" s="22">
        <v>44306</v>
      </c>
      <c r="F73" s="23">
        <v>44306</v>
      </c>
      <c r="G73" t="s">
        <v>25</v>
      </c>
      <c r="H73" t="s">
        <v>29</v>
      </c>
      <c r="I73" t="s">
        <v>29</v>
      </c>
      <c r="J73" t="s">
        <v>54</v>
      </c>
      <c r="K73" t="s">
        <v>73</v>
      </c>
      <c r="L73" t="s">
        <v>178</v>
      </c>
      <c r="M73">
        <v>2109</v>
      </c>
      <c r="N73" t="s">
        <v>807</v>
      </c>
      <c r="O73" t="s">
        <v>865</v>
      </c>
      <c r="P73" t="s">
        <v>21</v>
      </c>
      <c r="Q73" t="s">
        <v>21</v>
      </c>
      <c r="R73" t="s">
        <v>871</v>
      </c>
      <c r="S73" t="s">
        <v>891</v>
      </c>
      <c r="T73" t="s">
        <v>891</v>
      </c>
      <c r="U73" t="s">
        <v>960</v>
      </c>
      <c r="V73" s="28" t="s">
        <v>1051</v>
      </c>
      <c r="W73" s="28" t="s">
        <v>1045</v>
      </c>
      <c r="X73" s="28" t="s">
        <v>1702</v>
      </c>
      <c r="Y73" s="28" t="s">
        <v>1703</v>
      </c>
      <c r="Z73" s="28" t="s">
        <v>1704</v>
      </c>
      <c r="AA73" s="28" t="s">
        <v>1705</v>
      </c>
      <c r="AB73" s="28" t="s">
        <v>1706</v>
      </c>
      <c r="AC73" s="28" t="s">
        <v>1707</v>
      </c>
    </row>
    <row r="74" spans="1:29">
      <c r="A74">
        <v>61</v>
      </c>
      <c r="B74">
        <v>2116</v>
      </c>
      <c r="C74">
        <v>2116</v>
      </c>
      <c r="D74" t="s">
        <v>21</v>
      </c>
      <c r="E74" s="22">
        <v>44306</v>
      </c>
      <c r="F74" s="23">
        <v>44306</v>
      </c>
      <c r="G74" t="s">
        <v>25</v>
      </c>
      <c r="H74" t="s">
        <v>29</v>
      </c>
      <c r="I74" t="s">
        <v>29</v>
      </c>
      <c r="J74" t="s">
        <v>54</v>
      </c>
      <c r="K74" t="s">
        <v>73</v>
      </c>
      <c r="L74" t="s">
        <v>179</v>
      </c>
      <c r="M74">
        <v>2109</v>
      </c>
      <c r="N74" t="s">
        <v>807</v>
      </c>
      <c r="O74" t="s">
        <v>865</v>
      </c>
      <c r="P74" t="s">
        <v>21</v>
      </c>
      <c r="Q74" t="s">
        <v>21</v>
      </c>
      <c r="R74" t="s">
        <v>871</v>
      </c>
      <c r="S74" t="s">
        <v>891</v>
      </c>
      <c r="T74" t="s">
        <v>891</v>
      </c>
      <c r="U74" t="s">
        <v>960</v>
      </c>
      <c r="V74" s="28" t="s">
        <v>1051</v>
      </c>
      <c r="W74" s="28" t="s">
        <v>1045</v>
      </c>
      <c r="X74" s="28" t="s">
        <v>1702</v>
      </c>
      <c r="Y74" s="28" t="s">
        <v>1703</v>
      </c>
      <c r="Z74" s="28" t="s">
        <v>1704</v>
      </c>
      <c r="AA74" s="28" t="s">
        <v>1705</v>
      </c>
      <c r="AB74" s="28" t="s">
        <v>1706</v>
      </c>
      <c r="AC74" s="28" t="s">
        <v>1707</v>
      </c>
    </row>
    <row r="75" spans="1:29">
      <c r="A75">
        <v>62</v>
      </c>
      <c r="B75">
        <v>2116</v>
      </c>
      <c r="C75">
        <v>2116</v>
      </c>
      <c r="D75" t="s">
        <v>21</v>
      </c>
      <c r="E75" s="22">
        <v>44306</v>
      </c>
      <c r="F75" s="23">
        <v>44306</v>
      </c>
      <c r="G75" t="s">
        <v>25</v>
      </c>
      <c r="H75" t="s">
        <v>29</v>
      </c>
      <c r="I75" t="s">
        <v>29</v>
      </c>
      <c r="J75" t="s">
        <v>54</v>
      </c>
      <c r="K75" t="s">
        <v>73</v>
      </c>
      <c r="L75" t="s">
        <v>180</v>
      </c>
      <c r="M75">
        <v>2109</v>
      </c>
      <c r="N75" t="s">
        <v>807</v>
      </c>
      <c r="O75" t="s">
        <v>865</v>
      </c>
      <c r="P75" t="s">
        <v>21</v>
      </c>
      <c r="Q75" t="s">
        <v>21</v>
      </c>
      <c r="R75" t="s">
        <v>871</v>
      </c>
      <c r="S75" t="s">
        <v>891</v>
      </c>
      <c r="T75" t="s">
        <v>891</v>
      </c>
      <c r="U75" t="s">
        <v>960</v>
      </c>
      <c r="V75" s="28" t="s">
        <v>1051</v>
      </c>
      <c r="W75" s="28" t="s">
        <v>1045</v>
      </c>
      <c r="X75" s="28" t="s">
        <v>1702</v>
      </c>
      <c r="Y75" s="28" t="s">
        <v>1703</v>
      </c>
      <c r="Z75" s="28" t="s">
        <v>1704</v>
      </c>
      <c r="AA75" s="28" t="s">
        <v>1705</v>
      </c>
      <c r="AB75" s="28" t="s">
        <v>1706</v>
      </c>
      <c r="AC75" s="28" t="s">
        <v>1707</v>
      </c>
    </row>
    <row r="76" spans="1:29">
      <c r="A76">
        <v>63</v>
      </c>
      <c r="B76">
        <v>2116</v>
      </c>
      <c r="C76">
        <v>2116</v>
      </c>
      <c r="D76" t="s">
        <v>21</v>
      </c>
      <c r="E76" s="22">
        <v>44306</v>
      </c>
      <c r="F76" s="23">
        <v>44306</v>
      </c>
      <c r="G76" t="s">
        <v>25</v>
      </c>
      <c r="H76" t="s">
        <v>29</v>
      </c>
      <c r="I76" t="s">
        <v>29</v>
      </c>
      <c r="J76" t="s">
        <v>54</v>
      </c>
      <c r="K76" t="s">
        <v>73</v>
      </c>
      <c r="L76" t="s">
        <v>181</v>
      </c>
      <c r="M76">
        <v>2109</v>
      </c>
      <c r="N76" t="s">
        <v>807</v>
      </c>
      <c r="O76" t="s">
        <v>865</v>
      </c>
      <c r="P76" t="s">
        <v>21</v>
      </c>
      <c r="Q76" t="s">
        <v>21</v>
      </c>
      <c r="R76" t="s">
        <v>871</v>
      </c>
      <c r="S76" t="s">
        <v>891</v>
      </c>
      <c r="T76" t="s">
        <v>891</v>
      </c>
      <c r="U76" t="s">
        <v>960</v>
      </c>
      <c r="V76" s="28" t="s">
        <v>1051</v>
      </c>
      <c r="W76" s="28" t="s">
        <v>1045</v>
      </c>
      <c r="X76" s="28" t="s">
        <v>1702</v>
      </c>
      <c r="Y76" s="28" t="s">
        <v>1703</v>
      </c>
      <c r="Z76" s="28" t="s">
        <v>1704</v>
      </c>
      <c r="AA76" s="28" t="s">
        <v>1705</v>
      </c>
      <c r="AB76" s="28" t="s">
        <v>1706</v>
      </c>
      <c r="AC76" s="28" t="s">
        <v>1707</v>
      </c>
    </row>
    <row r="77" spans="1:29">
      <c r="A77">
        <v>64</v>
      </c>
      <c r="B77">
        <v>2116</v>
      </c>
      <c r="C77">
        <v>2116</v>
      </c>
      <c r="D77" t="s">
        <v>21</v>
      </c>
      <c r="E77" s="22">
        <v>44306</v>
      </c>
      <c r="F77" s="23">
        <v>44306</v>
      </c>
      <c r="G77" t="s">
        <v>25</v>
      </c>
      <c r="H77" t="s">
        <v>29</v>
      </c>
      <c r="I77" t="s">
        <v>29</v>
      </c>
      <c r="J77" t="s">
        <v>54</v>
      </c>
      <c r="K77" t="s">
        <v>73</v>
      </c>
      <c r="L77" t="s">
        <v>182</v>
      </c>
      <c r="M77">
        <v>2109</v>
      </c>
      <c r="N77" t="s">
        <v>807</v>
      </c>
      <c r="O77" t="s">
        <v>865</v>
      </c>
      <c r="P77" t="s">
        <v>21</v>
      </c>
      <c r="Q77" t="s">
        <v>21</v>
      </c>
      <c r="R77" t="s">
        <v>871</v>
      </c>
      <c r="S77" t="s">
        <v>891</v>
      </c>
      <c r="T77" t="s">
        <v>891</v>
      </c>
      <c r="U77" t="s">
        <v>960</v>
      </c>
      <c r="V77" s="28" t="s">
        <v>1051</v>
      </c>
      <c r="W77" s="28" t="s">
        <v>1045</v>
      </c>
      <c r="X77" s="28" t="s">
        <v>1702</v>
      </c>
      <c r="Y77" s="28" t="s">
        <v>1703</v>
      </c>
      <c r="Z77" s="28" t="s">
        <v>1704</v>
      </c>
      <c r="AA77" s="28" t="s">
        <v>1705</v>
      </c>
      <c r="AB77" s="28" t="s">
        <v>1706</v>
      </c>
      <c r="AC77" s="28" t="s">
        <v>1707</v>
      </c>
    </row>
    <row r="78" spans="1:29">
      <c r="A78">
        <v>65</v>
      </c>
      <c r="B78">
        <v>2116</v>
      </c>
      <c r="C78">
        <v>2116</v>
      </c>
      <c r="D78" t="s">
        <v>21</v>
      </c>
      <c r="E78" s="22">
        <v>44306</v>
      </c>
      <c r="F78" s="23">
        <v>44306</v>
      </c>
      <c r="G78" t="s">
        <v>25</v>
      </c>
      <c r="H78" t="s">
        <v>29</v>
      </c>
      <c r="I78" t="s">
        <v>29</v>
      </c>
      <c r="J78" t="s">
        <v>54</v>
      </c>
      <c r="K78" t="s">
        <v>73</v>
      </c>
      <c r="L78" t="s">
        <v>183</v>
      </c>
      <c r="M78">
        <v>2109</v>
      </c>
      <c r="N78" t="s">
        <v>807</v>
      </c>
      <c r="O78" t="s">
        <v>865</v>
      </c>
      <c r="P78" t="s">
        <v>21</v>
      </c>
      <c r="Q78" t="s">
        <v>21</v>
      </c>
      <c r="R78" t="s">
        <v>871</v>
      </c>
      <c r="S78" t="s">
        <v>891</v>
      </c>
      <c r="T78" t="s">
        <v>891</v>
      </c>
      <c r="U78" t="s">
        <v>960</v>
      </c>
      <c r="V78" s="28" t="s">
        <v>1051</v>
      </c>
      <c r="W78" s="28" t="s">
        <v>1045</v>
      </c>
      <c r="X78" s="28" t="s">
        <v>1702</v>
      </c>
      <c r="Y78" s="28" t="s">
        <v>1703</v>
      </c>
      <c r="Z78" s="28" t="s">
        <v>1704</v>
      </c>
      <c r="AA78" s="28" t="s">
        <v>1705</v>
      </c>
      <c r="AB78" s="28" t="s">
        <v>1706</v>
      </c>
      <c r="AC78" s="28" t="s">
        <v>1707</v>
      </c>
    </row>
    <row r="79" spans="1:29">
      <c r="A79">
        <v>66</v>
      </c>
      <c r="B79">
        <v>2116</v>
      </c>
      <c r="C79">
        <v>2116</v>
      </c>
      <c r="D79" t="s">
        <v>21</v>
      </c>
      <c r="E79" s="22">
        <v>44306</v>
      </c>
      <c r="F79" s="23">
        <v>44306</v>
      </c>
      <c r="G79" t="s">
        <v>25</v>
      </c>
      <c r="H79" t="s">
        <v>29</v>
      </c>
      <c r="I79" t="s">
        <v>29</v>
      </c>
      <c r="J79" t="s">
        <v>54</v>
      </c>
      <c r="K79" t="s">
        <v>73</v>
      </c>
      <c r="L79" t="s">
        <v>184</v>
      </c>
      <c r="M79">
        <v>2109</v>
      </c>
      <c r="N79" t="s">
        <v>807</v>
      </c>
      <c r="O79" t="s">
        <v>865</v>
      </c>
      <c r="P79" t="s">
        <v>21</v>
      </c>
      <c r="Q79" t="s">
        <v>21</v>
      </c>
      <c r="R79" t="s">
        <v>871</v>
      </c>
      <c r="S79" t="s">
        <v>891</v>
      </c>
      <c r="T79" t="s">
        <v>891</v>
      </c>
      <c r="U79" t="s">
        <v>960</v>
      </c>
      <c r="V79" s="28" t="s">
        <v>1051</v>
      </c>
      <c r="W79" s="28" t="s">
        <v>1045</v>
      </c>
      <c r="X79" s="28" t="s">
        <v>1702</v>
      </c>
      <c r="Y79" s="28" t="s">
        <v>1703</v>
      </c>
      <c r="Z79" s="28" t="s">
        <v>1704</v>
      </c>
      <c r="AA79" s="28" t="s">
        <v>1705</v>
      </c>
      <c r="AB79" s="28" t="s">
        <v>1706</v>
      </c>
      <c r="AC79" s="28" t="s">
        <v>1707</v>
      </c>
    </row>
    <row r="80" spans="1:29">
      <c r="A80">
        <v>67</v>
      </c>
      <c r="B80">
        <v>2116</v>
      </c>
      <c r="C80">
        <v>2116</v>
      </c>
      <c r="D80" t="s">
        <v>21</v>
      </c>
      <c r="E80" s="22">
        <v>44306</v>
      </c>
      <c r="F80" s="23">
        <v>44306</v>
      </c>
      <c r="G80" t="s">
        <v>25</v>
      </c>
      <c r="H80" t="s">
        <v>29</v>
      </c>
      <c r="I80" t="s">
        <v>29</v>
      </c>
      <c r="J80" t="s">
        <v>54</v>
      </c>
      <c r="K80" t="s">
        <v>73</v>
      </c>
      <c r="L80" t="s">
        <v>185</v>
      </c>
      <c r="M80">
        <v>2109</v>
      </c>
      <c r="N80" t="s">
        <v>807</v>
      </c>
      <c r="O80" t="s">
        <v>865</v>
      </c>
      <c r="P80" t="s">
        <v>21</v>
      </c>
      <c r="Q80" t="s">
        <v>21</v>
      </c>
      <c r="R80" t="s">
        <v>871</v>
      </c>
      <c r="S80" t="s">
        <v>891</v>
      </c>
      <c r="T80" t="s">
        <v>891</v>
      </c>
      <c r="U80" t="s">
        <v>960</v>
      </c>
      <c r="V80" s="28" t="s">
        <v>1051</v>
      </c>
      <c r="W80" s="28" t="s">
        <v>1045</v>
      </c>
      <c r="X80" s="28" t="s">
        <v>1702</v>
      </c>
      <c r="Y80" s="28" t="s">
        <v>1703</v>
      </c>
      <c r="Z80" s="28" t="s">
        <v>1704</v>
      </c>
      <c r="AA80" s="28" t="s">
        <v>1705</v>
      </c>
      <c r="AB80" s="28" t="s">
        <v>1706</v>
      </c>
      <c r="AC80" s="28" t="s">
        <v>1707</v>
      </c>
    </row>
    <row r="81" spans="1:29">
      <c r="A81">
        <v>68</v>
      </c>
      <c r="B81">
        <v>2116</v>
      </c>
      <c r="C81">
        <v>2116</v>
      </c>
      <c r="D81" t="s">
        <v>21</v>
      </c>
      <c r="E81" s="22">
        <v>44306</v>
      </c>
      <c r="F81" s="23">
        <v>44306</v>
      </c>
      <c r="G81" t="s">
        <v>25</v>
      </c>
      <c r="H81" t="s">
        <v>29</v>
      </c>
      <c r="I81" t="s">
        <v>29</v>
      </c>
      <c r="J81" t="s">
        <v>54</v>
      </c>
      <c r="K81" t="s">
        <v>73</v>
      </c>
      <c r="L81" t="s">
        <v>186</v>
      </c>
      <c r="M81">
        <v>2109</v>
      </c>
      <c r="N81" t="s">
        <v>807</v>
      </c>
      <c r="O81" t="s">
        <v>865</v>
      </c>
      <c r="P81" t="s">
        <v>21</v>
      </c>
      <c r="Q81" t="s">
        <v>21</v>
      </c>
      <c r="R81" t="s">
        <v>871</v>
      </c>
      <c r="S81" t="s">
        <v>891</v>
      </c>
      <c r="T81" t="s">
        <v>891</v>
      </c>
      <c r="U81" t="s">
        <v>960</v>
      </c>
      <c r="V81" s="28" t="s">
        <v>1051</v>
      </c>
      <c r="W81" s="28" t="s">
        <v>1045</v>
      </c>
      <c r="X81" s="28" t="s">
        <v>1702</v>
      </c>
      <c r="Y81" s="28" t="s">
        <v>1703</v>
      </c>
      <c r="Z81" s="28" t="s">
        <v>1704</v>
      </c>
      <c r="AA81" s="28" t="s">
        <v>1705</v>
      </c>
      <c r="AB81" s="28" t="s">
        <v>1706</v>
      </c>
      <c r="AC81" s="28" t="s">
        <v>1707</v>
      </c>
    </row>
    <row r="82" spans="1:29">
      <c r="A82">
        <v>69</v>
      </c>
      <c r="B82">
        <v>2116</v>
      </c>
      <c r="C82">
        <v>2116</v>
      </c>
      <c r="D82" t="s">
        <v>21</v>
      </c>
      <c r="E82" s="22">
        <v>44306</v>
      </c>
      <c r="F82" s="23">
        <v>44306</v>
      </c>
      <c r="G82" t="s">
        <v>25</v>
      </c>
      <c r="H82" t="s">
        <v>29</v>
      </c>
      <c r="I82" t="s">
        <v>29</v>
      </c>
      <c r="J82" t="s">
        <v>54</v>
      </c>
      <c r="K82" t="s">
        <v>73</v>
      </c>
      <c r="L82" t="s">
        <v>187</v>
      </c>
      <c r="M82">
        <v>2109</v>
      </c>
      <c r="N82" t="s">
        <v>807</v>
      </c>
      <c r="O82" t="s">
        <v>865</v>
      </c>
      <c r="P82" t="s">
        <v>21</v>
      </c>
      <c r="Q82" t="s">
        <v>21</v>
      </c>
      <c r="R82" t="s">
        <v>871</v>
      </c>
      <c r="S82" t="s">
        <v>891</v>
      </c>
      <c r="T82" t="s">
        <v>891</v>
      </c>
      <c r="U82" t="s">
        <v>960</v>
      </c>
      <c r="V82" s="28" t="s">
        <v>1051</v>
      </c>
      <c r="W82" s="28" t="s">
        <v>1045</v>
      </c>
      <c r="X82" s="28" t="s">
        <v>1702</v>
      </c>
      <c r="Y82" s="28" t="s">
        <v>1703</v>
      </c>
      <c r="Z82" s="28" t="s">
        <v>1704</v>
      </c>
      <c r="AA82" s="28" t="s">
        <v>1705</v>
      </c>
      <c r="AB82" s="28" t="s">
        <v>1706</v>
      </c>
      <c r="AC82" s="28" t="s">
        <v>1707</v>
      </c>
    </row>
    <row r="83" spans="1:29">
      <c r="A83">
        <v>70</v>
      </c>
      <c r="B83">
        <v>2116</v>
      </c>
      <c r="C83">
        <v>2116</v>
      </c>
      <c r="D83" t="s">
        <v>21</v>
      </c>
      <c r="E83" s="22">
        <v>44306</v>
      </c>
      <c r="F83" s="23">
        <v>44306</v>
      </c>
      <c r="G83" t="s">
        <v>25</v>
      </c>
      <c r="H83" t="s">
        <v>29</v>
      </c>
      <c r="I83" t="s">
        <v>29</v>
      </c>
      <c r="J83" t="s">
        <v>54</v>
      </c>
      <c r="K83" t="s">
        <v>73</v>
      </c>
      <c r="L83" t="s">
        <v>188</v>
      </c>
      <c r="M83">
        <v>2109</v>
      </c>
      <c r="N83" t="s">
        <v>807</v>
      </c>
      <c r="O83" t="s">
        <v>865</v>
      </c>
      <c r="P83" t="s">
        <v>21</v>
      </c>
      <c r="Q83" t="s">
        <v>21</v>
      </c>
      <c r="R83" t="s">
        <v>871</v>
      </c>
      <c r="S83" t="s">
        <v>891</v>
      </c>
      <c r="T83" t="s">
        <v>891</v>
      </c>
      <c r="U83" t="s">
        <v>960</v>
      </c>
      <c r="V83" s="28" t="s">
        <v>1051</v>
      </c>
      <c r="W83" s="28" t="s">
        <v>1045</v>
      </c>
      <c r="X83" s="28" t="s">
        <v>1702</v>
      </c>
      <c r="Y83" s="28" t="s">
        <v>1703</v>
      </c>
      <c r="Z83" s="28" t="s">
        <v>1704</v>
      </c>
      <c r="AA83" s="28" t="s">
        <v>1705</v>
      </c>
      <c r="AB83" s="28" t="s">
        <v>1706</v>
      </c>
      <c r="AC83" s="28" t="s">
        <v>1707</v>
      </c>
    </row>
    <row r="84" spans="1:29">
      <c r="A84">
        <v>71</v>
      </c>
      <c r="B84">
        <v>2116</v>
      </c>
      <c r="C84">
        <v>2116</v>
      </c>
      <c r="D84" t="s">
        <v>21</v>
      </c>
      <c r="E84" s="22">
        <v>44306</v>
      </c>
      <c r="F84" s="23">
        <v>44306</v>
      </c>
      <c r="G84" t="s">
        <v>25</v>
      </c>
      <c r="H84" t="s">
        <v>29</v>
      </c>
      <c r="I84" t="s">
        <v>29</v>
      </c>
      <c r="J84" t="s">
        <v>54</v>
      </c>
      <c r="K84" t="s">
        <v>73</v>
      </c>
      <c r="L84" t="s">
        <v>189</v>
      </c>
      <c r="M84">
        <v>2109</v>
      </c>
      <c r="N84" t="s">
        <v>807</v>
      </c>
      <c r="O84" t="s">
        <v>865</v>
      </c>
      <c r="P84" t="s">
        <v>21</v>
      </c>
      <c r="Q84" t="s">
        <v>21</v>
      </c>
      <c r="R84" t="s">
        <v>871</v>
      </c>
      <c r="S84" t="s">
        <v>891</v>
      </c>
      <c r="T84" t="s">
        <v>891</v>
      </c>
      <c r="U84" t="s">
        <v>960</v>
      </c>
      <c r="V84" s="28" t="s">
        <v>1051</v>
      </c>
      <c r="W84" s="28" t="s">
        <v>1045</v>
      </c>
      <c r="X84" s="28" t="s">
        <v>1702</v>
      </c>
      <c r="Y84" s="28" t="s">
        <v>1703</v>
      </c>
      <c r="Z84" s="28" t="s">
        <v>1704</v>
      </c>
      <c r="AA84" s="28" t="s">
        <v>1705</v>
      </c>
      <c r="AB84" s="28" t="s">
        <v>1706</v>
      </c>
      <c r="AC84" s="28" t="s">
        <v>1707</v>
      </c>
    </row>
    <row r="85" spans="1:29">
      <c r="A85">
        <v>72</v>
      </c>
      <c r="B85">
        <v>2116</v>
      </c>
      <c r="C85">
        <v>2116</v>
      </c>
      <c r="D85" t="s">
        <v>21</v>
      </c>
      <c r="E85" s="22">
        <v>44306</v>
      </c>
      <c r="F85" s="23">
        <v>44306</v>
      </c>
      <c r="G85" t="s">
        <v>25</v>
      </c>
      <c r="H85" t="s">
        <v>29</v>
      </c>
      <c r="I85" t="s">
        <v>29</v>
      </c>
      <c r="J85" t="s">
        <v>54</v>
      </c>
      <c r="K85" t="s">
        <v>73</v>
      </c>
      <c r="L85" t="s">
        <v>190</v>
      </c>
      <c r="M85">
        <v>2109</v>
      </c>
      <c r="N85" t="s">
        <v>807</v>
      </c>
      <c r="O85" t="s">
        <v>865</v>
      </c>
      <c r="P85" t="s">
        <v>21</v>
      </c>
      <c r="Q85" t="s">
        <v>21</v>
      </c>
      <c r="R85" t="s">
        <v>871</v>
      </c>
      <c r="S85" t="s">
        <v>891</v>
      </c>
      <c r="T85" t="s">
        <v>891</v>
      </c>
      <c r="U85" t="s">
        <v>960</v>
      </c>
      <c r="V85" s="28" t="s">
        <v>1051</v>
      </c>
      <c r="W85" s="28" t="s">
        <v>1045</v>
      </c>
      <c r="X85" s="28" t="s">
        <v>1702</v>
      </c>
      <c r="Y85" s="28" t="s">
        <v>1703</v>
      </c>
      <c r="Z85" s="28" t="s">
        <v>1704</v>
      </c>
      <c r="AA85" s="28" t="s">
        <v>1705</v>
      </c>
      <c r="AB85" s="28" t="s">
        <v>1706</v>
      </c>
      <c r="AC85" s="28" t="s">
        <v>1707</v>
      </c>
    </row>
    <row r="86" spans="1:29">
      <c r="A86">
        <v>73</v>
      </c>
      <c r="B86">
        <v>2116</v>
      </c>
      <c r="C86">
        <v>2116</v>
      </c>
      <c r="D86" t="s">
        <v>21</v>
      </c>
      <c r="E86" s="22">
        <v>44306</v>
      </c>
      <c r="F86" s="23">
        <v>44306</v>
      </c>
      <c r="G86" t="s">
        <v>25</v>
      </c>
      <c r="H86" t="s">
        <v>29</v>
      </c>
      <c r="I86" t="s">
        <v>29</v>
      </c>
      <c r="J86" t="s">
        <v>54</v>
      </c>
      <c r="K86" t="s">
        <v>73</v>
      </c>
      <c r="L86" t="s">
        <v>191</v>
      </c>
      <c r="M86">
        <v>2109</v>
      </c>
      <c r="N86" t="s">
        <v>807</v>
      </c>
      <c r="O86" t="s">
        <v>865</v>
      </c>
      <c r="P86" t="s">
        <v>21</v>
      </c>
      <c r="Q86" t="s">
        <v>21</v>
      </c>
      <c r="R86" t="s">
        <v>871</v>
      </c>
      <c r="S86" t="s">
        <v>891</v>
      </c>
      <c r="T86" t="s">
        <v>891</v>
      </c>
      <c r="U86" t="s">
        <v>960</v>
      </c>
      <c r="V86" s="28" t="s">
        <v>1051</v>
      </c>
      <c r="W86" s="28" t="s">
        <v>1045</v>
      </c>
      <c r="X86" s="28" t="s">
        <v>1702</v>
      </c>
      <c r="Y86" s="28" t="s">
        <v>1703</v>
      </c>
      <c r="Z86" s="28" t="s">
        <v>1704</v>
      </c>
      <c r="AA86" s="28" t="s">
        <v>1705</v>
      </c>
      <c r="AB86" s="28" t="s">
        <v>1706</v>
      </c>
      <c r="AC86" s="28" t="s">
        <v>1707</v>
      </c>
    </row>
    <row r="87" spans="1:29">
      <c r="A87">
        <v>74</v>
      </c>
      <c r="B87">
        <v>2116</v>
      </c>
      <c r="C87">
        <v>2116</v>
      </c>
      <c r="D87" t="s">
        <v>21</v>
      </c>
      <c r="E87" s="22">
        <v>44306</v>
      </c>
      <c r="F87" s="23">
        <v>44306</v>
      </c>
      <c r="G87" t="s">
        <v>25</v>
      </c>
      <c r="H87" t="s">
        <v>29</v>
      </c>
      <c r="I87" t="s">
        <v>29</v>
      </c>
      <c r="J87" t="s">
        <v>54</v>
      </c>
      <c r="K87" t="s">
        <v>73</v>
      </c>
      <c r="L87" t="s">
        <v>192</v>
      </c>
      <c r="M87">
        <v>2109</v>
      </c>
      <c r="N87" t="s">
        <v>807</v>
      </c>
      <c r="O87" t="s">
        <v>865</v>
      </c>
      <c r="P87" t="s">
        <v>21</v>
      </c>
      <c r="Q87" t="s">
        <v>21</v>
      </c>
      <c r="R87" t="s">
        <v>871</v>
      </c>
      <c r="S87" t="s">
        <v>891</v>
      </c>
      <c r="T87" t="s">
        <v>891</v>
      </c>
      <c r="U87" t="s">
        <v>960</v>
      </c>
      <c r="V87" s="28" t="s">
        <v>1051</v>
      </c>
      <c r="W87" s="28" t="s">
        <v>1045</v>
      </c>
      <c r="X87" s="28" t="s">
        <v>1702</v>
      </c>
      <c r="Y87" s="28" t="s">
        <v>1703</v>
      </c>
      <c r="Z87" s="28" t="s">
        <v>1704</v>
      </c>
      <c r="AA87" s="28" t="s">
        <v>1705</v>
      </c>
      <c r="AB87" s="28" t="s">
        <v>1706</v>
      </c>
      <c r="AC87" s="28" t="s">
        <v>1707</v>
      </c>
    </row>
    <row r="88" spans="1:29">
      <c r="A88">
        <v>75</v>
      </c>
      <c r="B88">
        <v>2116</v>
      </c>
      <c r="C88">
        <v>2116</v>
      </c>
      <c r="D88" t="s">
        <v>21</v>
      </c>
      <c r="E88" s="22">
        <v>44306</v>
      </c>
      <c r="F88" s="23">
        <v>44306</v>
      </c>
      <c r="G88" t="s">
        <v>25</v>
      </c>
      <c r="H88" t="s">
        <v>29</v>
      </c>
      <c r="I88" t="s">
        <v>29</v>
      </c>
      <c r="J88" t="s">
        <v>54</v>
      </c>
      <c r="K88" t="s">
        <v>73</v>
      </c>
      <c r="L88" t="s">
        <v>193</v>
      </c>
      <c r="M88">
        <v>2109</v>
      </c>
      <c r="N88" t="s">
        <v>807</v>
      </c>
      <c r="O88" t="s">
        <v>865</v>
      </c>
      <c r="P88" t="s">
        <v>21</v>
      </c>
      <c r="Q88" t="s">
        <v>21</v>
      </c>
      <c r="R88" t="s">
        <v>871</v>
      </c>
      <c r="S88" t="s">
        <v>891</v>
      </c>
      <c r="T88" t="s">
        <v>891</v>
      </c>
      <c r="U88" t="s">
        <v>960</v>
      </c>
      <c r="V88" s="28" t="s">
        <v>1051</v>
      </c>
      <c r="W88" s="28" t="s">
        <v>1045</v>
      </c>
      <c r="X88" s="28" t="s">
        <v>1702</v>
      </c>
      <c r="Y88" s="28" t="s">
        <v>1703</v>
      </c>
      <c r="Z88" s="28" t="s">
        <v>1704</v>
      </c>
      <c r="AA88" s="28" t="s">
        <v>1705</v>
      </c>
      <c r="AB88" s="28" t="s">
        <v>1706</v>
      </c>
      <c r="AC88" s="28" t="s">
        <v>1707</v>
      </c>
    </row>
    <row r="89" spans="1:29">
      <c r="A89">
        <v>76</v>
      </c>
      <c r="B89">
        <v>2116</v>
      </c>
      <c r="C89">
        <v>2116</v>
      </c>
      <c r="D89" t="s">
        <v>21</v>
      </c>
      <c r="E89" s="22">
        <v>44306</v>
      </c>
      <c r="F89" s="23">
        <v>44306</v>
      </c>
      <c r="G89" t="s">
        <v>25</v>
      </c>
      <c r="H89" t="s">
        <v>29</v>
      </c>
      <c r="I89" t="s">
        <v>29</v>
      </c>
      <c r="J89" t="s">
        <v>54</v>
      </c>
      <c r="K89" t="s">
        <v>73</v>
      </c>
      <c r="L89" t="s">
        <v>194</v>
      </c>
      <c r="M89">
        <v>2109</v>
      </c>
      <c r="N89" t="s">
        <v>807</v>
      </c>
      <c r="O89" t="s">
        <v>865</v>
      </c>
      <c r="P89" t="s">
        <v>21</v>
      </c>
      <c r="Q89" t="s">
        <v>21</v>
      </c>
      <c r="R89" t="s">
        <v>871</v>
      </c>
      <c r="S89" t="s">
        <v>891</v>
      </c>
      <c r="T89" t="s">
        <v>891</v>
      </c>
      <c r="U89" t="s">
        <v>960</v>
      </c>
      <c r="V89" s="28" t="s">
        <v>1051</v>
      </c>
      <c r="W89" s="28" t="s">
        <v>1045</v>
      </c>
      <c r="X89" s="28" t="s">
        <v>1702</v>
      </c>
      <c r="Y89" s="28" t="s">
        <v>1703</v>
      </c>
      <c r="Z89" s="28" t="s">
        <v>1704</v>
      </c>
      <c r="AA89" s="28" t="s">
        <v>1705</v>
      </c>
      <c r="AB89" s="28" t="s">
        <v>1706</v>
      </c>
      <c r="AC89" s="28" t="s">
        <v>1707</v>
      </c>
    </row>
    <row r="90" spans="1:29">
      <c r="A90">
        <v>77</v>
      </c>
      <c r="B90">
        <v>2116</v>
      </c>
      <c r="C90">
        <v>2116</v>
      </c>
      <c r="D90" t="s">
        <v>21</v>
      </c>
      <c r="E90" s="22">
        <v>44306</v>
      </c>
      <c r="F90" s="23">
        <v>44306</v>
      </c>
      <c r="G90" t="s">
        <v>25</v>
      </c>
      <c r="H90" t="s">
        <v>29</v>
      </c>
      <c r="I90" t="s">
        <v>29</v>
      </c>
      <c r="J90" t="s">
        <v>54</v>
      </c>
      <c r="K90" t="s">
        <v>73</v>
      </c>
      <c r="L90" t="s">
        <v>195</v>
      </c>
      <c r="M90">
        <v>2109</v>
      </c>
      <c r="N90" t="s">
        <v>807</v>
      </c>
      <c r="O90" t="s">
        <v>865</v>
      </c>
      <c r="P90" t="s">
        <v>21</v>
      </c>
      <c r="Q90" t="s">
        <v>21</v>
      </c>
      <c r="R90" t="s">
        <v>871</v>
      </c>
      <c r="S90" t="s">
        <v>891</v>
      </c>
      <c r="T90" t="s">
        <v>891</v>
      </c>
      <c r="U90" t="s">
        <v>960</v>
      </c>
      <c r="V90" s="28" t="s">
        <v>1051</v>
      </c>
      <c r="W90" s="28" t="s">
        <v>1045</v>
      </c>
      <c r="X90" s="28" t="s">
        <v>1702</v>
      </c>
      <c r="Y90" s="28" t="s">
        <v>1703</v>
      </c>
      <c r="Z90" s="28" t="s">
        <v>1704</v>
      </c>
      <c r="AA90" s="28" t="s">
        <v>1705</v>
      </c>
      <c r="AB90" s="28" t="s">
        <v>1706</v>
      </c>
      <c r="AC90" s="28" t="s">
        <v>1707</v>
      </c>
    </row>
    <row r="91" spans="1:29">
      <c r="A91">
        <v>78</v>
      </c>
      <c r="B91">
        <v>2116</v>
      </c>
      <c r="C91">
        <v>2116</v>
      </c>
      <c r="D91" t="s">
        <v>21</v>
      </c>
      <c r="E91" s="22">
        <v>44306</v>
      </c>
      <c r="F91" s="23">
        <v>44306</v>
      </c>
      <c r="G91" t="s">
        <v>25</v>
      </c>
      <c r="H91" t="s">
        <v>29</v>
      </c>
      <c r="I91" t="s">
        <v>29</v>
      </c>
      <c r="J91" t="s">
        <v>54</v>
      </c>
      <c r="K91" t="s">
        <v>73</v>
      </c>
      <c r="L91" t="s">
        <v>196</v>
      </c>
      <c r="M91">
        <v>2109</v>
      </c>
      <c r="N91" t="s">
        <v>807</v>
      </c>
      <c r="O91" t="s">
        <v>865</v>
      </c>
      <c r="P91" t="s">
        <v>21</v>
      </c>
      <c r="Q91" t="s">
        <v>21</v>
      </c>
      <c r="R91" t="s">
        <v>871</v>
      </c>
      <c r="S91" t="s">
        <v>891</v>
      </c>
      <c r="T91" t="s">
        <v>891</v>
      </c>
      <c r="U91" t="s">
        <v>960</v>
      </c>
      <c r="V91" s="28" t="s">
        <v>1051</v>
      </c>
      <c r="W91" s="28" t="s">
        <v>1045</v>
      </c>
      <c r="X91" s="28" t="s">
        <v>1702</v>
      </c>
      <c r="Y91" s="28" t="s">
        <v>1703</v>
      </c>
      <c r="Z91" s="28" t="s">
        <v>1704</v>
      </c>
      <c r="AA91" s="28" t="s">
        <v>1705</v>
      </c>
      <c r="AB91" s="28" t="s">
        <v>1706</v>
      </c>
      <c r="AC91" s="28" t="s">
        <v>1707</v>
      </c>
    </row>
    <row r="92" spans="1:29">
      <c r="A92">
        <v>79</v>
      </c>
      <c r="B92">
        <v>2116</v>
      </c>
      <c r="C92">
        <v>2116</v>
      </c>
      <c r="D92" t="s">
        <v>21</v>
      </c>
      <c r="E92" s="22">
        <v>44306</v>
      </c>
      <c r="F92" s="23">
        <v>44306</v>
      </c>
      <c r="G92" t="s">
        <v>25</v>
      </c>
      <c r="H92" t="s">
        <v>29</v>
      </c>
      <c r="I92" t="s">
        <v>29</v>
      </c>
      <c r="J92" t="s">
        <v>54</v>
      </c>
      <c r="K92" t="s">
        <v>73</v>
      </c>
      <c r="L92" t="s">
        <v>197</v>
      </c>
      <c r="M92">
        <v>2109</v>
      </c>
      <c r="N92" t="s">
        <v>807</v>
      </c>
      <c r="O92" t="s">
        <v>865</v>
      </c>
      <c r="P92" t="s">
        <v>21</v>
      </c>
      <c r="Q92" t="s">
        <v>21</v>
      </c>
      <c r="R92" t="s">
        <v>871</v>
      </c>
      <c r="S92" t="s">
        <v>891</v>
      </c>
      <c r="T92" t="s">
        <v>891</v>
      </c>
      <c r="U92" t="s">
        <v>960</v>
      </c>
      <c r="V92" s="28" t="s">
        <v>1051</v>
      </c>
      <c r="W92" s="28" t="s">
        <v>1045</v>
      </c>
      <c r="X92" s="28" t="s">
        <v>1702</v>
      </c>
      <c r="Y92" s="28" t="s">
        <v>1703</v>
      </c>
      <c r="Z92" s="28" t="s">
        <v>1704</v>
      </c>
      <c r="AA92" s="28" t="s">
        <v>1705</v>
      </c>
      <c r="AB92" s="28" t="s">
        <v>1706</v>
      </c>
      <c r="AC92" s="28" t="s">
        <v>1707</v>
      </c>
    </row>
    <row r="93" spans="1:29">
      <c r="A93">
        <v>80</v>
      </c>
      <c r="B93">
        <v>2116</v>
      </c>
      <c r="C93">
        <v>2116</v>
      </c>
      <c r="D93" t="s">
        <v>21</v>
      </c>
      <c r="E93" s="22">
        <v>44306</v>
      </c>
      <c r="F93" s="23">
        <v>44306</v>
      </c>
      <c r="G93" t="s">
        <v>25</v>
      </c>
      <c r="H93" t="s">
        <v>29</v>
      </c>
      <c r="I93" t="s">
        <v>29</v>
      </c>
      <c r="J93" t="s">
        <v>54</v>
      </c>
      <c r="K93" t="s">
        <v>73</v>
      </c>
      <c r="L93" t="s">
        <v>198</v>
      </c>
      <c r="M93">
        <v>2109</v>
      </c>
      <c r="N93" t="s">
        <v>807</v>
      </c>
      <c r="O93" t="s">
        <v>865</v>
      </c>
      <c r="P93" t="s">
        <v>21</v>
      </c>
      <c r="Q93" t="s">
        <v>21</v>
      </c>
      <c r="R93" t="s">
        <v>871</v>
      </c>
      <c r="S93" t="s">
        <v>891</v>
      </c>
      <c r="T93" t="s">
        <v>891</v>
      </c>
      <c r="U93" t="s">
        <v>960</v>
      </c>
      <c r="V93" s="28" t="s">
        <v>1051</v>
      </c>
      <c r="W93" s="28" t="s">
        <v>1045</v>
      </c>
      <c r="X93" s="28" t="s">
        <v>1702</v>
      </c>
      <c r="Y93" s="28" t="s">
        <v>1703</v>
      </c>
      <c r="Z93" s="28" t="s">
        <v>1704</v>
      </c>
      <c r="AA93" s="28" t="s">
        <v>1705</v>
      </c>
      <c r="AB93" s="28" t="s">
        <v>1706</v>
      </c>
      <c r="AC93" s="28" t="s">
        <v>1707</v>
      </c>
    </row>
    <row r="94" spans="1:29">
      <c r="A94">
        <v>81</v>
      </c>
      <c r="B94">
        <v>2116</v>
      </c>
      <c r="C94">
        <v>2116</v>
      </c>
      <c r="D94" t="s">
        <v>21</v>
      </c>
      <c r="E94" s="22">
        <v>44306</v>
      </c>
      <c r="F94" s="23">
        <v>44306</v>
      </c>
      <c r="G94" t="s">
        <v>25</v>
      </c>
      <c r="H94" t="s">
        <v>29</v>
      </c>
      <c r="I94" t="s">
        <v>29</v>
      </c>
      <c r="J94" t="s">
        <v>54</v>
      </c>
      <c r="K94" t="s">
        <v>73</v>
      </c>
      <c r="L94" t="s">
        <v>199</v>
      </c>
      <c r="M94">
        <v>2109</v>
      </c>
      <c r="N94" t="s">
        <v>807</v>
      </c>
      <c r="O94" t="s">
        <v>865</v>
      </c>
      <c r="P94" t="s">
        <v>21</v>
      </c>
      <c r="Q94" t="s">
        <v>21</v>
      </c>
      <c r="R94" t="s">
        <v>871</v>
      </c>
      <c r="S94" t="s">
        <v>891</v>
      </c>
      <c r="T94" t="s">
        <v>891</v>
      </c>
      <c r="U94" t="s">
        <v>960</v>
      </c>
      <c r="V94" s="28" t="s">
        <v>1051</v>
      </c>
      <c r="W94" s="28" t="s">
        <v>1045</v>
      </c>
      <c r="X94" s="28" t="s">
        <v>1702</v>
      </c>
      <c r="Y94" s="28" t="s">
        <v>1703</v>
      </c>
      <c r="Z94" s="28" t="s">
        <v>1704</v>
      </c>
      <c r="AA94" s="28" t="s">
        <v>1705</v>
      </c>
      <c r="AB94" s="28" t="s">
        <v>1706</v>
      </c>
      <c r="AC94" s="28" t="s">
        <v>1707</v>
      </c>
    </row>
    <row r="95" spans="1:29">
      <c r="A95">
        <v>82</v>
      </c>
      <c r="B95">
        <v>2116</v>
      </c>
      <c r="C95">
        <v>2116</v>
      </c>
      <c r="D95" t="s">
        <v>21</v>
      </c>
      <c r="E95" s="22">
        <v>44306</v>
      </c>
      <c r="F95" s="23">
        <v>44306</v>
      </c>
      <c r="G95" t="s">
        <v>25</v>
      </c>
      <c r="H95" t="s">
        <v>29</v>
      </c>
      <c r="I95" t="s">
        <v>29</v>
      </c>
      <c r="J95" t="s">
        <v>54</v>
      </c>
      <c r="K95" t="s">
        <v>73</v>
      </c>
      <c r="L95" t="s">
        <v>200</v>
      </c>
      <c r="M95">
        <v>2109</v>
      </c>
      <c r="N95" t="s">
        <v>807</v>
      </c>
      <c r="O95" t="s">
        <v>865</v>
      </c>
      <c r="P95" t="s">
        <v>21</v>
      </c>
      <c r="Q95" t="s">
        <v>21</v>
      </c>
      <c r="R95" t="s">
        <v>871</v>
      </c>
      <c r="S95" t="s">
        <v>891</v>
      </c>
      <c r="T95" t="s">
        <v>891</v>
      </c>
      <c r="U95" t="s">
        <v>960</v>
      </c>
      <c r="V95" s="28" t="s">
        <v>1051</v>
      </c>
      <c r="W95" s="28" t="s">
        <v>1045</v>
      </c>
      <c r="X95" s="28" t="s">
        <v>1702</v>
      </c>
      <c r="Y95" s="28" t="s">
        <v>1703</v>
      </c>
      <c r="Z95" s="28" t="s">
        <v>1704</v>
      </c>
      <c r="AA95" s="28" t="s">
        <v>1705</v>
      </c>
      <c r="AB95" s="28" t="s">
        <v>1706</v>
      </c>
      <c r="AC95" s="28" t="s">
        <v>1707</v>
      </c>
    </row>
    <row r="96" spans="1:29">
      <c r="A96">
        <v>83</v>
      </c>
      <c r="B96">
        <v>2116</v>
      </c>
      <c r="C96">
        <v>2116</v>
      </c>
      <c r="D96" t="s">
        <v>21</v>
      </c>
      <c r="E96" s="22">
        <v>44306</v>
      </c>
      <c r="F96" s="23">
        <v>44306</v>
      </c>
      <c r="G96" t="s">
        <v>25</v>
      </c>
      <c r="H96" t="s">
        <v>29</v>
      </c>
      <c r="I96" t="s">
        <v>29</v>
      </c>
      <c r="J96" t="s">
        <v>54</v>
      </c>
      <c r="K96" t="s">
        <v>73</v>
      </c>
      <c r="L96" t="s">
        <v>201</v>
      </c>
      <c r="M96">
        <v>2109</v>
      </c>
      <c r="N96" t="s">
        <v>807</v>
      </c>
      <c r="O96" t="s">
        <v>865</v>
      </c>
      <c r="P96" t="s">
        <v>21</v>
      </c>
      <c r="Q96" t="s">
        <v>21</v>
      </c>
      <c r="R96" t="s">
        <v>871</v>
      </c>
      <c r="S96" t="s">
        <v>891</v>
      </c>
      <c r="T96" t="s">
        <v>891</v>
      </c>
      <c r="U96" t="s">
        <v>960</v>
      </c>
      <c r="V96" s="28" t="s">
        <v>1051</v>
      </c>
      <c r="W96" s="28" t="s">
        <v>1045</v>
      </c>
      <c r="X96" s="28" t="s">
        <v>1702</v>
      </c>
      <c r="Y96" s="28" t="s">
        <v>1703</v>
      </c>
      <c r="Z96" s="28" t="s">
        <v>1704</v>
      </c>
      <c r="AA96" s="28" t="s">
        <v>1705</v>
      </c>
      <c r="AB96" s="28" t="s">
        <v>1706</v>
      </c>
      <c r="AC96" s="28" t="s">
        <v>1707</v>
      </c>
    </row>
    <row r="97" spans="1:29">
      <c r="A97">
        <v>84</v>
      </c>
      <c r="B97">
        <v>2116</v>
      </c>
      <c r="C97">
        <v>2116</v>
      </c>
      <c r="D97" t="s">
        <v>21</v>
      </c>
      <c r="E97" s="22">
        <v>44306</v>
      </c>
      <c r="F97" s="23">
        <v>44306</v>
      </c>
      <c r="G97" t="s">
        <v>25</v>
      </c>
      <c r="H97" t="s">
        <v>29</v>
      </c>
      <c r="I97" t="s">
        <v>29</v>
      </c>
      <c r="J97" t="s">
        <v>54</v>
      </c>
      <c r="K97" t="s">
        <v>73</v>
      </c>
      <c r="L97" t="s">
        <v>202</v>
      </c>
      <c r="M97">
        <v>2109</v>
      </c>
      <c r="N97" t="s">
        <v>807</v>
      </c>
      <c r="O97" t="s">
        <v>865</v>
      </c>
      <c r="P97" t="s">
        <v>21</v>
      </c>
      <c r="Q97" t="s">
        <v>21</v>
      </c>
      <c r="R97" t="s">
        <v>871</v>
      </c>
      <c r="S97" t="s">
        <v>891</v>
      </c>
      <c r="T97" t="s">
        <v>891</v>
      </c>
      <c r="U97" t="s">
        <v>960</v>
      </c>
      <c r="V97" s="28" t="s">
        <v>1051</v>
      </c>
      <c r="W97" s="28" t="s">
        <v>1045</v>
      </c>
      <c r="X97" s="28" t="s">
        <v>1702</v>
      </c>
      <c r="Y97" s="28" t="s">
        <v>1703</v>
      </c>
      <c r="Z97" s="28" t="s">
        <v>1704</v>
      </c>
      <c r="AA97" s="28" t="s">
        <v>1705</v>
      </c>
      <c r="AB97" s="28" t="s">
        <v>1706</v>
      </c>
      <c r="AC97" s="28" t="s">
        <v>1707</v>
      </c>
    </row>
    <row r="98" spans="1:29">
      <c r="A98">
        <v>85</v>
      </c>
      <c r="B98">
        <v>2116</v>
      </c>
      <c r="C98">
        <v>2116</v>
      </c>
      <c r="D98" t="s">
        <v>21</v>
      </c>
      <c r="E98" s="22">
        <v>44306</v>
      </c>
      <c r="F98" s="23">
        <v>44306</v>
      </c>
      <c r="G98" t="s">
        <v>25</v>
      </c>
      <c r="H98" t="s">
        <v>29</v>
      </c>
      <c r="I98" t="s">
        <v>29</v>
      </c>
      <c r="J98" t="s">
        <v>54</v>
      </c>
      <c r="K98" t="s">
        <v>73</v>
      </c>
      <c r="L98" t="s">
        <v>203</v>
      </c>
      <c r="M98">
        <v>2109</v>
      </c>
      <c r="N98" t="s">
        <v>807</v>
      </c>
      <c r="O98" t="s">
        <v>865</v>
      </c>
      <c r="P98" t="s">
        <v>21</v>
      </c>
      <c r="Q98" t="s">
        <v>21</v>
      </c>
      <c r="R98" t="s">
        <v>871</v>
      </c>
      <c r="S98" t="s">
        <v>891</v>
      </c>
      <c r="T98" t="s">
        <v>891</v>
      </c>
      <c r="U98" t="s">
        <v>960</v>
      </c>
      <c r="V98" s="28" t="s">
        <v>1051</v>
      </c>
      <c r="W98" s="28" t="s">
        <v>1045</v>
      </c>
      <c r="X98" s="28" t="s">
        <v>1702</v>
      </c>
      <c r="Y98" s="28" t="s">
        <v>1703</v>
      </c>
      <c r="Z98" s="28" t="s">
        <v>1704</v>
      </c>
      <c r="AA98" s="28" t="s">
        <v>1705</v>
      </c>
      <c r="AB98" s="28" t="s">
        <v>1706</v>
      </c>
      <c r="AC98" s="28" t="s">
        <v>1707</v>
      </c>
    </row>
    <row r="99" spans="1:29">
      <c r="A99">
        <v>86</v>
      </c>
      <c r="B99">
        <v>2116</v>
      </c>
      <c r="C99">
        <v>2116</v>
      </c>
      <c r="D99" t="s">
        <v>21</v>
      </c>
      <c r="E99" s="22">
        <v>44306</v>
      </c>
      <c r="F99" s="23">
        <v>44306</v>
      </c>
      <c r="G99" t="s">
        <v>25</v>
      </c>
      <c r="H99" t="s">
        <v>29</v>
      </c>
      <c r="I99" t="s">
        <v>29</v>
      </c>
      <c r="J99" t="s">
        <v>54</v>
      </c>
      <c r="K99" t="s">
        <v>73</v>
      </c>
      <c r="L99" t="s">
        <v>204</v>
      </c>
      <c r="M99">
        <v>2109</v>
      </c>
      <c r="N99" t="s">
        <v>807</v>
      </c>
      <c r="O99" t="s">
        <v>865</v>
      </c>
      <c r="P99" t="s">
        <v>21</v>
      </c>
      <c r="Q99" t="s">
        <v>21</v>
      </c>
      <c r="R99" t="s">
        <v>871</v>
      </c>
      <c r="S99" t="s">
        <v>891</v>
      </c>
      <c r="T99" t="s">
        <v>891</v>
      </c>
      <c r="U99" t="s">
        <v>960</v>
      </c>
      <c r="V99" s="28" t="s">
        <v>1051</v>
      </c>
      <c r="W99" s="28" t="s">
        <v>1045</v>
      </c>
      <c r="X99" s="28" t="s">
        <v>1702</v>
      </c>
      <c r="Y99" s="28" t="s">
        <v>1703</v>
      </c>
      <c r="Z99" s="28" t="s">
        <v>1704</v>
      </c>
      <c r="AA99" s="28" t="s">
        <v>1705</v>
      </c>
      <c r="AB99" s="28" t="s">
        <v>1706</v>
      </c>
      <c r="AC99" s="28" t="s">
        <v>1707</v>
      </c>
    </row>
    <row r="100" spans="1:29">
      <c r="A100">
        <v>87</v>
      </c>
      <c r="B100">
        <v>2116</v>
      </c>
      <c r="C100">
        <v>2116</v>
      </c>
      <c r="D100" t="s">
        <v>21</v>
      </c>
      <c r="E100" s="22">
        <v>44306</v>
      </c>
      <c r="F100" s="23">
        <v>44306</v>
      </c>
      <c r="G100" t="s">
        <v>25</v>
      </c>
      <c r="H100" t="s">
        <v>29</v>
      </c>
      <c r="I100" t="s">
        <v>29</v>
      </c>
      <c r="J100" t="s">
        <v>54</v>
      </c>
      <c r="K100" t="s">
        <v>73</v>
      </c>
      <c r="L100" t="s">
        <v>205</v>
      </c>
      <c r="M100">
        <v>2109</v>
      </c>
      <c r="N100" t="s">
        <v>807</v>
      </c>
      <c r="O100" t="s">
        <v>865</v>
      </c>
      <c r="P100" t="s">
        <v>21</v>
      </c>
      <c r="Q100" t="s">
        <v>21</v>
      </c>
      <c r="R100" t="s">
        <v>871</v>
      </c>
      <c r="S100" t="s">
        <v>891</v>
      </c>
      <c r="T100" t="s">
        <v>891</v>
      </c>
      <c r="U100" t="s">
        <v>960</v>
      </c>
      <c r="V100" s="28" t="s">
        <v>1051</v>
      </c>
      <c r="W100" s="28" t="s">
        <v>1045</v>
      </c>
      <c r="X100" s="28" t="s">
        <v>1702</v>
      </c>
      <c r="Y100" s="28" t="s">
        <v>1703</v>
      </c>
      <c r="Z100" s="28" t="s">
        <v>1704</v>
      </c>
      <c r="AA100" s="28" t="s">
        <v>1705</v>
      </c>
      <c r="AB100" s="28" t="s">
        <v>1706</v>
      </c>
      <c r="AC100" s="28" t="s">
        <v>1707</v>
      </c>
    </row>
    <row r="101" spans="1:29">
      <c r="A101">
        <v>88</v>
      </c>
      <c r="B101">
        <v>2116</v>
      </c>
      <c r="C101">
        <v>2116</v>
      </c>
      <c r="D101" t="s">
        <v>21</v>
      </c>
      <c r="E101" s="22">
        <v>44306</v>
      </c>
      <c r="F101" s="23">
        <v>44306</v>
      </c>
      <c r="G101" t="s">
        <v>25</v>
      </c>
      <c r="H101" t="s">
        <v>29</v>
      </c>
      <c r="I101" t="s">
        <v>29</v>
      </c>
      <c r="J101" t="s">
        <v>54</v>
      </c>
      <c r="K101" t="s">
        <v>73</v>
      </c>
      <c r="L101" t="s">
        <v>206</v>
      </c>
      <c r="M101">
        <v>2109</v>
      </c>
      <c r="N101" t="s">
        <v>807</v>
      </c>
      <c r="O101" t="s">
        <v>865</v>
      </c>
      <c r="P101" t="s">
        <v>21</v>
      </c>
      <c r="Q101" t="s">
        <v>21</v>
      </c>
      <c r="R101" t="s">
        <v>871</v>
      </c>
      <c r="S101" t="s">
        <v>891</v>
      </c>
      <c r="T101" t="s">
        <v>891</v>
      </c>
      <c r="U101" t="s">
        <v>960</v>
      </c>
      <c r="V101" s="28" t="s">
        <v>1051</v>
      </c>
      <c r="W101" s="28" t="s">
        <v>1045</v>
      </c>
      <c r="X101" s="28" t="s">
        <v>1702</v>
      </c>
      <c r="Y101" s="28" t="s">
        <v>1703</v>
      </c>
      <c r="Z101" s="28" t="s">
        <v>1704</v>
      </c>
      <c r="AA101" s="28" t="s">
        <v>1705</v>
      </c>
      <c r="AB101" s="28" t="s">
        <v>1706</v>
      </c>
      <c r="AC101" s="28" t="s">
        <v>1707</v>
      </c>
    </row>
    <row r="102" spans="1:29">
      <c r="A102">
        <v>89</v>
      </c>
      <c r="B102">
        <v>2116</v>
      </c>
      <c r="C102">
        <v>2116</v>
      </c>
      <c r="D102" t="s">
        <v>21</v>
      </c>
      <c r="E102" s="22">
        <v>44306</v>
      </c>
      <c r="F102" s="23">
        <v>44306</v>
      </c>
      <c r="G102" t="s">
        <v>25</v>
      </c>
      <c r="H102" t="s">
        <v>29</v>
      </c>
      <c r="I102" t="s">
        <v>29</v>
      </c>
      <c r="J102" t="s">
        <v>54</v>
      </c>
      <c r="K102" t="s">
        <v>73</v>
      </c>
      <c r="L102" t="s">
        <v>207</v>
      </c>
      <c r="M102">
        <v>2109</v>
      </c>
      <c r="N102" t="s">
        <v>807</v>
      </c>
      <c r="O102" t="s">
        <v>865</v>
      </c>
      <c r="P102" t="s">
        <v>21</v>
      </c>
      <c r="Q102" t="s">
        <v>21</v>
      </c>
      <c r="R102" t="s">
        <v>871</v>
      </c>
      <c r="S102" t="s">
        <v>891</v>
      </c>
      <c r="T102" t="s">
        <v>891</v>
      </c>
      <c r="U102" t="s">
        <v>960</v>
      </c>
      <c r="V102" s="28" t="s">
        <v>1051</v>
      </c>
      <c r="W102" s="28" t="s">
        <v>1045</v>
      </c>
      <c r="X102" s="28" t="s">
        <v>1702</v>
      </c>
      <c r="Y102" s="28" t="s">
        <v>1703</v>
      </c>
      <c r="Z102" s="28" t="s">
        <v>1704</v>
      </c>
      <c r="AA102" s="28" t="s">
        <v>1705</v>
      </c>
      <c r="AB102" s="28" t="s">
        <v>1706</v>
      </c>
      <c r="AC102" s="28" t="s">
        <v>1707</v>
      </c>
    </row>
    <row r="103" spans="1:29">
      <c r="A103">
        <v>90</v>
      </c>
      <c r="B103">
        <v>2116</v>
      </c>
      <c r="C103">
        <v>2116</v>
      </c>
      <c r="D103" t="s">
        <v>21</v>
      </c>
      <c r="E103" s="22">
        <v>44306</v>
      </c>
      <c r="F103" s="23">
        <v>44306</v>
      </c>
      <c r="G103" t="s">
        <v>25</v>
      </c>
      <c r="H103" t="s">
        <v>29</v>
      </c>
      <c r="I103" t="s">
        <v>29</v>
      </c>
      <c r="J103" t="s">
        <v>54</v>
      </c>
      <c r="K103" t="s">
        <v>73</v>
      </c>
      <c r="L103" t="s">
        <v>208</v>
      </c>
      <c r="M103">
        <v>2109</v>
      </c>
      <c r="N103" t="s">
        <v>807</v>
      </c>
      <c r="O103" t="s">
        <v>865</v>
      </c>
      <c r="P103" t="s">
        <v>21</v>
      </c>
      <c r="Q103" t="s">
        <v>21</v>
      </c>
      <c r="R103" t="s">
        <v>871</v>
      </c>
      <c r="S103" t="s">
        <v>891</v>
      </c>
      <c r="T103" t="s">
        <v>891</v>
      </c>
      <c r="U103" t="s">
        <v>960</v>
      </c>
      <c r="V103" s="28" t="s">
        <v>1051</v>
      </c>
      <c r="W103" s="28" t="s">
        <v>1045</v>
      </c>
      <c r="X103" s="28" t="s">
        <v>1702</v>
      </c>
      <c r="Y103" s="28" t="s">
        <v>1703</v>
      </c>
      <c r="Z103" s="28" t="s">
        <v>1704</v>
      </c>
      <c r="AA103" s="28" t="s">
        <v>1705</v>
      </c>
      <c r="AB103" s="28" t="s">
        <v>1706</v>
      </c>
      <c r="AC103" s="28" t="s">
        <v>1707</v>
      </c>
    </row>
    <row r="104" spans="1:29">
      <c r="A104">
        <v>91</v>
      </c>
      <c r="B104">
        <v>2116</v>
      </c>
      <c r="C104">
        <v>2116</v>
      </c>
      <c r="D104" t="s">
        <v>21</v>
      </c>
      <c r="E104" s="22">
        <v>44306</v>
      </c>
      <c r="F104" s="23">
        <v>44306</v>
      </c>
      <c r="G104" t="s">
        <v>25</v>
      </c>
      <c r="H104" t="s">
        <v>29</v>
      </c>
      <c r="I104" t="s">
        <v>29</v>
      </c>
      <c r="J104" t="s">
        <v>54</v>
      </c>
      <c r="K104" t="s">
        <v>73</v>
      </c>
      <c r="L104" t="s">
        <v>209</v>
      </c>
      <c r="M104">
        <v>2109</v>
      </c>
      <c r="N104" t="s">
        <v>807</v>
      </c>
      <c r="O104" t="s">
        <v>865</v>
      </c>
      <c r="P104" t="s">
        <v>21</v>
      </c>
      <c r="Q104" t="s">
        <v>21</v>
      </c>
      <c r="R104" t="s">
        <v>871</v>
      </c>
      <c r="S104" t="s">
        <v>891</v>
      </c>
      <c r="T104" t="s">
        <v>891</v>
      </c>
      <c r="U104" t="s">
        <v>960</v>
      </c>
      <c r="V104" s="28" t="s">
        <v>1051</v>
      </c>
      <c r="W104" s="28" t="s">
        <v>1045</v>
      </c>
      <c r="X104" s="28" t="s">
        <v>1702</v>
      </c>
      <c r="Y104" s="28" t="s">
        <v>1703</v>
      </c>
      <c r="Z104" s="28" t="s">
        <v>1704</v>
      </c>
      <c r="AA104" s="28" t="s">
        <v>1705</v>
      </c>
      <c r="AB104" s="28" t="s">
        <v>1706</v>
      </c>
      <c r="AC104" s="28" t="s">
        <v>1707</v>
      </c>
    </row>
    <row r="105" spans="1:29">
      <c r="A105">
        <v>92</v>
      </c>
      <c r="B105">
        <v>2116</v>
      </c>
      <c r="C105">
        <v>2116</v>
      </c>
      <c r="D105" t="s">
        <v>21</v>
      </c>
      <c r="E105" s="22">
        <v>44306</v>
      </c>
      <c r="F105" s="23">
        <v>44306</v>
      </c>
      <c r="G105" t="s">
        <v>25</v>
      </c>
      <c r="H105" t="s">
        <v>29</v>
      </c>
      <c r="I105" t="s">
        <v>29</v>
      </c>
      <c r="J105" t="s">
        <v>54</v>
      </c>
      <c r="K105" t="s">
        <v>73</v>
      </c>
      <c r="L105" t="s">
        <v>210</v>
      </c>
      <c r="M105">
        <v>2109</v>
      </c>
      <c r="N105" t="s">
        <v>807</v>
      </c>
      <c r="O105" t="s">
        <v>865</v>
      </c>
      <c r="P105" t="s">
        <v>21</v>
      </c>
      <c r="Q105" t="s">
        <v>21</v>
      </c>
      <c r="R105" t="s">
        <v>871</v>
      </c>
      <c r="S105" t="s">
        <v>891</v>
      </c>
      <c r="T105" t="s">
        <v>891</v>
      </c>
      <c r="U105" t="s">
        <v>960</v>
      </c>
      <c r="V105" s="28" t="s">
        <v>1051</v>
      </c>
      <c r="W105" s="28" t="s">
        <v>1045</v>
      </c>
      <c r="X105" s="28" t="s">
        <v>1702</v>
      </c>
      <c r="Y105" s="28" t="s">
        <v>1703</v>
      </c>
      <c r="Z105" s="28" t="s">
        <v>1704</v>
      </c>
      <c r="AA105" s="28" t="s">
        <v>1705</v>
      </c>
      <c r="AB105" s="28" t="s">
        <v>1706</v>
      </c>
      <c r="AC105" s="28" t="s">
        <v>1707</v>
      </c>
    </row>
    <row r="106" spans="1:29">
      <c r="A106">
        <v>93</v>
      </c>
      <c r="B106">
        <v>2116</v>
      </c>
      <c r="C106">
        <v>2116</v>
      </c>
      <c r="D106" t="s">
        <v>21</v>
      </c>
      <c r="E106" s="22">
        <v>44306</v>
      </c>
      <c r="F106" s="23">
        <v>44306</v>
      </c>
      <c r="G106" t="s">
        <v>25</v>
      </c>
      <c r="H106" t="s">
        <v>29</v>
      </c>
      <c r="I106" t="s">
        <v>29</v>
      </c>
      <c r="J106" t="s">
        <v>54</v>
      </c>
      <c r="K106" t="s">
        <v>73</v>
      </c>
      <c r="L106" t="s">
        <v>211</v>
      </c>
      <c r="M106">
        <v>2109</v>
      </c>
      <c r="N106" t="s">
        <v>807</v>
      </c>
      <c r="O106" t="s">
        <v>865</v>
      </c>
      <c r="P106" t="s">
        <v>21</v>
      </c>
      <c r="Q106" t="s">
        <v>21</v>
      </c>
      <c r="R106" t="s">
        <v>871</v>
      </c>
      <c r="S106" t="s">
        <v>891</v>
      </c>
      <c r="T106" t="s">
        <v>891</v>
      </c>
      <c r="U106" t="s">
        <v>960</v>
      </c>
      <c r="V106" s="28" t="s">
        <v>1051</v>
      </c>
      <c r="W106" s="28" t="s">
        <v>1045</v>
      </c>
      <c r="X106" s="28" t="s">
        <v>1702</v>
      </c>
      <c r="Y106" s="28" t="s">
        <v>1703</v>
      </c>
      <c r="Z106" s="28" t="s">
        <v>1704</v>
      </c>
      <c r="AA106" s="28" t="s">
        <v>1705</v>
      </c>
      <c r="AB106" s="28" t="s">
        <v>1706</v>
      </c>
      <c r="AC106" s="28" t="s">
        <v>1707</v>
      </c>
    </row>
    <row r="107" spans="1:29">
      <c r="A107">
        <v>94</v>
      </c>
      <c r="B107">
        <v>2116</v>
      </c>
      <c r="C107">
        <v>2116</v>
      </c>
      <c r="D107" t="s">
        <v>21</v>
      </c>
      <c r="E107" s="22">
        <v>44306</v>
      </c>
      <c r="F107" s="23">
        <v>44306</v>
      </c>
      <c r="G107" t="s">
        <v>25</v>
      </c>
      <c r="H107" t="s">
        <v>29</v>
      </c>
      <c r="I107" t="s">
        <v>29</v>
      </c>
      <c r="J107" t="s">
        <v>54</v>
      </c>
      <c r="K107" t="s">
        <v>73</v>
      </c>
      <c r="L107" t="s">
        <v>212</v>
      </c>
      <c r="M107">
        <v>2109</v>
      </c>
      <c r="N107" t="s">
        <v>807</v>
      </c>
      <c r="O107" t="s">
        <v>865</v>
      </c>
      <c r="P107" t="s">
        <v>21</v>
      </c>
      <c r="Q107" t="s">
        <v>21</v>
      </c>
      <c r="R107" t="s">
        <v>871</v>
      </c>
      <c r="S107" t="s">
        <v>891</v>
      </c>
      <c r="T107" t="s">
        <v>891</v>
      </c>
      <c r="U107" t="s">
        <v>960</v>
      </c>
      <c r="V107" s="28" t="s">
        <v>1051</v>
      </c>
      <c r="W107" s="28" t="s">
        <v>1045</v>
      </c>
      <c r="X107" s="28" t="s">
        <v>1702</v>
      </c>
      <c r="Y107" s="28" t="s">
        <v>1703</v>
      </c>
      <c r="Z107" s="28" t="s">
        <v>1704</v>
      </c>
      <c r="AA107" s="28" t="s">
        <v>1705</v>
      </c>
      <c r="AB107" s="28" t="s">
        <v>1706</v>
      </c>
      <c r="AC107" s="28" t="s">
        <v>1707</v>
      </c>
    </row>
    <row r="108" spans="1:29">
      <c r="A108">
        <v>95</v>
      </c>
      <c r="B108">
        <v>2116</v>
      </c>
      <c r="C108">
        <v>2116</v>
      </c>
      <c r="D108" t="s">
        <v>21</v>
      </c>
      <c r="E108" s="22">
        <v>44306</v>
      </c>
      <c r="F108" s="23">
        <v>44306</v>
      </c>
      <c r="G108" t="s">
        <v>25</v>
      </c>
      <c r="H108" t="s">
        <v>29</v>
      </c>
      <c r="I108" t="s">
        <v>29</v>
      </c>
      <c r="J108" t="s">
        <v>54</v>
      </c>
      <c r="K108" t="s">
        <v>73</v>
      </c>
      <c r="L108" t="s">
        <v>213</v>
      </c>
      <c r="M108">
        <v>2109</v>
      </c>
      <c r="N108" t="s">
        <v>807</v>
      </c>
      <c r="O108" t="s">
        <v>865</v>
      </c>
      <c r="P108" t="s">
        <v>21</v>
      </c>
      <c r="Q108" t="s">
        <v>21</v>
      </c>
      <c r="R108" t="s">
        <v>871</v>
      </c>
      <c r="S108" t="s">
        <v>891</v>
      </c>
      <c r="T108" t="s">
        <v>891</v>
      </c>
      <c r="U108" t="s">
        <v>960</v>
      </c>
      <c r="V108" s="28" t="s">
        <v>1051</v>
      </c>
      <c r="W108" s="28" t="s">
        <v>1045</v>
      </c>
      <c r="X108" s="28" t="s">
        <v>1702</v>
      </c>
      <c r="Y108" s="28" t="s">
        <v>1703</v>
      </c>
      <c r="Z108" s="28" t="s">
        <v>1704</v>
      </c>
      <c r="AA108" s="28" t="s">
        <v>1705</v>
      </c>
      <c r="AB108" s="28" t="s">
        <v>1706</v>
      </c>
      <c r="AC108" s="28" t="s">
        <v>1707</v>
      </c>
    </row>
    <row r="109" spans="1:29">
      <c r="A109">
        <v>96</v>
      </c>
      <c r="B109">
        <v>2116</v>
      </c>
      <c r="C109">
        <v>2116</v>
      </c>
      <c r="D109" t="s">
        <v>21</v>
      </c>
      <c r="E109" s="22">
        <v>44306</v>
      </c>
      <c r="F109" s="23">
        <v>44306</v>
      </c>
      <c r="G109" t="s">
        <v>25</v>
      </c>
      <c r="H109" t="s">
        <v>29</v>
      </c>
      <c r="I109" t="s">
        <v>29</v>
      </c>
      <c r="J109" t="s">
        <v>54</v>
      </c>
      <c r="K109" t="s">
        <v>73</v>
      </c>
      <c r="L109" t="s">
        <v>214</v>
      </c>
      <c r="M109">
        <v>2109</v>
      </c>
      <c r="N109" t="s">
        <v>807</v>
      </c>
      <c r="O109" t="s">
        <v>865</v>
      </c>
      <c r="P109" t="s">
        <v>21</v>
      </c>
      <c r="Q109" t="s">
        <v>21</v>
      </c>
      <c r="R109" t="s">
        <v>871</v>
      </c>
      <c r="S109" t="s">
        <v>891</v>
      </c>
      <c r="T109" t="s">
        <v>891</v>
      </c>
      <c r="U109" t="s">
        <v>960</v>
      </c>
      <c r="V109" s="28" t="s">
        <v>1051</v>
      </c>
      <c r="W109" s="28" t="s">
        <v>1045</v>
      </c>
      <c r="X109" s="28" t="s">
        <v>1702</v>
      </c>
      <c r="Y109" s="28" t="s">
        <v>1703</v>
      </c>
      <c r="Z109" s="28" t="s">
        <v>1704</v>
      </c>
      <c r="AA109" s="28" t="s">
        <v>1705</v>
      </c>
      <c r="AB109" s="28" t="s">
        <v>1706</v>
      </c>
      <c r="AC109" s="28" t="s">
        <v>1707</v>
      </c>
    </row>
    <row r="110" spans="1:29">
      <c r="A110">
        <v>97</v>
      </c>
      <c r="B110">
        <v>2116</v>
      </c>
      <c r="C110">
        <v>2116</v>
      </c>
      <c r="D110" t="s">
        <v>21</v>
      </c>
      <c r="E110" s="22">
        <v>44306</v>
      </c>
      <c r="F110" s="23">
        <v>44306</v>
      </c>
      <c r="G110" t="s">
        <v>25</v>
      </c>
      <c r="H110" t="s">
        <v>29</v>
      </c>
      <c r="I110" t="s">
        <v>29</v>
      </c>
      <c r="J110" t="s">
        <v>54</v>
      </c>
      <c r="K110" t="s">
        <v>73</v>
      </c>
      <c r="L110" t="s">
        <v>215</v>
      </c>
      <c r="M110">
        <v>2109</v>
      </c>
      <c r="N110" t="s">
        <v>807</v>
      </c>
      <c r="O110" t="s">
        <v>865</v>
      </c>
      <c r="P110" t="s">
        <v>21</v>
      </c>
      <c r="Q110" t="s">
        <v>21</v>
      </c>
      <c r="R110" t="s">
        <v>871</v>
      </c>
      <c r="S110" t="s">
        <v>891</v>
      </c>
      <c r="T110" t="s">
        <v>891</v>
      </c>
      <c r="U110" t="s">
        <v>960</v>
      </c>
      <c r="V110" s="28" t="s">
        <v>1051</v>
      </c>
      <c r="W110" s="28" t="s">
        <v>1045</v>
      </c>
      <c r="X110" s="28" t="s">
        <v>1702</v>
      </c>
      <c r="Y110" s="28" t="s">
        <v>1703</v>
      </c>
      <c r="Z110" s="28" t="s">
        <v>1704</v>
      </c>
      <c r="AA110" s="28" t="s">
        <v>1705</v>
      </c>
      <c r="AB110" s="28" t="s">
        <v>1706</v>
      </c>
      <c r="AC110" s="28" t="s">
        <v>1707</v>
      </c>
    </row>
    <row r="111" spans="1:29">
      <c r="A111">
        <v>98</v>
      </c>
      <c r="B111">
        <v>2116</v>
      </c>
      <c r="C111">
        <v>2116</v>
      </c>
      <c r="D111" t="s">
        <v>21</v>
      </c>
      <c r="E111" s="22">
        <v>44306</v>
      </c>
      <c r="F111" s="23">
        <v>44306</v>
      </c>
      <c r="G111" t="s">
        <v>25</v>
      </c>
      <c r="H111" t="s">
        <v>29</v>
      </c>
      <c r="I111" t="s">
        <v>29</v>
      </c>
      <c r="J111" t="s">
        <v>54</v>
      </c>
      <c r="K111" t="s">
        <v>73</v>
      </c>
      <c r="L111" t="s">
        <v>216</v>
      </c>
      <c r="M111">
        <v>2111</v>
      </c>
      <c r="N111" t="s">
        <v>807</v>
      </c>
      <c r="O111" t="s">
        <v>865</v>
      </c>
      <c r="P111" t="s">
        <v>21</v>
      </c>
      <c r="Q111" t="s">
        <v>21</v>
      </c>
      <c r="R111" t="s">
        <v>871</v>
      </c>
      <c r="S111" t="s">
        <v>891</v>
      </c>
      <c r="T111" t="s">
        <v>891</v>
      </c>
      <c r="U111" t="s">
        <v>960</v>
      </c>
      <c r="V111" s="28" t="s">
        <v>1051</v>
      </c>
      <c r="W111" s="28" t="s">
        <v>1045</v>
      </c>
      <c r="X111" s="28" t="s">
        <v>1702</v>
      </c>
      <c r="Y111" s="28" t="s">
        <v>1703</v>
      </c>
      <c r="Z111" s="28" t="s">
        <v>1704</v>
      </c>
      <c r="AA111" s="28" t="s">
        <v>1705</v>
      </c>
      <c r="AB111" s="28" t="s">
        <v>1706</v>
      </c>
      <c r="AC111" s="28" t="s">
        <v>1707</v>
      </c>
    </row>
    <row r="112" spans="1:29">
      <c r="A112">
        <v>99</v>
      </c>
      <c r="B112">
        <v>2116</v>
      </c>
      <c r="C112">
        <v>2116</v>
      </c>
      <c r="D112" t="s">
        <v>21</v>
      </c>
      <c r="E112" s="22">
        <v>44306</v>
      </c>
      <c r="F112" s="23">
        <v>44306</v>
      </c>
      <c r="G112" t="s">
        <v>25</v>
      </c>
      <c r="H112" t="s">
        <v>29</v>
      </c>
      <c r="I112" t="s">
        <v>29</v>
      </c>
      <c r="J112" t="s">
        <v>54</v>
      </c>
      <c r="K112" t="s">
        <v>73</v>
      </c>
      <c r="L112" t="s">
        <v>217</v>
      </c>
      <c r="M112">
        <v>2111</v>
      </c>
      <c r="N112" t="s">
        <v>807</v>
      </c>
      <c r="O112" t="s">
        <v>865</v>
      </c>
      <c r="P112" t="s">
        <v>21</v>
      </c>
      <c r="Q112" t="s">
        <v>21</v>
      </c>
      <c r="R112" t="s">
        <v>871</v>
      </c>
      <c r="S112" t="s">
        <v>891</v>
      </c>
      <c r="T112" t="s">
        <v>891</v>
      </c>
      <c r="U112" t="s">
        <v>960</v>
      </c>
      <c r="V112" s="28" t="s">
        <v>1051</v>
      </c>
      <c r="W112" s="28" t="s">
        <v>1045</v>
      </c>
      <c r="X112" s="28" t="s">
        <v>1702</v>
      </c>
      <c r="Y112" s="28" t="s">
        <v>1703</v>
      </c>
      <c r="Z112" s="28" t="s">
        <v>1704</v>
      </c>
      <c r="AA112" s="28" t="s">
        <v>1705</v>
      </c>
      <c r="AB112" s="28" t="s">
        <v>1706</v>
      </c>
      <c r="AC112" s="28" t="s">
        <v>1707</v>
      </c>
    </row>
    <row r="113" spans="1:29">
      <c r="A113">
        <v>100</v>
      </c>
      <c r="B113">
        <v>2116</v>
      </c>
      <c r="C113">
        <v>2116</v>
      </c>
      <c r="D113" t="s">
        <v>21</v>
      </c>
      <c r="E113" s="22">
        <v>44306</v>
      </c>
      <c r="F113" s="23">
        <v>44306</v>
      </c>
      <c r="G113" t="s">
        <v>25</v>
      </c>
      <c r="H113" t="s">
        <v>29</v>
      </c>
      <c r="I113" t="s">
        <v>29</v>
      </c>
      <c r="J113" t="s">
        <v>54</v>
      </c>
      <c r="K113" t="s">
        <v>73</v>
      </c>
      <c r="L113" t="s">
        <v>218</v>
      </c>
      <c r="M113">
        <v>2111</v>
      </c>
      <c r="N113" t="s">
        <v>807</v>
      </c>
      <c r="O113" t="s">
        <v>865</v>
      </c>
      <c r="P113" t="s">
        <v>21</v>
      </c>
      <c r="Q113" t="s">
        <v>21</v>
      </c>
      <c r="R113" t="s">
        <v>871</v>
      </c>
      <c r="S113" t="s">
        <v>891</v>
      </c>
      <c r="T113" t="s">
        <v>891</v>
      </c>
      <c r="U113" t="s">
        <v>960</v>
      </c>
      <c r="V113" s="28" t="s">
        <v>1051</v>
      </c>
      <c r="W113" s="28" t="s">
        <v>1045</v>
      </c>
      <c r="X113" s="28" t="s">
        <v>1702</v>
      </c>
      <c r="Y113" s="28" t="s">
        <v>1703</v>
      </c>
      <c r="Z113" s="28" t="s">
        <v>1704</v>
      </c>
      <c r="AA113" s="28" t="s">
        <v>1705</v>
      </c>
      <c r="AB113" s="28" t="s">
        <v>1706</v>
      </c>
      <c r="AC113" s="28" t="s">
        <v>1707</v>
      </c>
    </row>
    <row r="114" spans="1:29">
      <c r="A114">
        <v>101</v>
      </c>
      <c r="B114">
        <v>2116</v>
      </c>
      <c r="C114">
        <v>2116</v>
      </c>
      <c r="D114" t="s">
        <v>21</v>
      </c>
      <c r="E114" s="22">
        <v>44306</v>
      </c>
      <c r="F114" s="23">
        <v>44306</v>
      </c>
      <c r="G114" t="s">
        <v>25</v>
      </c>
      <c r="H114" t="s">
        <v>29</v>
      </c>
      <c r="I114" t="s">
        <v>29</v>
      </c>
      <c r="J114" t="s">
        <v>54</v>
      </c>
      <c r="K114" t="s">
        <v>73</v>
      </c>
      <c r="L114" t="s">
        <v>219</v>
      </c>
      <c r="M114">
        <v>2111</v>
      </c>
      <c r="N114" t="s">
        <v>807</v>
      </c>
      <c r="O114" t="s">
        <v>865</v>
      </c>
      <c r="P114" t="s">
        <v>21</v>
      </c>
      <c r="Q114" t="s">
        <v>21</v>
      </c>
      <c r="R114" t="s">
        <v>871</v>
      </c>
      <c r="S114" t="s">
        <v>891</v>
      </c>
      <c r="T114" t="s">
        <v>891</v>
      </c>
      <c r="U114" t="s">
        <v>960</v>
      </c>
      <c r="V114" s="28" t="s">
        <v>1051</v>
      </c>
      <c r="W114" s="28" t="s">
        <v>1045</v>
      </c>
      <c r="X114" s="28" t="s">
        <v>1702</v>
      </c>
      <c r="Y114" s="28" t="s">
        <v>1703</v>
      </c>
      <c r="Z114" s="28" t="s">
        <v>1704</v>
      </c>
      <c r="AA114" s="28" t="s">
        <v>1705</v>
      </c>
      <c r="AB114" s="28" t="s">
        <v>1706</v>
      </c>
      <c r="AC114" s="28" t="s">
        <v>1707</v>
      </c>
    </row>
    <row r="115" spans="1:29">
      <c r="A115">
        <v>102</v>
      </c>
      <c r="B115">
        <v>2116</v>
      </c>
      <c r="C115">
        <v>2116</v>
      </c>
      <c r="D115" t="s">
        <v>21</v>
      </c>
      <c r="E115" s="22">
        <v>44306</v>
      </c>
      <c r="F115" s="23">
        <v>44306</v>
      </c>
      <c r="G115" t="s">
        <v>25</v>
      </c>
      <c r="H115" t="s">
        <v>29</v>
      </c>
      <c r="I115" t="s">
        <v>29</v>
      </c>
      <c r="J115" t="s">
        <v>54</v>
      </c>
      <c r="K115" t="s">
        <v>73</v>
      </c>
      <c r="L115" t="s">
        <v>220</v>
      </c>
      <c r="M115">
        <v>2111</v>
      </c>
      <c r="N115" t="s">
        <v>807</v>
      </c>
      <c r="O115" t="s">
        <v>865</v>
      </c>
      <c r="P115" t="s">
        <v>21</v>
      </c>
      <c r="Q115" t="s">
        <v>21</v>
      </c>
      <c r="R115" t="s">
        <v>871</v>
      </c>
      <c r="S115" t="s">
        <v>891</v>
      </c>
      <c r="T115" t="s">
        <v>891</v>
      </c>
      <c r="U115" t="s">
        <v>960</v>
      </c>
      <c r="V115" s="28" t="s">
        <v>1051</v>
      </c>
      <c r="W115" s="28" t="s">
        <v>1045</v>
      </c>
      <c r="X115" s="28" t="s">
        <v>1702</v>
      </c>
      <c r="Y115" s="28" t="s">
        <v>1703</v>
      </c>
      <c r="Z115" s="28" t="s">
        <v>1704</v>
      </c>
      <c r="AA115" s="28" t="s">
        <v>1705</v>
      </c>
      <c r="AB115" s="28" t="s">
        <v>1706</v>
      </c>
      <c r="AC115" s="28" t="s">
        <v>1707</v>
      </c>
    </row>
    <row r="116" spans="1:29">
      <c r="A116">
        <v>103</v>
      </c>
      <c r="B116">
        <v>2116</v>
      </c>
      <c r="C116">
        <v>2116</v>
      </c>
      <c r="D116" t="s">
        <v>21</v>
      </c>
      <c r="E116" s="22">
        <v>44306</v>
      </c>
      <c r="F116" s="23">
        <v>44306</v>
      </c>
      <c r="G116" t="s">
        <v>25</v>
      </c>
      <c r="H116" t="s">
        <v>29</v>
      </c>
      <c r="I116" t="s">
        <v>29</v>
      </c>
      <c r="J116" t="s">
        <v>54</v>
      </c>
      <c r="K116" t="s">
        <v>73</v>
      </c>
      <c r="L116" t="s">
        <v>221</v>
      </c>
      <c r="M116">
        <v>2111</v>
      </c>
      <c r="N116" t="s">
        <v>807</v>
      </c>
      <c r="O116" t="s">
        <v>865</v>
      </c>
      <c r="P116" t="s">
        <v>21</v>
      </c>
      <c r="Q116" t="s">
        <v>21</v>
      </c>
      <c r="R116" t="s">
        <v>871</v>
      </c>
      <c r="S116" t="s">
        <v>891</v>
      </c>
      <c r="T116" t="s">
        <v>891</v>
      </c>
      <c r="U116" t="s">
        <v>960</v>
      </c>
      <c r="V116" s="28" t="s">
        <v>1051</v>
      </c>
      <c r="W116" s="28" t="s">
        <v>1045</v>
      </c>
      <c r="X116" s="28" t="s">
        <v>1702</v>
      </c>
      <c r="Y116" s="28" t="s">
        <v>1703</v>
      </c>
      <c r="Z116" s="28" t="s">
        <v>1704</v>
      </c>
      <c r="AA116" s="28" t="s">
        <v>1705</v>
      </c>
      <c r="AB116" s="28" t="s">
        <v>1706</v>
      </c>
      <c r="AC116" s="28" t="s">
        <v>1707</v>
      </c>
    </row>
    <row r="117" spans="1:29">
      <c r="A117">
        <v>104</v>
      </c>
      <c r="B117">
        <v>2116</v>
      </c>
      <c r="C117">
        <v>2116</v>
      </c>
      <c r="D117" t="s">
        <v>21</v>
      </c>
      <c r="E117" s="22">
        <v>44306</v>
      </c>
      <c r="F117" s="23">
        <v>44306</v>
      </c>
      <c r="G117" t="s">
        <v>25</v>
      </c>
      <c r="H117" t="s">
        <v>29</v>
      </c>
      <c r="I117" t="s">
        <v>29</v>
      </c>
      <c r="J117" t="s">
        <v>54</v>
      </c>
      <c r="K117" t="s">
        <v>73</v>
      </c>
      <c r="L117" t="s">
        <v>222</v>
      </c>
      <c r="M117">
        <v>2111</v>
      </c>
      <c r="N117" t="s">
        <v>807</v>
      </c>
      <c r="O117" t="s">
        <v>865</v>
      </c>
      <c r="P117" t="s">
        <v>21</v>
      </c>
      <c r="Q117" t="s">
        <v>21</v>
      </c>
      <c r="R117" t="s">
        <v>871</v>
      </c>
      <c r="S117" t="s">
        <v>891</v>
      </c>
      <c r="T117" t="s">
        <v>891</v>
      </c>
      <c r="U117" t="s">
        <v>960</v>
      </c>
      <c r="V117" s="28" t="s">
        <v>1051</v>
      </c>
      <c r="W117" s="28" t="s">
        <v>1045</v>
      </c>
      <c r="X117" s="28" t="s">
        <v>1702</v>
      </c>
      <c r="Y117" s="28" t="s">
        <v>1703</v>
      </c>
      <c r="Z117" s="28" t="s">
        <v>1704</v>
      </c>
      <c r="AA117" s="28" t="s">
        <v>1705</v>
      </c>
      <c r="AB117" s="28" t="s">
        <v>1706</v>
      </c>
      <c r="AC117" s="28" t="s">
        <v>1707</v>
      </c>
    </row>
    <row r="118" spans="1:29">
      <c r="A118">
        <v>105</v>
      </c>
      <c r="B118">
        <v>2116</v>
      </c>
      <c r="C118">
        <v>2116</v>
      </c>
      <c r="D118" t="s">
        <v>21</v>
      </c>
      <c r="E118" s="22">
        <v>44306</v>
      </c>
      <c r="F118" s="23">
        <v>44306</v>
      </c>
      <c r="G118" t="s">
        <v>25</v>
      </c>
      <c r="H118" t="s">
        <v>29</v>
      </c>
      <c r="I118" t="s">
        <v>29</v>
      </c>
      <c r="J118" t="s">
        <v>54</v>
      </c>
      <c r="K118" t="s">
        <v>73</v>
      </c>
      <c r="L118" t="s">
        <v>223</v>
      </c>
      <c r="M118">
        <v>2111</v>
      </c>
      <c r="N118" t="s">
        <v>807</v>
      </c>
      <c r="O118" t="s">
        <v>865</v>
      </c>
      <c r="P118" t="s">
        <v>21</v>
      </c>
      <c r="Q118" t="s">
        <v>21</v>
      </c>
      <c r="R118" t="s">
        <v>871</v>
      </c>
      <c r="S118" t="s">
        <v>891</v>
      </c>
      <c r="T118" t="s">
        <v>891</v>
      </c>
      <c r="U118" t="s">
        <v>960</v>
      </c>
      <c r="V118" s="28" t="s">
        <v>1051</v>
      </c>
      <c r="W118" s="28" t="s">
        <v>1045</v>
      </c>
      <c r="X118" s="28" t="s">
        <v>1702</v>
      </c>
      <c r="Y118" s="28" t="s">
        <v>1703</v>
      </c>
      <c r="Z118" s="28" t="s">
        <v>1704</v>
      </c>
      <c r="AA118" s="28" t="s">
        <v>1705</v>
      </c>
      <c r="AB118" s="28" t="s">
        <v>1706</v>
      </c>
      <c r="AC118" s="28" t="s">
        <v>1707</v>
      </c>
    </row>
    <row r="119" spans="1:29">
      <c r="A119">
        <v>106</v>
      </c>
      <c r="B119">
        <v>2116</v>
      </c>
      <c r="C119">
        <v>2116</v>
      </c>
      <c r="D119" t="s">
        <v>21</v>
      </c>
      <c r="E119" s="22">
        <v>44306</v>
      </c>
      <c r="F119" s="23">
        <v>44306</v>
      </c>
      <c r="G119" t="s">
        <v>25</v>
      </c>
      <c r="H119" t="s">
        <v>29</v>
      </c>
      <c r="I119" t="s">
        <v>29</v>
      </c>
      <c r="J119" t="s">
        <v>54</v>
      </c>
      <c r="K119" t="s">
        <v>73</v>
      </c>
      <c r="L119" t="s">
        <v>224</v>
      </c>
      <c r="M119">
        <v>2111</v>
      </c>
      <c r="N119" t="s">
        <v>807</v>
      </c>
      <c r="O119" t="s">
        <v>865</v>
      </c>
      <c r="P119" t="s">
        <v>21</v>
      </c>
      <c r="Q119" t="s">
        <v>21</v>
      </c>
      <c r="R119" t="s">
        <v>871</v>
      </c>
      <c r="S119" t="s">
        <v>891</v>
      </c>
      <c r="T119" t="s">
        <v>891</v>
      </c>
      <c r="U119" t="s">
        <v>960</v>
      </c>
      <c r="V119" s="28" t="s">
        <v>1051</v>
      </c>
      <c r="W119" s="28" t="s">
        <v>1045</v>
      </c>
      <c r="X119" s="28" t="s">
        <v>1702</v>
      </c>
      <c r="Y119" s="28" t="s">
        <v>1703</v>
      </c>
      <c r="Z119" s="28" t="s">
        <v>1704</v>
      </c>
      <c r="AA119" s="28" t="s">
        <v>1705</v>
      </c>
      <c r="AB119" s="28" t="s">
        <v>1706</v>
      </c>
      <c r="AC119" s="28" t="s">
        <v>1707</v>
      </c>
    </row>
    <row r="120" spans="1:29">
      <c r="A120">
        <v>107</v>
      </c>
      <c r="B120">
        <v>2116</v>
      </c>
      <c r="C120">
        <v>2116</v>
      </c>
      <c r="D120" t="s">
        <v>21</v>
      </c>
      <c r="E120" s="22">
        <v>44306</v>
      </c>
      <c r="F120" s="23">
        <v>44306</v>
      </c>
      <c r="G120" t="s">
        <v>25</v>
      </c>
      <c r="H120" t="s">
        <v>29</v>
      </c>
      <c r="I120" t="s">
        <v>29</v>
      </c>
      <c r="J120" t="s">
        <v>54</v>
      </c>
      <c r="K120" t="s">
        <v>73</v>
      </c>
      <c r="L120" t="s">
        <v>225</v>
      </c>
      <c r="M120">
        <v>2111</v>
      </c>
      <c r="N120" t="s">
        <v>807</v>
      </c>
      <c r="O120" t="s">
        <v>865</v>
      </c>
      <c r="P120" t="s">
        <v>21</v>
      </c>
      <c r="Q120" t="s">
        <v>21</v>
      </c>
      <c r="R120" t="s">
        <v>871</v>
      </c>
      <c r="S120" t="s">
        <v>891</v>
      </c>
      <c r="T120" t="s">
        <v>891</v>
      </c>
      <c r="U120" t="s">
        <v>960</v>
      </c>
      <c r="V120" s="28" t="s">
        <v>1051</v>
      </c>
      <c r="W120" s="28" t="s">
        <v>1045</v>
      </c>
      <c r="X120" s="28" t="s">
        <v>1702</v>
      </c>
      <c r="Y120" s="28" t="s">
        <v>1703</v>
      </c>
      <c r="Z120" s="28" t="s">
        <v>1704</v>
      </c>
      <c r="AA120" s="28" t="s">
        <v>1705</v>
      </c>
      <c r="AB120" s="28" t="s">
        <v>1706</v>
      </c>
      <c r="AC120" s="28" t="s">
        <v>1707</v>
      </c>
    </row>
    <row r="121" spans="1:29">
      <c r="A121">
        <v>108</v>
      </c>
      <c r="B121">
        <v>2116</v>
      </c>
      <c r="C121">
        <v>2116</v>
      </c>
      <c r="D121" t="s">
        <v>21</v>
      </c>
      <c r="E121" s="22">
        <v>44306</v>
      </c>
      <c r="F121" s="23">
        <v>44306</v>
      </c>
      <c r="G121" t="s">
        <v>25</v>
      </c>
      <c r="H121" t="s">
        <v>29</v>
      </c>
      <c r="I121" t="s">
        <v>29</v>
      </c>
      <c r="J121" t="s">
        <v>54</v>
      </c>
      <c r="K121" t="s">
        <v>73</v>
      </c>
      <c r="L121" t="s">
        <v>226</v>
      </c>
      <c r="M121">
        <v>2111</v>
      </c>
      <c r="N121" t="s">
        <v>807</v>
      </c>
      <c r="O121" t="s">
        <v>865</v>
      </c>
      <c r="P121" t="s">
        <v>21</v>
      </c>
      <c r="Q121" t="s">
        <v>21</v>
      </c>
      <c r="R121" t="s">
        <v>871</v>
      </c>
      <c r="S121" t="s">
        <v>891</v>
      </c>
      <c r="T121" t="s">
        <v>891</v>
      </c>
      <c r="U121" t="s">
        <v>960</v>
      </c>
      <c r="V121" s="28" t="s">
        <v>1051</v>
      </c>
      <c r="W121" s="28" t="s">
        <v>1045</v>
      </c>
      <c r="X121" s="28" t="s">
        <v>1702</v>
      </c>
      <c r="Y121" s="28" t="s">
        <v>1703</v>
      </c>
      <c r="Z121" s="28" t="s">
        <v>1704</v>
      </c>
      <c r="AA121" s="28" t="s">
        <v>1705</v>
      </c>
      <c r="AB121" s="28" t="s">
        <v>1706</v>
      </c>
      <c r="AC121" s="28" t="s">
        <v>1707</v>
      </c>
    </row>
    <row r="122" spans="1:29">
      <c r="A122">
        <v>109</v>
      </c>
      <c r="B122">
        <v>2116</v>
      </c>
      <c r="C122">
        <v>2116</v>
      </c>
      <c r="D122" t="s">
        <v>21</v>
      </c>
      <c r="E122" s="22">
        <v>44306</v>
      </c>
      <c r="F122" s="23">
        <v>44306</v>
      </c>
      <c r="G122" t="s">
        <v>25</v>
      </c>
      <c r="H122" t="s">
        <v>29</v>
      </c>
      <c r="I122" t="s">
        <v>29</v>
      </c>
      <c r="J122" t="s">
        <v>54</v>
      </c>
      <c r="K122" t="s">
        <v>73</v>
      </c>
      <c r="L122" t="s">
        <v>227</v>
      </c>
      <c r="M122">
        <v>2111</v>
      </c>
      <c r="N122" t="s">
        <v>807</v>
      </c>
      <c r="O122" t="s">
        <v>865</v>
      </c>
      <c r="P122" t="s">
        <v>21</v>
      </c>
      <c r="Q122" t="s">
        <v>21</v>
      </c>
      <c r="R122" t="s">
        <v>871</v>
      </c>
      <c r="S122" t="s">
        <v>891</v>
      </c>
      <c r="T122" t="s">
        <v>891</v>
      </c>
      <c r="U122" t="s">
        <v>960</v>
      </c>
      <c r="V122" s="28" t="s">
        <v>1051</v>
      </c>
      <c r="W122" s="28" t="s">
        <v>1045</v>
      </c>
      <c r="X122" s="28" t="s">
        <v>1702</v>
      </c>
      <c r="Y122" s="28" t="s">
        <v>1703</v>
      </c>
      <c r="Z122" s="28" t="s">
        <v>1704</v>
      </c>
      <c r="AA122" s="28" t="s">
        <v>1705</v>
      </c>
      <c r="AB122" s="28" t="s">
        <v>1706</v>
      </c>
      <c r="AC122" s="28" t="s">
        <v>1707</v>
      </c>
    </row>
    <row r="123" spans="1:29">
      <c r="A123">
        <v>110</v>
      </c>
      <c r="B123">
        <v>2116</v>
      </c>
      <c r="C123">
        <v>2116</v>
      </c>
      <c r="D123" t="s">
        <v>21</v>
      </c>
      <c r="E123" s="22">
        <v>44306</v>
      </c>
      <c r="F123" s="23">
        <v>44306</v>
      </c>
      <c r="G123" t="s">
        <v>25</v>
      </c>
      <c r="H123" t="s">
        <v>29</v>
      </c>
      <c r="I123" t="s">
        <v>29</v>
      </c>
      <c r="J123" t="s">
        <v>54</v>
      </c>
      <c r="K123" t="s">
        <v>73</v>
      </c>
      <c r="L123" t="s">
        <v>228</v>
      </c>
      <c r="M123">
        <v>2111</v>
      </c>
      <c r="N123" t="s">
        <v>807</v>
      </c>
      <c r="O123" t="s">
        <v>865</v>
      </c>
      <c r="P123" t="s">
        <v>21</v>
      </c>
      <c r="Q123" t="s">
        <v>21</v>
      </c>
      <c r="R123" t="s">
        <v>871</v>
      </c>
      <c r="S123" t="s">
        <v>891</v>
      </c>
      <c r="T123" t="s">
        <v>891</v>
      </c>
      <c r="U123" t="s">
        <v>960</v>
      </c>
      <c r="V123" s="28" t="s">
        <v>1051</v>
      </c>
      <c r="W123" s="28" t="s">
        <v>1045</v>
      </c>
      <c r="X123" s="28" t="s">
        <v>1702</v>
      </c>
      <c r="Y123" s="28" t="s">
        <v>1703</v>
      </c>
      <c r="Z123" s="28" t="s">
        <v>1704</v>
      </c>
      <c r="AA123" s="28" t="s">
        <v>1705</v>
      </c>
      <c r="AB123" s="28" t="s">
        <v>1706</v>
      </c>
      <c r="AC123" s="28" t="s">
        <v>1707</v>
      </c>
    </row>
    <row r="124" spans="1:29">
      <c r="A124">
        <v>111</v>
      </c>
      <c r="B124">
        <v>2116</v>
      </c>
      <c r="C124">
        <v>2116</v>
      </c>
      <c r="D124" t="s">
        <v>21</v>
      </c>
      <c r="E124" s="22">
        <v>44306</v>
      </c>
      <c r="F124" s="23">
        <v>44306</v>
      </c>
      <c r="G124" t="s">
        <v>25</v>
      </c>
      <c r="H124" t="s">
        <v>29</v>
      </c>
      <c r="I124" t="s">
        <v>29</v>
      </c>
      <c r="J124" t="s">
        <v>54</v>
      </c>
      <c r="K124" t="s">
        <v>73</v>
      </c>
      <c r="L124" t="s">
        <v>229</v>
      </c>
      <c r="M124">
        <v>2111</v>
      </c>
      <c r="N124" t="s">
        <v>807</v>
      </c>
      <c r="O124" t="s">
        <v>865</v>
      </c>
      <c r="P124" t="s">
        <v>21</v>
      </c>
      <c r="Q124" t="s">
        <v>21</v>
      </c>
      <c r="R124" t="s">
        <v>871</v>
      </c>
      <c r="S124" t="s">
        <v>891</v>
      </c>
      <c r="T124" t="s">
        <v>891</v>
      </c>
      <c r="U124" t="s">
        <v>960</v>
      </c>
      <c r="V124" s="28" t="s">
        <v>1051</v>
      </c>
      <c r="W124" s="28" t="s">
        <v>1045</v>
      </c>
      <c r="X124" s="28" t="s">
        <v>1702</v>
      </c>
      <c r="Y124" s="28" t="s">
        <v>1703</v>
      </c>
      <c r="Z124" s="28" t="s">
        <v>1704</v>
      </c>
      <c r="AA124" s="28" t="s">
        <v>1705</v>
      </c>
      <c r="AB124" s="28" t="s">
        <v>1706</v>
      </c>
      <c r="AC124" s="28" t="s">
        <v>1707</v>
      </c>
    </row>
    <row r="125" spans="1:29">
      <c r="A125">
        <v>112</v>
      </c>
      <c r="B125">
        <v>2116</v>
      </c>
      <c r="C125">
        <v>2116</v>
      </c>
      <c r="D125" t="s">
        <v>21</v>
      </c>
      <c r="E125" s="22">
        <v>44306</v>
      </c>
      <c r="F125" s="23">
        <v>44306</v>
      </c>
      <c r="G125" t="s">
        <v>25</v>
      </c>
      <c r="H125" t="s">
        <v>29</v>
      </c>
      <c r="I125" t="s">
        <v>29</v>
      </c>
      <c r="J125" t="s">
        <v>54</v>
      </c>
      <c r="K125" t="s">
        <v>73</v>
      </c>
      <c r="L125" t="s">
        <v>230</v>
      </c>
      <c r="M125">
        <v>2111</v>
      </c>
      <c r="N125" t="s">
        <v>807</v>
      </c>
      <c r="O125" t="s">
        <v>865</v>
      </c>
      <c r="P125" t="s">
        <v>21</v>
      </c>
      <c r="Q125" t="s">
        <v>21</v>
      </c>
      <c r="R125" t="s">
        <v>871</v>
      </c>
      <c r="S125" t="s">
        <v>891</v>
      </c>
      <c r="T125" t="s">
        <v>891</v>
      </c>
      <c r="U125" t="s">
        <v>960</v>
      </c>
      <c r="V125" s="28" t="s">
        <v>1051</v>
      </c>
      <c r="W125" s="28" t="s">
        <v>1045</v>
      </c>
      <c r="X125" s="28" t="s">
        <v>1702</v>
      </c>
      <c r="Y125" s="28" t="s">
        <v>1703</v>
      </c>
      <c r="Z125" s="28" t="s">
        <v>1704</v>
      </c>
      <c r="AA125" s="28" t="s">
        <v>1705</v>
      </c>
      <c r="AB125" s="28" t="s">
        <v>1706</v>
      </c>
      <c r="AC125" s="28" t="s">
        <v>1707</v>
      </c>
    </row>
    <row r="126" spans="1:29">
      <c r="A126">
        <v>113</v>
      </c>
      <c r="B126">
        <v>2116</v>
      </c>
      <c r="C126">
        <v>2116</v>
      </c>
      <c r="D126" t="s">
        <v>21</v>
      </c>
      <c r="E126" s="22">
        <v>44306</v>
      </c>
      <c r="F126" s="23">
        <v>44306</v>
      </c>
      <c r="G126" t="s">
        <v>25</v>
      </c>
      <c r="H126" t="s">
        <v>29</v>
      </c>
      <c r="I126" t="s">
        <v>29</v>
      </c>
      <c r="J126" t="s">
        <v>54</v>
      </c>
      <c r="K126" t="s">
        <v>73</v>
      </c>
      <c r="L126" t="s">
        <v>231</v>
      </c>
      <c r="M126">
        <v>2111</v>
      </c>
      <c r="N126" t="s">
        <v>807</v>
      </c>
      <c r="O126" t="s">
        <v>865</v>
      </c>
      <c r="P126" t="s">
        <v>21</v>
      </c>
      <c r="Q126" t="s">
        <v>21</v>
      </c>
      <c r="R126" t="s">
        <v>871</v>
      </c>
      <c r="S126" t="s">
        <v>891</v>
      </c>
      <c r="T126" t="s">
        <v>891</v>
      </c>
      <c r="U126" t="s">
        <v>960</v>
      </c>
      <c r="V126" s="28" t="s">
        <v>1051</v>
      </c>
      <c r="W126" s="28" t="s">
        <v>1045</v>
      </c>
      <c r="X126" s="28" t="s">
        <v>1702</v>
      </c>
      <c r="Y126" s="28" t="s">
        <v>1703</v>
      </c>
      <c r="Z126" s="28" t="s">
        <v>1704</v>
      </c>
      <c r="AA126" s="28" t="s">
        <v>1705</v>
      </c>
      <c r="AB126" s="28" t="s">
        <v>1706</v>
      </c>
      <c r="AC126" s="28" t="s">
        <v>1707</v>
      </c>
    </row>
    <row r="127" spans="1:29">
      <c r="A127">
        <v>114</v>
      </c>
      <c r="B127">
        <v>2116</v>
      </c>
      <c r="C127">
        <v>2116</v>
      </c>
      <c r="D127" t="s">
        <v>21</v>
      </c>
      <c r="E127" s="22">
        <v>44306</v>
      </c>
      <c r="F127" s="23">
        <v>44306</v>
      </c>
      <c r="G127" t="s">
        <v>25</v>
      </c>
      <c r="H127" t="s">
        <v>29</v>
      </c>
      <c r="I127" t="s">
        <v>29</v>
      </c>
      <c r="J127" t="s">
        <v>54</v>
      </c>
      <c r="K127" t="s">
        <v>73</v>
      </c>
      <c r="L127" t="s">
        <v>232</v>
      </c>
      <c r="M127">
        <v>2111</v>
      </c>
      <c r="N127" t="s">
        <v>807</v>
      </c>
      <c r="O127" t="s">
        <v>865</v>
      </c>
      <c r="P127" t="s">
        <v>21</v>
      </c>
      <c r="Q127" t="s">
        <v>21</v>
      </c>
      <c r="R127" t="s">
        <v>871</v>
      </c>
      <c r="S127" t="s">
        <v>891</v>
      </c>
      <c r="T127" t="s">
        <v>891</v>
      </c>
      <c r="U127" t="s">
        <v>960</v>
      </c>
      <c r="V127" s="28" t="s">
        <v>1051</v>
      </c>
      <c r="W127" s="28" t="s">
        <v>1045</v>
      </c>
      <c r="X127" s="28" t="s">
        <v>1702</v>
      </c>
      <c r="Y127" s="28" t="s">
        <v>1703</v>
      </c>
      <c r="Z127" s="28" t="s">
        <v>1704</v>
      </c>
      <c r="AA127" s="28" t="s">
        <v>1705</v>
      </c>
      <c r="AB127" s="28" t="s">
        <v>1706</v>
      </c>
      <c r="AC127" s="28" t="s">
        <v>1707</v>
      </c>
    </row>
    <row r="128" spans="1:29">
      <c r="A128">
        <v>115</v>
      </c>
      <c r="B128">
        <v>2116</v>
      </c>
      <c r="C128">
        <v>2116</v>
      </c>
      <c r="D128" t="s">
        <v>21</v>
      </c>
      <c r="E128" s="22">
        <v>44306</v>
      </c>
      <c r="F128" s="23">
        <v>44306</v>
      </c>
      <c r="G128" t="s">
        <v>25</v>
      </c>
      <c r="H128" t="s">
        <v>29</v>
      </c>
      <c r="I128" t="s">
        <v>29</v>
      </c>
      <c r="J128" t="s">
        <v>54</v>
      </c>
      <c r="K128" t="s">
        <v>73</v>
      </c>
      <c r="L128" t="s">
        <v>233</v>
      </c>
      <c r="M128">
        <v>2111</v>
      </c>
      <c r="N128" t="s">
        <v>807</v>
      </c>
      <c r="O128" t="s">
        <v>865</v>
      </c>
      <c r="P128" t="s">
        <v>21</v>
      </c>
      <c r="Q128" t="s">
        <v>21</v>
      </c>
      <c r="R128" t="s">
        <v>871</v>
      </c>
      <c r="S128" t="s">
        <v>891</v>
      </c>
      <c r="T128" t="s">
        <v>891</v>
      </c>
      <c r="U128" t="s">
        <v>960</v>
      </c>
      <c r="V128" s="28" t="s">
        <v>1051</v>
      </c>
      <c r="W128" s="28" t="s">
        <v>1045</v>
      </c>
      <c r="X128" s="28" t="s">
        <v>1702</v>
      </c>
      <c r="Y128" s="28" t="s">
        <v>1703</v>
      </c>
      <c r="Z128" s="28" t="s">
        <v>1704</v>
      </c>
      <c r="AA128" s="28" t="s">
        <v>1705</v>
      </c>
      <c r="AB128" s="28" t="s">
        <v>1706</v>
      </c>
      <c r="AC128" s="28" t="s">
        <v>1707</v>
      </c>
    </row>
    <row r="129" spans="1:29">
      <c r="A129">
        <v>116</v>
      </c>
      <c r="B129">
        <v>2116</v>
      </c>
      <c r="C129">
        <v>2116</v>
      </c>
      <c r="D129" t="s">
        <v>21</v>
      </c>
      <c r="E129" s="22">
        <v>44306</v>
      </c>
      <c r="F129" s="23">
        <v>44306</v>
      </c>
      <c r="G129" t="s">
        <v>25</v>
      </c>
      <c r="H129" t="s">
        <v>29</v>
      </c>
      <c r="I129" t="s">
        <v>29</v>
      </c>
      <c r="J129" t="s">
        <v>54</v>
      </c>
      <c r="K129" t="s">
        <v>73</v>
      </c>
      <c r="L129" t="s">
        <v>234</v>
      </c>
      <c r="M129">
        <v>2111</v>
      </c>
      <c r="N129" t="s">
        <v>807</v>
      </c>
      <c r="O129" t="s">
        <v>865</v>
      </c>
      <c r="P129" t="s">
        <v>21</v>
      </c>
      <c r="Q129" t="s">
        <v>21</v>
      </c>
      <c r="R129" t="s">
        <v>871</v>
      </c>
      <c r="S129" t="s">
        <v>891</v>
      </c>
      <c r="T129" t="s">
        <v>891</v>
      </c>
      <c r="U129" t="s">
        <v>960</v>
      </c>
      <c r="V129" s="28" t="s">
        <v>1051</v>
      </c>
      <c r="W129" s="28" t="s">
        <v>1045</v>
      </c>
      <c r="X129" s="28" t="s">
        <v>1702</v>
      </c>
      <c r="Y129" s="28" t="s">
        <v>1703</v>
      </c>
      <c r="Z129" s="28" t="s">
        <v>1704</v>
      </c>
      <c r="AA129" s="28" t="s">
        <v>1705</v>
      </c>
      <c r="AB129" s="28" t="s">
        <v>1706</v>
      </c>
      <c r="AC129" s="28" t="s">
        <v>1707</v>
      </c>
    </row>
    <row r="130" spans="1:29">
      <c r="A130">
        <v>117</v>
      </c>
      <c r="B130">
        <v>2116</v>
      </c>
      <c r="C130">
        <v>2116</v>
      </c>
      <c r="D130" t="s">
        <v>21</v>
      </c>
      <c r="E130" s="22">
        <v>44306</v>
      </c>
      <c r="F130" s="23">
        <v>44306</v>
      </c>
      <c r="G130" t="s">
        <v>25</v>
      </c>
      <c r="H130" t="s">
        <v>29</v>
      </c>
      <c r="I130" t="s">
        <v>29</v>
      </c>
      <c r="J130" t="s">
        <v>54</v>
      </c>
      <c r="K130" t="s">
        <v>73</v>
      </c>
      <c r="L130" t="s">
        <v>235</v>
      </c>
      <c r="M130">
        <v>2111</v>
      </c>
      <c r="N130" t="s">
        <v>807</v>
      </c>
      <c r="O130" t="s">
        <v>865</v>
      </c>
      <c r="P130" t="s">
        <v>21</v>
      </c>
      <c r="Q130" t="s">
        <v>21</v>
      </c>
      <c r="R130" t="s">
        <v>871</v>
      </c>
      <c r="S130" t="s">
        <v>891</v>
      </c>
      <c r="T130" t="s">
        <v>891</v>
      </c>
      <c r="U130" t="s">
        <v>960</v>
      </c>
      <c r="V130" s="28" t="s">
        <v>1051</v>
      </c>
      <c r="W130" s="28" t="s">
        <v>1045</v>
      </c>
      <c r="X130" s="28" t="s">
        <v>1702</v>
      </c>
      <c r="Y130" s="28" t="s">
        <v>1703</v>
      </c>
      <c r="Z130" s="28" t="s">
        <v>1704</v>
      </c>
      <c r="AA130" s="28" t="s">
        <v>1705</v>
      </c>
      <c r="AB130" s="28" t="s">
        <v>1706</v>
      </c>
      <c r="AC130" s="28" t="s">
        <v>1707</v>
      </c>
    </row>
    <row r="131" spans="1:29">
      <c r="A131">
        <v>118</v>
      </c>
      <c r="B131">
        <v>2116</v>
      </c>
      <c r="C131">
        <v>2116</v>
      </c>
      <c r="D131" t="s">
        <v>21</v>
      </c>
      <c r="E131" s="22">
        <v>44306</v>
      </c>
      <c r="F131" s="23">
        <v>44306</v>
      </c>
      <c r="G131" t="s">
        <v>25</v>
      </c>
      <c r="H131" t="s">
        <v>29</v>
      </c>
      <c r="I131" t="s">
        <v>29</v>
      </c>
      <c r="J131" t="s">
        <v>54</v>
      </c>
      <c r="K131" t="s">
        <v>73</v>
      </c>
      <c r="L131" t="s">
        <v>236</v>
      </c>
      <c r="M131">
        <v>2111</v>
      </c>
      <c r="N131" t="s">
        <v>807</v>
      </c>
      <c r="O131" t="s">
        <v>865</v>
      </c>
      <c r="P131" t="s">
        <v>21</v>
      </c>
      <c r="Q131" t="s">
        <v>21</v>
      </c>
      <c r="R131" t="s">
        <v>871</v>
      </c>
      <c r="S131" t="s">
        <v>891</v>
      </c>
      <c r="T131" t="s">
        <v>891</v>
      </c>
      <c r="U131" t="s">
        <v>960</v>
      </c>
      <c r="V131" s="28" t="s">
        <v>1051</v>
      </c>
      <c r="W131" s="28" t="s">
        <v>1045</v>
      </c>
      <c r="X131" s="28" t="s">
        <v>1702</v>
      </c>
      <c r="Y131" s="28" t="s">
        <v>1703</v>
      </c>
      <c r="Z131" s="28" t="s">
        <v>1704</v>
      </c>
      <c r="AA131" s="28" t="s">
        <v>1705</v>
      </c>
      <c r="AB131" s="28" t="s">
        <v>1706</v>
      </c>
      <c r="AC131" s="28" t="s">
        <v>1707</v>
      </c>
    </row>
    <row r="132" spans="1:29">
      <c r="A132">
        <v>119</v>
      </c>
      <c r="B132">
        <v>2116</v>
      </c>
      <c r="C132">
        <v>2116</v>
      </c>
      <c r="D132" t="s">
        <v>21</v>
      </c>
      <c r="E132" s="22">
        <v>44306</v>
      </c>
      <c r="F132" s="23">
        <v>44306</v>
      </c>
      <c r="G132" t="s">
        <v>25</v>
      </c>
      <c r="H132" t="s">
        <v>29</v>
      </c>
      <c r="I132" t="s">
        <v>29</v>
      </c>
      <c r="J132" t="s">
        <v>54</v>
      </c>
      <c r="K132" t="s">
        <v>73</v>
      </c>
      <c r="L132" t="s">
        <v>237</v>
      </c>
      <c r="M132">
        <v>2111</v>
      </c>
      <c r="N132" t="s">
        <v>807</v>
      </c>
      <c r="O132" t="s">
        <v>865</v>
      </c>
      <c r="P132" t="s">
        <v>21</v>
      </c>
      <c r="Q132" t="s">
        <v>21</v>
      </c>
      <c r="R132" t="s">
        <v>871</v>
      </c>
      <c r="S132" t="s">
        <v>891</v>
      </c>
      <c r="T132" t="s">
        <v>891</v>
      </c>
      <c r="U132" t="s">
        <v>960</v>
      </c>
      <c r="V132" s="28" t="s">
        <v>1051</v>
      </c>
      <c r="W132" s="28" t="s">
        <v>1045</v>
      </c>
      <c r="X132" s="28" t="s">
        <v>1702</v>
      </c>
      <c r="Y132" s="28" t="s">
        <v>1703</v>
      </c>
      <c r="Z132" s="28" t="s">
        <v>1704</v>
      </c>
      <c r="AA132" s="28" t="s">
        <v>1705</v>
      </c>
      <c r="AB132" s="28" t="s">
        <v>1706</v>
      </c>
      <c r="AC132" s="28" t="s">
        <v>1707</v>
      </c>
    </row>
    <row r="133" spans="1:29">
      <c r="A133">
        <v>120</v>
      </c>
      <c r="B133">
        <v>2116</v>
      </c>
      <c r="C133">
        <v>2116</v>
      </c>
      <c r="D133" t="s">
        <v>21</v>
      </c>
      <c r="E133" s="22">
        <v>44306</v>
      </c>
      <c r="F133" s="23">
        <v>44306</v>
      </c>
      <c r="G133" t="s">
        <v>25</v>
      </c>
      <c r="H133" t="s">
        <v>29</v>
      </c>
      <c r="I133" t="s">
        <v>29</v>
      </c>
      <c r="J133" t="s">
        <v>54</v>
      </c>
      <c r="K133" t="s">
        <v>73</v>
      </c>
      <c r="L133" t="s">
        <v>238</v>
      </c>
      <c r="M133">
        <v>2111</v>
      </c>
      <c r="N133" t="s">
        <v>807</v>
      </c>
      <c r="O133" t="s">
        <v>865</v>
      </c>
      <c r="P133" t="s">
        <v>21</v>
      </c>
      <c r="Q133" t="s">
        <v>21</v>
      </c>
      <c r="R133" t="s">
        <v>871</v>
      </c>
      <c r="S133" t="s">
        <v>891</v>
      </c>
      <c r="T133" t="s">
        <v>891</v>
      </c>
      <c r="U133" t="s">
        <v>960</v>
      </c>
      <c r="V133" s="28" t="s">
        <v>1051</v>
      </c>
      <c r="W133" s="28" t="s">
        <v>1045</v>
      </c>
      <c r="X133" s="28" t="s">
        <v>1702</v>
      </c>
      <c r="Y133" s="28" t="s">
        <v>1703</v>
      </c>
      <c r="Z133" s="28" t="s">
        <v>1704</v>
      </c>
      <c r="AA133" s="28" t="s">
        <v>1705</v>
      </c>
      <c r="AB133" s="28" t="s">
        <v>1706</v>
      </c>
      <c r="AC133" s="28" t="s">
        <v>1707</v>
      </c>
    </row>
    <row r="134" spans="1:29">
      <c r="A134">
        <v>121</v>
      </c>
      <c r="B134">
        <v>2116</v>
      </c>
      <c r="C134">
        <v>2116</v>
      </c>
      <c r="D134" t="s">
        <v>21</v>
      </c>
      <c r="E134" s="22">
        <v>44306</v>
      </c>
      <c r="F134" s="23">
        <v>44306</v>
      </c>
      <c r="G134" t="s">
        <v>25</v>
      </c>
      <c r="H134" t="s">
        <v>29</v>
      </c>
      <c r="I134" t="s">
        <v>29</v>
      </c>
      <c r="J134" t="s">
        <v>54</v>
      </c>
      <c r="K134" t="s">
        <v>73</v>
      </c>
      <c r="L134" t="s">
        <v>239</v>
      </c>
      <c r="M134">
        <v>2111</v>
      </c>
      <c r="N134" t="s">
        <v>807</v>
      </c>
      <c r="O134" t="s">
        <v>865</v>
      </c>
      <c r="P134" t="s">
        <v>21</v>
      </c>
      <c r="Q134" t="s">
        <v>21</v>
      </c>
      <c r="R134" t="s">
        <v>871</v>
      </c>
      <c r="S134" t="s">
        <v>891</v>
      </c>
      <c r="T134" t="s">
        <v>891</v>
      </c>
      <c r="U134" t="s">
        <v>960</v>
      </c>
      <c r="V134" s="28" t="s">
        <v>1051</v>
      </c>
      <c r="W134" s="28" t="s">
        <v>1045</v>
      </c>
      <c r="X134" s="28" t="s">
        <v>1702</v>
      </c>
      <c r="Y134" s="28" t="s">
        <v>1703</v>
      </c>
      <c r="Z134" s="28" t="s">
        <v>1704</v>
      </c>
      <c r="AA134" s="28" t="s">
        <v>1705</v>
      </c>
      <c r="AB134" s="28" t="s">
        <v>1706</v>
      </c>
      <c r="AC134" s="28" t="s">
        <v>1707</v>
      </c>
    </row>
    <row r="135" spans="1:29">
      <c r="A135">
        <v>122</v>
      </c>
      <c r="B135">
        <v>2116</v>
      </c>
      <c r="C135">
        <v>2116</v>
      </c>
      <c r="D135" t="s">
        <v>21</v>
      </c>
      <c r="E135" s="22">
        <v>44306</v>
      </c>
      <c r="F135" s="23">
        <v>44306</v>
      </c>
      <c r="G135" t="s">
        <v>25</v>
      </c>
      <c r="H135" t="s">
        <v>29</v>
      </c>
      <c r="I135" t="s">
        <v>29</v>
      </c>
      <c r="J135" t="s">
        <v>54</v>
      </c>
      <c r="K135" t="s">
        <v>73</v>
      </c>
      <c r="L135" t="s">
        <v>240</v>
      </c>
      <c r="M135">
        <v>2111</v>
      </c>
      <c r="N135" t="s">
        <v>807</v>
      </c>
      <c r="O135" t="s">
        <v>865</v>
      </c>
      <c r="P135" t="s">
        <v>21</v>
      </c>
      <c r="Q135" t="s">
        <v>21</v>
      </c>
      <c r="R135" t="s">
        <v>871</v>
      </c>
      <c r="S135" t="s">
        <v>891</v>
      </c>
      <c r="T135" t="s">
        <v>891</v>
      </c>
      <c r="U135" t="s">
        <v>960</v>
      </c>
      <c r="V135" s="28" t="s">
        <v>1051</v>
      </c>
      <c r="W135" s="28" t="s">
        <v>1045</v>
      </c>
      <c r="X135" s="28" t="s">
        <v>1702</v>
      </c>
      <c r="Y135" s="28" t="s">
        <v>1703</v>
      </c>
      <c r="Z135" s="28" t="s">
        <v>1704</v>
      </c>
      <c r="AA135" s="28" t="s">
        <v>1705</v>
      </c>
      <c r="AB135" s="28" t="s">
        <v>1706</v>
      </c>
      <c r="AC135" s="28" t="s">
        <v>1707</v>
      </c>
    </row>
    <row r="136" spans="1:29">
      <c r="A136">
        <v>123</v>
      </c>
      <c r="B136">
        <v>2116</v>
      </c>
      <c r="C136">
        <v>2116</v>
      </c>
      <c r="D136" t="s">
        <v>21</v>
      </c>
      <c r="E136" s="22">
        <v>44306</v>
      </c>
      <c r="F136" s="23">
        <v>44306</v>
      </c>
      <c r="G136" t="s">
        <v>25</v>
      </c>
      <c r="H136" t="s">
        <v>29</v>
      </c>
      <c r="I136" t="s">
        <v>29</v>
      </c>
      <c r="J136" t="s">
        <v>54</v>
      </c>
      <c r="K136" t="s">
        <v>73</v>
      </c>
      <c r="L136" t="s">
        <v>241</v>
      </c>
      <c r="M136">
        <v>2111</v>
      </c>
      <c r="N136" t="s">
        <v>807</v>
      </c>
      <c r="O136" t="s">
        <v>865</v>
      </c>
      <c r="P136" t="s">
        <v>21</v>
      </c>
      <c r="Q136" t="s">
        <v>21</v>
      </c>
      <c r="R136" t="s">
        <v>871</v>
      </c>
      <c r="S136" t="s">
        <v>891</v>
      </c>
      <c r="T136" t="s">
        <v>891</v>
      </c>
      <c r="U136" t="s">
        <v>960</v>
      </c>
      <c r="V136" s="28" t="s">
        <v>1051</v>
      </c>
      <c r="W136" s="28" t="s">
        <v>1045</v>
      </c>
      <c r="X136" s="28" t="s">
        <v>1702</v>
      </c>
      <c r="Y136" s="28" t="s">
        <v>1703</v>
      </c>
      <c r="Z136" s="28" t="s">
        <v>1704</v>
      </c>
      <c r="AA136" s="28" t="s">
        <v>1705</v>
      </c>
      <c r="AB136" s="28" t="s">
        <v>1706</v>
      </c>
      <c r="AC136" s="28" t="s">
        <v>1707</v>
      </c>
    </row>
    <row r="137" spans="1:29">
      <c r="A137">
        <v>124</v>
      </c>
      <c r="B137">
        <v>2116</v>
      </c>
      <c r="C137">
        <v>2116</v>
      </c>
      <c r="D137" t="s">
        <v>21</v>
      </c>
      <c r="E137" s="22">
        <v>44306</v>
      </c>
      <c r="F137" s="23">
        <v>44306</v>
      </c>
      <c r="G137" t="s">
        <v>25</v>
      </c>
      <c r="H137" t="s">
        <v>29</v>
      </c>
      <c r="I137" t="s">
        <v>29</v>
      </c>
      <c r="J137" t="s">
        <v>54</v>
      </c>
      <c r="K137" t="s">
        <v>73</v>
      </c>
      <c r="L137" t="s">
        <v>242</v>
      </c>
      <c r="M137">
        <v>2111</v>
      </c>
      <c r="N137" t="s">
        <v>807</v>
      </c>
      <c r="O137" t="s">
        <v>865</v>
      </c>
      <c r="P137" t="s">
        <v>21</v>
      </c>
      <c r="Q137" t="s">
        <v>21</v>
      </c>
      <c r="R137" t="s">
        <v>871</v>
      </c>
      <c r="S137" t="s">
        <v>891</v>
      </c>
      <c r="T137" t="s">
        <v>891</v>
      </c>
      <c r="U137" t="s">
        <v>960</v>
      </c>
      <c r="V137" s="28" t="s">
        <v>1051</v>
      </c>
      <c r="W137" s="28" t="s">
        <v>1045</v>
      </c>
      <c r="X137" s="28" t="s">
        <v>1702</v>
      </c>
      <c r="Y137" s="28" t="s">
        <v>1703</v>
      </c>
      <c r="Z137" s="28" t="s">
        <v>1704</v>
      </c>
      <c r="AA137" s="28" t="s">
        <v>1705</v>
      </c>
      <c r="AB137" s="28" t="s">
        <v>1706</v>
      </c>
      <c r="AC137" s="28" t="s">
        <v>1707</v>
      </c>
    </row>
    <row r="138" spans="1:29">
      <c r="A138">
        <v>125</v>
      </c>
      <c r="B138">
        <v>2116</v>
      </c>
      <c r="C138">
        <v>2116</v>
      </c>
      <c r="D138" t="s">
        <v>21</v>
      </c>
      <c r="E138" s="22">
        <v>44306</v>
      </c>
      <c r="F138" s="23">
        <v>44306</v>
      </c>
      <c r="G138" t="s">
        <v>25</v>
      </c>
      <c r="H138" t="s">
        <v>29</v>
      </c>
      <c r="I138" t="s">
        <v>29</v>
      </c>
      <c r="J138" t="s">
        <v>54</v>
      </c>
      <c r="K138" t="s">
        <v>73</v>
      </c>
      <c r="L138" t="s">
        <v>243</v>
      </c>
      <c r="M138">
        <v>2111</v>
      </c>
      <c r="N138" t="s">
        <v>807</v>
      </c>
      <c r="O138" t="s">
        <v>865</v>
      </c>
      <c r="P138" t="s">
        <v>21</v>
      </c>
      <c r="Q138" t="s">
        <v>21</v>
      </c>
      <c r="R138" t="s">
        <v>871</v>
      </c>
      <c r="S138" t="s">
        <v>891</v>
      </c>
      <c r="T138" t="s">
        <v>891</v>
      </c>
      <c r="U138" t="s">
        <v>960</v>
      </c>
      <c r="V138" s="28" t="s">
        <v>1051</v>
      </c>
      <c r="W138" s="28" t="s">
        <v>1045</v>
      </c>
      <c r="X138" s="28" t="s">
        <v>1702</v>
      </c>
      <c r="Y138" s="28" t="s">
        <v>1703</v>
      </c>
      <c r="Z138" s="28" t="s">
        <v>1704</v>
      </c>
      <c r="AA138" s="28" t="s">
        <v>1705</v>
      </c>
      <c r="AB138" s="28" t="s">
        <v>1706</v>
      </c>
      <c r="AC138" s="28" t="s">
        <v>1707</v>
      </c>
    </row>
    <row r="139" spans="1:29">
      <c r="A139">
        <v>126</v>
      </c>
      <c r="B139">
        <v>2116</v>
      </c>
      <c r="C139">
        <v>2116</v>
      </c>
      <c r="D139" t="s">
        <v>21</v>
      </c>
      <c r="E139" s="22">
        <v>44306</v>
      </c>
      <c r="F139" s="23">
        <v>44306</v>
      </c>
      <c r="G139" t="s">
        <v>25</v>
      </c>
      <c r="H139" t="s">
        <v>29</v>
      </c>
      <c r="I139" t="s">
        <v>29</v>
      </c>
      <c r="J139" t="s">
        <v>54</v>
      </c>
      <c r="K139" t="s">
        <v>73</v>
      </c>
      <c r="L139" t="s">
        <v>244</v>
      </c>
      <c r="M139">
        <v>2111</v>
      </c>
      <c r="N139" t="s">
        <v>807</v>
      </c>
      <c r="O139" t="s">
        <v>865</v>
      </c>
      <c r="P139" t="s">
        <v>21</v>
      </c>
      <c r="Q139" t="s">
        <v>21</v>
      </c>
      <c r="R139" t="s">
        <v>871</v>
      </c>
      <c r="S139" t="s">
        <v>891</v>
      </c>
      <c r="T139" t="s">
        <v>891</v>
      </c>
      <c r="U139" t="s">
        <v>960</v>
      </c>
      <c r="V139" s="28" t="s">
        <v>1051</v>
      </c>
      <c r="W139" s="28" t="s">
        <v>1045</v>
      </c>
      <c r="X139" s="28" t="s">
        <v>1702</v>
      </c>
      <c r="Y139" s="28" t="s">
        <v>1703</v>
      </c>
      <c r="Z139" s="28" t="s">
        <v>1704</v>
      </c>
      <c r="AA139" s="28" t="s">
        <v>1705</v>
      </c>
      <c r="AB139" s="28" t="s">
        <v>1706</v>
      </c>
      <c r="AC139" s="28" t="s">
        <v>1707</v>
      </c>
    </row>
    <row r="140" spans="1:29">
      <c r="A140">
        <v>127</v>
      </c>
      <c r="B140">
        <v>2116</v>
      </c>
      <c r="C140">
        <v>2116</v>
      </c>
      <c r="D140" t="s">
        <v>21</v>
      </c>
      <c r="E140" s="22">
        <v>44306</v>
      </c>
      <c r="F140" s="23">
        <v>44306</v>
      </c>
      <c r="G140" t="s">
        <v>25</v>
      </c>
      <c r="H140" t="s">
        <v>29</v>
      </c>
      <c r="I140" t="s">
        <v>29</v>
      </c>
      <c r="J140" t="s">
        <v>54</v>
      </c>
      <c r="K140" t="s">
        <v>73</v>
      </c>
      <c r="L140" t="s">
        <v>245</v>
      </c>
      <c r="M140">
        <v>2111</v>
      </c>
      <c r="N140" t="s">
        <v>807</v>
      </c>
      <c r="O140" t="s">
        <v>865</v>
      </c>
      <c r="P140" t="s">
        <v>21</v>
      </c>
      <c r="Q140" t="s">
        <v>21</v>
      </c>
      <c r="R140" t="s">
        <v>871</v>
      </c>
      <c r="S140" t="s">
        <v>891</v>
      </c>
      <c r="T140" t="s">
        <v>891</v>
      </c>
      <c r="U140" t="s">
        <v>960</v>
      </c>
      <c r="V140" s="28" t="s">
        <v>1051</v>
      </c>
      <c r="W140" s="28" t="s">
        <v>1045</v>
      </c>
      <c r="X140" s="28" t="s">
        <v>1702</v>
      </c>
      <c r="Y140" s="28" t="s">
        <v>1703</v>
      </c>
      <c r="Z140" s="28" t="s">
        <v>1704</v>
      </c>
      <c r="AA140" s="28" t="s">
        <v>1705</v>
      </c>
      <c r="AB140" s="28" t="s">
        <v>1706</v>
      </c>
      <c r="AC140" s="28" t="s">
        <v>1707</v>
      </c>
    </row>
    <row r="141" spans="1:29">
      <c r="A141">
        <v>128</v>
      </c>
      <c r="B141">
        <v>2116</v>
      </c>
      <c r="C141">
        <v>2116</v>
      </c>
      <c r="D141" t="s">
        <v>21</v>
      </c>
      <c r="E141" s="22">
        <v>44306</v>
      </c>
      <c r="F141" s="23">
        <v>44306</v>
      </c>
      <c r="G141" t="s">
        <v>25</v>
      </c>
      <c r="H141" t="s">
        <v>29</v>
      </c>
      <c r="I141" t="s">
        <v>29</v>
      </c>
      <c r="J141" t="s">
        <v>54</v>
      </c>
      <c r="K141" t="s">
        <v>73</v>
      </c>
      <c r="L141" t="s">
        <v>246</v>
      </c>
      <c r="M141">
        <v>2111</v>
      </c>
      <c r="N141" t="s">
        <v>807</v>
      </c>
      <c r="O141" t="s">
        <v>865</v>
      </c>
      <c r="P141" t="s">
        <v>21</v>
      </c>
      <c r="Q141" t="s">
        <v>21</v>
      </c>
      <c r="R141" t="s">
        <v>871</v>
      </c>
      <c r="S141" t="s">
        <v>891</v>
      </c>
      <c r="T141" t="s">
        <v>891</v>
      </c>
      <c r="U141" t="s">
        <v>960</v>
      </c>
      <c r="V141" s="28" t="s">
        <v>1051</v>
      </c>
      <c r="W141" s="28" t="s">
        <v>1045</v>
      </c>
      <c r="X141" s="28" t="s">
        <v>1702</v>
      </c>
      <c r="Y141" s="28" t="s">
        <v>1703</v>
      </c>
      <c r="Z141" s="28" t="s">
        <v>1704</v>
      </c>
      <c r="AA141" s="28" t="s">
        <v>1705</v>
      </c>
      <c r="AB141" s="28" t="s">
        <v>1706</v>
      </c>
      <c r="AC141" s="28" t="s">
        <v>1707</v>
      </c>
    </row>
    <row r="142" spans="1:29">
      <c r="A142">
        <v>129</v>
      </c>
      <c r="B142">
        <v>2116</v>
      </c>
      <c r="C142">
        <v>2116</v>
      </c>
      <c r="D142" t="s">
        <v>21</v>
      </c>
      <c r="E142" s="22">
        <v>44306</v>
      </c>
      <c r="F142" s="23">
        <v>44306</v>
      </c>
      <c r="G142" t="s">
        <v>25</v>
      </c>
      <c r="H142" t="s">
        <v>29</v>
      </c>
      <c r="I142" t="s">
        <v>29</v>
      </c>
      <c r="J142" t="s">
        <v>54</v>
      </c>
      <c r="K142" t="s">
        <v>73</v>
      </c>
      <c r="L142" t="s">
        <v>247</v>
      </c>
      <c r="M142">
        <v>2111</v>
      </c>
      <c r="N142" t="s">
        <v>807</v>
      </c>
      <c r="O142" t="s">
        <v>865</v>
      </c>
      <c r="P142" t="s">
        <v>21</v>
      </c>
      <c r="Q142" t="s">
        <v>21</v>
      </c>
      <c r="R142" t="s">
        <v>871</v>
      </c>
      <c r="S142" t="s">
        <v>891</v>
      </c>
      <c r="T142" t="s">
        <v>891</v>
      </c>
      <c r="U142" t="s">
        <v>960</v>
      </c>
      <c r="V142" s="28" t="s">
        <v>1051</v>
      </c>
      <c r="W142" s="28" t="s">
        <v>1045</v>
      </c>
      <c r="X142" s="28" t="s">
        <v>1702</v>
      </c>
      <c r="Y142" s="28" t="s">
        <v>1703</v>
      </c>
      <c r="Z142" s="28" t="s">
        <v>1704</v>
      </c>
      <c r="AA142" s="28" t="s">
        <v>1705</v>
      </c>
      <c r="AB142" s="28" t="s">
        <v>1706</v>
      </c>
      <c r="AC142" s="28" t="s">
        <v>1707</v>
      </c>
    </row>
    <row r="143" spans="1:29">
      <c r="A143">
        <v>130</v>
      </c>
      <c r="B143">
        <v>2116</v>
      </c>
      <c r="C143">
        <v>2116</v>
      </c>
      <c r="D143" t="s">
        <v>21</v>
      </c>
      <c r="E143" s="22">
        <v>44306</v>
      </c>
      <c r="F143" s="23">
        <v>44306</v>
      </c>
      <c r="G143" t="s">
        <v>25</v>
      </c>
      <c r="H143" t="s">
        <v>29</v>
      </c>
      <c r="I143" t="s">
        <v>29</v>
      </c>
      <c r="J143" t="s">
        <v>54</v>
      </c>
      <c r="K143" t="s">
        <v>73</v>
      </c>
      <c r="L143" t="s">
        <v>248</v>
      </c>
      <c r="M143">
        <v>2111</v>
      </c>
      <c r="N143" t="s">
        <v>807</v>
      </c>
      <c r="O143" t="s">
        <v>865</v>
      </c>
      <c r="P143" t="s">
        <v>21</v>
      </c>
      <c r="Q143" t="s">
        <v>21</v>
      </c>
      <c r="R143" t="s">
        <v>871</v>
      </c>
      <c r="S143" t="s">
        <v>891</v>
      </c>
      <c r="T143" t="s">
        <v>891</v>
      </c>
      <c r="U143" t="s">
        <v>960</v>
      </c>
      <c r="V143" s="28" t="s">
        <v>1051</v>
      </c>
      <c r="W143" s="28" t="s">
        <v>1045</v>
      </c>
      <c r="X143" s="28" t="s">
        <v>1702</v>
      </c>
      <c r="Y143" s="28" t="s">
        <v>1703</v>
      </c>
      <c r="Z143" s="28" t="s">
        <v>1704</v>
      </c>
      <c r="AA143" s="28" t="s">
        <v>1705</v>
      </c>
      <c r="AB143" s="28" t="s">
        <v>1706</v>
      </c>
      <c r="AC143" s="28" t="s">
        <v>1707</v>
      </c>
    </row>
    <row r="144" spans="1:29">
      <c r="A144">
        <v>131</v>
      </c>
      <c r="B144">
        <v>2116</v>
      </c>
      <c r="C144">
        <v>2116</v>
      </c>
      <c r="D144" t="s">
        <v>21</v>
      </c>
      <c r="E144" s="22">
        <v>44306</v>
      </c>
      <c r="F144" s="23">
        <v>44306</v>
      </c>
      <c r="G144" t="s">
        <v>25</v>
      </c>
      <c r="H144" t="s">
        <v>29</v>
      </c>
      <c r="I144" t="s">
        <v>29</v>
      </c>
      <c r="J144" t="s">
        <v>54</v>
      </c>
      <c r="K144" t="s">
        <v>73</v>
      </c>
      <c r="L144" t="s">
        <v>249</v>
      </c>
      <c r="M144">
        <v>2111</v>
      </c>
      <c r="N144" t="s">
        <v>807</v>
      </c>
      <c r="O144" t="s">
        <v>865</v>
      </c>
      <c r="P144" t="s">
        <v>21</v>
      </c>
      <c r="Q144" t="s">
        <v>21</v>
      </c>
      <c r="R144" t="s">
        <v>871</v>
      </c>
      <c r="S144" t="s">
        <v>891</v>
      </c>
      <c r="T144" t="s">
        <v>891</v>
      </c>
      <c r="U144" t="s">
        <v>960</v>
      </c>
      <c r="V144" s="28" t="s">
        <v>1051</v>
      </c>
      <c r="W144" s="28" t="s">
        <v>1045</v>
      </c>
      <c r="X144" s="28" t="s">
        <v>1702</v>
      </c>
      <c r="Y144" s="28" t="s">
        <v>1703</v>
      </c>
      <c r="Z144" s="28" t="s">
        <v>1704</v>
      </c>
      <c r="AA144" s="28" t="s">
        <v>1705</v>
      </c>
      <c r="AB144" s="28" t="s">
        <v>1706</v>
      </c>
      <c r="AC144" s="28" t="s">
        <v>1707</v>
      </c>
    </row>
    <row r="145" spans="1:29">
      <c r="A145">
        <v>132</v>
      </c>
      <c r="B145">
        <v>2116</v>
      </c>
      <c r="C145">
        <v>2116</v>
      </c>
      <c r="D145" t="s">
        <v>21</v>
      </c>
      <c r="E145" s="22">
        <v>44306</v>
      </c>
      <c r="F145" s="23">
        <v>44306</v>
      </c>
      <c r="G145" t="s">
        <v>25</v>
      </c>
      <c r="H145" t="s">
        <v>29</v>
      </c>
      <c r="I145" t="s">
        <v>29</v>
      </c>
      <c r="J145" t="s">
        <v>54</v>
      </c>
      <c r="K145" t="s">
        <v>73</v>
      </c>
      <c r="L145" t="s">
        <v>250</v>
      </c>
      <c r="M145">
        <v>2111</v>
      </c>
      <c r="N145" t="s">
        <v>807</v>
      </c>
      <c r="O145" t="s">
        <v>865</v>
      </c>
      <c r="P145" t="s">
        <v>21</v>
      </c>
      <c r="Q145" t="s">
        <v>21</v>
      </c>
      <c r="R145" t="s">
        <v>871</v>
      </c>
      <c r="S145" t="s">
        <v>891</v>
      </c>
      <c r="T145" t="s">
        <v>891</v>
      </c>
      <c r="U145" t="s">
        <v>960</v>
      </c>
      <c r="V145" s="28" t="s">
        <v>1051</v>
      </c>
      <c r="W145" s="28" t="s">
        <v>1045</v>
      </c>
      <c r="X145" s="28" t="s">
        <v>1702</v>
      </c>
      <c r="Y145" s="28" t="s">
        <v>1703</v>
      </c>
      <c r="Z145" s="28" t="s">
        <v>1704</v>
      </c>
      <c r="AA145" s="28" t="s">
        <v>1705</v>
      </c>
      <c r="AB145" s="28" t="s">
        <v>1706</v>
      </c>
      <c r="AC145" s="28" t="s">
        <v>1707</v>
      </c>
    </row>
    <row r="146" spans="1:29">
      <c r="A146">
        <v>133</v>
      </c>
      <c r="B146">
        <v>2116</v>
      </c>
      <c r="C146">
        <v>2116</v>
      </c>
      <c r="D146" t="s">
        <v>21</v>
      </c>
      <c r="E146" s="22">
        <v>44306</v>
      </c>
      <c r="F146" s="23">
        <v>44306</v>
      </c>
      <c r="G146" t="s">
        <v>25</v>
      </c>
      <c r="H146" t="s">
        <v>29</v>
      </c>
      <c r="I146" t="s">
        <v>29</v>
      </c>
      <c r="J146" t="s">
        <v>54</v>
      </c>
      <c r="K146" t="s">
        <v>73</v>
      </c>
      <c r="L146" t="s">
        <v>251</v>
      </c>
      <c r="M146">
        <v>2111</v>
      </c>
      <c r="N146" t="s">
        <v>807</v>
      </c>
      <c r="O146" t="s">
        <v>865</v>
      </c>
      <c r="P146" t="s">
        <v>21</v>
      </c>
      <c r="Q146" t="s">
        <v>21</v>
      </c>
      <c r="R146" t="s">
        <v>871</v>
      </c>
      <c r="S146" t="s">
        <v>891</v>
      </c>
      <c r="T146" t="s">
        <v>891</v>
      </c>
      <c r="U146" t="s">
        <v>960</v>
      </c>
      <c r="V146" s="28" t="s">
        <v>1051</v>
      </c>
      <c r="W146" s="28" t="s">
        <v>1045</v>
      </c>
      <c r="X146" s="28" t="s">
        <v>1702</v>
      </c>
      <c r="Y146" s="28" t="s">
        <v>1703</v>
      </c>
      <c r="Z146" s="28" t="s">
        <v>1704</v>
      </c>
      <c r="AA146" s="28" t="s">
        <v>1705</v>
      </c>
      <c r="AB146" s="28" t="s">
        <v>1706</v>
      </c>
      <c r="AC146" s="28" t="s">
        <v>1707</v>
      </c>
    </row>
    <row r="147" spans="1:29">
      <c r="A147">
        <v>134</v>
      </c>
      <c r="B147">
        <v>2116</v>
      </c>
      <c r="C147">
        <v>2116</v>
      </c>
      <c r="D147" t="s">
        <v>21</v>
      </c>
      <c r="E147" s="22">
        <v>44306</v>
      </c>
      <c r="F147" s="23">
        <v>44306</v>
      </c>
      <c r="G147" t="s">
        <v>25</v>
      </c>
      <c r="H147" t="s">
        <v>29</v>
      </c>
      <c r="I147" t="s">
        <v>29</v>
      </c>
      <c r="J147" t="s">
        <v>54</v>
      </c>
      <c r="K147" t="s">
        <v>73</v>
      </c>
      <c r="L147" t="s">
        <v>252</v>
      </c>
      <c r="M147">
        <v>2111</v>
      </c>
      <c r="N147" t="s">
        <v>807</v>
      </c>
      <c r="O147" t="s">
        <v>865</v>
      </c>
      <c r="P147" t="s">
        <v>21</v>
      </c>
      <c r="Q147" t="s">
        <v>21</v>
      </c>
      <c r="R147" t="s">
        <v>871</v>
      </c>
      <c r="S147" t="s">
        <v>891</v>
      </c>
      <c r="T147" t="s">
        <v>891</v>
      </c>
      <c r="U147" t="s">
        <v>960</v>
      </c>
      <c r="V147" s="28" t="s">
        <v>1051</v>
      </c>
      <c r="W147" s="28" t="s">
        <v>1045</v>
      </c>
      <c r="X147" s="28" t="s">
        <v>1702</v>
      </c>
      <c r="Y147" s="28" t="s">
        <v>1703</v>
      </c>
      <c r="Z147" s="28" t="s">
        <v>1704</v>
      </c>
      <c r="AA147" s="28" t="s">
        <v>1705</v>
      </c>
      <c r="AB147" s="28" t="s">
        <v>1706</v>
      </c>
      <c r="AC147" s="28" t="s">
        <v>1707</v>
      </c>
    </row>
    <row r="148" spans="1:29">
      <c r="A148">
        <v>135</v>
      </c>
      <c r="B148">
        <v>2116</v>
      </c>
      <c r="C148">
        <v>2116</v>
      </c>
      <c r="D148" t="s">
        <v>21</v>
      </c>
      <c r="E148" s="22">
        <v>44306</v>
      </c>
      <c r="F148" s="23">
        <v>44306</v>
      </c>
      <c r="G148" t="s">
        <v>25</v>
      </c>
      <c r="H148" t="s">
        <v>29</v>
      </c>
      <c r="I148" t="s">
        <v>29</v>
      </c>
      <c r="J148" t="s">
        <v>54</v>
      </c>
      <c r="K148" t="s">
        <v>73</v>
      </c>
      <c r="L148" t="s">
        <v>253</v>
      </c>
      <c r="M148">
        <v>2111</v>
      </c>
      <c r="N148" t="s">
        <v>807</v>
      </c>
      <c r="O148" t="s">
        <v>865</v>
      </c>
      <c r="P148" t="s">
        <v>21</v>
      </c>
      <c r="Q148" t="s">
        <v>21</v>
      </c>
      <c r="R148" t="s">
        <v>871</v>
      </c>
      <c r="S148" t="s">
        <v>891</v>
      </c>
      <c r="T148" t="s">
        <v>891</v>
      </c>
      <c r="U148" t="s">
        <v>960</v>
      </c>
      <c r="V148" s="28" t="s">
        <v>1051</v>
      </c>
      <c r="W148" s="28" t="s">
        <v>1045</v>
      </c>
      <c r="X148" s="28" t="s">
        <v>1702</v>
      </c>
      <c r="Y148" s="28" t="s">
        <v>1703</v>
      </c>
      <c r="Z148" s="28" t="s">
        <v>1704</v>
      </c>
      <c r="AA148" s="28" t="s">
        <v>1705</v>
      </c>
      <c r="AB148" s="28" t="s">
        <v>1706</v>
      </c>
      <c r="AC148" s="28" t="s">
        <v>1707</v>
      </c>
    </row>
    <row r="149" spans="1:29">
      <c r="A149">
        <v>136</v>
      </c>
      <c r="B149">
        <v>2116</v>
      </c>
      <c r="C149">
        <v>2116</v>
      </c>
      <c r="D149" t="s">
        <v>21</v>
      </c>
      <c r="E149" s="22">
        <v>44306</v>
      </c>
      <c r="F149" s="23">
        <v>44306</v>
      </c>
      <c r="G149" t="s">
        <v>25</v>
      </c>
      <c r="H149" t="s">
        <v>29</v>
      </c>
      <c r="I149" t="s">
        <v>29</v>
      </c>
      <c r="J149" t="s">
        <v>54</v>
      </c>
      <c r="K149" t="s">
        <v>73</v>
      </c>
      <c r="L149" t="s">
        <v>254</v>
      </c>
      <c r="M149">
        <v>2111</v>
      </c>
      <c r="N149" t="s">
        <v>807</v>
      </c>
      <c r="O149" t="s">
        <v>865</v>
      </c>
      <c r="P149" t="s">
        <v>21</v>
      </c>
      <c r="Q149" t="s">
        <v>21</v>
      </c>
      <c r="R149" t="s">
        <v>871</v>
      </c>
      <c r="S149" t="s">
        <v>891</v>
      </c>
      <c r="T149" t="s">
        <v>891</v>
      </c>
      <c r="U149" t="s">
        <v>960</v>
      </c>
      <c r="V149" s="28" t="s">
        <v>1051</v>
      </c>
      <c r="W149" s="28" t="s">
        <v>1045</v>
      </c>
      <c r="X149" s="28" t="s">
        <v>1702</v>
      </c>
      <c r="Y149" s="28" t="s">
        <v>1703</v>
      </c>
      <c r="Z149" s="28" t="s">
        <v>1704</v>
      </c>
      <c r="AA149" s="28" t="s">
        <v>1705</v>
      </c>
      <c r="AB149" s="28" t="s">
        <v>1706</v>
      </c>
      <c r="AC149" s="28" t="s">
        <v>1707</v>
      </c>
    </row>
    <row r="150" spans="1:29">
      <c r="A150">
        <v>137</v>
      </c>
      <c r="B150">
        <v>2116</v>
      </c>
      <c r="C150">
        <v>2116</v>
      </c>
      <c r="D150" t="s">
        <v>21</v>
      </c>
      <c r="E150" s="22">
        <v>44306</v>
      </c>
      <c r="F150" s="23">
        <v>44306</v>
      </c>
      <c r="G150" t="s">
        <v>25</v>
      </c>
      <c r="H150" t="s">
        <v>29</v>
      </c>
      <c r="I150" t="s">
        <v>29</v>
      </c>
      <c r="J150" t="s">
        <v>54</v>
      </c>
      <c r="K150" t="s">
        <v>73</v>
      </c>
      <c r="L150" t="s">
        <v>255</v>
      </c>
      <c r="M150">
        <v>2111</v>
      </c>
      <c r="N150" t="s">
        <v>807</v>
      </c>
      <c r="O150" t="s">
        <v>865</v>
      </c>
      <c r="P150" t="s">
        <v>21</v>
      </c>
      <c r="Q150" t="s">
        <v>21</v>
      </c>
      <c r="R150" t="s">
        <v>871</v>
      </c>
      <c r="S150" t="s">
        <v>891</v>
      </c>
      <c r="T150" t="s">
        <v>891</v>
      </c>
      <c r="U150" t="s">
        <v>960</v>
      </c>
      <c r="V150" s="28" t="s">
        <v>1051</v>
      </c>
      <c r="W150" s="28" t="s">
        <v>1045</v>
      </c>
      <c r="X150" s="28" t="s">
        <v>1702</v>
      </c>
      <c r="Y150" s="28" t="s">
        <v>1703</v>
      </c>
      <c r="Z150" s="28" t="s">
        <v>1704</v>
      </c>
      <c r="AA150" s="28" t="s">
        <v>1705</v>
      </c>
      <c r="AB150" s="28" t="s">
        <v>1706</v>
      </c>
      <c r="AC150" s="28" t="s">
        <v>1707</v>
      </c>
    </row>
    <row r="151" spans="1:29">
      <c r="A151">
        <v>138</v>
      </c>
      <c r="B151">
        <v>2116</v>
      </c>
      <c r="C151">
        <v>2116</v>
      </c>
      <c r="D151" t="s">
        <v>21</v>
      </c>
      <c r="E151" s="22">
        <v>44306</v>
      </c>
      <c r="F151" s="23">
        <v>44306</v>
      </c>
      <c r="G151" t="s">
        <v>25</v>
      </c>
      <c r="H151" t="s">
        <v>29</v>
      </c>
      <c r="I151" t="s">
        <v>29</v>
      </c>
      <c r="J151" t="s">
        <v>54</v>
      </c>
      <c r="K151" t="s">
        <v>73</v>
      </c>
      <c r="L151" t="s">
        <v>256</v>
      </c>
      <c r="M151">
        <v>2111</v>
      </c>
      <c r="N151" t="s">
        <v>807</v>
      </c>
      <c r="O151" t="s">
        <v>865</v>
      </c>
      <c r="P151" t="s">
        <v>21</v>
      </c>
      <c r="Q151" t="s">
        <v>21</v>
      </c>
      <c r="R151" t="s">
        <v>871</v>
      </c>
      <c r="S151" t="s">
        <v>891</v>
      </c>
      <c r="T151" t="s">
        <v>891</v>
      </c>
      <c r="U151" t="s">
        <v>960</v>
      </c>
      <c r="V151" s="28" t="s">
        <v>1051</v>
      </c>
      <c r="W151" s="28" t="s">
        <v>1045</v>
      </c>
      <c r="X151" s="28" t="s">
        <v>1702</v>
      </c>
      <c r="Y151" s="28" t="s">
        <v>1703</v>
      </c>
      <c r="Z151" s="28" t="s">
        <v>1704</v>
      </c>
      <c r="AA151" s="28" t="s">
        <v>1705</v>
      </c>
      <c r="AB151" s="28" t="s">
        <v>1706</v>
      </c>
      <c r="AC151" s="28" t="s">
        <v>1707</v>
      </c>
    </row>
    <row r="152" spans="1:29">
      <c r="A152">
        <v>139</v>
      </c>
      <c r="B152">
        <v>2116</v>
      </c>
      <c r="C152">
        <v>2116</v>
      </c>
      <c r="D152" t="s">
        <v>21</v>
      </c>
      <c r="E152" s="22">
        <v>44306</v>
      </c>
      <c r="F152" s="23">
        <v>44306</v>
      </c>
      <c r="G152" t="s">
        <v>25</v>
      </c>
      <c r="H152" t="s">
        <v>29</v>
      </c>
      <c r="I152" t="s">
        <v>29</v>
      </c>
      <c r="J152" t="s">
        <v>54</v>
      </c>
      <c r="K152" t="s">
        <v>73</v>
      </c>
      <c r="L152" t="s">
        <v>257</v>
      </c>
      <c r="M152">
        <v>2111</v>
      </c>
      <c r="N152" t="s">
        <v>807</v>
      </c>
      <c r="O152" t="s">
        <v>865</v>
      </c>
      <c r="P152" t="s">
        <v>21</v>
      </c>
      <c r="Q152" t="s">
        <v>21</v>
      </c>
      <c r="R152" t="s">
        <v>871</v>
      </c>
      <c r="S152" t="s">
        <v>891</v>
      </c>
      <c r="T152" t="s">
        <v>891</v>
      </c>
      <c r="U152" t="s">
        <v>960</v>
      </c>
      <c r="V152" s="28" t="s">
        <v>1051</v>
      </c>
      <c r="W152" s="28" t="s">
        <v>1045</v>
      </c>
      <c r="X152" s="28" t="s">
        <v>1702</v>
      </c>
      <c r="Y152" s="28" t="s">
        <v>1703</v>
      </c>
      <c r="Z152" s="28" t="s">
        <v>1704</v>
      </c>
      <c r="AA152" s="28" t="s">
        <v>1705</v>
      </c>
      <c r="AB152" s="28" t="s">
        <v>1706</v>
      </c>
      <c r="AC152" s="28" t="s">
        <v>1707</v>
      </c>
    </row>
    <row r="153" spans="1:29">
      <c r="A153">
        <v>140</v>
      </c>
      <c r="B153">
        <v>2116</v>
      </c>
      <c r="C153">
        <v>2116</v>
      </c>
      <c r="D153" t="s">
        <v>21</v>
      </c>
      <c r="E153" s="22">
        <v>44306</v>
      </c>
      <c r="F153" s="23">
        <v>44306</v>
      </c>
      <c r="G153" t="s">
        <v>25</v>
      </c>
      <c r="H153" t="s">
        <v>29</v>
      </c>
      <c r="I153" t="s">
        <v>29</v>
      </c>
      <c r="J153" t="s">
        <v>54</v>
      </c>
      <c r="K153" t="s">
        <v>73</v>
      </c>
      <c r="L153" t="s">
        <v>258</v>
      </c>
      <c r="M153">
        <v>2111</v>
      </c>
      <c r="N153" t="s">
        <v>807</v>
      </c>
      <c r="O153" t="s">
        <v>865</v>
      </c>
      <c r="P153" t="s">
        <v>21</v>
      </c>
      <c r="Q153" t="s">
        <v>21</v>
      </c>
      <c r="R153" t="s">
        <v>871</v>
      </c>
      <c r="S153" t="s">
        <v>891</v>
      </c>
      <c r="T153" t="s">
        <v>891</v>
      </c>
      <c r="U153" t="s">
        <v>960</v>
      </c>
      <c r="V153" s="28" t="s">
        <v>1051</v>
      </c>
      <c r="W153" s="28" t="s">
        <v>1045</v>
      </c>
      <c r="X153" s="28" t="s">
        <v>1702</v>
      </c>
      <c r="Y153" s="28" t="s">
        <v>1703</v>
      </c>
      <c r="Z153" s="28" t="s">
        <v>1704</v>
      </c>
      <c r="AA153" s="28" t="s">
        <v>1705</v>
      </c>
      <c r="AB153" s="28" t="s">
        <v>1706</v>
      </c>
      <c r="AC153" s="28" t="s">
        <v>1707</v>
      </c>
    </row>
    <row r="154" spans="1:29">
      <c r="A154">
        <v>141</v>
      </c>
      <c r="B154">
        <v>2116</v>
      </c>
      <c r="C154">
        <v>2116</v>
      </c>
      <c r="D154" t="s">
        <v>21</v>
      </c>
      <c r="E154" s="22">
        <v>44306</v>
      </c>
      <c r="F154" s="23">
        <v>44306</v>
      </c>
      <c r="G154" t="s">
        <v>25</v>
      </c>
      <c r="H154" t="s">
        <v>29</v>
      </c>
      <c r="I154" t="s">
        <v>29</v>
      </c>
      <c r="J154" t="s">
        <v>54</v>
      </c>
      <c r="K154" t="s">
        <v>73</v>
      </c>
      <c r="L154" t="s">
        <v>259</v>
      </c>
      <c r="M154">
        <v>2111</v>
      </c>
      <c r="N154" t="s">
        <v>807</v>
      </c>
      <c r="O154" t="s">
        <v>865</v>
      </c>
      <c r="P154" t="s">
        <v>21</v>
      </c>
      <c r="Q154" t="s">
        <v>21</v>
      </c>
      <c r="R154" t="s">
        <v>871</v>
      </c>
      <c r="S154" t="s">
        <v>891</v>
      </c>
      <c r="T154" t="s">
        <v>891</v>
      </c>
      <c r="U154" t="s">
        <v>960</v>
      </c>
      <c r="V154" s="28" t="s">
        <v>1051</v>
      </c>
      <c r="W154" s="28" t="s">
        <v>1045</v>
      </c>
      <c r="X154" s="28" t="s">
        <v>1702</v>
      </c>
      <c r="Y154" s="28" t="s">
        <v>1703</v>
      </c>
      <c r="Z154" s="28" t="s">
        <v>1704</v>
      </c>
      <c r="AA154" s="28" t="s">
        <v>1705</v>
      </c>
      <c r="AB154" s="28" t="s">
        <v>1706</v>
      </c>
      <c r="AC154" s="28" t="s">
        <v>1707</v>
      </c>
    </row>
    <row r="155" spans="1:29">
      <c r="A155">
        <v>142</v>
      </c>
      <c r="B155">
        <v>2116</v>
      </c>
      <c r="C155">
        <v>2116</v>
      </c>
      <c r="D155" t="s">
        <v>21</v>
      </c>
      <c r="E155" s="22">
        <v>44306</v>
      </c>
      <c r="F155" s="23">
        <v>44306</v>
      </c>
      <c r="G155" t="s">
        <v>25</v>
      </c>
      <c r="H155" t="s">
        <v>29</v>
      </c>
      <c r="I155" t="s">
        <v>29</v>
      </c>
      <c r="J155" t="s">
        <v>54</v>
      </c>
      <c r="K155" t="s">
        <v>73</v>
      </c>
      <c r="L155" t="s">
        <v>260</v>
      </c>
      <c r="M155">
        <v>2111</v>
      </c>
      <c r="N155" t="s">
        <v>807</v>
      </c>
      <c r="O155" t="s">
        <v>865</v>
      </c>
      <c r="P155" t="s">
        <v>21</v>
      </c>
      <c r="Q155" t="s">
        <v>21</v>
      </c>
      <c r="R155" t="s">
        <v>871</v>
      </c>
      <c r="S155" t="s">
        <v>891</v>
      </c>
      <c r="T155" t="s">
        <v>891</v>
      </c>
      <c r="U155" t="s">
        <v>960</v>
      </c>
      <c r="V155" s="28" t="s">
        <v>1051</v>
      </c>
      <c r="W155" s="28" t="s">
        <v>1045</v>
      </c>
      <c r="X155" s="28" t="s">
        <v>1702</v>
      </c>
      <c r="Y155" s="28" t="s">
        <v>1703</v>
      </c>
      <c r="Z155" s="28" t="s">
        <v>1704</v>
      </c>
      <c r="AA155" s="28" t="s">
        <v>1705</v>
      </c>
      <c r="AB155" s="28" t="s">
        <v>1706</v>
      </c>
      <c r="AC155" s="28" t="s">
        <v>1707</v>
      </c>
    </row>
    <row r="156" spans="1:29">
      <c r="A156">
        <v>143</v>
      </c>
      <c r="B156">
        <v>2116</v>
      </c>
      <c r="C156">
        <v>2116</v>
      </c>
      <c r="D156" t="s">
        <v>21</v>
      </c>
      <c r="E156" s="22">
        <v>44306</v>
      </c>
      <c r="F156" s="23">
        <v>44306</v>
      </c>
      <c r="G156" t="s">
        <v>25</v>
      </c>
      <c r="H156" t="s">
        <v>29</v>
      </c>
      <c r="I156" t="s">
        <v>29</v>
      </c>
      <c r="J156" t="s">
        <v>54</v>
      </c>
      <c r="K156" t="s">
        <v>73</v>
      </c>
      <c r="L156" t="s">
        <v>261</v>
      </c>
      <c r="M156">
        <v>2111</v>
      </c>
      <c r="N156" t="s">
        <v>807</v>
      </c>
      <c r="O156" t="s">
        <v>865</v>
      </c>
      <c r="P156" t="s">
        <v>21</v>
      </c>
      <c r="Q156" t="s">
        <v>21</v>
      </c>
      <c r="R156" t="s">
        <v>871</v>
      </c>
      <c r="S156" t="s">
        <v>891</v>
      </c>
      <c r="T156" t="s">
        <v>891</v>
      </c>
      <c r="U156" t="s">
        <v>960</v>
      </c>
      <c r="V156" s="28" t="s">
        <v>1051</v>
      </c>
      <c r="W156" s="28" t="s">
        <v>1045</v>
      </c>
      <c r="X156" s="28" t="s">
        <v>1702</v>
      </c>
      <c r="Y156" s="28" t="s">
        <v>1703</v>
      </c>
      <c r="Z156" s="28" t="s">
        <v>1704</v>
      </c>
      <c r="AA156" s="28" t="s">
        <v>1705</v>
      </c>
      <c r="AB156" s="28" t="s">
        <v>1706</v>
      </c>
      <c r="AC156" s="28" t="s">
        <v>1707</v>
      </c>
    </row>
    <row r="157" spans="1:29">
      <c r="A157">
        <v>144</v>
      </c>
      <c r="B157">
        <v>2116</v>
      </c>
      <c r="C157">
        <v>2116</v>
      </c>
      <c r="D157" t="s">
        <v>21</v>
      </c>
      <c r="E157" s="22">
        <v>44306</v>
      </c>
      <c r="F157" s="23">
        <v>44306</v>
      </c>
      <c r="G157" t="s">
        <v>25</v>
      </c>
      <c r="H157" t="s">
        <v>29</v>
      </c>
      <c r="I157" t="s">
        <v>29</v>
      </c>
      <c r="J157" t="s">
        <v>54</v>
      </c>
      <c r="K157" t="s">
        <v>73</v>
      </c>
      <c r="L157" t="s">
        <v>262</v>
      </c>
      <c r="M157">
        <v>2111</v>
      </c>
      <c r="N157" t="s">
        <v>807</v>
      </c>
      <c r="O157" t="s">
        <v>865</v>
      </c>
      <c r="P157" t="s">
        <v>21</v>
      </c>
      <c r="Q157" t="s">
        <v>21</v>
      </c>
      <c r="R157" t="s">
        <v>871</v>
      </c>
      <c r="S157" t="s">
        <v>891</v>
      </c>
      <c r="T157" t="s">
        <v>891</v>
      </c>
      <c r="U157" t="s">
        <v>960</v>
      </c>
      <c r="V157" s="28" t="s">
        <v>1051</v>
      </c>
      <c r="W157" s="28" t="s">
        <v>1045</v>
      </c>
      <c r="X157" s="28" t="s">
        <v>1702</v>
      </c>
      <c r="Y157" s="28" t="s">
        <v>1703</v>
      </c>
      <c r="Z157" s="28" t="s">
        <v>1704</v>
      </c>
      <c r="AA157" s="28" t="s">
        <v>1705</v>
      </c>
      <c r="AB157" s="28" t="s">
        <v>1706</v>
      </c>
      <c r="AC157" s="28" t="s">
        <v>1707</v>
      </c>
    </row>
    <row r="158" spans="1:29">
      <c r="A158">
        <v>145</v>
      </c>
      <c r="B158">
        <v>2116</v>
      </c>
      <c r="C158">
        <v>2116</v>
      </c>
      <c r="D158" t="s">
        <v>21</v>
      </c>
      <c r="E158" s="22">
        <v>44306</v>
      </c>
      <c r="F158" s="23">
        <v>44306</v>
      </c>
      <c r="G158" t="s">
        <v>25</v>
      </c>
      <c r="H158" t="s">
        <v>29</v>
      </c>
      <c r="I158" t="s">
        <v>29</v>
      </c>
      <c r="J158" t="s">
        <v>54</v>
      </c>
      <c r="K158" t="s">
        <v>73</v>
      </c>
      <c r="L158" t="s">
        <v>263</v>
      </c>
      <c r="M158">
        <v>2111</v>
      </c>
      <c r="N158" t="s">
        <v>807</v>
      </c>
      <c r="O158" t="s">
        <v>865</v>
      </c>
      <c r="P158" t="s">
        <v>21</v>
      </c>
      <c r="Q158" t="s">
        <v>21</v>
      </c>
      <c r="R158" t="s">
        <v>871</v>
      </c>
      <c r="S158" t="s">
        <v>891</v>
      </c>
      <c r="T158" t="s">
        <v>891</v>
      </c>
      <c r="U158" t="s">
        <v>960</v>
      </c>
      <c r="V158" s="28" t="s">
        <v>1051</v>
      </c>
      <c r="W158" s="28" t="s">
        <v>1045</v>
      </c>
      <c r="X158" s="28" t="s">
        <v>1702</v>
      </c>
      <c r="Y158" s="28" t="s">
        <v>1703</v>
      </c>
      <c r="Z158" s="28" t="s">
        <v>1704</v>
      </c>
      <c r="AA158" s="28" t="s">
        <v>1705</v>
      </c>
      <c r="AB158" s="28" t="s">
        <v>1706</v>
      </c>
      <c r="AC158" s="28" t="s">
        <v>1707</v>
      </c>
    </row>
    <row r="159" spans="1:29">
      <c r="A159">
        <v>146</v>
      </c>
      <c r="B159">
        <v>2116</v>
      </c>
      <c r="C159">
        <v>2116</v>
      </c>
      <c r="D159" t="s">
        <v>21</v>
      </c>
      <c r="E159" s="22">
        <v>44306</v>
      </c>
      <c r="F159" s="23">
        <v>44306</v>
      </c>
      <c r="G159" t="s">
        <v>25</v>
      </c>
      <c r="H159" t="s">
        <v>29</v>
      </c>
      <c r="I159" t="s">
        <v>29</v>
      </c>
      <c r="J159" t="s">
        <v>54</v>
      </c>
      <c r="K159" t="s">
        <v>73</v>
      </c>
      <c r="L159" t="s">
        <v>264</v>
      </c>
      <c r="M159">
        <v>2111</v>
      </c>
      <c r="N159" t="s">
        <v>807</v>
      </c>
      <c r="O159" t="s">
        <v>865</v>
      </c>
      <c r="P159" t="s">
        <v>21</v>
      </c>
      <c r="Q159" t="s">
        <v>21</v>
      </c>
      <c r="R159" t="s">
        <v>871</v>
      </c>
      <c r="S159" t="s">
        <v>891</v>
      </c>
      <c r="T159" t="s">
        <v>891</v>
      </c>
      <c r="U159" t="s">
        <v>960</v>
      </c>
      <c r="V159" s="28" t="s">
        <v>1051</v>
      </c>
      <c r="W159" s="28" t="s">
        <v>1045</v>
      </c>
      <c r="X159" s="28" t="s">
        <v>1702</v>
      </c>
      <c r="Y159" s="28" t="s">
        <v>1703</v>
      </c>
      <c r="Z159" s="28" t="s">
        <v>1704</v>
      </c>
      <c r="AA159" s="28" t="s">
        <v>1705</v>
      </c>
      <c r="AB159" s="28" t="s">
        <v>1706</v>
      </c>
      <c r="AC159" s="28" t="s">
        <v>1707</v>
      </c>
    </row>
    <row r="160" spans="1:29">
      <c r="A160">
        <v>147</v>
      </c>
      <c r="B160">
        <v>2116</v>
      </c>
      <c r="C160">
        <v>2116</v>
      </c>
      <c r="D160" t="s">
        <v>21</v>
      </c>
      <c r="E160" s="22">
        <v>44306</v>
      </c>
      <c r="F160" s="23">
        <v>44306</v>
      </c>
      <c r="G160" t="s">
        <v>25</v>
      </c>
      <c r="H160" t="s">
        <v>29</v>
      </c>
      <c r="I160" t="s">
        <v>29</v>
      </c>
      <c r="J160" t="s">
        <v>54</v>
      </c>
      <c r="K160" t="s">
        <v>73</v>
      </c>
      <c r="L160" t="s">
        <v>265</v>
      </c>
      <c r="M160">
        <v>2111</v>
      </c>
      <c r="N160" t="s">
        <v>807</v>
      </c>
      <c r="O160" t="s">
        <v>865</v>
      </c>
      <c r="P160" t="s">
        <v>21</v>
      </c>
      <c r="Q160" t="s">
        <v>21</v>
      </c>
      <c r="R160" t="s">
        <v>871</v>
      </c>
      <c r="S160" t="s">
        <v>891</v>
      </c>
      <c r="T160" t="s">
        <v>891</v>
      </c>
      <c r="U160" t="s">
        <v>960</v>
      </c>
      <c r="V160" s="28" t="s">
        <v>1051</v>
      </c>
      <c r="W160" s="28" t="s">
        <v>1045</v>
      </c>
      <c r="X160" s="28" t="s">
        <v>1702</v>
      </c>
      <c r="Y160" s="28" t="s">
        <v>1703</v>
      </c>
      <c r="Z160" s="28" t="s">
        <v>1704</v>
      </c>
      <c r="AA160" s="28" t="s">
        <v>1705</v>
      </c>
      <c r="AB160" s="28" t="s">
        <v>1706</v>
      </c>
      <c r="AC160" s="28" t="s">
        <v>1707</v>
      </c>
    </row>
    <row r="161" spans="1:29">
      <c r="A161">
        <v>148</v>
      </c>
      <c r="B161">
        <v>2116</v>
      </c>
      <c r="C161">
        <v>2116</v>
      </c>
      <c r="D161" t="s">
        <v>21</v>
      </c>
      <c r="E161" s="22">
        <v>44306</v>
      </c>
      <c r="F161" s="23">
        <v>44306</v>
      </c>
      <c r="G161" t="s">
        <v>25</v>
      </c>
      <c r="H161" t="s">
        <v>29</v>
      </c>
      <c r="I161" t="s">
        <v>29</v>
      </c>
      <c r="J161" t="s">
        <v>54</v>
      </c>
      <c r="K161" t="s">
        <v>73</v>
      </c>
      <c r="L161" t="s">
        <v>266</v>
      </c>
      <c r="M161">
        <v>2111</v>
      </c>
      <c r="N161" t="s">
        <v>807</v>
      </c>
      <c r="O161" t="s">
        <v>865</v>
      </c>
      <c r="P161" t="s">
        <v>21</v>
      </c>
      <c r="Q161" t="s">
        <v>21</v>
      </c>
      <c r="R161" t="s">
        <v>871</v>
      </c>
      <c r="S161" t="s">
        <v>891</v>
      </c>
      <c r="T161" t="s">
        <v>891</v>
      </c>
      <c r="U161" t="s">
        <v>960</v>
      </c>
      <c r="V161" s="28" t="s">
        <v>1051</v>
      </c>
      <c r="W161" s="28" t="s">
        <v>1045</v>
      </c>
      <c r="X161" s="28" t="s">
        <v>1702</v>
      </c>
      <c r="Y161" s="28" t="s">
        <v>1703</v>
      </c>
      <c r="Z161" s="28" t="s">
        <v>1704</v>
      </c>
      <c r="AA161" s="28" t="s">
        <v>1705</v>
      </c>
      <c r="AB161" s="28" t="s">
        <v>1706</v>
      </c>
      <c r="AC161" s="28" t="s">
        <v>1707</v>
      </c>
    </row>
    <row r="162" spans="1:29">
      <c r="A162">
        <v>149</v>
      </c>
      <c r="B162">
        <v>2116</v>
      </c>
      <c r="C162">
        <v>2116</v>
      </c>
      <c r="D162" t="s">
        <v>21</v>
      </c>
      <c r="E162" s="22">
        <v>44306</v>
      </c>
      <c r="F162" s="23">
        <v>44306</v>
      </c>
      <c r="G162" t="s">
        <v>25</v>
      </c>
      <c r="H162" t="s">
        <v>29</v>
      </c>
      <c r="I162" t="s">
        <v>29</v>
      </c>
      <c r="J162" t="s">
        <v>54</v>
      </c>
      <c r="K162" t="s">
        <v>73</v>
      </c>
      <c r="L162" t="s">
        <v>267</v>
      </c>
      <c r="M162">
        <v>2111</v>
      </c>
      <c r="N162" t="s">
        <v>807</v>
      </c>
      <c r="O162" t="s">
        <v>865</v>
      </c>
      <c r="P162" t="s">
        <v>21</v>
      </c>
      <c r="Q162" t="s">
        <v>21</v>
      </c>
      <c r="R162" t="s">
        <v>871</v>
      </c>
      <c r="S162" t="s">
        <v>891</v>
      </c>
      <c r="T162" t="s">
        <v>891</v>
      </c>
      <c r="U162" t="s">
        <v>960</v>
      </c>
      <c r="V162" s="28" t="s">
        <v>1051</v>
      </c>
      <c r="W162" s="28" t="s">
        <v>1045</v>
      </c>
      <c r="X162" s="28" t="s">
        <v>1702</v>
      </c>
      <c r="Y162" s="28" t="s">
        <v>1703</v>
      </c>
      <c r="Z162" s="28" t="s">
        <v>1704</v>
      </c>
      <c r="AA162" s="28" t="s">
        <v>1705</v>
      </c>
      <c r="AB162" s="28" t="s">
        <v>1706</v>
      </c>
      <c r="AC162" s="28" t="s">
        <v>1707</v>
      </c>
    </row>
    <row r="163" spans="1:29">
      <c r="A163">
        <v>150</v>
      </c>
      <c r="B163">
        <v>2116</v>
      </c>
      <c r="C163">
        <v>2116</v>
      </c>
      <c r="D163" t="s">
        <v>21</v>
      </c>
      <c r="E163" s="22">
        <v>44306</v>
      </c>
      <c r="F163" s="23">
        <v>44306</v>
      </c>
      <c r="G163" t="s">
        <v>25</v>
      </c>
      <c r="H163" t="s">
        <v>29</v>
      </c>
      <c r="I163" t="s">
        <v>29</v>
      </c>
      <c r="J163" t="s">
        <v>54</v>
      </c>
      <c r="K163" t="s">
        <v>73</v>
      </c>
      <c r="L163" t="s">
        <v>268</v>
      </c>
      <c r="M163">
        <v>2111</v>
      </c>
      <c r="N163" t="s">
        <v>807</v>
      </c>
      <c r="O163" t="s">
        <v>865</v>
      </c>
      <c r="P163" t="s">
        <v>21</v>
      </c>
      <c r="Q163" t="s">
        <v>21</v>
      </c>
      <c r="R163" t="s">
        <v>871</v>
      </c>
      <c r="S163" t="s">
        <v>891</v>
      </c>
      <c r="T163" t="s">
        <v>891</v>
      </c>
      <c r="U163" t="s">
        <v>960</v>
      </c>
      <c r="V163" s="28" t="s">
        <v>1051</v>
      </c>
      <c r="W163" s="28" t="s">
        <v>1045</v>
      </c>
      <c r="X163" s="28" t="s">
        <v>1702</v>
      </c>
      <c r="Y163" s="28" t="s">
        <v>1703</v>
      </c>
      <c r="Z163" s="28" t="s">
        <v>1704</v>
      </c>
      <c r="AA163" s="28" t="s">
        <v>1705</v>
      </c>
      <c r="AB163" s="28" t="s">
        <v>1706</v>
      </c>
      <c r="AC163" s="28" t="s">
        <v>1707</v>
      </c>
    </row>
    <row r="164" spans="1:29">
      <c r="A164">
        <v>151</v>
      </c>
      <c r="B164">
        <v>2116</v>
      </c>
      <c r="C164">
        <v>2116</v>
      </c>
      <c r="D164" t="s">
        <v>21</v>
      </c>
      <c r="E164" s="22">
        <v>44306</v>
      </c>
      <c r="F164" s="23">
        <v>44306</v>
      </c>
      <c r="G164" t="s">
        <v>25</v>
      </c>
      <c r="H164" t="s">
        <v>29</v>
      </c>
      <c r="I164" t="s">
        <v>29</v>
      </c>
      <c r="J164" t="s">
        <v>54</v>
      </c>
      <c r="K164" t="s">
        <v>73</v>
      </c>
      <c r="L164" t="s">
        <v>269</v>
      </c>
      <c r="M164">
        <v>2111</v>
      </c>
      <c r="N164" t="s">
        <v>807</v>
      </c>
      <c r="O164" t="s">
        <v>865</v>
      </c>
      <c r="P164" t="s">
        <v>21</v>
      </c>
      <c r="Q164" t="s">
        <v>21</v>
      </c>
      <c r="R164" t="s">
        <v>871</v>
      </c>
      <c r="S164" t="s">
        <v>891</v>
      </c>
      <c r="T164" t="s">
        <v>891</v>
      </c>
      <c r="U164" t="s">
        <v>960</v>
      </c>
      <c r="V164" s="28" t="s">
        <v>1051</v>
      </c>
      <c r="W164" s="28" t="s">
        <v>1045</v>
      </c>
      <c r="X164" s="28" t="s">
        <v>1702</v>
      </c>
      <c r="Y164" s="28" t="s">
        <v>1703</v>
      </c>
      <c r="Z164" s="28" t="s">
        <v>1704</v>
      </c>
      <c r="AA164" s="28" t="s">
        <v>1705</v>
      </c>
      <c r="AB164" s="28" t="s">
        <v>1706</v>
      </c>
      <c r="AC164" s="28" t="s">
        <v>1707</v>
      </c>
    </row>
    <row r="165" spans="1:29">
      <c r="A165">
        <v>152</v>
      </c>
      <c r="B165">
        <v>2116</v>
      </c>
      <c r="C165">
        <v>2116</v>
      </c>
      <c r="D165" t="s">
        <v>21</v>
      </c>
      <c r="E165" s="22">
        <v>44306</v>
      </c>
      <c r="F165" s="23">
        <v>44306</v>
      </c>
      <c r="G165" t="s">
        <v>25</v>
      </c>
      <c r="H165" t="s">
        <v>29</v>
      </c>
      <c r="I165" t="s">
        <v>29</v>
      </c>
      <c r="J165" t="s">
        <v>54</v>
      </c>
      <c r="K165" t="s">
        <v>73</v>
      </c>
      <c r="L165" t="s">
        <v>270</v>
      </c>
      <c r="M165">
        <v>2111</v>
      </c>
      <c r="N165" t="s">
        <v>807</v>
      </c>
      <c r="O165" t="s">
        <v>865</v>
      </c>
      <c r="P165" t="s">
        <v>21</v>
      </c>
      <c r="Q165" t="s">
        <v>21</v>
      </c>
      <c r="R165" t="s">
        <v>871</v>
      </c>
      <c r="S165" t="s">
        <v>891</v>
      </c>
      <c r="T165" t="s">
        <v>891</v>
      </c>
      <c r="U165" t="s">
        <v>960</v>
      </c>
      <c r="V165" s="28" t="s">
        <v>1051</v>
      </c>
      <c r="W165" s="28" t="s">
        <v>1045</v>
      </c>
      <c r="X165" s="28" t="s">
        <v>1702</v>
      </c>
      <c r="Y165" s="28" t="s">
        <v>1703</v>
      </c>
      <c r="Z165" s="28" t="s">
        <v>1704</v>
      </c>
      <c r="AA165" s="28" t="s">
        <v>1705</v>
      </c>
      <c r="AB165" s="28" t="s">
        <v>1706</v>
      </c>
      <c r="AC165" s="28" t="s">
        <v>1707</v>
      </c>
    </row>
    <row r="166" spans="1:29">
      <c r="A166">
        <v>153</v>
      </c>
      <c r="B166">
        <v>2116</v>
      </c>
      <c r="C166">
        <v>2116</v>
      </c>
      <c r="D166" t="s">
        <v>21</v>
      </c>
      <c r="E166" s="22">
        <v>44306</v>
      </c>
      <c r="F166" s="23">
        <v>44306</v>
      </c>
      <c r="G166" t="s">
        <v>25</v>
      </c>
      <c r="H166" t="s">
        <v>29</v>
      </c>
      <c r="I166" t="s">
        <v>29</v>
      </c>
      <c r="J166" t="s">
        <v>54</v>
      </c>
      <c r="K166" t="s">
        <v>73</v>
      </c>
      <c r="L166" t="s">
        <v>271</v>
      </c>
      <c r="M166">
        <v>2111</v>
      </c>
      <c r="N166" t="s">
        <v>807</v>
      </c>
      <c r="O166" t="s">
        <v>865</v>
      </c>
      <c r="P166" t="s">
        <v>21</v>
      </c>
      <c r="Q166" t="s">
        <v>21</v>
      </c>
      <c r="R166" t="s">
        <v>871</v>
      </c>
      <c r="S166" t="s">
        <v>891</v>
      </c>
      <c r="T166" t="s">
        <v>891</v>
      </c>
      <c r="U166" t="s">
        <v>960</v>
      </c>
      <c r="V166" s="28" t="s">
        <v>1051</v>
      </c>
      <c r="W166" s="28" t="s">
        <v>1045</v>
      </c>
      <c r="X166" s="28" t="s">
        <v>1702</v>
      </c>
      <c r="Y166" s="28" t="s">
        <v>1703</v>
      </c>
      <c r="Z166" s="28" t="s">
        <v>1704</v>
      </c>
      <c r="AA166" s="28" t="s">
        <v>1705</v>
      </c>
      <c r="AB166" s="28" t="s">
        <v>1706</v>
      </c>
      <c r="AC166" s="28" t="s">
        <v>1707</v>
      </c>
    </row>
    <row r="167" spans="1:29">
      <c r="A167">
        <v>154</v>
      </c>
      <c r="B167">
        <v>2116</v>
      </c>
      <c r="C167">
        <v>2116</v>
      </c>
      <c r="D167" t="s">
        <v>21</v>
      </c>
      <c r="E167" s="22">
        <v>44306</v>
      </c>
      <c r="F167" s="23">
        <v>44306</v>
      </c>
      <c r="G167" t="s">
        <v>25</v>
      </c>
      <c r="H167" t="s">
        <v>29</v>
      </c>
      <c r="I167" t="s">
        <v>29</v>
      </c>
      <c r="J167" t="s">
        <v>54</v>
      </c>
      <c r="K167" t="s">
        <v>73</v>
      </c>
      <c r="L167" t="s">
        <v>272</v>
      </c>
      <c r="M167">
        <v>2111</v>
      </c>
      <c r="N167" t="s">
        <v>807</v>
      </c>
      <c r="O167" t="s">
        <v>865</v>
      </c>
      <c r="P167" t="s">
        <v>21</v>
      </c>
      <c r="Q167" t="s">
        <v>21</v>
      </c>
      <c r="R167" t="s">
        <v>871</v>
      </c>
      <c r="S167" t="s">
        <v>891</v>
      </c>
      <c r="T167" t="s">
        <v>891</v>
      </c>
      <c r="U167" t="s">
        <v>960</v>
      </c>
      <c r="V167" s="28" t="s">
        <v>1051</v>
      </c>
      <c r="W167" s="28" t="s">
        <v>1045</v>
      </c>
      <c r="X167" s="28" t="s">
        <v>1702</v>
      </c>
      <c r="Y167" s="28" t="s">
        <v>1703</v>
      </c>
      <c r="Z167" s="28" t="s">
        <v>1704</v>
      </c>
      <c r="AA167" s="28" t="s">
        <v>1705</v>
      </c>
      <c r="AB167" s="28" t="s">
        <v>1706</v>
      </c>
      <c r="AC167" s="28" t="s">
        <v>1707</v>
      </c>
    </row>
    <row r="168" spans="1:29">
      <c r="A168">
        <v>155</v>
      </c>
      <c r="B168">
        <v>2116</v>
      </c>
      <c r="C168">
        <v>2116</v>
      </c>
      <c r="D168" t="s">
        <v>21</v>
      </c>
      <c r="E168" s="22">
        <v>44306</v>
      </c>
      <c r="F168" s="23">
        <v>44306</v>
      </c>
      <c r="G168" t="s">
        <v>25</v>
      </c>
      <c r="H168" t="s">
        <v>29</v>
      </c>
      <c r="I168" t="s">
        <v>29</v>
      </c>
      <c r="J168" t="s">
        <v>54</v>
      </c>
      <c r="K168" t="s">
        <v>73</v>
      </c>
      <c r="L168" t="s">
        <v>273</v>
      </c>
      <c r="M168">
        <v>2111</v>
      </c>
      <c r="N168" t="s">
        <v>807</v>
      </c>
      <c r="O168" t="s">
        <v>865</v>
      </c>
      <c r="P168" t="s">
        <v>21</v>
      </c>
      <c r="Q168" t="s">
        <v>21</v>
      </c>
      <c r="R168" t="s">
        <v>871</v>
      </c>
      <c r="S168" t="s">
        <v>891</v>
      </c>
      <c r="T168" t="s">
        <v>891</v>
      </c>
      <c r="U168" t="s">
        <v>960</v>
      </c>
      <c r="V168" s="28" t="s">
        <v>1051</v>
      </c>
      <c r="W168" s="28" t="s">
        <v>1045</v>
      </c>
      <c r="X168" s="28" t="s">
        <v>1702</v>
      </c>
      <c r="Y168" s="28" t="s">
        <v>1703</v>
      </c>
      <c r="Z168" s="28" t="s">
        <v>1704</v>
      </c>
      <c r="AA168" s="28" t="s">
        <v>1705</v>
      </c>
      <c r="AB168" s="28" t="s">
        <v>1706</v>
      </c>
      <c r="AC168" s="28" t="s">
        <v>1707</v>
      </c>
    </row>
    <row r="169" spans="1:29">
      <c r="A169">
        <v>156</v>
      </c>
      <c r="B169">
        <v>2116</v>
      </c>
      <c r="C169">
        <v>2116</v>
      </c>
      <c r="D169" t="s">
        <v>21</v>
      </c>
      <c r="E169" s="22">
        <v>44306</v>
      </c>
      <c r="F169" s="23">
        <v>44306</v>
      </c>
      <c r="G169" t="s">
        <v>25</v>
      </c>
      <c r="H169" t="s">
        <v>29</v>
      </c>
      <c r="I169" t="s">
        <v>29</v>
      </c>
      <c r="J169" t="s">
        <v>54</v>
      </c>
      <c r="K169" t="s">
        <v>73</v>
      </c>
      <c r="L169" t="s">
        <v>274</v>
      </c>
      <c r="M169">
        <v>2111</v>
      </c>
      <c r="N169" t="s">
        <v>807</v>
      </c>
      <c r="O169" t="s">
        <v>865</v>
      </c>
      <c r="P169" t="s">
        <v>21</v>
      </c>
      <c r="Q169" t="s">
        <v>21</v>
      </c>
      <c r="R169" t="s">
        <v>871</v>
      </c>
      <c r="S169" t="s">
        <v>891</v>
      </c>
      <c r="T169" t="s">
        <v>891</v>
      </c>
      <c r="U169" t="s">
        <v>960</v>
      </c>
      <c r="V169" s="28" t="s">
        <v>1051</v>
      </c>
      <c r="W169" s="28" t="s">
        <v>1045</v>
      </c>
      <c r="X169" s="28" t="s">
        <v>1702</v>
      </c>
      <c r="Y169" s="28" t="s">
        <v>1703</v>
      </c>
      <c r="Z169" s="28" t="s">
        <v>1704</v>
      </c>
      <c r="AA169" s="28" t="s">
        <v>1705</v>
      </c>
      <c r="AB169" s="28" t="s">
        <v>1706</v>
      </c>
      <c r="AC169" s="28" t="s">
        <v>1707</v>
      </c>
    </row>
    <row r="170" spans="1:29">
      <c r="A170">
        <v>157</v>
      </c>
      <c r="B170">
        <v>2116</v>
      </c>
      <c r="C170">
        <v>2116</v>
      </c>
      <c r="D170" t="s">
        <v>21</v>
      </c>
      <c r="E170" s="22">
        <v>44306</v>
      </c>
      <c r="F170" s="23">
        <v>44306</v>
      </c>
      <c r="G170" t="s">
        <v>25</v>
      </c>
      <c r="H170" t="s">
        <v>29</v>
      </c>
      <c r="I170" t="s">
        <v>29</v>
      </c>
      <c r="J170" t="s">
        <v>54</v>
      </c>
      <c r="K170" t="s">
        <v>73</v>
      </c>
      <c r="L170" t="s">
        <v>275</v>
      </c>
      <c r="M170">
        <v>2111</v>
      </c>
      <c r="N170" t="s">
        <v>807</v>
      </c>
      <c r="O170" t="s">
        <v>865</v>
      </c>
      <c r="P170" t="s">
        <v>21</v>
      </c>
      <c r="Q170" t="s">
        <v>21</v>
      </c>
      <c r="R170" t="s">
        <v>871</v>
      </c>
      <c r="S170" t="s">
        <v>891</v>
      </c>
      <c r="T170" t="s">
        <v>891</v>
      </c>
      <c r="U170" t="s">
        <v>960</v>
      </c>
      <c r="V170" s="28" t="s">
        <v>1051</v>
      </c>
      <c r="W170" s="28" t="s">
        <v>1045</v>
      </c>
      <c r="X170" s="28" t="s">
        <v>1702</v>
      </c>
      <c r="Y170" s="28" t="s">
        <v>1703</v>
      </c>
      <c r="Z170" s="28" t="s">
        <v>1704</v>
      </c>
      <c r="AA170" s="28" t="s">
        <v>1705</v>
      </c>
      <c r="AB170" s="28" t="s">
        <v>1706</v>
      </c>
      <c r="AC170" s="28" t="s">
        <v>1707</v>
      </c>
    </row>
    <row r="171" spans="1:29">
      <c r="A171">
        <v>158</v>
      </c>
      <c r="B171">
        <v>2116</v>
      </c>
      <c r="C171">
        <v>2116</v>
      </c>
      <c r="D171" t="s">
        <v>21</v>
      </c>
      <c r="E171" s="22">
        <v>44306</v>
      </c>
      <c r="F171" s="23">
        <v>44306</v>
      </c>
      <c r="G171" t="s">
        <v>25</v>
      </c>
      <c r="H171" t="s">
        <v>29</v>
      </c>
      <c r="I171" t="s">
        <v>29</v>
      </c>
      <c r="J171" t="s">
        <v>54</v>
      </c>
      <c r="K171" t="s">
        <v>73</v>
      </c>
      <c r="L171" t="s">
        <v>276</v>
      </c>
      <c r="M171">
        <v>2111</v>
      </c>
      <c r="N171" t="s">
        <v>807</v>
      </c>
      <c r="O171" t="s">
        <v>865</v>
      </c>
      <c r="P171" t="s">
        <v>21</v>
      </c>
      <c r="Q171" t="s">
        <v>21</v>
      </c>
      <c r="R171" t="s">
        <v>871</v>
      </c>
      <c r="S171" t="s">
        <v>891</v>
      </c>
      <c r="T171" t="s">
        <v>891</v>
      </c>
      <c r="U171" t="s">
        <v>960</v>
      </c>
      <c r="V171" s="28" t="s">
        <v>1051</v>
      </c>
      <c r="W171" s="28" t="s">
        <v>1045</v>
      </c>
      <c r="X171" s="28" t="s">
        <v>1702</v>
      </c>
      <c r="Y171" s="28" t="s">
        <v>1703</v>
      </c>
      <c r="Z171" s="28" t="s">
        <v>1704</v>
      </c>
      <c r="AA171" s="28" t="s">
        <v>1705</v>
      </c>
      <c r="AB171" s="28" t="s">
        <v>1706</v>
      </c>
      <c r="AC171" s="28" t="s">
        <v>1707</v>
      </c>
    </row>
    <row r="172" spans="1:29">
      <c r="A172">
        <v>159</v>
      </c>
      <c r="B172">
        <v>2116</v>
      </c>
      <c r="C172">
        <v>2116</v>
      </c>
      <c r="D172" t="s">
        <v>21</v>
      </c>
      <c r="E172" s="22">
        <v>44306</v>
      </c>
      <c r="F172" s="23">
        <v>44306</v>
      </c>
      <c r="G172" t="s">
        <v>25</v>
      </c>
      <c r="H172" t="s">
        <v>29</v>
      </c>
      <c r="I172" t="s">
        <v>29</v>
      </c>
      <c r="J172" t="s">
        <v>54</v>
      </c>
      <c r="K172" t="s">
        <v>73</v>
      </c>
      <c r="L172" t="s">
        <v>277</v>
      </c>
      <c r="M172">
        <v>2111</v>
      </c>
      <c r="N172" t="s">
        <v>807</v>
      </c>
      <c r="O172" t="s">
        <v>865</v>
      </c>
      <c r="P172" t="s">
        <v>21</v>
      </c>
      <c r="Q172" t="s">
        <v>21</v>
      </c>
      <c r="R172" t="s">
        <v>871</v>
      </c>
      <c r="S172" t="s">
        <v>891</v>
      </c>
      <c r="T172" t="s">
        <v>891</v>
      </c>
      <c r="U172" t="s">
        <v>960</v>
      </c>
      <c r="V172" s="28" t="s">
        <v>1051</v>
      </c>
      <c r="W172" s="28" t="s">
        <v>1045</v>
      </c>
      <c r="X172" s="28" t="s">
        <v>1702</v>
      </c>
      <c r="Y172" s="28" t="s">
        <v>1703</v>
      </c>
      <c r="Z172" s="28" t="s">
        <v>1704</v>
      </c>
      <c r="AA172" s="28" t="s">
        <v>1705</v>
      </c>
      <c r="AB172" s="28" t="s">
        <v>1706</v>
      </c>
      <c r="AC172" s="28" t="s">
        <v>1707</v>
      </c>
    </row>
    <row r="173" spans="1:29">
      <c r="A173">
        <v>160</v>
      </c>
      <c r="B173">
        <v>2116</v>
      </c>
      <c r="C173">
        <v>2116</v>
      </c>
      <c r="D173" t="s">
        <v>21</v>
      </c>
      <c r="E173" s="22">
        <v>44306</v>
      </c>
      <c r="F173" s="23">
        <v>44306</v>
      </c>
      <c r="G173" t="s">
        <v>25</v>
      </c>
      <c r="H173" t="s">
        <v>29</v>
      </c>
      <c r="I173" t="s">
        <v>29</v>
      </c>
      <c r="J173" t="s">
        <v>54</v>
      </c>
      <c r="K173" t="s">
        <v>73</v>
      </c>
      <c r="L173" t="s">
        <v>278</v>
      </c>
      <c r="M173">
        <v>2111</v>
      </c>
      <c r="N173" t="s">
        <v>807</v>
      </c>
      <c r="O173" t="s">
        <v>865</v>
      </c>
      <c r="P173" t="s">
        <v>21</v>
      </c>
      <c r="Q173" t="s">
        <v>21</v>
      </c>
      <c r="R173" t="s">
        <v>871</v>
      </c>
      <c r="S173" t="s">
        <v>891</v>
      </c>
      <c r="T173" t="s">
        <v>891</v>
      </c>
      <c r="U173" t="s">
        <v>960</v>
      </c>
      <c r="V173" s="28" t="s">
        <v>1051</v>
      </c>
      <c r="W173" s="28" t="s">
        <v>1045</v>
      </c>
      <c r="X173" s="28" t="s">
        <v>1702</v>
      </c>
      <c r="Y173" s="28" t="s">
        <v>1703</v>
      </c>
      <c r="Z173" s="28" t="s">
        <v>1704</v>
      </c>
      <c r="AA173" s="28" t="s">
        <v>1705</v>
      </c>
      <c r="AB173" s="28" t="s">
        <v>1706</v>
      </c>
      <c r="AC173" s="28" t="s">
        <v>1707</v>
      </c>
    </row>
    <row r="174" spans="1:29">
      <c r="A174">
        <v>161</v>
      </c>
      <c r="B174">
        <v>2116</v>
      </c>
      <c r="C174">
        <v>2116</v>
      </c>
      <c r="D174" t="s">
        <v>21</v>
      </c>
      <c r="E174" s="22">
        <v>44306</v>
      </c>
      <c r="F174" s="23">
        <v>44306</v>
      </c>
      <c r="G174" t="s">
        <v>25</v>
      </c>
      <c r="H174" t="s">
        <v>29</v>
      </c>
      <c r="I174" t="s">
        <v>29</v>
      </c>
      <c r="J174" t="s">
        <v>54</v>
      </c>
      <c r="K174" t="s">
        <v>73</v>
      </c>
      <c r="L174" t="s">
        <v>279</v>
      </c>
      <c r="M174">
        <v>2111</v>
      </c>
      <c r="N174" t="s">
        <v>807</v>
      </c>
      <c r="O174" t="s">
        <v>865</v>
      </c>
      <c r="P174" t="s">
        <v>21</v>
      </c>
      <c r="Q174" t="s">
        <v>21</v>
      </c>
      <c r="R174" t="s">
        <v>871</v>
      </c>
      <c r="S174" t="s">
        <v>891</v>
      </c>
      <c r="T174" t="s">
        <v>891</v>
      </c>
      <c r="U174" t="s">
        <v>960</v>
      </c>
      <c r="V174" s="28" t="s">
        <v>1051</v>
      </c>
      <c r="W174" s="28" t="s">
        <v>1045</v>
      </c>
      <c r="X174" s="28" t="s">
        <v>1702</v>
      </c>
      <c r="Y174" s="28" t="s">
        <v>1703</v>
      </c>
      <c r="Z174" s="28" t="s">
        <v>1704</v>
      </c>
      <c r="AA174" s="28" t="s">
        <v>1705</v>
      </c>
      <c r="AB174" s="28" t="s">
        <v>1706</v>
      </c>
      <c r="AC174" s="28" t="s">
        <v>1707</v>
      </c>
    </row>
    <row r="175" spans="1:29">
      <c r="A175">
        <v>162</v>
      </c>
      <c r="B175">
        <v>2116</v>
      </c>
      <c r="C175">
        <v>2116</v>
      </c>
      <c r="D175" t="s">
        <v>21</v>
      </c>
      <c r="E175" s="22">
        <v>44306</v>
      </c>
      <c r="F175" s="23">
        <v>44306</v>
      </c>
      <c r="G175" t="s">
        <v>25</v>
      </c>
      <c r="H175" t="s">
        <v>29</v>
      </c>
      <c r="I175" t="s">
        <v>29</v>
      </c>
      <c r="J175" t="s">
        <v>54</v>
      </c>
      <c r="K175" t="s">
        <v>73</v>
      </c>
      <c r="L175" t="s">
        <v>280</v>
      </c>
      <c r="M175">
        <v>2111</v>
      </c>
      <c r="N175" t="s">
        <v>807</v>
      </c>
      <c r="O175" t="s">
        <v>865</v>
      </c>
      <c r="P175" t="s">
        <v>21</v>
      </c>
      <c r="Q175" t="s">
        <v>21</v>
      </c>
      <c r="R175" t="s">
        <v>871</v>
      </c>
      <c r="S175" t="s">
        <v>891</v>
      </c>
      <c r="T175" t="s">
        <v>891</v>
      </c>
      <c r="U175" t="s">
        <v>960</v>
      </c>
      <c r="V175" s="28" t="s">
        <v>1051</v>
      </c>
      <c r="W175" s="28" t="s">
        <v>1045</v>
      </c>
      <c r="X175" s="28" t="s">
        <v>1702</v>
      </c>
      <c r="Y175" s="28" t="s">
        <v>1703</v>
      </c>
      <c r="Z175" s="28" t="s">
        <v>1704</v>
      </c>
      <c r="AA175" s="28" t="s">
        <v>1705</v>
      </c>
      <c r="AB175" s="28" t="s">
        <v>1706</v>
      </c>
      <c r="AC175" s="28" t="s">
        <v>1707</v>
      </c>
    </row>
    <row r="176" spans="1:29">
      <c r="A176">
        <v>163</v>
      </c>
      <c r="B176">
        <v>2116</v>
      </c>
      <c r="C176">
        <v>2116</v>
      </c>
      <c r="D176" t="s">
        <v>21</v>
      </c>
      <c r="E176" s="22">
        <v>44306</v>
      </c>
      <c r="F176" s="23">
        <v>44306</v>
      </c>
      <c r="G176" t="s">
        <v>25</v>
      </c>
      <c r="H176" t="s">
        <v>29</v>
      </c>
      <c r="I176" t="s">
        <v>29</v>
      </c>
      <c r="J176" t="s">
        <v>54</v>
      </c>
      <c r="K176" t="s">
        <v>73</v>
      </c>
      <c r="L176" t="s">
        <v>281</v>
      </c>
      <c r="M176">
        <v>2111</v>
      </c>
      <c r="N176" t="s">
        <v>807</v>
      </c>
      <c r="O176" t="s">
        <v>865</v>
      </c>
      <c r="P176" t="s">
        <v>21</v>
      </c>
      <c r="Q176" t="s">
        <v>21</v>
      </c>
      <c r="R176" t="s">
        <v>871</v>
      </c>
      <c r="S176" t="s">
        <v>891</v>
      </c>
      <c r="T176" t="s">
        <v>891</v>
      </c>
      <c r="U176" t="s">
        <v>960</v>
      </c>
      <c r="V176" s="28" t="s">
        <v>1051</v>
      </c>
      <c r="W176" s="28" t="s">
        <v>1045</v>
      </c>
      <c r="X176" s="28" t="s">
        <v>1702</v>
      </c>
      <c r="Y176" s="28" t="s">
        <v>1703</v>
      </c>
      <c r="Z176" s="28" t="s">
        <v>1704</v>
      </c>
      <c r="AA176" s="28" t="s">
        <v>1705</v>
      </c>
      <c r="AB176" s="28" t="s">
        <v>1706</v>
      </c>
      <c r="AC176" s="28" t="s">
        <v>1707</v>
      </c>
    </row>
    <row r="177" spans="1:29">
      <c r="A177">
        <v>164</v>
      </c>
      <c r="B177">
        <v>2116</v>
      </c>
      <c r="C177">
        <v>2116</v>
      </c>
      <c r="D177" t="s">
        <v>21</v>
      </c>
      <c r="E177" s="22">
        <v>44306</v>
      </c>
      <c r="F177" s="23">
        <v>44306</v>
      </c>
      <c r="G177" t="s">
        <v>25</v>
      </c>
      <c r="H177" t="s">
        <v>29</v>
      </c>
      <c r="I177" t="s">
        <v>29</v>
      </c>
      <c r="J177" t="s">
        <v>54</v>
      </c>
      <c r="K177" t="s">
        <v>73</v>
      </c>
      <c r="L177" t="s">
        <v>282</v>
      </c>
      <c r="M177">
        <v>2111</v>
      </c>
      <c r="N177" t="s">
        <v>807</v>
      </c>
      <c r="O177" t="s">
        <v>865</v>
      </c>
      <c r="P177" t="s">
        <v>21</v>
      </c>
      <c r="Q177" t="s">
        <v>21</v>
      </c>
      <c r="R177" t="s">
        <v>871</v>
      </c>
      <c r="S177" t="s">
        <v>891</v>
      </c>
      <c r="T177" t="s">
        <v>891</v>
      </c>
      <c r="U177" t="s">
        <v>960</v>
      </c>
      <c r="V177" s="28" t="s">
        <v>1051</v>
      </c>
      <c r="W177" s="28" t="s">
        <v>1045</v>
      </c>
      <c r="X177" s="28" t="s">
        <v>1702</v>
      </c>
      <c r="Y177" s="28" t="s">
        <v>1703</v>
      </c>
      <c r="Z177" s="28" t="s">
        <v>1704</v>
      </c>
      <c r="AA177" s="28" t="s">
        <v>1705</v>
      </c>
      <c r="AB177" s="28" t="s">
        <v>1706</v>
      </c>
      <c r="AC177" s="28" t="s">
        <v>1707</v>
      </c>
    </row>
    <row r="178" spans="1:29">
      <c r="A178">
        <v>165</v>
      </c>
      <c r="B178">
        <v>2116</v>
      </c>
      <c r="C178">
        <v>2116</v>
      </c>
      <c r="D178" t="s">
        <v>21</v>
      </c>
      <c r="E178" s="22">
        <v>44306</v>
      </c>
      <c r="F178" s="23">
        <v>44306</v>
      </c>
      <c r="G178" t="s">
        <v>25</v>
      </c>
      <c r="H178" t="s">
        <v>29</v>
      </c>
      <c r="I178" t="s">
        <v>29</v>
      </c>
      <c r="J178" t="s">
        <v>54</v>
      </c>
      <c r="K178" t="s">
        <v>73</v>
      </c>
      <c r="L178" t="s">
        <v>283</v>
      </c>
      <c r="M178">
        <v>2111</v>
      </c>
      <c r="N178" t="s">
        <v>807</v>
      </c>
      <c r="O178" t="s">
        <v>865</v>
      </c>
      <c r="P178" t="s">
        <v>21</v>
      </c>
      <c r="Q178" t="s">
        <v>21</v>
      </c>
      <c r="R178" t="s">
        <v>871</v>
      </c>
      <c r="S178" t="s">
        <v>891</v>
      </c>
      <c r="T178" t="s">
        <v>891</v>
      </c>
      <c r="U178" t="s">
        <v>960</v>
      </c>
      <c r="V178" s="28" t="s">
        <v>1051</v>
      </c>
      <c r="W178" s="28" t="s">
        <v>1045</v>
      </c>
      <c r="X178" s="28" t="s">
        <v>1702</v>
      </c>
      <c r="Y178" s="28" t="s">
        <v>1703</v>
      </c>
      <c r="Z178" s="28" t="s">
        <v>1704</v>
      </c>
      <c r="AA178" s="28" t="s">
        <v>1705</v>
      </c>
      <c r="AB178" s="28" t="s">
        <v>1706</v>
      </c>
      <c r="AC178" s="28" t="s">
        <v>1707</v>
      </c>
    </row>
    <row r="179" spans="1:29">
      <c r="A179">
        <v>166</v>
      </c>
      <c r="B179">
        <v>2116</v>
      </c>
      <c r="C179">
        <v>2116</v>
      </c>
      <c r="D179" t="s">
        <v>21</v>
      </c>
      <c r="E179" s="22">
        <v>44306</v>
      </c>
      <c r="F179" s="23">
        <v>44306</v>
      </c>
      <c r="G179" t="s">
        <v>25</v>
      </c>
      <c r="H179" t="s">
        <v>29</v>
      </c>
      <c r="I179" t="s">
        <v>29</v>
      </c>
      <c r="J179" t="s">
        <v>54</v>
      </c>
      <c r="K179" t="s">
        <v>73</v>
      </c>
      <c r="L179" t="s">
        <v>284</v>
      </c>
      <c r="M179">
        <v>2111</v>
      </c>
      <c r="N179" t="s">
        <v>807</v>
      </c>
      <c r="O179" t="s">
        <v>865</v>
      </c>
      <c r="P179" t="s">
        <v>21</v>
      </c>
      <c r="Q179" t="s">
        <v>21</v>
      </c>
      <c r="R179" t="s">
        <v>871</v>
      </c>
      <c r="S179" t="s">
        <v>891</v>
      </c>
      <c r="T179" t="s">
        <v>891</v>
      </c>
      <c r="U179" t="s">
        <v>960</v>
      </c>
      <c r="V179" s="28" t="s">
        <v>1051</v>
      </c>
      <c r="W179" s="28" t="s">
        <v>1045</v>
      </c>
      <c r="X179" s="28" t="s">
        <v>1702</v>
      </c>
      <c r="Y179" s="28" t="s">
        <v>1703</v>
      </c>
      <c r="Z179" s="28" t="s">
        <v>1704</v>
      </c>
      <c r="AA179" s="28" t="s">
        <v>1705</v>
      </c>
      <c r="AB179" s="28" t="s">
        <v>1706</v>
      </c>
      <c r="AC179" s="28" t="s">
        <v>1707</v>
      </c>
    </row>
    <row r="180" spans="1:29">
      <c r="A180">
        <v>167</v>
      </c>
      <c r="B180">
        <v>2116</v>
      </c>
      <c r="C180">
        <v>2116</v>
      </c>
      <c r="D180" t="s">
        <v>21</v>
      </c>
      <c r="E180" s="22">
        <v>44306</v>
      </c>
      <c r="F180" s="23">
        <v>44306</v>
      </c>
      <c r="G180" t="s">
        <v>25</v>
      </c>
      <c r="H180" t="s">
        <v>29</v>
      </c>
      <c r="I180" t="s">
        <v>29</v>
      </c>
      <c r="J180" t="s">
        <v>54</v>
      </c>
      <c r="K180" t="s">
        <v>73</v>
      </c>
      <c r="L180" t="s">
        <v>285</v>
      </c>
      <c r="M180">
        <v>2111</v>
      </c>
      <c r="N180" t="s">
        <v>807</v>
      </c>
      <c r="O180" t="s">
        <v>865</v>
      </c>
      <c r="P180" t="s">
        <v>21</v>
      </c>
      <c r="Q180" t="s">
        <v>21</v>
      </c>
      <c r="R180" t="s">
        <v>871</v>
      </c>
      <c r="S180" t="s">
        <v>891</v>
      </c>
      <c r="T180" t="s">
        <v>891</v>
      </c>
      <c r="U180" t="s">
        <v>960</v>
      </c>
      <c r="V180" s="28" t="s">
        <v>1051</v>
      </c>
      <c r="W180" s="28" t="s">
        <v>1045</v>
      </c>
      <c r="X180" s="28" t="s">
        <v>1702</v>
      </c>
      <c r="Y180" s="28" t="s">
        <v>1703</v>
      </c>
      <c r="Z180" s="28" t="s">
        <v>1704</v>
      </c>
      <c r="AA180" s="28" t="s">
        <v>1705</v>
      </c>
      <c r="AB180" s="28" t="s">
        <v>1706</v>
      </c>
      <c r="AC180" s="28" t="s">
        <v>1707</v>
      </c>
    </row>
    <row r="181" spans="1:29">
      <c r="A181">
        <v>168</v>
      </c>
      <c r="B181">
        <v>2116</v>
      </c>
      <c r="C181">
        <v>2116</v>
      </c>
      <c r="D181" t="s">
        <v>21</v>
      </c>
      <c r="E181" s="22">
        <v>44306</v>
      </c>
      <c r="F181" s="23">
        <v>44306</v>
      </c>
      <c r="G181" t="s">
        <v>25</v>
      </c>
      <c r="H181" t="s">
        <v>29</v>
      </c>
      <c r="I181" t="s">
        <v>29</v>
      </c>
      <c r="J181" t="s">
        <v>54</v>
      </c>
      <c r="K181" t="s">
        <v>73</v>
      </c>
      <c r="L181" t="s">
        <v>286</v>
      </c>
      <c r="M181">
        <v>2111</v>
      </c>
      <c r="N181" t="s">
        <v>807</v>
      </c>
      <c r="O181" t="s">
        <v>865</v>
      </c>
      <c r="P181" t="s">
        <v>21</v>
      </c>
      <c r="Q181" t="s">
        <v>21</v>
      </c>
      <c r="R181" t="s">
        <v>871</v>
      </c>
      <c r="S181" t="s">
        <v>891</v>
      </c>
      <c r="T181" t="s">
        <v>891</v>
      </c>
      <c r="U181" t="s">
        <v>960</v>
      </c>
      <c r="V181" s="28" t="s">
        <v>1051</v>
      </c>
      <c r="W181" s="28" t="s">
        <v>1045</v>
      </c>
      <c r="X181" s="28" t="s">
        <v>1702</v>
      </c>
      <c r="Y181" s="28" t="s">
        <v>1703</v>
      </c>
      <c r="Z181" s="28" t="s">
        <v>1704</v>
      </c>
      <c r="AA181" s="28" t="s">
        <v>1705</v>
      </c>
      <c r="AB181" s="28" t="s">
        <v>1706</v>
      </c>
      <c r="AC181" s="28" t="s">
        <v>1707</v>
      </c>
    </row>
    <row r="182" spans="1:29">
      <c r="A182">
        <v>169</v>
      </c>
      <c r="B182">
        <v>2116</v>
      </c>
      <c r="C182">
        <v>2116</v>
      </c>
      <c r="D182" t="s">
        <v>21</v>
      </c>
      <c r="E182" s="22">
        <v>44306</v>
      </c>
      <c r="F182" s="23">
        <v>44306</v>
      </c>
      <c r="G182" t="s">
        <v>25</v>
      </c>
      <c r="H182" t="s">
        <v>29</v>
      </c>
      <c r="I182" t="s">
        <v>29</v>
      </c>
      <c r="J182" t="s">
        <v>54</v>
      </c>
      <c r="K182" t="s">
        <v>73</v>
      </c>
      <c r="L182" t="s">
        <v>287</v>
      </c>
      <c r="M182">
        <v>2111</v>
      </c>
      <c r="N182" t="s">
        <v>807</v>
      </c>
      <c r="O182" t="s">
        <v>865</v>
      </c>
      <c r="P182" t="s">
        <v>21</v>
      </c>
      <c r="Q182" t="s">
        <v>21</v>
      </c>
      <c r="R182" t="s">
        <v>871</v>
      </c>
      <c r="S182" t="s">
        <v>891</v>
      </c>
      <c r="T182" t="s">
        <v>891</v>
      </c>
      <c r="U182" t="s">
        <v>960</v>
      </c>
      <c r="V182" s="28" t="s">
        <v>1051</v>
      </c>
      <c r="W182" s="28" t="s">
        <v>1045</v>
      </c>
      <c r="X182" s="28" t="s">
        <v>1702</v>
      </c>
      <c r="Y182" s="28" t="s">
        <v>1703</v>
      </c>
      <c r="Z182" s="28" t="s">
        <v>1704</v>
      </c>
      <c r="AA182" s="28" t="s">
        <v>1705</v>
      </c>
      <c r="AB182" s="28" t="s">
        <v>1706</v>
      </c>
      <c r="AC182" s="28" t="s">
        <v>1707</v>
      </c>
    </row>
    <row r="183" spans="1:29">
      <c r="A183">
        <v>170</v>
      </c>
      <c r="B183">
        <v>2116</v>
      </c>
      <c r="C183">
        <v>2116</v>
      </c>
      <c r="D183" t="s">
        <v>21</v>
      </c>
      <c r="E183" s="22">
        <v>44306</v>
      </c>
      <c r="F183" s="23">
        <v>44306</v>
      </c>
      <c r="G183" t="s">
        <v>25</v>
      </c>
      <c r="H183" t="s">
        <v>29</v>
      </c>
      <c r="I183" t="s">
        <v>29</v>
      </c>
      <c r="J183" t="s">
        <v>54</v>
      </c>
      <c r="K183" t="s">
        <v>73</v>
      </c>
      <c r="L183" t="s">
        <v>288</v>
      </c>
      <c r="M183">
        <v>2111</v>
      </c>
      <c r="N183" t="s">
        <v>807</v>
      </c>
      <c r="O183" t="s">
        <v>865</v>
      </c>
      <c r="P183" t="s">
        <v>21</v>
      </c>
      <c r="Q183" t="s">
        <v>21</v>
      </c>
      <c r="R183" t="s">
        <v>871</v>
      </c>
      <c r="S183" t="s">
        <v>891</v>
      </c>
      <c r="T183" t="s">
        <v>891</v>
      </c>
      <c r="U183" t="s">
        <v>960</v>
      </c>
      <c r="V183" s="28" t="s">
        <v>1051</v>
      </c>
      <c r="W183" s="28" t="s">
        <v>1045</v>
      </c>
      <c r="X183" s="28" t="s">
        <v>1702</v>
      </c>
      <c r="Y183" s="28" t="s">
        <v>1703</v>
      </c>
      <c r="Z183" s="28" t="s">
        <v>1704</v>
      </c>
      <c r="AA183" s="28" t="s">
        <v>1705</v>
      </c>
      <c r="AB183" s="28" t="s">
        <v>1706</v>
      </c>
      <c r="AC183" s="28" t="s">
        <v>1707</v>
      </c>
    </row>
    <row r="184" spans="1:29">
      <c r="A184">
        <v>171</v>
      </c>
      <c r="B184">
        <v>2116</v>
      </c>
      <c r="C184">
        <v>2116</v>
      </c>
      <c r="D184" t="s">
        <v>21</v>
      </c>
      <c r="E184" s="22">
        <v>44306</v>
      </c>
      <c r="F184" s="23">
        <v>44306</v>
      </c>
      <c r="G184" t="s">
        <v>25</v>
      </c>
      <c r="H184" t="s">
        <v>29</v>
      </c>
      <c r="I184" t="s">
        <v>29</v>
      </c>
      <c r="J184" t="s">
        <v>54</v>
      </c>
      <c r="K184" t="s">
        <v>73</v>
      </c>
      <c r="L184" t="s">
        <v>289</v>
      </c>
      <c r="M184">
        <v>2111</v>
      </c>
      <c r="N184" t="s">
        <v>807</v>
      </c>
      <c r="O184" t="s">
        <v>865</v>
      </c>
      <c r="P184" t="s">
        <v>21</v>
      </c>
      <c r="Q184" t="s">
        <v>21</v>
      </c>
      <c r="R184" t="s">
        <v>871</v>
      </c>
      <c r="S184" t="s">
        <v>891</v>
      </c>
      <c r="T184" t="s">
        <v>891</v>
      </c>
      <c r="U184" t="s">
        <v>960</v>
      </c>
      <c r="V184" s="28" t="s">
        <v>1051</v>
      </c>
      <c r="W184" s="28" t="s">
        <v>1045</v>
      </c>
      <c r="X184" s="28" t="s">
        <v>1702</v>
      </c>
      <c r="Y184" s="28" t="s">
        <v>1703</v>
      </c>
      <c r="Z184" s="28" t="s">
        <v>1704</v>
      </c>
      <c r="AA184" s="28" t="s">
        <v>1705</v>
      </c>
      <c r="AB184" s="28" t="s">
        <v>1706</v>
      </c>
      <c r="AC184" s="28" t="s">
        <v>1707</v>
      </c>
    </row>
    <row r="185" spans="1:29">
      <c r="A185">
        <v>172</v>
      </c>
      <c r="B185">
        <v>2116</v>
      </c>
      <c r="C185">
        <v>2116</v>
      </c>
      <c r="D185" t="s">
        <v>21</v>
      </c>
      <c r="E185" s="22">
        <v>44306</v>
      </c>
      <c r="F185" s="23">
        <v>44306</v>
      </c>
      <c r="G185" t="s">
        <v>25</v>
      </c>
      <c r="H185" t="s">
        <v>29</v>
      </c>
      <c r="I185" t="s">
        <v>29</v>
      </c>
      <c r="J185" t="s">
        <v>54</v>
      </c>
      <c r="K185" t="s">
        <v>73</v>
      </c>
      <c r="L185" t="s">
        <v>290</v>
      </c>
      <c r="M185">
        <v>2111</v>
      </c>
      <c r="N185" t="s">
        <v>807</v>
      </c>
      <c r="O185" t="s">
        <v>865</v>
      </c>
      <c r="P185" t="s">
        <v>21</v>
      </c>
      <c r="Q185" t="s">
        <v>21</v>
      </c>
      <c r="R185" t="s">
        <v>871</v>
      </c>
      <c r="S185" t="s">
        <v>891</v>
      </c>
      <c r="T185" t="s">
        <v>891</v>
      </c>
      <c r="U185" t="s">
        <v>960</v>
      </c>
      <c r="V185" s="28" t="s">
        <v>1051</v>
      </c>
      <c r="W185" s="28" t="s">
        <v>1045</v>
      </c>
      <c r="X185" s="28" t="s">
        <v>1702</v>
      </c>
      <c r="Y185" s="28" t="s">
        <v>1703</v>
      </c>
      <c r="Z185" s="28" t="s">
        <v>1704</v>
      </c>
      <c r="AA185" s="28" t="s">
        <v>1705</v>
      </c>
      <c r="AB185" s="28" t="s">
        <v>1706</v>
      </c>
      <c r="AC185" s="28" t="s">
        <v>1707</v>
      </c>
    </row>
    <row r="186" spans="1:29">
      <c r="A186">
        <v>173</v>
      </c>
      <c r="B186">
        <v>2116</v>
      </c>
      <c r="C186">
        <v>2116</v>
      </c>
      <c r="D186" t="s">
        <v>21</v>
      </c>
      <c r="E186" s="22">
        <v>44306</v>
      </c>
      <c r="F186" s="23">
        <v>44306</v>
      </c>
      <c r="G186" t="s">
        <v>25</v>
      </c>
      <c r="H186" t="s">
        <v>29</v>
      </c>
      <c r="I186" t="s">
        <v>29</v>
      </c>
      <c r="J186" t="s">
        <v>54</v>
      </c>
      <c r="K186" t="s">
        <v>73</v>
      </c>
      <c r="L186" t="s">
        <v>291</v>
      </c>
      <c r="M186">
        <v>2111</v>
      </c>
      <c r="N186" t="s">
        <v>807</v>
      </c>
      <c r="O186" t="s">
        <v>865</v>
      </c>
      <c r="P186" t="s">
        <v>21</v>
      </c>
      <c r="Q186" t="s">
        <v>21</v>
      </c>
      <c r="R186" t="s">
        <v>871</v>
      </c>
      <c r="S186" t="s">
        <v>891</v>
      </c>
      <c r="T186" t="s">
        <v>891</v>
      </c>
      <c r="U186" t="s">
        <v>960</v>
      </c>
      <c r="V186" s="28" t="s">
        <v>1051</v>
      </c>
      <c r="W186" s="28" t="s">
        <v>1045</v>
      </c>
      <c r="X186" s="28" t="s">
        <v>1702</v>
      </c>
      <c r="Y186" s="28" t="s">
        <v>1703</v>
      </c>
      <c r="Z186" s="28" t="s">
        <v>1704</v>
      </c>
      <c r="AA186" s="28" t="s">
        <v>1705</v>
      </c>
      <c r="AB186" s="28" t="s">
        <v>1706</v>
      </c>
      <c r="AC186" s="28" t="s">
        <v>1707</v>
      </c>
    </row>
    <row r="187" spans="1:29">
      <c r="A187">
        <v>174</v>
      </c>
      <c r="B187">
        <v>2116</v>
      </c>
      <c r="C187">
        <v>2116</v>
      </c>
      <c r="D187" t="s">
        <v>21</v>
      </c>
      <c r="E187" s="22">
        <v>44306</v>
      </c>
      <c r="F187" s="23">
        <v>44306</v>
      </c>
      <c r="G187" t="s">
        <v>25</v>
      </c>
      <c r="H187" t="s">
        <v>29</v>
      </c>
      <c r="I187" t="s">
        <v>29</v>
      </c>
      <c r="J187" t="s">
        <v>54</v>
      </c>
      <c r="K187" t="s">
        <v>73</v>
      </c>
      <c r="L187" t="s">
        <v>292</v>
      </c>
      <c r="M187">
        <v>2111</v>
      </c>
      <c r="N187" t="s">
        <v>807</v>
      </c>
      <c r="O187" t="s">
        <v>865</v>
      </c>
      <c r="P187" t="s">
        <v>21</v>
      </c>
      <c r="Q187" t="s">
        <v>21</v>
      </c>
      <c r="R187" t="s">
        <v>871</v>
      </c>
      <c r="S187" t="s">
        <v>891</v>
      </c>
      <c r="T187" t="s">
        <v>891</v>
      </c>
      <c r="U187" t="s">
        <v>960</v>
      </c>
      <c r="V187" s="28" t="s">
        <v>1051</v>
      </c>
      <c r="W187" s="28" t="s">
        <v>1045</v>
      </c>
      <c r="X187" s="28" t="s">
        <v>1702</v>
      </c>
      <c r="Y187" s="28" t="s">
        <v>1703</v>
      </c>
      <c r="Z187" s="28" t="s">
        <v>1704</v>
      </c>
      <c r="AA187" s="28" t="s">
        <v>1705</v>
      </c>
      <c r="AB187" s="28" t="s">
        <v>1706</v>
      </c>
      <c r="AC187" s="28" t="s">
        <v>1707</v>
      </c>
    </row>
    <row r="188" spans="1:29">
      <c r="A188">
        <v>175</v>
      </c>
      <c r="B188">
        <v>2116</v>
      </c>
      <c r="C188">
        <v>2116</v>
      </c>
      <c r="D188" t="s">
        <v>21</v>
      </c>
      <c r="E188" s="22">
        <v>44306</v>
      </c>
      <c r="F188" s="23">
        <v>44306</v>
      </c>
      <c r="G188" t="s">
        <v>25</v>
      </c>
      <c r="H188" t="s">
        <v>29</v>
      </c>
      <c r="I188" t="s">
        <v>29</v>
      </c>
      <c r="J188" t="s">
        <v>54</v>
      </c>
      <c r="K188" t="s">
        <v>73</v>
      </c>
      <c r="L188" t="s">
        <v>293</v>
      </c>
      <c r="M188">
        <v>2111</v>
      </c>
      <c r="N188" t="s">
        <v>807</v>
      </c>
      <c r="O188" t="s">
        <v>865</v>
      </c>
      <c r="P188" t="s">
        <v>21</v>
      </c>
      <c r="Q188" t="s">
        <v>21</v>
      </c>
      <c r="R188" t="s">
        <v>871</v>
      </c>
      <c r="S188" t="s">
        <v>891</v>
      </c>
      <c r="T188" t="s">
        <v>891</v>
      </c>
      <c r="U188" t="s">
        <v>960</v>
      </c>
      <c r="V188" s="28" t="s">
        <v>1051</v>
      </c>
      <c r="W188" s="28" t="s">
        <v>1045</v>
      </c>
      <c r="X188" s="28" t="s">
        <v>1702</v>
      </c>
      <c r="Y188" s="28" t="s">
        <v>1703</v>
      </c>
      <c r="Z188" s="28" t="s">
        <v>1704</v>
      </c>
      <c r="AA188" s="28" t="s">
        <v>1705</v>
      </c>
      <c r="AB188" s="28" t="s">
        <v>1706</v>
      </c>
      <c r="AC188" s="28" t="s">
        <v>1707</v>
      </c>
    </row>
    <row r="189" spans="1:29">
      <c r="A189">
        <v>176</v>
      </c>
      <c r="B189">
        <v>2116</v>
      </c>
      <c r="C189">
        <v>2116</v>
      </c>
      <c r="D189" t="s">
        <v>21</v>
      </c>
      <c r="E189" s="22">
        <v>44306</v>
      </c>
      <c r="F189" s="23">
        <v>44306</v>
      </c>
      <c r="G189" t="s">
        <v>25</v>
      </c>
      <c r="H189" t="s">
        <v>29</v>
      </c>
      <c r="I189" t="s">
        <v>29</v>
      </c>
      <c r="J189" t="s">
        <v>54</v>
      </c>
      <c r="K189" t="s">
        <v>73</v>
      </c>
      <c r="L189" t="s">
        <v>294</v>
      </c>
      <c r="M189">
        <v>2111</v>
      </c>
      <c r="N189" t="s">
        <v>807</v>
      </c>
      <c r="O189" t="s">
        <v>865</v>
      </c>
      <c r="P189" t="s">
        <v>21</v>
      </c>
      <c r="Q189" t="s">
        <v>21</v>
      </c>
      <c r="R189" t="s">
        <v>871</v>
      </c>
      <c r="S189" t="s">
        <v>891</v>
      </c>
      <c r="T189" t="s">
        <v>891</v>
      </c>
      <c r="U189" t="s">
        <v>960</v>
      </c>
      <c r="V189" s="28" t="s">
        <v>1051</v>
      </c>
      <c r="W189" s="28" t="s">
        <v>1045</v>
      </c>
      <c r="X189" s="28" t="s">
        <v>1702</v>
      </c>
      <c r="Y189" s="28" t="s">
        <v>1703</v>
      </c>
      <c r="Z189" s="28" t="s">
        <v>1704</v>
      </c>
      <c r="AA189" s="28" t="s">
        <v>1705</v>
      </c>
      <c r="AB189" s="28" t="s">
        <v>1706</v>
      </c>
      <c r="AC189" s="28" t="s">
        <v>1707</v>
      </c>
    </row>
    <row r="190" spans="1:29">
      <c r="A190">
        <v>177</v>
      </c>
      <c r="B190">
        <v>2116</v>
      </c>
      <c r="C190">
        <v>2116</v>
      </c>
      <c r="D190" t="s">
        <v>21</v>
      </c>
      <c r="E190" s="22">
        <v>44306</v>
      </c>
      <c r="F190" s="23">
        <v>44306</v>
      </c>
      <c r="G190" t="s">
        <v>25</v>
      </c>
      <c r="H190" t="s">
        <v>29</v>
      </c>
      <c r="I190" t="s">
        <v>29</v>
      </c>
      <c r="J190" t="s">
        <v>54</v>
      </c>
      <c r="K190" t="s">
        <v>73</v>
      </c>
      <c r="L190" t="s">
        <v>295</v>
      </c>
      <c r="M190">
        <v>2111</v>
      </c>
      <c r="N190" t="s">
        <v>807</v>
      </c>
      <c r="O190" t="s">
        <v>865</v>
      </c>
      <c r="P190" t="s">
        <v>21</v>
      </c>
      <c r="Q190" t="s">
        <v>21</v>
      </c>
      <c r="R190" t="s">
        <v>871</v>
      </c>
      <c r="S190" t="s">
        <v>891</v>
      </c>
      <c r="T190" t="s">
        <v>891</v>
      </c>
      <c r="U190" t="s">
        <v>960</v>
      </c>
      <c r="V190" s="28" t="s">
        <v>1051</v>
      </c>
      <c r="W190" s="28" t="s">
        <v>1045</v>
      </c>
      <c r="X190" s="28" t="s">
        <v>1702</v>
      </c>
      <c r="Y190" s="28" t="s">
        <v>1703</v>
      </c>
      <c r="Z190" s="28" t="s">
        <v>1704</v>
      </c>
      <c r="AA190" s="28" t="s">
        <v>1705</v>
      </c>
      <c r="AB190" s="28" t="s">
        <v>1706</v>
      </c>
      <c r="AC190" s="28" t="s">
        <v>1707</v>
      </c>
    </row>
    <row r="191" spans="1:29">
      <c r="A191">
        <v>178</v>
      </c>
      <c r="B191">
        <v>2116</v>
      </c>
      <c r="C191">
        <v>2116</v>
      </c>
      <c r="D191" t="s">
        <v>21</v>
      </c>
      <c r="E191" s="22">
        <v>44306</v>
      </c>
      <c r="F191" s="23">
        <v>44306</v>
      </c>
      <c r="G191" t="s">
        <v>25</v>
      </c>
      <c r="H191" t="s">
        <v>29</v>
      </c>
      <c r="I191" t="s">
        <v>29</v>
      </c>
      <c r="J191" t="s">
        <v>54</v>
      </c>
      <c r="K191" t="s">
        <v>73</v>
      </c>
      <c r="L191" t="s">
        <v>296</v>
      </c>
      <c r="M191">
        <v>2111</v>
      </c>
      <c r="N191" t="s">
        <v>807</v>
      </c>
      <c r="O191" t="s">
        <v>865</v>
      </c>
      <c r="P191" t="s">
        <v>21</v>
      </c>
      <c r="Q191" t="s">
        <v>21</v>
      </c>
      <c r="R191" t="s">
        <v>871</v>
      </c>
      <c r="S191" t="s">
        <v>891</v>
      </c>
      <c r="T191" t="s">
        <v>891</v>
      </c>
      <c r="U191" t="s">
        <v>960</v>
      </c>
      <c r="V191" s="28" t="s">
        <v>1051</v>
      </c>
      <c r="W191" s="28" t="s">
        <v>1045</v>
      </c>
      <c r="X191" s="28" t="s">
        <v>1702</v>
      </c>
      <c r="Y191" s="28" t="s">
        <v>1703</v>
      </c>
      <c r="Z191" s="28" t="s">
        <v>1704</v>
      </c>
      <c r="AA191" s="28" t="s">
        <v>1705</v>
      </c>
      <c r="AB191" s="28" t="s">
        <v>1706</v>
      </c>
      <c r="AC191" s="28" t="s">
        <v>1707</v>
      </c>
    </row>
    <row r="192" spans="1:29">
      <c r="A192">
        <v>179</v>
      </c>
      <c r="B192">
        <v>2116</v>
      </c>
      <c r="C192">
        <v>2116</v>
      </c>
      <c r="D192" t="s">
        <v>21</v>
      </c>
      <c r="E192" s="22">
        <v>44306</v>
      </c>
      <c r="F192" s="23">
        <v>44306</v>
      </c>
      <c r="G192" t="s">
        <v>25</v>
      </c>
      <c r="H192" t="s">
        <v>29</v>
      </c>
      <c r="I192" t="s">
        <v>29</v>
      </c>
      <c r="J192" t="s">
        <v>54</v>
      </c>
      <c r="K192" t="s">
        <v>73</v>
      </c>
      <c r="L192" t="s">
        <v>297</v>
      </c>
      <c r="M192">
        <v>2111</v>
      </c>
      <c r="N192" t="s">
        <v>807</v>
      </c>
      <c r="O192" t="s">
        <v>865</v>
      </c>
      <c r="P192" t="s">
        <v>21</v>
      </c>
      <c r="Q192" t="s">
        <v>21</v>
      </c>
      <c r="R192" t="s">
        <v>871</v>
      </c>
      <c r="S192" t="s">
        <v>891</v>
      </c>
      <c r="T192" t="s">
        <v>891</v>
      </c>
      <c r="U192" t="s">
        <v>960</v>
      </c>
      <c r="V192" s="28" t="s">
        <v>1051</v>
      </c>
      <c r="W192" s="28" t="s">
        <v>1045</v>
      </c>
      <c r="X192" s="28" t="s">
        <v>1702</v>
      </c>
      <c r="Y192" s="28" t="s">
        <v>1703</v>
      </c>
      <c r="Z192" s="28" t="s">
        <v>1704</v>
      </c>
      <c r="AA192" s="28" t="s">
        <v>1705</v>
      </c>
      <c r="AB192" s="28" t="s">
        <v>1706</v>
      </c>
      <c r="AC192" s="28" t="s">
        <v>1707</v>
      </c>
    </row>
    <row r="193" spans="1:29">
      <c r="A193">
        <v>180</v>
      </c>
      <c r="B193">
        <v>2116</v>
      </c>
      <c r="C193">
        <v>2116</v>
      </c>
      <c r="D193" t="s">
        <v>21</v>
      </c>
      <c r="E193" s="22">
        <v>44306</v>
      </c>
      <c r="F193" s="23">
        <v>44306</v>
      </c>
      <c r="G193" t="s">
        <v>25</v>
      </c>
      <c r="H193" t="s">
        <v>29</v>
      </c>
      <c r="I193" t="s">
        <v>29</v>
      </c>
      <c r="J193" t="s">
        <v>54</v>
      </c>
      <c r="K193" t="s">
        <v>73</v>
      </c>
      <c r="L193" t="s">
        <v>298</v>
      </c>
      <c r="M193">
        <v>2111</v>
      </c>
      <c r="N193" t="s">
        <v>807</v>
      </c>
      <c r="O193" t="s">
        <v>865</v>
      </c>
      <c r="P193" t="s">
        <v>21</v>
      </c>
      <c r="Q193" t="s">
        <v>21</v>
      </c>
      <c r="R193" t="s">
        <v>871</v>
      </c>
      <c r="S193" t="s">
        <v>891</v>
      </c>
      <c r="T193" t="s">
        <v>891</v>
      </c>
      <c r="U193" t="s">
        <v>960</v>
      </c>
      <c r="V193" s="28" t="s">
        <v>1051</v>
      </c>
      <c r="W193" s="28" t="s">
        <v>1045</v>
      </c>
      <c r="X193" s="28" t="s">
        <v>1702</v>
      </c>
      <c r="Y193" s="28" t="s">
        <v>1703</v>
      </c>
      <c r="Z193" s="28" t="s">
        <v>1704</v>
      </c>
      <c r="AA193" s="28" t="s">
        <v>1705</v>
      </c>
      <c r="AB193" s="28" t="s">
        <v>1706</v>
      </c>
      <c r="AC193" s="28" t="s">
        <v>1707</v>
      </c>
    </row>
    <row r="194" spans="1:29">
      <c r="A194">
        <v>181</v>
      </c>
      <c r="B194">
        <v>2116</v>
      </c>
      <c r="C194">
        <v>2116</v>
      </c>
      <c r="D194" t="s">
        <v>21</v>
      </c>
      <c r="E194" s="22">
        <v>44306</v>
      </c>
      <c r="F194" s="23">
        <v>44306</v>
      </c>
      <c r="G194" t="s">
        <v>25</v>
      </c>
      <c r="H194" t="s">
        <v>29</v>
      </c>
      <c r="I194" t="s">
        <v>29</v>
      </c>
      <c r="J194" t="s">
        <v>54</v>
      </c>
      <c r="K194" t="s">
        <v>73</v>
      </c>
      <c r="L194" t="s">
        <v>299</v>
      </c>
      <c r="M194">
        <v>2111</v>
      </c>
      <c r="N194" t="s">
        <v>807</v>
      </c>
      <c r="O194" t="s">
        <v>865</v>
      </c>
      <c r="P194" t="s">
        <v>21</v>
      </c>
      <c r="Q194" t="s">
        <v>21</v>
      </c>
      <c r="R194" t="s">
        <v>871</v>
      </c>
      <c r="S194" t="s">
        <v>891</v>
      </c>
      <c r="T194" t="s">
        <v>891</v>
      </c>
      <c r="U194" t="s">
        <v>960</v>
      </c>
      <c r="V194" s="28" t="s">
        <v>1051</v>
      </c>
      <c r="W194" s="28" t="s">
        <v>1045</v>
      </c>
      <c r="X194" s="28" t="s">
        <v>1702</v>
      </c>
      <c r="Y194" s="28" t="s">
        <v>1703</v>
      </c>
      <c r="Z194" s="28" t="s">
        <v>1704</v>
      </c>
      <c r="AA194" s="28" t="s">
        <v>1705</v>
      </c>
      <c r="AB194" s="28" t="s">
        <v>1706</v>
      </c>
      <c r="AC194" s="28" t="s">
        <v>1707</v>
      </c>
    </row>
    <row r="195" spans="1:29">
      <c r="A195">
        <v>182</v>
      </c>
      <c r="B195">
        <v>2116</v>
      </c>
      <c r="C195">
        <v>2116</v>
      </c>
      <c r="D195" t="s">
        <v>21</v>
      </c>
      <c r="E195" s="22">
        <v>44306</v>
      </c>
      <c r="F195" s="23">
        <v>44306</v>
      </c>
      <c r="G195" t="s">
        <v>25</v>
      </c>
      <c r="H195" t="s">
        <v>29</v>
      </c>
      <c r="I195" t="s">
        <v>29</v>
      </c>
      <c r="J195" t="s">
        <v>54</v>
      </c>
      <c r="K195" t="s">
        <v>73</v>
      </c>
      <c r="L195" t="s">
        <v>300</v>
      </c>
      <c r="M195">
        <v>2111</v>
      </c>
      <c r="N195" t="s">
        <v>807</v>
      </c>
      <c r="O195" t="s">
        <v>865</v>
      </c>
      <c r="P195" t="s">
        <v>21</v>
      </c>
      <c r="Q195" t="s">
        <v>21</v>
      </c>
      <c r="R195" t="s">
        <v>871</v>
      </c>
      <c r="S195" t="s">
        <v>891</v>
      </c>
      <c r="T195" t="s">
        <v>891</v>
      </c>
      <c r="U195" t="s">
        <v>960</v>
      </c>
      <c r="V195" s="28" t="s">
        <v>1051</v>
      </c>
      <c r="W195" s="28" t="s">
        <v>1045</v>
      </c>
      <c r="X195" s="28" t="s">
        <v>1702</v>
      </c>
      <c r="Y195" s="28" t="s">
        <v>1703</v>
      </c>
      <c r="Z195" s="28" t="s">
        <v>1704</v>
      </c>
      <c r="AA195" s="28" t="s">
        <v>1705</v>
      </c>
      <c r="AB195" s="28" t="s">
        <v>1706</v>
      </c>
      <c r="AC195" s="28" t="s">
        <v>1707</v>
      </c>
    </row>
    <row r="196" spans="1:29">
      <c r="A196">
        <v>183</v>
      </c>
      <c r="B196">
        <v>2116</v>
      </c>
      <c r="C196">
        <v>2116</v>
      </c>
      <c r="D196" t="s">
        <v>21</v>
      </c>
      <c r="E196" s="22">
        <v>44306</v>
      </c>
      <c r="F196" s="23">
        <v>44306</v>
      </c>
      <c r="G196" t="s">
        <v>25</v>
      </c>
      <c r="H196" t="s">
        <v>29</v>
      </c>
      <c r="I196" t="s">
        <v>29</v>
      </c>
      <c r="J196" t="s">
        <v>54</v>
      </c>
      <c r="K196" t="s">
        <v>73</v>
      </c>
      <c r="L196" t="s">
        <v>301</v>
      </c>
      <c r="M196">
        <v>2111</v>
      </c>
      <c r="N196" t="s">
        <v>807</v>
      </c>
      <c r="O196" t="s">
        <v>865</v>
      </c>
      <c r="P196" t="s">
        <v>21</v>
      </c>
      <c r="Q196" t="s">
        <v>21</v>
      </c>
      <c r="R196" t="s">
        <v>871</v>
      </c>
      <c r="S196" t="s">
        <v>891</v>
      </c>
      <c r="T196" t="s">
        <v>891</v>
      </c>
      <c r="U196" t="s">
        <v>960</v>
      </c>
      <c r="V196" s="28" t="s">
        <v>1051</v>
      </c>
      <c r="W196" s="28" t="s">
        <v>1045</v>
      </c>
      <c r="X196" s="28" t="s">
        <v>1702</v>
      </c>
      <c r="Y196" s="28" t="s">
        <v>1703</v>
      </c>
      <c r="Z196" s="28" t="s">
        <v>1704</v>
      </c>
      <c r="AA196" s="28" t="s">
        <v>1705</v>
      </c>
      <c r="AB196" s="28" t="s">
        <v>1706</v>
      </c>
      <c r="AC196" s="28" t="s">
        <v>1707</v>
      </c>
    </row>
    <row r="197" spans="1:29">
      <c r="A197">
        <v>184</v>
      </c>
      <c r="B197">
        <v>2116</v>
      </c>
      <c r="C197">
        <v>2116</v>
      </c>
      <c r="D197" t="s">
        <v>21</v>
      </c>
      <c r="E197" s="22">
        <v>44306</v>
      </c>
      <c r="F197" s="23">
        <v>44306</v>
      </c>
      <c r="G197" t="s">
        <v>25</v>
      </c>
      <c r="H197" t="s">
        <v>29</v>
      </c>
      <c r="I197" t="s">
        <v>29</v>
      </c>
      <c r="J197" t="s">
        <v>54</v>
      </c>
      <c r="K197" t="s">
        <v>73</v>
      </c>
      <c r="L197" t="s">
        <v>302</v>
      </c>
      <c r="M197">
        <v>2111</v>
      </c>
      <c r="N197" t="s">
        <v>807</v>
      </c>
      <c r="O197" t="s">
        <v>865</v>
      </c>
      <c r="P197" t="s">
        <v>21</v>
      </c>
      <c r="Q197" t="s">
        <v>21</v>
      </c>
      <c r="R197" t="s">
        <v>871</v>
      </c>
      <c r="S197" t="s">
        <v>891</v>
      </c>
      <c r="T197" t="s">
        <v>891</v>
      </c>
      <c r="U197" t="s">
        <v>960</v>
      </c>
      <c r="V197" s="28" t="s">
        <v>1051</v>
      </c>
      <c r="W197" s="28" t="s">
        <v>1045</v>
      </c>
      <c r="X197" s="28" t="s">
        <v>1702</v>
      </c>
      <c r="Y197" s="28" t="s">
        <v>1703</v>
      </c>
      <c r="Z197" s="28" t="s">
        <v>1704</v>
      </c>
      <c r="AA197" s="28" t="s">
        <v>1705</v>
      </c>
      <c r="AB197" s="28" t="s">
        <v>1706</v>
      </c>
      <c r="AC197" s="28" t="s">
        <v>1707</v>
      </c>
    </row>
    <row r="198" spans="1:29">
      <c r="A198">
        <v>185</v>
      </c>
      <c r="B198">
        <v>2116</v>
      </c>
      <c r="C198">
        <v>2116</v>
      </c>
      <c r="D198" t="s">
        <v>21</v>
      </c>
      <c r="E198" s="22">
        <v>44306</v>
      </c>
      <c r="F198" s="23">
        <v>44306</v>
      </c>
      <c r="G198" t="s">
        <v>25</v>
      </c>
      <c r="H198" t="s">
        <v>29</v>
      </c>
      <c r="I198" t="s">
        <v>29</v>
      </c>
      <c r="J198" t="s">
        <v>54</v>
      </c>
      <c r="K198" t="s">
        <v>73</v>
      </c>
      <c r="L198" t="s">
        <v>303</v>
      </c>
      <c r="M198">
        <v>2111</v>
      </c>
      <c r="N198" t="s">
        <v>807</v>
      </c>
      <c r="O198" t="s">
        <v>865</v>
      </c>
      <c r="P198" t="s">
        <v>21</v>
      </c>
      <c r="Q198" t="s">
        <v>21</v>
      </c>
      <c r="R198" t="s">
        <v>871</v>
      </c>
      <c r="S198" t="s">
        <v>891</v>
      </c>
      <c r="T198" t="s">
        <v>891</v>
      </c>
      <c r="U198" t="s">
        <v>960</v>
      </c>
      <c r="V198" s="28" t="s">
        <v>1051</v>
      </c>
      <c r="W198" s="28" t="s">
        <v>1045</v>
      </c>
      <c r="X198" s="28" t="s">
        <v>1702</v>
      </c>
      <c r="Y198" s="28" t="s">
        <v>1703</v>
      </c>
      <c r="Z198" s="28" t="s">
        <v>1704</v>
      </c>
      <c r="AA198" s="28" t="s">
        <v>1705</v>
      </c>
      <c r="AB198" s="28" t="s">
        <v>1706</v>
      </c>
      <c r="AC198" s="28" t="s">
        <v>1707</v>
      </c>
    </row>
    <row r="199" spans="1:29">
      <c r="A199">
        <v>186</v>
      </c>
      <c r="B199">
        <v>2116</v>
      </c>
      <c r="C199">
        <v>2116</v>
      </c>
      <c r="D199" t="s">
        <v>21</v>
      </c>
      <c r="E199" s="22">
        <v>44306</v>
      </c>
      <c r="F199" s="23">
        <v>44306</v>
      </c>
      <c r="G199" t="s">
        <v>25</v>
      </c>
      <c r="H199" t="s">
        <v>29</v>
      </c>
      <c r="I199" t="s">
        <v>29</v>
      </c>
      <c r="J199" t="s">
        <v>54</v>
      </c>
      <c r="K199" t="s">
        <v>73</v>
      </c>
      <c r="L199" t="s">
        <v>304</v>
      </c>
      <c r="M199">
        <v>2111</v>
      </c>
      <c r="N199" t="s">
        <v>807</v>
      </c>
      <c r="O199" t="s">
        <v>865</v>
      </c>
      <c r="P199" t="s">
        <v>21</v>
      </c>
      <c r="Q199" t="s">
        <v>21</v>
      </c>
      <c r="R199" t="s">
        <v>871</v>
      </c>
      <c r="S199" t="s">
        <v>891</v>
      </c>
      <c r="T199" t="s">
        <v>891</v>
      </c>
      <c r="U199" t="s">
        <v>960</v>
      </c>
      <c r="V199" s="28" t="s">
        <v>1051</v>
      </c>
      <c r="W199" s="28" t="s">
        <v>1045</v>
      </c>
      <c r="X199" s="28" t="s">
        <v>1702</v>
      </c>
      <c r="Y199" s="28" t="s">
        <v>1703</v>
      </c>
      <c r="Z199" s="28" t="s">
        <v>1704</v>
      </c>
      <c r="AA199" s="28" t="s">
        <v>1705</v>
      </c>
      <c r="AB199" s="28" t="s">
        <v>1706</v>
      </c>
      <c r="AC199" s="28" t="s">
        <v>1707</v>
      </c>
    </row>
    <row r="200" spans="1:29">
      <c r="A200">
        <v>187</v>
      </c>
      <c r="B200">
        <v>2116</v>
      </c>
      <c r="C200">
        <v>2116</v>
      </c>
      <c r="D200" t="s">
        <v>21</v>
      </c>
      <c r="E200" s="22">
        <v>44306</v>
      </c>
      <c r="F200" s="23">
        <v>44306</v>
      </c>
      <c r="G200" t="s">
        <v>25</v>
      </c>
      <c r="H200" t="s">
        <v>29</v>
      </c>
      <c r="I200" t="s">
        <v>29</v>
      </c>
      <c r="J200" t="s">
        <v>54</v>
      </c>
      <c r="K200" t="s">
        <v>73</v>
      </c>
      <c r="L200" t="s">
        <v>305</v>
      </c>
      <c r="M200">
        <v>2111</v>
      </c>
      <c r="N200" t="s">
        <v>807</v>
      </c>
      <c r="O200" t="s">
        <v>865</v>
      </c>
      <c r="P200" t="s">
        <v>21</v>
      </c>
      <c r="Q200" t="s">
        <v>21</v>
      </c>
      <c r="R200" t="s">
        <v>871</v>
      </c>
      <c r="S200" t="s">
        <v>891</v>
      </c>
      <c r="T200" t="s">
        <v>891</v>
      </c>
      <c r="U200" t="s">
        <v>960</v>
      </c>
      <c r="V200" s="28" t="s">
        <v>1051</v>
      </c>
      <c r="W200" s="28" t="s">
        <v>1045</v>
      </c>
      <c r="X200" s="28" t="s">
        <v>1702</v>
      </c>
      <c r="Y200" s="28" t="s">
        <v>1703</v>
      </c>
      <c r="Z200" s="28" t="s">
        <v>1704</v>
      </c>
      <c r="AA200" s="28" t="s">
        <v>1705</v>
      </c>
      <c r="AB200" s="28" t="s">
        <v>1706</v>
      </c>
      <c r="AC200" s="28" t="s">
        <v>1707</v>
      </c>
    </row>
    <row r="201" spans="1:29">
      <c r="A201">
        <v>188</v>
      </c>
      <c r="B201">
        <v>2116</v>
      </c>
      <c r="C201">
        <v>2116</v>
      </c>
      <c r="D201" t="s">
        <v>21</v>
      </c>
      <c r="E201" s="22">
        <v>44306</v>
      </c>
      <c r="F201" s="23">
        <v>44306</v>
      </c>
      <c r="G201" t="s">
        <v>25</v>
      </c>
      <c r="H201" t="s">
        <v>29</v>
      </c>
      <c r="I201" t="s">
        <v>29</v>
      </c>
      <c r="J201" t="s">
        <v>54</v>
      </c>
      <c r="K201" t="s">
        <v>73</v>
      </c>
      <c r="L201" t="s">
        <v>306</v>
      </c>
      <c r="M201">
        <v>2111</v>
      </c>
      <c r="N201" t="s">
        <v>807</v>
      </c>
      <c r="O201" t="s">
        <v>865</v>
      </c>
      <c r="P201" t="s">
        <v>21</v>
      </c>
      <c r="Q201" t="s">
        <v>21</v>
      </c>
      <c r="R201" t="s">
        <v>871</v>
      </c>
      <c r="S201" t="s">
        <v>891</v>
      </c>
      <c r="T201" t="s">
        <v>891</v>
      </c>
      <c r="U201" t="s">
        <v>960</v>
      </c>
      <c r="V201" s="28" t="s">
        <v>1051</v>
      </c>
      <c r="W201" s="28" t="s">
        <v>1045</v>
      </c>
      <c r="X201" s="28" t="s">
        <v>1702</v>
      </c>
      <c r="Y201" s="28" t="s">
        <v>1703</v>
      </c>
      <c r="Z201" s="28" t="s">
        <v>1704</v>
      </c>
      <c r="AA201" s="28" t="s">
        <v>1705</v>
      </c>
      <c r="AB201" s="28" t="s">
        <v>1706</v>
      </c>
      <c r="AC201" s="28" t="s">
        <v>1707</v>
      </c>
    </row>
    <row r="202" spans="1:29">
      <c r="A202">
        <v>189</v>
      </c>
      <c r="B202">
        <v>2116</v>
      </c>
      <c r="C202">
        <v>2116</v>
      </c>
      <c r="D202" t="s">
        <v>21</v>
      </c>
      <c r="E202" s="22">
        <v>44306</v>
      </c>
      <c r="F202" s="23">
        <v>44306</v>
      </c>
      <c r="G202" t="s">
        <v>25</v>
      </c>
      <c r="H202" t="s">
        <v>29</v>
      </c>
      <c r="I202" t="s">
        <v>29</v>
      </c>
      <c r="J202" t="s">
        <v>54</v>
      </c>
      <c r="K202" t="s">
        <v>73</v>
      </c>
      <c r="L202" t="s">
        <v>307</v>
      </c>
      <c r="M202">
        <v>2111</v>
      </c>
      <c r="N202" t="s">
        <v>807</v>
      </c>
      <c r="O202" t="s">
        <v>865</v>
      </c>
      <c r="P202" t="s">
        <v>21</v>
      </c>
      <c r="Q202" t="s">
        <v>21</v>
      </c>
      <c r="R202" t="s">
        <v>871</v>
      </c>
      <c r="S202" t="s">
        <v>891</v>
      </c>
      <c r="T202" t="s">
        <v>891</v>
      </c>
      <c r="U202" t="s">
        <v>960</v>
      </c>
      <c r="V202" s="28" t="s">
        <v>1051</v>
      </c>
      <c r="W202" s="28" t="s">
        <v>1045</v>
      </c>
      <c r="X202" s="28" t="s">
        <v>1702</v>
      </c>
      <c r="Y202" s="28" t="s">
        <v>1703</v>
      </c>
      <c r="Z202" s="28" t="s">
        <v>1704</v>
      </c>
      <c r="AA202" s="28" t="s">
        <v>1705</v>
      </c>
      <c r="AB202" s="28" t="s">
        <v>1706</v>
      </c>
      <c r="AC202" s="28" t="s">
        <v>1707</v>
      </c>
    </row>
    <row r="203" spans="1:29">
      <c r="A203">
        <v>190</v>
      </c>
      <c r="B203">
        <v>2116</v>
      </c>
      <c r="C203">
        <v>2116</v>
      </c>
      <c r="D203" t="s">
        <v>21</v>
      </c>
      <c r="E203" s="22">
        <v>44306</v>
      </c>
      <c r="F203" s="23">
        <v>44306</v>
      </c>
      <c r="G203" t="s">
        <v>25</v>
      </c>
      <c r="H203" t="s">
        <v>29</v>
      </c>
      <c r="I203" t="s">
        <v>29</v>
      </c>
      <c r="J203" t="s">
        <v>54</v>
      </c>
      <c r="K203" t="s">
        <v>73</v>
      </c>
      <c r="L203" t="s">
        <v>308</v>
      </c>
      <c r="M203">
        <v>2111</v>
      </c>
      <c r="N203" t="s">
        <v>807</v>
      </c>
      <c r="O203" t="s">
        <v>865</v>
      </c>
      <c r="P203" t="s">
        <v>21</v>
      </c>
      <c r="Q203" t="s">
        <v>21</v>
      </c>
      <c r="R203" t="s">
        <v>871</v>
      </c>
      <c r="S203" t="s">
        <v>891</v>
      </c>
      <c r="T203" t="s">
        <v>891</v>
      </c>
      <c r="U203" t="s">
        <v>960</v>
      </c>
      <c r="V203" s="28" t="s">
        <v>1051</v>
      </c>
      <c r="W203" s="28" t="s">
        <v>1045</v>
      </c>
      <c r="X203" s="28" t="s">
        <v>1702</v>
      </c>
      <c r="Y203" s="28" t="s">
        <v>1703</v>
      </c>
      <c r="Z203" s="28" t="s">
        <v>1704</v>
      </c>
      <c r="AA203" s="28" t="s">
        <v>1705</v>
      </c>
      <c r="AB203" s="28" t="s">
        <v>1706</v>
      </c>
      <c r="AC203" s="28" t="s">
        <v>1707</v>
      </c>
    </row>
    <row r="204" spans="1:29">
      <c r="A204">
        <v>191</v>
      </c>
      <c r="B204">
        <v>2116</v>
      </c>
      <c r="C204">
        <v>2116</v>
      </c>
      <c r="D204" t="s">
        <v>21</v>
      </c>
      <c r="E204" s="22">
        <v>44306</v>
      </c>
      <c r="F204" s="23">
        <v>44306</v>
      </c>
      <c r="G204" t="s">
        <v>25</v>
      </c>
      <c r="H204" t="s">
        <v>29</v>
      </c>
      <c r="I204" t="s">
        <v>29</v>
      </c>
      <c r="J204" t="s">
        <v>54</v>
      </c>
      <c r="K204" t="s">
        <v>73</v>
      </c>
      <c r="L204" t="s">
        <v>309</v>
      </c>
      <c r="M204">
        <v>2111</v>
      </c>
      <c r="N204" t="s">
        <v>807</v>
      </c>
      <c r="O204" t="s">
        <v>865</v>
      </c>
      <c r="P204" t="s">
        <v>21</v>
      </c>
      <c r="Q204" t="s">
        <v>21</v>
      </c>
      <c r="R204" t="s">
        <v>871</v>
      </c>
      <c r="S204" t="s">
        <v>891</v>
      </c>
      <c r="T204" t="s">
        <v>891</v>
      </c>
      <c r="U204" t="s">
        <v>960</v>
      </c>
      <c r="V204" s="28" t="s">
        <v>1051</v>
      </c>
      <c r="W204" s="28" t="s">
        <v>1045</v>
      </c>
      <c r="X204" s="28" t="s">
        <v>1702</v>
      </c>
      <c r="Y204" s="28" t="s">
        <v>1703</v>
      </c>
      <c r="Z204" s="28" t="s">
        <v>1704</v>
      </c>
      <c r="AA204" s="28" t="s">
        <v>1705</v>
      </c>
      <c r="AB204" s="28" t="s">
        <v>1706</v>
      </c>
      <c r="AC204" s="28" t="s">
        <v>1707</v>
      </c>
    </row>
    <row r="205" spans="1:29">
      <c r="A205">
        <v>192</v>
      </c>
      <c r="B205">
        <v>2116</v>
      </c>
      <c r="C205">
        <v>2116</v>
      </c>
      <c r="D205" t="s">
        <v>21</v>
      </c>
      <c r="E205" s="22">
        <v>44306</v>
      </c>
      <c r="F205" s="23">
        <v>44306</v>
      </c>
      <c r="G205" t="s">
        <v>25</v>
      </c>
      <c r="H205" t="s">
        <v>29</v>
      </c>
      <c r="I205" t="s">
        <v>29</v>
      </c>
      <c r="J205" t="s">
        <v>54</v>
      </c>
      <c r="K205" t="s">
        <v>73</v>
      </c>
      <c r="L205" t="s">
        <v>310</v>
      </c>
      <c r="M205">
        <v>2111</v>
      </c>
      <c r="N205" t="s">
        <v>807</v>
      </c>
      <c r="O205" t="s">
        <v>865</v>
      </c>
      <c r="P205" t="s">
        <v>21</v>
      </c>
      <c r="Q205" t="s">
        <v>21</v>
      </c>
      <c r="R205" t="s">
        <v>871</v>
      </c>
      <c r="S205" t="s">
        <v>891</v>
      </c>
      <c r="T205" t="s">
        <v>891</v>
      </c>
      <c r="U205" t="s">
        <v>960</v>
      </c>
      <c r="V205" s="28" t="s">
        <v>1051</v>
      </c>
      <c r="W205" s="28" t="s">
        <v>1045</v>
      </c>
      <c r="X205" s="28" t="s">
        <v>1702</v>
      </c>
      <c r="Y205" s="28" t="s">
        <v>1703</v>
      </c>
      <c r="Z205" s="28" t="s">
        <v>1704</v>
      </c>
      <c r="AA205" s="28" t="s">
        <v>1705</v>
      </c>
      <c r="AB205" s="28" t="s">
        <v>1706</v>
      </c>
      <c r="AC205" s="28" t="s">
        <v>1707</v>
      </c>
    </row>
    <row r="206" spans="1:29">
      <c r="A206">
        <v>193</v>
      </c>
      <c r="B206">
        <v>2116</v>
      </c>
      <c r="C206">
        <v>2116</v>
      </c>
      <c r="D206" t="s">
        <v>21</v>
      </c>
      <c r="E206" s="22">
        <v>44306</v>
      </c>
      <c r="F206" s="23">
        <v>44306</v>
      </c>
      <c r="G206" t="s">
        <v>25</v>
      </c>
      <c r="H206" t="s">
        <v>29</v>
      </c>
      <c r="I206" t="s">
        <v>29</v>
      </c>
      <c r="J206" t="s">
        <v>54</v>
      </c>
      <c r="K206" t="s">
        <v>73</v>
      </c>
      <c r="L206" t="s">
        <v>311</v>
      </c>
      <c r="M206">
        <v>2111</v>
      </c>
      <c r="N206" t="s">
        <v>807</v>
      </c>
      <c r="O206" t="s">
        <v>865</v>
      </c>
      <c r="P206" t="s">
        <v>21</v>
      </c>
      <c r="Q206" t="s">
        <v>21</v>
      </c>
      <c r="R206" t="s">
        <v>871</v>
      </c>
      <c r="S206" t="s">
        <v>891</v>
      </c>
      <c r="T206" t="s">
        <v>891</v>
      </c>
      <c r="U206" t="s">
        <v>960</v>
      </c>
      <c r="V206" s="28" t="s">
        <v>1051</v>
      </c>
      <c r="W206" s="28" t="s">
        <v>1045</v>
      </c>
      <c r="X206" s="28" t="s">
        <v>1702</v>
      </c>
      <c r="Y206" s="28" t="s">
        <v>1703</v>
      </c>
      <c r="Z206" s="28" t="s">
        <v>1704</v>
      </c>
      <c r="AA206" s="28" t="s">
        <v>1705</v>
      </c>
      <c r="AB206" s="28" t="s">
        <v>1706</v>
      </c>
      <c r="AC206" s="28" t="s">
        <v>1707</v>
      </c>
    </row>
    <row r="207" spans="1:29">
      <c r="A207">
        <v>194</v>
      </c>
      <c r="B207">
        <v>2116</v>
      </c>
      <c r="C207">
        <v>2116</v>
      </c>
      <c r="D207" t="s">
        <v>21</v>
      </c>
      <c r="E207" s="22">
        <v>44306</v>
      </c>
      <c r="F207" s="23">
        <v>44306</v>
      </c>
      <c r="G207" t="s">
        <v>25</v>
      </c>
      <c r="H207" t="s">
        <v>29</v>
      </c>
      <c r="I207" t="s">
        <v>29</v>
      </c>
      <c r="J207" t="s">
        <v>54</v>
      </c>
      <c r="K207" t="s">
        <v>73</v>
      </c>
      <c r="L207" t="s">
        <v>312</v>
      </c>
      <c r="M207">
        <v>2111</v>
      </c>
      <c r="N207" t="s">
        <v>807</v>
      </c>
      <c r="O207" t="s">
        <v>865</v>
      </c>
      <c r="P207" t="s">
        <v>21</v>
      </c>
      <c r="Q207" t="s">
        <v>21</v>
      </c>
      <c r="R207" t="s">
        <v>871</v>
      </c>
      <c r="S207" t="s">
        <v>891</v>
      </c>
      <c r="T207" t="s">
        <v>891</v>
      </c>
      <c r="U207" t="s">
        <v>960</v>
      </c>
      <c r="V207" s="28" t="s">
        <v>1051</v>
      </c>
      <c r="W207" s="28" t="s">
        <v>1045</v>
      </c>
      <c r="X207" s="28" t="s">
        <v>1702</v>
      </c>
      <c r="Y207" s="28" t="s">
        <v>1703</v>
      </c>
      <c r="Z207" s="28" t="s">
        <v>1704</v>
      </c>
      <c r="AA207" s="28" t="s">
        <v>1705</v>
      </c>
      <c r="AB207" s="28" t="s">
        <v>1706</v>
      </c>
      <c r="AC207" s="28" t="s">
        <v>1707</v>
      </c>
    </row>
    <row r="208" spans="1:29">
      <c r="A208">
        <v>195</v>
      </c>
      <c r="B208">
        <v>2116</v>
      </c>
      <c r="C208">
        <v>2116</v>
      </c>
      <c r="D208" t="s">
        <v>21</v>
      </c>
      <c r="E208" s="22">
        <v>44306</v>
      </c>
      <c r="F208" s="23">
        <v>44306</v>
      </c>
      <c r="G208" t="s">
        <v>25</v>
      </c>
      <c r="H208" t="s">
        <v>29</v>
      </c>
      <c r="I208" t="s">
        <v>29</v>
      </c>
      <c r="J208" t="s">
        <v>54</v>
      </c>
      <c r="K208" t="s">
        <v>73</v>
      </c>
      <c r="L208" t="s">
        <v>313</v>
      </c>
      <c r="M208">
        <v>2111</v>
      </c>
      <c r="N208" t="s">
        <v>807</v>
      </c>
      <c r="O208" t="s">
        <v>865</v>
      </c>
      <c r="P208" t="s">
        <v>21</v>
      </c>
      <c r="Q208" t="s">
        <v>21</v>
      </c>
      <c r="R208" t="s">
        <v>871</v>
      </c>
      <c r="S208" t="s">
        <v>891</v>
      </c>
      <c r="T208" t="s">
        <v>891</v>
      </c>
      <c r="U208" t="s">
        <v>960</v>
      </c>
      <c r="V208" s="28" t="s">
        <v>1051</v>
      </c>
      <c r="W208" s="28" t="s">
        <v>1045</v>
      </c>
      <c r="X208" s="28" t="s">
        <v>1702</v>
      </c>
      <c r="Y208" s="28" t="s">
        <v>1703</v>
      </c>
      <c r="Z208" s="28" t="s">
        <v>1704</v>
      </c>
      <c r="AA208" s="28" t="s">
        <v>1705</v>
      </c>
      <c r="AB208" s="28" t="s">
        <v>1706</v>
      </c>
      <c r="AC208" s="28" t="s">
        <v>1707</v>
      </c>
    </row>
    <row r="209" spans="1:29">
      <c r="A209">
        <v>196</v>
      </c>
      <c r="B209">
        <v>2116</v>
      </c>
      <c r="C209">
        <v>2116</v>
      </c>
      <c r="D209" t="s">
        <v>21</v>
      </c>
      <c r="E209" s="22">
        <v>44306</v>
      </c>
      <c r="F209" s="23">
        <v>44306</v>
      </c>
      <c r="G209" t="s">
        <v>25</v>
      </c>
      <c r="H209" t="s">
        <v>29</v>
      </c>
      <c r="I209" t="s">
        <v>29</v>
      </c>
      <c r="J209" t="s">
        <v>54</v>
      </c>
      <c r="K209" t="s">
        <v>73</v>
      </c>
      <c r="L209" t="s">
        <v>314</v>
      </c>
      <c r="M209">
        <v>2111</v>
      </c>
      <c r="N209" t="s">
        <v>807</v>
      </c>
      <c r="O209" t="s">
        <v>865</v>
      </c>
      <c r="P209" t="s">
        <v>21</v>
      </c>
      <c r="Q209" t="s">
        <v>21</v>
      </c>
      <c r="R209" t="s">
        <v>871</v>
      </c>
      <c r="S209" t="s">
        <v>891</v>
      </c>
      <c r="T209" t="s">
        <v>891</v>
      </c>
      <c r="U209" t="s">
        <v>960</v>
      </c>
      <c r="V209" s="28" t="s">
        <v>1051</v>
      </c>
      <c r="W209" s="28" t="s">
        <v>1045</v>
      </c>
      <c r="X209" s="28" t="s">
        <v>1702</v>
      </c>
      <c r="Y209" s="28" t="s">
        <v>1703</v>
      </c>
      <c r="Z209" s="28" t="s">
        <v>1704</v>
      </c>
      <c r="AA209" s="28" t="s">
        <v>1705</v>
      </c>
      <c r="AB209" s="28" t="s">
        <v>1706</v>
      </c>
      <c r="AC209" s="28" t="s">
        <v>1707</v>
      </c>
    </row>
    <row r="210" spans="1:29">
      <c r="A210">
        <v>197</v>
      </c>
      <c r="B210">
        <v>2116</v>
      </c>
      <c r="C210">
        <v>2116</v>
      </c>
      <c r="D210" t="s">
        <v>21</v>
      </c>
      <c r="E210" s="22">
        <v>44306</v>
      </c>
      <c r="F210" s="23">
        <v>44306</v>
      </c>
      <c r="G210" t="s">
        <v>25</v>
      </c>
      <c r="H210" t="s">
        <v>29</v>
      </c>
      <c r="I210" t="s">
        <v>29</v>
      </c>
      <c r="J210" t="s">
        <v>55</v>
      </c>
      <c r="K210" t="s">
        <v>74</v>
      </c>
      <c r="L210" t="s">
        <v>315</v>
      </c>
      <c r="M210">
        <v>2109</v>
      </c>
      <c r="N210" t="s">
        <v>808</v>
      </c>
      <c r="O210" t="s">
        <v>865</v>
      </c>
      <c r="P210" t="s">
        <v>21</v>
      </c>
      <c r="Q210" t="s">
        <v>21</v>
      </c>
      <c r="R210" t="s">
        <v>871</v>
      </c>
      <c r="S210" t="s">
        <v>891</v>
      </c>
      <c r="T210" t="s">
        <v>891</v>
      </c>
      <c r="U210" t="s">
        <v>960</v>
      </c>
      <c r="V210" s="28" t="s">
        <v>1051</v>
      </c>
      <c r="W210" s="28" t="s">
        <v>1045</v>
      </c>
      <c r="X210" s="28" t="s">
        <v>1702</v>
      </c>
      <c r="Y210" s="28" t="s">
        <v>1703</v>
      </c>
      <c r="Z210" s="28" t="s">
        <v>1708</v>
      </c>
      <c r="AA210" s="28" t="s">
        <v>1709</v>
      </c>
      <c r="AB210" s="28" t="s">
        <v>1710</v>
      </c>
      <c r="AC210" s="28" t="s">
        <v>1711</v>
      </c>
    </row>
    <row r="211" spans="1:29">
      <c r="A211">
        <v>198</v>
      </c>
      <c r="B211">
        <v>2116</v>
      </c>
      <c r="C211">
        <v>2116</v>
      </c>
      <c r="D211" t="s">
        <v>21</v>
      </c>
      <c r="E211" s="22">
        <v>44306</v>
      </c>
      <c r="F211" s="23">
        <v>44306</v>
      </c>
      <c r="G211" t="s">
        <v>25</v>
      </c>
      <c r="H211" t="s">
        <v>29</v>
      </c>
      <c r="I211" t="s">
        <v>29</v>
      </c>
      <c r="J211" t="s">
        <v>55</v>
      </c>
      <c r="K211" t="s">
        <v>74</v>
      </c>
      <c r="L211" t="s">
        <v>316</v>
      </c>
      <c r="M211">
        <v>2109</v>
      </c>
      <c r="N211" t="s">
        <v>808</v>
      </c>
      <c r="O211" t="s">
        <v>865</v>
      </c>
      <c r="P211" t="s">
        <v>21</v>
      </c>
      <c r="Q211" t="s">
        <v>21</v>
      </c>
      <c r="R211" t="s">
        <v>871</v>
      </c>
      <c r="S211" t="s">
        <v>891</v>
      </c>
      <c r="T211" t="s">
        <v>891</v>
      </c>
      <c r="U211" t="s">
        <v>960</v>
      </c>
      <c r="V211" s="28" t="s">
        <v>1051</v>
      </c>
      <c r="W211" s="28" t="s">
        <v>1045</v>
      </c>
      <c r="X211" s="28" t="s">
        <v>1702</v>
      </c>
      <c r="Y211" s="28" t="s">
        <v>1703</v>
      </c>
      <c r="Z211" s="28" t="s">
        <v>1708</v>
      </c>
      <c r="AA211" s="28" t="s">
        <v>1709</v>
      </c>
      <c r="AB211" s="28" t="s">
        <v>1710</v>
      </c>
      <c r="AC211" s="28" t="s">
        <v>1711</v>
      </c>
    </row>
    <row r="212" spans="1:29">
      <c r="A212">
        <v>199</v>
      </c>
      <c r="B212">
        <v>2116</v>
      </c>
      <c r="C212">
        <v>2116</v>
      </c>
      <c r="D212" t="s">
        <v>21</v>
      </c>
      <c r="E212" s="22">
        <v>44306</v>
      </c>
      <c r="F212" s="23">
        <v>44306</v>
      </c>
      <c r="G212" t="s">
        <v>25</v>
      </c>
      <c r="H212" t="s">
        <v>29</v>
      </c>
      <c r="I212" t="s">
        <v>29</v>
      </c>
      <c r="J212" t="s">
        <v>55</v>
      </c>
      <c r="K212" t="s">
        <v>74</v>
      </c>
      <c r="L212" t="s">
        <v>317</v>
      </c>
      <c r="M212">
        <v>2109</v>
      </c>
      <c r="N212" t="s">
        <v>808</v>
      </c>
      <c r="O212" t="s">
        <v>865</v>
      </c>
      <c r="P212" t="s">
        <v>21</v>
      </c>
      <c r="Q212" t="s">
        <v>21</v>
      </c>
      <c r="R212" t="s">
        <v>871</v>
      </c>
      <c r="S212" t="s">
        <v>891</v>
      </c>
      <c r="T212" t="s">
        <v>891</v>
      </c>
      <c r="U212" t="s">
        <v>960</v>
      </c>
      <c r="V212" s="28" t="s">
        <v>1051</v>
      </c>
      <c r="W212" s="28" t="s">
        <v>1045</v>
      </c>
      <c r="X212" s="28" t="s">
        <v>1702</v>
      </c>
      <c r="Y212" s="28" t="s">
        <v>1703</v>
      </c>
      <c r="Z212" s="28" t="s">
        <v>1708</v>
      </c>
      <c r="AA212" s="28" t="s">
        <v>1709</v>
      </c>
      <c r="AB212" s="28" t="s">
        <v>1710</v>
      </c>
      <c r="AC212" s="28" t="s">
        <v>1711</v>
      </c>
    </row>
    <row r="213" spans="1:29">
      <c r="A213">
        <v>200</v>
      </c>
      <c r="B213">
        <v>2116</v>
      </c>
      <c r="C213">
        <v>2116</v>
      </c>
      <c r="D213" t="s">
        <v>21</v>
      </c>
      <c r="E213" s="22">
        <v>44306</v>
      </c>
      <c r="F213" s="23">
        <v>44306</v>
      </c>
      <c r="G213" t="s">
        <v>25</v>
      </c>
      <c r="H213" t="s">
        <v>29</v>
      </c>
      <c r="I213" t="s">
        <v>29</v>
      </c>
      <c r="J213" t="s">
        <v>55</v>
      </c>
      <c r="K213" t="s">
        <v>74</v>
      </c>
      <c r="L213" t="s">
        <v>318</v>
      </c>
      <c r="M213">
        <v>2109</v>
      </c>
      <c r="N213" t="s">
        <v>808</v>
      </c>
      <c r="O213" t="s">
        <v>865</v>
      </c>
      <c r="P213" t="s">
        <v>21</v>
      </c>
      <c r="Q213" t="s">
        <v>21</v>
      </c>
      <c r="R213" t="s">
        <v>871</v>
      </c>
      <c r="S213" t="s">
        <v>891</v>
      </c>
      <c r="T213" t="s">
        <v>891</v>
      </c>
      <c r="U213" t="s">
        <v>960</v>
      </c>
      <c r="V213" s="28" t="s">
        <v>1051</v>
      </c>
      <c r="W213" s="28" t="s">
        <v>1045</v>
      </c>
      <c r="X213" s="28" t="s">
        <v>1702</v>
      </c>
      <c r="Y213" s="28" t="s">
        <v>1703</v>
      </c>
      <c r="Z213" s="28" t="s">
        <v>1708</v>
      </c>
      <c r="AA213" s="28" t="s">
        <v>1709</v>
      </c>
      <c r="AB213" s="28" t="s">
        <v>1710</v>
      </c>
      <c r="AC213" s="28" t="s">
        <v>1711</v>
      </c>
    </row>
    <row r="214" spans="1:29">
      <c r="A214">
        <v>201</v>
      </c>
      <c r="B214">
        <v>2116</v>
      </c>
      <c r="C214">
        <v>2116</v>
      </c>
      <c r="D214" t="s">
        <v>21</v>
      </c>
      <c r="E214" s="22">
        <v>44306</v>
      </c>
      <c r="F214" s="23">
        <v>44306</v>
      </c>
      <c r="G214" t="s">
        <v>25</v>
      </c>
      <c r="H214" t="s">
        <v>29</v>
      </c>
      <c r="I214" t="s">
        <v>29</v>
      </c>
      <c r="J214" t="s">
        <v>55</v>
      </c>
      <c r="K214" t="s">
        <v>74</v>
      </c>
      <c r="L214" t="s">
        <v>319</v>
      </c>
      <c r="M214">
        <v>2109</v>
      </c>
      <c r="N214" t="s">
        <v>808</v>
      </c>
      <c r="O214" t="s">
        <v>865</v>
      </c>
      <c r="P214" t="s">
        <v>21</v>
      </c>
      <c r="Q214" t="s">
        <v>21</v>
      </c>
      <c r="R214" t="s">
        <v>871</v>
      </c>
      <c r="S214" t="s">
        <v>891</v>
      </c>
      <c r="T214" t="s">
        <v>891</v>
      </c>
      <c r="U214" t="s">
        <v>960</v>
      </c>
      <c r="V214" s="28" t="s">
        <v>1051</v>
      </c>
      <c r="W214" s="28" t="s">
        <v>1045</v>
      </c>
      <c r="X214" s="28" t="s">
        <v>1702</v>
      </c>
      <c r="Y214" s="28" t="s">
        <v>1703</v>
      </c>
      <c r="Z214" s="28" t="s">
        <v>1708</v>
      </c>
      <c r="AA214" s="28" t="s">
        <v>1709</v>
      </c>
      <c r="AB214" s="28" t="s">
        <v>1710</v>
      </c>
      <c r="AC214" s="28" t="s">
        <v>1711</v>
      </c>
    </row>
    <row r="215" spans="1:29">
      <c r="A215">
        <v>202</v>
      </c>
      <c r="B215">
        <v>2116</v>
      </c>
      <c r="C215">
        <v>2116</v>
      </c>
      <c r="D215" t="s">
        <v>21</v>
      </c>
      <c r="E215" s="22">
        <v>44306</v>
      </c>
      <c r="F215" s="23">
        <v>44306</v>
      </c>
      <c r="G215" t="s">
        <v>25</v>
      </c>
      <c r="H215" t="s">
        <v>29</v>
      </c>
      <c r="I215" t="s">
        <v>29</v>
      </c>
      <c r="J215" t="s">
        <v>55</v>
      </c>
      <c r="K215" t="s">
        <v>74</v>
      </c>
      <c r="L215" t="s">
        <v>320</v>
      </c>
      <c r="M215">
        <v>2109</v>
      </c>
      <c r="N215" t="s">
        <v>808</v>
      </c>
      <c r="O215" t="s">
        <v>865</v>
      </c>
      <c r="P215" t="s">
        <v>21</v>
      </c>
      <c r="Q215" t="s">
        <v>21</v>
      </c>
      <c r="R215" t="s">
        <v>871</v>
      </c>
      <c r="S215" t="s">
        <v>891</v>
      </c>
      <c r="T215" t="s">
        <v>891</v>
      </c>
      <c r="U215" t="s">
        <v>960</v>
      </c>
      <c r="V215" s="28" t="s">
        <v>1051</v>
      </c>
      <c r="W215" s="28" t="s">
        <v>1045</v>
      </c>
      <c r="X215" s="28" t="s">
        <v>1702</v>
      </c>
      <c r="Y215" s="28" t="s">
        <v>1703</v>
      </c>
      <c r="Z215" s="28" t="s">
        <v>1708</v>
      </c>
      <c r="AA215" s="28" t="s">
        <v>1709</v>
      </c>
      <c r="AB215" s="28" t="s">
        <v>1710</v>
      </c>
      <c r="AC215" s="28" t="s">
        <v>1711</v>
      </c>
    </row>
    <row r="216" spans="1:29">
      <c r="A216">
        <v>203</v>
      </c>
      <c r="B216">
        <v>2116</v>
      </c>
      <c r="C216">
        <v>2116</v>
      </c>
      <c r="D216" t="s">
        <v>21</v>
      </c>
      <c r="E216" s="22">
        <v>44306</v>
      </c>
      <c r="F216" s="23">
        <v>44306</v>
      </c>
      <c r="G216" t="s">
        <v>25</v>
      </c>
      <c r="H216" t="s">
        <v>29</v>
      </c>
      <c r="I216" t="s">
        <v>29</v>
      </c>
      <c r="J216" t="s">
        <v>55</v>
      </c>
      <c r="K216" t="s">
        <v>74</v>
      </c>
      <c r="L216" t="s">
        <v>321</v>
      </c>
      <c r="M216">
        <v>2109</v>
      </c>
      <c r="N216" t="s">
        <v>808</v>
      </c>
      <c r="O216" t="s">
        <v>865</v>
      </c>
      <c r="P216" t="s">
        <v>21</v>
      </c>
      <c r="Q216" t="s">
        <v>21</v>
      </c>
      <c r="R216" t="s">
        <v>871</v>
      </c>
      <c r="S216" t="s">
        <v>891</v>
      </c>
      <c r="T216" t="s">
        <v>891</v>
      </c>
      <c r="U216" t="s">
        <v>960</v>
      </c>
      <c r="V216" s="28" t="s">
        <v>1051</v>
      </c>
      <c r="W216" s="28" t="s">
        <v>1045</v>
      </c>
      <c r="X216" s="28" t="s">
        <v>1702</v>
      </c>
      <c r="Y216" s="28" t="s">
        <v>1703</v>
      </c>
      <c r="Z216" s="28" t="s">
        <v>1708</v>
      </c>
      <c r="AA216" s="28" t="s">
        <v>1709</v>
      </c>
      <c r="AB216" s="28" t="s">
        <v>1710</v>
      </c>
      <c r="AC216" s="28" t="s">
        <v>1711</v>
      </c>
    </row>
    <row r="217" spans="1:29">
      <c r="A217">
        <v>204</v>
      </c>
      <c r="B217">
        <v>2116</v>
      </c>
      <c r="C217">
        <v>2116</v>
      </c>
      <c r="D217" t="s">
        <v>21</v>
      </c>
      <c r="E217" s="22">
        <v>44306</v>
      </c>
      <c r="F217" s="23">
        <v>44306</v>
      </c>
      <c r="G217" t="s">
        <v>25</v>
      </c>
      <c r="H217" t="s">
        <v>29</v>
      </c>
      <c r="I217" t="s">
        <v>29</v>
      </c>
      <c r="J217" t="s">
        <v>55</v>
      </c>
      <c r="K217" t="s">
        <v>74</v>
      </c>
      <c r="L217" t="s">
        <v>322</v>
      </c>
      <c r="M217">
        <v>2109</v>
      </c>
      <c r="N217" t="s">
        <v>808</v>
      </c>
      <c r="O217" t="s">
        <v>865</v>
      </c>
      <c r="P217" t="s">
        <v>21</v>
      </c>
      <c r="Q217" t="s">
        <v>21</v>
      </c>
      <c r="R217" t="s">
        <v>871</v>
      </c>
      <c r="S217" t="s">
        <v>891</v>
      </c>
      <c r="T217" t="s">
        <v>891</v>
      </c>
      <c r="U217" t="s">
        <v>960</v>
      </c>
      <c r="V217" s="28" t="s">
        <v>1051</v>
      </c>
      <c r="W217" s="28" t="s">
        <v>1045</v>
      </c>
      <c r="X217" s="28" t="s">
        <v>1702</v>
      </c>
      <c r="Y217" s="28" t="s">
        <v>1703</v>
      </c>
      <c r="Z217" s="28" t="s">
        <v>1708</v>
      </c>
      <c r="AA217" s="28" t="s">
        <v>1709</v>
      </c>
      <c r="AB217" s="28" t="s">
        <v>1710</v>
      </c>
      <c r="AC217" s="28" t="s">
        <v>1711</v>
      </c>
    </row>
    <row r="218" spans="1:29">
      <c r="A218">
        <v>205</v>
      </c>
      <c r="B218">
        <v>2116</v>
      </c>
      <c r="C218">
        <v>2116</v>
      </c>
      <c r="D218" t="s">
        <v>21</v>
      </c>
      <c r="E218" s="22">
        <v>44306</v>
      </c>
      <c r="F218" s="23">
        <v>44306</v>
      </c>
      <c r="G218" t="s">
        <v>25</v>
      </c>
      <c r="H218" t="s">
        <v>29</v>
      </c>
      <c r="I218" t="s">
        <v>29</v>
      </c>
      <c r="J218" t="s">
        <v>55</v>
      </c>
      <c r="K218" t="s">
        <v>74</v>
      </c>
      <c r="L218" t="s">
        <v>323</v>
      </c>
      <c r="M218">
        <v>2109</v>
      </c>
      <c r="N218" t="s">
        <v>808</v>
      </c>
      <c r="O218" t="s">
        <v>865</v>
      </c>
      <c r="P218" t="s">
        <v>21</v>
      </c>
      <c r="Q218" t="s">
        <v>21</v>
      </c>
      <c r="R218" t="s">
        <v>871</v>
      </c>
      <c r="S218" t="s">
        <v>891</v>
      </c>
      <c r="T218" t="s">
        <v>891</v>
      </c>
      <c r="U218" t="s">
        <v>960</v>
      </c>
      <c r="V218" s="28" t="s">
        <v>1051</v>
      </c>
      <c r="W218" s="28" t="s">
        <v>1045</v>
      </c>
      <c r="X218" s="28" t="s">
        <v>1702</v>
      </c>
      <c r="Y218" s="28" t="s">
        <v>1703</v>
      </c>
      <c r="Z218" s="28" t="s">
        <v>1708</v>
      </c>
      <c r="AA218" s="28" t="s">
        <v>1709</v>
      </c>
      <c r="AB218" s="28" t="s">
        <v>1710</v>
      </c>
      <c r="AC218" s="28" t="s">
        <v>1711</v>
      </c>
    </row>
    <row r="219" spans="1:29">
      <c r="A219">
        <v>206</v>
      </c>
      <c r="B219">
        <v>2116</v>
      </c>
      <c r="C219">
        <v>2116</v>
      </c>
      <c r="D219" t="s">
        <v>21</v>
      </c>
      <c r="E219" s="22">
        <v>44306</v>
      </c>
      <c r="F219" s="23">
        <v>44306</v>
      </c>
      <c r="G219" t="s">
        <v>25</v>
      </c>
      <c r="H219" t="s">
        <v>29</v>
      </c>
      <c r="I219" t="s">
        <v>29</v>
      </c>
      <c r="J219" t="s">
        <v>55</v>
      </c>
      <c r="K219" t="s">
        <v>74</v>
      </c>
      <c r="L219" t="s">
        <v>324</v>
      </c>
      <c r="M219">
        <v>2109</v>
      </c>
      <c r="N219" t="s">
        <v>808</v>
      </c>
      <c r="O219" t="s">
        <v>865</v>
      </c>
      <c r="P219" t="s">
        <v>21</v>
      </c>
      <c r="Q219" t="s">
        <v>21</v>
      </c>
      <c r="R219" t="s">
        <v>871</v>
      </c>
      <c r="S219" t="s">
        <v>891</v>
      </c>
      <c r="T219" t="s">
        <v>891</v>
      </c>
      <c r="U219" t="s">
        <v>960</v>
      </c>
      <c r="V219" s="28" t="s">
        <v>1051</v>
      </c>
      <c r="W219" s="28" t="s">
        <v>1045</v>
      </c>
      <c r="X219" s="28" t="s">
        <v>1702</v>
      </c>
      <c r="Y219" s="28" t="s">
        <v>1703</v>
      </c>
      <c r="Z219" s="28" t="s">
        <v>1708</v>
      </c>
      <c r="AA219" s="28" t="s">
        <v>1709</v>
      </c>
      <c r="AB219" s="28" t="s">
        <v>1710</v>
      </c>
      <c r="AC219" s="28" t="s">
        <v>1711</v>
      </c>
    </row>
    <row r="220" spans="1:29">
      <c r="A220">
        <v>207</v>
      </c>
      <c r="B220">
        <v>2116</v>
      </c>
      <c r="C220">
        <v>2116</v>
      </c>
      <c r="D220" t="s">
        <v>21</v>
      </c>
      <c r="E220" s="22">
        <v>44306</v>
      </c>
      <c r="F220" s="23">
        <v>44306</v>
      </c>
      <c r="G220" t="s">
        <v>25</v>
      </c>
      <c r="H220" t="s">
        <v>29</v>
      </c>
      <c r="I220" t="s">
        <v>29</v>
      </c>
      <c r="J220" t="s">
        <v>55</v>
      </c>
      <c r="K220" t="s">
        <v>74</v>
      </c>
      <c r="L220" t="s">
        <v>325</v>
      </c>
      <c r="M220">
        <v>2109</v>
      </c>
      <c r="N220" t="s">
        <v>808</v>
      </c>
      <c r="O220" t="s">
        <v>865</v>
      </c>
      <c r="P220" t="s">
        <v>21</v>
      </c>
      <c r="Q220" t="s">
        <v>21</v>
      </c>
      <c r="R220" t="s">
        <v>871</v>
      </c>
      <c r="S220" t="s">
        <v>891</v>
      </c>
      <c r="T220" t="s">
        <v>891</v>
      </c>
      <c r="U220" t="s">
        <v>960</v>
      </c>
      <c r="V220" s="28" t="s">
        <v>1051</v>
      </c>
      <c r="W220" s="28" t="s">
        <v>1045</v>
      </c>
      <c r="X220" s="28" t="s">
        <v>1702</v>
      </c>
      <c r="Y220" s="28" t="s">
        <v>1703</v>
      </c>
      <c r="Z220" s="28" t="s">
        <v>1708</v>
      </c>
      <c r="AA220" s="28" t="s">
        <v>1709</v>
      </c>
      <c r="AB220" s="28" t="s">
        <v>1710</v>
      </c>
      <c r="AC220" s="28" t="s">
        <v>1711</v>
      </c>
    </row>
    <row r="221" spans="1:29">
      <c r="A221">
        <v>208</v>
      </c>
      <c r="B221">
        <v>2116</v>
      </c>
      <c r="C221">
        <v>2116</v>
      </c>
      <c r="D221" t="s">
        <v>21</v>
      </c>
      <c r="E221" s="22">
        <v>44306</v>
      </c>
      <c r="F221" s="23">
        <v>44306</v>
      </c>
      <c r="G221" t="s">
        <v>25</v>
      </c>
      <c r="H221" t="s">
        <v>29</v>
      </c>
      <c r="I221" t="s">
        <v>29</v>
      </c>
      <c r="J221" t="s">
        <v>55</v>
      </c>
      <c r="K221" t="s">
        <v>74</v>
      </c>
      <c r="L221" t="s">
        <v>326</v>
      </c>
      <c r="M221">
        <v>2109</v>
      </c>
      <c r="N221" t="s">
        <v>808</v>
      </c>
      <c r="O221" t="s">
        <v>865</v>
      </c>
      <c r="P221" t="s">
        <v>21</v>
      </c>
      <c r="Q221" t="s">
        <v>21</v>
      </c>
      <c r="R221" t="s">
        <v>871</v>
      </c>
      <c r="S221" t="s">
        <v>891</v>
      </c>
      <c r="T221" t="s">
        <v>891</v>
      </c>
      <c r="U221" t="s">
        <v>960</v>
      </c>
      <c r="V221" s="28" t="s">
        <v>1051</v>
      </c>
      <c r="W221" s="28" t="s">
        <v>1045</v>
      </c>
      <c r="X221" s="28" t="s">
        <v>1702</v>
      </c>
      <c r="Y221" s="28" t="s">
        <v>1703</v>
      </c>
      <c r="Z221" s="28" t="s">
        <v>1708</v>
      </c>
      <c r="AA221" s="28" t="s">
        <v>1709</v>
      </c>
      <c r="AB221" s="28" t="s">
        <v>1710</v>
      </c>
      <c r="AC221" s="28" t="s">
        <v>1711</v>
      </c>
    </row>
    <row r="222" spans="1:29">
      <c r="A222">
        <v>209</v>
      </c>
      <c r="B222">
        <v>2116</v>
      </c>
      <c r="C222">
        <v>2116</v>
      </c>
      <c r="D222" t="s">
        <v>21</v>
      </c>
      <c r="E222" s="22">
        <v>44306</v>
      </c>
      <c r="F222" s="23">
        <v>44306</v>
      </c>
      <c r="G222" t="s">
        <v>25</v>
      </c>
      <c r="H222" t="s">
        <v>29</v>
      </c>
      <c r="I222" t="s">
        <v>29</v>
      </c>
      <c r="J222" t="s">
        <v>55</v>
      </c>
      <c r="K222" t="s">
        <v>74</v>
      </c>
      <c r="L222" t="s">
        <v>327</v>
      </c>
      <c r="M222">
        <v>2109</v>
      </c>
      <c r="N222" t="s">
        <v>808</v>
      </c>
      <c r="O222" t="s">
        <v>865</v>
      </c>
      <c r="P222" t="s">
        <v>21</v>
      </c>
      <c r="Q222" t="s">
        <v>21</v>
      </c>
      <c r="R222" t="s">
        <v>871</v>
      </c>
      <c r="S222" t="s">
        <v>891</v>
      </c>
      <c r="T222" t="s">
        <v>891</v>
      </c>
      <c r="U222" t="s">
        <v>960</v>
      </c>
      <c r="V222" s="28" t="s">
        <v>1051</v>
      </c>
      <c r="W222" s="28" t="s">
        <v>1045</v>
      </c>
      <c r="X222" s="28" t="s">
        <v>1702</v>
      </c>
      <c r="Y222" s="28" t="s">
        <v>1703</v>
      </c>
      <c r="Z222" s="28" t="s">
        <v>1708</v>
      </c>
      <c r="AA222" s="28" t="s">
        <v>1709</v>
      </c>
      <c r="AB222" s="28" t="s">
        <v>1710</v>
      </c>
      <c r="AC222" s="28" t="s">
        <v>1711</v>
      </c>
    </row>
    <row r="223" spans="1:29">
      <c r="A223">
        <v>210</v>
      </c>
      <c r="B223">
        <v>2116</v>
      </c>
      <c r="C223">
        <v>2116</v>
      </c>
      <c r="D223" t="s">
        <v>21</v>
      </c>
      <c r="E223" s="22">
        <v>44306</v>
      </c>
      <c r="F223" s="23">
        <v>44306</v>
      </c>
      <c r="G223" t="s">
        <v>25</v>
      </c>
      <c r="H223" t="s">
        <v>29</v>
      </c>
      <c r="I223" t="s">
        <v>29</v>
      </c>
      <c r="J223" t="s">
        <v>55</v>
      </c>
      <c r="K223" t="s">
        <v>74</v>
      </c>
      <c r="L223" t="s">
        <v>328</v>
      </c>
      <c r="M223">
        <v>2109</v>
      </c>
      <c r="N223" t="s">
        <v>808</v>
      </c>
      <c r="O223" t="s">
        <v>865</v>
      </c>
      <c r="P223" t="s">
        <v>21</v>
      </c>
      <c r="Q223" t="s">
        <v>21</v>
      </c>
      <c r="R223" t="s">
        <v>871</v>
      </c>
      <c r="S223" t="s">
        <v>891</v>
      </c>
      <c r="T223" t="s">
        <v>891</v>
      </c>
      <c r="U223" t="s">
        <v>960</v>
      </c>
      <c r="V223" s="28" t="s">
        <v>1051</v>
      </c>
      <c r="W223" s="28" t="s">
        <v>1045</v>
      </c>
      <c r="X223" s="28" t="s">
        <v>1702</v>
      </c>
      <c r="Y223" s="28" t="s">
        <v>1703</v>
      </c>
      <c r="Z223" s="28" t="s">
        <v>1708</v>
      </c>
      <c r="AA223" s="28" t="s">
        <v>1709</v>
      </c>
      <c r="AB223" s="28" t="s">
        <v>1710</v>
      </c>
      <c r="AC223" s="28" t="s">
        <v>1711</v>
      </c>
    </row>
    <row r="224" spans="1:29">
      <c r="A224">
        <v>211</v>
      </c>
      <c r="B224">
        <v>2116</v>
      </c>
      <c r="C224">
        <v>2116</v>
      </c>
      <c r="D224" t="s">
        <v>21</v>
      </c>
      <c r="E224" s="22">
        <v>44306</v>
      </c>
      <c r="F224" s="23">
        <v>44306</v>
      </c>
      <c r="G224" t="s">
        <v>25</v>
      </c>
      <c r="H224" t="s">
        <v>29</v>
      </c>
      <c r="I224" t="s">
        <v>29</v>
      </c>
      <c r="J224" t="s">
        <v>55</v>
      </c>
      <c r="K224" t="s">
        <v>74</v>
      </c>
      <c r="L224" t="s">
        <v>329</v>
      </c>
      <c r="M224">
        <v>2109</v>
      </c>
      <c r="N224" t="s">
        <v>808</v>
      </c>
      <c r="O224" t="s">
        <v>865</v>
      </c>
      <c r="P224" t="s">
        <v>21</v>
      </c>
      <c r="Q224" t="s">
        <v>21</v>
      </c>
      <c r="R224" t="s">
        <v>871</v>
      </c>
      <c r="S224" t="s">
        <v>891</v>
      </c>
      <c r="T224" t="s">
        <v>891</v>
      </c>
      <c r="U224" t="s">
        <v>960</v>
      </c>
      <c r="V224" s="28" t="s">
        <v>1051</v>
      </c>
      <c r="W224" s="28" t="s">
        <v>1045</v>
      </c>
      <c r="X224" s="28" t="s">
        <v>1702</v>
      </c>
      <c r="Y224" s="28" t="s">
        <v>1703</v>
      </c>
      <c r="Z224" s="28" t="s">
        <v>1708</v>
      </c>
      <c r="AA224" s="28" t="s">
        <v>1709</v>
      </c>
      <c r="AB224" s="28" t="s">
        <v>1710</v>
      </c>
      <c r="AC224" s="28" t="s">
        <v>1711</v>
      </c>
    </row>
    <row r="225" spans="1:29">
      <c r="A225">
        <v>212</v>
      </c>
      <c r="B225">
        <v>2116</v>
      </c>
      <c r="C225">
        <v>2116</v>
      </c>
      <c r="D225" t="s">
        <v>21</v>
      </c>
      <c r="E225" s="22">
        <v>44306</v>
      </c>
      <c r="F225" s="23">
        <v>44306</v>
      </c>
      <c r="G225" t="s">
        <v>25</v>
      </c>
      <c r="H225" t="s">
        <v>29</v>
      </c>
      <c r="I225" t="s">
        <v>29</v>
      </c>
      <c r="J225" t="s">
        <v>55</v>
      </c>
      <c r="K225" t="s">
        <v>74</v>
      </c>
      <c r="L225" t="s">
        <v>330</v>
      </c>
      <c r="M225">
        <v>2109</v>
      </c>
      <c r="N225" t="s">
        <v>808</v>
      </c>
      <c r="O225" t="s">
        <v>865</v>
      </c>
      <c r="P225" t="s">
        <v>21</v>
      </c>
      <c r="Q225" t="s">
        <v>21</v>
      </c>
      <c r="R225" t="s">
        <v>871</v>
      </c>
      <c r="S225" t="s">
        <v>891</v>
      </c>
      <c r="T225" t="s">
        <v>891</v>
      </c>
      <c r="U225" t="s">
        <v>960</v>
      </c>
      <c r="V225" s="28" t="s">
        <v>1051</v>
      </c>
      <c r="W225" s="28" t="s">
        <v>1045</v>
      </c>
      <c r="X225" s="28" t="s">
        <v>1702</v>
      </c>
      <c r="Y225" s="28" t="s">
        <v>1703</v>
      </c>
      <c r="Z225" s="28" t="s">
        <v>1708</v>
      </c>
      <c r="AA225" s="28" t="s">
        <v>1709</v>
      </c>
      <c r="AB225" s="28" t="s">
        <v>1710</v>
      </c>
      <c r="AC225" s="28" t="s">
        <v>1711</v>
      </c>
    </row>
    <row r="226" spans="1:29">
      <c r="A226">
        <v>213</v>
      </c>
      <c r="B226">
        <v>2116</v>
      </c>
      <c r="C226">
        <v>2116</v>
      </c>
      <c r="D226" t="s">
        <v>21</v>
      </c>
      <c r="E226" s="22">
        <v>44306</v>
      </c>
      <c r="F226" s="23">
        <v>44306</v>
      </c>
      <c r="G226" t="s">
        <v>25</v>
      </c>
      <c r="H226" t="s">
        <v>29</v>
      </c>
      <c r="I226" t="s">
        <v>29</v>
      </c>
      <c r="J226" t="s">
        <v>55</v>
      </c>
      <c r="K226" t="s">
        <v>74</v>
      </c>
      <c r="L226" t="s">
        <v>331</v>
      </c>
      <c r="M226">
        <v>2109</v>
      </c>
      <c r="N226" t="s">
        <v>808</v>
      </c>
      <c r="O226" t="s">
        <v>865</v>
      </c>
      <c r="P226" t="s">
        <v>21</v>
      </c>
      <c r="Q226" t="s">
        <v>21</v>
      </c>
      <c r="R226" t="s">
        <v>871</v>
      </c>
      <c r="S226" t="s">
        <v>891</v>
      </c>
      <c r="T226" t="s">
        <v>891</v>
      </c>
      <c r="U226" t="s">
        <v>960</v>
      </c>
      <c r="V226" s="28" t="s">
        <v>1051</v>
      </c>
      <c r="W226" s="28" t="s">
        <v>1045</v>
      </c>
      <c r="X226" s="28" t="s">
        <v>1702</v>
      </c>
      <c r="Y226" s="28" t="s">
        <v>1703</v>
      </c>
      <c r="Z226" s="28" t="s">
        <v>1708</v>
      </c>
      <c r="AA226" s="28" t="s">
        <v>1709</v>
      </c>
      <c r="AB226" s="28" t="s">
        <v>1710</v>
      </c>
      <c r="AC226" s="28" t="s">
        <v>1711</v>
      </c>
    </row>
    <row r="227" spans="1:29">
      <c r="A227">
        <v>214</v>
      </c>
      <c r="B227">
        <v>2116</v>
      </c>
      <c r="C227">
        <v>2116</v>
      </c>
      <c r="D227" t="s">
        <v>21</v>
      </c>
      <c r="E227" s="22">
        <v>44306</v>
      </c>
      <c r="F227" s="23">
        <v>44306</v>
      </c>
      <c r="G227" t="s">
        <v>25</v>
      </c>
      <c r="H227" t="s">
        <v>29</v>
      </c>
      <c r="I227" t="s">
        <v>29</v>
      </c>
      <c r="J227" t="s">
        <v>55</v>
      </c>
      <c r="K227" t="s">
        <v>74</v>
      </c>
      <c r="L227" t="s">
        <v>332</v>
      </c>
      <c r="M227">
        <v>2109</v>
      </c>
      <c r="N227" t="s">
        <v>808</v>
      </c>
      <c r="O227" t="s">
        <v>865</v>
      </c>
      <c r="P227" t="s">
        <v>21</v>
      </c>
      <c r="Q227" t="s">
        <v>21</v>
      </c>
      <c r="R227" t="s">
        <v>871</v>
      </c>
      <c r="S227" t="s">
        <v>891</v>
      </c>
      <c r="T227" t="s">
        <v>891</v>
      </c>
      <c r="U227" t="s">
        <v>960</v>
      </c>
      <c r="V227" s="28" t="s">
        <v>1051</v>
      </c>
      <c r="W227" s="28" t="s">
        <v>1045</v>
      </c>
      <c r="X227" s="28" t="s">
        <v>1702</v>
      </c>
      <c r="Y227" s="28" t="s">
        <v>1703</v>
      </c>
      <c r="Z227" s="28" t="s">
        <v>1708</v>
      </c>
      <c r="AA227" s="28" t="s">
        <v>1709</v>
      </c>
      <c r="AB227" s="28" t="s">
        <v>1710</v>
      </c>
      <c r="AC227" s="28" t="s">
        <v>1711</v>
      </c>
    </row>
    <row r="228" spans="1:29">
      <c r="A228">
        <v>215</v>
      </c>
      <c r="B228">
        <v>2116</v>
      </c>
      <c r="C228">
        <v>2116</v>
      </c>
      <c r="D228" t="s">
        <v>21</v>
      </c>
      <c r="E228" s="22">
        <v>44306</v>
      </c>
      <c r="F228" s="23">
        <v>44306</v>
      </c>
      <c r="G228" t="s">
        <v>25</v>
      </c>
      <c r="H228" t="s">
        <v>29</v>
      </c>
      <c r="I228" t="s">
        <v>29</v>
      </c>
      <c r="J228" t="s">
        <v>55</v>
      </c>
      <c r="K228" t="s">
        <v>74</v>
      </c>
      <c r="L228" t="s">
        <v>333</v>
      </c>
      <c r="M228">
        <v>2109</v>
      </c>
      <c r="N228" t="s">
        <v>808</v>
      </c>
      <c r="O228" t="s">
        <v>865</v>
      </c>
      <c r="P228" t="s">
        <v>21</v>
      </c>
      <c r="Q228" t="s">
        <v>21</v>
      </c>
      <c r="R228" t="s">
        <v>871</v>
      </c>
      <c r="S228" t="s">
        <v>891</v>
      </c>
      <c r="T228" t="s">
        <v>891</v>
      </c>
      <c r="U228" t="s">
        <v>960</v>
      </c>
      <c r="V228" s="28" t="s">
        <v>1051</v>
      </c>
      <c r="W228" s="28" t="s">
        <v>1045</v>
      </c>
      <c r="X228" s="28" t="s">
        <v>1702</v>
      </c>
      <c r="Y228" s="28" t="s">
        <v>1703</v>
      </c>
      <c r="Z228" s="28" t="s">
        <v>1708</v>
      </c>
      <c r="AA228" s="28" t="s">
        <v>1709</v>
      </c>
      <c r="AB228" s="28" t="s">
        <v>1710</v>
      </c>
      <c r="AC228" s="28" t="s">
        <v>1711</v>
      </c>
    </row>
    <row r="229" spans="1:29">
      <c r="A229">
        <v>216</v>
      </c>
      <c r="B229">
        <v>2116</v>
      </c>
      <c r="C229">
        <v>2116</v>
      </c>
      <c r="D229" t="s">
        <v>21</v>
      </c>
      <c r="E229" s="22">
        <v>44306</v>
      </c>
      <c r="F229" s="23">
        <v>44306</v>
      </c>
      <c r="G229" t="s">
        <v>25</v>
      </c>
      <c r="H229" t="s">
        <v>29</v>
      </c>
      <c r="I229" t="s">
        <v>29</v>
      </c>
      <c r="J229" t="s">
        <v>55</v>
      </c>
      <c r="K229" t="s">
        <v>74</v>
      </c>
      <c r="L229" t="s">
        <v>334</v>
      </c>
      <c r="M229">
        <v>2109</v>
      </c>
      <c r="N229" t="s">
        <v>808</v>
      </c>
      <c r="O229" t="s">
        <v>865</v>
      </c>
      <c r="P229" t="s">
        <v>21</v>
      </c>
      <c r="Q229" t="s">
        <v>21</v>
      </c>
      <c r="R229" t="s">
        <v>871</v>
      </c>
      <c r="S229" t="s">
        <v>891</v>
      </c>
      <c r="T229" t="s">
        <v>891</v>
      </c>
      <c r="U229" t="s">
        <v>960</v>
      </c>
      <c r="V229" s="28" t="s">
        <v>1051</v>
      </c>
      <c r="W229" s="28" t="s">
        <v>1045</v>
      </c>
      <c r="X229" s="28" t="s">
        <v>1702</v>
      </c>
      <c r="Y229" s="28" t="s">
        <v>1703</v>
      </c>
      <c r="Z229" s="28" t="s">
        <v>1708</v>
      </c>
      <c r="AA229" s="28" t="s">
        <v>1709</v>
      </c>
      <c r="AB229" s="28" t="s">
        <v>1710</v>
      </c>
      <c r="AC229" s="28" t="s">
        <v>1711</v>
      </c>
    </row>
    <row r="230" spans="1:29">
      <c r="A230">
        <v>217</v>
      </c>
      <c r="B230">
        <v>2116</v>
      </c>
      <c r="C230">
        <v>2116</v>
      </c>
      <c r="D230" t="s">
        <v>21</v>
      </c>
      <c r="E230" s="22">
        <v>44306</v>
      </c>
      <c r="F230" s="23">
        <v>44306</v>
      </c>
      <c r="G230" t="s">
        <v>25</v>
      </c>
      <c r="H230" t="s">
        <v>29</v>
      </c>
      <c r="I230" t="s">
        <v>29</v>
      </c>
      <c r="J230" t="s">
        <v>55</v>
      </c>
      <c r="K230" t="s">
        <v>74</v>
      </c>
      <c r="L230" t="s">
        <v>335</v>
      </c>
      <c r="M230">
        <v>2109</v>
      </c>
      <c r="N230" t="s">
        <v>808</v>
      </c>
      <c r="O230" t="s">
        <v>865</v>
      </c>
      <c r="P230" t="s">
        <v>21</v>
      </c>
      <c r="Q230" t="s">
        <v>21</v>
      </c>
      <c r="R230" t="s">
        <v>871</v>
      </c>
      <c r="S230" t="s">
        <v>891</v>
      </c>
      <c r="T230" t="s">
        <v>891</v>
      </c>
      <c r="U230" t="s">
        <v>960</v>
      </c>
      <c r="V230" s="28" t="s">
        <v>1051</v>
      </c>
      <c r="W230" s="28" t="s">
        <v>1045</v>
      </c>
      <c r="X230" s="28" t="s">
        <v>1702</v>
      </c>
      <c r="Y230" s="28" t="s">
        <v>1703</v>
      </c>
      <c r="Z230" s="28" t="s">
        <v>1708</v>
      </c>
      <c r="AA230" s="28" t="s">
        <v>1709</v>
      </c>
      <c r="AB230" s="28" t="s">
        <v>1710</v>
      </c>
      <c r="AC230" s="28" t="s">
        <v>1711</v>
      </c>
    </row>
    <row r="231" spans="1:29">
      <c r="A231">
        <v>1</v>
      </c>
      <c r="B231">
        <v>2123</v>
      </c>
      <c r="C231">
        <v>2123</v>
      </c>
      <c r="D231" t="s">
        <v>21</v>
      </c>
      <c r="E231" s="22">
        <v>44354</v>
      </c>
      <c r="F231" s="23">
        <v>44354</v>
      </c>
      <c r="G231" t="s">
        <v>25</v>
      </c>
      <c r="H231" t="s">
        <v>29</v>
      </c>
      <c r="I231" t="s">
        <v>29</v>
      </c>
      <c r="J231" t="s">
        <v>56</v>
      </c>
      <c r="K231" t="s">
        <v>75</v>
      </c>
      <c r="L231" t="s">
        <v>336</v>
      </c>
      <c r="M231">
        <v>2121</v>
      </c>
      <c r="N231" t="s">
        <v>809</v>
      </c>
      <c r="O231" t="s">
        <v>865</v>
      </c>
      <c r="P231" t="s">
        <v>21</v>
      </c>
      <c r="Q231" t="s">
        <v>21</v>
      </c>
      <c r="R231" t="s">
        <v>872</v>
      </c>
      <c r="S231" t="s">
        <v>872</v>
      </c>
      <c r="T231" t="s">
        <v>950</v>
      </c>
      <c r="U231" t="s">
        <v>960</v>
      </c>
      <c r="V231" s="28" t="s">
        <v>1052</v>
      </c>
      <c r="W231" s="28" t="s">
        <v>1046</v>
      </c>
      <c r="X231" s="28" t="s">
        <v>1712</v>
      </c>
      <c r="Y231" s="28" t="s">
        <v>1713</v>
      </c>
      <c r="Z231" s="28" t="s">
        <v>1714</v>
      </c>
      <c r="AA231" s="28" t="s">
        <v>1715</v>
      </c>
      <c r="AB231" s="28" t="s">
        <v>1716</v>
      </c>
      <c r="AC231" s="28" t="s">
        <v>1717</v>
      </c>
    </row>
    <row r="232" spans="1:29">
      <c r="A232">
        <v>2</v>
      </c>
      <c r="B232">
        <v>2123</v>
      </c>
      <c r="C232">
        <v>2123</v>
      </c>
      <c r="D232" t="s">
        <v>21</v>
      </c>
      <c r="E232" s="22">
        <v>44355</v>
      </c>
      <c r="F232" s="23">
        <v>44355</v>
      </c>
      <c r="G232" t="s">
        <v>25</v>
      </c>
      <c r="H232" t="s">
        <v>29</v>
      </c>
      <c r="I232" t="s">
        <v>29</v>
      </c>
      <c r="J232" t="s">
        <v>56</v>
      </c>
      <c r="K232" t="s">
        <v>75</v>
      </c>
      <c r="L232" t="s">
        <v>337</v>
      </c>
      <c r="M232">
        <v>2120</v>
      </c>
      <c r="N232" t="s">
        <v>809</v>
      </c>
      <c r="O232" t="s">
        <v>865</v>
      </c>
      <c r="P232" t="s">
        <v>21</v>
      </c>
      <c r="Q232" t="s">
        <v>21</v>
      </c>
      <c r="R232" t="s">
        <v>868</v>
      </c>
      <c r="S232" t="s">
        <v>868</v>
      </c>
      <c r="T232" t="s">
        <v>891</v>
      </c>
      <c r="U232" t="s">
        <v>960</v>
      </c>
      <c r="V232" s="28" t="s">
        <v>1053</v>
      </c>
      <c r="W232" s="28" t="s">
        <v>1047</v>
      </c>
      <c r="X232" s="28" t="s">
        <v>1718</v>
      </c>
      <c r="Y232" s="28" t="s">
        <v>1719</v>
      </c>
      <c r="Z232" s="28" t="s">
        <v>1720</v>
      </c>
      <c r="AA232" s="28" t="s">
        <v>1721</v>
      </c>
      <c r="AB232" s="28" t="s">
        <v>1722</v>
      </c>
      <c r="AC232" s="28" t="s">
        <v>1723</v>
      </c>
    </row>
    <row r="233" spans="1:29">
      <c r="A233">
        <v>3</v>
      </c>
      <c r="B233">
        <v>2123</v>
      </c>
      <c r="C233">
        <v>2123</v>
      </c>
      <c r="D233" t="s">
        <v>21</v>
      </c>
      <c r="E233" s="22">
        <v>44355</v>
      </c>
      <c r="F233" s="23">
        <v>44355</v>
      </c>
      <c r="G233" t="s">
        <v>25</v>
      </c>
      <c r="H233" t="s">
        <v>29</v>
      </c>
      <c r="I233" t="s">
        <v>29</v>
      </c>
      <c r="J233" t="s">
        <v>56</v>
      </c>
      <c r="K233" t="s">
        <v>75</v>
      </c>
      <c r="L233" t="s">
        <v>338</v>
      </c>
      <c r="M233">
        <v>2120</v>
      </c>
      <c r="N233" t="s">
        <v>809</v>
      </c>
      <c r="O233" t="s">
        <v>865</v>
      </c>
      <c r="P233" t="s">
        <v>21</v>
      </c>
      <c r="Q233" t="s">
        <v>21</v>
      </c>
      <c r="R233" t="s">
        <v>872</v>
      </c>
      <c r="S233" t="s">
        <v>872</v>
      </c>
      <c r="T233" t="s">
        <v>950</v>
      </c>
      <c r="U233" t="s">
        <v>960</v>
      </c>
      <c r="V233" s="28" t="s">
        <v>1052</v>
      </c>
      <c r="W233" s="28" t="s">
        <v>1046</v>
      </c>
      <c r="X233" s="28" t="s">
        <v>1712</v>
      </c>
      <c r="Y233" s="28" t="s">
        <v>1713</v>
      </c>
      <c r="Z233" s="28" t="s">
        <v>1714</v>
      </c>
      <c r="AA233" s="28" t="s">
        <v>1715</v>
      </c>
      <c r="AB233" s="28" t="s">
        <v>1716</v>
      </c>
      <c r="AC233" s="28" t="s">
        <v>1717</v>
      </c>
    </row>
    <row r="234" spans="1:29">
      <c r="A234">
        <v>4</v>
      </c>
      <c r="B234">
        <v>2123</v>
      </c>
      <c r="C234">
        <v>2123</v>
      </c>
      <c r="D234" t="s">
        <v>21</v>
      </c>
      <c r="E234" s="22">
        <v>44355</v>
      </c>
      <c r="F234" s="23">
        <v>44355</v>
      </c>
      <c r="G234" t="s">
        <v>25</v>
      </c>
      <c r="H234" t="s">
        <v>29</v>
      </c>
      <c r="I234" t="s">
        <v>29</v>
      </c>
      <c r="J234" t="s">
        <v>56</v>
      </c>
      <c r="K234" t="s">
        <v>75</v>
      </c>
      <c r="L234" t="s">
        <v>339</v>
      </c>
      <c r="M234">
        <v>2120</v>
      </c>
      <c r="N234" t="s">
        <v>809</v>
      </c>
      <c r="O234" t="s">
        <v>865</v>
      </c>
      <c r="P234" t="s">
        <v>21</v>
      </c>
      <c r="Q234" t="s">
        <v>21</v>
      </c>
      <c r="R234" t="s">
        <v>872</v>
      </c>
      <c r="S234" t="s">
        <v>872</v>
      </c>
      <c r="T234" t="s">
        <v>950</v>
      </c>
      <c r="U234" t="s">
        <v>960</v>
      </c>
      <c r="V234" s="28" t="s">
        <v>1052</v>
      </c>
      <c r="W234" s="28" t="s">
        <v>1046</v>
      </c>
      <c r="X234" s="28" t="s">
        <v>1712</v>
      </c>
      <c r="Y234" s="28" t="s">
        <v>1713</v>
      </c>
      <c r="Z234" s="28" t="s">
        <v>1714</v>
      </c>
      <c r="AA234" s="28" t="s">
        <v>1715</v>
      </c>
      <c r="AB234" s="28" t="s">
        <v>1716</v>
      </c>
      <c r="AC234" s="28" t="s">
        <v>1717</v>
      </c>
    </row>
    <row r="235" spans="1:29">
      <c r="A235">
        <v>5</v>
      </c>
      <c r="B235">
        <v>2123</v>
      </c>
      <c r="C235">
        <v>2123</v>
      </c>
      <c r="D235" t="s">
        <v>21</v>
      </c>
      <c r="E235" s="22">
        <v>44355</v>
      </c>
      <c r="F235" s="23">
        <v>44355</v>
      </c>
      <c r="G235" t="s">
        <v>25</v>
      </c>
      <c r="H235" t="s">
        <v>29</v>
      </c>
      <c r="I235" t="s">
        <v>29</v>
      </c>
      <c r="J235" t="s">
        <v>56</v>
      </c>
      <c r="K235" t="s">
        <v>75</v>
      </c>
      <c r="L235" t="s">
        <v>340</v>
      </c>
      <c r="M235">
        <v>2120</v>
      </c>
      <c r="N235" t="s">
        <v>809</v>
      </c>
      <c r="O235" t="s">
        <v>865</v>
      </c>
      <c r="P235" t="s">
        <v>21</v>
      </c>
      <c r="Q235" t="s">
        <v>21</v>
      </c>
      <c r="R235" t="s">
        <v>872</v>
      </c>
      <c r="S235" t="s">
        <v>872</v>
      </c>
      <c r="T235" t="s">
        <v>950</v>
      </c>
      <c r="U235" t="s">
        <v>960</v>
      </c>
      <c r="V235" s="28" t="s">
        <v>1052</v>
      </c>
      <c r="W235" s="28" t="s">
        <v>1046</v>
      </c>
      <c r="X235" s="28" t="s">
        <v>1712</v>
      </c>
      <c r="Y235" s="28" t="s">
        <v>1713</v>
      </c>
      <c r="Z235" s="28" t="s">
        <v>1714</v>
      </c>
      <c r="AA235" s="28" t="s">
        <v>1715</v>
      </c>
      <c r="AB235" s="28" t="s">
        <v>1716</v>
      </c>
      <c r="AC235" s="28" t="s">
        <v>1717</v>
      </c>
    </row>
    <row r="236" spans="1:29">
      <c r="A236">
        <v>6</v>
      </c>
      <c r="B236">
        <v>2123</v>
      </c>
      <c r="C236">
        <v>2123</v>
      </c>
      <c r="D236" t="s">
        <v>21</v>
      </c>
      <c r="E236" s="22">
        <v>44355</v>
      </c>
      <c r="F236" s="23">
        <v>44355</v>
      </c>
      <c r="G236" t="s">
        <v>25</v>
      </c>
      <c r="H236" t="s">
        <v>29</v>
      </c>
      <c r="I236" t="s">
        <v>29</v>
      </c>
      <c r="J236" t="s">
        <v>56</v>
      </c>
      <c r="K236" t="s">
        <v>75</v>
      </c>
      <c r="L236" t="s">
        <v>341</v>
      </c>
      <c r="M236">
        <v>2120</v>
      </c>
      <c r="N236" t="s">
        <v>809</v>
      </c>
      <c r="O236" t="s">
        <v>865</v>
      </c>
      <c r="P236" t="s">
        <v>21</v>
      </c>
      <c r="Q236" t="s">
        <v>21</v>
      </c>
      <c r="R236" t="s">
        <v>872</v>
      </c>
      <c r="S236" t="s">
        <v>872</v>
      </c>
      <c r="T236" t="s">
        <v>950</v>
      </c>
      <c r="U236" t="s">
        <v>960</v>
      </c>
      <c r="V236" s="28" t="s">
        <v>1052</v>
      </c>
      <c r="W236" s="28" t="s">
        <v>1046</v>
      </c>
      <c r="X236" s="28" t="s">
        <v>1712</v>
      </c>
      <c r="Y236" s="28" t="s">
        <v>1713</v>
      </c>
      <c r="Z236" s="28" t="s">
        <v>1714</v>
      </c>
      <c r="AA236" s="28" t="s">
        <v>1715</v>
      </c>
      <c r="AB236" s="28" t="s">
        <v>1716</v>
      </c>
      <c r="AC236" s="28" t="s">
        <v>1717</v>
      </c>
    </row>
    <row r="237" spans="1:29">
      <c r="A237">
        <v>7</v>
      </c>
      <c r="B237">
        <v>2123</v>
      </c>
      <c r="C237">
        <v>2123</v>
      </c>
      <c r="D237" t="s">
        <v>21</v>
      </c>
      <c r="E237" s="22">
        <v>44356</v>
      </c>
      <c r="F237" s="23">
        <v>44356</v>
      </c>
      <c r="G237" t="s">
        <v>25</v>
      </c>
      <c r="H237" t="s">
        <v>29</v>
      </c>
      <c r="I237" t="s">
        <v>29</v>
      </c>
      <c r="J237" t="s">
        <v>56</v>
      </c>
      <c r="K237" t="s">
        <v>75</v>
      </c>
      <c r="L237" t="s">
        <v>342</v>
      </c>
      <c r="M237">
        <v>2120</v>
      </c>
      <c r="N237" t="s">
        <v>809</v>
      </c>
      <c r="O237" t="s">
        <v>865</v>
      </c>
      <c r="P237" t="s">
        <v>21</v>
      </c>
      <c r="Q237" t="s">
        <v>21</v>
      </c>
      <c r="R237" t="s">
        <v>872</v>
      </c>
      <c r="S237" t="s">
        <v>872</v>
      </c>
      <c r="T237" t="s">
        <v>950</v>
      </c>
      <c r="U237" t="s">
        <v>960</v>
      </c>
      <c r="V237" s="28" t="s">
        <v>1052</v>
      </c>
      <c r="W237" s="28" t="s">
        <v>1046</v>
      </c>
      <c r="X237" s="28" t="s">
        <v>1712</v>
      </c>
      <c r="Y237" s="28" t="s">
        <v>1713</v>
      </c>
      <c r="Z237" s="28" t="s">
        <v>1714</v>
      </c>
      <c r="AA237" s="28" t="s">
        <v>1715</v>
      </c>
      <c r="AB237" s="28" t="s">
        <v>1716</v>
      </c>
      <c r="AC237" s="28" t="s">
        <v>1717</v>
      </c>
    </row>
    <row r="238" spans="1:29">
      <c r="A238">
        <v>8</v>
      </c>
      <c r="B238">
        <v>2123</v>
      </c>
      <c r="C238">
        <v>2123</v>
      </c>
      <c r="D238" t="s">
        <v>21</v>
      </c>
      <c r="E238" s="22">
        <v>44356</v>
      </c>
      <c r="F238" s="23">
        <v>44356</v>
      </c>
      <c r="G238" t="s">
        <v>25</v>
      </c>
      <c r="H238" t="s">
        <v>29</v>
      </c>
      <c r="I238" t="s">
        <v>29</v>
      </c>
      <c r="J238" t="s">
        <v>56</v>
      </c>
      <c r="K238" t="s">
        <v>75</v>
      </c>
      <c r="L238" t="s">
        <v>343</v>
      </c>
      <c r="M238">
        <v>2120</v>
      </c>
      <c r="N238" t="s">
        <v>809</v>
      </c>
      <c r="O238" t="s">
        <v>865</v>
      </c>
      <c r="P238" t="s">
        <v>21</v>
      </c>
      <c r="Q238" t="s">
        <v>21</v>
      </c>
      <c r="R238" t="s">
        <v>872</v>
      </c>
      <c r="S238" t="s">
        <v>872</v>
      </c>
      <c r="T238" t="s">
        <v>950</v>
      </c>
      <c r="U238" t="s">
        <v>960</v>
      </c>
      <c r="V238" s="28" t="s">
        <v>1052</v>
      </c>
      <c r="W238" s="28" t="s">
        <v>1046</v>
      </c>
      <c r="X238" s="28" t="s">
        <v>1712</v>
      </c>
      <c r="Y238" s="28" t="s">
        <v>1713</v>
      </c>
      <c r="Z238" s="28" t="s">
        <v>1714</v>
      </c>
      <c r="AA238" s="28" t="s">
        <v>1715</v>
      </c>
      <c r="AB238" s="28" t="s">
        <v>1716</v>
      </c>
      <c r="AC238" s="28" t="s">
        <v>1717</v>
      </c>
    </row>
    <row r="239" spans="1:29">
      <c r="A239">
        <v>9</v>
      </c>
      <c r="B239">
        <v>2123</v>
      </c>
      <c r="C239">
        <v>2123</v>
      </c>
      <c r="D239" t="s">
        <v>21</v>
      </c>
      <c r="E239" s="22">
        <v>44358</v>
      </c>
      <c r="F239" s="23">
        <v>44358</v>
      </c>
      <c r="G239" t="s">
        <v>25</v>
      </c>
      <c r="H239" t="s">
        <v>29</v>
      </c>
      <c r="I239" t="s">
        <v>29</v>
      </c>
      <c r="J239" t="s">
        <v>56</v>
      </c>
      <c r="K239" t="s">
        <v>75</v>
      </c>
      <c r="L239" t="s">
        <v>344</v>
      </c>
      <c r="M239">
        <v>2119</v>
      </c>
      <c r="N239" t="s">
        <v>809</v>
      </c>
      <c r="O239" t="s">
        <v>865</v>
      </c>
      <c r="P239" t="s">
        <v>21</v>
      </c>
      <c r="Q239" t="s">
        <v>21</v>
      </c>
      <c r="R239" t="s">
        <v>872</v>
      </c>
      <c r="S239" t="s">
        <v>872</v>
      </c>
      <c r="T239" t="s">
        <v>950</v>
      </c>
      <c r="U239" t="s">
        <v>960</v>
      </c>
      <c r="V239" s="28" t="s">
        <v>1052</v>
      </c>
      <c r="W239" s="28" t="s">
        <v>1046</v>
      </c>
      <c r="X239" s="28" t="s">
        <v>1712</v>
      </c>
      <c r="Y239" s="28" t="s">
        <v>1713</v>
      </c>
      <c r="Z239" s="28" t="s">
        <v>1714</v>
      </c>
      <c r="AA239" s="28" t="s">
        <v>1715</v>
      </c>
      <c r="AB239" s="28" t="s">
        <v>1716</v>
      </c>
      <c r="AC239" s="28" t="s">
        <v>1717</v>
      </c>
    </row>
    <row r="240" spans="1:29">
      <c r="A240">
        <v>10</v>
      </c>
      <c r="B240">
        <v>2129</v>
      </c>
      <c r="C240">
        <v>2129</v>
      </c>
      <c r="D240" t="s">
        <v>22</v>
      </c>
      <c r="E240" s="22">
        <v>44396</v>
      </c>
      <c r="F240" s="23">
        <v>44400</v>
      </c>
      <c r="G240" t="s">
        <v>25</v>
      </c>
      <c r="H240" t="s">
        <v>30</v>
      </c>
      <c r="I240" t="s">
        <v>28</v>
      </c>
      <c r="J240" t="s">
        <v>56</v>
      </c>
      <c r="K240" t="s">
        <v>75</v>
      </c>
      <c r="L240" t="s">
        <v>345</v>
      </c>
      <c r="M240">
        <v>2126</v>
      </c>
      <c r="N240" t="s">
        <v>809</v>
      </c>
      <c r="O240" t="s">
        <v>865</v>
      </c>
      <c r="P240" t="s">
        <v>21</v>
      </c>
      <c r="Q240" t="s">
        <v>21</v>
      </c>
      <c r="R240" t="s">
        <v>873</v>
      </c>
      <c r="S240" t="s">
        <v>873</v>
      </c>
      <c r="T240" t="s">
        <v>949</v>
      </c>
      <c r="U240" t="s">
        <v>960</v>
      </c>
      <c r="V240" s="28" t="s">
        <v>1078</v>
      </c>
      <c r="W240" s="28" t="s">
        <v>1070</v>
      </c>
      <c r="X240" s="28" t="s">
        <v>1724</v>
      </c>
      <c r="Y240" s="28" t="s">
        <v>1725</v>
      </c>
      <c r="Z240" s="28" t="s">
        <v>1726</v>
      </c>
      <c r="AA240" s="28" t="s">
        <v>1727</v>
      </c>
      <c r="AB240" s="28" t="s">
        <v>1728</v>
      </c>
      <c r="AC240" s="28" t="s">
        <v>1729</v>
      </c>
    </row>
    <row r="241" spans="1:29">
      <c r="A241">
        <v>11</v>
      </c>
      <c r="B241">
        <v>2132</v>
      </c>
      <c r="C241">
        <v>2132</v>
      </c>
      <c r="D241" t="s">
        <v>22</v>
      </c>
      <c r="E241" s="22">
        <v>44419</v>
      </c>
      <c r="F241" s="22">
        <v>44420</v>
      </c>
      <c r="G241" t="s">
        <v>25</v>
      </c>
      <c r="H241" t="s">
        <v>30</v>
      </c>
      <c r="I241" t="s">
        <v>28</v>
      </c>
      <c r="J241" t="s">
        <v>56</v>
      </c>
      <c r="K241" t="s">
        <v>75</v>
      </c>
      <c r="L241" t="s">
        <v>346</v>
      </c>
      <c r="M241">
        <v>2126</v>
      </c>
      <c r="N241" t="s">
        <v>809</v>
      </c>
      <c r="O241" t="s">
        <v>865</v>
      </c>
      <c r="P241" t="s">
        <v>21</v>
      </c>
      <c r="Q241" t="s">
        <v>21</v>
      </c>
      <c r="R241" t="s">
        <v>868</v>
      </c>
      <c r="S241" t="s">
        <v>868</v>
      </c>
      <c r="T241" t="s">
        <v>891</v>
      </c>
      <c r="U241" t="s">
        <v>960</v>
      </c>
      <c r="V241" s="28" t="s">
        <v>1079</v>
      </c>
      <c r="W241" s="28" t="s">
        <v>1080</v>
      </c>
      <c r="X241" s="28" t="s">
        <v>1730</v>
      </c>
      <c r="Y241" s="28" t="s">
        <v>1731</v>
      </c>
      <c r="Z241" s="28" t="s">
        <v>1732</v>
      </c>
      <c r="AA241" s="28" t="s">
        <v>1733</v>
      </c>
      <c r="AB241" s="28" t="s">
        <v>1734</v>
      </c>
      <c r="AC241" s="28" t="s">
        <v>1735</v>
      </c>
    </row>
    <row r="242" spans="1:29">
      <c r="A242">
        <v>1</v>
      </c>
      <c r="B242">
        <v>2101</v>
      </c>
      <c r="C242">
        <v>2101</v>
      </c>
      <c r="D242" t="s">
        <v>21</v>
      </c>
      <c r="E242" s="22">
        <v>44200</v>
      </c>
      <c r="F242" t="s">
        <v>6055</v>
      </c>
      <c r="G242" t="s">
        <v>26</v>
      </c>
      <c r="H242">
        <v>3</v>
      </c>
      <c r="I242" t="s">
        <v>36</v>
      </c>
      <c r="J242" t="s">
        <v>57</v>
      </c>
      <c r="K242" t="s">
        <v>76</v>
      </c>
      <c r="L242" t="s">
        <v>347</v>
      </c>
      <c r="M242">
        <v>2042</v>
      </c>
      <c r="N242" t="s">
        <v>810</v>
      </c>
      <c r="O242" t="s">
        <v>21</v>
      </c>
      <c r="P242" t="s">
        <v>21</v>
      </c>
      <c r="Q242" t="s">
        <v>21</v>
      </c>
      <c r="R242" t="s">
        <v>874</v>
      </c>
      <c r="S242" t="s">
        <v>874</v>
      </c>
      <c r="T242" t="s">
        <v>28</v>
      </c>
      <c r="U242" t="s">
        <v>961</v>
      </c>
      <c r="V242" s="28" t="s">
        <v>1081</v>
      </c>
      <c r="W242" s="28" t="s">
        <v>1082</v>
      </c>
      <c r="X242" s="28" t="s">
        <v>1736</v>
      </c>
      <c r="Y242" s="28" t="s">
        <v>1737</v>
      </c>
      <c r="Z242" s="28" t="s">
        <v>1738</v>
      </c>
      <c r="AA242" s="28" t="s">
        <v>1739</v>
      </c>
      <c r="AB242" s="28" t="s">
        <v>1740</v>
      </c>
      <c r="AC242" s="28" t="s">
        <v>1741</v>
      </c>
    </row>
    <row r="243" spans="1:29">
      <c r="A243">
        <v>2</v>
      </c>
      <c r="B243">
        <v>2101</v>
      </c>
      <c r="C243">
        <v>2101</v>
      </c>
      <c r="D243" t="s">
        <v>21</v>
      </c>
      <c r="E243" s="22">
        <v>44204</v>
      </c>
      <c r="F243" t="s">
        <v>6055</v>
      </c>
      <c r="G243" t="s">
        <v>26</v>
      </c>
      <c r="H243">
        <v>11</v>
      </c>
      <c r="I243" t="s">
        <v>37</v>
      </c>
      <c r="J243" t="s">
        <v>1022</v>
      </c>
      <c r="K243" t="s">
        <v>77</v>
      </c>
      <c r="L243" t="s">
        <v>348</v>
      </c>
      <c r="M243">
        <v>2046</v>
      </c>
      <c r="N243" t="s">
        <v>811</v>
      </c>
      <c r="O243" t="s">
        <v>21</v>
      </c>
      <c r="P243" t="s">
        <v>21</v>
      </c>
      <c r="Q243" t="s">
        <v>21</v>
      </c>
      <c r="R243" t="s">
        <v>875</v>
      </c>
      <c r="S243" t="s">
        <v>875</v>
      </c>
      <c r="T243" t="s">
        <v>951</v>
      </c>
      <c r="U243" t="s">
        <v>962</v>
      </c>
      <c r="V243" s="28" t="s">
        <v>1083</v>
      </c>
      <c r="W243" s="28" t="s">
        <v>1084</v>
      </c>
      <c r="X243" s="28" t="s">
        <v>1742</v>
      </c>
      <c r="Y243" s="28" t="s">
        <v>1743</v>
      </c>
      <c r="Z243" s="28" t="s">
        <v>1744</v>
      </c>
      <c r="AA243" s="28" t="s">
        <v>1745</v>
      </c>
      <c r="AB243" s="28" t="s">
        <v>1746</v>
      </c>
      <c r="AC243" s="28" t="s">
        <v>1747</v>
      </c>
    </row>
    <row r="244" spans="1:29">
      <c r="A244">
        <v>3</v>
      </c>
      <c r="B244">
        <v>2101</v>
      </c>
      <c r="C244">
        <v>2101</v>
      </c>
      <c r="D244" t="s">
        <v>21</v>
      </c>
      <c r="E244" s="22">
        <v>44204</v>
      </c>
      <c r="F244" t="s">
        <v>6055</v>
      </c>
      <c r="G244" t="s">
        <v>26</v>
      </c>
      <c r="H244">
        <v>6</v>
      </c>
      <c r="I244" t="s">
        <v>38</v>
      </c>
      <c r="J244" t="s">
        <v>58</v>
      </c>
      <c r="K244" t="s">
        <v>78</v>
      </c>
      <c r="L244" t="s">
        <v>349</v>
      </c>
      <c r="M244">
        <v>2045</v>
      </c>
      <c r="N244" t="s">
        <v>812</v>
      </c>
      <c r="O244" t="s">
        <v>21</v>
      </c>
      <c r="P244" t="s">
        <v>21</v>
      </c>
      <c r="Q244" t="s">
        <v>21</v>
      </c>
      <c r="R244" t="s">
        <v>876</v>
      </c>
      <c r="S244" t="s">
        <v>876</v>
      </c>
      <c r="T244" t="s">
        <v>951</v>
      </c>
      <c r="U244" t="s">
        <v>961</v>
      </c>
      <c r="V244" s="28" t="s">
        <v>1085</v>
      </c>
      <c r="W244" s="28" t="s">
        <v>1086</v>
      </c>
      <c r="X244" s="28" t="s">
        <v>1748</v>
      </c>
      <c r="Y244" s="28" t="s">
        <v>1749</v>
      </c>
      <c r="Z244" s="28" t="s">
        <v>1750</v>
      </c>
      <c r="AA244" s="28" t="s">
        <v>1751</v>
      </c>
      <c r="AB244" s="28" t="s">
        <v>1752</v>
      </c>
      <c r="AC244" s="28" t="s">
        <v>1753</v>
      </c>
    </row>
    <row r="245" spans="1:29">
      <c r="A245">
        <v>4</v>
      </c>
      <c r="B245">
        <v>2102</v>
      </c>
      <c r="C245">
        <v>2102</v>
      </c>
      <c r="D245" t="s">
        <v>21</v>
      </c>
      <c r="E245" s="22">
        <v>44209</v>
      </c>
      <c r="F245" t="s">
        <v>6055</v>
      </c>
      <c r="G245" t="s">
        <v>26</v>
      </c>
      <c r="H245">
        <v>3</v>
      </c>
      <c r="I245" t="s">
        <v>36</v>
      </c>
      <c r="J245" t="s">
        <v>59</v>
      </c>
      <c r="K245" t="s">
        <v>79</v>
      </c>
      <c r="L245" t="s">
        <v>350</v>
      </c>
      <c r="M245">
        <v>2048</v>
      </c>
      <c r="N245" t="s">
        <v>813</v>
      </c>
      <c r="O245" t="s">
        <v>21</v>
      </c>
      <c r="P245" t="s">
        <v>21</v>
      </c>
      <c r="Q245" t="s">
        <v>21</v>
      </c>
      <c r="R245" t="s">
        <v>877</v>
      </c>
      <c r="S245" t="s">
        <v>877</v>
      </c>
      <c r="T245" t="s">
        <v>28</v>
      </c>
      <c r="U245" t="s">
        <v>961</v>
      </c>
      <c r="V245" s="28" t="s">
        <v>1087</v>
      </c>
      <c r="W245" s="28" t="s">
        <v>1082</v>
      </c>
      <c r="X245" s="28" t="s">
        <v>1754</v>
      </c>
      <c r="Y245" s="28" t="s">
        <v>1737</v>
      </c>
      <c r="Z245" s="28" t="s">
        <v>1755</v>
      </c>
      <c r="AA245" s="28" t="s">
        <v>1756</v>
      </c>
      <c r="AB245" s="28" t="s">
        <v>1757</v>
      </c>
      <c r="AC245" s="28" t="s">
        <v>1758</v>
      </c>
    </row>
    <row r="246" spans="1:29">
      <c r="A246">
        <v>5</v>
      </c>
      <c r="B246">
        <v>2102</v>
      </c>
      <c r="C246">
        <v>2102</v>
      </c>
      <c r="D246" t="s">
        <v>21</v>
      </c>
      <c r="E246" s="22">
        <v>44210</v>
      </c>
      <c r="F246" t="s">
        <v>6055</v>
      </c>
      <c r="G246" t="s">
        <v>26</v>
      </c>
      <c r="H246">
        <v>2</v>
      </c>
      <c r="I246" t="s">
        <v>36</v>
      </c>
      <c r="J246" t="s">
        <v>60</v>
      </c>
      <c r="K246" t="s">
        <v>80</v>
      </c>
      <c r="L246" t="s">
        <v>351</v>
      </c>
      <c r="M246">
        <v>2048</v>
      </c>
      <c r="N246" t="s">
        <v>814</v>
      </c>
      <c r="O246" t="s">
        <v>21</v>
      </c>
      <c r="P246" t="s">
        <v>21</v>
      </c>
      <c r="Q246" t="s">
        <v>21</v>
      </c>
      <c r="R246" t="s">
        <v>872</v>
      </c>
      <c r="S246" t="s">
        <v>872</v>
      </c>
      <c r="T246" t="s">
        <v>950</v>
      </c>
      <c r="U246" t="s">
        <v>961</v>
      </c>
      <c r="V246" s="28" t="s">
        <v>1088</v>
      </c>
      <c r="W246" s="28" t="s">
        <v>1089</v>
      </c>
      <c r="X246" s="28" t="s">
        <v>1759</v>
      </c>
      <c r="Y246" s="28" t="s">
        <v>1760</v>
      </c>
      <c r="Z246" s="28" t="s">
        <v>1761</v>
      </c>
      <c r="AA246" s="28" t="s">
        <v>1762</v>
      </c>
      <c r="AB246" s="28" t="s">
        <v>1763</v>
      </c>
      <c r="AC246" s="28" t="s">
        <v>1764</v>
      </c>
    </row>
    <row r="247" spans="1:29">
      <c r="A247">
        <v>6</v>
      </c>
      <c r="B247">
        <v>2102</v>
      </c>
      <c r="C247">
        <v>2102</v>
      </c>
      <c r="D247" t="s">
        <v>21</v>
      </c>
      <c r="E247" s="22">
        <v>44210</v>
      </c>
      <c r="F247" t="s">
        <v>6055</v>
      </c>
      <c r="G247" t="s">
        <v>26</v>
      </c>
      <c r="H247">
        <v>15</v>
      </c>
      <c r="I247" t="s">
        <v>39</v>
      </c>
      <c r="J247" t="s">
        <v>61</v>
      </c>
      <c r="K247" t="s">
        <v>81</v>
      </c>
      <c r="L247" t="s">
        <v>352</v>
      </c>
      <c r="M247">
        <v>2046</v>
      </c>
      <c r="N247" t="s">
        <v>815</v>
      </c>
      <c r="O247" t="s">
        <v>21</v>
      </c>
      <c r="P247" t="s">
        <v>21</v>
      </c>
      <c r="Q247" t="s">
        <v>21</v>
      </c>
      <c r="R247" t="s">
        <v>878</v>
      </c>
      <c r="S247" t="s">
        <v>878</v>
      </c>
      <c r="T247" t="s">
        <v>952</v>
      </c>
      <c r="U247" t="s">
        <v>961</v>
      </c>
      <c r="V247" s="28" t="s">
        <v>1090</v>
      </c>
      <c r="W247" s="28" t="s">
        <v>1091</v>
      </c>
      <c r="X247" s="28" t="s">
        <v>1765</v>
      </c>
      <c r="Y247" s="28" t="s">
        <v>1766</v>
      </c>
      <c r="Z247" s="28" t="s">
        <v>1767</v>
      </c>
      <c r="AA247" s="28" t="s">
        <v>1768</v>
      </c>
      <c r="AB247" s="28" t="s">
        <v>1769</v>
      </c>
      <c r="AC247" s="28" t="s">
        <v>1770</v>
      </c>
    </row>
    <row r="248" spans="1:29">
      <c r="A248">
        <v>7</v>
      </c>
      <c r="B248">
        <v>2102</v>
      </c>
      <c r="C248">
        <v>2102</v>
      </c>
      <c r="D248" t="s">
        <v>21</v>
      </c>
      <c r="E248" s="22">
        <v>44210</v>
      </c>
      <c r="F248" t="s">
        <v>6055</v>
      </c>
      <c r="G248" t="s">
        <v>26</v>
      </c>
      <c r="H248">
        <v>2</v>
      </c>
      <c r="I248" t="s">
        <v>39</v>
      </c>
      <c r="J248" t="s">
        <v>60</v>
      </c>
      <c r="K248" t="s">
        <v>80</v>
      </c>
      <c r="L248" t="s">
        <v>353</v>
      </c>
      <c r="M248">
        <v>2048</v>
      </c>
      <c r="N248" t="s">
        <v>814</v>
      </c>
      <c r="O248" t="s">
        <v>21</v>
      </c>
      <c r="P248" t="s">
        <v>21</v>
      </c>
      <c r="Q248" t="s">
        <v>21</v>
      </c>
      <c r="R248" t="s">
        <v>879</v>
      </c>
      <c r="S248" t="s">
        <v>879</v>
      </c>
      <c r="T248" t="s">
        <v>953</v>
      </c>
      <c r="U248" t="s">
        <v>961</v>
      </c>
      <c r="V248" s="28" t="s">
        <v>1092</v>
      </c>
      <c r="W248" s="28" t="s">
        <v>1093</v>
      </c>
      <c r="X248" s="28" t="s">
        <v>1771</v>
      </c>
      <c r="Y248" s="28" t="s">
        <v>1772</v>
      </c>
      <c r="Z248" s="28" t="s">
        <v>1773</v>
      </c>
      <c r="AA248" s="28" t="s">
        <v>1774</v>
      </c>
      <c r="AB248" s="28" t="s">
        <v>1775</v>
      </c>
      <c r="AC248" s="28" t="s">
        <v>1776</v>
      </c>
    </row>
    <row r="249" spans="1:29">
      <c r="A249">
        <v>8</v>
      </c>
      <c r="B249">
        <v>2102</v>
      </c>
      <c r="C249">
        <v>2102</v>
      </c>
      <c r="D249" t="s">
        <v>21</v>
      </c>
      <c r="E249" s="22">
        <v>44210</v>
      </c>
      <c r="F249" t="s">
        <v>6055</v>
      </c>
      <c r="G249" t="s">
        <v>26</v>
      </c>
      <c r="H249">
        <v>3</v>
      </c>
      <c r="I249" t="s">
        <v>38</v>
      </c>
      <c r="J249" t="s">
        <v>62</v>
      </c>
      <c r="K249" t="s">
        <v>82</v>
      </c>
      <c r="L249" t="s">
        <v>354</v>
      </c>
      <c r="M249">
        <v>2047</v>
      </c>
      <c r="N249" t="s">
        <v>816</v>
      </c>
      <c r="O249" t="s">
        <v>21</v>
      </c>
      <c r="P249" t="s">
        <v>21</v>
      </c>
      <c r="Q249" t="s">
        <v>21</v>
      </c>
      <c r="R249" t="s">
        <v>880</v>
      </c>
      <c r="S249" t="s">
        <v>880</v>
      </c>
      <c r="T249" t="s">
        <v>908</v>
      </c>
      <c r="U249" t="s">
        <v>961</v>
      </c>
      <c r="V249" s="28" t="s">
        <v>1094</v>
      </c>
      <c r="W249" s="28" t="s">
        <v>1095</v>
      </c>
      <c r="X249" s="28" t="s">
        <v>1777</v>
      </c>
      <c r="Y249" s="28" t="s">
        <v>1778</v>
      </c>
      <c r="Z249" s="28" t="s">
        <v>1779</v>
      </c>
      <c r="AA249" s="28" t="s">
        <v>1780</v>
      </c>
      <c r="AB249" s="28" t="s">
        <v>1781</v>
      </c>
      <c r="AC249" s="28" t="s">
        <v>1782</v>
      </c>
    </row>
    <row r="250" spans="1:29">
      <c r="A250">
        <v>9</v>
      </c>
      <c r="B250">
        <v>2102</v>
      </c>
      <c r="C250">
        <v>2102</v>
      </c>
      <c r="D250" t="s">
        <v>21</v>
      </c>
      <c r="E250" s="22">
        <v>44210</v>
      </c>
      <c r="F250" t="s">
        <v>6055</v>
      </c>
      <c r="G250" t="s">
        <v>26</v>
      </c>
      <c r="H250">
        <v>3</v>
      </c>
      <c r="I250" t="s">
        <v>36</v>
      </c>
      <c r="J250" t="s">
        <v>62</v>
      </c>
      <c r="K250" t="s">
        <v>82</v>
      </c>
      <c r="L250" t="s">
        <v>355</v>
      </c>
      <c r="M250">
        <v>2047</v>
      </c>
      <c r="N250" t="s">
        <v>816</v>
      </c>
      <c r="O250" t="s">
        <v>21</v>
      </c>
      <c r="P250" t="s">
        <v>21</v>
      </c>
      <c r="Q250" t="s">
        <v>21</v>
      </c>
      <c r="R250" t="s">
        <v>872</v>
      </c>
      <c r="S250" t="s">
        <v>872</v>
      </c>
      <c r="T250" t="s">
        <v>950</v>
      </c>
      <c r="U250" t="s">
        <v>961</v>
      </c>
      <c r="V250" s="28" t="s">
        <v>1088</v>
      </c>
      <c r="W250" s="28" t="s">
        <v>1089</v>
      </c>
      <c r="X250" s="28" t="s">
        <v>1759</v>
      </c>
      <c r="Y250" s="28" t="s">
        <v>1760</v>
      </c>
      <c r="Z250" s="28" t="s">
        <v>1783</v>
      </c>
      <c r="AA250" s="28" t="s">
        <v>1784</v>
      </c>
      <c r="AB250" s="28" t="s">
        <v>1785</v>
      </c>
      <c r="AC250" s="28" t="s">
        <v>1786</v>
      </c>
    </row>
    <row r="251" spans="1:29">
      <c r="A251">
        <v>10</v>
      </c>
      <c r="B251">
        <v>2102</v>
      </c>
      <c r="C251">
        <v>2102</v>
      </c>
      <c r="D251" t="s">
        <v>21</v>
      </c>
      <c r="E251" s="22">
        <v>44210</v>
      </c>
      <c r="F251" t="s">
        <v>6055</v>
      </c>
      <c r="G251" t="s">
        <v>26</v>
      </c>
      <c r="H251">
        <v>2</v>
      </c>
      <c r="I251" t="s">
        <v>36</v>
      </c>
      <c r="J251" t="s">
        <v>60</v>
      </c>
      <c r="K251" t="s">
        <v>80</v>
      </c>
      <c r="L251" t="s">
        <v>356</v>
      </c>
      <c r="M251">
        <v>2048</v>
      </c>
      <c r="N251" t="s">
        <v>814</v>
      </c>
      <c r="O251" t="s">
        <v>21</v>
      </c>
      <c r="P251" t="s">
        <v>21</v>
      </c>
      <c r="Q251" t="s">
        <v>21</v>
      </c>
      <c r="R251" t="s">
        <v>874</v>
      </c>
      <c r="S251" t="s">
        <v>874</v>
      </c>
      <c r="T251" t="s">
        <v>28</v>
      </c>
      <c r="U251" t="s">
        <v>961</v>
      </c>
      <c r="V251" s="28" t="s">
        <v>1087</v>
      </c>
      <c r="W251" s="28" t="s">
        <v>1082</v>
      </c>
      <c r="X251" s="28" t="s">
        <v>1754</v>
      </c>
      <c r="Y251" s="28" t="s">
        <v>1737</v>
      </c>
      <c r="Z251" s="28" t="s">
        <v>1787</v>
      </c>
      <c r="AA251" s="28" t="s">
        <v>1788</v>
      </c>
      <c r="AB251" s="28" t="s">
        <v>1789</v>
      </c>
      <c r="AC251" s="28" t="s">
        <v>1790</v>
      </c>
    </row>
    <row r="252" spans="1:29">
      <c r="A252">
        <v>11</v>
      </c>
      <c r="B252">
        <v>2102</v>
      </c>
      <c r="C252">
        <v>2102</v>
      </c>
      <c r="D252" t="s">
        <v>21</v>
      </c>
      <c r="E252" s="22">
        <v>44210</v>
      </c>
      <c r="F252" t="s">
        <v>6055</v>
      </c>
      <c r="G252" t="s">
        <v>26</v>
      </c>
      <c r="H252">
        <v>3</v>
      </c>
      <c r="I252" t="s">
        <v>40</v>
      </c>
      <c r="J252" t="s">
        <v>62</v>
      </c>
      <c r="K252" t="s">
        <v>82</v>
      </c>
      <c r="L252" t="s">
        <v>357</v>
      </c>
      <c r="M252">
        <v>2047</v>
      </c>
      <c r="N252" t="s">
        <v>816</v>
      </c>
      <c r="O252" t="s">
        <v>21</v>
      </c>
      <c r="P252" t="s">
        <v>21</v>
      </c>
      <c r="Q252" t="s">
        <v>21</v>
      </c>
      <c r="R252" t="s">
        <v>874</v>
      </c>
      <c r="S252" t="s">
        <v>874</v>
      </c>
      <c r="T252" t="s">
        <v>28</v>
      </c>
      <c r="U252" t="s">
        <v>961</v>
      </c>
      <c r="V252" s="28" t="s">
        <v>1087</v>
      </c>
      <c r="W252" s="28" t="s">
        <v>1082</v>
      </c>
      <c r="X252" s="28" t="s">
        <v>1754</v>
      </c>
      <c r="Y252" s="28" t="s">
        <v>1737</v>
      </c>
      <c r="Z252" s="28" t="s">
        <v>1791</v>
      </c>
      <c r="AA252" s="28" t="s">
        <v>1792</v>
      </c>
      <c r="AB252" s="28" t="s">
        <v>1793</v>
      </c>
      <c r="AC252" s="28" t="s">
        <v>1794</v>
      </c>
    </row>
    <row r="253" spans="1:29">
      <c r="A253">
        <v>12</v>
      </c>
      <c r="B253">
        <v>2102</v>
      </c>
      <c r="C253">
        <v>2102</v>
      </c>
      <c r="D253" t="s">
        <v>21</v>
      </c>
      <c r="E253" s="22">
        <v>44211</v>
      </c>
      <c r="F253" t="s">
        <v>6055</v>
      </c>
      <c r="G253" t="s">
        <v>26</v>
      </c>
      <c r="H253">
        <v>15</v>
      </c>
      <c r="I253" t="s">
        <v>41</v>
      </c>
      <c r="J253" t="s">
        <v>58</v>
      </c>
      <c r="K253" t="s">
        <v>78</v>
      </c>
      <c r="L253" t="s">
        <v>358</v>
      </c>
      <c r="M253">
        <v>2047</v>
      </c>
      <c r="N253" t="s">
        <v>812</v>
      </c>
      <c r="O253" t="s">
        <v>21</v>
      </c>
      <c r="P253" t="s">
        <v>21</v>
      </c>
      <c r="Q253" t="s">
        <v>21</v>
      </c>
      <c r="R253" t="s">
        <v>881</v>
      </c>
      <c r="S253" t="s">
        <v>881</v>
      </c>
      <c r="T253" t="s">
        <v>949</v>
      </c>
      <c r="U253" t="s">
        <v>961</v>
      </c>
      <c r="V253" s="28" t="s">
        <v>1096</v>
      </c>
      <c r="W253" s="28" t="s">
        <v>1097</v>
      </c>
      <c r="X253" s="28" t="s">
        <v>1795</v>
      </c>
      <c r="Y253" s="28" t="s">
        <v>1796</v>
      </c>
      <c r="Z253" s="28" t="s">
        <v>1797</v>
      </c>
      <c r="AA253" s="28" t="s">
        <v>1798</v>
      </c>
      <c r="AB253" s="28" t="s">
        <v>1799</v>
      </c>
      <c r="AC253" s="28" t="s">
        <v>1800</v>
      </c>
    </row>
    <row r="254" spans="1:29">
      <c r="A254">
        <v>13</v>
      </c>
      <c r="B254">
        <v>2102</v>
      </c>
      <c r="C254">
        <v>2102</v>
      </c>
      <c r="D254" t="s">
        <v>21</v>
      </c>
      <c r="E254" s="22">
        <v>44211</v>
      </c>
      <c r="F254" t="s">
        <v>6055</v>
      </c>
      <c r="G254" t="s">
        <v>26</v>
      </c>
      <c r="H254">
        <v>1</v>
      </c>
      <c r="I254" t="s">
        <v>36</v>
      </c>
      <c r="J254" t="s">
        <v>57</v>
      </c>
      <c r="K254" t="s">
        <v>76</v>
      </c>
      <c r="L254" t="s">
        <v>359</v>
      </c>
      <c r="M254">
        <v>2048</v>
      </c>
      <c r="N254" t="s">
        <v>810</v>
      </c>
      <c r="O254" t="s">
        <v>21</v>
      </c>
      <c r="P254" t="s">
        <v>21</v>
      </c>
      <c r="Q254" t="s">
        <v>21</v>
      </c>
      <c r="R254" t="s">
        <v>874</v>
      </c>
      <c r="S254" t="s">
        <v>874</v>
      </c>
      <c r="T254" t="s">
        <v>28</v>
      </c>
      <c r="U254" t="s">
        <v>961</v>
      </c>
      <c r="V254" s="28" t="s">
        <v>1087</v>
      </c>
      <c r="W254" s="28" t="s">
        <v>1082</v>
      </c>
      <c r="X254" s="28" t="s">
        <v>1754</v>
      </c>
      <c r="Y254" s="28" t="s">
        <v>1737</v>
      </c>
      <c r="Z254" s="28" t="s">
        <v>1801</v>
      </c>
      <c r="AA254" s="28" t="s">
        <v>1739</v>
      </c>
      <c r="AB254" s="28" t="s">
        <v>1802</v>
      </c>
      <c r="AC254" s="28" t="s">
        <v>1741</v>
      </c>
    </row>
    <row r="255" spans="1:29">
      <c r="A255">
        <v>14</v>
      </c>
      <c r="B255">
        <v>2103</v>
      </c>
      <c r="C255">
        <v>2103</v>
      </c>
      <c r="D255" t="s">
        <v>21</v>
      </c>
      <c r="E255" s="22">
        <v>44214</v>
      </c>
      <c r="F255" t="s">
        <v>6055</v>
      </c>
      <c r="G255" t="s">
        <v>26</v>
      </c>
      <c r="H255">
        <v>5</v>
      </c>
      <c r="I255" t="s">
        <v>42</v>
      </c>
      <c r="J255" t="s">
        <v>61</v>
      </c>
      <c r="K255" t="s">
        <v>81</v>
      </c>
      <c r="L255" t="s">
        <v>360</v>
      </c>
      <c r="M255">
        <v>2047</v>
      </c>
      <c r="N255" t="s">
        <v>815</v>
      </c>
      <c r="O255" t="s">
        <v>21</v>
      </c>
      <c r="P255" t="s">
        <v>21</v>
      </c>
      <c r="Q255" t="s">
        <v>21</v>
      </c>
      <c r="R255" t="s">
        <v>872</v>
      </c>
      <c r="S255" t="s">
        <v>872</v>
      </c>
      <c r="T255" t="s">
        <v>950</v>
      </c>
      <c r="U255" t="s">
        <v>961</v>
      </c>
      <c r="V255" s="28" t="s">
        <v>1098</v>
      </c>
      <c r="W255" s="28" t="s">
        <v>1089</v>
      </c>
      <c r="X255" s="28" t="s">
        <v>1803</v>
      </c>
      <c r="Y255" s="28" t="s">
        <v>1760</v>
      </c>
      <c r="Z255" s="28" t="s">
        <v>1804</v>
      </c>
      <c r="AA255" s="28" t="s">
        <v>1805</v>
      </c>
      <c r="AB255" s="28" t="s">
        <v>1806</v>
      </c>
      <c r="AC255" s="28" t="s">
        <v>1807</v>
      </c>
    </row>
    <row r="256" spans="1:29">
      <c r="A256">
        <v>15</v>
      </c>
      <c r="B256">
        <v>2103</v>
      </c>
      <c r="C256">
        <v>2103</v>
      </c>
      <c r="D256" t="s">
        <v>21</v>
      </c>
      <c r="E256" s="22">
        <v>44214</v>
      </c>
      <c r="F256" t="s">
        <v>6055</v>
      </c>
      <c r="G256" t="s">
        <v>26</v>
      </c>
      <c r="H256">
        <v>5</v>
      </c>
      <c r="I256" t="s">
        <v>38</v>
      </c>
      <c r="J256" t="s">
        <v>61</v>
      </c>
      <c r="K256" t="s">
        <v>81</v>
      </c>
      <c r="L256" t="s">
        <v>361</v>
      </c>
      <c r="M256">
        <v>2046</v>
      </c>
      <c r="N256" t="s">
        <v>815</v>
      </c>
      <c r="O256" t="s">
        <v>21</v>
      </c>
      <c r="P256" t="s">
        <v>21</v>
      </c>
      <c r="Q256" t="s">
        <v>21</v>
      </c>
      <c r="R256" t="s">
        <v>880</v>
      </c>
      <c r="S256" t="s">
        <v>880</v>
      </c>
      <c r="T256" t="s">
        <v>908</v>
      </c>
      <c r="U256" t="s">
        <v>961</v>
      </c>
      <c r="V256" s="28" t="s">
        <v>1099</v>
      </c>
      <c r="W256" s="28" t="s">
        <v>1095</v>
      </c>
      <c r="X256" s="28" t="s">
        <v>1808</v>
      </c>
      <c r="Y256" s="28" t="s">
        <v>1778</v>
      </c>
      <c r="Z256" s="28" t="s">
        <v>1809</v>
      </c>
      <c r="AA256" s="28" t="s">
        <v>1810</v>
      </c>
      <c r="AB256" s="28" t="s">
        <v>1811</v>
      </c>
      <c r="AC256" s="28" t="s">
        <v>1812</v>
      </c>
    </row>
    <row r="257" spans="1:29">
      <c r="A257">
        <v>16</v>
      </c>
      <c r="B257">
        <v>2103</v>
      </c>
      <c r="C257">
        <v>2103</v>
      </c>
      <c r="D257" t="s">
        <v>21</v>
      </c>
      <c r="E257" s="22">
        <v>44215</v>
      </c>
      <c r="F257" t="s">
        <v>6055</v>
      </c>
      <c r="G257" t="s">
        <v>26</v>
      </c>
      <c r="H257">
        <v>5</v>
      </c>
      <c r="I257" t="s">
        <v>42</v>
      </c>
      <c r="J257" t="s">
        <v>61</v>
      </c>
      <c r="K257" t="s">
        <v>81</v>
      </c>
      <c r="L257" t="s">
        <v>362</v>
      </c>
      <c r="M257">
        <v>2047</v>
      </c>
      <c r="N257" t="s">
        <v>815</v>
      </c>
      <c r="O257" t="s">
        <v>21</v>
      </c>
      <c r="P257" t="s">
        <v>21</v>
      </c>
      <c r="Q257" t="s">
        <v>21</v>
      </c>
      <c r="R257" t="s">
        <v>872</v>
      </c>
      <c r="S257" t="s">
        <v>872</v>
      </c>
      <c r="T257" t="s">
        <v>950</v>
      </c>
      <c r="U257" t="s">
        <v>961</v>
      </c>
      <c r="V257" s="28" t="s">
        <v>1098</v>
      </c>
      <c r="W257" s="28" t="s">
        <v>1089</v>
      </c>
      <c r="X257" s="28" t="s">
        <v>1803</v>
      </c>
      <c r="Y257" s="28" t="s">
        <v>1760</v>
      </c>
      <c r="Z257" s="28" t="s">
        <v>1804</v>
      </c>
      <c r="AA257" s="28" t="s">
        <v>1805</v>
      </c>
      <c r="AB257" s="28" t="s">
        <v>1806</v>
      </c>
      <c r="AC257" s="28" t="s">
        <v>1807</v>
      </c>
    </row>
    <row r="258" spans="1:29">
      <c r="A258">
        <v>17</v>
      </c>
      <c r="B258">
        <v>2103</v>
      </c>
      <c r="C258">
        <v>2103</v>
      </c>
      <c r="D258" t="s">
        <v>21</v>
      </c>
      <c r="E258" s="22">
        <v>44215</v>
      </c>
      <c r="F258" t="s">
        <v>6055</v>
      </c>
      <c r="G258" t="s">
        <v>26</v>
      </c>
      <c r="H258">
        <v>3</v>
      </c>
      <c r="I258" t="s">
        <v>36</v>
      </c>
      <c r="J258" t="s">
        <v>57</v>
      </c>
      <c r="K258" t="s">
        <v>76</v>
      </c>
      <c r="L258" t="s">
        <v>363</v>
      </c>
      <c r="M258">
        <v>2050</v>
      </c>
      <c r="N258" t="s">
        <v>810</v>
      </c>
      <c r="O258" t="s">
        <v>21</v>
      </c>
      <c r="P258" t="s">
        <v>21</v>
      </c>
      <c r="Q258" t="s">
        <v>21</v>
      </c>
      <c r="R258" t="s">
        <v>882</v>
      </c>
      <c r="S258" t="s">
        <v>882</v>
      </c>
      <c r="T258" t="s">
        <v>28</v>
      </c>
      <c r="U258" t="s">
        <v>961</v>
      </c>
      <c r="V258" s="28" t="s">
        <v>1100</v>
      </c>
      <c r="W258" s="28" t="s">
        <v>1082</v>
      </c>
      <c r="X258" s="28" t="s">
        <v>1813</v>
      </c>
      <c r="Y258" s="28" t="s">
        <v>1737</v>
      </c>
      <c r="Z258" s="28" t="s">
        <v>1814</v>
      </c>
      <c r="AA258" s="28" t="s">
        <v>1739</v>
      </c>
      <c r="AB258" s="28" t="s">
        <v>1815</v>
      </c>
      <c r="AC258" s="28" t="s">
        <v>1741</v>
      </c>
    </row>
    <row r="259" spans="1:29">
      <c r="A259">
        <v>18</v>
      </c>
      <c r="B259">
        <v>2103</v>
      </c>
      <c r="C259">
        <v>2103</v>
      </c>
      <c r="D259" t="s">
        <v>21</v>
      </c>
      <c r="E259" s="22">
        <v>44215</v>
      </c>
      <c r="F259" t="s">
        <v>6055</v>
      </c>
      <c r="G259" t="s">
        <v>26</v>
      </c>
      <c r="H259">
        <v>2</v>
      </c>
      <c r="I259" t="s">
        <v>41</v>
      </c>
      <c r="J259" t="s">
        <v>60</v>
      </c>
      <c r="K259" t="s">
        <v>80</v>
      </c>
      <c r="L259" t="s">
        <v>364</v>
      </c>
      <c r="M259">
        <v>2048</v>
      </c>
      <c r="N259" t="s">
        <v>814</v>
      </c>
      <c r="O259" t="s">
        <v>21</v>
      </c>
      <c r="P259" t="s">
        <v>21</v>
      </c>
      <c r="Q259" t="s">
        <v>21</v>
      </c>
      <c r="R259" t="s">
        <v>881</v>
      </c>
      <c r="S259" t="s">
        <v>881</v>
      </c>
      <c r="T259" t="s">
        <v>949</v>
      </c>
      <c r="U259" t="s">
        <v>961</v>
      </c>
      <c r="V259" s="28" t="s">
        <v>1101</v>
      </c>
      <c r="W259" s="28" t="s">
        <v>1097</v>
      </c>
      <c r="X259" s="28" t="s">
        <v>1816</v>
      </c>
      <c r="Y259" s="28" t="s">
        <v>1796</v>
      </c>
      <c r="Z259" s="28" t="s">
        <v>1817</v>
      </c>
      <c r="AA259" s="28" t="s">
        <v>1818</v>
      </c>
      <c r="AB259" s="28" t="s">
        <v>1819</v>
      </c>
      <c r="AC259" s="28" t="s">
        <v>1820</v>
      </c>
    </row>
    <row r="260" spans="1:29">
      <c r="A260">
        <v>19</v>
      </c>
      <c r="B260">
        <v>2103</v>
      </c>
      <c r="C260">
        <v>2103</v>
      </c>
      <c r="D260" t="s">
        <v>21</v>
      </c>
      <c r="E260" s="22">
        <v>44216</v>
      </c>
      <c r="F260" t="s">
        <v>6055</v>
      </c>
      <c r="G260" t="s">
        <v>26</v>
      </c>
      <c r="H260">
        <v>15</v>
      </c>
      <c r="I260" t="s">
        <v>42</v>
      </c>
      <c r="J260" t="s">
        <v>58</v>
      </c>
      <c r="K260" t="s">
        <v>78</v>
      </c>
      <c r="L260" t="s">
        <v>365</v>
      </c>
      <c r="M260">
        <v>2049</v>
      </c>
      <c r="N260" t="s">
        <v>817</v>
      </c>
      <c r="O260" t="s">
        <v>21</v>
      </c>
      <c r="P260" t="s">
        <v>21</v>
      </c>
      <c r="Q260" t="s">
        <v>21</v>
      </c>
      <c r="R260" t="s">
        <v>880</v>
      </c>
      <c r="S260" t="s">
        <v>880</v>
      </c>
      <c r="T260" t="s">
        <v>908</v>
      </c>
      <c r="U260" t="s">
        <v>961</v>
      </c>
      <c r="V260" s="28" t="s">
        <v>1099</v>
      </c>
      <c r="W260" s="28" t="s">
        <v>1095</v>
      </c>
      <c r="X260" s="28" t="s">
        <v>1808</v>
      </c>
      <c r="Y260" s="28" t="s">
        <v>1778</v>
      </c>
      <c r="Z260" s="28" t="s">
        <v>1821</v>
      </c>
      <c r="AA260" s="28" t="s">
        <v>1822</v>
      </c>
      <c r="AB260" s="28" t="s">
        <v>1823</v>
      </c>
      <c r="AC260" s="28" t="s">
        <v>1824</v>
      </c>
    </row>
    <row r="261" spans="1:29">
      <c r="A261">
        <v>20</v>
      </c>
      <c r="B261">
        <v>2103</v>
      </c>
      <c r="C261">
        <v>2103</v>
      </c>
      <c r="D261" t="s">
        <v>21</v>
      </c>
      <c r="E261" s="22">
        <v>44217</v>
      </c>
      <c r="F261" t="s">
        <v>6055</v>
      </c>
      <c r="G261" t="s">
        <v>26</v>
      </c>
      <c r="H261">
        <v>2</v>
      </c>
      <c r="I261" t="s">
        <v>38</v>
      </c>
      <c r="J261" t="s">
        <v>62</v>
      </c>
      <c r="K261" t="s">
        <v>82</v>
      </c>
      <c r="L261" t="s">
        <v>366</v>
      </c>
      <c r="M261">
        <v>2047</v>
      </c>
      <c r="N261" t="s">
        <v>816</v>
      </c>
      <c r="O261" t="s">
        <v>21</v>
      </c>
      <c r="P261" t="s">
        <v>21</v>
      </c>
      <c r="Q261" t="s">
        <v>21</v>
      </c>
      <c r="R261" t="s">
        <v>880</v>
      </c>
      <c r="S261" t="s">
        <v>880</v>
      </c>
      <c r="T261" t="s">
        <v>908</v>
      </c>
      <c r="U261" t="s">
        <v>961</v>
      </c>
      <c r="V261" s="28" t="s">
        <v>1099</v>
      </c>
      <c r="W261" s="28" t="s">
        <v>1095</v>
      </c>
      <c r="X261" s="28" t="s">
        <v>1808</v>
      </c>
      <c r="Y261" s="28" t="s">
        <v>1778</v>
      </c>
      <c r="Z261" s="28" t="s">
        <v>1825</v>
      </c>
      <c r="AA261" s="28" t="s">
        <v>1780</v>
      </c>
      <c r="AB261" s="28" t="s">
        <v>1826</v>
      </c>
      <c r="AC261" s="28" t="s">
        <v>1782</v>
      </c>
    </row>
    <row r="262" spans="1:29">
      <c r="A262">
        <v>21</v>
      </c>
      <c r="B262">
        <v>2103</v>
      </c>
      <c r="C262">
        <v>2103</v>
      </c>
      <c r="D262" t="s">
        <v>21</v>
      </c>
      <c r="E262" s="22">
        <v>44218</v>
      </c>
      <c r="F262" t="s">
        <v>6055</v>
      </c>
      <c r="G262" t="s">
        <v>26</v>
      </c>
      <c r="H262">
        <v>2</v>
      </c>
      <c r="I262" t="s">
        <v>43</v>
      </c>
      <c r="J262" t="s">
        <v>62</v>
      </c>
      <c r="K262" t="s">
        <v>82</v>
      </c>
      <c r="L262" t="s">
        <v>367</v>
      </c>
      <c r="M262">
        <v>2047</v>
      </c>
      <c r="N262" t="s">
        <v>816</v>
      </c>
      <c r="O262" t="s">
        <v>21</v>
      </c>
      <c r="P262" t="s">
        <v>21</v>
      </c>
      <c r="Q262" t="s">
        <v>21</v>
      </c>
      <c r="R262" t="s">
        <v>883</v>
      </c>
      <c r="S262" t="s">
        <v>883</v>
      </c>
      <c r="T262" t="s">
        <v>908</v>
      </c>
      <c r="U262" t="s">
        <v>961</v>
      </c>
      <c r="V262" s="28" t="s">
        <v>1099</v>
      </c>
      <c r="W262" s="28" t="s">
        <v>1095</v>
      </c>
      <c r="X262" s="28" t="s">
        <v>1808</v>
      </c>
      <c r="Y262" s="28" t="s">
        <v>1778</v>
      </c>
      <c r="Z262" s="28" t="s">
        <v>1825</v>
      </c>
      <c r="AA262" s="28" t="s">
        <v>1780</v>
      </c>
      <c r="AB262" s="28" t="s">
        <v>1826</v>
      </c>
      <c r="AC262" s="28" t="s">
        <v>1782</v>
      </c>
    </row>
    <row r="263" spans="1:29">
      <c r="A263">
        <v>22</v>
      </c>
      <c r="B263">
        <v>2104</v>
      </c>
      <c r="C263">
        <v>2104</v>
      </c>
      <c r="D263" t="s">
        <v>21</v>
      </c>
      <c r="E263" s="22">
        <v>44223</v>
      </c>
      <c r="F263" t="s">
        <v>6055</v>
      </c>
      <c r="G263" t="s">
        <v>26</v>
      </c>
      <c r="H263">
        <v>3</v>
      </c>
      <c r="I263" t="s">
        <v>38</v>
      </c>
      <c r="J263" t="s">
        <v>1023</v>
      </c>
      <c r="K263" t="s">
        <v>83</v>
      </c>
      <c r="L263" t="s">
        <v>368</v>
      </c>
      <c r="M263">
        <v>2049</v>
      </c>
      <c r="N263" t="s">
        <v>818</v>
      </c>
      <c r="O263" t="s">
        <v>21</v>
      </c>
      <c r="P263" t="s">
        <v>21</v>
      </c>
      <c r="Q263" t="s">
        <v>21</v>
      </c>
      <c r="R263" t="s">
        <v>883</v>
      </c>
      <c r="S263" t="s">
        <v>883</v>
      </c>
      <c r="T263" t="s">
        <v>908</v>
      </c>
      <c r="U263" t="s">
        <v>962</v>
      </c>
      <c r="V263" s="28" t="s">
        <v>1102</v>
      </c>
      <c r="W263" s="28" t="s">
        <v>1103</v>
      </c>
      <c r="X263" s="28" t="s">
        <v>1827</v>
      </c>
      <c r="Y263" s="28" t="s">
        <v>1828</v>
      </c>
      <c r="Z263" s="28" t="s">
        <v>1829</v>
      </c>
      <c r="AA263" s="28" t="s">
        <v>1830</v>
      </c>
      <c r="AB263" s="28" t="s">
        <v>1831</v>
      </c>
      <c r="AC263" s="28" t="s">
        <v>1832</v>
      </c>
    </row>
    <row r="264" spans="1:29">
      <c r="A264">
        <v>23</v>
      </c>
      <c r="B264">
        <v>2104</v>
      </c>
      <c r="C264">
        <v>2104</v>
      </c>
      <c r="D264" t="s">
        <v>21</v>
      </c>
      <c r="E264" s="22">
        <v>44224</v>
      </c>
      <c r="F264" t="s">
        <v>6055</v>
      </c>
      <c r="G264" t="s">
        <v>26</v>
      </c>
      <c r="H264">
        <v>16</v>
      </c>
      <c r="I264" t="s">
        <v>42</v>
      </c>
      <c r="J264" t="s">
        <v>58</v>
      </c>
      <c r="K264" t="s">
        <v>78</v>
      </c>
      <c r="L264" t="s">
        <v>369</v>
      </c>
      <c r="M264">
        <v>2049</v>
      </c>
      <c r="N264" t="s">
        <v>817</v>
      </c>
      <c r="O264" t="s">
        <v>21</v>
      </c>
      <c r="P264" t="s">
        <v>21</v>
      </c>
      <c r="Q264" t="s">
        <v>21</v>
      </c>
      <c r="R264" t="s">
        <v>884</v>
      </c>
      <c r="S264" t="s">
        <v>884</v>
      </c>
      <c r="T264" t="s">
        <v>954</v>
      </c>
      <c r="U264" t="s">
        <v>961</v>
      </c>
      <c r="V264" s="28" t="s">
        <v>1104</v>
      </c>
      <c r="W264" s="28" t="s">
        <v>1105</v>
      </c>
      <c r="X264" s="28" t="s">
        <v>1833</v>
      </c>
      <c r="Y264" s="28" t="s">
        <v>1834</v>
      </c>
      <c r="Z264" s="28" t="s">
        <v>1835</v>
      </c>
      <c r="AA264" s="28" t="s">
        <v>1836</v>
      </c>
      <c r="AB264" s="28" t="s">
        <v>1837</v>
      </c>
      <c r="AC264" s="28" t="s">
        <v>1838</v>
      </c>
    </row>
    <row r="265" spans="1:29">
      <c r="A265">
        <v>24</v>
      </c>
      <c r="B265">
        <v>2104</v>
      </c>
      <c r="C265">
        <v>2104</v>
      </c>
      <c r="D265" t="s">
        <v>21</v>
      </c>
      <c r="E265" s="22">
        <v>44224</v>
      </c>
      <c r="F265" t="s">
        <v>6055</v>
      </c>
      <c r="G265" t="s">
        <v>26</v>
      </c>
      <c r="H265">
        <v>16</v>
      </c>
      <c r="I265" t="s">
        <v>42</v>
      </c>
      <c r="J265" t="s">
        <v>58</v>
      </c>
      <c r="K265" t="s">
        <v>78</v>
      </c>
      <c r="L265" t="s">
        <v>370</v>
      </c>
      <c r="M265">
        <v>2049</v>
      </c>
      <c r="N265" t="s">
        <v>817</v>
      </c>
      <c r="O265" t="s">
        <v>21</v>
      </c>
      <c r="P265" t="s">
        <v>21</v>
      </c>
      <c r="Q265" t="s">
        <v>21</v>
      </c>
      <c r="R265" t="s">
        <v>884</v>
      </c>
      <c r="S265" t="s">
        <v>884</v>
      </c>
      <c r="T265" t="s">
        <v>954</v>
      </c>
      <c r="U265" t="s">
        <v>961</v>
      </c>
      <c r="V265" s="28" t="s">
        <v>1104</v>
      </c>
      <c r="W265" s="28" t="s">
        <v>1105</v>
      </c>
      <c r="X265" s="28" t="s">
        <v>1833</v>
      </c>
      <c r="Y265" s="28" t="s">
        <v>1834</v>
      </c>
      <c r="Z265" s="28" t="s">
        <v>1835</v>
      </c>
      <c r="AA265" s="28" t="s">
        <v>1836</v>
      </c>
      <c r="AB265" s="28" t="s">
        <v>1837</v>
      </c>
      <c r="AC265" s="28" t="s">
        <v>1838</v>
      </c>
    </row>
    <row r="266" spans="1:29">
      <c r="A266">
        <v>25</v>
      </c>
      <c r="B266">
        <v>2104</v>
      </c>
      <c r="C266">
        <v>2104</v>
      </c>
      <c r="D266" t="s">
        <v>21</v>
      </c>
      <c r="E266" s="22">
        <v>44224</v>
      </c>
      <c r="F266" t="s">
        <v>6055</v>
      </c>
      <c r="G266" t="s">
        <v>26</v>
      </c>
      <c r="H266">
        <v>6</v>
      </c>
      <c r="I266" t="s">
        <v>44</v>
      </c>
      <c r="J266" t="s">
        <v>58</v>
      </c>
      <c r="K266" t="s">
        <v>78</v>
      </c>
      <c r="L266" t="s">
        <v>371</v>
      </c>
      <c r="M266">
        <v>2050</v>
      </c>
      <c r="N266" t="s">
        <v>817</v>
      </c>
      <c r="O266" t="s">
        <v>21</v>
      </c>
      <c r="P266" t="s">
        <v>21</v>
      </c>
      <c r="Q266" t="s">
        <v>21</v>
      </c>
      <c r="R266" t="s">
        <v>884</v>
      </c>
      <c r="S266" t="s">
        <v>884</v>
      </c>
      <c r="T266" t="s">
        <v>954</v>
      </c>
      <c r="U266" t="s">
        <v>961</v>
      </c>
      <c r="V266" s="28" t="s">
        <v>1104</v>
      </c>
      <c r="W266" s="28" t="s">
        <v>1105</v>
      </c>
      <c r="X266" s="28" t="s">
        <v>1833</v>
      </c>
      <c r="Y266" s="28" t="s">
        <v>1834</v>
      </c>
      <c r="Z266" s="28" t="s">
        <v>1835</v>
      </c>
      <c r="AA266" s="28" t="s">
        <v>1836</v>
      </c>
      <c r="AB266" s="28" t="s">
        <v>1837</v>
      </c>
      <c r="AC266" s="28" t="s">
        <v>1838</v>
      </c>
    </row>
    <row r="267" spans="1:29">
      <c r="A267">
        <v>26</v>
      </c>
      <c r="B267">
        <v>2104</v>
      </c>
      <c r="C267">
        <v>2104</v>
      </c>
      <c r="D267" t="s">
        <v>21</v>
      </c>
      <c r="E267" s="22">
        <v>44225</v>
      </c>
      <c r="F267" t="s">
        <v>6055</v>
      </c>
      <c r="G267" t="s">
        <v>26</v>
      </c>
      <c r="H267">
        <v>15</v>
      </c>
      <c r="I267" t="s">
        <v>39</v>
      </c>
      <c r="J267" t="s">
        <v>61</v>
      </c>
      <c r="K267" t="s">
        <v>81</v>
      </c>
      <c r="L267" t="s">
        <v>372</v>
      </c>
      <c r="M267">
        <v>2048</v>
      </c>
      <c r="N267" t="s">
        <v>815</v>
      </c>
      <c r="O267" t="s">
        <v>21</v>
      </c>
      <c r="P267" t="s">
        <v>21</v>
      </c>
      <c r="Q267" t="s">
        <v>21</v>
      </c>
      <c r="R267" t="s">
        <v>878</v>
      </c>
      <c r="S267" t="s">
        <v>878</v>
      </c>
      <c r="T267" t="s">
        <v>952</v>
      </c>
      <c r="U267" t="s">
        <v>961</v>
      </c>
      <c r="V267" s="28" t="s">
        <v>1106</v>
      </c>
      <c r="W267" s="28" t="s">
        <v>1091</v>
      </c>
      <c r="X267" s="28" t="s">
        <v>1839</v>
      </c>
      <c r="Y267" s="28" t="s">
        <v>1766</v>
      </c>
      <c r="Z267" s="28" t="s">
        <v>1840</v>
      </c>
      <c r="AA267" s="28" t="s">
        <v>1768</v>
      </c>
      <c r="AB267" s="28" t="s">
        <v>1841</v>
      </c>
      <c r="AC267" s="28" t="s">
        <v>1770</v>
      </c>
    </row>
    <row r="268" spans="1:29">
      <c r="A268">
        <v>27</v>
      </c>
      <c r="B268">
        <v>2104</v>
      </c>
      <c r="C268">
        <v>2104</v>
      </c>
      <c r="D268" t="s">
        <v>21</v>
      </c>
      <c r="E268" s="22">
        <v>44225</v>
      </c>
      <c r="F268" t="s">
        <v>6055</v>
      </c>
      <c r="G268" t="s">
        <v>26</v>
      </c>
      <c r="H268">
        <v>11</v>
      </c>
      <c r="I268" t="s">
        <v>37</v>
      </c>
      <c r="J268" t="s">
        <v>1022</v>
      </c>
      <c r="K268" t="s">
        <v>77</v>
      </c>
      <c r="L268" t="s">
        <v>373</v>
      </c>
      <c r="M268">
        <v>2053</v>
      </c>
      <c r="N268" t="s">
        <v>811</v>
      </c>
      <c r="O268" t="s">
        <v>21</v>
      </c>
      <c r="P268" t="s">
        <v>21</v>
      </c>
      <c r="Q268" t="s">
        <v>21</v>
      </c>
      <c r="R268" t="s">
        <v>874</v>
      </c>
      <c r="S268" t="s">
        <v>874</v>
      </c>
      <c r="T268" t="s">
        <v>28</v>
      </c>
      <c r="U268" t="s">
        <v>962</v>
      </c>
      <c r="V268" s="28" t="s">
        <v>1107</v>
      </c>
      <c r="W268" s="28" t="s">
        <v>1108</v>
      </c>
      <c r="X268" s="28" t="s">
        <v>1842</v>
      </c>
      <c r="Y268" s="28" t="s">
        <v>1843</v>
      </c>
      <c r="Z268" s="28" t="s">
        <v>1844</v>
      </c>
      <c r="AA268" s="28" t="s">
        <v>1845</v>
      </c>
      <c r="AB268" s="28" t="s">
        <v>1846</v>
      </c>
      <c r="AC268" s="28" t="s">
        <v>1847</v>
      </c>
    </row>
    <row r="269" spans="1:29">
      <c r="A269">
        <v>28</v>
      </c>
      <c r="B269">
        <v>2104</v>
      </c>
      <c r="C269">
        <v>2104</v>
      </c>
      <c r="D269" t="s">
        <v>21</v>
      </c>
      <c r="E269" s="22">
        <v>44225</v>
      </c>
      <c r="F269" t="s">
        <v>6055</v>
      </c>
      <c r="G269" t="s">
        <v>26</v>
      </c>
      <c r="H269">
        <v>16</v>
      </c>
      <c r="I269" t="s">
        <v>42</v>
      </c>
      <c r="J269" t="s">
        <v>58</v>
      </c>
      <c r="K269" t="s">
        <v>78</v>
      </c>
      <c r="L269" t="s">
        <v>374</v>
      </c>
      <c r="M269">
        <v>2049</v>
      </c>
      <c r="N269" t="s">
        <v>817</v>
      </c>
      <c r="O269" t="s">
        <v>21</v>
      </c>
      <c r="P269" t="s">
        <v>21</v>
      </c>
      <c r="Q269" t="s">
        <v>21</v>
      </c>
      <c r="R269" t="s">
        <v>884</v>
      </c>
      <c r="S269" t="s">
        <v>884</v>
      </c>
      <c r="T269" t="s">
        <v>954</v>
      </c>
      <c r="U269" t="s">
        <v>961</v>
      </c>
      <c r="V269" s="28" t="s">
        <v>1104</v>
      </c>
      <c r="W269" s="28" t="s">
        <v>1105</v>
      </c>
      <c r="X269" s="28" t="s">
        <v>1833</v>
      </c>
      <c r="Y269" s="28" t="s">
        <v>1834</v>
      </c>
      <c r="Z269" s="28" t="s">
        <v>1835</v>
      </c>
      <c r="AA269" s="28" t="s">
        <v>1836</v>
      </c>
      <c r="AB269" s="28" t="s">
        <v>1837</v>
      </c>
      <c r="AC269" s="28" t="s">
        <v>1838</v>
      </c>
    </row>
    <row r="270" spans="1:29">
      <c r="A270">
        <v>29</v>
      </c>
      <c r="B270">
        <v>2104</v>
      </c>
      <c r="C270">
        <v>2104</v>
      </c>
      <c r="D270" t="s">
        <v>21</v>
      </c>
      <c r="E270" s="22">
        <v>44225</v>
      </c>
      <c r="F270" t="s">
        <v>6055</v>
      </c>
      <c r="G270" t="s">
        <v>26</v>
      </c>
      <c r="H270">
        <v>16</v>
      </c>
      <c r="I270" t="s">
        <v>42</v>
      </c>
      <c r="J270" t="s">
        <v>58</v>
      </c>
      <c r="K270" t="s">
        <v>78</v>
      </c>
      <c r="L270" t="s">
        <v>375</v>
      </c>
      <c r="M270">
        <v>2049</v>
      </c>
      <c r="N270" t="s">
        <v>817</v>
      </c>
      <c r="O270" t="s">
        <v>21</v>
      </c>
      <c r="P270" t="s">
        <v>21</v>
      </c>
      <c r="Q270" t="s">
        <v>21</v>
      </c>
      <c r="R270" t="s">
        <v>884</v>
      </c>
      <c r="S270" t="s">
        <v>884</v>
      </c>
      <c r="T270" t="s">
        <v>954</v>
      </c>
      <c r="U270" t="s">
        <v>961</v>
      </c>
      <c r="V270" s="28" t="s">
        <v>1104</v>
      </c>
      <c r="W270" s="28" t="s">
        <v>1105</v>
      </c>
      <c r="X270" s="28" t="s">
        <v>1833</v>
      </c>
      <c r="Y270" s="28" t="s">
        <v>1834</v>
      </c>
      <c r="Z270" s="28" t="s">
        <v>1835</v>
      </c>
      <c r="AA270" s="28" t="s">
        <v>1836</v>
      </c>
      <c r="AB270" s="28" t="s">
        <v>1837</v>
      </c>
      <c r="AC270" s="28" t="s">
        <v>1838</v>
      </c>
    </row>
    <row r="271" spans="1:29">
      <c r="A271">
        <v>30</v>
      </c>
      <c r="B271">
        <v>2104</v>
      </c>
      <c r="C271">
        <v>2104</v>
      </c>
      <c r="D271" t="s">
        <v>21</v>
      </c>
      <c r="E271" s="22">
        <v>44225</v>
      </c>
      <c r="F271" t="s">
        <v>6055</v>
      </c>
      <c r="G271" t="s">
        <v>26</v>
      </c>
      <c r="H271">
        <v>16</v>
      </c>
      <c r="I271" t="s">
        <v>42</v>
      </c>
      <c r="J271" t="s">
        <v>58</v>
      </c>
      <c r="K271" t="s">
        <v>78</v>
      </c>
      <c r="L271" t="s">
        <v>376</v>
      </c>
      <c r="M271">
        <v>2049</v>
      </c>
      <c r="N271" t="s">
        <v>817</v>
      </c>
      <c r="O271" t="s">
        <v>21</v>
      </c>
      <c r="P271" t="s">
        <v>21</v>
      </c>
      <c r="Q271" t="s">
        <v>21</v>
      </c>
      <c r="R271" t="s">
        <v>884</v>
      </c>
      <c r="S271" t="s">
        <v>884</v>
      </c>
      <c r="T271" t="s">
        <v>954</v>
      </c>
      <c r="U271" t="s">
        <v>961</v>
      </c>
      <c r="V271" s="28" t="s">
        <v>1104</v>
      </c>
      <c r="W271" s="28" t="s">
        <v>1105</v>
      </c>
      <c r="X271" s="28" t="s">
        <v>1833</v>
      </c>
      <c r="Y271" s="28" t="s">
        <v>1834</v>
      </c>
      <c r="Z271" s="28" t="s">
        <v>1835</v>
      </c>
      <c r="AA271" s="28" t="s">
        <v>1836</v>
      </c>
      <c r="AB271" s="28" t="s">
        <v>1837</v>
      </c>
      <c r="AC271" s="28" t="s">
        <v>1838</v>
      </c>
    </row>
    <row r="272" spans="1:29">
      <c r="A272">
        <v>31</v>
      </c>
      <c r="B272">
        <v>2104</v>
      </c>
      <c r="C272">
        <v>2104</v>
      </c>
      <c r="D272" t="s">
        <v>21</v>
      </c>
      <c r="E272" s="22">
        <v>44225</v>
      </c>
      <c r="F272" t="s">
        <v>6055</v>
      </c>
      <c r="G272" t="s">
        <v>26</v>
      </c>
      <c r="H272">
        <v>16</v>
      </c>
      <c r="I272" t="s">
        <v>42</v>
      </c>
      <c r="J272" t="s">
        <v>58</v>
      </c>
      <c r="K272" t="s">
        <v>78</v>
      </c>
      <c r="L272" t="s">
        <v>377</v>
      </c>
      <c r="M272">
        <v>2049</v>
      </c>
      <c r="N272" t="s">
        <v>817</v>
      </c>
      <c r="O272" t="s">
        <v>21</v>
      </c>
      <c r="P272" t="s">
        <v>21</v>
      </c>
      <c r="Q272" t="s">
        <v>21</v>
      </c>
      <c r="R272" t="s">
        <v>884</v>
      </c>
      <c r="S272" t="s">
        <v>884</v>
      </c>
      <c r="T272" t="s">
        <v>954</v>
      </c>
      <c r="U272" t="s">
        <v>961</v>
      </c>
      <c r="V272" s="28" t="s">
        <v>1104</v>
      </c>
      <c r="W272" s="28" t="s">
        <v>1105</v>
      </c>
      <c r="X272" s="28" t="s">
        <v>1833</v>
      </c>
      <c r="Y272" s="28" t="s">
        <v>1834</v>
      </c>
      <c r="Z272" s="28" t="s">
        <v>1835</v>
      </c>
      <c r="AA272" s="28" t="s">
        <v>1836</v>
      </c>
      <c r="AB272" s="28" t="s">
        <v>1837</v>
      </c>
      <c r="AC272" s="28" t="s">
        <v>1838</v>
      </c>
    </row>
    <row r="273" spans="1:29">
      <c r="A273">
        <v>32</v>
      </c>
      <c r="B273">
        <v>2104</v>
      </c>
      <c r="C273">
        <v>2104</v>
      </c>
      <c r="D273" t="s">
        <v>21</v>
      </c>
      <c r="E273" s="22">
        <v>44225</v>
      </c>
      <c r="F273" t="s">
        <v>6055</v>
      </c>
      <c r="G273" t="s">
        <v>26</v>
      </c>
      <c r="H273">
        <v>2</v>
      </c>
      <c r="I273" t="s">
        <v>38</v>
      </c>
      <c r="J273" t="s">
        <v>62</v>
      </c>
      <c r="K273" t="s">
        <v>82</v>
      </c>
      <c r="L273" t="s">
        <v>378</v>
      </c>
      <c r="M273">
        <v>2047</v>
      </c>
      <c r="N273" t="s">
        <v>816</v>
      </c>
      <c r="O273" t="s">
        <v>21</v>
      </c>
      <c r="P273" t="s">
        <v>21</v>
      </c>
      <c r="Q273" t="s">
        <v>21</v>
      </c>
      <c r="R273" t="s">
        <v>880</v>
      </c>
      <c r="S273" t="s">
        <v>880</v>
      </c>
      <c r="T273" t="s">
        <v>908</v>
      </c>
      <c r="U273" t="s">
        <v>961</v>
      </c>
      <c r="V273" s="28" t="s">
        <v>1109</v>
      </c>
      <c r="W273" s="28" t="s">
        <v>1095</v>
      </c>
      <c r="X273" s="28" t="s">
        <v>1848</v>
      </c>
      <c r="Y273" s="28" t="s">
        <v>1778</v>
      </c>
      <c r="Z273" s="28" t="s">
        <v>1849</v>
      </c>
      <c r="AA273" s="28" t="s">
        <v>1780</v>
      </c>
      <c r="AB273" s="28" t="s">
        <v>1850</v>
      </c>
      <c r="AC273" s="28" t="s">
        <v>1782</v>
      </c>
    </row>
    <row r="274" spans="1:29">
      <c r="A274">
        <v>33</v>
      </c>
      <c r="B274">
        <v>2104</v>
      </c>
      <c r="C274">
        <v>2104</v>
      </c>
      <c r="D274" t="s">
        <v>21</v>
      </c>
      <c r="E274" s="22">
        <v>44225</v>
      </c>
      <c r="F274" t="s">
        <v>6055</v>
      </c>
      <c r="G274" t="s">
        <v>26</v>
      </c>
      <c r="H274">
        <v>16</v>
      </c>
      <c r="I274" t="s">
        <v>42</v>
      </c>
      <c r="J274" t="s">
        <v>58</v>
      </c>
      <c r="K274" t="s">
        <v>78</v>
      </c>
      <c r="L274" t="s">
        <v>379</v>
      </c>
      <c r="M274">
        <v>2049</v>
      </c>
      <c r="N274" t="s">
        <v>817</v>
      </c>
      <c r="O274" t="s">
        <v>21</v>
      </c>
      <c r="P274" t="s">
        <v>21</v>
      </c>
      <c r="Q274" t="s">
        <v>21</v>
      </c>
      <c r="R274" t="s">
        <v>884</v>
      </c>
      <c r="S274" t="s">
        <v>884</v>
      </c>
      <c r="T274" t="s">
        <v>954</v>
      </c>
      <c r="U274" t="s">
        <v>961</v>
      </c>
      <c r="V274" s="28" t="s">
        <v>1104</v>
      </c>
      <c r="W274" s="28" t="s">
        <v>1105</v>
      </c>
      <c r="X274" s="28" t="s">
        <v>1833</v>
      </c>
      <c r="Y274" s="28" t="s">
        <v>1834</v>
      </c>
      <c r="Z274" s="28" t="s">
        <v>1835</v>
      </c>
      <c r="AA274" s="28" t="s">
        <v>1836</v>
      </c>
      <c r="AB274" s="28" t="s">
        <v>1837</v>
      </c>
      <c r="AC274" s="28" t="s">
        <v>1838</v>
      </c>
    </row>
    <row r="275" spans="1:29">
      <c r="A275">
        <v>34</v>
      </c>
      <c r="B275">
        <v>2104</v>
      </c>
      <c r="C275">
        <v>2104</v>
      </c>
      <c r="D275" t="s">
        <v>21</v>
      </c>
      <c r="E275" s="22">
        <v>44225</v>
      </c>
      <c r="F275" t="s">
        <v>6055</v>
      </c>
      <c r="G275" t="s">
        <v>26</v>
      </c>
      <c r="H275">
        <v>15</v>
      </c>
      <c r="I275" t="s">
        <v>38</v>
      </c>
      <c r="J275" t="s">
        <v>61</v>
      </c>
      <c r="K275" t="s">
        <v>81</v>
      </c>
      <c r="L275" t="s">
        <v>380</v>
      </c>
      <c r="M275">
        <v>2050</v>
      </c>
      <c r="N275" t="s">
        <v>815</v>
      </c>
      <c r="O275" t="s">
        <v>21</v>
      </c>
      <c r="P275" t="s">
        <v>21</v>
      </c>
      <c r="Q275" t="s">
        <v>21</v>
      </c>
      <c r="R275" t="s">
        <v>885</v>
      </c>
      <c r="S275" t="s">
        <v>885</v>
      </c>
      <c r="T275" t="s">
        <v>28</v>
      </c>
      <c r="U275" t="s">
        <v>961</v>
      </c>
      <c r="V275" s="28" t="s">
        <v>1110</v>
      </c>
      <c r="W275" s="28" t="s">
        <v>1082</v>
      </c>
      <c r="X275" s="28" t="s">
        <v>1851</v>
      </c>
      <c r="Y275" s="28" t="s">
        <v>1737</v>
      </c>
      <c r="Z275" s="28" t="s">
        <v>1852</v>
      </c>
      <c r="AA275" s="28" t="s">
        <v>1853</v>
      </c>
      <c r="AB275" s="28" t="s">
        <v>1854</v>
      </c>
      <c r="AC275" s="28" t="s">
        <v>1855</v>
      </c>
    </row>
    <row r="276" spans="1:29">
      <c r="A276">
        <v>35</v>
      </c>
      <c r="B276">
        <v>2105</v>
      </c>
      <c r="C276">
        <v>2105</v>
      </c>
      <c r="D276" t="s">
        <v>21</v>
      </c>
      <c r="E276" s="22">
        <v>44228</v>
      </c>
      <c r="F276" t="s">
        <v>6055</v>
      </c>
      <c r="G276" t="s">
        <v>26</v>
      </c>
      <c r="H276">
        <v>6</v>
      </c>
      <c r="I276" t="s">
        <v>41</v>
      </c>
      <c r="J276" t="s">
        <v>58</v>
      </c>
      <c r="K276" t="s">
        <v>78</v>
      </c>
      <c r="L276" t="s">
        <v>381</v>
      </c>
      <c r="M276">
        <v>2050</v>
      </c>
      <c r="N276" t="s">
        <v>817</v>
      </c>
      <c r="O276" t="s">
        <v>21</v>
      </c>
      <c r="P276" t="s">
        <v>21</v>
      </c>
      <c r="Q276" t="s">
        <v>21</v>
      </c>
      <c r="R276" t="s">
        <v>881</v>
      </c>
      <c r="S276" t="s">
        <v>881</v>
      </c>
      <c r="T276" t="s">
        <v>949</v>
      </c>
      <c r="U276" t="s">
        <v>961</v>
      </c>
      <c r="V276" s="28" t="s">
        <v>1111</v>
      </c>
      <c r="W276" s="28" t="s">
        <v>1112</v>
      </c>
      <c r="X276" s="28" t="s">
        <v>1856</v>
      </c>
      <c r="Y276" s="28" t="s">
        <v>1857</v>
      </c>
      <c r="Z276" s="28" t="s">
        <v>1858</v>
      </c>
      <c r="AA276" s="28" t="s">
        <v>1859</v>
      </c>
      <c r="AB276" s="28" t="s">
        <v>1860</v>
      </c>
      <c r="AC276" s="28" t="s">
        <v>1861</v>
      </c>
    </row>
    <row r="277" spans="1:29">
      <c r="A277">
        <v>36</v>
      </c>
      <c r="B277">
        <v>2105</v>
      </c>
      <c r="C277">
        <v>2105</v>
      </c>
      <c r="D277" t="s">
        <v>21</v>
      </c>
      <c r="E277" s="22">
        <v>44228</v>
      </c>
      <c r="F277" t="s">
        <v>6055</v>
      </c>
      <c r="G277" t="s">
        <v>26</v>
      </c>
      <c r="H277">
        <v>6</v>
      </c>
      <c r="I277" t="s">
        <v>37</v>
      </c>
      <c r="J277" t="s">
        <v>58</v>
      </c>
      <c r="K277" t="s">
        <v>78</v>
      </c>
      <c r="L277" t="s">
        <v>382</v>
      </c>
      <c r="M277">
        <v>2050</v>
      </c>
      <c r="N277" t="s">
        <v>817</v>
      </c>
      <c r="O277" t="s">
        <v>21</v>
      </c>
      <c r="P277" t="s">
        <v>21</v>
      </c>
      <c r="Q277" t="s">
        <v>21</v>
      </c>
      <c r="R277" t="s">
        <v>872</v>
      </c>
      <c r="S277" t="s">
        <v>872</v>
      </c>
      <c r="T277" t="s">
        <v>950</v>
      </c>
      <c r="U277" t="s">
        <v>961</v>
      </c>
      <c r="V277" s="28" t="s">
        <v>1113</v>
      </c>
      <c r="W277" s="28" t="s">
        <v>1114</v>
      </c>
      <c r="X277" s="28" t="s">
        <v>1862</v>
      </c>
      <c r="Y277" s="28" t="s">
        <v>1863</v>
      </c>
      <c r="Z277" s="28" t="s">
        <v>1864</v>
      </c>
      <c r="AA277" s="28" t="s">
        <v>1865</v>
      </c>
      <c r="AB277" s="28" t="s">
        <v>1866</v>
      </c>
      <c r="AC277" s="28" t="s">
        <v>1867</v>
      </c>
    </row>
    <row r="278" spans="1:29">
      <c r="A278">
        <v>37</v>
      </c>
      <c r="B278">
        <v>2105</v>
      </c>
      <c r="C278">
        <v>2105</v>
      </c>
      <c r="D278" t="s">
        <v>21</v>
      </c>
      <c r="E278" s="22">
        <v>44229</v>
      </c>
      <c r="F278" t="s">
        <v>6055</v>
      </c>
      <c r="G278" t="s">
        <v>26</v>
      </c>
      <c r="H278">
        <v>10</v>
      </c>
      <c r="I278" t="s">
        <v>45</v>
      </c>
      <c r="J278" t="s">
        <v>1022</v>
      </c>
      <c r="K278" t="s">
        <v>77</v>
      </c>
      <c r="L278" t="s">
        <v>383</v>
      </c>
      <c r="M278">
        <v>2050</v>
      </c>
      <c r="N278" t="s">
        <v>811</v>
      </c>
      <c r="O278" t="s">
        <v>21</v>
      </c>
      <c r="P278" t="s">
        <v>21</v>
      </c>
      <c r="Q278" t="s">
        <v>21</v>
      </c>
      <c r="R278" t="s">
        <v>886</v>
      </c>
      <c r="S278" t="s">
        <v>886</v>
      </c>
      <c r="T278" t="s">
        <v>955</v>
      </c>
      <c r="U278" t="s">
        <v>962</v>
      </c>
      <c r="V278" s="28" t="s">
        <v>1115</v>
      </c>
      <c r="W278" s="28" t="s">
        <v>1116</v>
      </c>
      <c r="X278" s="28" t="s">
        <v>1868</v>
      </c>
      <c r="Y278" s="28" t="s">
        <v>1869</v>
      </c>
      <c r="Z278" s="28" t="s">
        <v>1870</v>
      </c>
      <c r="AA278" s="28" t="s">
        <v>1871</v>
      </c>
      <c r="AB278" s="28" t="s">
        <v>1872</v>
      </c>
      <c r="AC278" s="28" t="s">
        <v>1873</v>
      </c>
    </row>
    <row r="279" spans="1:29">
      <c r="A279">
        <v>38</v>
      </c>
      <c r="B279">
        <v>2105</v>
      </c>
      <c r="C279">
        <v>2105</v>
      </c>
      <c r="D279" t="s">
        <v>21</v>
      </c>
      <c r="E279" s="22">
        <v>44229</v>
      </c>
      <c r="F279" t="s">
        <v>6055</v>
      </c>
      <c r="G279" t="s">
        <v>26</v>
      </c>
      <c r="H279">
        <v>6</v>
      </c>
      <c r="I279" t="s">
        <v>41</v>
      </c>
      <c r="J279" t="s">
        <v>58</v>
      </c>
      <c r="K279" t="s">
        <v>78</v>
      </c>
      <c r="L279" t="s">
        <v>384</v>
      </c>
      <c r="M279">
        <v>2050</v>
      </c>
      <c r="N279" t="s">
        <v>817</v>
      </c>
      <c r="O279" t="s">
        <v>21</v>
      </c>
      <c r="P279" t="s">
        <v>21</v>
      </c>
      <c r="Q279" t="s">
        <v>21</v>
      </c>
      <c r="R279" t="s">
        <v>881</v>
      </c>
      <c r="S279" t="s">
        <v>881</v>
      </c>
      <c r="T279" t="s">
        <v>949</v>
      </c>
      <c r="U279" t="s">
        <v>961</v>
      </c>
      <c r="V279" s="28" t="s">
        <v>1111</v>
      </c>
      <c r="W279" s="28" t="s">
        <v>1112</v>
      </c>
      <c r="X279" s="28" t="s">
        <v>1856</v>
      </c>
      <c r="Y279" s="28" t="s">
        <v>1857</v>
      </c>
      <c r="Z279" s="28" t="s">
        <v>1858</v>
      </c>
      <c r="AA279" s="28" t="s">
        <v>1859</v>
      </c>
      <c r="AB279" s="28" t="s">
        <v>1860</v>
      </c>
      <c r="AC279" s="28" t="s">
        <v>1861</v>
      </c>
    </row>
    <row r="280" spans="1:29">
      <c r="A280">
        <v>39</v>
      </c>
      <c r="B280">
        <v>2105</v>
      </c>
      <c r="C280">
        <v>2105</v>
      </c>
      <c r="D280" t="s">
        <v>21</v>
      </c>
      <c r="E280" s="22">
        <v>44230</v>
      </c>
      <c r="F280" t="s">
        <v>6055</v>
      </c>
      <c r="G280" t="s">
        <v>26</v>
      </c>
      <c r="H280">
        <v>3</v>
      </c>
      <c r="I280" t="s">
        <v>38</v>
      </c>
      <c r="J280" t="s">
        <v>62</v>
      </c>
      <c r="K280" t="s">
        <v>82</v>
      </c>
      <c r="L280" t="s">
        <v>385</v>
      </c>
      <c r="M280">
        <v>2051</v>
      </c>
      <c r="N280" t="s">
        <v>816</v>
      </c>
      <c r="O280" t="s">
        <v>21</v>
      </c>
      <c r="P280" t="s">
        <v>21</v>
      </c>
      <c r="Q280" t="s">
        <v>21</v>
      </c>
      <c r="R280" t="s">
        <v>868</v>
      </c>
      <c r="S280" t="s">
        <v>868</v>
      </c>
      <c r="T280" t="s">
        <v>891</v>
      </c>
      <c r="U280" t="s">
        <v>961</v>
      </c>
      <c r="V280" s="28" t="s">
        <v>1117</v>
      </c>
      <c r="W280" s="28" t="s">
        <v>1118</v>
      </c>
      <c r="X280" s="28" t="s">
        <v>1874</v>
      </c>
      <c r="Y280" s="28" t="s">
        <v>1875</v>
      </c>
      <c r="Z280" s="28" t="s">
        <v>1876</v>
      </c>
      <c r="AA280" s="28" t="s">
        <v>1877</v>
      </c>
      <c r="AB280" s="28" t="s">
        <v>1878</v>
      </c>
      <c r="AC280" s="28" t="s">
        <v>1879</v>
      </c>
    </row>
    <row r="281" spans="1:29">
      <c r="A281">
        <v>40</v>
      </c>
      <c r="B281">
        <v>2105</v>
      </c>
      <c r="C281">
        <v>2105</v>
      </c>
      <c r="D281" t="s">
        <v>21</v>
      </c>
      <c r="E281" s="22">
        <v>44230</v>
      </c>
      <c r="F281" t="s">
        <v>6055</v>
      </c>
      <c r="G281" t="s">
        <v>26</v>
      </c>
      <c r="H281">
        <v>18</v>
      </c>
      <c r="I281" t="s">
        <v>37</v>
      </c>
      <c r="J281" t="s">
        <v>1022</v>
      </c>
      <c r="K281" t="s">
        <v>77</v>
      </c>
      <c r="L281" t="s">
        <v>386</v>
      </c>
      <c r="M281">
        <v>2101</v>
      </c>
      <c r="N281" t="s">
        <v>819</v>
      </c>
      <c r="O281" t="s">
        <v>21</v>
      </c>
      <c r="P281" t="s">
        <v>21</v>
      </c>
      <c r="Q281" t="s">
        <v>21</v>
      </c>
      <c r="R281" t="s">
        <v>884</v>
      </c>
      <c r="S281" t="s">
        <v>884</v>
      </c>
      <c r="T281" t="s">
        <v>954</v>
      </c>
      <c r="U281" t="s">
        <v>962</v>
      </c>
      <c r="V281" s="28" t="s">
        <v>1119</v>
      </c>
      <c r="W281" s="28" t="s">
        <v>1120</v>
      </c>
      <c r="X281" s="28" t="s">
        <v>1880</v>
      </c>
      <c r="Y281" s="28" t="s">
        <v>1881</v>
      </c>
      <c r="Z281" s="28" t="s">
        <v>1882</v>
      </c>
      <c r="AA281" s="28" t="s">
        <v>1883</v>
      </c>
      <c r="AB281" s="28" t="s">
        <v>1884</v>
      </c>
      <c r="AC281" s="28" t="s">
        <v>1885</v>
      </c>
    </row>
    <row r="282" spans="1:29">
      <c r="A282">
        <v>41</v>
      </c>
      <c r="B282">
        <v>2105</v>
      </c>
      <c r="C282">
        <v>2105</v>
      </c>
      <c r="D282" t="s">
        <v>21</v>
      </c>
      <c r="E282" s="22">
        <v>44230</v>
      </c>
      <c r="F282" t="s">
        <v>6055</v>
      </c>
      <c r="G282" t="s">
        <v>26</v>
      </c>
      <c r="H282">
        <v>11</v>
      </c>
      <c r="I282" t="s">
        <v>37</v>
      </c>
      <c r="J282" t="s">
        <v>1022</v>
      </c>
      <c r="K282" t="s">
        <v>77</v>
      </c>
      <c r="L282" t="s">
        <v>387</v>
      </c>
      <c r="M282">
        <v>2053</v>
      </c>
      <c r="N282" t="s">
        <v>819</v>
      </c>
      <c r="O282" t="s">
        <v>21</v>
      </c>
      <c r="P282" t="s">
        <v>21</v>
      </c>
      <c r="Q282" t="s">
        <v>21</v>
      </c>
      <c r="R282" t="s">
        <v>884</v>
      </c>
      <c r="S282" t="s">
        <v>884</v>
      </c>
      <c r="T282" t="s">
        <v>954</v>
      </c>
      <c r="U282" t="s">
        <v>962</v>
      </c>
      <c r="V282" s="28" t="s">
        <v>1119</v>
      </c>
      <c r="W282" s="28" t="s">
        <v>1120</v>
      </c>
      <c r="X282" s="28" t="s">
        <v>1880</v>
      </c>
      <c r="Y282" s="28" t="s">
        <v>1881</v>
      </c>
      <c r="Z282" s="28" t="s">
        <v>1882</v>
      </c>
      <c r="AA282" s="28" t="s">
        <v>1883</v>
      </c>
      <c r="AB282" s="28" t="s">
        <v>1884</v>
      </c>
      <c r="AC282" s="28" t="s">
        <v>1885</v>
      </c>
    </row>
    <row r="283" spans="1:29">
      <c r="A283">
        <v>42</v>
      </c>
      <c r="B283">
        <v>2105</v>
      </c>
      <c r="C283">
        <v>2105</v>
      </c>
      <c r="D283" t="s">
        <v>21</v>
      </c>
      <c r="E283" s="22">
        <v>44231</v>
      </c>
      <c r="F283" t="s">
        <v>6055</v>
      </c>
      <c r="G283" t="s">
        <v>26</v>
      </c>
      <c r="H283">
        <v>2</v>
      </c>
      <c r="I283" t="s">
        <v>36</v>
      </c>
      <c r="J283" t="s">
        <v>59</v>
      </c>
      <c r="K283" t="s">
        <v>79</v>
      </c>
      <c r="L283" t="s">
        <v>388</v>
      </c>
      <c r="M283">
        <v>2101</v>
      </c>
      <c r="N283" t="s">
        <v>813</v>
      </c>
      <c r="O283" t="s">
        <v>21</v>
      </c>
      <c r="P283" t="s">
        <v>21</v>
      </c>
      <c r="Q283" t="s">
        <v>21</v>
      </c>
      <c r="R283" t="s">
        <v>872</v>
      </c>
      <c r="S283" t="s">
        <v>872</v>
      </c>
      <c r="T283" t="s">
        <v>950</v>
      </c>
      <c r="U283" t="s">
        <v>961</v>
      </c>
      <c r="V283" s="28" t="s">
        <v>1113</v>
      </c>
      <c r="W283" s="28" t="s">
        <v>1114</v>
      </c>
      <c r="X283" s="28" t="s">
        <v>1862</v>
      </c>
      <c r="Y283" s="28" t="s">
        <v>1863</v>
      </c>
      <c r="Z283" s="28" t="s">
        <v>1886</v>
      </c>
      <c r="AA283" s="28" t="s">
        <v>1887</v>
      </c>
      <c r="AB283" s="28" t="s">
        <v>1888</v>
      </c>
      <c r="AC283" s="28" t="s">
        <v>1889</v>
      </c>
    </row>
    <row r="284" spans="1:29">
      <c r="A284">
        <v>43</v>
      </c>
      <c r="B284">
        <v>2105</v>
      </c>
      <c r="C284">
        <v>2105</v>
      </c>
      <c r="D284" t="s">
        <v>21</v>
      </c>
      <c r="E284" s="22">
        <v>44231</v>
      </c>
      <c r="F284" t="s">
        <v>6055</v>
      </c>
      <c r="G284" t="s">
        <v>26</v>
      </c>
      <c r="H284">
        <v>3</v>
      </c>
      <c r="I284" t="s">
        <v>41</v>
      </c>
      <c r="J284" t="s">
        <v>62</v>
      </c>
      <c r="K284" t="s">
        <v>82</v>
      </c>
      <c r="L284" t="s">
        <v>389</v>
      </c>
      <c r="M284">
        <v>2051</v>
      </c>
      <c r="N284" t="s">
        <v>816</v>
      </c>
      <c r="O284" t="s">
        <v>21</v>
      </c>
      <c r="P284" t="s">
        <v>21</v>
      </c>
      <c r="Q284" t="s">
        <v>21</v>
      </c>
      <c r="R284" t="s">
        <v>881</v>
      </c>
      <c r="S284" t="s">
        <v>881</v>
      </c>
      <c r="T284" t="s">
        <v>949</v>
      </c>
      <c r="U284" t="s">
        <v>961</v>
      </c>
      <c r="V284" s="28" t="s">
        <v>1111</v>
      </c>
      <c r="W284" s="28" t="s">
        <v>1112</v>
      </c>
      <c r="X284" s="28" t="s">
        <v>1856</v>
      </c>
      <c r="Y284" s="28" t="s">
        <v>1857</v>
      </c>
      <c r="Z284" s="28" t="s">
        <v>1890</v>
      </c>
      <c r="AA284" s="28" t="s">
        <v>1891</v>
      </c>
      <c r="AB284" s="28" t="s">
        <v>1892</v>
      </c>
      <c r="AC284" s="28" t="s">
        <v>1893</v>
      </c>
    </row>
    <row r="285" spans="1:29">
      <c r="A285">
        <v>44</v>
      </c>
      <c r="B285">
        <v>2105</v>
      </c>
      <c r="C285">
        <v>2105</v>
      </c>
      <c r="D285" t="s">
        <v>21</v>
      </c>
      <c r="E285" s="22">
        <v>44232</v>
      </c>
      <c r="F285" t="s">
        <v>6055</v>
      </c>
      <c r="G285" t="s">
        <v>26</v>
      </c>
      <c r="H285">
        <v>3</v>
      </c>
      <c r="I285" t="s">
        <v>36</v>
      </c>
      <c r="J285" t="s">
        <v>62</v>
      </c>
      <c r="K285" t="s">
        <v>84</v>
      </c>
      <c r="L285" t="s">
        <v>390</v>
      </c>
      <c r="M285">
        <v>2051</v>
      </c>
      <c r="N285" t="s">
        <v>820</v>
      </c>
      <c r="O285" t="s">
        <v>21</v>
      </c>
      <c r="P285" t="s">
        <v>21</v>
      </c>
      <c r="Q285" t="s">
        <v>21</v>
      </c>
      <c r="R285" t="s">
        <v>874</v>
      </c>
      <c r="S285" t="s">
        <v>874</v>
      </c>
      <c r="T285" t="s">
        <v>28</v>
      </c>
      <c r="U285" t="s">
        <v>961</v>
      </c>
      <c r="V285" s="28" t="s">
        <v>1121</v>
      </c>
      <c r="W285" s="28" t="s">
        <v>1122</v>
      </c>
      <c r="X285" s="28" t="s">
        <v>1894</v>
      </c>
      <c r="Y285" s="28" t="s">
        <v>1895</v>
      </c>
      <c r="Z285" s="28" t="s">
        <v>1896</v>
      </c>
      <c r="AA285" s="28" t="s">
        <v>1897</v>
      </c>
      <c r="AB285" s="28" t="s">
        <v>1898</v>
      </c>
      <c r="AC285" s="28" t="s">
        <v>1899</v>
      </c>
    </row>
    <row r="286" spans="1:29">
      <c r="A286">
        <v>45</v>
      </c>
      <c r="B286">
        <v>2105</v>
      </c>
      <c r="C286">
        <v>2105</v>
      </c>
      <c r="D286" t="s">
        <v>21</v>
      </c>
      <c r="E286" s="22">
        <v>44232</v>
      </c>
      <c r="F286" t="s">
        <v>6055</v>
      </c>
      <c r="G286" t="s">
        <v>26</v>
      </c>
      <c r="H286">
        <v>1</v>
      </c>
      <c r="I286" t="s">
        <v>36</v>
      </c>
      <c r="J286" t="s">
        <v>1023</v>
      </c>
      <c r="K286" t="s">
        <v>83</v>
      </c>
      <c r="L286" t="s">
        <v>391</v>
      </c>
      <c r="M286">
        <v>2102</v>
      </c>
      <c r="N286" t="s">
        <v>818</v>
      </c>
      <c r="O286" t="s">
        <v>21</v>
      </c>
      <c r="P286" t="s">
        <v>21</v>
      </c>
      <c r="Q286" t="s">
        <v>21</v>
      </c>
      <c r="R286" t="s">
        <v>872</v>
      </c>
      <c r="S286" t="s">
        <v>872</v>
      </c>
      <c r="T286" t="s">
        <v>950</v>
      </c>
      <c r="U286" t="s">
        <v>962</v>
      </c>
      <c r="V286" s="28" t="s">
        <v>1123</v>
      </c>
      <c r="W286" s="28" t="s">
        <v>1124</v>
      </c>
      <c r="X286" s="28" t="s">
        <v>1900</v>
      </c>
      <c r="Y286" s="28" t="s">
        <v>1901</v>
      </c>
      <c r="Z286" s="28" t="s">
        <v>1902</v>
      </c>
      <c r="AA286" s="28" t="s">
        <v>1903</v>
      </c>
      <c r="AB286" s="28" t="s">
        <v>1904</v>
      </c>
      <c r="AC286" s="28" t="s">
        <v>1905</v>
      </c>
    </row>
    <row r="287" spans="1:29">
      <c r="A287">
        <v>46</v>
      </c>
      <c r="B287">
        <v>2106</v>
      </c>
      <c r="C287">
        <v>2106</v>
      </c>
      <c r="D287" t="s">
        <v>21</v>
      </c>
      <c r="E287" s="22">
        <v>44235</v>
      </c>
      <c r="F287" t="s">
        <v>6055</v>
      </c>
      <c r="G287" t="s">
        <v>26</v>
      </c>
      <c r="H287">
        <v>6</v>
      </c>
      <c r="I287" t="s">
        <v>38</v>
      </c>
      <c r="J287" t="s">
        <v>58</v>
      </c>
      <c r="K287" t="s">
        <v>78</v>
      </c>
      <c r="L287" t="s">
        <v>392</v>
      </c>
      <c r="M287">
        <v>2046</v>
      </c>
      <c r="N287" t="s">
        <v>812</v>
      </c>
      <c r="O287" t="s">
        <v>21</v>
      </c>
      <c r="P287" t="s">
        <v>21</v>
      </c>
      <c r="Q287" t="s">
        <v>21</v>
      </c>
      <c r="R287" t="s">
        <v>883</v>
      </c>
      <c r="S287" t="s">
        <v>883</v>
      </c>
      <c r="T287" t="s">
        <v>908</v>
      </c>
      <c r="U287" t="s">
        <v>961</v>
      </c>
      <c r="V287" s="28" t="s">
        <v>1125</v>
      </c>
      <c r="W287" s="28" t="s">
        <v>1126</v>
      </c>
      <c r="X287" s="28" t="s">
        <v>1906</v>
      </c>
      <c r="Y287" s="28" t="s">
        <v>1907</v>
      </c>
      <c r="Z287" s="28" t="s">
        <v>1908</v>
      </c>
      <c r="AA287" s="28" t="s">
        <v>1909</v>
      </c>
      <c r="AB287" s="28" t="s">
        <v>1910</v>
      </c>
      <c r="AC287" s="28" t="s">
        <v>1911</v>
      </c>
    </row>
    <row r="288" spans="1:29">
      <c r="A288">
        <v>47</v>
      </c>
      <c r="B288">
        <v>2106</v>
      </c>
      <c r="C288">
        <v>2106</v>
      </c>
      <c r="D288" t="s">
        <v>21</v>
      </c>
      <c r="E288" s="22">
        <v>44235</v>
      </c>
      <c r="F288" t="s">
        <v>6055</v>
      </c>
      <c r="G288" t="s">
        <v>26</v>
      </c>
      <c r="H288">
        <v>15</v>
      </c>
      <c r="I288" t="s">
        <v>42</v>
      </c>
      <c r="J288" t="s">
        <v>61</v>
      </c>
      <c r="K288" t="s">
        <v>81</v>
      </c>
      <c r="L288" t="s">
        <v>393</v>
      </c>
      <c r="M288">
        <v>2051</v>
      </c>
      <c r="N288" t="s">
        <v>821</v>
      </c>
      <c r="O288" t="s">
        <v>21</v>
      </c>
      <c r="P288" t="s">
        <v>21</v>
      </c>
      <c r="Q288" t="s">
        <v>21</v>
      </c>
      <c r="R288" t="s">
        <v>874</v>
      </c>
      <c r="S288" t="s">
        <v>874</v>
      </c>
      <c r="T288" t="s">
        <v>28</v>
      </c>
      <c r="U288" t="s">
        <v>961</v>
      </c>
      <c r="V288" s="28" t="s">
        <v>1127</v>
      </c>
      <c r="W288" s="28" t="s">
        <v>1122</v>
      </c>
      <c r="X288" s="28" t="s">
        <v>1912</v>
      </c>
      <c r="Y288" s="28" t="s">
        <v>1895</v>
      </c>
      <c r="Z288" s="28" t="s">
        <v>1913</v>
      </c>
      <c r="AA288" s="28" t="s">
        <v>1914</v>
      </c>
      <c r="AB288" s="28" t="s">
        <v>1915</v>
      </c>
      <c r="AC288" s="28" t="s">
        <v>1916</v>
      </c>
    </row>
    <row r="289" spans="1:29">
      <c r="A289">
        <v>48</v>
      </c>
      <c r="B289">
        <v>2106</v>
      </c>
      <c r="C289">
        <v>2106</v>
      </c>
      <c r="D289" t="s">
        <v>21</v>
      </c>
      <c r="E289" s="22">
        <v>44235</v>
      </c>
      <c r="F289" t="s">
        <v>6055</v>
      </c>
      <c r="G289" t="s">
        <v>26</v>
      </c>
      <c r="H289">
        <v>6</v>
      </c>
      <c r="I289" t="s">
        <v>41</v>
      </c>
      <c r="J289" t="s">
        <v>58</v>
      </c>
      <c r="K289" t="s">
        <v>78</v>
      </c>
      <c r="L289" t="s">
        <v>394</v>
      </c>
      <c r="M289">
        <v>2051</v>
      </c>
      <c r="N289" t="s">
        <v>817</v>
      </c>
      <c r="O289" t="s">
        <v>21</v>
      </c>
      <c r="P289" t="s">
        <v>21</v>
      </c>
      <c r="Q289" t="s">
        <v>21</v>
      </c>
      <c r="R289" t="s">
        <v>887</v>
      </c>
      <c r="S289" t="s">
        <v>887</v>
      </c>
      <c r="T289" t="s">
        <v>949</v>
      </c>
      <c r="U289" t="s">
        <v>961</v>
      </c>
      <c r="V289" s="28" t="s">
        <v>1128</v>
      </c>
      <c r="W289" s="28" t="s">
        <v>1112</v>
      </c>
      <c r="X289" s="28" t="s">
        <v>1917</v>
      </c>
      <c r="Y289" s="28" t="s">
        <v>1857</v>
      </c>
      <c r="Z289" s="28" t="s">
        <v>1918</v>
      </c>
      <c r="AA289" s="28" t="s">
        <v>1859</v>
      </c>
      <c r="AB289" s="28" t="s">
        <v>1919</v>
      </c>
      <c r="AC289" s="28" t="s">
        <v>1861</v>
      </c>
    </row>
    <row r="290" spans="1:29">
      <c r="A290">
        <v>49</v>
      </c>
      <c r="B290">
        <v>2107</v>
      </c>
      <c r="C290">
        <v>2107</v>
      </c>
      <c r="D290" t="s">
        <v>21</v>
      </c>
      <c r="E290" s="22">
        <v>44242</v>
      </c>
      <c r="F290" t="s">
        <v>6055</v>
      </c>
      <c r="G290" t="s">
        <v>26</v>
      </c>
      <c r="H290">
        <v>15</v>
      </c>
      <c r="I290" t="s">
        <v>39</v>
      </c>
      <c r="J290" t="s">
        <v>61</v>
      </c>
      <c r="K290" t="s">
        <v>81</v>
      </c>
      <c r="L290" t="s">
        <v>395</v>
      </c>
      <c r="M290">
        <v>2052</v>
      </c>
      <c r="N290" t="s">
        <v>815</v>
      </c>
      <c r="O290" t="s">
        <v>21</v>
      </c>
      <c r="P290" t="s">
        <v>21</v>
      </c>
      <c r="Q290" t="s">
        <v>21</v>
      </c>
      <c r="R290" t="s">
        <v>888</v>
      </c>
      <c r="S290" t="s">
        <v>888</v>
      </c>
      <c r="T290" t="s">
        <v>952</v>
      </c>
      <c r="U290" t="s">
        <v>961</v>
      </c>
      <c r="V290" s="28" t="s">
        <v>1129</v>
      </c>
      <c r="W290" s="28" t="s">
        <v>1130</v>
      </c>
      <c r="X290" s="28" t="s">
        <v>1920</v>
      </c>
      <c r="Y290" s="28" t="s">
        <v>1921</v>
      </c>
      <c r="Z290" s="28" t="s">
        <v>1922</v>
      </c>
      <c r="AA290" s="28" t="s">
        <v>1923</v>
      </c>
      <c r="AB290" s="28" t="s">
        <v>1924</v>
      </c>
      <c r="AC290" s="28" t="s">
        <v>1925</v>
      </c>
    </row>
    <row r="291" spans="1:29">
      <c r="A291">
        <v>50</v>
      </c>
      <c r="B291">
        <v>2107</v>
      </c>
      <c r="C291">
        <v>2107</v>
      </c>
      <c r="D291" t="s">
        <v>21</v>
      </c>
      <c r="E291" s="22">
        <v>44242</v>
      </c>
      <c r="F291" t="s">
        <v>6055</v>
      </c>
      <c r="G291" t="s">
        <v>26</v>
      </c>
      <c r="H291">
        <v>11</v>
      </c>
      <c r="I291" t="s">
        <v>43</v>
      </c>
      <c r="J291" t="s">
        <v>1022</v>
      </c>
      <c r="K291" t="s">
        <v>77</v>
      </c>
      <c r="L291" t="s">
        <v>396</v>
      </c>
      <c r="M291">
        <v>2052</v>
      </c>
      <c r="N291" t="s">
        <v>811</v>
      </c>
      <c r="O291" t="s">
        <v>21</v>
      </c>
      <c r="P291" t="s">
        <v>21</v>
      </c>
      <c r="Q291" t="s">
        <v>21</v>
      </c>
      <c r="R291" t="s">
        <v>880</v>
      </c>
      <c r="S291" t="s">
        <v>880</v>
      </c>
      <c r="T291" t="s">
        <v>908</v>
      </c>
      <c r="U291" t="s">
        <v>962</v>
      </c>
      <c r="V291" s="28" t="s">
        <v>1131</v>
      </c>
      <c r="W291" s="28" t="s">
        <v>1132</v>
      </c>
      <c r="X291" s="28" t="s">
        <v>1926</v>
      </c>
      <c r="Y291" s="28" t="s">
        <v>1927</v>
      </c>
      <c r="Z291" s="28" t="s">
        <v>1928</v>
      </c>
      <c r="AA291" s="28" t="s">
        <v>1929</v>
      </c>
      <c r="AB291" s="28" t="s">
        <v>1930</v>
      </c>
      <c r="AC291" s="28" t="s">
        <v>1931</v>
      </c>
    </row>
    <row r="292" spans="1:29">
      <c r="A292">
        <v>51</v>
      </c>
      <c r="B292">
        <v>2107</v>
      </c>
      <c r="C292">
        <v>2107</v>
      </c>
      <c r="D292" t="s">
        <v>21</v>
      </c>
      <c r="E292" s="22">
        <v>44243</v>
      </c>
      <c r="F292" t="s">
        <v>6055</v>
      </c>
      <c r="G292" t="s">
        <v>26</v>
      </c>
      <c r="H292">
        <v>2</v>
      </c>
      <c r="I292" t="s">
        <v>38</v>
      </c>
      <c r="J292" t="s">
        <v>62</v>
      </c>
      <c r="K292" t="s">
        <v>82</v>
      </c>
      <c r="L292" t="s">
        <v>397</v>
      </c>
      <c r="M292">
        <v>2052</v>
      </c>
      <c r="N292" t="s">
        <v>816</v>
      </c>
      <c r="O292" t="s">
        <v>21</v>
      </c>
      <c r="P292" t="s">
        <v>21</v>
      </c>
      <c r="Q292" t="s">
        <v>21</v>
      </c>
      <c r="R292" t="s">
        <v>883</v>
      </c>
      <c r="S292" t="s">
        <v>883</v>
      </c>
      <c r="T292" t="s">
        <v>908</v>
      </c>
      <c r="U292" t="s">
        <v>961</v>
      </c>
      <c r="V292" s="28" t="s">
        <v>1133</v>
      </c>
      <c r="W292" s="28" t="s">
        <v>1126</v>
      </c>
      <c r="X292" s="28" t="s">
        <v>1932</v>
      </c>
      <c r="Y292" s="28" t="s">
        <v>1907</v>
      </c>
      <c r="Z292" s="28" t="s">
        <v>1933</v>
      </c>
      <c r="AA292" s="28" t="s">
        <v>1934</v>
      </c>
      <c r="AB292" s="28" t="s">
        <v>1935</v>
      </c>
      <c r="AC292" s="28" t="s">
        <v>1936</v>
      </c>
    </row>
    <row r="293" spans="1:29">
      <c r="A293">
        <v>52</v>
      </c>
      <c r="B293">
        <v>2107</v>
      </c>
      <c r="C293">
        <v>2107</v>
      </c>
      <c r="D293" t="s">
        <v>21</v>
      </c>
      <c r="E293" s="22">
        <v>44243</v>
      </c>
      <c r="F293" t="s">
        <v>6055</v>
      </c>
      <c r="G293" t="s">
        <v>26</v>
      </c>
      <c r="H293">
        <v>2</v>
      </c>
      <c r="I293" t="s">
        <v>40</v>
      </c>
      <c r="J293" t="s">
        <v>62</v>
      </c>
      <c r="K293" t="s">
        <v>82</v>
      </c>
      <c r="L293" t="s">
        <v>398</v>
      </c>
      <c r="M293">
        <v>2052</v>
      </c>
      <c r="N293" t="s">
        <v>816</v>
      </c>
      <c r="O293" t="s">
        <v>21</v>
      </c>
      <c r="P293" t="s">
        <v>21</v>
      </c>
      <c r="Q293" t="s">
        <v>21</v>
      </c>
      <c r="R293" t="s">
        <v>885</v>
      </c>
      <c r="S293" t="s">
        <v>885</v>
      </c>
      <c r="T293" t="s">
        <v>28</v>
      </c>
      <c r="U293" t="s">
        <v>961</v>
      </c>
      <c r="V293" s="28" t="s">
        <v>1134</v>
      </c>
      <c r="W293" s="28" t="s">
        <v>1122</v>
      </c>
      <c r="X293" s="28" t="s">
        <v>1937</v>
      </c>
      <c r="Y293" s="28" t="s">
        <v>1895</v>
      </c>
      <c r="Z293" s="28" t="s">
        <v>1938</v>
      </c>
      <c r="AA293" s="28" t="s">
        <v>1897</v>
      </c>
      <c r="AB293" s="28" t="s">
        <v>1939</v>
      </c>
      <c r="AC293" s="28" t="s">
        <v>1899</v>
      </c>
    </row>
    <row r="294" spans="1:29">
      <c r="A294">
        <v>53</v>
      </c>
      <c r="B294">
        <v>2107</v>
      </c>
      <c r="C294">
        <v>2107</v>
      </c>
      <c r="D294" t="s">
        <v>21</v>
      </c>
      <c r="E294" s="22">
        <v>44243</v>
      </c>
      <c r="F294" t="s">
        <v>6055</v>
      </c>
      <c r="G294" t="s">
        <v>26</v>
      </c>
      <c r="H294">
        <v>15</v>
      </c>
      <c r="I294" t="s">
        <v>41</v>
      </c>
      <c r="J294" t="s">
        <v>61</v>
      </c>
      <c r="K294" t="s">
        <v>81</v>
      </c>
      <c r="L294" t="s">
        <v>399</v>
      </c>
      <c r="M294">
        <v>2052</v>
      </c>
      <c r="N294" t="s">
        <v>821</v>
      </c>
      <c r="O294" t="s">
        <v>21</v>
      </c>
      <c r="P294" t="s">
        <v>21</v>
      </c>
      <c r="Q294" t="s">
        <v>21</v>
      </c>
      <c r="R294" t="s">
        <v>880</v>
      </c>
      <c r="S294" t="s">
        <v>880</v>
      </c>
      <c r="T294" t="s">
        <v>908</v>
      </c>
      <c r="U294" t="s">
        <v>961</v>
      </c>
      <c r="V294" s="28" t="s">
        <v>1133</v>
      </c>
      <c r="W294" s="28" t="s">
        <v>1126</v>
      </c>
      <c r="X294" s="28" t="s">
        <v>1932</v>
      </c>
      <c r="Y294" s="28" t="s">
        <v>1907</v>
      </c>
      <c r="Z294" s="28" t="s">
        <v>1940</v>
      </c>
      <c r="AA294" s="28" t="s">
        <v>1941</v>
      </c>
      <c r="AB294" s="28" t="s">
        <v>1942</v>
      </c>
      <c r="AC294" s="28" t="s">
        <v>1943</v>
      </c>
    </row>
    <row r="295" spans="1:29">
      <c r="A295">
        <v>54</v>
      </c>
      <c r="B295">
        <v>2107</v>
      </c>
      <c r="C295">
        <v>2107</v>
      </c>
      <c r="D295" t="s">
        <v>21</v>
      </c>
      <c r="E295" s="22">
        <v>44243</v>
      </c>
      <c r="F295" t="s">
        <v>6055</v>
      </c>
      <c r="G295" t="s">
        <v>26</v>
      </c>
      <c r="H295">
        <v>2</v>
      </c>
      <c r="I295" t="s">
        <v>36</v>
      </c>
      <c r="J295" t="s">
        <v>60</v>
      </c>
      <c r="K295" t="s">
        <v>80</v>
      </c>
      <c r="L295" t="s">
        <v>400</v>
      </c>
      <c r="M295">
        <v>2052</v>
      </c>
      <c r="N295" t="s">
        <v>814</v>
      </c>
      <c r="O295" t="s">
        <v>21</v>
      </c>
      <c r="P295" t="s">
        <v>21</v>
      </c>
      <c r="Q295" t="s">
        <v>21</v>
      </c>
      <c r="R295" t="s">
        <v>876</v>
      </c>
      <c r="S295" t="s">
        <v>876</v>
      </c>
      <c r="T295" t="s">
        <v>951</v>
      </c>
      <c r="U295" t="s">
        <v>961</v>
      </c>
      <c r="V295" s="28" t="s">
        <v>1135</v>
      </c>
      <c r="W295" s="28" t="s">
        <v>1136</v>
      </c>
      <c r="X295" s="28" t="s">
        <v>1944</v>
      </c>
      <c r="Y295" s="28" t="s">
        <v>1945</v>
      </c>
      <c r="Z295" s="28" t="s">
        <v>1946</v>
      </c>
      <c r="AA295" s="28" t="s">
        <v>1947</v>
      </c>
      <c r="AB295" s="28" t="s">
        <v>1948</v>
      </c>
      <c r="AC295" s="28" t="s">
        <v>1949</v>
      </c>
    </row>
    <row r="296" spans="1:29">
      <c r="A296">
        <v>55</v>
      </c>
      <c r="B296">
        <v>2107</v>
      </c>
      <c r="C296">
        <v>2107</v>
      </c>
      <c r="D296" t="s">
        <v>21</v>
      </c>
      <c r="E296" s="22">
        <v>44243</v>
      </c>
      <c r="F296" t="s">
        <v>6055</v>
      </c>
      <c r="G296" t="s">
        <v>26</v>
      </c>
      <c r="H296">
        <v>6</v>
      </c>
      <c r="I296" t="s">
        <v>41</v>
      </c>
      <c r="J296" t="s">
        <v>58</v>
      </c>
      <c r="K296" t="s">
        <v>78</v>
      </c>
      <c r="L296" t="s">
        <v>401</v>
      </c>
      <c r="M296">
        <v>2052</v>
      </c>
      <c r="N296" t="s">
        <v>817</v>
      </c>
      <c r="O296" t="s">
        <v>21</v>
      </c>
      <c r="P296" t="s">
        <v>21</v>
      </c>
      <c r="Q296" t="s">
        <v>21</v>
      </c>
      <c r="R296" t="s">
        <v>880</v>
      </c>
      <c r="S296" t="s">
        <v>880</v>
      </c>
      <c r="T296" t="s">
        <v>908</v>
      </c>
      <c r="U296" t="s">
        <v>961</v>
      </c>
      <c r="V296" s="28" t="s">
        <v>1133</v>
      </c>
      <c r="W296" s="28" t="s">
        <v>1126</v>
      </c>
      <c r="X296" s="28" t="s">
        <v>1932</v>
      </c>
      <c r="Y296" s="28" t="s">
        <v>1907</v>
      </c>
      <c r="Z296" s="28" t="s">
        <v>1950</v>
      </c>
      <c r="AA296" s="28" t="s">
        <v>1909</v>
      </c>
      <c r="AB296" s="28" t="s">
        <v>1951</v>
      </c>
      <c r="AC296" s="28" t="s">
        <v>1911</v>
      </c>
    </row>
    <row r="297" spans="1:29">
      <c r="A297">
        <v>56</v>
      </c>
      <c r="B297">
        <v>2107</v>
      </c>
      <c r="C297">
        <v>2107</v>
      </c>
      <c r="D297" t="s">
        <v>21</v>
      </c>
      <c r="E297" s="22">
        <v>44245</v>
      </c>
      <c r="F297" t="s">
        <v>6055</v>
      </c>
      <c r="G297" t="s">
        <v>26</v>
      </c>
      <c r="H297">
        <v>8</v>
      </c>
      <c r="I297" t="s">
        <v>42</v>
      </c>
      <c r="J297" t="s">
        <v>61</v>
      </c>
      <c r="K297" t="s">
        <v>81</v>
      </c>
      <c r="L297" t="s">
        <v>402</v>
      </c>
      <c r="M297">
        <v>2052</v>
      </c>
      <c r="N297" t="s">
        <v>815</v>
      </c>
      <c r="O297" t="s">
        <v>21</v>
      </c>
      <c r="P297" t="s">
        <v>21</v>
      </c>
      <c r="Q297" t="s">
        <v>21</v>
      </c>
      <c r="R297" t="s">
        <v>889</v>
      </c>
      <c r="S297" t="s">
        <v>889</v>
      </c>
      <c r="T297" t="s">
        <v>28</v>
      </c>
      <c r="U297" t="s">
        <v>961</v>
      </c>
      <c r="V297" s="28" t="s">
        <v>1134</v>
      </c>
      <c r="W297" s="28" t="s">
        <v>1122</v>
      </c>
      <c r="X297" s="28" t="s">
        <v>1937</v>
      </c>
      <c r="Y297" s="28" t="s">
        <v>1895</v>
      </c>
      <c r="Z297" s="28" t="s">
        <v>1952</v>
      </c>
      <c r="AA297" s="28" t="s">
        <v>1914</v>
      </c>
      <c r="AB297" s="28" t="s">
        <v>1953</v>
      </c>
      <c r="AC297" s="28" t="s">
        <v>1916</v>
      </c>
    </row>
    <row r="298" spans="1:29">
      <c r="A298">
        <v>57</v>
      </c>
      <c r="B298">
        <v>2107</v>
      </c>
      <c r="C298">
        <v>2107</v>
      </c>
      <c r="D298" t="s">
        <v>21</v>
      </c>
      <c r="E298" s="22">
        <v>44247</v>
      </c>
      <c r="F298" t="s">
        <v>6055</v>
      </c>
      <c r="G298" t="s">
        <v>26</v>
      </c>
      <c r="H298">
        <v>6</v>
      </c>
      <c r="I298" t="s">
        <v>41</v>
      </c>
      <c r="J298" t="s">
        <v>58</v>
      </c>
      <c r="K298" t="s">
        <v>78</v>
      </c>
      <c r="L298" t="s">
        <v>403</v>
      </c>
      <c r="M298">
        <v>2053</v>
      </c>
      <c r="N298" t="s">
        <v>817</v>
      </c>
      <c r="O298" t="s">
        <v>21</v>
      </c>
      <c r="P298" t="s">
        <v>21</v>
      </c>
      <c r="Q298" t="s">
        <v>21</v>
      </c>
      <c r="R298" t="s">
        <v>890</v>
      </c>
      <c r="S298" t="s">
        <v>890</v>
      </c>
      <c r="T298" t="s">
        <v>908</v>
      </c>
      <c r="U298" t="s">
        <v>961</v>
      </c>
      <c r="V298" s="28" t="s">
        <v>1133</v>
      </c>
      <c r="W298" s="28" t="s">
        <v>1126</v>
      </c>
      <c r="X298" s="28" t="s">
        <v>1932</v>
      </c>
      <c r="Y298" s="28" t="s">
        <v>1907</v>
      </c>
      <c r="Z298" s="28" t="s">
        <v>1950</v>
      </c>
      <c r="AA298" s="28" t="s">
        <v>1909</v>
      </c>
      <c r="AB298" s="28" t="s">
        <v>1951</v>
      </c>
      <c r="AC298" s="28" t="s">
        <v>1911</v>
      </c>
    </row>
    <row r="299" spans="1:29">
      <c r="A299">
        <v>58</v>
      </c>
      <c r="B299">
        <v>2107</v>
      </c>
      <c r="C299">
        <v>2107</v>
      </c>
      <c r="D299" t="s">
        <v>21</v>
      </c>
      <c r="E299" s="22">
        <v>44247</v>
      </c>
      <c r="F299" t="s">
        <v>6055</v>
      </c>
      <c r="G299" t="s">
        <v>26</v>
      </c>
      <c r="H299">
        <v>6</v>
      </c>
      <c r="I299" t="s">
        <v>38</v>
      </c>
      <c r="J299" t="s">
        <v>58</v>
      </c>
      <c r="K299" t="s">
        <v>78</v>
      </c>
      <c r="L299" t="s">
        <v>404</v>
      </c>
      <c r="M299">
        <v>2053</v>
      </c>
      <c r="N299" t="s">
        <v>817</v>
      </c>
      <c r="O299" t="s">
        <v>21</v>
      </c>
      <c r="P299" t="s">
        <v>21</v>
      </c>
      <c r="Q299" t="s">
        <v>21</v>
      </c>
      <c r="R299" t="s">
        <v>891</v>
      </c>
      <c r="S299" t="s">
        <v>891</v>
      </c>
      <c r="T299" t="s">
        <v>891</v>
      </c>
      <c r="U299" t="s">
        <v>961</v>
      </c>
      <c r="V299" s="28" t="s">
        <v>1137</v>
      </c>
      <c r="W299" s="28" t="s">
        <v>1118</v>
      </c>
      <c r="X299" s="28" t="s">
        <v>1954</v>
      </c>
      <c r="Y299" s="28" t="s">
        <v>1875</v>
      </c>
      <c r="Z299" s="28" t="s">
        <v>1955</v>
      </c>
      <c r="AA299" s="28" t="s">
        <v>1956</v>
      </c>
      <c r="AB299" s="28" t="s">
        <v>1957</v>
      </c>
      <c r="AC299" s="28" t="s">
        <v>1958</v>
      </c>
    </row>
    <row r="300" spans="1:29">
      <c r="A300">
        <v>59</v>
      </c>
      <c r="B300">
        <v>2108</v>
      </c>
      <c r="C300">
        <v>2108</v>
      </c>
      <c r="D300" t="s">
        <v>21</v>
      </c>
      <c r="E300" s="22">
        <v>44249</v>
      </c>
      <c r="F300" t="s">
        <v>6055</v>
      </c>
      <c r="G300" t="s">
        <v>26</v>
      </c>
      <c r="H300">
        <v>6</v>
      </c>
      <c r="I300" t="s">
        <v>38</v>
      </c>
      <c r="J300" t="s">
        <v>61</v>
      </c>
      <c r="K300" t="s">
        <v>81</v>
      </c>
      <c r="L300" t="s">
        <v>405</v>
      </c>
      <c r="M300">
        <v>2052</v>
      </c>
      <c r="N300" t="s">
        <v>815</v>
      </c>
      <c r="O300" t="s">
        <v>21</v>
      </c>
      <c r="P300" t="s">
        <v>21</v>
      </c>
      <c r="Q300" t="s">
        <v>21</v>
      </c>
      <c r="R300" t="s">
        <v>892</v>
      </c>
      <c r="S300" t="s">
        <v>892</v>
      </c>
      <c r="T300" t="s">
        <v>908</v>
      </c>
      <c r="U300" t="s">
        <v>961</v>
      </c>
      <c r="V300" s="28" t="s">
        <v>1138</v>
      </c>
      <c r="W300" s="28" t="s">
        <v>1126</v>
      </c>
      <c r="X300" s="28" t="s">
        <v>1959</v>
      </c>
      <c r="Y300" s="28" t="s">
        <v>1907</v>
      </c>
      <c r="Z300" s="28" t="s">
        <v>1960</v>
      </c>
      <c r="AA300" s="28" t="s">
        <v>1941</v>
      </c>
      <c r="AB300" s="28" t="s">
        <v>1961</v>
      </c>
      <c r="AC300" s="28" t="s">
        <v>1943</v>
      </c>
    </row>
    <row r="301" spans="1:29">
      <c r="A301">
        <v>60</v>
      </c>
      <c r="B301">
        <v>2108</v>
      </c>
      <c r="C301">
        <v>2108</v>
      </c>
      <c r="D301" t="s">
        <v>21</v>
      </c>
      <c r="E301" s="22">
        <v>44253</v>
      </c>
      <c r="F301" t="s">
        <v>6055</v>
      </c>
      <c r="G301" t="s">
        <v>26</v>
      </c>
      <c r="H301">
        <v>6</v>
      </c>
      <c r="I301" t="s">
        <v>38</v>
      </c>
      <c r="J301" t="s">
        <v>61</v>
      </c>
      <c r="K301" t="s">
        <v>81</v>
      </c>
      <c r="L301" t="s">
        <v>406</v>
      </c>
      <c r="M301">
        <v>2053</v>
      </c>
      <c r="N301" t="s">
        <v>821</v>
      </c>
      <c r="O301" t="s">
        <v>21</v>
      </c>
      <c r="P301" t="s">
        <v>21</v>
      </c>
      <c r="Q301" t="s">
        <v>21</v>
      </c>
      <c r="R301" t="s">
        <v>893</v>
      </c>
      <c r="S301" t="s">
        <v>893</v>
      </c>
      <c r="T301" t="s">
        <v>908</v>
      </c>
      <c r="U301" t="s">
        <v>961</v>
      </c>
      <c r="V301" s="28" t="s">
        <v>1138</v>
      </c>
      <c r="W301" s="28" t="s">
        <v>1126</v>
      </c>
      <c r="X301" s="28" t="s">
        <v>1959</v>
      </c>
      <c r="Y301" s="28" t="s">
        <v>1907</v>
      </c>
      <c r="Z301" s="28" t="s">
        <v>1960</v>
      </c>
      <c r="AA301" s="28" t="s">
        <v>1941</v>
      </c>
      <c r="AB301" s="28" t="s">
        <v>1961</v>
      </c>
      <c r="AC301" s="28" t="s">
        <v>1943</v>
      </c>
    </row>
    <row r="302" spans="1:29">
      <c r="A302">
        <v>61</v>
      </c>
      <c r="B302">
        <v>2109</v>
      </c>
      <c r="C302">
        <v>2109</v>
      </c>
      <c r="D302" t="s">
        <v>21</v>
      </c>
      <c r="E302" s="22">
        <v>44258</v>
      </c>
      <c r="F302" t="s">
        <v>6055</v>
      </c>
      <c r="G302" t="s">
        <v>26</v>
      </c>
      <c r="H302">
        <v>1</v>
      </c>
      <c r="I302" t="s">
        <v>41</v>
      </c>
      <c r="J302" t="s">
        <v>63</v>
      </c>
      <c r="K302" t="s">
        <v>85</v>
      </c>
      <c r="L302" t="s">
        <v>407</v>
      </c>
      <c r="M302">
        <v>2101</v>
      </c>
      <c r="N302" t="s">
        <v>822</v>
      </c>
      <c r="O302" t="s">
        <v>21</v>
      </c>
      <c r="P302" t="s">
        <v>21</v>
      </c>
      <c r="Q302" t="s">
        <v>21</v>
      </c>
      <c r="R302" t="s">
        <v>881</v>
      </c>
      <c r="S302" t="s">
        <v>881</v>
      </c>
      <c r="T302" t="s">
        <v>949</v>
      </c>
      <c r="U302" t="s">
        <v>961</v>
      </c>
      <c r="V302" s="28" t="s">
        <v>1139</v>
      </c>
      <c r="W302" s="28" t="s">
        <v>1140</v>
      </c>
      <c r="X302" s="28" t="s">
        <v>1962</v>
      </c>
      <c r="Y302" s="28" t="s">
        <v>1963</v>
      </c>
      <c r="Z302" s="28" t="s">
        <v>1964</v>
      </c>
      <c r="AA302" s="28" t="s">
        <v>1965</v>
      </c>
      <c r="AB302" s="28" t="s">
        <v>1966</v>
      </c>
      <c r="AC302" s="28" t="s">
        <v>1967</v>
      </c>
    </row>
    <row r="303" spans="1:29">
      <c r="A303">
        <v>62</v>
      </c>
      <c r="B303">
        <v>2109</v>
      </c>
      <c r="C303">
        <v>2109</v>
      </c>
      <c r="D303" t="s">
        <v>21</v>
      </c>
      <c r="E303" s="22">
        <v>44259</v>
      </c>
      <c r="F303" t="s">
        <v>6055</v>
      </c>
      <c r="G303" t="s">
        <v>26</v>
      </c>
      <c r="H303">
        <v>3</v>
      </c>
      <c r="I303" t="s">
        <v>36</v>
      </c>
      <c r="J303" t="s">
        <v>60</v>
      </c>
      <c r="K303" t="s">
        <v>80</v>
      </c>
      <c r="L303" t="s">
        <v>408</v>
      </c>
      <c r="M303">
        <v>2101</v>
      </c>
      <c r="N303" t="s">
        <v>814</v>
      </c>
      <c r="O303" t="s">
        <v>21</v>
      </c>
      <c r="P303" t="s">
        <v>21</v>
      </c>
      <c r="Q303" t="s">
        <v>21</v>
      </c>
      <c r="R303" t="s">
        <v>890</v>
      </c>
      <c r="S303" t="s">
        <v>890</v>
      </c>
      <c r="T303" t="s">
        <v>908</v>
      </c>
      <c r="U303" t="s">
        <v>961</v>
      </c>
      <c r="V303" s="28" t="s">
        <v>1141</v>
      </c>
      <c r="W303" s="28" t="s">
        <v>1142</v>
      </c>
      <c r="X303" s="28" t="s">
        <v>1968</v>
      </c>
      <c r="Y303" s="28" t="s">
        <v>1969</v>
      </c>
      <c r="Z303" s="28" t="s">
        <v>1970</v>
      </c>
      <c r="AA303" s="28" t="s">
        <v>1971</v>
      </c>
      <c r="AB303" s="28" t="s">
        <v>1972</v>
      </c>
      <c r="AC303" s="28" t="s">
        <v>1973</v>
      </c>
    </row>
    <row r="304" spans="1:29">
      <c r="A304">
        <v>63</v>
      </c>
      <c r="B304">
        <v>2110</v>
      </c>
      <c r="C304">
        <v>2110</v>
      </c>
      <c r="D304" t="s">
        <v>21</v>
      </c>
      <c r="E304" s="22">
        <v>44263</v>
      </c>
      <c r="F304" t="s">
        <v>6055</v>
      </c>
      <c r="G304" t="s">
        <v>26</v>
      </c>
      <c r="H304">
        <v>2</v>
      </c>
      <c r="I304" t="s">
        <v>38</v>
      </c>
      <c r="J304" t="s">
        <v>60</v>
      </c>
      <c r="K304" t="s">
        <v>80</v>
      </c>
      <c r="L304" t="s">
        <v>409</v>
      </c>
      <c r="M304">
        <v>2101</v>
      </c>
      <c r="N304" t="s">
        <v>814</v>
      </c>
      <c r="O304" t="s">
        <v>21</v>
      </c>
      <c r="P304" t="s">
        <v>21</v>
      </c>
      <c r="Q304" t="s">
        <v>21</v>
      </c>
      <c r="R304" t="s">
        <v>883</v>
      </c>
      <c r="S304" t="s">
        <v>883</v>
      </c>
      <c r="T304" t="s">
        <v>908</v>
      </c>
      <c r="U304" t="s">
        <v>961</v>
      </c>
      <c r="V304" s="28" t="s">
        <v>1143</v>
      </c>
      <c r="W304" s="28" t="s">
        <v>1142</v>
      </c>
      <c r="X304" s="28" t="s">
        <v>1974</v>
      </c>
      <c r="Y304" s="28" t="s">
        <v>1969</v>
      </c>
      <c r="Z304" s="28" t="s">
        <v>1975</v>
      </c>
      <c r="AA304" s="28" t="s">
        <v>1971</v>
      </c>
      <c r="AB304" s="28" t="s">
        <v>1976</v>
      </c>
      <c r="AC304" s="28" t="s">
        <v>1973</v>
      </c>
    </row>
    <row r="305" spans="1:29">
      <c r="A305">
        <v>64</v>
      </c>
      <c r="B305">
        <v>2110</v>
      </c>
      <c r="C305">
        <v>2110</v>
      </c>
      <c r="D305" t="s">
        <v>21</v>
      </c>
      <c r="E305" s="22">
        <v>44263</v>
      </c>
      <c r="F305" t="s">
        <v>6055</v>
      </c>
      <c r="G305" t="s">
        <v>26</v>
      </c>
      <c r="H305">
        <v>1</v>
      </c>
      <c r="I305" t="s">
        <v>40</v>
      </c>
      <c r="J305" t="s">
        <v>64</v>
      </c>
      <c r="K305" t="s">
        <v>86</v>
      </c>
      <c r="L305" t="s">
        <v>410</v>
      </c>
      <c r="M305">
        <v>2102</v>
      </c>
      <c r="N305" t="s">
        <v>823</v>
      </c>
      <c r="O305" t="s">
        <v>21</v>
      </c>
      <c r="P305" t="s">
        <v>21</v>
      </c>
      <c r="Q305" t="s">
        <v>21</v>
      </c>
      <c r="R305" t="s">
        <v>874</v>
      </c>
      <c r="S305" t="s">
        <v>874</v>
      </c>
      <c r="T305" t="s">
        <v>28</v>
      </c>
      <c r="U305" t="s">
        <v>961</v>
      </c>
      <c r="V305" s="28" t="s">
        <v>1144</v>
      </c>
      <c r="W305" s="28" t="s">
        <v>1145</v>
      </c>
      <c r="X305" s="28" t="s">
        <v>1977</v>
      </c>
      <c r="Y305" s="28" t="s">
        <v>1978</v>
      </c>
      <c r="Z305" s="28" t="s">
        <v>1979</v>
      </c>
      <c r="AA305" s="28" t="s">
        <v>1980</v>
      </c>
      <c r="AB305" s="28" t="s">
        <v>1981</v>
      </c>
      <c r="AC305" s="28" t="s">
        <v>1982</v>
      </c>
    </row>
    <row r="306" spans="1:29">
      <c r="A306">
        <v>65</v>
      </c>
      <c r="B306">
        <v>2110</v>
      </c>
      <c r="C306">
        <v>2110</v>
      </c>
      <c r="D306" t="s">
        <v>21</v>
      </c>
      <c r="E306" s="22">
        <v>44265</v>
      </c>
      <c r="F306" t="s">
        <v>6055</v>
      </c>
      <c r="G306" t="s">
        <v>26</v>
      </c>
      <c r="H306">
        <v>2</v>
      </c>
      <c r="I306" t="s">
        <v>38</v>
      </c>
      <c r="J306" t="s">
        <v>62</v>
      </c>
      <c r="K306" t="s">
        <v>82</v>
      </c>
      <c r="L306" t="s">
        <v>411</v>
      </c>
      <c r="M306">
        <v>2103</v>
      </c>
      <c r="N306" t="s">
        <v>816</v>
      </c>
      <c r="O306" t="s">
        <v>21</v>
      </c>
      <c r="P306" t="s">
        <v>21</v>
      </c>
      <c r="Q306" t="s">
        <v>21</v>
      </c>
      <c r="R306" t="s">
        <v>883</v>
      </c>
      <c r="S306" t="s">
        <v>883</v>
      </c>
      <c r="T306" t="s">
        <v>908</v>
      </c>
      <c r="U306" t="s">
        <v>961</v>
      </c>
      <c r="V306" s="28" t="s">
        <v>1143</v>
      </c>
      <c r="W306" s="28" t="s">
        <v>1142</v>
      </c>
      <c r="X306" s="28" t="s">
        <v>1974</v>
      </c>
      <c r="Y306" s="28" t="s">
        <v>1969</v>
      </c>
      <c r="Z306" s="28" t="s">
        <v>1983</v>
      </c>
      <c r="AA306" s="28" t="s">
        <v>1984</v>
      </c>
      <c r="AB306" s="28" t="s">
        <v>1985</v>
      </c>
      <c r="AC306" s="28" t="s">
        <v>1986</v>
      </c>
    </row>
    <row r="307" spans="1:29">
      <c r="A307">
        <v>66</v>
      </c>
      <c r="B307">
        <v>2110</v>
      </c>
      <c r="C307">
        <v>2110</v>
      </c>
      <c r="D307" t="s">
        <v>21</v>
      </c>
      <c r="E307" s="22">
        <v>44266</v>
      </c>
      <c r="F307" t="s">
        <v>6055</v>
      </c>
      <c r="G307" t="s">
        <v>26</v>
      </c>
      <c r="H307">
        <v>1</v>
      </c>
      <c r="I307" t="s">
        <v>38</v>
      </c>
      <c r="J307" t="s">
        <v>62</v>
      </c>
      <c r="K307" t="s">
        <v>82</v>
      </c>
      <c r="L307" t="s">
        <v>412</v>
      </c>
      <c r="M307">
        <v>2103</v>
      </c>
      <c r="N307" t="s">
        <v>816</v>
      </c>
      <c r="O307" t="s">
        <v>21</v>
      </c>
      <c r="P307" t="s">
        <v>21</v>
      </c>
      <c r="Q307" t="s">
        <v>21</v>
      </c>
      <c r="R307" t="s">
        <v>883</v>
      </c>
      <c r="S307" t="s">
        <v>883</v>
      </c>
      <c r="T307" t="s">
        <v>908</v>
      </c>
      <c r="U307" t="s">
        <v>961</v>
      </c>
      <c r="V307" s="28" t="s">
        <v>1143</v>
      </c>
      <c r="W307" s="28" t="s">
        <v>1142</v>
      </c>
      <c r="X307" s="28" t="s">
        <v>1974</v>
      </c>
      <c r="Y307" s="28" t="s">
        <v>1969</v>
      </c>
      <c r="Z307" s="28" t="s">
        <v>1983</v>
      </c>
      <c r="AA307" s="28" t="s">
        <v>1984</v>
      </c>
      <c r="AB307" s="28" t="s">
        <v>1985</v>
      </c>
      <c r="AC307" s="28" t="s">
        <v>1986</v>
      </c>
    </row>
    <row r="308" spans="1:29">
      <c r="A308">
        <v>67</v>
      </c>
      <c r="B308">
        <v>2111</v>
      </c>
      <c r="C308">
        <v>2111</v>
      </c>
      <c r="D308" t="s">
        <v>21</v>
      </c>
      <c r="E308" s="22">
        <v>44270</v>
      </c>
      <c r="F308" t="s">
        <v>6055</v>
      </c>
      <c r="G308" t="s">
        <v>26</v>
      </c>
      <c r="H308">
        <v>1</v>
      </c>
      <c r="I308" t="s">
        <v>36</v>
      </c>
      <c r="J308" t="s">
        <v>57</v>
      </c>
      <c r="K308" t="s">
        <v>76</v>
      </c>
      <c r="L308" t="s">
        <v>413</v>
      </c>
      <c r="M308">
        <v>2048</v>
      </c>
      <c r="N308" t="s">
        <v>810</v>
      </c>
      <c r="O308" t="s">
        <v>21</v>
      </c>
      <c r="P308" t="s">
        <v>21</v>
      </c>
      <c r="Q308" t="s">
        <v>21</v>
      </c>
      <c r="R308" t="s">
        <v>874</v>
      </c>
      <c r="S308" t="s">
        <v>874</v>
      </c>
      <c r="T308" t="s">
        <v>28</v>
      </c>
      <c r="U308" t="s">
        <v>961</v>
      </c>
      <c r="V308" s="28" t="s">
        <v>1146</v>
      </c>
      <c r="W308" s="28" t="s">
        <v>1145</v>
      </c>
      <c r="X308" s="28" t="s">
        <v>1987</v>
      </c>
      <c r="Y308" s="28" t="s">
        <v>1978</v>
      </c>
      <c r="Z308" s="28" t="s">
        <v>1988</v>
      </c>
      <c r="AA308" s="28" t="s">
        <v>1989</v>
      </c>
      <c r="AB308" s="28" t="s">
        <v>1990</v>
      </c>
      <c r="AC308" s="28" t="s">
        <v>1991</v>
      </c>
    </row>
    <row r="309" spans="1:29">
      <c r="A309">
        <v>68</v>
      </c>
      <c r="B309">
        <v>2111</v>
      </c>
      <c r="C309">
        <v>2111</v>
      </c>
      <c r="D309" t="s">
        <v>21</v>
      </c>
      <c r="E309" s="22">
        <v>44271</v>
      </c>
      <c r="F309" t="s">
        <v>6055</v>
      </c>
      <c r="G309" t="s">
        <v>26</v>
      </c>
      <c r="H309">
        <v>2</v>
      </c>
      <c r="I309" t="s">
        <v>36</v>
      </c>
      <c r="J309" t="s">
        <v>60</v>
      </c>
      <c r="K309" t="s">
        <v>80</v>
      </c>
      <c r="L309" t="s">
        <v>414</v>
      </c>
      <c r="M309">
        <v>2102</v>
      </c>
      <c r="N309" t="s">
        <v>814</v>
      </c>
      <c r="O309" t="s">
        <v>21</v>
      </c>
      <c r="P309" t="s">
        <v>21</v>
      </c>
      <c r="Q309" t="s">
        <v>21</v>
      </c>
      <c r="R309" t="s">
        <v>885</v>
      </c>
      <c r="S309" t="s">
        <v>885</v>
      </c>
      <c r="T309" t="s">
        <v>28</v>
      </c>
      <c r="U309" t="s">
        <v>961</v>
      </c>
      <c r="V309" s="28" t="s">
        <v>1146</v>
      </c>
      <c r="W309" s="28" t="s">
        <v>1145</v>
      </c>
      <c r="X309" s="28" t="s">
        <v>1987</v>
      </c>
      <c r="Y309" s="28" t="s">
        <v>1978</v>
      </c>
      <c r="Z309" s="28" t="s">
        <v>1992</v>
      </c>
      <c r="AA309" s="28" t="s">
        <v>1993</v>
      </c>
      <c r="AB309" s="28" t="s">
        <v>1994</v>
      </c>
      <c r="AC309" s="28" t="s">
        <v>1995</v>
      </c>
    </row>
    <row r="310" spans="1:29">
      <c r="A310">
        <v>69</v>
      </c>
      <c r="B310">
        <v>2111</v>
      </c>
      <c r="C310">
        <v>2111</v>
      </c>
      <c r="D310" t="s">
        <v>21</v>
      </c>
      <c r="E310" s="22">
        <v>44271</v>
      </c>
      <c r="F310" t="s">
        <v>6055</v>
      </c>
      <c r="G310" t="s">
        <v>26</v>
      </c>
      <c r="H310">
        <v>3</v>
      </c>
      <c r="I310" t="s">
        <v>37</v>
      </c>
      <c r="J310" t="s">
        <v>62</v>
      </c>
      <c r="K310" t="s">
        <v>82</v>
      </c>
      <c r="L310" t="s">
        <v>415</v>
      </c>
      <c r="M310">
        <v>2103</v>
      </c>
      <c r="N310" t="s">
        <v>816</v>
      </c>
      <c r="O310" t="s">
        <v>21</v>
      </c>
      <c r="P310" t="s">
        <v>21</v>
      </c>
      <c r="Q310" t="s">
        <v>21</v>
      </c>
      <c r="R310" t="s">
        <v>872</v>
      </c>
      <c r="S310" t="s">
        <v>872</v>
      </c>
      <c r="T310" t="s">
        <v>950</v>
      </c>
      <c r="U310" t="s">
        <v>961</v>
      </c>
      <c r="V310" s="28" t="s">
        <v>1147</v>
      </c>
      <c r="W310" s="28" t="s">
        <v>1148</v>
      </c>
      <c r="X310" s="28" t="s">
        <v>1996</v>
      </c>
      <c r="Y310" s="28" t="s">
        <v>1997</v>
      </c>
      <c r="Z310" s="28" t="s">
        <v>1998</v>
      </c>
      <c r="AA310" s="28" t="s">
        <v>1999</v>
      </c>
      <c r="AB310" s="28" t="s">
        <v>2000</v>
      </c>
      <c r="AC310" s="28" t="s">
        <v>2001</v>
      </c>
    </row>
    <row r="311" spans="1:29">
      <c r="A311">
        <v>70</v>
      </c>
      <c r="B311">
        <v>2112</v>
      </c>
      <c r="C311">
        <v>2112</v>
      </c>
      <c r="D311" t="s">
        <v>21</v>
      </c>
      <c r="E311" s="22">
        <v>44278</v>
      </c>
      <c r="F311" t="s">
        <v>6055</v>
      </c>
      <c r="G311" t="s">
        <v>26</v>
      </c>
      <c r="H311">
        <v>1</v>
      </c>
      <c r="I311" t="s">
        <v>38</v>
      </c>
      <c r="J311" t="s">
        <v>57</v>
      </c>
      <c r="K311" t="s">
        <v>76</v>
      </c>
      <c r="L311" t="s">
        <v>416</v>
      </c>
      <c r="M311">
        <v>2104</v>
      </c>
      <c r="N311" t="s">
        <v>810</v>
      </c>
      <c r="O311" t="s">
        <v>21</v>
      </c>
      <c r="P311" t="s">
        <v>21</v>
      </c>
      <c r="Q311" t="s">
        <v>21</v>
      </c>
      <c r="R311" t="s">
        <v>880</v>
      </c>
      <c r="S311" t="s">
        <v>880</v>
      </c>
      <c r="T311" t="s">
        <v>908</v>
      </c>
      <c r="U311" t="s">
        <v>961</v>
      </c>
      <c r="V311" s="28" t="s">
        <v>1149</v>
      </c>
      <c r="W311" s="28" t="s">
        <v>1142</v>
      </c>
      <c r="X311" s="28" t="s">
        <v>2002</v>
      </c>
      <c r="Y311" s="28" t="s">
        <v>1969</v>
      </c>
      <c r="Z311" s="28" t="s">
        <v>2003</v>
      </c>
      <c r="AA311" s="28" t="s">
        <v>2004</v>
      </c>
      <c r="AB311" s="28" t="s">
        <v>2005</v>
      </c>
      <c r="AC311" s="28" t="s">
        <v>2006</v>
      </c>
    </row>
    <row r="312" spans="1:29">
      <c r="A312">
        <v>71</v>
      </c>
      <c r="B312">
        <v>2112</v>
      </c>
      <c r="C312">
        <v>2112</v>
      </c>
      <c r="D312" t="s">
        <v>21</v>
      </c>
      <c r="E312" s="22">
        <v>44278</v>
      </c>
      <c r="F312" t="s">
        <v>6055</v>
      </c>
      <c r="G312" t="s">
        <v>26</v>
      </c>
      <c r="H312">
        <v>2</v>
      </c>
      <c r="I312" t="s">
        <v>31</v>
      </c>
      <c r="J312" t="s">
        <v>65</v>
      </c>
      <c r="K312" t="s">
        <v>87</v>
      </c>
      <c r="L312" t="s">
        <v>417</v>
      </c>
      <c r="M312">
        <v>2053</v>
      </c>
      <c r="N312" t="s">
        <v>824</v>
      </c>
      <c r="O312" t="s">
        <v>21</v>
      </c>
      <c r="P312" t="s">
        <v>21</v>
      </c>
      <c r="Q312" t="s">
        <v>21</v>
      </c>
      <c r="R312" t="s">
        <v>894</v>
      </c>
      <c r="S312" t="s">
        <v>894</v>
      </c>
      <c r="T312" t="s">
        <v>953</v>
      </c>
      <c r="U312" t="s">
        <v>961</v>
      </c>
      <c r="V312" s="28" t="s">
        <v>1150</v>
      </c>
      <c r="W312" s="28" t="s">
        <v>1151</v>
      </c>
      <c r="X312" s="28" t="s">
        <v>2007</v>
      </c>
      <c r="Y312" s="28" t="s">
        <v>2008</v>
      </c>
      <c r="Z312" s="28" t="s">
        <v>2009</v>
      </c>
      <c r="AA312" s="28" t="s">
        <v>2010</v>
      </c>
      <c r="AB312" s="28" t="s">
        <v>2011</v>
      </c>
      <c r="AC312" s="28" t="s">
        <v>2012</v>
      </c>
    </row>
    <row r="313" spans="1:29">
      <c r="A313">
        <v>72</v>
      </c>
      <c r="B313">
        <v>2112</v>
      </c>
      <c r="C313">
        <v>2112</v>
      </c>
      <c r="D313" t="s">
        <v>21</v>
      </c>
      <c r="E313" s="22">
        <v>44278</v>
      </c>
      <c r="F313" t="s">
        <v>6055</v>
      </c>
      <c r="G313" t="s">
        <v>26</v>
      </c>
      <c r="H313">
        <v>1</v>
      </c>
      <c r="I313" t="s">
        <v>40</v>
      </c>
      <c r="J313" t="s">
        <v>64</v>
      </c>
      <c r="K313" t="s">
        <v>86</v>
      </c>
      <c r="L313" t="s">
        <v>418</v>
      </c>
      <c r="M313">
        <v>2103</v>
      </c>
      <c r="N313" t="s">
        <v>823</v>
      </c>
      <c r="O313" t="s">
        <v>21</v>
      </c>
      <c r="P313" t="s">
        <v>21</v>
      </c>
      <c r="Q313" t="s">
        <v>21</v>
      </c>
      <c r="R313" t="s">
        <v>890</v>
      </c>
      <c r="S313" t="s">
        <v>890</v>
      </c>
      <c r="T313" t="s">
        <v>908</v>
      </c>
      <c r="U313" t="s">
        <v>961</v>
      </c>
      <c r="V313" s="28" t="s">
        <v>1149</v>
      </c>
      <c r="W313" s="28" t="s">
        <v>1142</v>
      </c>
      <c r="X313" s="28" t="s">
        <v>2002</v>
      </c>
      <c r="Y313" s="28" t="s">
        <v>1969</v>
      </c>
      <c r="Z313" s="28" t="s">
        <v>2013</v>
      </c>
      <c r="AA313" s="28" t="s">
        <v>2014</v>
      </c>
      <c r="AB313" s="28" t="s">
        <v>2015</v>
      </c>
      <c r="AC313" s="28" t="s">
        <v>2016</v>
      </c>
    </row>
    <row r="314" spans="1:29">
      <c r="A314">
        <v>73</v>
      </c>
      <c r="B314">
        <v>2112</v>
      </c>
      <c r="C314">
        <v>2112</v>
      </c>
      <c r="D314" t="s">
        <v>21</v>
      </c>
      <c r="E314" s="22">
        <v>44280</v>
      </c>
      <c r="F314" t="s">
        <v>6055</v>
      </c>
      <c r="G314" t="s">
        <v>26</v>
      </c>
      <c r="H314">
        <v>2</v>
      </c>
      <c r="I314" t="s">
        <v>46</v>
      </c>
      <c r="J314" t="s">
        <v>52</v>
      </c>
      <c r="K314" t="s">
        <v>88</v>
      </c>
      <c r="L314" t="s">
        <v>419</v>
      </c>
      <c r="M314">
        <v>2105</v>
      </c>
      <c r="N314" t="s">
        <v>825</v>
      </c>
      <c r="O314" t="s">
        <v>21</v>
      </c>
      <c r="P314" t="s">
        <v>21</v>
      </c>
      <c r="Q314" t="s">
        <v>21</v>
      </c>
      <c r="R314" t="s">
        <v>886</v>
      </c>
      <c r="S314" t="s">
        <v>886</v>
      </c>
      <c r="T314" t="s">
        <v>955</v>
      </c>
      <c r="U314" t="s">
        <v>960</v>
      </c>
      <c r="V314" s="28" t="s">
        <v>1152</v>
      </c>
      <c r="W314" s="28" t="s">
        <v>1153</v>
      </c>
      <c r="X314" s="28" t="s">
        <v>2017</v>
      </c>
      <c r="Y314" s="28" t="s">
        <v>2018</v>
      </c>
      <c r="Z314" s="28" t="s">
        <v>2019</v>
      </c>
      <c r="AA314" s="28" t="s">
        <v>2020</v>
      </c>
      <c r="AB314" s="28" t="s">
        <v>2021</v>
      </c>
      <c r="AC314" s="28" t="s">
        <v>2022</v>
      </c>
    </row>
    <row r="315" spans="1:29">
      <c r="A315">
        <v>74</v>
      </c>
      <c r="B315">
        <v>2112</v>
      </c>
      <c r="C315">
        <v>2112</v>
      </c>
      <c r="D315" t="s">
        <v>21</v>
      </c>
      <c r="E315" s="22">
        <v>44281</v>
      </c>
      <c r="F315" t="s">
        <v>6055</v>
      </c>
      <c r="G315" t="s">
        <v>26</v>
      </c>
      <c r="H315">
        <v>2</v>
      </c>
      <c r="I315" t="s">
        <v>38</v>
      </c>
      <c r="J315" t="s">
        <v>52</v>
      </c>
      <c r="K315" t="s">
        <v>88</v>
      </c>
      <c r="L315" t="s">
        <v>420</v>
      </c>
      <c r="M315">
        <v>2105</v>
      </c>
      <c r="N315" t="s">
        <v>825</v>
      </c>
      <c r="O315" t="s">
        <v>21</v>
      </c>
      <c r="P315" t="s">
        <v>21</v>
      </c>
      <c r="Q315" t="s">
        <v>21</v>
      </c>
      <c r="R315" t="s">
        <v>880</v>
      </c>
      <c r="S315" t="s">
        <v>880</v>
      </c>
      <c r="T315" t="s">
        <v>908</v>
      </c>
      <c r="U315" t="s">
        <v>960</v>
      </c>
      <c r="V315" s="28" t="s">
        <v>1154</v>
      </c>
      <c r="W315" s="28" t="s">
        <v>1155</v>
      </c>
      <c r="X315" s="28" t="s">
        <v>2023</v>
      </c>
      <c r="Y315" s="28" t="s">
        <v>2024</v>
      </c>
      <c r="Z315" s="28" t="s">
        <v>2025</v>
      </c>
      <c r="AA315" s="28" t="s">
        <v>2026</v>
      </c>
      <c r="AB315" s="28" t="s">
        <v>2027</v>
      </c>
      <c r="AC315" s="28" t="s">
        <v>2028</v>
      </c>
    </row>
    <row r="316" spans="1:29">
      <c r="A316">
        <v>75</v>
      </c>
      <c r="B316">
        <v>2113</v>
      </c>
      <c r="C316">
        <v>2113</v>
      </c>
      <c r="D316" t="s">
        <v>21</v>
      </c>
      <c r="E316" s="22">
        <v>44287</v>
      </c>
      <c r="F316" t="s">
        <v>6055</v>
      </c>
      <c r="G316" t="s">
        <v>26</v>
      </c>
      <c r="H316">
        <v>3</v>
      </c>
      <c r="I316" t="s">
        <v>43</v>
      </c>
      <c r="J316" t="s">
        <v>62</v>
      </c>
      <c r="K316" t="s">
        <v>82</v>
      </c>
      <c r="L316" t="s">
        <v>421</v>
      </c>
      <c r="M316">
        <v>2104</v>
      </c>
      <c r="N316" t="s">
        <v>816</v>
      </c>
      <c r="O316" t="s">
        <v>21</v>
      </c>
      <c r="P316" t="s">
        <v>21</v>
      </c>
      <c r="Q316" t="s">
        <v>21</v>
      </c>
      <c r="R316" t="s">
        <v>880</v>
      </c>
      <c r="S316" t="s">
        <v>880</v>
      </c>
      <c r="T316" t="s">
        <v>908</v>
      </c>
      <c r="U316" t="s">
        <v>961</v>
      </c>
      <c r="V316" s="28" t="s">
        <v>1156</v>
      </c>
      <c r="W316" s="28" t="s">
        <v>1142</v>
      </c>
      <c r="X316" s="28" t="s">
        <v>2029</v>
      </c>
      <c r="Y316" s="28" t="s">
        <v>1969</v>
      </c>
      <c r="Z316" s="28" t="s">
        <v>2030</v>
      </c>
      <c r="AA316" s="28" t="s">
        <v>1984</v>
      </c>
      <c r="AB316" s="28" t="s">
        <v>2031</v>
      </c>
      <c r="AC316" s="28" t="s">
        <v>1986</v>
      </c>
    </row>
    <row r="317" spans="1:29">
      <c r="A317">
        <v>76</v>
      </c>
      <c r="B317">
        <v>2116</v>
      </c>
      <c r="C317">
        <v>2116</v>
      </c>
      <c r="D317" t="s">
        <v>21</v>
      </c>
      <c r="E317" s="22">
        <v>44306</v>
      </c>
      <c r="F317" t="s">
        <v>6055</v>
      </c>
      <c r="G317" t="s">
        <v>26</v>
      </c>
      <c r="H317">
        <v>3</v>
      </c>
      <c r="I317" t="s">
        <v>38</v>
      </c>
      <c r="J317" t="s">
        <v>62</v>
      </c>
      <c r="K317" t="s">
        <v>82</v>
      </c>
      <c r="L317" t="s">
        <v>422</v>
      </c>
      <c r="M317">
        <v>2109</v>
      </c>
      <c r="N317" t="s">
        <v>816</v>
      </c>
      <c r="O317" t="s">
        <v>21</v>
      </c>
      <c r="P317" t="s">
        <v>21</v>
      </c>
      <c r="Q317" t="s">
        <v>21</v>
      </c>
      <c r="R317" t="s">
        <v>883</v>
      </c>
      <c r="S317" t="s">
        <v>883</v>
      </c>
      <c r="T317" t="s">
        <v>908</v>
      </c>
      <c r="U317" t="s">
        <v>961</v>
      </c>
      <c r="V317" s="28" t="s">
        <v>1157</v>
      </c>
      <c r="W317" s="28" t="s">
        <v>1158</v>
      </c>
      <c r="X317" s="28" t="s">
        <v>2032</v>
      </c>
      <c r="Y317" s="28" t="s">
        <v>2033</v>
      </c>
      <c r="Z317" s="28" t="s">
        <v>2034</v>
      </c>
      <c r="AA317" s="28" t="s">
        <v>2035</v>
      </c>
      <c r="AB317" s="28" t="s">
        <v>2036</v>
      </c>
      <c r="AC317" s="28" t="s">
        <v>2037</v>
      </c>
    </row>
    <row r="318" spans="1:29">
      <c r="A318">
        <v>77</v>
      </c>
      <c r="B318">
        <v>2116</v>
      </c>
      <c r="C318">
        <v>2116</v>
      </c>
      <c r="D318" t="s">
        <v>21</v>
      </c>
      <c r="E318" s="22">
        <v>44306</v>
      </c>
      <c r="F318" t="s">
        <v>6055</v>
      </c>
      <c r="G318" t="s">
        <v>26</v>
      </c>
      <c r="H318">
        <v>3</v>
      </c>
      <c r="I318" t="s">
        <v>38</v>
      </c>
      <c r="J318" t="s">
        <v>62</v>
      </c>
      <c r="K318" t="s">
        <v>82</v>
      </c>
      <c r="L318" t="s">
        <v>423</v>
      </c>
      <c r="M318">
        <v>2109</v>
      </c>
      <c r="N318" t="s">
        <v>816</v>
      </c>
      <c r="O318" t="s">
        <v>21</v>
      </c>
      <c r="P318" t="s">
        <v>21</v>
      </c>
      <c r="Q318" t="s">
        <v>21</v>
      </c>
      <c r="R318" t="s">
        <v>883</v>
      </c>
      <c r="S318" t="s">
        <v>883</v>
      </c>
      <c r="T318" t="s">
        <v>908</v>
      </c>
      <c r="U318" t="s">
        <v>961</v>
      </c>
      <c r="V318" s="28" t="s">
        <v>1157</v>
      </c>
      <c r="W318" s="28" t="s">
        <v>1158</v>
      </c>
      <c r="X318" s="28" t="s">
        <v>2032</v>
      </c>
      <c r="Y318" s="28" t="s">
        <v>2033</v>
      </c>
      <c r="Z318" s="28" t="s">
        <v>2034</v>
      </c>
      <c r="AA318" s="28" t="s">
        <v>2035</v>
      </c>
      <c r="AB318" s="28" t="s">
        <v>2036</v>
      </c>
      <c r="AC318" s="28" t="s">
        <v>2037</v>
      </c>
    </row>
    <row r="319" spans="1:29">
      <c r="A319">
        <v>78</v>
      </c>
      <c r="B319">
        <v>2116</v>
      </c>
      <c r="C319">
        <v>2116</v>
      </c>
      <c r="D319" t="s">
        <v>21</v>
      </c>
      <c r="E319" s="22">
        <v>44306</v>
      </c>
      <c r="F319" t="s">
        <v>6055</v>
      </c>
      <c r="G319" t="s">
        <v>26</v>
      </c>
      <c r="H319">
        <v>3</v>
      </c>
      <c r="I319" t="s">
        <v>38</v>
      </c>
      <c r="J319" t="s">
        <v>62</v>
      </c>
      <c r="K319" t="s">
        <v>82</v>
      </c>
      <c r="L319" t="s">
        <v>424</v>
      </c>
      <c r="M319">
        <v>2109</v>
      </c>
      <c r="N319" t="s">
        <v>816</v>
      </c>
      <c r="O319" t="s">
        <v>21</v>
      </c>
      <c r="P319" t="s">
        <v>21</v>
      </c>
      <c r="Q319" t="s">
        <v>21</v>
      </c>
      <c r="R319" t="s">
        <v>883</v>
      </c>
      <c r="S319" t="s">
        <v>883</v>
      </c>
      <c r="T319" t="s">
        <v>908</v>
      </c>
      <c r="U319" t="s">
        <v>961</v>
      </c>
      <c r="V319" s="28" t="s">
        <v>1157</v>
      </c>
      <c r="W319" s="28" t="s">
        <v>1158</v>
      </c>
      <c r="X319" s="28" t="s">
        <v>2032</v>
      </c>
      <c r="Y319" s="28" t="s">
        <v>2033</v>
      </c>
      <c r="Z319" s="28" t="s">
        <v>2034</v>
      </c>
      <c r="AA319" s="28" t="s">
        <v>2035</v>
      </c>
      <c r="AB319" s="28" t="s">
        <v>2036</v>
      </c>
      <c r="AC319" s="28" t="s">
        <v>2037</v>
      </c>
    </row>
    <row r="320" spans="1:29">
      <c r="A320">
        <v>79</v>
      </c>
      <c r="B320">
        <v>2116</v>
      </c>
      <c r="C320">
        <v>2116</v>
      </c>
      <c r="D320" t="s">
        <v>21</v>
      </c>
      <c r="E320" s="22">
        <v>44307</v>
      </c>
      <c r="F320" t="s">
        <v>6055</v>
      </c>
      <c r="G320" t="s">
        <v>26</v>
      </c>
      <c r="H320">
        <v>2</v>
      </c>
      <c r="I320" t="s">
        <v>38</v>
      </c>
      <c r="J320" t="s">
        <v>62</v>
      </c>
      <c r="K320" t="s">
        <v>82</v>
      </c>
      <c r="L320" t="s">
        <v>425</v>
      </c>
      <c r="M320">
        <v>2109</v>
      </c>
      <c r="N320" t="s">
        <v>816</v>
      </c>
      <c r="O320" t="s">
        <v>21</v>
      </c>
      <c r="P320" t="s">
        <v>21</v>
      </c>
      <c r="Q320" t="s">
        <v>21</v>
      </c>
      <c r="R320" t="s">
        <v>883</v>
      </c>
      <c r="S320" t="s">
        <v>883</v>
      </c>
      <c r="T320" t="s">
        <v>908</v>
      </c>
      <c r="U320" t="s">
        <v>961</v>
      </c>
      <c r="V320" s="28" t="s">
        <v>1157</v>
      </c>
      <c r="W320" s="28" t="s">
        <v>1158</v>
      </c>
      <c r="X320" s="28" t="s">
        <v>2032</v>
      </c>
      <c r="Y320" s="28" t="s">
        <v>2033</v>
      </c>
      <c r="Z320" s="28" t="s">
        <v>2034</v>
      </c>
      <c r="AA320" s="28" t="s">
        <v>2035</v>
      </c>
      <c r="AB320" s="28" t="s">
        <v>2036</v>
      </c>
      <c r="AC320" s="28" t="s">
        <v>2037</v>
      </c>
    </row>
    <row r="321" spans="1:29">
      <c r="A321">
        <v>80</v>
      </c>
      <c r="B321">
        <v>2116</v>
      </c>
      <c r="C321">
        <v>2116</v>
      </c>
      <c r="D321" t="s">
        <v>21</v>
      </c>
      <c r="E321" s="22">
        <v>44307</v>
      </c>
      <c r="F321" t="s">
        <v>6055</v>
      </c>
      <c r="G321" t="s">
        <v>26</v>
      </c>
      <c r="H321">
        <v>3</v>
      </c>
      <c r="I321" t="s">
        <v>38</v>
      </c>
      <c r="J321" t="s">
        <v>62</v>
      </c>
      <c r="K321" t="s">
        <v>82</v>
      </c>
      <c r="L321" t="s">
        <v>426</v>
      </c>
      <c r="M321">
        <v>2106</v>
      </c>
      <c r="N321" t="s">
        <v>816</v>
      </c>
      <c r="O321" t="s">
        <v>21</v>
      </c>
      <c r="P321" t="s">
        <v>21</v>
      </c>
      <c r="Q321" t="s">
        <v>21</v>
      </c>
      <c r="R321" t="s">
        <v>883</v>
      </c>
      <c r="S321" t="s">
        <v>883</v>
      </c>
      <c r="T321" t="s">
        <v>908</v>
      </c>
      <c r="U321" t="s">
        <v>961</v>
      </c>
      <c r="V321" s="28" t="s">
        <v>1157</v>
      </c>
      <c r="W321" s="28" t="s">
        <v>1158</v>
      </c>
      <c r="X321" s="28" t="s">
        <v>2032</v>
      </c>
      <c r="Y321" s="28" t="s">
        <v>2033</v>
      </c>
      <c r="Z321" s="28" t="s">
        <v>2034</v>
      </c>
      <c r="AA321" s="28" t="s">
        <v>2035</v>
      </c>
      <c r="AB321" s="28" t="s">
        <v>2036</v>
      </c>
      <c r="AC321" s="28" t="s">
        <v>2037</v>
      </c>
    </row>
    <row r="322" spans="1:29">
      <c r="A322">
        <v>81</v>
      </c>
      <c r="B322">
        <v>2116</v>
      </c>
      <c r="C322">
        <v>2116</v>
      </c>
      <c r="D322" t="s">
        <v>21</v>
      </c>
      <c r="E322" s="22">
        <v>44307</v>
      </c>
      <c r="F322" t="s">
        <v>6055</v>
      </c>
      <c r="G322" t="s">
        <v>26</v>
      </c>
      <c r="H322">
        <v>4</v>
      </c>
      <c r="I322" t="s">
        <v>42</v>
      </c>
      <c r="J322" t="s">
        <v>62</v>
      </c>
      <c r="K322" t="s">
        <v>82</v>
      </c>
      <c r="L322" t="s">
        <v>427</v>
      </c>
      <c r="M322">
        <v>2109</v>
      </c>
      <c r="N322" t="s">
        <v>816</v>
      </c>
      <c r="O322" t="s">
        <v>21</v>
      </c>
      <c r="P322" t="s">
        <v>21</v>
      </c>
      <c r="Q322" t="s">
        <v>21</v>
      </c>
      <c r="R322" t="s">
        <v>877</v>
      </c>
      <c r="S322" t="s">
        <v>877</v>
      </c>
      <c r="T322" t="s">
        <v>28</v>
      </c>
      <c r="U322" t="s">
        <v>961</v>
      </c>
      <c r="V322" s="28" t="s">
        <v>1159</v>
      </c>
      <c r="W322" s="28" t="s">
        <v>1160</v>
      </c>
      <c r="X322" s="28" t="s">
        <v>2038</v>
      </c>
      <c r="Y322" s="28" t="s">
        <v>2039</v>
      </c>
      <c r="Z322" s="28" t="s">
        <v>2040</v>
      </c>
      <c r="AA322" s="28" t="s">
        <v>2041</v>
      </c>
      <c r="AB322" s="28" t="s">
        <v>2042</v>
      </c>
      <c r="AC322" s="28" t="s">
        <v>2043</v>
      </c>
    </row>
    <row r="323" spans="1:29">
      <c r="A323">
        <v>82</v>
      </c>
      <c r="B323">
        <v>2116</v>
      </c>
      <c r="C323">
        <v>2116</v>
      </c>
      <c r="D323" t="s">
        <v>21</v>
      </c>
      <c r="E323" s="22">
        <v>44307</v>
      </c>
      <c r="F323" t="s">
        <v>6055</v>
      </c>
      <c r="G323" t="s">
        <v>26</v>
      </c>
      <c r="H323">
        <v>2</v>
      </c>
      <c r="I323" t="s">
        <v>38</v>
      </c>
      <c r="J323" t="s">
        <v>62</v>
      </c>
      <c r="K323" t="s">
        <v>82</v>
      </c>
      <c r="L323" t="s">
        <v>428</v>
      </c>
      <c r="M323">
        <v>2105</v>
      </c>
      <c r="N323" t="s">
        <v>816</v>
      </c>
      <c r="O323" t="s">
        <v>21</v>
      </c>
      <c r="P323" t="s">
        <v>21</v>
      </c>
      <c r="Q323" t="s">
        <v>21</v>
      </c>
      <c r="R323" t="s">
        <v>883</v>
      </c>
      <c r="S323" t="s">
        <v>883</v>
      </c>
      <c r="T323" t="s">
        <v>908</v>
      </c>
      <c r="U323" t="s">
        <v>961</v>
      </c>
      <c r="V323" s="28" t="s">
        <v>1157</v>
      </c>
      <c r="W323" s="28" t="s">
        <v>1158</v>
      </c>
      <c r="X323" s="28" t="s">
        <v>2032</v>
      </c>
      <c r="Y323" s="28" t="s">
        <v>2033</v>
      </c>
      <c r="Z323" s="28" t="s">
        <v>2034</v>
      </c>
      <c r="AA323" s="28" t="s">
        <v>2035</v>
      </c>
      <c r="AB323" s="28" t="s">
        <v>2036</v>
      </c>
      <c r="AC323" s="28" t="s">
        <v>2037</v>
      </c>
    </row>
    <row r="324" spans="1:29">
      <c r="A324">
        <v>83</v>
      </c>
      <c r="B324">
        <v>2116</v>
      </c>
      <c r="C324">
        <v>2116</v>
      </c>
      <c r="D324" t="s">
        <v>21</v>
      </c>
      <c r="E324" s="22">
        <v>44307</v>
      </c>
      <c r="F324" t="s">
        <v>6055</v>
      </c>
      <c r="G324" t="s">
        <v>26</v>
      </c>
      <c r="H324">
        <v>2</v>
      </c>
      <c r="I324" t="s">
        <v>38</v>
      </c>
      <c r="J324" t="s">
        <v>62</v>
      </c>
      <c r="K324" t="s">
        <v>82</v>
      </c>
      <c r="L324" t="s">
        <v>429</v>
      </c>
      <c r="M324">
        <v>2105</v>
      </c>
      <c r="N324" t="s">
        <v>816</v>
      </c>
      <c r="O324" t="s">
        <v>21</v>
      </c>
      <c r="P324" t="s">
        <v>21</v>
      </c>
      <c r="Q324" t="s">
        <v>21</v>
      </c>
      <c r="R324" t="s">
        <v>883</v>
      </c>
      <c r="S324" t="s">
        <v>883</v>
      </c>
      <c r="T324" t="s">
        <v>908</v>
      </c>
      <c r="U324" t="s">
        <v>961</v>
      </c>
      <c r="V324" s="28" t="s">
        <v>1157</v>
      </c>
      <c r="W324" s="28" t="s">
        <v>1158</v>
      </c>
      <c r="X324" s="28" t="s">
        <v>2032</v>
      </c>
      <c r="Y324" s="28" t="s">
        <v>2033</v>
      </c>
      <c r="Z324" s="28" t="s">
        <v>2034</v>
      </c>
      <c r="AA324" s="28" t="s">
        <v>2035</v>
      </c>
      <c r="AB324" s="28" t="s">
        <v>2036</v>
      </c>
      <c r="AC324" s="28" t="s">
        <v>2037</v>
      </c>
    </row>
    <row r="325" spans="1:29">
      <c r="A325">
        <v>84</v>
      </c>
      <c r="B325">
        <v>2116</v>
      </c>
      <c r="C325">
        <v>2116</v>
      </c>
      <c r="D325" t="s">
        <v>21</v>
      </c>
      <c r="E325" s="22">
        <v>44307</v>
      </c>
      <c r="F325" t="s">
        <v>6055</v>
      </c>
      <c r="G325" t="s">
        <v>26</v>
      </c>
      <c r="H325">
        <v>2</v>
      </c>
      <c r="I325" t="s">
        <v>38</v>
      </c>
      <c r="J325" t="s">
        <v>62</v>
      </c>
      <c r="K325" t="s">
        <v>82</v>
      </c>
      <c r="L325" t="s">
        <v>430</v>
      </c>
      <c r="M325">
        <v>2105</v>
      </c>
      <c r="N325" t="s">
        <v>816</v>
      </c>
      <c r="O325" t="s">
        <v>21</v>
      </c>
      <c r="P325" t="s">
        <v>21</v>
      </c>
      <c r="Q325" t="s">
        <v>21</v>
      </c>
      <c r="R325" t="s">
        <v>883</v>
      </c>
      <c r="S325" t="s">
        <v>883</v>
      </c>
      <c r="T325" t="s">
        <v>908</v>
      </c>
      <c r="U325" t="s">
        <v>961</v>
      </c>
      <c r="V325" s="28" t="s">
        <v>1157</v>
      </c>
      <c r="W325" s="28" t="s">
        <v>1158</v>
      </c>
      <c r="X325" s="28" t="s">
        <v>2032</v>
      </c>
      <c r="Y325" s="28" t="s">
        <v>2033</v>
      </c>
      <c r="Z325" s="28" t="s">
        <v>2034</v>
      </c>
      <c r="AA325" s="28" t="s">
        <v>2035</v>
      </c>
      <c r="AB325" s="28" t="s">
        <v>2036</v>
      </c>
      <c r="AC325" s="28" t="s">
        <v>2037</v>
      </c>
    </row>
    <row r="326" spans="1:29">
      <c r="A326">
        <v>85</v>
      </c>
      <c r="B326">
        <v>2116</v>
      </c>
      <c r="C326">
        <v>2116</v>
      </c>
      <c r="D326" t="s">
        <v>21</v>
      </c>
      <c r="E326" s="22">
        <v>44308</v>
      </c>
      <c r="F326" t="s">
        <v>6055</v>
      </c>
      <c r="G326" t="s">
        <v>26</v>
      </c>
      <c r="H326">
        <v>2</v>
      </c>
      <c r="I326" t="s">
        <v>36</v>
      </c>
      <c r="J326" t="s">
        <v>62</v>
      </c>
      <c r="K326" t="s">
        <v>82</v>
      </c>
      <c r="L326" t="s">
        <v>431</v>
      </c>
      <c r="M326">
        <v>2105</v>
      </c>
      <c r="N326" t="s">
        <v>816</v>
      </c>
      <c r="O326" t="s">
        <v>21</v>
      </c>
      <c r="P326" t="s">
        <v>21</v>
      </c>
      <c r="Q326" t="s">
        <v>21</v>
      </c>
      <c r="R326" t="s">
        <v>877</v>
      </c>
      <c r="S326" t="s">
        <v>877</v>
      </c>
      <c r="T326" t="s">
        <v>28</v>
      </c>
      <c r="U326" t="s">
        <v>961</v>
      </c>
      <c r="V326" s="28" t="s">
        <v>1159</v>
      </c>
      <c r="W326" s="28" t="s">
        <v>1160</v>
      </c>
      <c r="X326" s="28" t="s">
        <v>2038</v>
      </c>
      <c r="Y326" s="28" t="s">
        <v>2039</v>
      </c>
      <c r="Z326" s="28" t="s">
        <v>2040</v>
      </c>
      <c r="AA326" s="28" t="s">
        <v>2041</v>
      </c>
      <c r="AB326" s="28" t="s">
        <v>2042</v>
      </c>
      <c r="AC326" s="28" t="s">
        <v>2043</v>
      </c>
    </row>
    <row r="327" spans="1:29">
      <c r="A327">
        <v>86</v>
      </c>
      <c r="B327">
        <v>2116</v>
      </c>
      <c r="C327">
        <v>2116</v>
      </c>
      <c r="D327" t="s">
        <v>21</v>
      </c>
      <c r="E327" s="22">
        <v>44308</v>
      </c>
      <c r="F327" t="s">
        <v>6055</v>
      </c>
      <c r="G327" t="s">
        <v>26</v>
      </c>
      <c r="H327">
        <v>2</v>
      </c>
      <c r="I327" t="s">
        <v>41</v>
      </c>
      <c r="J327" t="s">
        <v>62</v>
      </c>
      <c r="K327" t="s">
        <v>82</v>
      </c>
      <c r="L327" t="s">
        <v>432</v>
      </c>
      <c r="M327">
        <v>2106</v>
      </c>
      <c r="N327" t="s">
        <v>816</v>
      </c>
      <c r="O327" t="s">
        <v>21</v>
      </c>
      <c r="P327" t="s">
        <v>21</v>
      </c>
      <c r="Q327" t="s">
        <v>21</v>
      </c>
      <c r="R327" t="s">
        <v>874</v>
      </c>
      <c r="S327" t="s">
        <v>874</v>
      </c>
      <c r="T327" t="s">
        <v>28</v>
      </c>
      <c r="U327" t="s">
        <v>961</v>
      </c>
      <c r="V327" s="28" t="s">
        <v>1159</v>
      </c>
      <c r="W327" s="28" t="s">
        <v>1160</v>
      </c>
      <c r="X327" s="28" t="s">
        <v>2038</v>
      </c>
      <c r="Y327" s="28" t="s">
        <v>2039</v>
      </c>
      <c r="Z327" s="28" t="s">
        <v>2040</v>
      </c>
      <c r="AA327" s="28" t="s">
        <v>2041</v>
      </c>
      <c r="AB327" s="28" t="s">
        <v>2042</v>
      </c>
      <c r="AC327" s="28" t="s">
        <v>2043</v>
      </c>
    </row>
    <row r="328" spans="1:29">
      <c r="A328">
        <v>87</v>
      </c>
      <c r="B328">
        <v>2117</v>
      </c>
      <c r="C328">
        <v>2117</v>
      </c>
      <c r="D328" t="s">
        <v>21</v>
      </c>
      <c r="E328" s="22">
        <v>44312</v>
      </c>
      <c r="F328" t="s">
        <v>6055</v>
      </c>
      <c r="G328" t="s">
        <v>26</v>
      </c>
      <c r="H328">
        <v>1</v>
      </c>
      <c r="I328" t="s">
        <v>38</v>
      </c>
      <c r="J328" t="s">
        <v>64</v>
      </c>
      <c r="K328" t="s">
        <v>86</v>
      </c>
      <c r="L328" t="s">
        <v>433</v>
      </c>
      <c r="M328">
        <v>2108</v>
      </c>
      <c r="N328" t="s">
        <v>823</v>
      </c>
      <c r="O328" t="s">
        <v>21</v>
      </c>
      <c r="P328" t="s">
        <v>21</v>
      </c>
      <c r="Q328" t="s">
        <v>21</v>
      </c>
      <c r="R328" t="s">
        <v>883</v>
      </c>
      <c r="S328" t="s">
        <v>883</v>
      </c>
      <c r="T328" t="s">
        <v>908</v>
      </c>
      <c r="U328" t="s">
        <v>961</v>
      </c>
      <c r="V328" s="28" t="s">
        <v>1161</v>
      </c>
      <c r="W328" s="28" t="s">
        <v>1158</v>
      </c>
      <c r="X328" s="28" t="s">
        <v>2044</v>
      </c>
      <c r="Y328" s="28" t="s">
        <v>2033</v>
      </c>
      <c r="Z328" s="28" t="s">
        <v>2045</v>
      </c>
      <c r="AA328" s="28" t="s">
        <v>2046</v>
      </c>
      <c r="AB328" s="28" t="s">
        <v>2047</v>
      </c>
      <c r="AC328" s="28" t="s">
        <v>2048</v>
      </c>
    </row>
    <row r="329" spans="1:29">
      <c r="A329">
        <v>88</v>
      </c>
      <c r="B329">
        <v>2118</v>
      </c>
      <c r="C329">
        <v>2118</v>
      </c>
      <c r="D329" t="s">
        <v>21</v>
      </c>
      <c r="E329" s="22">
        <v>44320</v>
      </c>
      <c r="F329" t="s">
        <v>6055</v>
      </c>
      <c r="G329" t="s">
        <v>26</v>
      </c>
      <c r="H329">
        <v>3</v>
      </c>
      <c r="I329" t="s">
        <v>36</v>
      </c>
      <c r="J329" t="s">
        <v>62</v>
      </c>
      <c r="K329" t="s">
        <v>82</v>
      </c>
      <c r="L329" t="s">
        <v>434</v>
      </c>
      <c r="M329">
        <v>2110</v>
      </c>
      <c r="N329" t="s">
        <v>816</v>
      </c>
      <c r="O329" t="s">
        <v>21</v>
      </c>
      <c r="P329" t="s">
        <v>21</v>
      </c>
      <c r="Q329" t="s">
        <v>21</v>
      </c>
      <c r="R329" t="s">
        <v>884</v>
      </c>
      <c r="S329" t="s">
        <v>884</v>
      </c>
      <c r="T329" t="s">
        <v>954</v>
      </c>
      <c r="U329" t="s">
        <v>961</v>
      </c>
      <c r="V329" s="28" t="s">
        <v>1162</v>
      </c>
      <c r="W329" s="28" t="s">
        <v>1163</v>
      </c>
      <c r="X329" s="28" t="s">
        <v>2049</v>
      </c>
      <c r="Y329" s="28" t="s">
        <v>2050</v>
      </c>
      <c r="Z329" s="28" t="s">
        <v>2051</v>
      </c>
      <c r="AA329" s="28" t="s">
        <v>2052</v>
      </c>
      <c r="AB329" s="28" t="s">
        <v>2053</v>
      </c>
      <c r="AC329" s="28" t="s">
        <v>2054</v>
      </c>
    </row>
    <row r="330" spans="1:29">
      <c r="A330">
        <v>89</v>
      </c>
      <c r="B330">
        <v>2118</v>
      </c>
      <c r="C330">
        <v>2118</v>
      </c>
      <c r="D330" t="s">
        <v>21</v>
      </c>
      <c r="E330" s="22">
        <v>44321</v>
      </c>
      <c r="F330" t="s">
        <v>6055</v>
      </c>
      <c r="G330" t="s">
        <v>26</v>
      </c>
      <c r="H330">
        <v>2</v>
      </c>
      <c r="I330" t="s">
        <v>36</v>
      </c>
      <c r="J330" t="s">
        <v>52</v>
      </c>
      <c r="K330" t="s">
        <v>88</v>
      </c>
      <c r="L330" t="s">
        <v>435</v>
      </c>
      <c r="M330">
        <v>2110</v>
      </c>
      <c r="N330" t="s">
        <v>825</v>
      </c>
      <c r="O330" t="s">
        <v>21</v>
      </c>
      <c r="P330" t="s">
        <v>21</v>
      </c>
      <c r="Q330" t="s">
        <v>21</v>
      </c>
      <c r="R330" t="s">
        <v>877</v>
      </c>
      <c r="S330" t="s">
        <v>877</v>
      </c>
      <c r="T330" t="s">
        <v>28</v>
      </c>
      <c r="U330" t="s">
        <v>960</v>
      </c>
      <c r="V330" s="28" t="s">
        <v>1164</v>
      </c>
      <c r="W330" s="28" t="s">
        <v>1165</v>
      </c>
      <c r="X330" s="28" t="s">
        <v>2055</v>
      </c>
      <c r="Y330" s="28" t="s">
        <v>2056</v>
      </c>
      <c r="Z330" s="28" t="s">
        <v>2057</v>
      </c>
      <c r="AA330" s="28" t="s">
        <v>2058</v>
      </c>
      <c r="AB330" s="28" t="s">
        <v>2059</v>
      </c>
      <c r="AC330" s="28" t="s">
        <v>2060</v>
      </c>
    </row>
    <row r="331" spans="1:29">
      <c r="A331">
        <v>90</v>
      </c>
      <c r="B331">
        <v>2118</v>
      </c>
      <c r="C331">
        <v>2118</v>
      </c>
      <c r="D331" t="s">
        <v>21</v>
      </c>
      <c r="E331" s="22">
        <v>44322</v>
      </c>
      <c r="F331" t="s">
        <v>6055</v>
      </c>
      <c r="G331" t="s">
        <v>26</v>
      </c>
      <c r="H331">
        <v>2</v>
      </c>
      <c r="I331" t="s">
        <v>36</v>
      </c>
      <c r="J331" t="s">
        <v>64</v>
      </c>
      <c r="K331" t="s">
        <v>86</v>
      </c>
      <c r="L331" t="s">
        <v>436</v>
      </c>
      <c r="M331">
        <v>2109</v>
      </c>
      <c r="N331" t="s">
        <v>823</v>
      </c>
      <c r="O331" t="s">
        <v>21</v>
      </c>
      <c r="P331" t="s">
        <v>21</v>
      </c>
      <c r="Q331" t="s">
        <v>21</v>
      </c>
      <c r="R331" t="s">
        <v>895</v>
      </c>
      <c r="S331" t="s">
        <v>895</v>
      </c>
      <c r="T331" t="s">
        <v>954</v>
      </c>
      <c r="U331" t="s">
        <v>961</v>
      </c>
      <c r="V331" s="28" t="s">
        <v>1162</v>
      </c>
      <c r="W331" s="28" t="s">
        <v>1163</v>
      </c>
      <c r="X331" s="28" t="s">
        <v>2049</v>
      </c>
      <c r="Y331" s="28" t="s">
        <v>2050</v>
      </c>
      <c r="Z331" s="28" t="s">
        <v>2061</v>
      </c>
      <c r="AA331" s="28" t="s">
        <v>2062</v>
      </c>
      <c r="AB331" s="28" t="s">
        <v>2063</v>
      </c>
      <c r="AC331" s="28" t="s">
        <v>2064</v>
      </c>
    </row>
    <row r="332" spans="1:29">
      <c r="A332">
        <v>91</v>
      </c>
      <c r="B332">
        <v>2119</v>
      </c>
      <c r="C332">
        <v>2119</v>
      </c>
      <c r="D332" t="s">
        <v>21</v>
      </c>
      <c r="E332" s="22">
        <v>44327</v>
      </c>
      <c r="F332" t="s">
        <v>6055</v>
      </c>
      <c r="G332" t="s">
        <v>26</v>
      </c>
      <c r="H332">
        <v>3</v>
      </c>
      <c r="I332" t="s">
        <v>36</v>
      </c>
      <c r="J332" t="s">
        <v>60</v>
      </c>
      <c r="K332" t="s">
        <v>89</v>
      </c>
      <c r="L332" t="s">
        <v>437</v>
      </c>
      <c r="M332">
        <v>2110</v>
      </c>
      <c r="N332" t="s">
        <v>826</v>
      </c>
      <c r="O332" t="s">
        <v>21</v>
      </c>
      <c r="P332" t="s">
        <v>21</v>
      </c>
      <c r="Q332" t="s">
        <v>21</v>
      </c>
      <c r="R332" t="s">
        <v>882</v>
      </c>
      <c r="S332" t="s">
        <v>882</v>
      </c>
      <c r="T332" t="s">
        <v>28</v>
      </c>
      <c r="U332" t="s">
        <v>961</v>
      </c>
      <c r="V332" s="28" t="s">
        <v>1166</v>
      </c>
      <c r="W332" s="28" t="s">
        <v>1167</v>
      </c>
      <c r="X332" s="28" t="s">
        <v>2065</v>
      </c>
      <c r="Y332" s="28" t="s">
        <v>2066</v>
      </c>
      <c r="Z332" s="28" t="s">
        <v>2067</v>
      </c>
      <c r="AA332" s="28" t="s">
        <v>2068</v>
      </c>
      <c r="AB332" s="28" t="s">
        <v>2069</v>
      </c>
      <c r="AC332" s="28" t="s">
        <v>2070</v>
      </c>
    </row>
    <row r="333" spans="1:29">
      <c r="A333">
        <v>92</v>
      </c>
      <c r="B333">
        <v>2120</v>
      </c>
      <c r="C333">
        <v>2120</v>
      </c>
      <c r="D333" t="s">
        <v>21</v>
      </c>
      <c r="E333" s="22">
        <v>44333</v>
      </c>
      <c r="F333" t="s">
        <v>6055</v>
      </c>
      <c r="G333" t="s">
        <v>26</v>
      </c>
      <c r="H333">
        <v>2</v>
      </c>
      <c r="I333" t="s">
        <v>47</v>
      </c>
      <c r="J333" t="s">
        <v>53</v>
      </c>
      <c r="K333" t="s">
        <v>90</v>
      </c>
      <c r="L333" t="s">
        <v>438</v>
      </c>
      <c r="M333">
        <v>2112</v>
      </c>
      <c r="N333" t="s">
        <v>827</v>
      </c>
      <c r="O333" t="s">
        <v>21</v>
      </c>
      <c r="P333" t="s">
        <v>21</v>
      </c>
      <c r="Q333" t="s">
        <v>21</v>
      </c>
      <c r="R333" t="s">
        <v>872</v>
      </c>
      <c r="S333" t="s">
        <v>872</v>
      </c>
      <c r="T333" t="s">
        <v>950</v>
      </c>
      <c r="U333" t="s">
        <v>960</v>
      </c>
      <c r="V333" s="28" t="s">
        <v>1168</v>
      </c>
      <c r="W333" s="28" t="s">
        <v>1169</v>
      </c>
      <c r="X333" s="28" t="s">
        <v>2071</v>
      </c>
      <c r="Y333" s="28" t="s">
        <v>2072</v>
      </c>
      <c r="Z333" s="28" t="s">
        <v>2073</v>
      </c>
      <c r="AA333" s="28" t="s">
        <v>2074</v>
      </c>
      <c r="AB333" s="28" t="s">
        <v>2075</v>
      </c>
      <c r="AC333" s="28" t="s">
        <v>2076</v>
      </c>
    </row>
    <row r="334" spans="1:29">
      <c r="A334">
        <v>93</v>
      </c>
      <c r="B334">
        <v>2120</v>
      </c>
      <c r="C334">
        <v>2120</v>
      </c>
      <c r="D334" t="s">
        <v>21</v>
      </c>
      <c r="E334" s="22">
        <v>44337</v>
      </c>
      <c r="F334" t="s">
        <v>6055</v>
      </c>
      <c r="G334" t="s">
        <v>26</v>
      </c>
      <c r="H334">
        <v>2</v>
      </c>
      <c r="I334" t="s">
        <v>38</v>
      </c>
      <c r="J334" t="s">
        <v>64</v>
      </c>
      <c r="K334" t="s">
        <v>86</v>
      </c>
      <c r="L334" t="s">
        <v>439</v>
      </c>
      <c r="M334">
        <v>2113</v>
      </c>
      <c r="N334" t="s">
        <v>823</v>
      </c>
      <c r="O334" t="s">
        <v>21</v>
      </c>
      <c r="P334" t="s">
        <v>21</v>
      </c>
      <c r="Q334" t="s">
        <v>21</v>
      </c>
      <c r="R334" t="s">
        <v>883</v>
      </c>
      <c r="S334" t="s">
        <v>883</v>
      </c>
      <c r="T334" t="s">
        <v>908</v>
      </c>
      <c r="U334" t="s">
        <v>961</v>
      </c>
      <c r="V334" s="28" t="s">
        <v>1170</v>
      </c>
      <c r="W334" s="28" t="s">
        <v>1171</v>
      </c>
      <c r="X334" s="28" t="s">
        <v>2077</v>
      </c>
      <c r="Y334" s="28" t="s">
        <v>2078</v>
      </c>
      <c r="Z334" s="28" t="s">
        <v>2079</v>
      </c>
      <c r="AA334" s="28" t="s">
        <v>2080</v>
      </c>
      <c r="AB334" s="28" t="s">
        <v>2081</v>
      </c>
      <c r="AC334" s="28" t="s">
        <v>2082</v>
      </c>
    </row>
    <row r="335" spans="1:29">
      <c r="A335">
        <v>94</v>
      </c>
      <c r="B335">
        <v>2120</v>
      </c>
      <c r="C335">
        <v>2120</v>
      </c>
      <c r="D335" t="s">
        <v>21</v>
      </c>
      <c r="E335" s="22">
        <v>44338</v>
      </c>
      <c r="F335" t="s">
        <v>6055</v>
      </c>
      <c r="G335" t="s">
        <v>26</v>
      </c>
      <c r="H335">
        <v>2</v>
      </c>
      <c r="I335" t="s">
        <v>38</v>
      </c>
      <c r="J335" t="s">
        <v>62</v>
      </c>
      <c r="K335" t="s">
        <v>82</v>
      </c>
      <c r="L335" t="s">
        <v>440</v>
      </c>
      <c r="M335">
        <v>2112</v>
      </c>
      <c r="N335" t="s">
        <v>816</v>
      </c>
      <c r="O335" t="s">
        <v>21</v>
      </c>
      <c r="P335" t="s">
        <v>21</v>
      </c>
      <c r="Q335" t="s">
        <v>21</v>
      </c>
      <c r="R335" t="s">
        <v>883</v>
      </c>
      <c r="S335" t="s">
        <v>883</v>
      </c>
      <c r="T335" t="s">
        <v>908</v>
      </c>
      <c r="U335" t="s">
        <v>961</v>
      </c>
      <c r="V335" s="28" t="s">
        <v>1170</v>
      </c>
      <c r="W335" s="28" t="s">
        <v>1171</v>
      </c>
      <c r="X335" s="28" t="s">
        <v>2077</v>
      </c>
      <c r="Y335" s="28" t="s">
        <v>2078</v>
      </c>
      <c r="Z335" s="28" t="s">
        <v>2083</v>
      </c>
      <c r="AA335" s="28" t="s">
        <v>2084</v>
      </c>
      <c r="AB335" s="28" t="s">
        <v>2085</v>
      </c>
      <c r="AC335" s="28" t="s">
        <v>2086</v>
      </c>
    </row>
    <row r="336" spans="1:29">
      <c r="A336">
        <v>95</v>
      </c>
      <c r="B336">
        <v>2121</v>
      </c>
      <c r="C336">
        <v>2121</v>
      </c>
      <c r="D336" t="s">
        <v>21</v>
      </c>
      <c r="E336" s="22">
        <v>44340</v>
      </c>
      <c r="F336" t="s">
        <v>6055</v>
      </c>
      <c r="G336" t="s">
        <v>26</v>
      </c>
      <c r="H336">
        <v>3</v>
      </c>
      <c r="I336" t="s">
        <v>38</v>
      </c>
      <c r="J336" t="s">
        <v>66</v>
      </c>
      <c r="K336" t="s">
        <v>91</v>
      </c>
      <c r="L336" t="s">
        <v>441</v>
      </c>
      <c r="M336">
        <v>2112</v>
      </c>
      <c r="N336" t="s">
        <v>828</v>
      </c>
      <c r="O336" t="s">
        <v>21</v>
      </c>
      <c r="P336" t="s">
        <v>21</v>
      </c>
      <c r="Q336" t="s">
        <v>21</v>
      </c>
      <c r="R336" t="s">
        <v>883</v>
      </c>
      <c r="S336" t="s">
        <v>883</v>
      </c>
      <c r="T336" t="s">
        <v>908</v>
      </c>
      <c r="U336" t="s">
        <v>960</v>
      </c>
      <c r="V336" s="28" t="s">
        <v>1172</v>
      </c>
      <c r="W336" s="28" t="s">
        <v>1173</v>
      </c>
      <c r="X336" s="28" t="s">
        <v>2087</v>
      </c>
      <c r="Y336" s="28" t="s">
        <v>2088</v>
      </c>
      <c r="Z336" s="28" t="s">
        <v>2089</v>
      </c>
      <c r="AA336" s="28" t="s">
        <v>2090</v>
      </c>
      <c r="AB336" s="28" t="s">
        <v>2091</v>
      </c>
      <c r="AC336" s="28" t="s">
        <v>2092</v>
      </c>
    </row>
    <row r="337" spans="1:29">
      <c r="A337">
        <v>96</v>
      </c>
      <c r="B337">
        <v>2121</v>
      </c>
      <c r="C337">
        <v>2121</v>
      </c>
      <c r="D337" t="s">
        <v>21</v>
      </c>
      <c r="E337" s="22">
        <v>44341</v>
      </c>
      <c r="F337" t="s">
        <v>6055</v>
      </c>
      <c r="G337" t="s">
        <v>26</v>
      </c>
      <c r="H337">
        <v>3</v>
      </c>
      <c r="I337" t="s">
        <v>36</v>
      </c>
      <c r="J337" t="s">
        <v>66</v>
      </c>
      <c r="K337" t="s">
        <v>92</v>
      </c>
      <c r="L337" t="s">
        <v>442</v>
      </c>
      <c r="M337">
        <v>2113</v>
      </c>
      <c r="N337" t="s">
        <v>829</v>
      </c>
      <c r="O337" t="s">
        <v>21</v>
      </c>
      <c r="P337" t="s">
        <v>21</v>
      </c>
      <c r="Q337" t="s">
        <v>21</v>
      </c>
      <c r="R337" t="s">
        <v>884</v>
      </c>
      <c r="S337" t="s">
        <v>884</v>
      </c>
      <c r="T337" t="s">
        <v>954</v>
      </c>
      <c r="U337" t="s">
        <v>960</v>
      </c>
      <c r="V337" s="28" t="s">
        <v>1174</v>
      </c>
      <c r="W337" s="28" t="s">
        <v>1175</v>
      </c>
      <c r="X337" s="28" t="s">
        <v>2093</v>
      </c>
      <c r="Y337" s="28" t="s">
        <v>2094</v>
      </c>
      <c r="Z337" s="28" t="s">
        <v>2095</v>
      </c>
      <c r="AA337" s="28" t="s">
        <v>2096</v>
      </c>
      <c r="AB337" s="28" t="s">
        <v>2097</v>
      </c>
      <c r="AC337" s="28" t="s">
        <v>2098</v>
      </c>
    </row>
    <row r="338" spans="1:29">
      <c r="A338">
        <v>97</v>
      </c>
      <c r="B338">
        <v>2121</v>
      </c>
      <c r="C338">
        <v>2121</v>
      </c>
      <c r="D338" t="s">
        <v>21</v>
      </c>
      <c r="E338" s="22">
        <v>44341</v>
      </c>
      <c r="F338" t="s">
        <v>6055</v>
      </c>
      <c r="G338" t="s">
        <v>26</v>
      </c>
      <c r="H338">
        <v>3</v>
      </c>
      <c r="I338" t="s">
        <v>36</v>
      </c>
      <c r="J338" t="s">
        <v>66</v>
      </c>
      <c r="K338" t="s">
        <v>92</v>
      </c>
      <c r="L338" t="s">
        <v>443</v>
      </c>
      <c r="M338">
        <v>2113</v>
      </c>
      <c r="N338" t="s">
        <v>829</v>
      </c>
      <c r="O338" t="s">
        <v>21</v>
      </c>
      <c r="P338" t="s">
        <v>21</v>
      </c>
      <c r="Q338" t="s">
        <v>21</v>
      </c>
      <c r="R338" t="s">
        <v>884</v>
      </c>
      <c r="S338" t="s">
        <v>884</v>
      </c>
      <c r="T338" t="s">
        <v>954</v>
      </c>
      <c r="U338" t="s">
        <v>960</v>
      </c>
      <c r="V338" s="28" t="s">
        <v>1174</v>
      </c>
      <c r="W338" s="28" t="s">
        <v>1175</v>
      </c>
      <c r="X338" s="28" t="s">
        <v>2093</v>
      </c>
      <c r="Y338" s="28" t="s">
        <v>2094</v>
      </c>
      <c r="Z338" s="28" t="s">
        <v>2095</v>
      </c>
      <c r="AA338" s="28" t="s">
        <v>2096</v>
      </c>
      <c r="AB338" s="28" t="s">
        <v>2097</v>
      </c>
      <c r="AC338" s="28" t="s">
        <v>2098</v>
      </c>
    </row>
    <row r="339" spans="1:29">
      <c r="A339">
        <v>98</v>
      </c>
      <c r="B339">
        <v>2121</v>
      </c>
      <c r="C339">
        <v>2121</v>
      </c>
      <c r="D339" t="s">
        <v>21</v>
      </c>
      <c r="E339" s="22">
        <v>44341</v>
      </c>
      <c r="F339" t="s">
        <v>6055</v>
      </c>
      <c r="G339" t="s">
        <v>26</v>
      </c>
      <c r="H339">
        <v>3</v>
      </c>
      <c r="I339" t="s">
        <v>36</v>
      </c>
      <c r="J339" t="s">
        <v>66</v>
      </c>
      <c r="K339" t="s">
        <v>92</v>
      </c>
      <c r="L339" t="s">
        <v>444</v>
      </c>
      <c r="M339">
        <v>2113</v>
      </c>
      <c r="N339" t="s">
        <v>829</v>
      </c>
      <c r="O339" t="s">
        <v>21</v>
      </c>
      <c r="P339" t="s">
        <v>21</v>
      </c>
      <c r="Q339" t="s">
        <v>21</v>
      </c>
      <c r="R339" t="s">
        <v>884</v>
      </c>
      <c r="S339" t="s">
        <v>884</v>
      </c>
      <c r="T339" t="s">
        <v>954</v>
      </c>
      <c r="U339" t="s">
        <v>960</v>
      </c>
      <c r="V339" s="28" t="s">
        <v>1174</v>
      </c>
      <c r="W339" s="28" t="s">
        <v>1175</v>
      </c>
      <c r="X339" s="28" t="s">
        <v>2093</v>
      </c>
      <c r="Y339" s="28" t="s">
        <v>2094</v>
      </c>
      <c r="Z339" s="28" t="s">
        <v>2095</v>
      </c>
      <c r="AA339" s="28" t="s">
        <v>2096</v>
      </c>
      <c r="AB339" s="28" t="s">
        <v>2097</v>
      </c>
      <c r="AC339" s="28" t="s">
        <v>2098</v>
      </c>
    </row>
    <row r="340" spans="1:29">
      <c r="A340">
        <v>99</v>
      </c>
      <c r="B340">
        <v>2121</v>
      </c>
      <c r="C340">
        <v>2121</v>
      </c>
      <c r="D340" t="s">
        <v>21</v>
      </c>
      <c r="E340" s="22">
        <v>44341</v>
      </c>
      <c r="F340" t="s">
        <v>6055</v>
      </c>
      <c r="G340" t="s">
        <v>26</v>
      </c>
      <c r="H340">
        <v>2</v>
      </c>
      <c r="I340" t="s">
        <v>48</v>
      </c>
      <c r="J340" t="s">
        <v>60</v>
      </c>
      <c r="K340" t="s">
        <v>89</v>
      </c>
      <c r="L340" t="s">
        <v>445</v>
      </c>
      <c r="M340">
        <v>2115</v>
      </c>
      <c r="N340" t="s">
        <v>826</v>
      </c>
      <c r="O340" t="s">
        <v>21</v>
      </c>
      <c r="P340" t="s">
        <v>21</v>
      </c>
      <c r="Q340" t="s">
        <v>21</v>
      </c>
      <c r="R340" t="s">
        <v>896</v>
      </c>
      <c r="S340" t="s">
        <v>896</v>
      </c>
      <c r="T340" t="s">
        <v>908</v>
      </c>
      <c r="U340" t="s">
        <v>961</v>
      </c>
      <c r="V340" s="28" t="s">
        <v>1176</v>
      </c>
      <c r="W340" s="28" t="s">
        <v>1171</v>
      </c>
      <c r="X340" s="28" t="s">
        <v>2099</v>
      </c>
      <c r="Y340" s="28" t="s">
        <v>2078</v>
      </c>
      <c r="Z340" s="28" t="s">
        <v>2100</v>
      </c>
      <c r="AA340" s="28" t="s">
        <v>2101</v>
      </c>
      <c r="AB340" s="28" t="s">
        <v>2102</v>
      </c>
      <c r="AC340" s="28" t="s">
        <v>2103</v>
      </c>
    </row>
    <row r="341" spans="1:29">
      <c r="A341">
        <v>100</v>
      </c>
      <c r="B341">
        <v>2121</v>
      </c>
      <c r="C341">
        <v>2121</v>
      </c>
      <c r="D341" t="s">
        <v>21</v>
      </c>
      <c r="E341" s="22">
        <v>44342</v>
      </c>
      <c r="F341" t="s">
        <v>6055</v>
      </c>
      <c r="G341" t="s">
        <v>26</v>
      </c>
      <c r="H341">
        <v>2</v>
      </c>
      <c r="I341" t="s">
        <v>48</v>
      </c>
      <c r="J341" t="s">
        <v>60</v>
      </c>
      <c r="K341" t="s">
        <v>89</v>
      </c>
      <c r="L341" t="s">
        <v>446</v>
      </c>
      <c r="M341">
        <v>2113</v>
      </c>
      <c r="N341" t="s">
        <v>826</v>
      </c>
      <c r="O341" t="s">
        <v>21</v>
      </c>
      <c r="P341" t="s">
        <v>21</v>
      </c>
      <c r="Q341" t="s">
        <v>21</v>
      </c>
      <c r="R341" t="s">
        <v>896</v>
      </c>
      <c r="S341" t="s">
        <v>896</v>
      </c>
      <c r="T341" t="s">
        <v>908</v>
      </c>
      <c r="U341" t="s">
        <v>961</v>
      </c>
      <c r="V341" s="28" t="s">
        <v>1176</v>
      </c>
      <c r="W341" s="28" t="s">
        <v>1171</v>
      </c>
      <c r="X341" s="28" t="s">
        <v>2099</v>
      </c>
      <c r="Y341" s="28" t="s">
        <v>2078</v>
      </c>
      <c r="Z341" s="28" t="s">
        <v>2100</v>
      </c>
      <c r="AA341" s="28" t="s">
        <v>2101</v>
      </c>
      <c r="AB341" s="28" t="s">
        <v>2102</v>
      </c>
      <c r="AC341" s="28" t="s">
        <v>2103</v>
      </c>
    </row>
    <row r="342" spans="1:29">
      <c r="A342">
        <v>101</v>
      </c>
      <c r="B342">
        <v>2121</v>
      </c>
      <c r="C342">
        <v>2121</v>
      </c>
      <c r="D342" t="s">
        <v>21</v>
      </c>
      <c r="E342" s="22">
        <v>44342</v>
      </c>
      <c r="F342" t="s">
        <v>6055</v>
      </c>
      <c r="G342" t="s">
        <v>26</v>
      </c>
      <c r="H342">
        <v>2</v>
      </c>
      <c r="I342" t="s">
        <v>36</v>
      </c>
      <c r="J342" t="s">
        <v>60</v>
      </c>
      <c r="K342" t="s">
        <v>89</v>
      </c>
      <c r="L342" t="s">
        <v>447</v>
      </c>
      <c r="M342">
        <v>2113</v>
      </c>
      <c r="N342" t="s">
        <v>826</v>
      </c>
      <c r="O342" t="s">
        <v>21</v>
      </c>
      <c r="P342" t="s">
        <v>21</v>
      </c>
      <c r="Q342" t="s">
        <v>21</v>
      </c>
      <c r="R342" t="s">
        <v>880</v>
      </c>
      <c r="S342" t="s">
        <v>880</v>
      </c>
      <c r="T342" t="s">
        <v>908</v>
      </c>
      <c r="U342" t="s">
        <v>961</v>
      </c>
      <c r="V342" s="28" t="s">
        <v>1176</v>
      </c>
      <c r="W342" s="28" t="s">
        <v>1171</v>
      </c>
      <c r="X342" s="28" t="s">
        <v>2099</v>
      </c>
      <c r="Y342" s="28" t="s">
        <v>2078</v>
      </c>
      <c r="Z342" s="28" t="s">
        <v>2100</v>
      </c>
      <c r="AA342" s="28" t="s">
        <v>2101</v>
      </c>
      <c r="AB342" s="28" t="s">
        <v>2102</v>
      </c>
      <c r="AC342" s="28" t="s">
        <v>2103</v>
      </c>
    </row>
    <row r="343" spans="1:29">
      <c r="A343">
        <v>102</v>
      </c>
      <c r="B343">
        <v>2121</v>
      </c>
      <c r="C343">
        <v>2121</v>
      </c>
      <c r="D343" t="s">
        <v>21</v>
      </c>
      <c r="E343" s="22">
        <v>44344</v>
      </c>
      <c r="F343" t="s">
        <v>6055</v>
      </c>
      <c r="G343" t="s">
        <v>26</v>
      </c>
      <c r="H343">
        <v>1</v>
      </c>
      <c r="I343" t="s">
        <v>36</v>
      </c>
      <c r="J343" t="s">
        <v>64</v>
      </c>
      <c r="K343" t="s">
        <v>86</v>
      </c>
      <c r="L343" t="s">
        <v>448</v>
      </c>
      <c r="M343">
        <v>2113</v>
      </c>
      <c r="N343" t="s">
        <v>823</v>
      </c>
      <c r="O343" t="s">
        <v>21</v>
      </c>
      <c r="P343" t="s">
        <v>21</v>
      </c>
      <c r="Q343" t="s">
        <v>21</v>
      </c>
      <c r="R343" t="s">
        <v>891</v>
      </c>
      <c r="S343" t="s">
        <v>891</v>
      </c>
      <c r="T343" t="s">
        <v>891</v>
      </c>
      <c r="U343" t="s">
        <v>961</v>
      </c>
      <c r="V343" s="28" t="s">
        <v>1177</v>
      </c>
      <c r="W343" s="28" t="s">
        <v>1178</v>
      </c>
      <c r="X343" s="28" t="s">
        <v>2104</v>
      </c>
      <c r="Y343" s="28" t="s">
        <v>2105</v>
      </c>
      <c r="Z343" s="28" t="s">
        <v>2106</v>
      </c>
      <c r="AA343" s="28" t="s">
        <v>2107</v>
      </c>
      <c r="AB343" s="28" t="s">
        <v>2108</v>
      </c>
      <c r="AC343" s="28" t="s">
        <v>2109</v>
      </c>
    </row>
    <row r="344" spans="1:29">
      <c r="A344">
        <v>103</v>
      </c>
      <c r="B344">
        <v>2121</v>
      </c>
      <c r="C344">
        <v>2121</v>
      </c>
      <c r="D344" t="s">
        <v>21</v>
      </c>
      <c r="E344" s="22">
        <v>44344</v>
      </c>
      <c r="F344" t="s">
        <v>6055</v>
      </c>
      <c r="G344" t="s">
        <v>26</v>
      </c>
      <c r="H344">
        <v>1</v>
      </c>
      <c r="I344" t="s">
        <v>36</v>
      </c>
      <c r="J344" t="s">
        <v>64</v>
      </c>
      <c r="K344" t="s">
        <v>86</v>
      </c>
      <c r="L344" t="s">
        <v>449</v>
      </c>
      <c r="M344">
        <v>2113</v>
      </c>
      <c r="N344" t="s">
        <v>823</v>
      </c>
      <c r="O344" t="s">
        <v>21</v>
      </c>
      <c r="P344" t="s">
        <v>21</v>
      </c>
      <c r="Q344" t="s">
        <v>21</v>
      </c>
      <c r="R344" t="s">
        <v>872</v>
      </c>
      <c r="S344" t="s">
        <v>872</v>
      </c>
      <c r="T344" t="s">
        <v>950</v>
      </c>
      <c r="U344" t="s">
        <v>961</v>
      </c>
      <c r="V344" s="28" t="s">
        <v>1179</v>
      </c>
      <c r="W344" s="28" t="s">
        <v>1180</v>
      </c>
      <c r="X344" s="28" t="s">
        <v>2110</v>
      </c>
      <c r="Y344" s="28" t="s">
        <v>2111</v>
      </c>
      <c r="Z344" s="28" t="s">
        <v>2112</v>
      </c>
      <c r="AA344" s="28" t="s">
        <v>2113</v>
      </c>
      <c r="AB344" s="28" t="s">
        <v>2114</v>
      </c>
      <c r="AC344" s="28" t="s">
        <v>2115</v>
      </c>
    </row>
    <row r="345" spans="1:29">
      <c r="A345">
        <v>104</v>
      </c>
      <c r="B345">
        <v>2122</v>
      </c>
      <c r="C345">
        <v>2122</v>
      </c>
      <c r="D345" t="s">
        <v>21</v>
      </c>
      <c r="E345" s="22">
        <v>44348</v>
      </c>
      <c r="F345" t="s">
        <v>6055</v>
      </c>
      <c r="G345" t="s">
        <v>26</v>
      </c>
      <c r="H345">
        <v>3</v>
      </c>
      <c r="I345" t="s">
        <v>36</v>
      </c>
      <c r="J345" t="s">
        <v>67</v>
      </c>
      <c r="K345" t="s">
        <v>93</v>
      </c>
      <c r="L345" t="s">
        <v>450</v>
      </c>
      <c r="M345">
        <v>2119</v>
      </c>
      <c r="N345" t="s">
        <v>830</v>
      </c>
      <c r="O345" t="s">
        <v>21</v>
      </c>
      <c r="P345" t="s">
        <v>21</v>
      </c>
      <c r="Q345" t="s">
        <v>21</v>
      </c>
      <c r="R345" t="s">
        <v>872</v>
      </c>
      <c r="S345" t="s">
        <v>872</v>
      </c>
      <c r="T345" t="s">
        <v>950</v>
      </c>
      <c r="U345" t="s">
        <v>960</v>
      </c>
      <c r="V345" s="28" t="s">
        <v>1181</v>
      </c>
      <c r="W345" s="28" t="s">
        <v>1169</v>
      </c>
      <c r="X345" s="28" t="s">
        <v>2116</v>
      </c>
      <c r="Y345" s="28" t="s">
        <v>2072</v>
      </c>
      <c r="Z345" s="28" t="s">
        <v>2117</v>
      </c>
      <c r="AA345" s="28" t="s">
        <v>2118</v>
      </c>
      <c r="AB345" s="28" t="s">
        <v>2119</v>
      </c>
      <c r="AC345" s="28" t="s">
        <v>2120</v>
      </c>
    </row>
    <row r="346" spans="1:29">
      <c r="A346">
        <v>105</v>
      </c>
      <c r="B346">
        <v>2122</v>
      </c>
      <c r="C346">
        <v>2122</v>
      </c>
      <c r="D346" t="s">
        <v>21</v>
      </c>
      <c r="E346" s="22">
        <v>44349</v>
      </c>
      <c r="F346" t="s">
        <v>6055</v>
      </c>
      <c r="G346" t="s">
        <v>26</v>
      </c>
      <c r="H346">
        <v>3</v>
      </c>
      <c r="I346" t="s">
        <v>41</v>
      </c>
      <c r="J346" t="s">
        <v>68</v>
      </c>
      <c r="K346" t="s">
        <v>94</v>
      </c>
      <c r="L346" t="s">
        <v>451</v>
      </c>
      <c r="M346">
        <v>2114</v>
      </c>
      <c r="N346" t="s">
        <v>831</v>
      </c>
      <c r="O346" t="s">
        <v>21</v>
      </c>
      <c r="P346" t="s">
        <v>21</v>
      </c>
      <c r="Q346" t="s">
        <v>21</v>
      </c>
      <c r="R346" t="s">
        <v>881</v>
      </c>
      <c r="S346" t="s">
        <v>881</v>
      </c>
      <c r="T346" t="s">
        <v>949</v>
      </c>
      <c r="U346" t="s">
        <v>960</v>
      </c>
      <c r="V346" s="28" t="s">
        <v>1182</v>
      </c>
      <c r="W346" s="28" t="s">
        <v>1183</v>
      </c>
      <c r="X346" s="28" t="s">
        <v>2121</v>
      </c>
      <c r="Y346" s="28" t="s">
        <v>2122</v>
      </c>
      <c r="Z346" s="28" t="s">
        <v>2123</v>
      </c>
      <c r="AA346" s="28" t="s">
        <v>2124</v>
      </c>
      <c r="AB346" s="28" t="s">
        <v>2125</v>
      </c>
      <c r="AC346" s="28" t="s">
        <v>2126</v>
      </c>
    </row>
    <row r="347" spans="1:29">
      <c r="A347">
        <v>106</v>
      </c>
      <c r="B347">
        <v>2122</v>
      </c>
      <c r="C347">
        <v>2122</v>
      </c>
      <c r="D347" t="s">
        <v>21</v>
      </c>
      <c r="E347" s="22">
        <v>44349</v>
      </c>
      <c r="F347" t="s">
        <v>6055</v>
      </c>
      <c r="G347" t="s">
        <v>26</v>
      </c>
      <c r="H347">
        <v>2</v>
      </c>
      <c r="I347" t="s">
        <v>39</v>
      </c>
      <c r="J347" t="s">
        <v>62</v>
      </c>
      <c r="K347" t="s">
        <v>82</v>
      </c>
      <c r="L347" t="s">
        <v>452</v>
      </c>
      <c r="M347">
        <v>2114</v>
      </c>
      <c r="N347" t="s">
        <v>816</v>
      </c>
      <c r="O347" t="s">
        <v>21</v>
      </c>
      <c r="P347" t="s">
        <v>21</v>
      </c>
      <c r="Q347" t="s">
        <v>21</v>
      </c>
      <c r="R347" t="s">
        <v>897</v>
      </c>
      <c r="S347" t="s">
        <v>897</v>
      </c>
      <c r="T347" t="s">
        <v>955</v>
      </c>
      <c r="U347" t="s">
        <v>961</v>
      </c>
      <c r="V347" s="28" t="s">
        <v>1184</v>
      </c>
      <c r="W347" s="28" t="s">
        <v>1185</v>
      </c>
      <c r="X347" s="28" t="s">
        <v>2127</v>
      </c>
      <c r="Y347" s="28" t="s">
        <v>2128</v>
      </c>
      <c r="Z347" s="28" t="s">
        <v>2129</v>
      </c>
      <c r="AA347" s="28" t="s">
        <v>2130</v>
      </c>
      <c r="AB347" s="28" t="s">
        <v>2131</v>
      </c>
      <c r="AC347" s="28" t="s">
        <v>2132</v>
      </c>
    </row>
    <row r="348" spans="1:29">
      <c r="A348">
        <v>107</v>
      </c>
      <c r="B348">
        <v>2122</v>
      </c>
      <c r="C348">
        <v>2122</v>
      </c>
      <c r="D348" t="s">
        <v>21</v>
      </c>
      <c r="E348" s="22">
        <v>44349</v>
      </c>
      <c r="F348" t="s">
        <v>6055</v>
      </c>
      <c r="G348" t="s">
        <v>26</v>
      </c>
      <c r="H348">
        <v>2</v>
      </c>
      <c r="I348" t="s">
        <v>38</v>
      </c>
      <c r="J348" t="s">
        <v>62</v>
      </c>
      <c r="K348" t="s">
        <v>82</v>
      </c>
      <c r="L348" t="s">
        <v>453</v>
      </c>
      <c r="M348">
        <v>2112</v>
      </c>
      <c r="N348" t="s">
        <v>816</v>
      </c>
      <c r="O348" t="s">
        <v>21</v>
      </c>
      <c r="P348" t="s">
        <v>21</v>
      </c>
      <c r="Q348" t="s">
        <v>21</v>
      </c>
      <c r="R348" t="s">
        <v>880</v>
      </c>
      <c r="S348" t="s">
        <v>880</v>
      </c>
      <c r="T348" t="s">
        <v>908</v>
      </c>
      <c r="U348" t="s">
        <v>961</v>
      </c>
      <c r="V348" s="28" t="s">
        <v>1186</v>
      </c>
      <c r="W348" s="28" t="s">
        <v>1171</v>
      </c>
      <c r="X348" s="28" t="s">
        <v>2133</v>
      </c>
      <c r="Y348" s="28" t="s">
        <v>2078</v>
      </c>
      <c r="Z348" s="28" t="s">
        <v>2134</v>
      </c>
      <c r="AA348" s="28" t="s">
        <v>2084</v>
      </c>
      <c r="AB348" s="28" t="s">
        <v>2135</v>
      </c>
      <c r="AC348" s="28" t="s">
        <v>2086</v>
      </c>
    </row>
    <row r="349" spans="1:29">
      <c r="A349">
        <v>108</v>
      </c>
      <c r="B349">
        <v>2123</v>
      </c>
      <c r="C349">
        <v>2123</v>
      </c>
      <c r="D349" t="s">
        <v>21</v>
      </c>
      <c r="E349" s="22">
        <v>44354</v>
      </c>
      <c r="F349" t="s">
        <v>6055</v>
      </c>
      <c r="G349" t="s">
        <v>26</v>
      </c>
      <c r="H349">
        <v>2</v>
      </c>
      <c r="I349" t="s">
        <v>38</v>
      </c>
      <c r="J349" t="s">
        <v>62</v>
      </c>
      <c r="K349" t="s">
        <v>82</v>
      </c>
      <c r="L349" t="s">
        <v>454</v>
      </c>
      <c r="M349">
        <v>2114</v>
      </c>
      <c r="N349" t="s">
        <v>816</v>
      </c>
      <c r="O349" t="s">
        <v>21</v>
      </c>
      <c r="P349" t="s">
        <v>21</v>
      </c>
      <c r="Q349" t="s">
        <v>21</v>
      </c>
      <c r="R349" t="s">
        <v>880</v>
      </c>
      <c r="S349" t="s">
        <v>880</v>
      </c>
      <c r="T349" t="s">
        <v>908</v>
      </c>
      <c r="U349" t="s">
        <v>961</v>
      </c>
      <c r="V349" s="28" t="s">
        <v>1187</v>
      </c>
      <c r="W349" s="28" t="s">
        <v>1188</v>
      </c>
      <c r="X349" s="28" t="s">
        <v>2136</v>
      </c>
      <c r="Y349" s="28" t="s">
        <v>2137</v>
      </c>
      <c r="Z349" s="28" t="s">
        <v>2138</v>
      </c>
      <c r="AA349" s="28" t="s">
        <v>2139</v>
      </c>
      <c r="AB349" s="28" t="s">
        <v>2140</v>
      </c>
      <c r="AC349" s="28" t="s">
        <v>2141</v>
      </c>
    </row>
    <row r="350" spans="1:29">
      <c r="A350">
        <v>109</v>
      </c>
      <c r="B350">
        <v>2123</v>
      </c>
      <c r="C350">
        <v>2123</v>
      </c>
      <c r="D350" t="s">
        <v>21</v>
      </c>
      <c r="E350" s="22">
        <v>44354</v>
      </c>
      <c r="F350" t="s">
        <v>6055</v>
      </c>
      <c r="G350" t="s">
        <v>26</v>
      </c>
      <c r="H350">
        <v>2</v>
      </c>
      <c r="I350" t="s">
        <v>39</v>
      </c>
      <c r="J350" t="s">
        <v>52</v>
      </c>
      <c r="K350" t="s">
        <v>88</v>
      </c>
      <c r="L350" t="s">
        <v>455</v>
      </c>
      <c r="M350">
        <v>2115</v>
      </c>
      <c r="N350" t="s">
        <v>825</v>
      </c>
      <c r="O350" t="s">
        <v>21</v>
      </c>
      <c r="P350" t="s">
        <v>21</v>
      </c>
      <c r="Q350" t="s">
        <v>21</v>
      </c>
      <c r="R350" t="s">
        <v>898</v>
      </c>
      <c r="S350" t="s">
        <v>898</v>
      </c>
      <c r="T350" t="s">
        <v>955</v>
      </c>
      <c r="U350" t="s">
        <v>960</v>
      </c>
      <c r="V350" s="28" t="s">
        <v>1189</v>
      </c>
      <c r="W350" s="28" t="s">
        <v>1190</v>
      </c>
      <c r="X350" s="28" t="s">
        <v>2142</v>
      </c>
      <c r="Y350" s="28" t="s">
        <v>2143</v>
      </c>
      <c r="Z350" s="28" t="s">
        <v>2144</v>
      </c>
      <c r="AA350" s="28" t="s">
        <v>2145</v>
      </c>
      <c r="AB350" s="28" t="s">
        <v>2146</v>
      </c>
      <c r="AC350" s="28" t="s">
        <v>2147</v>
      </c>
    </row>
    <row r="351" spans="1:29">
      <c r="A351">
        <v>110</v>
      </c>
      <c r="B351">
        <v>2123</v>
      </c>
      <c r="C351">
        <v>2123</v>
      </c>
      <c r="D351" t="s">
        <v>21</v>
      </c>
      <c r="E351" s="22">
        <v>44354</v>
      </c>
      <c r="F351" t="s">
        <v>6055</v>
      </c>
      <c r="G351" t="s">
        <v>26</v>
      </c>
      <c r="H351">
        <v>2</v>
      </c>
      <c r="I351" t="s">
        <v>39</v>
      </c>
      <c r="J351" t="s">
        <v>52</v>
      </c>
      <c r="K351" t="s">
        <v>88</v>
      </c>
      <c r="L351" t="s">
        <v>456</v>
      </c>
      <c r="M351">
        <v>2115</v>
      </c>
      <c r="N351" t="s">
        <v>825</v>
      </c>
      <c r="O351" t="s">
        <v>21</v>
      </c>
      <c r="P351" t="s">
        <v>21</v>
      </c>
      <c r="Q351" t="s">
        <v>21</v>
      </c>
      <c r="R351" t="s">
        <v>898</v>
      </c>
      <c r="S351" t="s">
        <v>898</v>
      </c>
      <c r="T351" t="s">
        <v>955</v>
      </c>
      <c r="U351" t="s">
        <v>960</v>
      </c>
      <c r="V351" s="28" t="s">
        <v>1189</v>
      </c>
      <c r="W351" s="28" t="s">
        <v>1190</v>
      </c>
      <c r="X351" s="28" t="s">
        <v>2142</v>
      </c>
      <c r="Y351" s="28" t="s">
        <v>2143</v>
      </c>
      <c r="Z351" s="28" t="s">
        <v>2144</v>
      </c>
      <c r="AA351" s="28" t="s">
        <v>2145</v>
      </c>
      <c r="AB351" s="28" t="s">
        <v>2146</v>
      </c>
      <c r="AC351" s="28" t="s">
        <v>2147</v>
      </c>
    </row>
    <row r="352" spans="1:29">
      <c r="A352">
        <v>111</v>
      </c>
      <c r="B352">
        <v>2123</v>
      </c>
      <c r="C352">
        <v>2123</v>
      </c>
      <c r="D352" t="s">
        <v>21</v>
      </c>
      <c r="E352" s="22">
        <v>44356</v>
      </c>
      <c r="F352" t="s">
        <v>6055</v>
      </c>
      <c r="G352" t="s">
        <v>26</v>
      </c>
      <c r="H352">
        <v>1</v>
      </c>
      <c r="I352" t="s">
        <v>38</v>
      </c>
      <c r="J352" t="s">
        <v>64</v>
      </c>
      <c r="K352" t="s">
        <v>86</v>
      </c>
      <c r="L352" t="s">
        <v>457</v>
      </c>
      <c r="M352">
        <v>2115</v>
      </c>
      <c r="N352" t="s">
        <v>832</v>
      </c>
      <c r="O352" t="s">
        <v>21</v>
      </c>
      <c r="P352" t="s">
        <v>21</v>
      </c>
      <c r="Q352" t="s">
        <v>21</v>
      </c>
      <c r="R352" t="s">
        <v>883</v>
      </c>
      <c r="S352" t="s">
        <v>883</v>
      </c>
      <c r="T352" t="s">
        <v>908</v>
      </c>
      <c r="U352" t="s">
        <v>961</v>
      </c>
      <c r="V352" s="28" t="s">
        <v>1187</v>
      </c>
      <c r="W352" s="28" t="s">
        <v>1188</v>
      </c>
      <c r="X352" s="28" t="s">
        <v>2136</v>
      </c>
      <c r="Y352" s="28" t="s">
        <v>2137</v>
      </c>
      <c r="Z352" s="28" t="s">
        <v>2148</v>
      </c>
      <c r="AA352" s="28" t="s">
        <v>2149</v>
      </c>
      <c r="AB352" s="28" t="s">
        <v>2150</v>
      </c>
      <c r="AC352" s="28" t="s">
        <v>2151</v>
      </c>
    </row>
    <row r="353" spans="1:29">
      <c r="A353">
        <v>112</v>
      </c>
      <c r="B353">
        <v>2123</v>
      </c>
      <c r="C353">
        <v>2123</v>
      </c>
      <c r="D353" t="s">
        <v>21</v>
      </c>
      <c r="E353" s="22">
        <v>44356</v>
      </c>
      <c r="F353" t="s">
        <v>6055</v>
      </c>
      <c r="G353" t="s">
        <v>26</v>
      </c>
      <c r="H353">
        <v>2</v>
      </c>
      <c r="I353" t="s">
        <v>49</v>
      </c>
      <c r="J353" t="s">
        <v>52</v>
      </c>
      <c r="K353" t="s">
        <v>88</v>
      </c>
      <c r="L353" t="s">
        <v>458</v>
      </c>
      <c r="M353">
        <v>2115</v>
      </c>
      <c r="N353" t="s">
        <v>825</v>
      </c>
      <c r="O353" t="s">
        <v>21</v>
      </c>
      <c r="P353" t="s">
        <v>21</v>
      </c>
      <c r="Q353" t="s">
        <v>21</v>
      </c>
      <c r="R353" t="s">
        <v>898</v>
      </c>
      <c r="S353" t="s">
        <v>898</v>
      </c>
      <c r="T353" t="s">
        <v>955</v>
      </c>
      <c r="U353" t="s">
        <v>960</v>
      </c>
      <c r="V353" s="28" t="s">
        <v>1189</v>
      </c>
      <c r="W353" s="28" t="s">
        <v>1190</v>
      </c>
      <c r="X353" s="28" t="s">
        <v>2142</v>
      </c>
      <c r="Y353" s="28" t="s">
        <v>2143</v>
      </c>
      <c r="Z353" s="28" t="s">
        <v>2144</v>
      </c>
      <c r="AA353" s="28" t="s">
        <v>2145</v>
      </c>
      <c r="AB353" s="28" t="s">
        <v>2146</v>
      </c>
      <c r="AC353" s="28" t="s">
        <v>2147</v>
      </c>
    </row>
    <row r="354" spans="1:29">
      <c r="A354">
        <v>113</v>
      </c>
      <c r="B354">
        <v>2123</v>
      </c>
      <c r="C354">
        <v>2123</v>
      </c>
      <c r="D354" t="s">
        <v>21</v>
      </c>
      <c r="E354" s="22">
        <v>44357</v>
      </c>
      <c r="F354" t="s">
        <v>6055</v>
      </c>
      <c r="G354" t="s">
        <v>26</v>
      </c>
      <c r="H354">
        <v>1</v>
      </c>
      <c r="I354" t="s">
        <v>38</v>
      </c>
      <c r="J354" t="s">
        <v>64</v>
      </c>
      <c r="K354" t="s">
        <v>86</v>
      </c>
      <c r="L354" t="s">
        <v>459</v>
      </c>
      <c r="M354">
        <v>2110</v>
      </c>
      <c r="N354" t="s">
        <v>823</v>
      </c>
      <c r="O354" t="s">
        <v>21</v>
      </c>
      <c r="P354" t="s">
        <v>21</v>
      </c>
      <c r="Q354" t="s">
        <v>21</v>
      </c>
      <c r="R354" t="s">
        <v>883</v>
      </c>
      <c r="S354" t="s">
        <v>883</v>
      </c>
      <c r="T354" t="s">
        <v>908</v>
      </c>
      <c r="U354" t="s">
        <v>961</v>
      </c>
      <c r="V354" s="28" t="s">
        <v>1187</v>
      </c>
      <c r="W354" s="28" t="s">
        <v>1188</v>
      </c>
      <c r="X354" s="28" t="s">
        <v>2136</v>
      </c>
      <c r="Y354" s="28" t="s">
        <v>2137</v>
      </c>
      <c r="Z354" s="28" t="s">
        <v>2148</v>
      </c>
      <c r="AA354" s="28" t="s">
        <v>2149</v>
      </c>
      <c r="AB354" s="28" t="s">
        <v>2150</v>
      </c>
      <c r="AC354" s="28" t="s">
        <v>2151</v>
      </c>
    </row>
    <row r="355" spans="1:29">
      <c r="A355">
        <v>114</v>
      </c>
      <c r="B355">
        <v>2123</v>
      </c>
      <c r="C355">
        <v>2123</v>
      </c>
      <c r="D355" t="s">
        <v>21</v>
      </c>
      <c r="E355" s="22">
        <v>44358</v>
      </c>
      <c r="F355" t="s">
        <v>6055</v>
      </c>
      <c r="G355" t="s">
        <v>26</v>
      </c>
      <c r="H355">
        <v>1</v>
      </c>
      <c r="I355" t="s">
        <v>41</v>
      </c>
      <c r="J355" t="s">
        <v>60</v>
      </c>
      <c r="K355" t="s">
        <v>89</v>
      </c>
      <c r="L355" t="s">
        <v>460</v>
      </c>
      <c r="M355">
        <v>2115</v>
      </c>
      <c r="N355" t="s">
        <v>826</v>
      </c>
      <c r="O355" t="s">
        <v>21</v>
      </c>
      <c r="P355" t="s">
        <v>21</v>
      </c>
      <c r="Q355" t="s">
        <v>21</v>
      </c>
      <c r="R355" t="s">
        <v>881</v>
      </c>
      <c r="S355" t="s">
        <v>881</v>
      </c>
      <c r="T355" t="s">
        <v>949</v>
      </c>
      <c r="U355" t="s">
        <v>961</v>
      </c>
      <c r="V355" s="28" t="s">
        <v>1191</v>
      </c>
      <c r="W355" s="28" t="s">
        <v>1192</v>
      </c>
      <c r="X355" s="28" t="s">
        <v>2152</v>
      </c>
      <c r="Y355" s="28" t="s">
        <v>2153</v>
      </c>
      <c r="Z355" s="28" t="s">
        <v>2154</v>
      </c>
      <c r="AA355" s="28" t="s">
        <v>2155</v>
      </c>
      <c r="AB355" s="28" t="s">
        <v>2156</v>
      </c>
      <c r="AC355" s="28" t="s">
        <v>2157</v>
      </c>
    </row>
    <row r="356" spans="1:29">
      <c r="A356">
        <v>115</v>
      </c>
      <c r="B356">
        <v>2123</v>
      </c>
      <c r="C356">
        <v>2123</v>
      </c>
      <c r="D356" t="s">
        <v>21</v>
      </c>
      <c r="E356" s="22">
        <v>44358</v>
      </c>
      <c r="F356" t="s">
        <v>6055</v>
      </c>
      <c r="G356" t="s">
        <v>26</v>
      </c>
      <c r="H356">
        <v>2</v>
      </c>
      <c r="I356" t="s">
        <v>40</v>
      </c>
      <c r="J356" t="s">
        <v>53</v>
      </c>
      <c r="K356" t="s">
        <v>95</v>
      </c>
      <c r="L356" t="s">
        <v>461</v>
      </c>
      <c r="M356">
        <v>2116</v>
      </c>
      <c r="N356" t="s">
        <v>833</v>
      </c>
      <c r="O356" t="s">
        <v>21</v>
      </c>
      <c r="P356" t="s">
        <v>21</v>
      </c>
      <c r="Q356" t="s">
        <v>21</v>
      </c>
      <c r="R356" t="s">
        <v>881</v>
      </c>
      <c r="S356" t="s">
        <v>881</v>
      </c>
      <c r="T356" t="s">
        <v>949</v>
      </c>
      <c r="U356" t="s">
        <v>960</v>
      </c>
      <c r="V356" s="28" t="s">
        <v>1193</v>
      </c>
      <c r="W356" s="28" t="s">
        <v>1194</v>
      </c>
      <c r="X356" s="28" t="s">
        <v>2158</v>
      </c>
      <c r="Y356" s="28" t="s">
        <v>2159</v>
      </c>
      <c r="Z356" s="28" t="s">
        <v>2160</v>
      </c>
      <c r="AA356" s="28" t="s">
        <v>2161</v>
      </c>
      <c r="AB356" s="28" t="s">
        <v>2162</v>
      </c>
      <c r="AC356" s="28" t="s">
        <v>2163</v>
      </c>
    </row>
    <row r="357" spans="1:29">
      <c r="A357">
        <v>116</v>
      </c>
      <c r="B357">
        <v>2124</v>
      </c>
      <c r="C357">
        <v>2124</v>
      </c>
      <c r="D357" t="s">
        <v>21</v>
      </c>
      <c r="E357" s="22">
        <v>44363</v>
      </c>
      <c r="F357" t="s">
        <v>6055</v>
      </c>
      <c r="G357" t="s">
        <v>26</v>
      </c>
      <c r="H357">
        <v>3</v>
      </c>
      <c r="I357" t="s">
        <v>38</v>
      </c>
      <c r="J357" t="s">
        <v>52</v>
      </c>
      <c r="K357" t="s">
        <v>88</v>
      </c>
      <c r="L357" t="s">
        <v>462</v>
      </c>
      <c r="M357">
        <v>2115</v>
      </c>
      <c r="N357" t="s">
        <v>825</v>
      </c>
      <c r="O357" t="s">
        <v>21</v>
      </c>
      <c r="P357" t="s">
        <v>21</v>
      </c>
      <c r="Q357" t="s">
        <v>21</v>
      </c>
      <c r="R357" t="s">
        <v>880</v>
      </c>
      <c r="S357" t="s">
        <v>880</v>
      </c>
      <c r="T357" t="s">
        <v>908</v>
      </c>
      <c r="U357" t="s">
        <v>960</v>
      </c>
      <c r="V357" s="28" t="s">
        <v>1195</v>
      </c>
      <c r="W357" s="28" t="s">
        <v>1196</v>
      </c>
      <c r="X357" s="28" t="s">
        <v>2164</v>
      </c>
      <c r="Y357" s="28" t="s">
        <v>2165</v>
      </c>
      <c r="Z357" s="28" t="s">
        <v>2166</v>
      </c>
      <c r="AA357" s="28" t="s">
        <v>2167</v>
      </c>
      <c r="AB357" s="28" t="s">
        <v>2168</v>
      </c>
      <c r="AC357" s="28" t="s">
        <v>2169</v>
      </c>
    </row>
    <row r="358" spans="1:29">
      <c r="A358">
        <v>117</v>
      </c>
      <c r="B358">
        <v>2124</v>
      </c>
      <c r="C358">
        <v>2124</v>
      </c>
      <c r="D358" t="s">
        <v>21</v>
      </c>
      <c r="E358" s="22">
        <v>44363</v>
      </c>
      <c r="F358" t="s">
        <v>6055</v>
      </c>
      <c r="G358" t="s">
        <v>26</v>
      </c>
      <c r="H358">
        <v>2</v>
      </c>
      <c r="I358" t="s">
        <v>40</v>
      </c>
      <c r="J358" t="s">
        <v>56</v>
      </c>
      <c r="K358" t="s">
        <v>96</v>
      </c>
      <c r="L358" t="s">
        <v>463</v>
      </c>
      <c r="M358">
        <v>2121</v>
      </c>
      <c r="N358" t="s">
        <v>834</v>
      </c>
      <c r="O358" t="s">
        <v>21</v>
      </c>
      <c r="P358" t="s">
        <v>21</v>
      </c>
      <c r="Q358" t="s">
        <v>21</v>
      </c>
      <c r="R358" t="s">
        <v>899</v>
      </c>
      <c r="S358" t="s">
        <v>899</v>
      </c>
      <c r="T358" t="s">
        <v>956</v>
      </c>
      <c r="U358" t="s">
        <v>960</v>
      </c>
      <c r="V358" s="28" t="s">
        <v>1197</v>
      </c>
      <c r="W358" s="28" t="s">
        <v>1198</v>
      </c>
      <c r="X358" s="28" t="s">
        <v>2170</v>
      </c>
      <c r="Y358" s="28" t="s">
        <v>2171</v>
      </c>
      <c r="Z358" s="28" t="s">
        <v>2172</v>
      </c>
      <c r="AA358" s="28" t="s">
        <v>2173</v>
      </c>
      <c r="AB358" s="28" t="s">
        <v>2174</v>
      </c>
      <c r="AC358" s="28" t="s">
        <v>2175</v>
      </c>
    </row>
    <row r="359" spans="1:29">
      <c r="A359">
        <v>118</v>
      </c>
      <c r="B359">
        <v>2125</v>
      </c>
      <c r="C359">
        <v>2125</v>
      </c>
      <c r="D359" t="s">
        <v>21</v>
      </c>
      <c r="E359" s="22">
        <v>44371</v>
      </c>
      <c r="F359" t="s">
        <v>6055</v>
      </c>
      <c r="G359" t="s">
        <v>26</v>
      </c>
      <c r="H359">
        <v>4</v>
      </c>
      <c r="I359" t="s">
        <v>38</v>
      </c>
      <c r="J359" t="s">
        <v>53</v>
      </c>
      <c r="K359" t="s">
        <v>90</v>
      </c>
      <c r="L359" t="s">
        <v>464</v>
      </c>
      <c r="M359">
        <v>2118</v>
      </c>
      <c r="N359" t="s">
        <v>835</v>
      </c>
      <c r="O359" t="s">
        <v>21</v>
      </c>
      <c r="P359" t="s">
        <v>21</v>
      </c>
      <c r="Q359" t="s">
        <v>21</v>
      </c>
      <c r="R359" t="s">
        <v>880</v>
      </c>
      <c r="S359" t="s">
        <v>880</v>
      </c>
      <c r="T359" t="s">
        <v>908</v>
      </c>
      <c r="U359" t="s">
        <v>960</v>
      </c>
      <c r="V359" s="28" t="s">
        <v>1199</v>
      </c>
      <c r="W359" s="28" t="s">
        <v>1196</v>
      </c>
      <c r="X359" s="28" t="s">
        <v>2176</v>
      </c>
      <c r="Y359" s="28" t="s">
        <v>2165</v>
      </c>
      <c r="Z359" s="28" t="s">
        <v>2177</v>
      </c>
      <c r="AA359" s="28" t="s">
        <v>2178</v>
      </c>
      <c r="AB359" s="28" t="s">
        <v>2179</v>
      </c>
      <c r="AC359" s="28" t="s">
        <v>2180</v>
      </c>
    </row>
    <row r="360" spans="1:29">
      <c r="A360">
        <v>119</v>
      </c>
      <c r="B360">
        <v>2126</v>
      </c>
      <c r="C360">
        <v>2126</v>
      </c>
      <c r="D360" t="s">
        <v>21</v>
      </c>
      <c r="E360" s="22">
        <v>44375</v>
      </c>
      <c r="F360" t="s">
        <v>6055</v>
      </c>
      <c r="G360" t="s">
        <v>26</v>
      </c>
      <c r="H360">
        <v>1</v>
      </c>
      <c r="I360" t="s">
        <v>36</v>
      </c>
      <c r="J360" t="s">
        <v>55</v>
      </c>
      <c r="K360" t="s">
        <v>97</v>
      </c>
      <c r="L360" t="s">
        <v>465</v>
      </c>
      <c r="M360">
        <v>2123</v>
      </c>
      <c r="N360" t="s">
        <v>836</v>
      </c>
      <c r="O360" t="s">
        <v>21</v>
      </c>
      <c r="P360" t="s">
        <v>21</v>
      </c>
      <c r="Q360" t="s">
        <v>21</v>
      </c>
      <c r="R360" t="s">
        <v>874</v>
      </c>
      <c r="S360" t="s">
        <v>874</v>
      </c>
      <c r="T360" t="s">
        <v>28</v>
      </c>
      <c r="U360" t="s">
        <v>960</v>
      </c>
      <c r="V360" s="28" t="s">
        <v>1200</v>
      </c>
      <c r="W360" s="28" t="s">
        <v>1068</v>
      </c>
      <c r="X360" s="28" t="s">
        <v>2181</v>
      </c>
      <c r="Y360" s="28" t="s">
        <v>2182</v>
      </c>
      <c r="Z360" s="28" t="s">
        <v>2183</v>
      </c>
      <c r="AA360" s="28" t="s">
        <v>2184</v>
      </c>
      <c r="AB360" s="28" t="s">
        <v>2185</v>
      </c>
      <c r="AC360" s="28" t="s">
        <v>2186</v>
      </c>
    </row>
    <row r="361" spans="1:29">
      <c r="A361">
        <v>120</v>
      </c>
      <c r="B361">
        <v>2126</v>
      </c>
      <c r="C361">
        <v>2126</v>
      </c>
      <c r="D361" t="s">
        <v>21</v>
      </c>
      <c r="E361" s="22">
        <v>44375</v>
      </c>
      <c r="F361" t="s">
        <v>6055</v>
      </c>
      <c r="G361" t="s">
        <v>26</v>
      </c>
      <c r="H361">
        <v>2</v>
      </c>
      <c r="I361" t="s">
        <v>48</v>
      </c>
      <c r="J361" t="s">
        <v>60</v>
      </c>
      <c r="K361" t="s">
        <v>89</v>
      </c>
      <c r="L361" t="s">
        <v>466</v>
      </c>
      <c r="M361">
        <v>2117</v>
      </c>
      <c r="N361" t="s">
        <v>826</v>
      </c>
      <c r="O361" t="s">
        <v>21</v>
      </c>
      <c r="P361" t="s">
        <v>21</v>
      </c>
      <c r="Q361" t="s">
        <v>21</v>
      </c>
      <c r="R361" t="s">
        <v>900</v>
      </c>
      <c r="S361" t="s">
        <v>900</v>
      </c>
      <c r="T361" t="s">
        <v>955</v>
      </c>
      <c r="U361" t="s">
        <v>961</v>
      </c>
      <c r="V361" s="28" t="s">
        <v>1201</v>
      </c>
      <c r="W361" s="28" t="s">
        <v>1202</v>
      </c>
      <c r="X361" s="28" t="s">
        <v>2187</v>
      </c>
      <c r="Y361" s="28" t="s">
        <v>2188</v>
      </c>
      <c r="Z361" s="28" t="s">
        <v>2189</v>
      </c>
      <c r="AA361" s="28" t="s">
        <v>2190</v>
      </c>
      <c r="AB361" s="28" t="s">
        <v>2191</v>
      </c>
      <c r="AC361" s="28" t="s">
        <v>2192</v>
      </c>
    </row>
    <row r="362" spans="1:29">
      <c r="A362">
        <v>121</v>
      </c>
      <c r="B362">
        <v>2126</v>
      </c>
      <c r="C362">
        <v>2126</v>
      </c>
      <c r="D362" t="s">
        <v>21</v>
      </c>
      <c r="E362" s="22">
        <v>44376</v>
      </c>
      <c r="F362" t="s">
        <v>6055</v>
      </c>
      <c r="G362" t="s">
        <v>26</v>
      </c>
      <c r="H362">
        <v>2</v>
      </c>
      <c r="I362" t="s">
        <v>40</v>
      </c>
      <c r="J362" t="s">
        <v>52</v>
      </c>
      <c r="K362" t="s">
        <v>88</v>
      </c>
      <c r="L362" t="s">
        <v>467</v>
      </c>
      <c r="M362">
        <v>2119</v>
      </c>
      <c r="N362" t="s">
        <v>825</v>
      </c>
      <c r="O362" t="s">
        <v>21</v>
      </c>
      <c r="P362" t="s">
        <v>21</v>
      </c>
      <c r="Q362" t="s">
        <v>21</v>
      </c>
      <c r="R362" t="s">
        <v>881</v>
      </c>
      <c r="S362" t="s">
        <v>881</v>
      </c>
      <c r="T362" t="s">
        <v>949</v>
      </c>
      <c r="U362" t="s">
        <v>960</v>
      </c>
      <c r="V362" s="28" t="s">
        <v>1203</v>
      </c>
      <c r="W362" s="28" t="s">
        <v>1194</v>
      </c>
      <c r="X362" s="28" t="s">
        <v>2193</v>
      </c>
      <c r="Y362" s="28" t="s">
        <v>2159</v>
      </c>
      <c r="Z362" s="28" t="s">
        <v>2194</v>
      </c>
      <c r="AA362" s="28" t="s">
        <v>2195</v>
      </c>
      <c r="AB362" s="28" t="s">
        <v>2196</v>
      </c>
      <c r="AC362" s="28" t="s">
        <v>2197</v>
      </c>
    </row>
    <row r="363" spans="1:29">
      <c r="A363">
        <v>122</v>
      </c>
      <c r="B363">
        <v>2126</v>
      </c>
      <c r="C363">
        <v>2126</v>
      </c>
      <c r="D363" t="s">
        <v>21</v>
      </c>
      <c r="E363" s="22">
        <v>44376</v>
      </c>
      <c r="F363" t="s">
        <v>6055</v>
      </c>
      <c r="G363" t="s">
        <v>26</v>
      </c>
      <c r="H363">
        <v>3</v>
      </c>
      <c r="I363" t="s">
        <v>50</v>
      </c>
      <c r="J363" t="s">
        <v>68</v>
      </c>
      <c r="K363" t="s">
        <v>94</v>
      </c>
      <c r="L363" t="s">
        <v>468</v>
      </c>
      <c r="M363">
        <v>2117</v>
      </c>
      <c r="N363" t="s">
        <v>831</v>
      </c>
      <c r="O363" t="s">
        <v>21</v>
      </c>
      <c r="P363" t="s">
        <v>21</v>
      </c>
      <c r="Q363" t="s">
        <v>21</v>
      </c>
      <c r="R363" t="s">
        <v>901</v>
      </c>
      <c r="S363" t="s">
        <v>901</v>
      </c>
      <c r="T363" t="s">
        <v>957</v>
      </c>
      <c r="U363" t="s">
        <v>960</v>
      </c>
      <c r="V363" s="28" t="s">
        <v>1204</v>
      </c>
      <c r="W363" s="28" t="s">
        <v>1205</v>
      </c>
      <c r="X363" s="28" t="s">
        <v>2198</v>
      </c>
      <c r="Y363" s="28" t="s">
        <v>2199</v>
      </c>
      <c r="Z363" s="28" t="s">
        <v>2200</v>
      </c>
      <c r="AA363" s="28" t="s">
        <v>2201</v>
      </c>
      <c r="AB363" s="28" t="s">
        <v>2202</v>
      </c>
      <c r="AC363" s="28" t="s">
        <v>2203</v>
      </c>
    </row>
    <row r="364" spans="1:29">
      <c r="A364">
        <v>123</v>
      </c>
      <c r="B364">
        <v>2126</v>
      </c>
      <c r="C364">
        <v>2126</v>
      </c>
      <c r="D364" t="s">
        <v>21</v>
      </c>
      <c r="E364" s="22">
        <v>44376</v>
      </c>
      <c r="F364" t="s">
        <v>6055</v>
      </c>
      <c r="G364" t="s">
        <v>26</v>
      </c>
      <c r="H364">
        <v>3</v>
      </c>
      <c r="I364" t="s">
        <v>36</v>
      </c>
      <c r="J364" t="s">
        <v>66</v>
      </c>
      <c r="K364" t="s">
        <v>92</v>
      </c>
      <c r="L364" t="s">
        <v>469</v>
      </c>
      <c r="M364">
        <v>2118</v>
      </c>
      <c r="N364" t="s">
        <v>829</v>
      </c>
      <c r="O364" t="s">
        <v>21</v>
      </c>
      <c r="P364" t="s">
        <v>21</v>
      </c>
      <c r="Q364" t="s">
        <v>21</v>
      </c>
      <c r="R364" t="s">
        <v>872</v>
      </c>
      <c r="S364" t="s">
        <v>872</v>
      </c>
      <c r="T364" t="s">
        <v>950</v>
      </c>
      <c r="U364" t="s">
        <v>960</v>
      </c>
      <c r="V364" s="28" t="s">
        <v>1206</v>
      </c>
      <c r="W364" s="28" t="s">
        <v>1207</v>
      </c>
      <c r="X364" s="28" t="s">
        <v>2204</v>
      </c>
      <c r="Y364" s="28" t="s">
        <v>2205</v>
      </c>
      <c r="Z364" s="28" t="s">
        <v>2206</v>
      </c>
      <c r="AA364" s="28" t="s">
        <v>2207</v>
      </c>
      <c r="AB364" s="28" t="s">
        <v>2208</v>
      </c>
      <c r="AC364" s="28" t="s">
        <v>2209</v>
      </c>
    </row>
    <row r="365" spans="1:29">
      <c r="A365">
        <v>124</v>
      </c>
      <c r="B365">
        <v>2126</v>
      </c>
      <c r="C365">
        <v>2126</v>
      </c>
      <c r="D365" t="s">
        <v>21</v>
      </c>
      <c r="E365" s="22">
        <v>44376</v>
      </c>
      <c r="F365" t="s">
        <v>6055</v>
      </c>
      <c r="G365" t="s">
        <v>26</v>
      </c>
      <c r="H365">
        <v>3</v>
      </c>
      <c r="I365" t="s">
        <v>48</v>
      </c>
      <c r="J365" t="s">
        <v>66</v>
      </c>
      <c r="K365" t="s">
        <v>92</v>
      </c>
      <c r="L365" t="s">
        <v>470</v>
      </c>
      <c r="M365">
        <v>2118</v>
      </c>
      <c r="N365" t="s">
        <v>829</v>
      </c>
      <c r="O365" t="s">
        <v>21</v>
      </c>
      <c r="P365" t="s">
        <v>21</v>
      </c>
      <c r="Q365" t="s">
        <v>21</v>
      </c>
      <c r="R365" t="s">
        <v>896</v>
      </c>
      <c r="S365" t="s">
        <v>896</v>
      </c>
      <c r="T365" t="s">
        <v>908</v>
      </c>
      <c r="U365" t="s">
        <v>960</v>
      </c>
      <c r="V365" s="28" t="s">
        <v>1208</v>
      </c>
      <c r="W365" s="28" t="s">
        <v>1196</v>
      </c>
      <c r="X365" s="28" t="s">
        <v>2210</v>
      </c>
      <c r="Y365" s="28" t="s">
        <v>2165</v>
      </c>
      <c r="Z365" s="28" t="s">
        <v>2211</v>
      </c>
      <c r="AA365" s="28" t="s">
        <v>2212</v>
      </c>
      <c r="AB365" s="28" t="s">
        <v>2213</v>
      </c>
      <c r="AC365" s="28" t="s">
        <v>2214</v>
      </c>
    </row>
    <row r="366" spans="1:29">
      <c r="A366">
        <v>125</v>
      </c>
      <c r="B366">
        <v>2126</v>
      </c>
      <c r="C366">
        <v>2126</v>
      </c>
      <c r="D366" t="s">
        <v>21</v>
      </c>
      <c r="E366" s="22">
        <v>44377</v>
      </c>
      <c r="F366" t="s">
        <v>6055</v>
      </c>
      <c r="G366" t="s">
        <v>26</v>
      </c>
      <c r="H366">
        <v>2</v>
      </c>
      <c r="I366" t="s">
        <v>41</v>
      </c>
      <c r="J366" t="s">
        <v>52</v>
      </c>
      <c r="K366" t="s">
        <v>88</v>
      </c>
      <c r="L366" t="s">
        <v>471</v>
      </c>
      <c r="M366">
        <v>2119</v>
      </c>
      <c r="N366" t="s">
        <v>825</v>
      </c>
      <c r="O366" t="s">
        <v>21</v>
      </c>
      <c r="P366" t="s">
        <v>21</v>
      </c>
      <c r="Q366" t="s">
        <v>21</v>
      </c>
      <c r="R366" t="s">
        <v>881</v>
      </c>
      <c r="S366" t="s">
        <v>881</v>
      </c>
      <c r="T366" t="s">
        <v>949</v>
      </c>
      <c r="U366" t="s">
        <v>960</v>
      </c>
      <c r="V366" s="28" t="s">
        <v>1203</v>
      </c>
      <c r="W366" s="28" t="s">
        <v>1194</v>
      </c>
      <c r="X366" s="28" t="s">
        <v>2193</v>
      </c>
      <c r="Y366" s="28" t="s">
        <v>2159</v>
      </c>
      <c r="Z366" s="28" t="s">
        <v>2194</v>
      </c>
      <c r="AA366" s="28" t="s">
        <v>2195</v>
      </c>
      <c r="AB366" s="28" t="s">
        <v>2196</v>
      </c>
      <c r="AC366" s="28" t="s">
        <v>2197</v>
      </c>
    </row>
    <row r="367" spans="1:29">
      <c r="A367">
        <v>126</v>
      </c>
      <c r="B367">
        <v>2126</v>
      </c>
      <c r="C367">
        <v>2126</v>
      </c>
      <c r="D367" t="s">
        <v>21</v>
      </c>
      <c r="E367" s="22">
        <v>44379</v>
      </c>
      <c r="F367" t="s">
        <v>6055</v>
      </c>
      <c r="G367" t="s">
        <v>26</v>
      </c>
      <c r="H367">
        <v>3</v>
      </c>
      <c r="I367" t="s">
        <v>38</v>
      </c>
      <c r="J367" t="s">
        <v>68</v>
      </c>
      <c r="K367" t="s">
        <v>94</v>
      </c>
      <c r="L367" t="s">
        <v>472</v>
      </c>
      <c r="M367">
        <v>2117</v>
      </c>
      <c r="N367" t="s">
        <v>831</v>
      </c>
      <c r="O367" t="s">
        <v>21</v>
      </c>
      <c r="P367" t="s">
        <v>21</v>
      </c>
      <c r="Q367" t="s">
        <v>21</v>
      </c>
      <c r="R367" t="s">
        <v>891</v>
      </c>
      <c r="S367" t="s">
        <v>891</v>
      </c>
      <c r="T367" t="s">
        <v>891</v>
      </c>
      <c r="U367" t="s">
        <v>960</v>
      </c>
      <c r="V367" s="28" t="s">
        <v>1209</v>
      </c>
      <c r="W367" s="28" t="s">
        <v>1066</v>
      </c>
      <c r="X367" s="28" t="s">
        <v>2215</v>
      </c>
      <c r="Y367" s="28" t="s">
        <v>2216</v>
      </c>
      <c r="Z367" s="28" t="s">
        <v>2217</v>
      </c>
      <c r="AA367" s="28" t="s">
        <v>2218</v>
      </c>
      <c r="AB367" s="28" t="s">
        <v>2219</v>
      </c>
      <c r="AC367" s="28" t="s">
        <v>2220</v>
      </c>
    </row>
    <row r="368" spans="1:29">
      <c r="A368">
        <v>127</v>
      </c>
      <c r="B368">
        <v>2127</v>
      </c>
      <c r="C368">
        <v>2127</v>
      </c>
      <c r="D368" t="s">
        <v>21</v>
      </c>
      <c r="E368" s="22">
        <v>44384</v>
      </c>
      <c r="F368" t="s">
        <v>6055</v>
      </c>
      <c r="G368" t="s">
        <v>26</v>
      </c>
      <c r="H368">
        <v>2</v>
      </c>
      <c r="I368" t="s">
        <v>41</v>
      </c>
      <c r="J368" t="s">
        <v>54</v>
      </c>
      <c r="K368" t="s">
        <v>98</v>
      </c>
      <c r="L368" t="s">
        <v>473</v>
      </c>
      <c r="M368">
        <v>2121</v>
      </c>
      <c r="N368" t="s">
        <v>837</v>
      </c>
      <c r="O368" t="s">
        <v>21</v>
      </c>
      <c r="P368" t="s">
        <v>21</v>
      </c>
      <c r="Q368" t="s">
        <v>21</v>
      </c>
      <c r="R368" t="s">
        <v>881</v>
      </c>
      <c r="S368" t="s">
        <v>881</v>
      </c>
      <c r="T368" t="s">
        <v>949</v>
      </c>
      <c r="U368" t="s">
        <v>960</v>
      </c>
      <c r="V368" s="28" t="s">
        <v>1069</v>
      </c>
      <c r="W368" s="28" t="s">
        <v>1070</v>
      </c>
      <c r="X368" s="28" t="s">
        <v>2221</v>
      </c>
      <c r="Y368" s="28" t="s">
        <v>2222</v>
      </c>
      <c r="Z368" s="28" t="s">
        <v>2223</v>
      </c>
      <c r="AA368" s="28" t="s">
        <v>2224</v>
      </c>
      <c r="AB368" s="28" t="s">
        <v>2225</v>
      </c>
      <c r="AC368" s="28" t="s">
        <v>2226</v>
      </c>
    </row>
    <row r="369" spans="1:29">
      <c r="A369">
        <v>128</v>
      </c>
      <c r="B369">
        <v>2127</v>
      </c>
      <c r="C369">
        <v>2127</v>
      </c>
      <c r="D369" t="s">
        <v>21</v>
      </c>
      <c r="E369" s="22">
        <v>44385</v>
      </c>
      <c r="F369" t="s">
        <v>6055</v>
      </c>
      <c r="G369" t="s">
        <v>26</v>
      </c>
      <c r="H369">
        <v>4</v>
      </c>
      <c r="I369" t="s">
        <v>38</v>
      </c>
      <c r="J369" t="s">
        <v>53</v>
      </c>
      <c r="K369" t="s">
        <v>95</v>
      </c>
      <c r="L369" t="s">
        <v>474</v>
      </c>
      <c r="M369">
        <v>2120</v>
      </c>
      <c r="N369" t="s">
        <v>838</v>
      </c>
      <c r="O369" t="s">
        <v>21</v>
      </c>
      <c r="P369" t="s">
        <v>21</v>
      </c>
      <c r="Q369" t="s">
        <v>21</v>
      </c>
      <c r="R369" t="s">
        <v>880</v>
      </c>
      <c r="S369" t="s">
        <v>880</v>
      </c>
      <c r="T369" t="s">
        <v>908</v>
      </c>
      <c r="U369" t="s">
        <v>960</v>
      </c>
      <c r="V369" s="28" t="s">
        <v>1210</v>
      </c>
      <c r="W369" s="28" t="s">
        <v>1211</v>
      </c>
      <c r="X369" s="28" t="s">
        <v>2227</v>
      </c>
      <c r="Y369" s="28" t="s">
        <v>2228</v>
      </c>
      <c r="Z369" s="28" t="s">
        <v>2229</v>
      </c>
      <c r="AA369" s="28" t="s">
        <v>2230</v>
      </c>
      <c r="AB369" s="28" t="s">
        <v>2231</v>
      </c>
      <c r="AC369" s="28" t="s">
        <v>2232</v>
      </c>
    </row>
    <row r="370" spans="1:29">
      <c r="A370">
        <v>129</v>
      </c>
      <c r="B370">
        <v>2127</v>
      </c>
      <c r="C370">
        <v>2127</v>
      </c>
      <c r="D370" t="s">
        <v>21</v>
      </c>
      <c r="E370" s="22">
        <v>44385</v>
      </c>
      <c r="F370" t="s">
        <v>6055</v>
      </c>
      <c r="G370" t="s">
        <v>26</v>
      </c>
      <c r="H370">
        <v>2</v>
      </c>
      <c r="I370" t="s">
        <v>38</v>
      </c>
      <c r="J370" t="s">
        <v>52</v>
      </c>
      <c r="K370" t="s">
        <v>88</v>
      </c>
      <c r="L370" t="s">
        <v>475</v>
      </c>
      <c r="M370">
        <v>2120</v>
      </c>
      <c r="N370" t="s">
        <v>825</v>
      </c>
      <c r="O370" t="s">
        <v>21</v>
      </c>
      <c r="P370" t="s">
        <v>21</v>
      </c>
      <c r="Q370" t="s">
        <v>21</v>
      </c>
      <c r="R370" t="s">
        <v>890</v>
      </c>
      <c r="S370" t="s">
        <v>890</v>
      </c>
      <c r="T370" t="s">
        <v>908</v>
      </c>
      <c r="U370" t="s">
        <v>960</v>
      </c>
      <c r="V370" s="28" t="s">
        <v>1210</v>
      </c>
      <c r="W370" s="28" t="s">
        <v>1211</v>
      </c>
      <c r="X370" s="28" t="s">
        <v>2227</v>
      </c>
      <c r="Y370" s="28" t="s">
        <v>2228</v>
      </c>
      <c r="Z370" s="28" t="s">
        <v>2233</v>
      </c>
      <c r="AA370" s="28" t="s">
        <v>2234</v>
      </c>
      <c r="AB370" s="28" t="s">
        <v>2235</v>
      </c>
      <c r="AC370" s="28" t="s">
        <v>2236</v>
      </c>
    </row>
    <row r="371" spans="1:29">
      <c r="A371">
        <v>130</v>
      </c>
      <c r="B371">
        <v>2127</v>
      </c>
      <c r="C371">
        <v>2127</v>
      </c>
      <c r="D371" t="s">
        <v>21</v>
      </c>
      <c r="E371" s="22">
        <v>44386</v>
      </c>
      <c r="F371" t="s">
        <v>6055</v>
      </c>
      <c r="G371" t="s">
        <v>26</v>
      </c>
      <c r="H371">
        <v>3</v>
      </c>
      <c r="I371" t="s">
        <v>38</v>
      </c>
      <c r="J371" t="s">
        <v>66</v>
      </c>
      <c r="K371" t="s">
        <v>91</v>
      </c>
      <c r="L371" t="s">
        <v>476</v>
      </c>
      <c r="M371">
        <v>2119</v>
      </c>
      <c r="N371" t="s">
        <v>828</v>
      </c>
      <c r="O371" t="s">
        <v>21</v>
      </c>
      <c r="P371" t="s">
        <v>21</v>
      </c>
      <c r="Q371" t="s">
        <v>21</v>
      </c>
      <c r="R371" t="s">
        <v>874</v>
      </c>
      <c r="S371" t="s">
        <v>874</v>
      </c>
      <c r="T371" t="s">
        <v>28</v>
      </c>
      <c r="U371" t="s">
        <v>960</v>
      </c>
      <c r="V371" s="28" t="s">
        <v>1212</v>
      </c>
      <c r="W371" s="28" t="s">
        <v>1213</v>
      </c>
      <c r="X371" s="28" t="s">
        <v>2237</v>
      </c>
      <c r="Y371" s="28" t="s">
        <v>2238</v>
      </c>
      <c r="Z371" s="28" t="s">
        <v>2239</v>
      </c>
      <c r="AA371" s="28" t="s">
        <v>2240</v>
      </c>
      <c r="AB371" s="28" t="s">
        <v>2241</v>
      </c>
      <c r="AC371" s="28" t="s">
        <v>2242</v>
      </c>
    </row>
    <row r="372" spans="1:29">
      <c r="A372">
        <v>131</v>
      </c>
      <c r="B372">
        <v>2127</v>
      </c>
      <c r="C372">
        <v>2127</v>
      </c>
      <c r="D372" t="s">
        <v>21</v>
      </c>
      <c r="E372" s="22">
        <v>44386</v>
      </c>
      <c r="F372" t="s">
        <v>6055</v>
      </c>
      <c r="G372" t="s">
        <v>26</v>
      </c>
      <c r="H372">
        <v>3</v>
      </c>
      <c r="I372" t="s">
        <v>41</v>
      </c>
      <c r="J372" t="s">
        <v>66</v>
      </c>
      <c r="K372" t="s">
        <v>91</v>
      </c>
      <c r="L372" t="s">
        <v>477</v>
      </c>
      <c r="M372">
        <v>2117</v>
      </c>
      <c r="N372" t="s">
        <v>828</v>
      </c>
      <c r="O372" t="s">
        <v>21</v>
      </c>
      <c r="P372" t="s">
        <v>21</v>
      </c>
      <c r="Q372" t="s">
        <v>21</v>
      </c>
      <c r="R372" t="s">
        <v>881</v>
      </c>
      <c r="S372" t="s">
        <v>881</v>
      </c>
      <c r="T372" t="s">
        <v>949</v>
      </c>
      <c r="U372" t="s">
        <v>960</v>
      </c>
      <c r="V372" s="28" t="s">
        <v>1069</v>
      </c>
      <c r="W372" s="28" t="s">
        <v>1070</v>
      </c>
      <c r="X372" s="28" t="s">
        <v>2221</v>
      </c>
      <c r="Y372" s="28" t="s">
        <v>2222</v>
      </c>
      <c r="Z372" s="28" t="s">
        <v>2243</v>
      </c>
      <c r="AA372" s="28" t="s">
        <v>2244</v>
      </c>
      <c r="AB372" s="28" t="s">
        <v>2245</v>
      </c>
      <c r="AC372" s="28" t="s">
        <v>2246</v>
      </c>
    </row>
    <row r="373" spans="1:29">
      <c r="A373">
        <v>132</v>
      </c>
      <c r="B373">
        <v>2127</v>
      </c>
      <c r="C373">
        <v>2127</v>
      </c>
      <c r="D373" t="s">
        <v>21</v>
      </c>
      <c r="E373" s="22">
        <v>44386</v>
      </c>
      <c r="F373" t="s">
        <v>6055</v>
      </c>
      <c r="G373" t="s">
        <v>26</v>
      </c>
      <c r="H373">
        <v>4</v>
      </c>
      <c r="I373" t="s">
        <v>36</v>
      </c>
      <c r="J373" t="s">
        <v>53</v>
      </c>
      <c r="K373" t="s">
        <v>90</v>
      </c>
      <c r="L373" t="s">
        <v>478</v>
      </c>
      <c r="M373">
        <v>2118</v>
      </c>
      <c r="N373" t="s">
        <v>835</v>
      </c>
      <c r="O373" t="s">
        <v>21</v>
      </c>
      <c r="P373" t="s">
        <v>21</v>
      </c>
      <c r="Q373" t="s">
        <v>21</v>
      </c>
      <c r="R373" t="s">
        <v>872</v>
      </c>
      <c r="S373" t="s">
        <v>872</v>
      </c>
      <c r="T373" t="s">
        <v>950</v>
      </c>
      <c r="U373" t="s">
        <v>960</v>
      </c>
      <c r="V373" s="28" t="s">
        <v>1214</v>
      </c>
      <c r="W373" s="28" t="s">
        <v>1215</v>
      </c>
      <c r="X373" s="28" t="s">
        <v>2247</v>
      </c>
      <c r="Y373" s="28" t="s">
        <v>2248</v>
      </c>
      <c r="Z373" s="28" t="s">
        <v>2249</v>
      </c>
      <c r="AA373" s="28" t="s">
        <v>2250</v>
      </c>
      <c r="AB373" s="28" t="s">
        <v>2251</v>
      </c>
      <c r="AC373" s="28" t="s">
        <v>2252</v>
      </c>
    </row>
    <row r="374" spans="1:29">
      <c r="A374">
        <v>133</v>
      </c>
      <c r="B374">
        <v>2128</v>
      </c>
      <c r="C374">
        <v>2128</v>
      </c>
      <c r="D374" t="s">
        <v>21</v>
      </c>
      <c r="E374" s="22">
        <v>44389</v>
      </c>
      <c r="F374" t="s">
        <v>6055</v>
      </c>
      <c r="G374" t="s">
        <v>26</v>
      </c>
      <c r="H374">
        <v>4</v>
      </c>
      <c r="I374" t="s">
        <v>41</v>
      </c>
      <c r="J374" t="s">
        <v>53</v>
      </c>
      <c r="K374" t="s">
        <v>90</v>
      </c>
      <c r="L374" t="s">
        <v>479</v>
      </c>
      <c r="M374">
        <v>2118</v>
      </c>
      <c r="N374" t="s">
        <v>835</v>
      </c>
      <c r="O374" t="s">
        <v>21</v>
      </c>
      <c r="P374" t="s">
        <v>21</v>
      </c>
      <c r="Q374" t="s">
        <v>21</v>
      </c>
      <c r="R374" t="s">
        <v>881</v>
      </c>
      <c r="S374" t="s">
        <v>881</v>
      </c>
      <c r="T374" t="s">
        <v>949</v>
      </c>
      <c r="U374" t="s">
        <v>960</v>
      </c>
      <c r="V374" s="28" t="s">
        <v>1216</v>
      </c>
      <c r="W374" s="28" t="s">
        <v>1070</v>
      </c>
      <c r="X374" s="28" t="s">
        <v>2253</v>
      </c>
      <c r="Y374" s="28" t="s">
        <v>2222</v>
      </c>
      <c r="Z374" s="28" t="s">
        <v>2254</v>
      </c>
      <c r="AA374" s="28" t="s">
        <v>2255</v>
      </c>
      <c r="AB374" s="28" t="s">
        <v>2256</v>
      </c>
      <c r="AC374" s="28" t="s">
        <v>2257</v>
      </c>
    </row>
    <row r="375" spans="1:29">
      <c r="A375">
        <v>134</v>
      </c>
      <c r="B375">
        <v>2128</v>
      </c>
      <c r="C375">
        <v>2128</v>
      </c>
      <c r="D375" t="s">
        <v>21</v>
      </c>
      <c r="E375" s="22">
        <v>44390</v>
      </c>
      <c r="F375" t="s">
        <v>6055</v>
      </c>
      <c r="G375" t="s">
        <v>26</v>
      </c>
      <c r="H375">
        <v>3</v>
      </c>
      <c r="I375" t="s">
        <v>36</v>
      </c>
      <c r="J375" t="s">
        <v>52</v>
      </c>
      <c r="K375" t="s">
        <v>88</v>
      </c>
      <c r="L375" t="s">
        <v>480</v>
      </c>
      <c r="M375">
        <v>2121</v>
      </c>
      <c r="N375" t="s">
        <v>825</v>
      </c>
      <c r="O375" t="s">
        <v>21</v>
      </c>
      <c r="P375" t="s">
        <v>21</v>
      </c>
      <c r="Q375" t="s">
        <v>21</v>
      </c>
      <c r="R375" t="s">
        <v>874</v>
      </c>
      <c r="S375" t="s">
        <v>874</v>
      </c>
      <c r="T375" t="s">
        <v>28</v>
      </c>
      <c r="U375" t="s">
        <v>960</v>
      </c>
      <c r="V375" s="28" t="s">
        <v>1217</v>
      </c>
      <c r="W375" s="28" t="s">
        <v>1213</v>
      </c>
      <c r="X375" s="28" t="s">
        <v>2258</v>
      </c>
      <c r="Y375" s="28" t="s">
        <v>2238</v>
      </c>
      <c r="Z375" s="28" t="s">
        <v>2259</v>
      </c>
      <c r="AA375" s="28" t="s">
        <v>2260</v>
      </c>
      <c r="AB375" s="28" t="s">
        <v>2261</v>
      </c>
      <c r="AC375" s="28" t="s">
        <v>2262</v>
      </c>
    </row>
    <row r="376" spans="1:29">
      <c r="A376">
        <v>135</v>
      </c>
      <c r="B376">
        <v>2128</v>
      </c>
      <c r="C376">
        <v>2128</v>
      </c>
      <c r="D376" t="s">
        <v>21</v>
      </c>
      <c r="E376" s="22">
        <v>44391</v>
      </c>
      <c r="F376" t="s">
        <v>6055</v>
      </c>
      <c r="G376" t="s">
        <v>26</v>
      </c>
      <c r="H376">
        <v>3</v>
      </c>
      <c r="I376" t="s">
        <v>36</v>
      </c>
      <c r="J376" t="s">
        <v>52</v>
      </c>
      <c r="K376" t="s">
        <v>88</v>
      </c>
      <c r="L376" t="s">
        <v>481</v>
      </c>
      <c r="M376">
        <v>2120</v>
      </c>
      <c r="N376" t="s">
        <v>825</v>
      </c>
      <c r="O376" t="s">
        <v>21</v>
      </c>
      <c r="P376" t="s">
        <v>21</v>
      </c>
      <c r="Q376" t="s">
        <v>21</v>
      </c>
      <c r="R376" t="s">
        <v>874</v>
      </c>
      <c r="S376" t="s">
        <v>874</v>
      </c>
      <c r="T376" t="s">
        <v>28</v>
      </c>
      <c r="U376" t="s">
        <v>960</v>
      </c>
      <c r="V376" s="28" t="s">
        <v>1217</v>
      </c>
      <c r="W376" s="28" t="s">
        <v>1213</v>
      </c>
      <c r="X376" s="28" t="s">
        <v>2258</v>
      </c>
      <c r="Y376" s="28" t="s">
        <v>2238</v>
      </c>
      <c r="Z376" s="28" t="s">
        <v>2259</v>
      </c>
      <c r="AA376" s="28" t="s">
        <v>2260</v>
      </c>
      <c r="AB376" s="28" t="s">
        <v>2261</v>
      </c>
      <c r="AC376" s="28" t="s">
        <v>2262</v>
      </c>
    </row>
    <row r="377" spans="1:29">
      <c r="A377">
        <v>136</v>
      </c>
      <c r="B377">
        <v>2128</v>
      </c>
      <c r="C377">
        <v>2128</v>
      </c>
      <c r="D377" t="s">
        <v>21</v>
      </c>
      <c r="E377" s="22">
        <v>44392</v>
      </c>
      <c r="F377" t="s">
        <v>6055</v>
      </c>
      <c r="G377" t="s">
        <v>26</v>
      </c>
      <c r="H377">
        <v>2</v>
      </c>
      <c r="I377" t="s">
        <v>41</v>
      </c>
      <c r="J377" t="s">
        <v>66</v>
      </c>
      <c r="K377" t="s">
        <v>91</v>
      </c>
      <c r="L377" t="s">
        <v>482</v>
      </c>
      <c r="M377">
        <v>2121</v>
      </c>
      <c r="N377" t="s">
        <v>828</v>
      </c>
      <c r="O377" t="s">
        <v>21</v>
      </c>
      <c r="P377" t="s">
        <v>21</v>
      </c>
      <c r="Q377" t="s">
        <v>21</v>
      </c>
      <c r="R377" t="s">
        <v>881</v>
      </c>
      <c r="S377" t="s">
        <v>881</v>
      </c>
      <c r="T377" t="s">
        <v>949</v>
      </c>
      <c r="U377" t="s">
        <v>960</v>
      </c>
      <c r="V377" s="28" t="s">
        <v>1216</v>
      </c>
      <c r="W377" s="28" t="s">
        <v>1070</v>
      </c>
      <c r="X377" s="28" t="s">
        <v>2253</v>
      </c>
      <c r="Y377" s="28" t="s">
        <v>2222</v>
      </c>
      <c r="Z377" s="28" t="s">
        <v>2263</v>
      </c>
      <c r="AA377" s="28" t="s">
        <v>2244</v>
      </c>
      <c r="AB377" s="28" t="s">
        <v>2264</v>
      </c>
      <c r="AC377" s="28" t="s">
        <v>2246</v>
      </c>
    </row>
    <row r="378" spans="1:29">
      <c r="A378">
        <v>137</v>
      </c>
      <c r="B378">
        <v>2128</v>
      </c>
      <c r="C378">
        <v>2128</v>
      </c>
      <c r="D378" t="s">
        <v>21</v>
      </c>
      <c r="E378" s="22">
        <v>44392</v>
      </c>
      <c r="F378" t="s">
        <v>6055</v>
      </c>
      <c r="G378" t="s">
        <v>26</v>
      </c>
      <c r="H378">
        <v>2</v>
      </c>
      <c r="I378" t="s">
        <v>41</v>
      </c>
      <c r="J378" t="s">
        <v>60</v>
      </c>
      <c r="K378" t="s">
        <v>89</v>
      </c>
      <c r="L378" t="s">
        <v>483</v>
      </c>
      <c r="M378">
        <v>2121</v>
      </c>
      <c r="N378" t="s">
        <v>826</v>
      </c>
      <c r="O378" t="s">
        <v>21</v>
      </c>
      <c r="P378" t="s">
        <v>21</v>
      </c>
      <c r="Q378" t="s">
        <v>21</v>
      </c>
      <c r="R378" t="s">
        <v>881</v>
      </c>
      <c r="S378" t="s">
        <v>881</v>
      </c>
      <c r="T378" t="s">
        <v>949</v>
      </c>
      <c r="U378" t="s">
        <v>961</v>
      </c>
      <c r="V378" s="28" t="s">
        <v>1218</v>
      </c>
      <c r="W378" s="28" t="s">
        <v>1219</v>
      </c>
      <c r="X378" s="28" t="s">
        <v>2265</v>
      </c>
      <c r="Y378" s="28" t="s">
        <v>2266</v>
      </c>
      <c r="Z378" s="28" t="s">
        <v>2267</v>
      </c>
      <c r="AA378" s="28" t="s">
        <v>2268</v>
      </c>
      <c r="AB378" s="28" t="s">
        <v>2269</v>
      </c>
      <c r="AC378" s="28" t="s">
        <v>2270</v>
      </c>
    </row>
    <row r="379" spans="1:29">
      <c r="A379">
        <v>138</v>
      </c>
      <c r="B379">
        <v>2128</v>
      </c>
      <c r="C379">
        <v>2128</v>
      </c>
      <c r="D379" t="s">
        <v>21</v>
      </c>
      <c r="E379" s="22">
        <v>44392</v>
      </c>
      <c r="F379" t="s">
        <v>6055</v>
      </c>
      <c r="G379" t="s">
        <v>26</v>
      </c>
      <c r="H379">
        <v>2</v>
      </c>
      <c r="I379" t="s">
        <v>38</v>
      </c>
      <c r="J379" t="s">
        <v>62</v>
      </c>
      <c r="K379" t="s">
        <v>82</v>
      </c>
      <c r="L379" t="s">
        <v>484</v>
      </c>
      <c r="M379">
        <v>2117</v>
      </c>
      <c r="N379" t="s">
        <v>816</v>
      </c>
      <c r="O379" t="s">
        <v>21</v>
      </c>
      <c r="P379" t="s">
        <v>21</v>
      </c>
      <c r="Q379" t="s">
        <v>21</v>
      </c>
      <c r="R379" t="s">
        <v>880</v>
      </c>
      <c r="S379" t="s">
        <v>880</v>
      </c>
      <c r="T379" t="s">
        <v>908</v>
      </c>
      <c r="U379" t="s">
        <v>961</v>
      </c>
      <c r="V379" s="28" t="s">
        <v>1220</v>
      </c>
      <c r="W379" s="28" t="s">
        <v>1221</v>
      </c>
      <c r="X379" s="28" t="s">
        <v>2271</v>
      </c>
      <c r="Y379" s="28" t="s">
        <v>2272</v>
      </c>
      <c r="Z379" s="28" t="s">
        <v>2273</v>
      </c>
      <c r="AA379" s="28" t="s">
        <v>2274</v>
      </c>
      <c r="AB379" s="28" t="s">
        <v>2275</v>
      </c>
      <c r="AC379" s="28" t="s">
        <v>2276</v>
      </c>
    </row>
    <row r="380" spans="1:29">
      <c r="A380">
        <v>139</v>
      </c>
      <c r="B380">
        <v>2128</v>
      </c>
      <c r="C380">
        <v>2128</v>
      </c>
      <c r="D380" t="s">
        <v>21</v>
      </c>
      <c r="E380" s="22">
        <v>44393</v>
      </c>
      <c r="F380" t="s">
        <v>6055</v>
      </c>
      <c r="G380" t="s">
        <v>26</v>
      </c>
      <c r="H380">
        <v>3</v>
      </c>
      <c r="I380" t="s">
        <v>41</v>
      </c>
      <c r="J380" t="s">
        <v>60</v>
      </c>
      <c r="K380" t="s">
        <v>89</v>
      </c>
      <c r="L380" t="s">
        <v>485</v>
      </c>
      <c r="M380">
        <v>2120</v>
      </c>
      <c r="N380" t="s">
        <v>826</v>
      </c>
      <c r="O380" t="s">
        <v>21</v>
      </c>
      <c r="P380" t="s">
        <v>21</v>
      </c>
      <c r="Q380" t="s">
        <v>21</v>
      </c>
      <c r="R380" t="s">
        <v>881</v>
      </c>
      <c r="S380" t="s">
        <v>881</v>
      </c>
      <c r="T380" t="s">
        <v>949</v>
      </c>
      <c r="U380" t="s">
        <v>961</v>
      </c>
      <c r="V380" s="28" t="s">
        <v>1218</v>
      </c>
      <c r="W380" s="28" t="s">
        <v>1219</v>
      </c>
      <c r="X380" s="28" t="s">
        <v>2265</v>
      </c>
      <c r="Y380" s="28" t="s">
        <v>2266</v>
      </c>
      <c r="Z380" s="28" t="s">
        <v>2267</v>
      </c>
      <c r="AA380" s="28" t="s">
        <v>2268</v>
      </c>
      <c r="AB380" s="28" t="s">
        <v>2269</v>
      </c>
      <c r="AC380" s="28" t="s">
        <v>2270</v>
      </c>
    </row>
    <row r="381" spans="1:29">
      <c r="A381">
        <v>140</v>
      </c>
      <c r="B381">
        <v>2128</v>
      </c>
      <c r="C381">
        <v>2128</v>
      </c>
      <c r="D381" t="s">
        <v>21</v>
      </c>
      <c r="E381" s="22">
        <v>44393</v>
      </c>
      <c r="F381" t="s">
        <v>6055</v>
      </c>
      <c r="G381" t="s">
        <v>26</v>
      </c>
      <c r="H381">
        <v>3</v>
      </c>
      <c r="I381" t="s">
        <v>38</v>
      </c>
      <c r="J381" t="s">
        <v>60</v>
      </c>
      <c r="K381" t="s">
        <v>89</v>
      </c>
      <c r="L381" t="s">
        <v>486</v>
      </c>
      <c r="M381">
        <v>2118</v>
      </c>
      <c r="N381" t="s">
        <v>826</v>
      </c>
      <c r="O381" t="s">
        <v>21</v>
      </c>
      <c r="P381" t="s">
        <v>21</v>
      </c>
      <c r="Q381" t="s">
        <v>21</v>
      </c>
      <c r="R381" t="s">
        <v>892</v>
      </c>
      <c r="S381" t="s">
        <v>892</v>
      </c>
      <c r="T381" t="s">
        <v>908</v>
      </c>
      <c r="U381" t="s">
        <v>961</v>
      </c>
      <c r="V381" s="28" t="s">
        <v>1220</v>
      </c>
      <c r="W381" s="28" t="s">
        <v>1221</v>
      </c>
      <c r="X381" s="28" t="s">
        <v>2271</v>
      </c>
      <c r="Y381" s="28" t="s">
        <v>2272</v>
      </c>
      <c r="Z381" s="28" t="s">
        <v>2277</v>
      </c>
      <c r="AA381" s="28" t="s">
        <v>2278</v>
      </c>
      <c r="AB381" s="28" t="s">
        <v>2279</v>
      </c>
      <c r="AC381" s="28" t="s">
        <v>2280</v>
      </c>
    </row>
    <row r="382" spans="1:29">
      <c r="A382">
        <v>141</v>
      </c>
      <c r="B382">
        <v>2129</v>
      </c>
      <c r="C382">
        <v>2129</v>
      </c>
      <c r="D382" t="s">
        <v>21</v>
      </c>
      <c r="E382" s="22">
        <v>44396</v>
      </c>
      <c r="F382" t="s">
        <v>6055</v>
      </c>
      <c r="G382" t="s">
        <v>26</v>
      </c>
      <c r="H382">
        <v>2</v>
      </c>
      <c r="I382" t="s">
        <v>40</v>
      </c>
      <c r="J382" t="s">
        <v>60</v>
      </c>
      <c r="K382" t="s">
        <v>89</v>
      </c>
      <c r="L382" t="s">
        <v>487</v>
      </c>
      <c r="M382">
        <v>2120</v>
      </c>
      <c r="N382" t="s">
        <v>826</v>
      </c>
      <c r="O382" t="s">
        <v>21</v>
      </c>
      <c r="P382" t="s">
        <v>21</v>
      </c>
      <c r="Q382" t="s">
        <v>21</v>
      </c>
      <c r="R382" t="s">
        <v>880</v>
      </c>
      <c r="S382" t="s">
        <v>880</v>
      </c>
      <c r="T382" t="s">
        <v>908</v>
      </c>
      <c r="U382" t="s">
        <v>961</v>
      </c>
      <c r="V382" s="28" t="s">
        <v>1222</v>
      </c>
      <c r="W382" s="28" t="s">
        <v>1221</v>
      </c>
      <c r="X382" s="28" t="s">
        <v>2281</v>
      </c>
      <c r="Y382" s="28" t="s">
        <v>2272</v>
      </c>
      <c r="Z382" s="28" t="s">
        <v>2282</v>
      </c>
      <c r="AA382" s="28" t="s">
        <v>2278</v>
      </c>
      <c r="AB382" s="28" t="s">
        <v>2283</v>
      </c>
      <c r="AC382" s="28" t="s">
        <v>2280</v>
      </c>
    </row>
    <row r="383" spans="1:29">
      <c r="A383">
        <v>142</v>
      </c>
      <c r="B383">
        <v>2129</v>
      </c>
      <c r="C383">
        <v>2129</v>
      </c>
      <c r="D383" t="s">
        <v>21</v>
      </c>
      <c r="E383" s="22">
        <v>44397</v>
      </c>
      <c r="F383" t="s">
        <v>6055</v>
      </c>
      <c r="G383" t="s">
        <v>26</v>
      </c>
      <c r="H383">
        <v>3</v>
      </c>
      <c r="I383" t="s">
        <v>36</v>
      </c>
      <c r="J383" t="s">
        <v>66</v>
      </c>
      <c r="K383" t="s">
        <v>91</v>
      </c>
      <c r="L383" t="s">
        <v>488</v>
      </c>
      <c r="M383">
        <v>2121</v>
      </c>
      <c r="N383" t="s">
        <v>828</v>
      </c>
      <c r="O383" t="s">
        <v>21</v>
      </c>
      <c r="P383" t="s">
        <v>21</v>
      </c>
      <c r="Q383" t="s">
        <v>21</v>
      </c>
      <c r="R383" t="s">
        <v>874</v>
      </c>
      <c r="S383" t="s">
        <v>874</v>
      </c>
      <c r="T383" t="s">
        <v>28</v>
      </c>
      <c r="U383" t="s">
        <v>960</v>
      </c>
      <c r="V383" s="28" t="s">
        <v>1223</v>
      </c>
      <c r="W383" s="28" t="s">
        <v>1213</v>
      </c>
      <c r="X383" s="28" t="s">
        <v>2284</v>
      </c>
      <c r="Y383" s="28" t="s">
        <v>2238</v>
      </c>
      <c r="Z383" s="28" t="s">
        <v>2285</v>
      </c>
      <c r="AA383" s="28" t="s">
        <v>2240</v>
      </c>
      <c r="AB383" s="28" t="s">
        <v>2286</v>
      </c>
      <c r="AC383" s="28" t="s">
        <v>2242</v>
      </c>
    </row>
    <row r="384" spans="1:29">
      <c r="A384">
        <v>143</v>
      </c>
      <c r="B384">
        <v>2129</v>
      </c>
      <c r="C384">
        <v>2129</v>
      </c>
      <c r="D384" t="s">
        <v>21</v>
      </c>
      <c r="E384" s="22">
        <v>44397</v>
      </c>
      <c r="F384" t="s">
        <v>6055</v>
      </c>
      <c r="G384" t="s">
        <v>26</v>
      </c>
      <c r="H384">
        <v>2</v>
      </c>
      <c r="I384" t="s">
        <v>39</v>
      </c>
      <c r="J384" t="s">
        <v>52</v>
      </c>
      <c r="K384" t="s">
        <v>88</v>
      </c>
      <c r="L384" t="s">
        <v>489</v>
      </c>
      <c r="M384">
        <v>2122</v>
      </c>
      <c r="N384" t="s">
        <v>825</v>
      </c>
      <c r="O384" t="s">
        <v>21</v>
      </c>
      <c r="P384" t="s">
        <v>21</v>
      </c>
      <c r="Q384" t="s">
        <v>21</v>
      </c>
      <c r="R384" t="s">
        <v>902</v>
      </c>
      <c r="S384" t="s">
        <v>902</v>
      </c>
      <c r="T384" t="s">
        <v>955</v>
      </c>
      <c r="U384" t="s">
        <v>960</v>
      </c>
      <c r="V384" s="28" t="s">
        <v>1224</v>
      </c>
      <c r="W384" s="28" t="s">
        <v>1225</v>
      </c>
      <c r="X384" s="28" t="s">
        <v>2287</v>
      </c>
      <c r="Y384" s="28" t="s">
        <v>2288</v>
      </c>
      <c r="Z384" s="28" t="s">
        <v>2289</v>
      </c>
      <c r="AA384" s="28" t="s">
        <v>2290</v>
      </c>
      <c r="AB384" s="28" t="s">
        <v>2291</v>
      </c>
      <c r="AC384" s="28" t="s">
        <v>2292</v>
      </c>
    </row>
    <row r="385" spans="1:29">
      <c r="A385">
        <v>144</v>
      </c>
      <c r="B385">
        <v>2129</v>
      </c>
      <c r="C385">
        <v>2129</v>
      </c>
      <c r="D385" t="s">
        <v>21</v>
      </c>
      <c r="E385" s="22">
        <v>44398</v>
      </c>
      <c r="F385" t="s">
        <v>6055</v>
      </c>
      <c r="G385" t="s">
        <v>26</v>
      </c>
      <c r="H385">
        <v>2</v>
      </c>
      <c r="I385" t="s">
        <v>36</v>
      </c>
      <c r="J385" t="s">
        <v>52</v>
      </c>
      <c r="K385" t="s">
        <v>88</v>
      </c>
      <c r="L385" t="s">
        <v>490</v>
      </c>
      <c r="M385">
        <v>2122</v>
      </c>
      <c r="N385" t="s">
        <v>825</v>
      </c>
      <c r="O385" t="s">
        <v>21</v>
      </c>
      <c r="P385" t="s">
        <v>21</v>
      </c>
      <c r="Q385" t="s">
        <v>21</v>
      </c>
      <c r="R385" t="s">
        <v>872</v>
      </c>
      <c r="S385" t="s">
        <v>872</v>
      </c>
      <c r="T385" t="s">
        <v>950</v>
      </c>
      <c r="U385" t="s">
        <v>960</v>
      </c>
      <c r="V385" s="28" t="s">
        <v>1226</v>
      </c>
      <c r="W385" s="28" t="s">
        <v>1215</v>
      </c>
      <c r="X385" s="28" t="s">
        <v>2293</v>
      </c>
      <c r="Y385" s="28" t="s">
        <v>2248</v>
      </c>
      <c r="Z385" s="28" t="s">
        <v>2294</v>
      </c>
      <c r="AA385" s="28" t="s">
        <v>2295</v>
      </c>
      <c r="AB385" s="28" t="s">
        <v>2296</v>
      </c>
      <c r="AC385" s="28" t="s">
        <v>2297</v>
      </c>
    </row>
    <row r="386" spans="1:29">
      <c r="A386">
        <v>145</v>
      </c>
      <c r="B386">
        <v>2129</v>
      </c>
      <c r="C386">
        <v>2129</v>
      </c>
      <c r="D386" t="s">
        <v>21</v>
      </c>
      <c r="E386" s="22">
        <v>44398</v>
      </c>
      <c r="F386" t="s">
        <v>6055</v>
      </c>
      <c r="G386" t="s">
        <v>26</v>
      </c>
      <c r="H386">
        <v>2</v>
      </c>
      <c r="I386" t="s">
        <v>39</v>
      </c>
      <c r="J386" t="s">
        <v>52</v>
      </c>
      <c r="K386" t="s">
        <v>88</v>
      </c>
      <c r="L386" t="s">
        <v>491</v>
      </c>
      <c r="M386">
        <v>2121</v>
      </c>
      <c r="N386" t="s">
        <v>825</v>
      </c>
      <c r="O386" t="s">
        <v>21</v>
      </c>
      <c r="P386" t="s">
        <v>21</v>
      </c>
      <c r="Q386" t="s">
        <v>21</v>
      </c>
      <c r="R386" t="s">
        <v>902</v>
      </c>
      <c r="S386" t="s">
        <v>902</v>
      </c>
      <c r="T386" t="s">
        <v>955</v>
      </c>
      <c r="U386" t="s">
        <v>960</v>
      </c>
      <c r="V386" s="28" t="s">
        <v>1224</v>
      </c>
      <c r="W386" s="28" t="s">
        <v>1225</v>
      </c>
      <c r="X386" s="28" t="s">
        <v>2287</v>
      </c>
      <c r="Y386" s="28" t="s">
        <v>2288</v>
      </c>
      <c r="Z386" s="28" t="s">
        <v>2289</v>
      </c>
      <c r="AA386" s="28" t="s">
        <v>2290</v>
      </c>
      <c r="AB386" s="28" t="s">
        <v>2291</v>
      </c>
      <c r="AC386" s="28" t="s">
        <v>2292</v>
      </c>
    </row>
    <row r="387" spans="1:29">
      <c r="A387">
        <v>146</v>
      </c>
      <c r="B387">
        <v>2129</v>
      </c>
      <c r="C387">
        <v>2129</v>
      </c>
      <c r="D387" t="s">
        <v>21</v>
      </c>
      <c r="E387" s="22">
        <v>44399</v>
      </c>
      <c r="F387" t="s">
        <v>6055</v>
      </c>
      <c r="G387" t="s">
        <v>26</v>
      </c>
      <c r="H387">
        <v>3</v>
      </c>
      <c r="I387" t="s">
        <v>41</v>
      </c>
      <c r="J387" t="s">
        <v>67</v>
      </c>
      <c r="K387" t="s">
        <v>93</v>
      </c>
      <c r="L387" t="s">
        <v>492</v>
      </c>
      <c r="M387">
        <v>2121</v>
      </c>
      <c r="N387" t="s">
        <v>839</v>
      </c>
      <c r="O387" t="s">
        <v>21</v>
      </c>
      <c r="P387" t="s">
        <v>21</v>
      </c>
      <c r="Q387" t="s">
        <v>21</v>
      </c>
      <c r="R387" t="s">
        <v>881</v>
      </c>
      <c r="S387" t="s">
        <v>881</v>
      </c>
      <c r="T387" t="s">
        <v>949</v>
      </c>
      <c r="U387" t="s">
        <v>960</v>
      </c>
      <c r="V387" s="28" t="s">
        <v>1078</v>
      </c>
      <c r="W387" s="28" t="s">
        <v>1070</v>
      </c>
      <c r="X387" s="28" t="s">
        <v>2298</v>
      </c>
      <c r="Y387" s="28" t="s">
        <v>2222</v>
      </c>
      <c r="Z387" s="28" t="s">
        <v>2299</v>
      </c>
      <c r="AA387" s="28" t="s">
        <v>2300</v>
      </c>
      <c r="AB387" s="28" t="s">
        <v>2301</v>
      </c>
      <c r="AC387" s="28" t="s">
        <v>2302</v>
      </c>
    </row>
    <row r="388" spans="1:29">
      <c r="A388">
        <v>147</v>
      </c>
      <c r="B388">
        <v>2129</v>
      </c>
      <c r="C388">
        <v>2129</v>
      </c>
      <c r="D388" t="s">
        <v>21</v>
      </c>
      <c r="E388" s="22">
        <v>44399</v>
      </c>
      <c r="F388" t="s">
        <v>6055</v>
      </c>
      <c r="G388" t="s">
        <v>26</v>
      </c>
      <c r="H388">
        <v>3</v>
      </c>
      <c r="I388" t="s">
        <v>40</v>
      </c>
      <c r="J388" t="s">
        <v>67</v>
      </c>
      <c r="K388" t="s">
        <v>93</v>
      </c>
      <c r="L388" t="s">
        <v>493</v>
      </c>
      <c r="M388">
        <v>2121</v>
      </c>
      <c r="N388" t="s">
        <v>839</v>
      </c>
      <c r="O388" t="s">
        <v>21</v>
      </c>
      <c r="P388" t="s">
        <v>21</v>
      </c>
      <c r="Q388" t="s">
        <v>21</v>
      </c>
      <c r="R388" t="s">
        <v>901</v>
      </c>
      <c r="S388" t="s">
        <v>901</v>
      </c>
      <c r="T388" t="s">
        <v>957</v>
      </c>
      <c r="U388" t="s">
        <v>960</v>
      </c>
      <c r="V388" s="28" t="s">
        <v>1227</v>
      </c>
      <c r="W388" s="28" t="s">
        <v>1228</v>
      </c>
      <c r="X388" s="28" t="s">
        <v>2303</v>
      </c>
      <c r="Y388" s="28" t="s">
        <v>2304</v>
      </c>
      <c r="Z388" s="28" t="s">
        <v>2305</v>
      </c>
      <c r="AA388" s="28" t="s">
        <v>2306</v>
      </c>
      <c r="AB388" s="28" t="s">
        <v>2307</v>
      </c>
      <c r="AC388" s="28" t="s">
        <v>2308</v>
      </c>
    </row>
    <row r="389" spans="1:29">
      <c r="A389">
        <v>148</v>
      </c>
      <c r="B389">
        <v>2129</v>
      </c>
      <c r="C389">
        <v>2129</v>
      </c>
      <c r="D389" t="s">
        <v>21</v>
      </c>
      <c r="E389" s="22">
        <v>44399</v>
      </c>
      <c r="F389" t="s">
        <v>6055</v>
      </c>
      <c r="G389" t="s">
        <v>26</v>
      </c>
      <c r="H389">
        <v>2</v>
      </c>
      <c r="I389" t="s">
        <v>36</v>
      </c>
      <c r="J389" t="s">
        <v>52</v>
      </c>
      <c r="K389" t="s">
        <v>88</v>
      </c>
      <c r="L389" t="s">
        <v>494</v>
      </c>
      <c r="M389">
        <v>2122</v>
      </c>
      <c r="N389" t="s">
        <v>825</v>
      </c>
      <c r="O389" t="s">
        <v>21</v>
      </c>
      <c r="P389" t="s">
        <v>21</v>
      </c>
      <c r="Q389" t="s">
        <v>21</v>
      </c>
      <c r="R389" t="s">
        <v>890</v>
      </c>
      <c r="S389" t="s">
        <v>890</v>
      </c>
      <c r="T389" t="s">
        <v>908</v>
      </c>
      <c r="U389" t="s">
        <v>960</v>
      </c>
      <c r="V389" s="28" t="s">
        <v>1229</v>
      </c>
      <c r="W389" s="28" t="s">
        <v>1211</v>
      </c>
      <c r="X389" s="28" t="s">
        <v>2309</v>
      </c>
      <c r="Y389" s="28" t="s">
        <v>2228</v>
      </c>
      <c r="Z389" s="28" t="s">
        <v>2310</v>
      </c>
      <c r="AA389" s="28" t="s">
        <v>2234</v>
      </c>
      <c r="AB389" s="28" t="s">
        <v>2311</v>
      </c>
      <c r="AC389" s="28" t="s">
        <v>2236</v>
      </c>
    </row>
    <row r="390" spans="1:29">
      <c r="A390">
        <v>149</v>
      </c>
      <c r="B390">
        <v>2129</v>
      </c>
      <c r="C390">
        <v>2129</v>
      </c>
      <c r="D390" t="s">
        <v>21</v>
      </c>
      <c r="E390" s="22">
        <v>44400</v>
      </c>
      <c r="F390" t="s">
        <v>6055</v>
      </c>
      <c r="G390" t="s">
        <v>26</v>
      </c>
      <c r="H390">
        <v>2</v>
      </c>
      <c r="I390" t="s">
        <v>41</v>
      </c>
      <c r="J390" t="s">
        <v>52</v>
      </c>
      <c r="K390" t="s">
        <v>88</v>
      </c>
      <c r="L390" t="s">
        <v>495</v>
      </c>
      <c r="M390">
        <v>2121</v>
      </c>
      <c r="N390" t="s">
        <v>825</v>
      </c>
      <c r="O390" t="s">
        <v>21</v>
      </c>
      <c r="P390" t="s">
        <v>21</v>
      </c>
      <c r="Q390" t="s">
        <v>21</v>
      </c>
      <c r="R390" t="s">
        <v>881</v>
      </c>
      <c r="S390" t="s">
        <v>881</v>
      </c>
      <c r="T390" t="s">
        <v>949</v>
      </c>
      <c r="U390" t="s">
        <v>960</v>
      </c>
      <c r="V390" s="28" t="s">
        <v>1078</v>
      </c>
      <c r="W390" s="28" t="s">
        <v>1070</v>
      </c>
      <c r="X390" s="28" t="s">
        <v>2298</v>
      </c>
      <c r="Y390" s="28" t="s">
        <v>2222</v>
      </c>
      <c r="Z390" s="28" t="s">
        <v>2312</v>
      </c>
      <c r="AA390" s="28" t="s">
        <v>2313</v>
      </c>
      <c r="AB390" s="28" t="s">
        <v>2314</v>
      </c>
      <c r="AC390" s="28" t="s">
        <v>1680</v>
      </c>
    </row>
    <row r="391" spans="1:29">
      <c r="A391">
        <v>150</v>
      </c>
      <c r="B391">
        <v>2129</v>
      </c>
      <c r="C391">
        <v>2129</v>
      </c>
      <c r="D391" t="s">
        <v>21</v>
      </c>
      <c r="E391" s="22">
        <v>44400</v>
      </c>
      <c r="F391" t="s">
        <v>6055</v>
      </c>
      <c r="G391" t="s">
        <v>26</v>
      </c>
      <c r="H391">
        <v>4</v>
      </c>
      <c r="I391" t="s">
        <v>36</v>
      </c>
      <c r="J391" t="s">
        <v>52</v>
      </c>
      <c r="K391" t="s">
        <v>88</v>
      </c>
      <c r="L391" t="s">
        <v>496</v>
      </c>
      <c r="M391">
        <v>2122</v>
      </c>
      <c r="N391" t="s">
        <v>825</v>
      </c>
      <c r="O391" t="s">
        <v>21</v>
      </c>
      <c r="P391" t="s">
        <v>21</v>
      </c>
      <c r="Q391" t="s">
        <v>21</v>
      </c>
      <c r="R391" t="s">
        <v>890</v>
      </c>
      <c r="S391" t="s">
        <v>890</v>
      </c>
      <c r="T391" t="s">
        <v>908</v>
      </c>
      <c r="U391" t="s">
        <v>960</v>
      </c>
      <c r="V391" s="28" t="s">
        <v>1229</v>
      </c>
      <c r="W391" s="28" t="s">
        <v>1211</v>
      </c>
      <c r="X391" s="28" t="s">
        <v>2309</v>
      </c>
      <c r="Y391" s="28" t="s">
        <v>2228</v>
      </c>
      <c r="Z391" s="28" t="s">
        <v>2310</v>
      </c>
      <c r="AA391" s="28" t="s">
        <v>2234</v>
      </c>
      <c r="AB391" s="28" t="s">
        <v>2311</v>
      </c>
      <c r="AC391" s="28" t="s">
        <v>2236</v>
      </c>
    </row>
    <row r="392" spans="1:29">
      <c r="A392">
        <v>151</v>
      </c>
      <c r="B392">
        <v>2129</v>
      </c>
      <c r="C392">
        <v>2129</v>
      </c>
      <c r="D392" t="s">
        <v>21</v>
      </c>
      <c r="E392" s="22">
        <v>44400</v>
      </c>
      <c r="F392" t="s">
        <v>6055</v>
      </c>
      <c r="G392" t="s">
        <v>26</v>
      </c>
      <c r="H392">
        <v>4</v>
      </c>
      <c r="I392" t="s">
        <v>41</v>
      </c>
      <c r="J392" t="s">
        <v>52</v>
      </c>
      <c r="K392" t="s">
        <v>88</v>
      </c>
      <c r="L392" t="s">
        <v>497</v>
      </c>
      <c r="M392">
        <v>2121</v>
      </c>
      <c r="N392" t="s">
        <v>825</v>
      </c>
      <c r="O392" t="s">
        <v>21</v>
      </c>
      <c r="P392" t="s">
        <v>21</v>
      </c>
      <c r="Q392" t="s">
        <v>21</v>
      </c>
      <c r="R392" t="s">
        <v>881</v>
      </c>
      <c r="S392" t="s">
        <v>881</v>
      </c>
      <c r="T392" t="s">
        <v>949</v>
      </c>
      <c r="U392" t="s">
        <v>960</v>
      </c>
      <c r="V392" s="28" t="s">
        <v>1078</v>
      </c>
      <c r="W392" s="28" t="s">
        <v>1070</v>
      </c>
      <c r="X392" s="28" t="s">
        <v>2298</v>
      </c>
      <c r="Y392" s="28" t="s">
        <v>2222</v>
      </c>
      <c r="Z392" s="28" t="s">
        <v>2312</v>
      </c>
      <c r="AA392" s="28" t="s">
        <v>2313</v>
      </c>
      <c r="AB392" s="28" t="s">
        <v>2314</v>
      </c>
      <c r="AC392" s="28" t="s">
        <v>1680</v>
      </c>
    </row>
    <row r="393" spans="1:29">
      <c r="A393">
        <v>152</v>
      </c>
      <c r="B393">
        <v>2129</v>
      </c>
      <c r="C393">
        <v>2129</v>
      </c>
      <c r="D393" t="s">
        <v>21</v>
      </c>
      <c r="E393" s="22">
        <v>44400</v>
      </c>
      <c r="F393" t="s">
        <v>6055</v>
      </c>
      <c r="G393" t="s">
        <v>26</v>
      </c>
      <c r="H393">
        <v>2</v>
      </c>
      <c r="I393" t="s">
        <v>36</v>
      </c>
      <c r="J393" t="s">
        <v>52</v>
      </c>
      <c r="K393" t="s">
        <v>88</v>
      </c>
      <c r="L393" t="s">
        <v>498</v>
      </c>
      <c r="M393">
        <v>2122</v>
      </c>
      <c r="N393" t="s">
        <v>825</v>
      </c>
      <c r="O393" t="s">
        <v>21</v>
      </c>
      <c r="P393" t="s">
        <v>21</v>
      </c>
      <c r="Q393" t="s">
        <v>21</v>
      </c>
      <c r="R393" t="s">
        <v>877</v>
      </c>
      <c r="S393" t="s">
        <v>877</v>
      </c>
      <c r="T393" t="s">
        <v>28</v>
      </c>
      <c r="U393" t="s">
        <v>960</v>
      </c>
      <c r="V393" s="28" t="s">
        <v>1223</v>
      </c>
      <c r="W393" s="28" t="s">
        <v>1213</v>
      </c>
      <c r="X393" s="28" t="s">
        <v>2284</v>
      </c>
      <c r="Y393" s="28" t="s">
        <v>2238</v>
      </c>
      <c r="Z393" s="28" t="s">
        <v>2315</v>
      </c>
      <c r="AA393" s="28" t="s">
        <v>2260</v>
      </c>
      <c r="AB393" s="28" t="s">
        <v>2316</v>
      </c>
      <c r="AC393" s="28" t="s">
        <v>2262</v>
      </c>
    </row>
    <row r="394" spans="1:29">
      <c r="A394">
        <v>153</v>
      </c>
      <c r="B394">
        <v>2129</v>
      </c>
      <c r="C394">
        <v>2129</v>
      </c>
      <c r="D394" t="s">
        <v>21</v>
      </c>
      <c r="E394" s="22">
        <v>44400</v>
      </c>
      <c r="F394" t="s">
        <v>6055</v>
      </c>
      <c r="G394" t="s">
        <v>26</v>
      </c>
      <c r="H394">
        <v>2</v>
      </c>
      <c r="I394" t="s">
        <v>39</v>
      </c>
      <c r="J394" t="s">
        <v>52</v>
      </c>
      <c r="K394" t="s">
        <v>88</v>
      </c>
      <c r="L394" t="s">
        <v>499</v>
      </c>
      <c r="M394">
        <v>2123</v>
      </c>
      <c r="N394" t="s">
        <v>825</v>
      </c>
      <c r="O394" t="s">
        <v>21</v>
      </c>
      <c r="P394" t="s">
        <v>21</v>
      </c>
      <c r="Q394" t="s">
        <v>21</v>
      </c>
      <c r="R394" t="s">
        <v>902</v>
      </c>
      <c r="S394" t="s">
        <v>902</v>
      </c>
      <c r="T394" t="s">
        <v>955</v>
      </c>
      <c r="U394" t="s">
        <v>960</v>
      </c>
      <c r="V394" s="28" t="s">
        <v>1224</v>
      </c>
      <c r="W394" s="28" t="s">
        <v>1225</v>
      </c>
      <c r="X394" s="28" t="s">
        <v>2287</v>
      </c>
      <c r="Y394" s="28" t="s">
        <v>2288</v>
      </c>
      <c r="Z394" s="28" t="s">
        <v>2289</v>
      </c>
      <c r="AA394" s="28" t="s">
        <v>2290</v>
      </c>
      <c r="AB394" s="28" t="s">
        <v>2291</v>
      </c>
      <c r="AC394" s="28" t="s">
        <v>2292</v>
      </c>
    </row>
    <row r="395" spans="1:29">
      <c r="A395">
        <v>154</v>
      </c>
      <c r="B395">
        <v>2132</v>
      </c>
      <c r="C395">
        <v>2132</v>
      </c>
      <c r="D395" t="s">
        <v>21</v>
      </c>
      <c r="E395" s="22">
        <v>44417</v>
      </c>
      <c r="F395" t="s">
        <v>6055</v>
      </c>
      <c r="G395" t="s">
        <v>26</v>
      </c>
      <c r="H395">
        <v>4</v>
      </c>
      <c r="I395" t="s">
        <v>36</v>
      </c>
      <c r="J395" t="s">
        <v>53</v>
      </c>
      <c r="K395" t="s">
        <v>90</v>
      </c>
      <c r="L395" t="s">
        <v>500</v>
      </c>
      <c r="M395">
        <v>2124</v>
      </c>
      <c r="N395" t="s">
        <v>827</v>
      </c>
      <c r="O395" t="s">
        <v>21</v>
      </c>
      <c r="P395" t="s">
        <v>21</v>
      </c>
      <c r="Q395" t="s">
        <v>21</v>
      </c>
      <c r="R395" t="s">
        <v>874</v>
      </c>
      <c r="S395" t="s">
        <v>874</v>
      </c>
      <c r="T395" t="s">
        <v>28</v>
      </c>
      <c r="U395" t="s">
        <v>960</v>
      </c>
      <c r="V395" s="28" t="s">
        <v>1230</v>
      </c>
      <c r="W395" s="28" t="s">
        <v>1231</v>
      </c>
      <c r="X395" s="28" t="s">
        <v>2317</v>
      </c>
      <c r="Y395" s="28" t="s">
        <v>2318</v>
      </c>
      <c r="Z395" s="28" t="s">
        <v>2319</v>
      </c>
      <c r="AA395" s="28" t="s">
        <v>2320</v>
      </c>
      <c r="AB395" s="28" t="s">
        <v>2321</v>
      </c>
      <c r="AC395" s="28" t="s">
        <v>2322</v>
      </c>
    </row>
    <row r="396" spans="1:29">
      <c r="A396">
        <v>155</v>
      </c>
      <c r="B396">
        <v>2132</v>
      </c>
      <c r="C396">
        <v>2132</v>
      </c>
      <c r="D396" t="s">
        <v>21</v>
      </c>
      <c r="E396" s="22">
        <v>44419</v>
      </c>
      <c r="F396" t="s">
        <v>6055</v>
      </c>
      <c r="G396" t="s">
        <v>26</v>
      </c>
      <c r="H396">
        <v>2</v>
      </c>
      <c r="I396" t="s">
        <v>41</v>
      </c>
      <c r="J396" t="s">
        <v>56</v>
      </c>
      <c r="K396" t="s">
        <v>96</v>
      </c>
      <c r="L396" t="s">
        <v>501</v>
      </c>
      <c r="M396">
        <v>2123</v>
      </c>
      <c r="N396" t="s">
        <v>834</v>
      </c>
      <c r="O396" t="s">
        <v>21</v>
      </c>
      <c r="P396" t="s">
        <v>21</v>
      </c>
      <c r="Q396" t="s">
        <v>21</v>
      </c>
      <c r="R396" t="s">
        <v>880</v>
      </c>
      <c r="S396" t="s">
        <v>880</v>
      </c>
      <c r="T396" t="s">
        <v>908</v>
      </c>
      <c r="U396" t="s">
        <v>960</v>
      </c>
      <c r="V396" s="28" t="s">
        <v>1232</v>
      </c>
      <c r="W396" s="28" t="s">
        <v>1233</v>
      </c>
      <c r="X396" s="28" t="s">
        <v>2323</v>
      </c>
      <c r="Y396" s="28" t="s">
        <v>2324</v>
      </c>
      <c r="Z396" s="28" t="s">
        <v>2325</v>
      </c>
      <c r="AA396" s="28" t="s">
        <v>2326</v>
      </c>
      <c r="AB396" s="28" t="s">
        <v>2327</v>
      </c>
      <c r="AC396" s="28" t="s">
        <v>2328</v>
      </c>
    </row>
    <row r="397" spans="1:29">
      <c r="A397">
        <v>156</v>
      </c>
      <c r="B397">
        <v>2132</v>
      </c>
      <c r="C397">
        <v>2132</v>
      </c>
      <c r="D397" t="s">
        <v>21</v>
      </c>
      <c r="E397" s="22">
        <v>44420</v>
      </c>
      <c r="F397" t="s">
        <v>6055</v>
      </c>
      <c r="G397" t="s">
        <v>26</v>
      </c>
      <c r="H397">
        <v>2</v>
      </c>
      <c r="I397" t="s">
        <v>38</v>
      </c>
      <c r="J397" t="s">
        <v>56</v>
      </c>
      <c r="K397" t="s">
        <v>96</v>
      </c>
      <c r="L397" t="s">
        <v>502</v>
      </c>
      <c r="M397">
        <v>2122</v>
      </c>
      <c r="N397" t="s">
        <v>834</v>
      </c>
      <c r="O397" t="s">
        <v>21</v>
      </c>
      <c r="P397" t="s">
        <v>21</v>
      </c>
      <c r="Q397" t="s">
        <v>21</v>
      </c>
      <c r="R397" t="s">
        <v>880</v>
      </c>
      <c r="S397" t="s">
        <v>880</v>
      </c>
      <c r="T397" t="s">
        <v>908</v>
      </c>
      <c r="U397" t="s">
        <v>960</v>
      </c>
      <c r="V397" s="28" t="s">
        <v>1232</v>
      </c>
      <c r="W397" s="28" t="s">
        <v>1233</v>
      </c>
      <c r="X397" s="28" t="s">
        <v>2323</v>
      </c>
      <c r="Y397" s="28" t="s">
        <v>2324</v>
      </c>
      <c r="Z397" s="28" t="s">
        <v>2325</v>
      </c>
      <c r="AA397" s="28" t="s">
        <v>2326</v>
      </c>
      <c r="AB397" s="28" t="s">
        <v>2327</v>
      </c>
      <c r="AC397" s="28" t="s">
        <v>2328</v>
      </c>
    </row>
    <row r="398" spans="1:29">
      <c r="A398">
        <v>157</v>
      </c>
      <c r="B398">
        <v>2132</v>
      </c>
      <c r="C398">
        <v>2132</v>
      </c>
      <c r="D398" t="s">
        <v>21</v>
      </c>
      <c r="E398" s="22">
        <v>44420</v>
      </c>
      <c r="F398" t="s">
        <v>6055</v>
      </c>
      <c r="G398" t="s">
        <v>26</v>
      </c>
      <c r="H398">
        <v>3</v>
      </c>
      <c r="I398" t="s">
        <v>41</v>
      </c>
      <c r="J398" t="s">
        <v>66</v>
      </c>
      <c r="K398" t="s">
        <v>91</v>
      </c>
      <c r="L398" t="s">
        <v>503</v>
      </c>
      <c r="M398">
        <v>2126</v>
      </c>
      <c r="N398" t="s">
        <v>828</v>
      </c>
      <c r="O398" t="s">
        <v>21</v>
      </c>
      <c r="P398" t="s">
        <v>21</v>
      </c>
      <c r="Q398" t="s">
        <v>21</v>
      </c>
      <c r="R398" t="s">
        <v>881</v>
      </c>
      <c r="S398" t="s">
        <v>881</v>
      </c>
      <c r="T398" t="s">
        <v>949</v>
      </c>
      <c r="U398" t="s">
        <v>960</v>
      </c>
      <c r="V398" s="28" t="s">
        <v>1234</v>
      </c>
      <c r="W398" s="28" t="s">
        <v>1235</v>
      </c>
      <c r="X398" s="28" t="s">
        <v>2329</v>
      </c>
      <c r="Y398" s="28" t="s">
        <v>2330</v>
      </c>
      <c r="Z398" s="28" t="s">
        <v>2331</v>
      </c>
      <c r="AA398" s="28" t="s">
        <v>2332</v>
      </c>
      <c r="AB398" s="28" t="s">
        <v>2333</v>
      </c>
      <c r="AC398" s="28" t="s">
        <v>2334</v>
      </c>
    </row>
    <row r="399" spans="1:29">
      <c r="A399">
        <v>158</v>
      </c>
      <c r="B399">
        <v>2132</v>
      </c>
      <c r="C399">
        <v>2132</v>
      </c>
      <c r="D399" t="s">
        <v>21</v>
      </c>
      <c r="E399" s="22">
        <v>44420</v>
      </c>
      <c r="F399" t="s">
        <v>6055</v>
      </c>
      <c r="G399" t="s">
        <v>26</v>
      </c>
      <c r="H399">
        <v>3</v>
      </c>
      <c r="I399" t="s">
        <v>36</v>
      </c>
      <c r="J399" t="s">
        <v>66</v>
      </c>
      <c r="K399" t="s">
        <v>91</v>
      </c>
      <c r="L399" t="s">
        <v>504</v>
      </c>
      <c r="M399">
        <v>2124</v>
      </c>
      <c r="N399" t="s">
        <v>828</v>
      </c>
      <c r="O399" t="s">
        <v>21</v>
      </c>
      <c r="P399" t="s">
        <v>21</v>
      </c>
      <c r="Q399" t="s">
        <v>21</v>
      </c>
      <c r="R399" t="s">
        <v>874</v>
      </c>
      <c r="S399" t="s">
        <v>874</v>
      </c>
      <c r="T399" t="s">
        <v>28</v>
      </c>
      <c r="U399" t="s">
        <v>960</v>
      </c>
      <c r="V399" s="28" t="s">
        <v>1230</v>
      </c>
      <c r="W399" s="28" t="s">
        <v>1231</v>
      </c>
      <c r="X399" s="28" t="s">
        <v>2317</v>
      </c>
      <c r="Y399" s="28" t="s">
        <v>2318</v>
      </c>
      <c r="Z399" s="28" t="s">
        <v>2335</v>
      </c>
      <c r="AA399" s="28" t="s">
        <v>2336</v>
      </c>
      <c r="AB399" s="28" t="s">
        <v>2337</v>
      </c>
      <c r="AC399" s="28" t="s">
        <v>2338</v>
      </c>
    </row>
    <row r="400" spans="1:29">
      <c r="A400">
        <v>159</v>
      </c>
      <c r="B400">
        <v>2132</v>
      </c>
      <c r="C400">
        <v>2132</v>
      </c>
      <c r="D400" t="s">
        <v>21</v>
      </c>
      <c r="E400" s="22">
        <v>44420</v>
      </c>
      <c r="F400" t="s">
        <v>6055</v>
      </c>
      <c r="G400" t="s">
        <v>26</v>
      </c>
      <c r="H400">
        <v>2</v>
      </c>
      <c r="I400" t="s">
        <v>39</v>
      </c>
      <c r="J400" t="s">
        <v>56</v>
      </c>
      <c r="K400" t="s">
        <v>96</v>
      </c>
      <c r="L400" t="s">
        <v>505</v>
      </c>
      <c r="M400">
        <v>2114</v>
      </c>
      <c r="N400" t="s">
        <v>840</v>
      </c>
      <c r="O400" t="s">
        <v>21</v>
      </c>
      <c r="P400" t="s">
        <v>21</v>
      </c>
      <c r="Q400" t="s">
        <v>21</v>
      </c>
      <c r="R400" t="s">
        <v>903</v>
      </c>
      <c r="S400" t="s">
        <v>903</v>
      </c>
      <c r="T400" t="s">
        <v>955</v>
      </c>
      <c r="U400" t="s">
        <v>960</v>
      </c>
      <c r="V400" s="28" t="s">
        <v>1236</v>
      </c>
      <c r="W400" s="28" t="s">
        <v>1237</v>
      </c>
      <c r="X400" s="28" t="s">
        <v>2339</v>
      </c>
      <c r="Y400" s="28" t="s">
        <v>2340</v>
      </c>
      <c r="Z400" s="28" t="s">
        <v>2341</v>
      </c>
      <c r="AA400" s="28" t="s">
        <v>2342</v>
      </c>
      <c r="AB400" s="28" t="s">
        <v>2343</v>
      </c>
      <c r="AC400" s="28" t="s">
        <v>2344</v>
      </c>
    </row>
    <row r="401" spans="1:29">
      <c r="A401">
        <v>160</v>
      </c>
      <c r="B401">
        <v>2132</v>
      </c>
      <c r="C401">
        <v>2132</v>
      </c>
      <c r="D401" t="s">
        <v>21</v>
      </c>
      <c r="E401" s="22">
        <v>44420</v>
      </c>
      <c r="F401" t="s">
        <v>6055</v>
      </c>
      <c r="G401" t="s">
        <v>26</v>
      </c>
      <c r="H401">
        <v>3</v>
      </c>
      <c r="I401" t="s">
        <v>51</v>
      </c>
      <c r="J401" t="s">
        <v>66</v>
      </c>
      <c r="K401" t="s">
        <v>91</v>
      </c>
      <c r="L401" t="s">
        <v>506</v>
      </c>
      <c r="M401">
        <v>2126</v>
      </c>
      <c r="N401" t="s">
        <v>828</v>
      </c>
      <c r="O401" t="s">
        <v>21</v>
      </c>
      <c r="P401" t="s">
        <v>21</v>
      </c>
      <c r="Q401" t="s">
        <v>21</v>
      </c>
      <c r="R401" t="s">
        <v>881</v>
      </c>
      <c r="S401" t="s">
        <v>881</v>
      </c>
      <c r="T401" t="s">
        <v>949</v>
      </c>
      <c r="U401" t="s">
        <v>960</v>
      </c>
      <c r="V401" s="28" t="s">
        <v>1234</v>
      </c>
      <c r="W401" s="28" t="s">
        <v>1235</v>
      </c>
      <c r="X401" s="28" t="s">
        <v>2329</v>
      </c>
      <c r="Y401" s="28" t="s">
        <v>2330</v>
      </c>
      <c r="Z401" s="28" t="s">
        <v>2331</v>
      </c>
      <c r="AA401" s="28" t="s">
        <v>2332</v>
      </c>
      <c r="AB401" s="28" t="s">
        <v>2333</v>
      </c>
      <c r="AC401" s="28" t="s">
        <v>2334</v>
      </c>
    </row>
    <row r="402" spans="1:29">
      <c r="A402">
        <v>161</v>
      </c>
      <c r="B402">
        <v>2133</v>
      </c>
      <c r="C402">
        <v>2133</v>
      </c>
      <c r="D402" t="s">
        <v>21</v>
      </c>
      <c r="E402" s="22">
        <v>44424</v>
      </c>
      <c r="F402" t="s">
        <v>6055</v>
      </c>
      <c r="G402" t="s">
        <v>26</v>
      </c>
      <c r="H402">
        <v>16</v>
      </c>
      <c r="I402" t="s">
        <v>39</v>
      </c>
      <c r="J402" t="s">
        <v>69</v>
      </c>
      <c r="K402" t="s">
        <v>99</v>
      </c>
      <c r="L402" t="s">
        <v>507</v>
      </c>
      <c r="M402">
        <v>2120</v>
      </c>
      <c r="N402" t="s">
        <v>841</v>
      </c>
      <c r="O402" t="s">
        <v>21</v>
      </c>
      <c r="P402" t="s">
        <v>21</v>
      </c>
      <c r="Q402" t="s">
        <v>21</v>
      </c>
      <c r="R402" t="s">
        <v>888</v>
      </c>
      <c r="S402" t="s">
        <v>888</v>
      </c>
      <c r="T402" t="s">
        <v>952</v>
      </c>
      <c r="U402" t="s">
        <v>960</v>
      </c>
      <c r="V402" s="28" t="s">
        <v>1238</v>
      </c>
      <c r="W402" s="28" t="s">
        <v>1239</v>
      </c>
      <c r="X402" s="28" t="s">
        <v>2345</v>
      </c>
      <c r="Y402" s="28" t="s">
        <v>2346</v>
      </c>
      <c r="Z402" s="28" t="s">
        <v>2347</v>
      </c>
      <c r="AA402" s="28" t="s">
        <v>2348</v>
      </c>
      <c r="AB402" s="28" t="s">
        <v>2349</v>
      </c>
      <c r="AC402" s="28" t="s">
        <v>2350</v>
      </c>
    </row>
    <row r="403" spans="1:29">
      <c r="A403">
        <v>162</v>
      </c>
      <c r="B403">
        <v>2133</v>
      </c>
      <c r="C403">
        <v>2133</v>
      </c>
      <c r="D403" t="s">
        <v>21</v>
      </c>
      <c r="E403" s="22">
        <v>44424</v>
      </c>
      <c r="F403" t="s">
        <v>6055</v>
      </c>
      <c r="G403" t="s">
        <v>26</v>
      </c>
      <c r="H403">
        <v>4</v>
      </c>
      <c r="I403" t="s">
        <v>36</v>
      </c>
      <c r="J403" t="s">
        <v>53</v>
      </c>
      <c r="K403" t="s">
        <v>95</v>
      </c>
      <c r="L403" t="s">
        <v>508</v>
      </c>
      <c r="M403">
        <v>2120</v>
      </c>
      <c r="N403" t="s">
        <v>838</v>
      </c>
      <c r="O403" t="s">
        <v>21</v>
      </c>
      <c r="P403" t="s">
        <v>21</v>
      </c>
      <c r="Q403" t="s">
        <v>21</v>
      </c>
      <c r="R403" t="s">
        <v>872</v>
      </c>
      <c r="S403" t="s">
        <v>872</v>
      </c>
      <c r="T403" t="s">
        <v>950</v>
      </c>
      <c r="U403" t="s">
        <v>960</v>
      </c>
      <c r="V403" s="28" t="s">
        <v>1240</v>
      </c>
      <c r="W403" s="28" t="s">
        <v>1241</v>
      </c>
      <c r="X403" s="28" t="s">
        <v>2351</v>
      </c>
      <c r="Y403" s="28" t="s">
        <v>2352</v>
      </c>
      <c r="Z403" s="28" t="s">
        <v>2353</v>
      </c>
      <c r="AA403" s="28" t="s">
        <v>2354</v>
      </c>
      <c r="AB403" s="28" t="s">
        <v>2355</v>
      </c>
      <c r="AC403" s="28" t="s">
        <v>2356</v>
      </c>
    </row>
    <row r="404" spans="1:29">
      <c r="A404">
        <v>163</v>
      </c>
      <c r="B404">
        <v>2133</v>
      </c>
      <c r="C404">
        <v>2133</v>
      </c>
      <c r="D404" t="s">
        <v>21</v>
      </c>
      <c r="E404" s="22">
        <v>44425</v>
      </c>
      <c r="F404" t="s">
        <v>6055</v>
      </c>
      <c r="G404" t="s">
        <v>26</v>
      </c>
      <c r="H404">
        <v>3</v>
      </c>
      <c r="I404" t="s">
        <v>42</v>
      </c>
      <c r="J404" t="s">
        <v>66</v>
      </c>
      <c r="K404" t="s">
        <v>91</v>
      </c>
      <c r="L404" t="s">
        <v>509</v>
      </c>
      <c r="M404">
        <v>2126</v>
      </c>
      <c r="N404" t="s">
        <v>828</v>
      </c>
      <c r="O404" t="s">
        <v>21</v>
      </c>
      <c r="P404" t="s">
        <v>21</v>
      </c>
      <c r="Q404" t="s">
        <v>21</v>
      </c>
      <c r="R404" t="s">
        <v>880</v>
      </c>
      <c r="S404" t="s">
        <v>880</v>
      </c>
      <c r="T404" t="s">
        <v>908</v>
      </c>
      <c r="U404" t="s">
        <v>960</v>
      </c>
      <c r="V404" s="28" t="s">
        <v>1242</v>
      </c>
      <c r="W404" s="28" t="s">
        <v>1233</v>
      </c>
      <c r="X404" s="28" t="s">
        <v>2357</v>
      </c>
      <c r="Y404" s="28" t="s">
        <v>2324</v>
      </c>
      <c r="Z404" s="28" t="s">
        <v>2358</v>
      </c>
      <c r="AA404" s="28" t="s">
        <v>2359</v>
      </c>
      <c r="AB404" s="28" t="s">
        <v>2360</v>
      </c>
      <c r="AC404" s="28" t="s">
        <v>2361</v>
      </c>
    </row>
    <row r="405" spans="1:29">
      <c r="A405">
        <v>164</v>
      </c>
      <c r="B405">
        <v>2133</v>
      </c>
      <c r="C405">
        <v>2133</v>
      </c>
      <c r="D405" t="s">
        <v>21</v>
      </c>
      <c r="E405" s="22">
        <v>44426</v>
      </c>
      <c r="F405" t="s">
        <v>6055</v>
      </c>
      <c r="G405" t="s">
        <v>26</v>
      </c>
      <c r="H405">
        <v>4</v>
      </c>
      <c r="I405" t="s">
        <v>39</v>
      </c>
      <c r="J405" t="s">
        <v>53</v>
      </c>
      <c r="K405" t="s">
        <v>90</v>
      </c>
      <c r="L405" t="s">
        <v>510</v>
      </c>
      <c r="M405">
        <v>2125</v>
      </c>
      <c r="N405" t="s">
        <v>827</v>
      </c>
      <c r="O405" t="s">
        <v>21</v>
      </c>
      <c r="P405" t="s">
        <v>21</v>
      </c>
      <c r="Q405" t="s">
        <v>21</v>
      </c>
      <c r="R405" t="s">
        <v>872</v>
      </c>
      <c r="S405" t="s">
        <v>872</v>
      </c>
      <c r="T405" t="s">
        <v>950</v>
      </c>
      <c r="U405" t="s">
        <v>960</v>
      </c>
      <c r="V405" s="28" t="s">
        <v>1240</v>
      </c>
      <c r="W405" s="28" t="s">
        <v>1241</v>
      </c>
      <c r="X405" s="28" t="s">
        <v>2351</v>
      </c>
      <c r="Y405" s="28" t="s">
        <v>2352</v>
      </c>
      <c r="Z405" s="28" t="s">
        <v>2353</v>
      </c>
      <c r="AA405" s="28" t="s">
        <v>2354</v>
      </c>
      <c r="AB405" s="28" t="s">
        <v>2355</v>
      </c>
      <c r="AC405" s="28" t="s">
        <v>2356</v>
      </c>
    </row>
    <row r="406" spans="1:29">
      <c r="A406">
        <v>165</v>
      </c>
      <c r="B406">
        <v>2133</v>
      </c>
      <c r="C406">
        <v>2133</v>
      </c>
      <c r="D406" t="s">
        <v>21</v>
      </c>
      <c r="E406" s="22">
        <v>44426</v>
      </c>
      <c r="F406" t="s">
        <v>6055</v>
      </c>
      <c r="G406" t="s">
        <v>26</v>
      </c>
      <c r="H406">
        <v>1</v>
      </c>
      <c r="I406" t="s">
        <v>36</v>
      </c>
      <c r="J406" t="s">
        <v>64</v>
      </c>
      <c r="K406" t="s">
        <v>86</v>
      </c>
      <c r="L406" t="s">
        <v>511</v>
      </c>
      <c r="M406">
        <v>2126</v>
      </c>
      <c r="N406" t="s">
        <v>832</v>
      </c>
      <c r="O406" t="s">
        <v>21</v>
      </c>
      <c r="P406" t="s">
        <v>21</v>
      </c>
      <c r="Q406" t="s">
        <v>21</v>
      </c>
      <c r="R406" t="s">
        <v>872</v>
      </c>
      <c r="S406" t="s">
        <v>872</v>
      </c>
      <c r="T406" t="s">
        <v>950</v>
      </c>
      <c r="U406" t="s">
        <v>961</v>
      </c>
      <c r="V406" s="28" t="s">
        <v>1243</v>
      </c>
      <c r="W406" s="28" t="s">
        <v>1244</v>
      </c>
      <c r="X406" s="28" t="s">
        <v>2362</v>
      </c>
      <c r="Y406" s="28" t="s">
        <v>2363</v>
      </c>
      <c r="Z406" s="28" t="s">
        <v>2364</v>
      </c>
      <c r="AA406" s="28" t="s">
        <v>2365</v>
      </c>
      <c r="AB406" s="28" t="s">
        <v>2366</v>
      </c>
      <c r="AC406" s="28" t="s">
        <v>2367</v>
      </c>
    </row>
    <row r="407" spans="1:29">
      <c r="A407">
        <v>166</v>
      </c>
      <c r="B407">
        <v>2133</v>
      </c>
      <c r="C407">
        <v>2133</v>
      </c>
      <c r="D407" t="s">
        <v>21</v>
      </c>
      <c r="E407" s="22">
        <v>44427</v>
      </c>
      <c r="F407" t="s">
        <v>6055</v>
      </c>
      <c r="G407" t="s">
        <v>26</v>
      </c>
      <c r="H407">
        <v>2</v>
      </c>
      <c r="I407" t="s">
        <v>38</v>
      </c>
      <c r="J407" t="s">
        <v>56</v>
      </c>
      <c r="K407" t="s">
        <v>96</v>
      </c>
      <c r="L407" t="s">
        <v>512</v>
      </c>
      <c r="M407">
        <v>2114</v>
      </c>
      <c r="N407" t="s">
        <v>840</v>
      </c>
      <c r="O407" t="s">
        <v>21</v>
      </c>
      <c r="P407" t="s">
        <v>21</v>
      </c>
      <c r="Q407" t="s">
        <v>21</v>
      </c>
      <c r="R407" t="s">
        <v>891</v>
      </c>
      <c r="S407" t="s">
        <v>891</v>
      </c>
      <c r="T407" t="s">
        <v>891</v>
      </c>
      <c r="U407" t="s">
        <v>960</v>
      </c>
      <c r="V407" s="28" t="s">
        <v>1245</v>
      </c>
      <c r="W407" s="28" t="s">
        <v>1080</v>
      </c>
      <c r="X407" s="28" t="s">
        <v>2368</v>
      </c>
      <c r="Y407" s="28" t="s">
        <v>2369</v>
      </c>
      <c r="Z407" s="28" t="s">
        <v>2370</v>
      </c>
      <c r="AA407" s="28" t="s">
        <v>2371</v>
      </c>
      <c r="AB407" s="28" t="s">
        <v>2372</v>
      </c>
      <c r="AC407" s="28" t="s">
        <v>1735</v>
      </c>
    </row>
    <row r="408" spans="1:29">
      <c r="A408">
        <v>167</v>
      </c>
      <c r="B408">
        <v>2133</v>
      </c>
      <c r="C408">
        <v>2133</v>
      </c>
      <c r="D408" t="s">
        <v>21</v>
      </c>
      <c r="E408" s="22">
        <v>44427</v>
      </c>
      <c r="F408" t="s">
        <v>6055</v>
      </c>
      <c r="G408" t="s">
        <v>26</v>
      </c>
      <c r="H408">
        <v>2</v>
      </c>
      <c r="I408" t="s">
        <v>38</v>
      </c>
      <c r="J408" t="s">
        <v>56</v>
      </c>
      <c r="K408" t="s">
        <v>96</v>
      </c>
      <c r="L408" t="s">
        <v>513</v>
      </c>
      <c r="M408">
        <v>2115</v>
      </c>
      <c r="N408" t="s">
        <v>840</v>
      </c>
      <c r="O408" t="s">
        <v>21</v>
      </c>
      <c r="P408" t="s">
        <v>21</v>
      </c>
      <c r="Q408" t="s">
        <v>21</v>
      </c>
      <c r="R408" t="s">
        <v>880</v>
      </c>
      <c r="S408" t="s">
        <v>880</v>
      </c>
      <c r="T408" t="s">
        <v>908</v>
      </c>
      <c r="U408" t="s">
        <v>960</v>
      </c>
      <c r="V408" s="28" t="s">
        <v>1242</v>
      </c>
      <c r="W408" s="28" t="s">
        <v>1233</v>
      </c>
      <c r="X408" s="28" t="s">
        <v>2357</v>
      </c>
      <c r="Y408" s="28" t="s">
        <v>2324</v>
      </c>
      <c r="Z408" s="28" t="s">
        <v>2373</v>
      </c>
      <c r="AA408" s="28" t="s">
        <v>2326</v>
      </c>
      <c r="AB408" s="28" t="s">
        <v>2374</v>
      </c>
      <c r="AC408" s="28" t="s">
        <v>2328</v>
      </c>
    </row>
    <row r="409" spans="1:29">
      <c r="A409">
        <v>168</v>
      </c>
      <c r="B409">
        <v>2133</v>
      </c>
      <c r="C409">
        <v>2133</v>
      </c>
      <c r="D409" t="s">
        <v>21</v>
      </c>
      <c r="E409" s="22">
        <v>44427</v>
      </c>
      <c r="F409" t="s">
        <v>6055</v>
      </c>
      <c r="G409" t="s">
        <v>26</v>
      </c>
      <c r="H409">
        <v>3</v>
      </c>
      <c r="I409" t="s">
        <v>36</v>
      </c>
      <c r="J409" t="s">
        <v>66</v>
      </c>
      <c r="K409" t="s">
        <v>91</v>
      </c>
      <c r="L409" t="s">
        <v>514</v>
      </c>
      <c r="M409">
        <v>2126</v>
      </c>
      <c r="N409" t="s">
        <v>828</v>
      </c>
      <c r="O409" t="s">
        <v>21</v>
      </c>
      <c r="P409" t="s">
        <v>21</v>
      </c>
      <c r="Q409" t="s">
        <v>21</v>
      </c>
      <c r="R409" t="s">
        <v>874</v>
      </c>
      <c r="S409" t="s">
        <v>874</v>
      </c>
      <c r="T409" t="s">
        <v>28</v>
      </c>
      <c r="U409" t="s">
        <v>960</v>
      </c>
      <c r="V409" s="28" t="s">
        <v>1246</v>
      </c>
      <c r="W409" s="28" t="s">
        <v>1231</v>
      </c>
      <c r="X409" s="28" t="s">
        <v>2375</v>
      </c>
      <c r="Y409" s="28" t="s">
        <v>2318</v>
      </c>
      <c r="Z409" s="28" t="s">
        <v>2376</v>
      </c>
      <c r="AA409" s="28" t="s">
        <v>2336</v>
      </c>
      <c r="AB409" s="28" t="s">
        <v>2377</v>
      </c>
      <c r="AC409" s="28" t="s">
        <v>2338</v>
      </c>
    </row>
    <row r="410" spans="1:29">
      <c r="A410">
        <v>169</v>
      </c>
      <c r="B410">
        <v>2133</v>
      </c>
      <c r="C410">
        <v>2133</v>
      </c>
      <c r="D410" t="s">
        <v>21</v>
      </c>
      <c r="E410" s="22">
        <v>44427</v>
      </c>
      <c r="F410" t="s">
        <v>6055</v>
      </c>
      <c r="G410" t="s">
        <v>26</v>
      </c>
      <c r="H410">
        <v>3</v>
      </c>
      <c r="I410" t="s">
        <v>36</v>
      </c>
      <c r="J410" t="s">
        <v>66</v>
      </c>
      <c r="K410" t="s">
        <v>91</v>
      </c>
      <c r="L410" t="s">
        <v>515</v>
      </c>
      <c r="M410">
        <v>2126</v>
      </c>
      <c r="N410" t="s">
        <v>828</v>
      </c>
      <c r="O410" t="s">
        <v>21</v>
      </c>
      <c r="P410" t="s">
        <v>21</v>
      </c>
      <c r="Q410" t="s">
        <v>21</v>
      </c>
      <c r="R410" t="s">
        <v>874</v>
      </c>
      <c r="S410" t="s">
        <v>874</v>
      </c>
      <c r="T410" t="s">
        <v>28</v>
      </c>
      <c r="U410" t="s">
        <v>960</v>
      </c>
      <c r="V410" s="28" t="s">
        <v>1246</v>
      </c>
      <c r="W410" s="28" t="s">
        <v>1231</v>
      </c>
      <c r="X410" s="28" t="s">
        <v>2375</v>
      </c>
      <c r="Y410" s="28" t="s">
        <v>2318</v>
      </c>
      <c r="Z410" s="28" t="s">
        <v>2376</v>
      </c>
      <c r="AA410" s="28" t="s">
        <v>2336</v>
      </c>
      <c r="AB410" s="28" t="s">
        <v>2377</v>
      </c>
      <c r="AC410" s="28" t="s">
        <v>2338</v>
      </c>
    </row>
    <row r="411" spans="1:29">
      <c r="A411">
        <v>170</v>
      </c>
      <c r="B411">
        <v>2133</v>
      </c>
      <c r="C411">
        <v>2133</v>
      </c>
      <c r="D411" t="s">
        <v>21</v>
      </c>
      <c r="E411" s="22">
        <v>44428</v>
      </c>
      <c r="F411" t="s">
        <v>6055</v>
      </c>
      <c r="G411" t="s">
        <v>26</v>
      </c>
      <c r="H411">
        <v>3</v>
      </c>
      <c r="I411" t="s">
        <v>36</v>
      </c>
      <c r="J411" t="s">
        <v>66</v>
      </c>
      <c r="K411" t="s">
        <v>91</v>
      </c>
      <c r="L411" t="s">
        <v>516</v>
      </c>
      <c r="M411">
        <v>2126</v>
      </c>
      <c r="N411" t="s">
        <v>828</v>
      </c>
      <c r="O411" t="s">
        <v>21</v>
      </c>
      <c r="P411" t="s">
        <v>21</v>
      </c>
      <c r="Q411" t="s">
        <v>21</v>
      </c>
      <c r="R411" t="s">
        <v>877</v>
      </c>
      <c r="S411" t="s">
        <v>877</v>
      </c>
      <c r="T411" t="s">
        <v>28</v>
      </c>
      <c r="U411" t="s">
        <v>960</v>
      </c>
      <c r="V411" s="28" t="s">
        <v>1246</v>
      </c>
      <c r="W411" s="28" t="s">
        <v>1231</v>
      </c>
      <c r="X411" s="28" t="s">
        <v>2375</v>
      </c>
      <c r="Y411" s="28" t="s">
        <v>2318</v>
      </c>
      <c r="Z411" s="28" t="s">
        <v>2376</v>
      </c>
      <c r="AA411" s="28" t="s">
        <v>2336</v>
      </c>
      <c r="AB411" s="28" t="s">
        <v>2377</v>
      </c>
      <c r="AC411" s="28" t="s">
        <v>2338</v>
      </c>
    </row>
    <row r="412" spans="1:29">
      <c r="A412">
        <v>171</v>
      </c>
      <c r="B412">
        <v>2133</v>
      </c>
      <c r="C412">
        <v>2133</v>
      </c>
      <c r="D412" t="s">
        <v>21</v>
      </c>
      <c r="E412" s="22">
        <v>44428</v>
      </c>
      <c r="F412" t="s">
        <v>6055</v>
      </c>
      <c r="G412" t="s">
        <v>26</v>
      </c>
      <c r="H412">
        <v>4</v>
      </c>
      <c r="I412" t="s">
        <v>36</v>
      </c>
      <c r="J412" t="s">
        <v>53</v>
      </c>
      <c r="K412" t="s">
        <v>90</v>
      </c>
      <c r="L412" t="s">
        <v>517</v>
      </c>
      <c r="M412">
        <v>2124</v>
      </c>
      <c r="N412" t="s">
        <v>827</v>
      </c>
      <c r="O412" t="s">
        <v>21</v>
      </c>
      <c r="P412" t="s">
        <v>21</v>
      </c>
      <c r="Q412" t="s">
        <v>21</v>
      </c>
      <c r="R412" t="s">
        <v>899</v>
      </c>
      <c r="S412" t="s">
        <v>899</v>
      </c>
      <c r="T412" t="s">
        <v>956</v>
      </c>
      <c r="U412" t="s">
        <v>960</v>
      </c>
      <c r="V412" s="28" t="s">
        <v>1247</v>
      </c>
      <c r="W412" s="28" t="s">
        <v>1248</v>
      </c>
      <c r="X412" s="28" t="s">
        <v>2378</v>
      </c>
      <c r="Y412" s="28" t="s">
        <v>2379</v>
      </c>
      <c r="Z412" s="28" t="s">
        <v>2380</v>
      </c>
      <c r="AA412" s="28" t="s">
        <v>2381</v>
      </c>
      <c r="AB412" s="28" t="s">
        <v>2382</v>
      </c>
      <c r="AC412" s="28" t="s">
        <v>2383</v>
      </c>
    </row>
    <row r="413" spans="1:29">
      <c r="A413">
        <v>172</v>
      </c>
      <c r="B413">
        <v>2134</v>
      </c>
      <c r="C413">
        <v>2134</v>
      </c>
      <c r="D413" t="s">
        <v>21</v>
      </c>
      <c r="E413" s="22">
        <v>44431</v>
      </c>
      <c r="F413" s="23" t="s">
        <v>6055</v>
      </c>
      <c r="G413" t="s">
        <v>26</v>
      </c>
      <c r="H413">
        <v>2</v>
      </c>
      <c r="I413" t="s">
        <v>38</v>
      </c>
      <c r="J413" t="s">
        <v>62</v>
      </c>
      <c r="K413" t="s">
        <v>82</v>
      </c>
      <c r="L413" t="s">
        <v>5976</v>
      </c>
      <c r="M413">
        <v>2125</v>
      </c>
      <c r="N413" t="s">
        <v>816</v>
      </c>
      <c r="O413" t="s">
        <v>21</v>
      </c>
      <c r="P413" t="s">
        <v>21</v>
      </c>
      <c r="Q413" t="s">
        <v>21</v>
      </c>
      <c r="R413" t="s">
        <v>890</v>
      </c>
      <c r="S413" t="s">
        <v>890</v>
      </c>
      <c r="T413" t="s">
        <v>908</v>
      </c>
      <c r="U413" t="s">
        <v>961</v>
      </c>
      <c r="V413" s="28" t="s">
        <v>5977</v>
      </c>
      <c r="W413" s="28" t="s">
        <v>5978</v>
      </c>
      <c r="X413" s="28" t="s">
        <v>5979</v>
      </c>
      <c r="Y413" s="28" t="s">
        <v>5980</v>
      </c>
      <c r="Z413" s="28" t="s">
        <v>5981</v>
      </c>
      <c r="AA413" s="28" t="s">
        <v>5982</v>
      </c>
      <c r="AB413" s="28" t="s">
        <v>5983</v>
      </c>
      <c r="AC413" s="28" t="s">
        <v>5984</v>
      </c>
    </row>
    <row r="414" spans="1:29">
      <c r="A414">
        <v>173</v>
      </c>
      <c r="B414">
        <v>2134</v>
      </c>
      <c r="C414">
        <v>2134</v>
      </c>
      <c r="D414" t="s">
        <v>21</v>
      </c>
      <c r="E414" s="22">
        <v>44431</v>
      </c>
      <c r="F414" s="23" t="s">
        <v>6055</v>
      </c>
      <c r="G414" t="s">
        <v>26</v>
      </c>
      <c r="H414">
        <v>1</v>
      </c>
      <c r="I414" t="s">
        <v>40</v>
      </c>
      <c r="J414" t="s">
        <v>64</v>
      </c>
      <c r="K414" t="s">
        <v>86</v>
      </c>
      <c r="L414" t="s">
        <v>5985</v>
      </c>
      <c r="M414">
        <v>2126</v>
      </c>
      <c r="N414" t="s">
        <v>832</v>
      </c>
      <c r="O414" t="s">
        <v>21</v>
      </c>
      <c r="P414" t="s">
        <v>21</v>
      </c>
      <c r="Q414" t="s">
        <v>21</v>
      </c>
      <c r="R414" t="s">
        <v>890</v>
      </c>
      <c r="S414" t="s">
        <v>890</v>
      </c>
      <c r="T414" t="s">
        <v>908</v>
      </c>
      <c r="U414" t="s">
        <v>961</v>
      </c>
      <c r="V414" s="28" t="s">
        <v>5977</v>
      </c>
      <c r="W414" s="28" t="s">
        <v>5978</v>
      </c>
      <c r="X414" s="28" t="s">
        <v>5979</v>
      </c>
      <c r="Y414" s="28" t="s">
        <v>5980</v>
      </c>
      <c r="Z414" s="28" t="s">
        <v>5986</v>
      </c>
      <c r="AA414" s="28" t="s">
        <v>5987</v>
      </c>
      <c r="AB414" s="28" t="s">
        <v>5988</v>
      </c>
      <c r="AC414" s="28" t="s">
        <v>5989</v>
      </c>
    </row>
    <row r="415" spans="1:29">
      <c r="A415">
        <v>174</v>
      </c>
      <c r="B415">
        <v>2134</v>
      </c>
      <c r="C415">
        <v>2134</v>
      </c>
      <c r="D415" t="s">
        <v>21</v>
      </c>
      <c r="E415" s="22">
        <v>44431</v>
      </c>
      <c r="F415" s="23" t="s">
        <v>6055</v>
      </c>
      <c r="G415" t="s">
        <v>26</v>
      </c>
      <c r="H415">
        <v>16</v>
      </c>
      <c r="I415" t="s">
        <v>42</v>
      </c>
      <c r="J415" t="s">
        <v>69</v>
      </c>
      <c r="K415" t="s">
        <v>99</v>
      </c>
      <c r="L415" t="s">
        <v>5990</v>
      </c>
      <c r="M415">
        <v>2123</v>
      </c>
      <c r="N415" t="s">
        <v>841</v>
      </c>
      <c r="O415" t="s">
        <v>21</v>
      </c>
      <c r="P415" t="s">
        <v>21</v>
      </c>
      <c r="Q415" t="s">
        <v>21</v>
      </c>
      <c r="R415" t="s">
        <v>872</v>
      </c>
      <c r="S415" t="s">
        <v>872</v>
      </c>
      <c r="T415" t="s">
        <v>950</v>
      </c>
      <c r="U415" t="s">
        <v>960</v>
      </c>
      <c r="V415" s="28" t="s">
        <v>5929</v>
      </c>
      <c r="W415" s="28" t="s">
        <v>1241</v>
      </c>
      <c r="X415" s="28" t="s">
        <v>5991</v>
      </c>
      <c r="Y415" s="28" t="s">
        <v>2352</v>
      </c>
      <c r="Z415" s="28" t="s">
        <v>5992</v>
      </c>
      <c r="AA415" s="28" t="s">
        <v>5993</v>
      </c>
      <c r="AB415" s="28" t="s">
        <v>5994</v>
      </c>
      <c r="AC415" s="28" t="s">
        <v>5995</v>
      </c>
    </row>
    <row r="416" spans="1:29">
      <c r="A416">
        <v>175</v>
      </c>
      <c r="B416">
        <v>2134</v>
      </c>
      <c r="C416">
        <v>2134</v>
      </c>
      <c r="D416" t="s">
        <v>21</v>
      </c>
      <c r="E416" s="22">
        <v>44432</v>
      </c>
      <c r="F416" s="23" t="s">
        <v>6055</v>
      </c>
      <c r="G416" t="s">
        <v>26</v>
      </c>
      <c r="H416">
        <v>2</v>
      </c>
      <c r="I416" t="s">
        <v>38</v>
      </c>
      <c r="J416" t="s">
        <v>62</v>
      </c>
      <c r="K416" t="s">
        <v>82</v>
      </c>
      <c r="L416" t="s">
        <v>5996</v>
      </c>
      <c r="M416">
        <v>2125</v>
      </c>
      <c r="N416" t="s">
        <v>816</v>
      </c>
      <c r="O416" t="s">
        <v>21</v>
      </c>
      <c r="P416" t="s">
        <v>21</v>
      </c>
      <c r="Q416" t="s">
        <v>21</v>
      </c>
      <c r="R416" t="s">
        <v>883</v>
      </c>
      <c r="S416" t="s">
        <v>883</v>
      </c>
      <c r="T416" t="s">
        <v>908</v>
      </c>
      <c r="U416" t="s">
        <v>961</v>
      </c>
      <c r="V416" s="28" t="s">
        <v>5977</v>
      </c>
      <c r="W416" s="28" t="s">
        <v>5978</v>
      </c>
      <c r="X416" s="28" t="s">
        <v>5979</v>
      </c>
      <c r="Y416" s="28" t="s">
        <v>5980</v>
      </c>
      <c r="Z416" s="28" t="s">
        <v>5981</v>
      </c>
      <c r="AA416" s="28" t="s">
        <v>5982</v>
      </c>
      <c r="AB416" s="28" t="s">
        <v>5983</v>
      </c>
      <c r="AC416" s="28" t="s">
        <v>5984</v>
      </c>
    </row>
    <row r="417" spans="1:29">
      <c r="A417">
        <v>176</v>
      </c>
      <c r="B417">
        <v>2134</v>
      </c>
      <c r="C417">
        <v>2134</v>
      </c>
      <c r="D417" t="s">
        <v>21</v>
      </c>
      <c r="E417" s="22">
        <v>44432</v>
      </c>
      <c r="F417" s="23" t="s">
        <v>6055</v>
      </c>
      <c r="G417" t="s">
        <v>26</v>
      </c>
      <c r="H417">
        <v>16</v>
      </c>
      <c r="I417" t="s">
        <v>42</v>
      </c>
      <c r="J417" t="s">
        <v>69</v>
      </c>
      <c r="K417" t="s">
        <v>99</v>
      </c>
      <c r="L417" t="s">
        <v>5997</v>
      </c>
      <c r="M417">
        <v>2123</v>
      </c>
      <c r="N417" t="s">
        <v>841</v>
      </c>
      <c r="O417" t="s">
        <v>21</v>
      </c>
      <c r="P417" t="s">
        <v>21</v>
      </c>
      <c r="Q417" t="s">
        <v>21</v>
      </c>
      <c r="R417" t="s">
        <v>872</v>
      </c>
      <c r="S417" t="s">
        <v>872</v>
      </c>
      <c r="T417" t="s">
        <v>950</v>
      </c>
      <c r="U417" t="s">
        <v>960</v>
      </c>
      <c r="V417" s="28" t="s">
        <v>5929</v>
      </c>
      <c r="W417" s="28" t="s">
        <v>1241</v>
      </c>
      <c r="X417" s="28" t="s">
        <v>5991</v>
      </c>
      <c r="Y417" s="28" t="s">
        <v>2352</v>
      </c>
      <c r="Z417" s="28" t="s">
        <v>5992</v>
      </c>
      <c r="AA417" s="28" t="s">
        <v>5993</v>
      </c>
      <c r="AB417" s="28" t="s">
        <v>5994</v>
      </c>
      <c r="AC417" s="28" t="s">
        <v>5995</v>
      </c>
    </row>
    <row r="418" spans="1:29">
      <c r="A418">
        <v>177</v>
      </c>
      <c r="B418">
        <v>2134</v>
      </c>
      <c r="C418">
        <v>2134</v>
      </c>
      <c r="D418" t="s">
        <v>21</v>
      </c>
      <c r="E418" s="22">
        <v>44432</v>
      </c>
      <c r="F418" s="23" t="s">
        <v>6055</v>
      </c>
      <c r="G418" t="s">
        <v>26</v>
      </c>
      <c r="H418">
        <v>4</v>
      </c>
      <c r="I418" t="s">
        <v>36</v>
      </c>
      <c r="J418" t="s">
        <v>53</v>
      </c>
      <c r="K418" t="s">
        <v>90</v>
      </c>
      <c r="L418" t="s">
        <v>5998</v>
      </c>
      <c r="M418">
        <v>2126</v>
      </c>
      <c r="N418" t="s">
        <v>827</v>
      </c>
      <c r="O418" t="s">
        <v>21</v>
      </c>
      <c r="P418" t="s">
        <v>21</v>
      </c>
      <c r="Q418" t="s">
        <v>21</v>
      </c>
      <c r="R418" t="s">
        <v>874</v>
      </c>
      <c r="S418" t="s">
        <v>874</v>
      </c>
      <c r="T418" t="s">
        <v>28</v>
      </c>
      <c r="U418" t="s">
        <v>960</v>
      </c>
      <c r="V418" s="28" t="s">
        <v>5919</v>
      </c>
      <c r="W418" s="28" t="s">
        <v>1231</v>
      </c>
      <c r="X418" s="28" t="s">
        <v>5999</v>
      </c>
      <c r="Y418" s="28" t="s">
        <v>2318</v>
      </c>
      <c r="Z418" s="28" t="s">
        <v>6000</v>
      </c>
      <c r="AA418" s="28" t="s">
        <v>2320</v>
      </c>
      <c r="AB418" s="28" t="s">
        <v>6001</v>
      </c>
      <c r="AC418" s="28" t="s">
        <v>2322</v>
      </c>
    </row>
    <row r="419" spans="1:29">
      <c r="A419">
        <v>178</v>
      </c>
      <c r="B419">
        <v>2134</v>
      </c>
      <c r="C419">
        <v>2134</v>
      </c>
      <c r="D419" t="s">
        <v>21</v>
      </c>
      <c r="E419" s="22">
        <v>44432</v>
      </c>
      <c r="F419" s="23" t="s">
        <v>6055</v>
      </c>
      <c r="G419" t="s">
        <v>26</v>
      </c>
      <c r="H419">
        <v>4</v>
      </c>
      <c r="I419" t="s">
        <v>39</v>
      </c>
      <c r="J419" t="s">
        <v>53</v>
      </c>
      <c r="K419" t="s">
        <v>90</v>
      </c>
      <c r="L419" t="s">
        <v>6002</v>
      </c>
      <c r="M419">
        <v>2124</v>
      </c>
      <c r="N419" t="s">
        <v>827</v>
      </c>
      <c r="O419" t="s">
        <v>21</v>
      </c>
      <c r="P419" t="s">
        <v>21</v>
      </c>
      <c r="Q419" t="s">
        <v>21</v>
      </c>
      <c r="R419" t="s">
        <v>879</v>
      </c>
      <c r="S419" t="s">
        <v>879</v>
      </c>
      <c r="T419" t="s">
        <v>953</v>
      </c>
      <c r="U419" t="s">
        <v>960</v>
      </c>
      <c r="V419" s="28" t="s">
        <v>6003</v>
      </c>
      <c r="W419" s="28" t="s">
        <v>6004</v>
      </c>
      <c r="X419" s="28" t="s">
        <v>6005</v>
      </c>
      <c r="Y419" s="28" t="s">
        <v>6006</v>
      </c>
      <c r="Z419" s="28" t="s">
        <v>6007</v>
      </c>
      <c r="AA419" s="28" t="s">
        <v>6008</v>
      </c>
      <c r="AB419" s="28" t="s">
        <v>6009</v>
      </c>
      <c r="AC419" s="28" t="s">
        <v>6010</v>
      </c>
    </row>
    <row r="420" spans="1:29">
      <c r="A420">
        <v>179</v>
      </c>
      <c r="B420">
        <v>2134</v>
      </c>
      <c r="C420">
        <v>2134</v>
      </c>
      <c r="D420" t="s">
        <v>21</v>
      </c>
      <c r="E420" s="22">
        <v>44433</v>
      </c>
      <c r="F420" s="23" t="s">
        <v>6055</v>
      </c>
      <c r="G420" t="s">
        <v>26</v>
      </c>
      <c r="H420">
        <v>4</v>
      </c>
      <c r="I420" t="s">
        <v>36</v>
      </c>
      <c r="J420" t="s">
        <v>53</v>
      </c>
      <c r="K420" t="s">
        <v>90</v>
      </c>
      <c r="L420" t="s">
        <v>6011</v>
      </c>
      <c r="M420">
        <v>2125</v>
      </c>
      <c r="N420" t="s">
        <v>827</v>
      </c>
      <c r="O420" t="s">
        <v>21</v>
      </c>
      <c r="P420" t="s">
        <v>21</v>
      </c>
      <c r="Q420" t="s">
        <v>21</v>
      </c>
      <c r="R420" t="s">
        <v>874</v>
      </c>
      <c r="S420" t="s">
        <v>874</v>
      </c>
      <c r="T420" t="s">
        <v>28</v>
      </c>
      <c r="U420" t="s">
        <v>960</v>
      </c>
      <c r="V420" s="28" t="s">
        <v>5919</v>
      </c>
      <c r="W420" s="28" t="s">
        <v>1231</v>
      </c>
      <c r="X420" s="28" t="s">
        <v>5999</v>
      </c>
      <c r="Y420" s="28" t="s">
        <v>2318</v>
      </c>
      <c r="Z420" s="28" t="s">
        <v>6000</v>
      </c>
      <c r="AA420" s="28" t="s">
        <v>2320</v>
      </c>
      <c r="AB420" s="28" t="s">
        <v>6001</v>
      </c>
      <c r="AC420" s="28" t="s">
        <v>2322</v>
      </c>
    </row>
    <row r="421" spans="1:29">
      <c r="A421">
        <v>180</v>
      </c>
      <c r="B421">
        <v>2135</v>
      </c>
      <c r="C421">
        <v>2135</v>
      </c>
      <c r="D421" t="s">
        <v>21</v>
      </c>
      <c r="E421" s="22">
        <v>44438</v>
      </c>
      <c r="F421" s="23" t="s">
        <v>6055</v>
      </c>
      <c r="G421" t="s">
        <v>26</v>
      </c>
      <c r="H421">
        <v>3</v>
      </c>
      <c r="I421" t="s">
        <v>50</v>
      </c>
      <c r="J421" t="s">
        <v>68</v>
      </c>
      <c r="K421" t="s">
        <v>94</v>
      </c>
      <c r="L421" t="s">
        <v>6056</v>
      </c>
      <c r="M421">
        <v>2124</v>
      </c>
      <c r="N421" t="s">
        <v>831</v>
      </c>
      <c r="O421" t="s">
        <v>21</v>
      </c>
      <c r="P421" t="s">
        <v>21</v>
      </c>
      <c r="Q421" t="s">
        <v>21</v>
      </c>
      <c r="R421" t="s">
        <v>890</v>
      </c>
      <c r="S421" t="s">
        <v>890</v>
      </c>
      <c r="T421" t="s">
        <v>908</v>
      </c>
      <c r="U421" t="s">
        <v>960</v>
      </c>
      <c r="V421" s="28" t="s">
        <v>6057</v>
      </c>
      <c r="W421" s="28" t="s">
        <v>1233</v>
      </c>
      <c r="X421" s="28" t="s">
        <v>6058</v>
      </c>
      <c r="Y421" s="28" t="s">
        <v>2324</v>
      </c>
      <c r="Z421" s="28" t="s">
        <v>6059</v>
      </c>
      <c r="AA421" s="28" t="s">
        <v>6060</v>
      </c>
      <c r="AB421" s="28" t="s">
        <v>6061</v>
      </c>
      <c r="AC421" s="28" t="s">
        <v>6062</v>
      </c>
    </row>
    <row r="422" spans="1:29">
      <c r="A422">
        <v>181</v>
      </c>
      <c r="B422">
        <v>2135</v>
      </c>
      <c r="C422">
        <v>2135</v>
      </c>
      <c r="D422" t="s">
        <v>21</v>
      </c>
      <c r="E422" s="22">
        <v>44438</v>
      </c>
      <c r="F422" s="23" t="s">
        <v>6055</v>
      </c>
      <c r="G422" t="s">
        <v>26</v>
      </c>
      <c r="H422">
        <v>2</v>
      </c>
      <c r="I422" t="s">
        <v>38</v>
      </c>
      <c r="J422" t="s">
        <v>65</v>
      </c>
      <c r="K422" t="s">
        <v>87</v>
      </c>
      <c r="L422" t="s">
        <v>6063</v>
      </c>
      <c r="M422">
        <v>2103</v>
      </c>
      <c r="N422" t="s">
        <v>824</v>
      </c>
      <c r="O422" t="s">
        <v>21</v>
      </c>
      <c r="P422" t="s">
        <v>21</v>
      </c>
      <c r="Q422" t="s">
        <v>21</v>
      </c>
      <c r="R422" t="s">
        <v>883</v>
      </c>
      <c r="S422" t="s">
        <v>883</v>
      </c>
      <c r="T422" t="s">
        <v>908</v>
      </c>
      <c r="U422" t="s">
        <v>961</v>
      </c>
      <c r="V422" s="28" t="s">
        <v>6064</v>
      </c>
      <c r="W422" s="28" t="s">
        <v>5978</v>
      </c>
      <c r="X422" s="28" t="s">
        <v>6065</v>
      </c>
      <c r="Y422" s="28" t="s">
        <v>5980</v>
      </c>
      <c r="Z422" s="28" t="s">
        <v>6066</v>
      </c>
      <c r="AA422" s="28" t="s">
        <v>6067</v>
      </c>
      <c r="AB422" s="28" t="s">
        <v>6068</v>
      </c>
      <c r="AC422" s="28" t="s">
        <v>6069</v>
      </c>
    </row>
    <row r="423" spans="1:29">
      <c r="A423">
        <v>182</v>
      </c>
      <c r="B423">
        <v>2135</v>
      </c>
      <c r="C423">
        <v>2135</v>
      </c>
      <c r="D423" t="s">
        <v>21</v>
      </c>
      <c r="E423" s="22">
        <v>44438</v>
      </c>
      <c r="F423" s="23" t="s">
        <v>6055</v>
      </c>
      <c r="G423" t="s">
        <v>26</v>
      </c>
      <c r="H423">
        <v>2</v>
      </c>
      <c r="I423" t="s">
        <v>38</v>
      </c>
      <c r="J423" t="s">
        <v>65</v>
      </c>
      <c r="K423" t="s">
        <v>87</v>
      </c>
      <c r="L423" t="s">
        <v>6070</v>
      </c>
      <c r="M423">
        <v>2103</v>
      </c>
      <c r="N423" t="s">
        <v>824</v>
      </c>
      <c r="O423" t="s">
        <v>21</v>
      </c>
      <c r="P423" t="s">
        <v>21</v>
      </c>
      <c r="Q423" t="s">
        <v>21</v>
      </c>
      <c r="R423" t="s">
        <v>880</v>
      </c>
      <c r="S423" t="s">
        <v>880</v>
      </c>
      <c r="T423" t="s">
        <v>908</v>
      </c>
      <c r="U423" t="s">
        <v>961</v>
      </c>
      <c r="V423" s="28" t="s">
        <v>6064</v>
      </c>
      <c r="W423" s="28" t="s">
        <v>5978</v>
      </c>
      <c r="X423" s="28" t="s">
        <v>6065</v>
      </c>
      <c r="Y423" s="28" t="s">
        <v>5980</v>
      </c>
      <c r="Z423" s="28" t="s">
        <v>6066</v>
      </c>
      <c r="AA423" s="28" t="s">
        <v>6067</v>
      </c>
      <c r="AB423" s="28" t="s">
        <v>6068</v>
      </c>
      <c r="AC423" s="28" t="s">
        <v>6069</v>
      </c>
    </row>
    <row r="424" spans="1:29">
      <c r="A424">
        <v>183</v>
      </c>
      <c r="B424">
        <v>2135</v>
      </c>
      <c r="C424">
        <v>2135</v>
      </c>
      <c r="D424" t="s">
        <v>21</v>
      </c>
      <c r="E424" s="22">
        <v>44439</v>
      </c>
      <c r="F424" s="23" t="s">
        <v>6055</v>
      </c>
      <c r="G424" t="s">
        <v>26</v>
      </c>
      <c r="H424">
        <v>4</v>
      </c>
      <c r="I424" t="s">
        <v>36</v>
      </c>
      <c r="J424" t="s">
        <v>52</v>
      </c>
      <c r="K424" t="s">
        <v>88</v>
      </c>
      <c r="L424" t="s">
        <v>6071</v>
      </c>
      <c r="M424">
        <v>2127</v>
      </c>
      <c r="N424" t="s">
        <v>825</v>
      </c>
      <c r="O424" t="s">
        <v>21</v>
      </c>
      <c r="P424" t="s">
        <v>21</v>
      </c>
      <c r="Q424" t="s">
        <v>21</v>
      </c>
      <c r="R424" t="s">
        <v>884</v>
      </c>
      <c r="S424" t="s">
        <v>884</v>
      </c>
      <c r="T424" t="s">
        <v>954</v>
      </c>
      <c r="U424" t="s">
        <v>960</v>
      </c>
      <c r="V424" s="28" t="s">
        <v>6072</v>
      </c>
      <c r="W424" s="28" t="s">
        <v>1444</v>
      </c>
      <c r="X424" s="28" t="s">
        <v>6073</v>
      </c>
      <c r="Y424" s="28" t="s">
        <v>6074</v>
      </c>
      <c r="Z424" s="28" t="s">
        <v>6075</v>
      </c>
      <c r="AA424" s="28" t="s">
        <v>6076</v>
      </c>
      <c r="AB424" s="28" t="s">
        <v>6077</v>
      </c>
      <c r="AC424" s="28" t="s">
        <v>5941</v>
      </c>
    </row>
    <row r="425" spans="1:29">
      <c r="A425">
        <v>184</v>
      </c>
      <c r="B425">
        <v>2135</v>
      </c>
      <c r="C425">
        <v>2135</v>
      </c>
      <c r="D425" t="s">
        <v>21</v>
      </c>
      <c r="E425" s="22">
        <v>44439</v>
      </c>
      <c r="F425" s="23" t="s">
        <v>6055</v>
      </c>
      <c r="G425" t="s">
        <v>26</v>
      </c>
      <c r="H425">
        <v>3</v>
      </c>
      <c r="I425" t="s">
        <v>36</v>
      </c>
      <c r="J425" t="s">
        <v>66</v>
      </c>
      <c r="K425" t="s">
        <v>91</v>
      </c>
      <c r="L425" t="s">
        <v>6078</v>
      </c>
      <c r="M425">
        <v>2128</v>
      </c>
      <c r="N425" t="s">
        <v>828</v>
      </c>
      <c r="O425" t="s">
        <v>21</v>
      </c>
      <c r="P425" t="s">
        <v>21</v>
      </c>
      <c r="Q425" t="s">
        <v>21</v>
      </c>
      <c r="R425" t="s">
        <v>874</v>
      </c>
      <c r="S425" t="s">
        <v>874</v>
      </c>
      <c r="T425" t="s">
        <v>28</v>
      </c>
      <c r="U425" t="s">
        <v>960</v>
      </c>
      <c r="V425" s="28" t="s">
        <v>6079</v>
      </c>
      <c r="W425" s="28" t="s">
        <v>1231</v>
      </c>
      <c r="X425" s="28" t="s">
        <v>6080</v>
      </c>
      <c r="Y425" s="28" t="s">
        <v>2318</v>
      </c>
      <c r="Z425" s="28" t="s">
        <v>6081</v>
      </c>
      <c r="AA425" s="28" t="s">
        <v>2336</v>
      </c>
      <c r="AB425" s="28" t="s">
        <v>6082</v>
      </c>
      <c r="AC425" s="28" t="s">
        <v>2338</v>
      </c>
    </row>
    <row r="426" spans="1:29">
      <c r="A426">
        <v>185</v>
      </c>
      <c r="B426">
        <v>2135</v>
      </c>
      <c r="C426">
        <v>2135</v>
      </c>
      <c r="D426" t="s">
        <v>21</v>
      </c>
      <c r="E426" s="22">
        <v>44441</v>
      </c>
      <c r="F426" s="23" t="s">
        <v>6055</v>
      </c>
      <c r="G426" t="s">
        <v>26</v>
      </c>
      <c r="H426">
        <v>2</v>
      </c>
      <c r="I426" t="s">
        <v>36</v>
      </c>
      <c r="J426" t="s">
        <v>56</v>
      </c>
      <c r="K426" t="s">
        <v>96</v>
      </c>
      <c r="L426" t="s">
        <v>6083</v>
      </c>
      <c r="M426">
        <v>2115</v>
      </c>
      <c r="N426" t="s">
        <v>840</v>
      </c>
      <c r="O426" t="s">
        <v>21</v>
      </c>
      <c r="P426" t="s">
        <v>21</v>
      </c>
      <c r="Q426" t="s">
        <v>21</v>
      </c>
      <c r="R426" t="s">
        <v>6084</v>
      </c>
      <c r="S426" t="s">
        <v>6084</v>
      </c>
      <c r="T426" t="s">
        <v>948</v>
      </c>
      <c r="U426" t="s">
        <v>960</v>
      </c>
      <c r="V426" s="28" t="s">
        <v>6085</v>
      </c>
      <c r="W426" s="28" t="s">
        <v>1075</v>
      </c>
      <c r="X426" s="28" t="s">
        <v>6086</v>
      </c>
      <c r="Y426" s="28" t="s">
        <v>6087</v>
      </c>
      <c r="Z426" s="28" t="s">
        <v>6088</v>
      </c>
      <c r="AA426" s="28" t="s">
        <v>6089</v>
      </c>
      <c r="AB426" s="28" t="s">
        <v>6090</v>
      </c>
      <c r="AC426" s="28" t="s">
        <v>6091</v>
      </c>
    </row>
    <row r="427" spans="1:29">
      <c r="A427">
        <v>186</v>
      </c>
      <c r="B427">
        <v>2135</v>
      </c>
      <c r="C427">
        <v>2135</v>
      </c>
      <c r="D427" t="s">
        <v>21</v>
      </c>
      <c r="E427" s="22">
        <v>44441</v>
      </c>
      <c r="F427" s="23" t="s">
        <v>6055</v>
      </c>
      <c r="G427" t="s">
        <v>26</v>
      </c>
      <c r="H427">
        <v>2</v>
      </c>
      <c r="I427" t="s">
        <v>38</v>
      </c>
      <c r="J427" t="s">
        <v>56</v>
      </c>
      <c r="K427" t="s">
        <v>96</v>
      </c>
      <c r="L427" t="s">
        <v>6092</v>
      </c>
      <c r="M427">
        <v>2115</v>
      </c>
      <c r="N427" t="s">
        <v>840</v>
      </c>
      <c r="O427" t="s">
        <v>21</v>
      </c>
      <c r="P427" t="s">
        <v>21</v>
      </c>
      <c r="Q427" t="s">
        <v>21</v>
      </c>
      <c r="R427" t="s">
        <v>880</v>
      </c>
      <c r="S427" t="s">
        <v>880</v>
      </c>
      <c r="T427" t="s">
        <v>908</v>
      </c>
      <c r="U427" t="s">
        <v>960</v>
      </c>
      <c r="V427" s="28" t="s">
        <v>6057</v>
      </c>
      <c r="W427" s="28" t="s">
        <v>1233</v>
      </c>
      <c r="X427" s="28" t="s">
        <v>6058</v>
      </c>
      <c r="Y427" s="28" t="s">
        <v>2324</v>
      </c>
      <c r="Z427" s="28" t="s">
        <v>6093</v>
      </c>
      <c r="AA427" s="28" t="s">
        <v>2326</v>
      </c>
      <c r="AB427" s="28" t="s">
        <v>6094</v>
      </c>
      <c r="AC427" s="28" t="s">
        <v>2328</v>
      </c>
    </row>
    <row r="428" spans="1:29">
      <c r="A428">
        <v>187</v>
      </c>
      <c r="B428">
        <v>2135</v>
      </c>
      <c r="C428">
        <v>2135</v>
      </c>
      <c r="D428" t="s">
        <v>21</v>
      </c>
      <c r="E428" s="22">
        <v>44442</v>
      </c>
      <c r="F428" s="23" t="s">
        <v>6055</v>
      </c>
      <c r="G428" t="s">
        <v>26</v>
      </c>
      <c r="H428">
        <v>15</v>
      </c>
      <c r="I428" t="s">
        <v>42</v>
      </c>
      <c r="J428" t="s">
        <v>69</v>
      </c>
      <c r="K428" t="s">
        <v>99</v>
      </c>
      <c r="L428" t="s">
        <v>6095</v>
      </c>
      <c r="M428">
        <v>2127</v>
      </c>
      <c r="N428" t="s">
        <v>841</v>
      </c>
      <c r="O428" t="s">
        <v>21</v>
      </c>
      <c r="P428" t="s">
        <v>21</v>
      </c>
      <c r="Q428" t="s">
        <v>21</v>
      </c>
      <c r="R428" t="s">
        <v>872</v>
      </c>
      <c r="S428" t="s">
        <v>872</v>
      </c>
      <c r="T428" t="s">
        <v>950</v>
      </c>
      <c r="U428" t="s">
        <v>960</v>
      </c>
      <c r="V428" s="28" t="s">
        <v>6096</v>
      </c>
      <c r="W428" s="28" t="s">
        <v>1241</v>
      </c>
      <c r="X428" s="28" t="s">
        <v>6097</v>
      </c>
      <c r="Y428" s="28" t="s">
        <v>2352</v>
      </c>
      <c r="Z428" s="28" t="s">
        <v>6098</v>
      </c>
      <c r="AA428" s="28" t="s">
        <v>5993</v>
      </c>
      <c r="AB428" s="28" t="s">
        <v>6099</v>
      </c>
      <c r="AC428" s="28" t="s">
        <v>5995</v>
      </c>
    </row>
    <row r="429" spans="1:29">
      <c r="A429">
        <v>188</v>
      </c>
      <c r="B429">
        <v>2135</v>
      </c>
      <c r="C429">
        <v>2135</v>
      </c>
      <c r="D429" t="s">
        <v>21</v>
      </c>
      <c r="E429" s="22">
        <v>44442</v>
      </c>
      <c r="F429" s="23" t="s">
        <v>6055</v>
      </c>
      <c r="G429" t="s">
        <v>26</v>
      </c>
      <c r="H429">
        <v>15</v>
      </c>
      <c r="I429" t="s">
        <v>38</v>
      </c>
      <c r="J429" t="s">
        <v>69</v>
      </c>
      <c r="K429" t="s">
        <v>99</v>
      </c>
      <c r="L429" t="s">
        <v>6100</v>
      </c>
      <c r="M429">
        <v>2127</v>
      </c>
      <c r="N429" t="s">
        <v>841</v>
      </c>
      <c r="O429" t="s">
        <v>21</v>
      </c>
      <c r="P429" t="s">
        <v>21</v>
      </c>
      <c r="Q429" t="s">
        <v>21</v>
      </c>
      <c r="R429" t="s">
        <v>891</v>
      </c>
      <c r="S429" t="s">
        <v>891</v>
      </c>
      <c r="T429" t="s">
        <v>891</v>
      </c>
      <c r="U429" t="s">
        <v>960</v>
      </c>
      <c r="V429" s="28" t="s">
        <v>6101</v>
      </c>
      <c r="W429" s="28" t="s">
        <v>1080</v>
      </c>
      <c r="X429" s="28" t="s">
        <v>6102</v>
      </c>
      <c r="Y429" s="28" t="s">
        <v>2369</v>
      </c>
      <c r="Z429" s="28" t="s">
        <v>6103</v>
      </c>
      <c r="AA429" s="28" t="s">
        <v>6104</v>
      </c>
      <c r="AB429" s="28" t="s">
        <v>6105</v>
      </c>
      <c r="AC429" s="28" t="s">
        <v>6106</v>
      </c>
    </row>
    <row r="430" spans="1:29">
      <c r="A430">
        <v>189</v>
      </c>
      <c r="B430">
        <v>2136</v>
      </c>
      <c r="C430">
        <v>2136</v>
      </c>
      <c r="D430" t="s">
        <v>21</v>
      </c>
      <c r="E430" s="22">
        <v>44445</v>
      </c>
      <c r="F430" s="23" t="s">
        <v>6055</v>
      </c>
      <c r="G430" t="s">
        <v>26</v>
      </c>
      <c r="H430">
        <v>4</v>
      </c>
      <c r="I430" t="s">
        <v>47</v>
      </c>
      <c r="J430" t="s">
        <v>53</v>
      </c>
      <c r="K430" t="s">
        <v>90</v>
      </c>
      <c r="L430" t="s">
        <v>6212</v>
      </c>
      <c r="M430">
        <v>2128</v>
      </c>
      <c r="N430" t="s">
        <v>827</v>
      </c>
      <c r="O430" t="s">
        <v>21</v>
      </c>
      <c r="P430" t="s">
        <v>21</v>
      </c>
      <c r="Q430" t="s">
        <v>21</v>
      </c>
      <c r="R430" t="s">
        <v>872</v>
      </c>
      <c r="S430" t="s">
        <v>872</v>
      </c>
      <c r="T430" t="s">
        <v>950</v>
      </c>
      <c r="U430" t="s">
        <v>960</v>
      </c>
      <c r="V430" s="28" t="s">
        <v>6213</v>
      </c>
      <c r="W430" s="28" t="s">
        <v>6214</v>
      </c>
      <c r="X430" s="28" t="s">
        <v>6215</v>
      </c>
      <c r="Y430" s="28" t="s">
        <v>6216</v>
      </c>
      <c r="Z430" s="28" t="s">
        <v>6217</v>
      </c>
      <c r="AA430" s="28" t="s">
        <v>6218</v>
      </c>
      <c r="AB430" s="28" t="s">
        <v>6219</v>
      </c>
      <c r="AC430" s="28" t="s">
        <v>6220</v>
      </c>
    </row>
    <row r="431" spans="1:29">
      <c r="A431">
        <v>190</v>
      </c>
      <c r="B431">
        <v>2136</v>
      </c>
      <c r="C431">
        <v>2136</v>
      </c>
      <c r="D431" t="s">
        <v>21</v>
      </c>
      <c r="E431" s="22">
        <v>44448</v>
      </c>
      <c r="F431" s="23" t="s">
        <v>6055</v>
      </c>
      <c r="G431" t="s">
        <v>26</v>
      </c>
      <c r="H431">
        <v>4</v>
      </c>
      <c r="I431" t="s">
        <v>41</v>
      </c>
      <c r="J431" t="s">
        <v>53</v>
      </c>
      <c r="K431" t="s">
        <v>95</v>
      </c>
      <c r="L431" t="s">
        <v>6221</v>
      </c>
      <c r="M431">
        <v>2127</v>
      </c>
      <c r="N431" t="s">
        <v>838</v>
      </c>
      <c r="O431" t="s">
        <v>21</v>
      </c>
      <c r="P431" t="s">
        <v>21</v>
      </c>
      <c r="Q431" t="s">
        <v>21</v>
      </c>
      <c r="R431" t="s">
        <v>881</v>
      </c>
      <c r="S431" t="s">
        <v>881</v>
      </c>
      <c r="T431" t="s">
        <v>949</v>
      </c>
      <c r="U431" t="s">
        <v>960</v>
      </c>
      <c r="V431" s="28" t="s">
        <v>6222</v>
      </c>
      <c r="W431" s="28" t="s">
        <v>6223</v>
      </c>
      <c r="X431" s="28" t="s">
        <v>6224</v>
      </c>
      <c r="Y431" s="28" t="s">
        <v>6225</v>
      </c>
      <c r="Z431" s="28" t="s">
        <v>6226</v>
      </c>
      <c r="AA431" s="28" t="s">
        <v>6227</v>
      </c>
      <c r="AB431" s="28" t="s">
        <v>6228</v>
      </c>
      <c r="AC431" s="28" t="s">
        <v>6229</v>
      </c>
    </row>
    <row r="432" spans="1:29">
      <c r="A432">
        <v>191</v>
      </c>
      <c r="B432">
        <v>2136</v>
      </c>
      <c r="C432">
        <v>2136</v>
      </c>
      <c r="D432" t="s">
        <v>21</v>
      </c>
      <c r="E432" s="22">
        <v>44448</v>
      </c>
      <c r="F432" s="23" t="s">
        <v>6055</v>
      </c>
      <c r="G432" t="s">
        <v>26</v>
      </c>
      <c r="H432">
        <v>3</v>
      </c>
      <c r="I432" t="s">
        <v>36</v>
      </c>
      <c r="J432" t="s">
        <v>67</v>
      </c>
      <c r="K432" t="s">
        <v>93</v>
      </c>
      <c r="L432" t="s">
        <v>6230</v>
      </c>
      <c r="M432">
        <v>2114</v>
      </c>
      <c r="N432" t="s">
        <v>6231</v>
      </c>
      <c r="O432" t="s">
        <v>21</v>
      </c>
      <c r="P432" t="s">
        <v>21</v>
      </c>
      <c r="Q432" t="s">
        <v>21</v>
      </c>
      <c r="R432" t="s">
        <v>872</v>
      </c>
      <c r="S432" t="s">
        <v>872</v>
      </c>
      <c r="T432" t="s">
        <v>950</v>
      </c>
      <c r="U432" t="s">
        <v>960</v>
      </c>
      <c r="V432" s="28" t="s">
        <v>6213</v>
      </c>
      <c r="W432" s="28" t="s">
        <v>6214</v>
      </c>
      <c r="X432" s="28" t="s">
        <v>6215</v>
      </c>
      <c r="Y432" s="28" t="s">
        <v>6216</v>
      </c>
      <c r="Z432" s="28" t="s">
        <v>6232</v>
      </c>
      <c r="AA432" s="28" t="s">
        <v>6233</v>
      </c>
      <c r="AB432" s="28" t="s">
        <v>6234</v>
      </c>
      <c r="AC432" s="28" t="s">
        <v>6235</v>
      </c>
    </row>
    <row r="433" spans="1:29">
      <c r="A433">
        <v>192</v>
      </c>
      <c r="B433">
        <v>2136</v>
      </c>
      <c r="C433">
        <v>2136</v>
      </c>
      <c r="D433" t="s">
        <v>21</v>
      </c>
      <c r="E433" s="22">
        <v>44449</v>
      </c>
      <c r="F433" s="23" t="s">
        <v>6055</v>
      </c>
      <c r="G433" t="s">
        <v>26</v>
      </c>
      <c r="H433">
        <v>2</v>
      </c>
      <c r="I433" t="s">
        <v>38</v>
      </c>
      <c r="J433" t="s">
        <v>56</v>
      </c>
      <c r="K433" t="s">
        <v>96</v>
      </c>
      <c r="L433" t="s">
        <v>6236</v>
      </c>
      <c r="M433">
        <v>2114</v>
      </c>
      <c r="N433" t="s">
        <v>840</v>
      </c>
      <c r="O433" t="s">
        <v>21</v>
      </c>
      <c r="P433" t="s">
        <v>21</v>
      </c>
      <c r="Q433" t="s">
        <v>21</v>
      </c>
      <c r="R433" t="s">
        <v>892</v>
      </c>
      <c r="S433" t="s">
        <v>892</v>
      </c>
      <c r="T433" t="s">
        <v>908</v>
      </c>
      <c r="U433" t="s">
        <v>960</v>
      </c>
      <c r="V433" s="28" t="s">
        <v>6237</v>
      </c>
      <c r="W433" s="28" t="s">
        <v>6238</v>
      </c>
      <c r="X433" s="28" t="s">
        <v>6239</v>
      </c>
      <c r="Y433" s="28" t="s">
        <v>6240</v>
      </c>
      <c r="Z433" s="28" t="s">
        <v>6241</v>
      </c>
      <c r="AA433" s="28" t="s">
        <v>6242</v>
      </c>
      <c r="AB433" s="28" t="s">
        <v>6243</v>
      </c>
      <c r="AC433" s="28" t="s">
        <v>6244</v>
      </c>
    </row>
    <row r="434" spans="1:29">
      <c r="A434">
        <v>193</v>
      </c>
      <c r="B434">
        <v>2137</v>
      </c>
      <c r="C434">
        <v>2137</v>
      </c>
      <c r="D434" t="s">
        <v>21</v>
      </c>
      <c r="E434" s="22">
        <v>44455</v>
      </c>
      <c r="F434" s="23" t="s">
        <v>6055</v>
      </c>
      <c r="G434" t="s">
        <v>26</v>
      </c>
      <c r="H434">
        <v>3</v>
      </c>
      <c r="I434" t="s">
        <v>40</v>
      </c>
      <c r="J434" t="s">
        <v>68</v>
      </c>
      <c r="K434" t="s">
        <v>94</v>
      </c>
      <c r="L434" t="s">
        <v>6348</v>
      </c>
      <c r="M434">
        <v>2127</v>
      </c>
      <c r="N434" t="s">
        <v>831</v>
      </c>
      <c r="O434" t="s">
        <v>21</v>
      </c>
      <c r="P434" t="s">
        <v>21</v>
      </c>
      <c r="Q434" t="s">
        <v>21</v>
      </c>
      <c r="R434" t="s">
        <v>890</v>
      </c>
      <c r="S434" t="s">
        <v>890</v>
      </c>
      <c r="T434" s="39" t="s">
        <v>908</v>
      </c>
      <c r="U434" t="s">
        <v>960</v>
      </c>
      <c r="V434" s="28" t="s">
        <v>6349</v>
      </c>
      <c r="W434" s="28" t="s">
        <v>6238</v>
      </c>
      <c r="X434" s="28" t="s">
        <v>6350</v>
      </c>
      <c r="Y434" s="28" t="s">
        <v>6240</v>
      </c>
      <c r="Z434" s="28" t="s">
        <v>6351</v>
      </c>
      <c r="AA434" s="28" t="s">
        <v>6352</v>
      </c>
      <c r="AB434" s="28" t="s">
        <v>6353</v>
      </c>
      <c r="AC434" s="28" t="s">
        <v>6354</v>
      </c>
    </row>
    <row r="435" spans="1:29">
      <c r="A435">
        <v>194</v>
      </c>
      <c r="B435">
        <v>2137</v>
      </c>
      <c r="C435">
        <v>2137</v>
      </c>
      <c r="D435" t="s">
        <v>21</v>
      </c>
      <c r="E435" s="22">
        <v>44455</v>
      </c>
      <c r="F435" s="23" t="s">
        <v>6055</v>
      </c>
      <c r="G435" t="s">
        <v>26</v>
      </c>
      <c r="H435">
        <v>4</v>
      </c>
      <c r="I435" t="s">
        <v>36</v>
      </c>
      <c r="J435" t="s">
        <v>52</v>
      </c>
      <c r="K435" t="s">
        <v>88</v>
      </c>
      <c r="L435" t="s">
        <v>6355</v>
      </c>
      <c r="M435">
        <v>2128</v>
      </c>
      <c r="N435" t="s">
        <v>825</v>
      </c>
      <c r="O435" t="s">
        <v>21</v>
      </c>
      <c r="P435" t="s">
        <v>21</v>
      </c>
      <c r="Q435" t="s">
        <v>21</v>
      </c>
      <c r="R435" t="s">
        <v>885</v>
      </c>
      <c r="S435" t="s">
        <v>885</v>
      </c>
      <c r="T435" t="s">
        <v>28</v>
      </c>
      <c r="U435" t="s">
        <v>960</v>
      </c>
      <c r="V435" s="28" t="s">
        <v>6356</v>
      </c>
      <c r="W435" s="28" t="s">
        <v>6247</v>
      </c>
      <c r="X435" s="28" t="s">
        <v>6357</v>
      </c>
      <c r="Y435" s="28" t="s">
        <v>6358</v>
      </c>
      <c r="Z435" s="28" t="s">
        <v>6359</v>
      </c>
      <c r="AA435" s="28" t="s">
        <v>6360</v>
      </c>
      <c r="AB435" s="28" t="s">
        <v>6361</v>
      </c>
      <c r="AC435" s="28" t="s">
        <v>6253</v>
      </c>
    </row>
    <row r="436" spans="1:29">
      <c r="A436">
        <v>195</v>
      </c>
      <c r="B436">
        <v>2137</v>
      </c>
      <c r="C436">
        <v>2137</v>
      </c>
      <c r="D436" t="s">
        <v>21</v>
      </c>
      <c r="E436" s="22">
        <v>44455</v>
      </c>
      <c r="F436" s="23" t="s">
        <v>6055</v>
      </c>
      <c r="G436" t="s">
        <v>26</v>
      </c>
      <c r="H436">
        <v>2</v>
      </c>
      <c r="I436" t="s">
        <v>41</v>
      </c>
      <c r="J436" t="s">
        <v>66</v>
      </c>
      <c r="K436" t="s">
        <v>92</v>
      </c>
      <c r="L436" t="s">
        <v>6362</v>
      </c>
      <c r="M436">
        <v>2126</v>
      </c>
      <c r="N436" t="s">
        <v>829</v>
      </c>
      <c r="O436" t="s">
        <v>21</v>
      </c>
      <c r="P436" t="s">
        <v>21</v>
      </c>
      <c r="Q436" t="s">
        <v>21</v>
      </c>
      <c r="R436" t="s">
        <v>880</v>
      </c>
      <c r="S436" s="38" t="s">
        <v>880</v>
      </c>
      <c r="T436" s="38" t="s">
        <v>908</v>
      </c>
      <c r="U436" t="s">
        <v>960</v>
      </c>
      <c r="V436" s="28" t="s">
        <v>6349</v>
      </c>
      <c r="W436" s="28" t="s">
        <v>6238</v>
      </c>
      <c r="X436" s="28" t="s">
        <v>6350</v>
      </c>
      <c r="Y436" s="28" t="s">
        <v>6240</v>
      </c>
      <c r="Z436" s="28" t="s">
        <v>6363</v>
      </c>
      <c r="AA436" s="28" t="s">
        <v>6364</v>
      </c>
      <c r="AB436" s="28" t="s">
        <v>6365</v>
      </c>
      <c r="AC436" s="28" t="s">
        <v>6366</v>
      </c>
    </row>
    <row r="437" spans="1:29">
      <c r="A437">
        <v>1</v>
      </c>
      <c r="B437">
        <v>2009</v>
      </c>
      <c r="C437">
        <v>2009</v>
      </c>
      <c r="D437" t="s">
        <v>21</v>
      </c>
      <c r="E437" s="22">
        <v>43887</v>
      </c>
      <c r="F437" s="23">
        <v>43887</v>
      </c>
      <c r="G437" t="s">
        <v>27</v>
      </c>
      <c r="H437" t="s">
        <v>32</v>
      </c>
      <c r="I437" t="s">
        <v>21</v>
      </c>
      <c r="J437" t="s">
        <v>58</v>
      </c>
      <c r="K437" t="s">
        <v>100</v>
      </c>
      <c r="L437" t="s">
        <v>518</v>
      </c>
      <c r="M437">
        <v>2003</v>
      </c>
      <c r="N437" t="s">
        <v>842</v>
      </c>
      <c r="O437" t="s">
        <v>866</v>
      </c>
      <c r="P437" t="s">
        <v>21</v>
      </c>
      <c r="Q437" t="s">
        <v>21</v>
      </c>
      <c r="R437" t="s">
        <v>905</v>
      </c>
      <c r="S437" t="s">
        <v>905</v>
      </c>
      <c r="T437" t="s">
        <v>955</v>
      </c>
      <c r="U437" t="s">
        <v>961</v>
      </c>
      <c r="V437" s="28" t="s">
        <v>1054</v>
      </c>
      <c r="W437" s="28" t="s">
        <v>1249</v>
      </c>
      <c r="X437" s="28" t="s">
        <v>2384</v>
      </c>
      <c r="Y437" s="28" t="s">
        <v>2385</v>
      </c>
      <c r="Z437" s="28" t="s">
        <v>2386</v>
      </c>
      <c r="AA437" s="28" t="s">
        <v>2387</v>
      </c>
      <c r="AB437" s="28" t="s">
        <v>2388</v>
      </c>
      <c r="AC437" s="28" t="s">
        <v>2389</v>
      </c>
    </row>
    <row r="438" spans="1:29">
      <c r="A438">
        <v>2</v>
      </c>
      <c r="B438">
        <v>2009</v>
      </c>
      <c r="C438">
        <v>2009</v>
      </c>
      <c r="D438" t="s">
        <v>21</v>
      </c>
      <c r="E438" s="22">
        <v>43889</v>
      </c>
      <c r="F438" s="23">
        <v>43889</v>
      </c>
      <c r="G438" t="s">
        <v>27</v>
      </c>
      <c r="H438" t="s">
        <v>32</v>
      </c>
      <c r="I438" t="s">
        <v>21</v>
      </c>
      <c r="J438" t="s">
        <v>61</v>
      </c>
      <c r="K438" t="s">
        <v>101</v>
      </c>
      <c r="L438" t="s">
        <v>519</v>
      </c>
      <c r="M438">
        <v>2003</v>
      </c>
      <c r="N438" t="s">
        <v>843</v>
      </c>
      <c r="O438" t="s">
        <v>866</v>
      </c>
      <c r="P438" t="s">
        <v>21</v>
      </c>
      <c r="Q438" t="s">
        <v>21</v>
      </c>
      <c r="R438" t="s">
        <v>906</v>
      </c>
      <c r="S438" t="s">
        <v>906</v>
      </c>
      <c r="T438" t="s">
        <v>953</v>
      </c>
      <c r="U438" t="s">
        <v>961</v>
      </c>
      <c r="V438" s="28" t="s">
        <v>1055</v>
      </c>
      <c r="W438" s="28" t="s">
        <v>1250</v>
      </c>
      <c r="X438" s="28" t="s">
        <v>2390</v>
      </c>
      <c r="Y438" s="28" t="s">
        <v>2391</v>
      </c>
      <c r="Z438" s="28" t="s">
        <v>2392</v>
      </c>
      <c r="AA438" s="28" t="s">
        <v>2393</v>
      </c>
      <c r="AB438" s="28" t="s">
        <v>2394</v>
      </c>
      <c r="AC438" s="28" t="s">
        <v>2395</v>
      </c>
    </row>
    <row r="439" spans="1:29">
      <c r="A439">
        <v>3</v>
      </c>
      <c r="B439">
        <v>2009</v>
      </c>
      <c r="C439">
        <v>2009</v>
      </c>
      <c r="D439" t="s">
        <v>21</v>
      </c>
      <c r="E439" s="22">
        <v>43889</v>
      </c>
      <c r="F439" s="23">
        <v>43889</v>
      </c>
      <c r="G439" t="s">
        <v>27</v>
      </c>
      <c r="H439" t="s">
        <v>32</v>
      </c>
      <c r="I439" t="s">
        <v>21</v>
      </c>
      <c r="J439" t="s">
        <v>61</v>
      </c>
      <c r="K439" t="s">
        <v>101</v>
      </c>
      <c r="L439" t="s">
        <v>520</v>
      </c>
      <c r="M439">
        <v>2003</v>
      </c>
      <c r="N439" t="s">
        <v>843</v>
      </c>
      <c r="O439" t="s">
        <v>866</v>
      </c>
      <c r="P439" t="s">
        <v>21</v>
      </c>
      <c r="Q439" t="s">
        <v>21</v>
      </c>
      <c r="R439" t="s">
        <v>907</v>
      </c>
      <c r="S439" t="s">
        <v>907</v>
      </c>
      <c r="T439" t="s">
        <v>953</v>
      </c>
      <c r="U439" t="s">
        <v>961</v>
      </c>
      <c r="V439" s="28" t="s">
        <v>1055</v>
      </c>
      <c r="W439" s="28" t="s">
        <v>1250</v>
      </c>
      <c r="X439" s="28" t="s">
        <v>2390</v>
      </c>
      <c r="Y439" s="28" t="s">
        <v>2391</v>
      </c>
      <c r="Z439" s="28" t="s">
        <v>2392</v>
      </c>
      <c r="AA439" s="28" t="s">
        <v>2393</v>
      </c>
      <c r="AB439" s="28" t="s">
        <v>2394</v>
      </c>
      <c r="AC439" s="28" t="s">
        <v>2395</v>
      </c>
    </row>
    <row r="440" spans="1:29">
      <c r="A440">
        <v>4</v>
      </c>
      <c r="B440">
        <v>2015</v>
      </c>
      <c r="C440">
        <v>2015</v>
      </c>
      <c r="D440" t="s">
        <v>21</v>
      </c>
      <c r="E440" s="22">
        <v>43929</v>
      </c>
      <c r="F440" s="23">
        <v>43929</v>
      </c>
      <c r="G440" t="s">
        <v>27</v>
      </c>
      <c r="H440" t="s">
        <v>32</v>
      </c>
      <c r="I440" t="s">
        <v>21</v>
      </c>
      <c r="J440" t="s">
        <v>61</v>
      </c>
      <c r="K440" t="s">
        <v>101</v>
      </c>
      <c r="L440" t="s">
        <v>521</v>
      </c>
      <c r="M440">
        <v>2003</v>
      </c>
      <c r="N440" t="s">
        <v>843</v>
      </c>
      <c r="O440" t="s">
        <v>866</v>
      </c>
      <c r="P440" t="s">
        <v>21</v>
      </c>
      <c r="Q440" t="s">
        <v>21</v>
      </c>
      <c r="R440" t="s">
        <v>886</v>
      </c>
      <c r="S440" t="s">
        <v>886</v>
      </c>
      <c r="T440" t="s">
        <v>955</v>
      </c>
      <c r="U440" t="s">
        <v>961</v>
      </c>
      <c r="V440" s="28" t="s">
        <v>1056</v>
      </c>
      <c r="W440" s="28" t="s">
        <v>1048</v>
      </c>
      <c r="X440" s="28" t="s">
        <v>2396</v>
      </c>
      <c r="Y440" s="28" t="s">
        <v>2397</v>
      </c>
      <c r="Z440" s="28" t="s">
        <v>2398</v>
      </c>
      <c r="AA440" s="28" t="s">
        <v>2399</v>
      </c>
      <c r="AB440" s="28" t="s">
        <v>2400</v>
      </c>
      <c r="AC440" s="28" t="s">
        <v>2401</v>
      </c>
    </row>
    <row r="441" spans="1:29">
      <c r="A441">
        <v>5</v>
      </c>
      <c r="B441">
        <v>2019</v>
      </c>
      <c r="C441">
        <v>2019</v>
      </c>
      <c r="D441" t="s">
        <v>21</v>
      </c>
      <c r="E441" s="22">
        <v>43959</v>
      </c>
      <c r="F441" s="23">
        <v>43959</v>
      </c>
      <c r="G441" t="s">
        <v>27</v>
      </c>
      <c r="H441" t="s">
        <v>33</v>
      </c>
      <c r="I441" t="s">
        <v>21</v>
      </c>
      <c r="J441" t="s">
        <v>58</v>
      </c>
      <c r="K441" t="s">
        <v>100</v>
      </c>
      <c r="L441" t="s">
        <v>522</v>
      </c>
      <c r="M441">
        <v>2003</v>
      </c>
      <c r="N441" t="s">
        <v>842</v>
      </c>
      <c r="O441" t="s">
        <v>866</v>
      </c>
      <c r="P441" t="s">
        <v>21</v>
      </c>
      <c r="Q441" t="s">
        <v>21</v>
      </c>
      <c r="R441" t="s">
        <v>908</v>
      </c>
      <c r="S441" t="s">
        <v>908</v>
      </c>
      <c r="T441" t="s">
        <v>959</v>
      </c>
      <c r="U441" t="s">
        <v>961</v>
      </c>
      <c r="V441" s="28" t="s">
        <v>1251</v>
      </c>
      <c r="W441" s="28" t="s">
        <v>1252</v>
      </c>
      <c r="X441" s="28" t="s">
        <v>2402</v>
      </c>
      <c r="Y441" s="28" t="s">
        <v>2403</v>
      </c>
      <c r="Z441" s="28" t="s">
        <v>2404</v>
      </c>
      <c r="AA441" s="28" t="s">
        <v>2405</v>
      </c>
      <c r="AB441" s="28" t="s">
        <v>2406</v>
      </c>
      <c r="AC441" s="28" t="s">
        <v>2407</v>
      </c>
    </row>
    <row r="442" spans="1:29">
      <c r="A442">
        <v>6</v>
      </c>
      <c r="B442">
        <v>2023</v>
      </c>
      <c r="C442">
        <v>2023</v>
      </c>
      <c r="D442" t="s">
        <v>21</v>
      </c>
      <c r="E442" s="22">
        <v>43983</v>
      </c>
      <c r="F442" s="23">
        <v>43983</v>
      </c>
      <c r="G442" t="s">
        <v>27</v>
      </c>
      <c r="H442" t="s">
        <v>33</v>
      </c>
      <c r="I442" t="s">
        <v>21</v>
      </c>
      <c r="J442" t="s">
        <v>58</v>
      </c>
      <c r="K442" t="s">
        <v>100</v>
      </c>
      <c r="L442" t="s">
        <v>523</v>
      </c>
      <c r="M442">
        <v>2003</v>
      </c>
      <c r="N442" t="s">
        <v>842</v>
      </c>
      <c r="O442" t="s">
        <v>866</v>
      </c>
      <c r="P442" t="s">
        <v>21</v>
      </c>
      <c r="Q442" t="s">
        <v>21</v>
      </c>
      <c r="R442" t="s">
        <v>881</v>
      </c>
      <c r="S442" t="s">
        <v>881</v>
      </c>
      <c r="T442" t="s">
        <v>949</v>
      </c>
      <c r="U442" t="s">
        <v>961</v>
      </c>
      <c r="V442" s="28" t="s">
        <v>1253</v>
      </c>
      <c r="W442" s="28" t="s">
        <v>1254</v>
      </c>
      <c r="X442" s="28" t="s">
        <v>2408</v>
      </c>
      <c r="Y442" s="28" t="s">
        <v>2409</v>
      </c>
      <c r="Z442" s="28" t="s">
        <v>2410</v>
      </c>
      <c r="AA442" s="28" t="s">
        <v>2411</v>
      </c>
      <c r="AB442" s="28" t="s">
        <v>2412</v>
      </c>
      <c r="AC442" s="28" t="s">
        <v>2413</v>
      </c>
    </row>
    <row r="443" spans="1:29">
      <c r="A443">
        <v>7</v>
      </c>
      <c r="B443">
        <v>2034</v>
      </c>
      <c r="C443">
        <v>2033</v>
      </c>
      <c r="D443" t="s">
        <v>21</v>
      </c>
      <c r="E443" s="22">
        <v>44056</v>
      </c>
      <c r="F443" s="23">
        <v>44060</v>
      </c>
      <c r="G443" t="s">
        <v>27</v>
      </c>
      <c r="H443" t="s">
        <v>33</v>
      </c>
      <c r="I443" t="s">
        <v>21</v>
      </c>
      <c r="J443" t="s">
        <v>61</v>
      </c>
      <c r="K443" t="s">
        <v>101</v>
      </c>
      <c r="L443" t="s">
        <v>524</v>
      </c>
      <c r="M443">
        <v>2027</v>
      </c>
      <c r="N443" t="s">
        <v>843</v>
      </c>
      <c r="O443" t="s">
        <v>866</v>
      </c>
      <c r="P443" t="s">
        <v>21</v>
      </c>
      <c r="Q443" t="s">
        <v>21</v>
      </c>
      <c r="R443" t="s">
        <v>891</v>
      </c>
      <c r="S443" t="s">
        <v>891</v>
      </c>
      <c r="T443" t="s">
        <v>891</v>
      </c>
      <c r="U443" t="s">
        <v>961</v>
      </c>
      <c r="V443" s="28" t="s">
        <v>1255</v>
      </c>
      <c r="W443" s="28" t="s">
        <v>1256</v>
      </c>
      <c r="X443" s="28" t="s">
        <v>2414</v>
      </c>
      <c r="Y443" s="28" t="s">
        <v>2415</v>
      </c>
      <c r="Z443" s="28" t="s">
        <v>2416</v>
      </c>
      <c r="AA443" s="28" t="s">
        <v>2417</v>
      </c>
      <c r="AB443" s="28" t="s">
        <v>2418</v>
      </c>
      <c r="AC443" s="28" t="s">
        <v>2419</v>
      </c>
    </row>
    <row r="444" spans="1:29">
      <c r="A444">
        <v>8</v>
      </c>
      <c r="B444">
        <v>2040</v>
      </c>
      <c r="C444">
        <v>2040</v>
      </c>
      <c r="D444" t="s">
        <v>21</v>
      </c>
      <c r="E444" s="22">
        <v>44104</v>
      </c>
      <c r="F444" s="23">
        <v>44104</v>
      </c>
      <c r="G444" t="s">
        <v>27</v>
      </c>
      <c r="H444" t="s">
        <v>33</v>
      </c>
      <c r="I444" t="s">
        <v>21</v>
      </c>
      <c r="J444" t="s">
        <v>58</v>
      </c>
      <c r="K444" t="s">
        <v>100</v>
      </c>
      <c r="L444" t="s">
        <v>525</v>
      </c>
      <c r="M444">
        <v>2034</v>
      </c>
      <c r="N444" t="s">
        <v>842</v>
      </c>
      <c r="O444" t="s">
        <v>866</v>
      </c>
      <c r="P444" t="s">
        <v>21</v>
      </c>
      <c r="Q444" t="s">
        <v>21</v>
      </c>
      <c r="R444" t="s">
        <v>909</v>
      </c>
      <c r="S444" t="s">
        <v>946</v>
      </c>
      <c r="T444" t="s">
        <v>955</v>
      </c>
      <c r="U444" t="s">
        <v>961</v>
      </c>
      <c r="V444" s="28" t="s">
        <v>1257</v>
      </c>
      <c r="W444" s="28" t="s">
        <v>1258</v>
      </c>
      <c r="X444" s="28" t="s">
        <v>2420</v>
      </c>
      <c r="Y444" s="28" t="s">
        <v>2421</v>
      </c>
      <c r="Z444" s="28" t="s">
        <v>2422</v>
      </c>
      <c r="AA444" s="28" t="s">
        <v>2423</v>
      </c>
      <c r="AB444" s="28" t="s">
        <v>2424</v>
      </c>
      <c r="AC444" s="28" t="s">
        <v>2425</v>
      </c>
    </row>
    <row r="445" spans="1:29">
      <c r="A445">
        <v>9</v>
      </c>
      <c r="B445">
        <v>2049</v>
      </c>
      <c r="C445">
        <v>2049</v>
      </c>
      <c r="D445" t="s">
        <v>21</v>
      </c>
      <c r="E445" s="22">
        <v>44167</v>
      </c>
      <c r="F445" s="23">
        <v>44167</v>
      </c>
      <c r="G445" t="s">
        <v>27</v>
      </c>
      <c r="H445" t="s">
        <v>33</v>
      </c>
      <c r="I445" t="s">
        <v>21</v>
      </c>
      <c r="J445" t="s">
        <v>58</v>
      </c>
      <c r="K445" t="s">
        <v>100</v>
      </c>
      <c r="L445" t="s">
        <v>526</v>
      </c>
      <c r="M445">
        <v>2043</v>
      </c>
      <c r="N445" t="s">
        <v>842</v>
      </c>
      <c r="O445" t="s">
        <v>866</v>
      </c>
      <c r="P445" t="s">
        <v>21</v>
      </c>
      <c r="Q445" t="s">
        <v>21</v>
      </c>
      <c r="R445" t="s">
        <v>910</v>
      </c>
      <c r="S445" t="s">
        <v>910</v>
      </c>
      <c r="T445" t="s">
        <v>959</v>
      </c>
      <c r="U445" t="s">
        <v>961</v>
      </c>
      <c r="V445" s="28" t="s">
        <v>1259</v>
      </c>
      <c r="W445" s="28" t="s">
        <v>1260</v>
      </c>
      <c r="X445" s="28" t="s">
        <v>2426</v>
      </c>
      <c r="Y445" s="28" t="s">
        <v>2427</v>
      </c>
      <c r="Z445" s="28" t="s">
        <v>2428</v>
      </c>
      <c r="AA445" s="28" t="s">
        <v>2429</v>
      </c>
      <c r="AB445" s="28" t="s">
        <v>2430</v>
      </c>
      <c r="AC445" s="28" t="s">
        <v>2431</v>
      </c>
    </row>
    <row r="446" spans="1:29">
      <c r="A446">
        <v>10</v>
      </c>
      <c r="B446">
        <v>2052</v>
      </c>
      <c r="C446">
        <v>2052</v>
      </c>
      <c r="D446" t="s">
        <v>21</v>
      </c>
      <c r="E446" s="22">
        <v>44188</v>
      </c>
      <c r="F446" s="23">
        <v>44188</v>
      </c>
      <c r="G446" t="s">
        <v>27</v>
      </c>
      <c r="H446" t="s">
        <v>33</v>
      </c>
      <c r="I446" t="s">
        <v>21</v>
      </c>
      <c r="J446" t="s">
        <v>58</v>
      </c>
      <c r="K446" t="s">
        <v>100</v>
      </c>
      <c r="L446" t="s">
        <v>527</v>
      </c>
      <c r="M446">
        <v>2047</v>
      </c>
      <c r="N446" t="s">
        <v>842</v>
      </c>
      <c r="O446" t="s">
        <v>866</v>
      </c>
      <c r="P446" t="s">
        <v>21</v>
      </c>
      <c r="Q446" t="s">
        <v>21</v>
      </c>
      <c r="R446" t="s">
        <v>910</v>
      </c>
      <c r="S446" t="s">
        <v>910</v>
      </c>
      <c r="T446" t="s">
        <v>959</v>
      </c>
      <c r="U446" t="s">
        <v>961</v>
      </c>
      <c r="V446" s="28" t="s">
        <v>1261</v>
      </c>
      <c r="W446" s="28" t="s">
        <v>1260</v>
      </c>
      <c r="X446" s="28" t="s">
        <v>2432</v>
      </c>
      <c r="Y446" s="28" t="s">
        <v>2427</v>
      </c>
      <c r="Z446" s="28" t="s">
        <v>2433</v>
      </c>
      <c r="AA446" s="28" t="s">
        <v>2429</v>
      </c>
      <c r="AB446" s="28" t="s">
        <v>2434</v>
      </c>
      <c r="AC446" s="28" t="s">
        <v>2431</v>
      </c>
    </row>
    <row r="447" spans="1:29">
      <c r="A447">
        <v>11</v>
      </c>
      <c r="B447">
        <v>2102</v>
      </c>
      <c r="C447">
        <v>2102</v>
      </c>
      <c r="D447" t="s">
        <v>21</v>
      </c>
      <c r="E447" s="22">
        <v>44209</v>
      </c>
      <c r="F447" s="23">
        <v>44209</v>
      </c>
      <c r="G447" t="s">
        <v>27</v>
      </c>
      <c r="H447" t="s">
        <v>33</v>
      </c>
      <c r="I447" t="s">
        <v>21</v>
      </c>
      <c r="J447" t="s">
        <v>61</v>
      </c>
      <c r="K447" t="s">
        <v>101</v>
      </c>
      <c r="L447" t="s">
        <v>528</v>
      </c>
      <c r="M447">
        <v>2047</v>
      </c>
      <c r="N447" t="s">
        <v>843</v>
      </c>
      <c r="O447" t="s">
        <v>866</v>
      </c>
      <c r="P447" t="s">
        <v>21</v>
      </c>
      <c r="Q447" t="s">
        <v>21</v>
      </c>
      <c r="R447" t="s">
        <v>881</v>
      </c>
      <c r="S447" t="s">
        <v>881</v>
      </c>
      <c r="T447" t="s">
        <v>949</v>
      </c>
      <c r="U447" t="s">
        <v>961</v>
      </c>
      <c r="V447" s="28" t="s">
        <v>1096</v>
      </c>
      <c r="W447" s="28" t="s">
        <v>1097</v>
      </c>
      <c r="X447" s="28" t="s">
        <v>2435</v>
      </c>
      <c r="Y447" s="28" t="s">
        <v>2436</v>
      </c>
      <c r="Z447" s="28" t="s">
        <v>2437</v>
      </c>
      <c r="AA447" s="28" t="s">
        <v>2438</v>
      </c>
      <c r="AB447" s="28" t="s">
        <v>2439</v>
      </c>
      <c r="AC447" s="28" t="s">
        <v>2440</v>
      </c>
    </row>
    <row r="448" spans="1:29">
      <c r="A448">
        <v>12</v>
      </c>
      <c r="B448">
        <v>2106</v>
      </c>
      <c r="C448">
        <v>2105</v>
      </c>
      <c r="D448" t="s">
        <v>21</v>
      </c>
      <c r="E448" s="22">
        <v>44232</v>
      </c>
      <c r="F448" s="23">
        <v>44235</v>
      </c>
      <c r="G448" t="s">
        <v>27</v>
      </c>
      <c r="H448" t="s">
        <v>33</v>
      </c>
      <c r="I448" t="s">
        <v>21</v>
      </c>
      <c r="J448" t="s">
        <v>58</v>
      </c>
      <c r="K448" t="s">
        <v>102</v>
      </c>
      <c r="L448" t="s">
        <v>529</v>
      </c>
      <c r="M448">
        <v>2052</v>
      </c>
      <c r="N448" t="s">
        <v>844</v>
      </c>
      <c r="O448" t="s">
        <v>866</v>
      </c>
      <c r="P448" t="s">
        <v>21</v>
      </c>
      <c r="Q448" t="s">
        <v>21</v>
      </c>
      <c r="R448" t="s">
        <v>908</v>
      </c>
      <c r="S448" t="s">
        <v>908</v>
      </c>
      <c r="T448" t="s">
        <v>959</v>
      </c>
      <c r="U448" t="s">
        <v>961</v>
      </c>
      <c r="V448" s="28" t="s">
        <v>1262</v>
      </c>
      <c r="W448" s="28" t="s">
        <v>1263</v>
      </c>
      <c r="X448" s="28" t="s">
        <v>2441</v>
      </c>
      <c r="Y448" s="28" t="s">
        <v>2442</v>
      </c>
      <c r="Z448" s="28" t="s">
        <v>2443</v>
      </c>
      <c r="AA448" s="28" t="s">
        <v>2444</v>
      </c>
      <c r="AB448" s="28" t="s">
        <v>2445</v>
      </c>
      <c r="AC448" s="28" t="s">
        <v>2446</v>
      </c>
    </row>
    <row r="449" spans="1:29">
      <c r="A449">
        <v>1</v>
      </c>
      <c r="B449">
        <v>2129</v>
      </c>
      <c r="C449">
        <v>2129</v>
      </c>
      <c r="D449" t="s">
        <v>21</v>
      </c>
      <c r="E449" s="22">
        <v>44396</v>
      </c>
      <c r="F449" s="23">
        <v>44396</v>
      </c>
      <c r="G449" t="s">
        <v>27</v>
      </c>
      <c r="H449" t="s">
        <v>28</v>
      </c>
      <c r="I449" t="s">
        <v>21</v>
      </c>
      <c r="J449" t="s">
        <v>67</v>
      </c>
      <c r="K449" t="s">
        <v>103</v>
      </c>
      <c r="L449" t="s">
        <v>530</v>
      </c>
      <c r="M449">
        <v>2124</v>
      </c>
      <c r="N449" t="s">
        <v>845</v>
      </c>
      <c r="O449" t="s">
        <v>865</v>
      </c>
      <c r="P449" t="s">
        <v>21</v>
      </c>
      <c r="Q449" t="s">
        <v>21</v>
      </c>
      <c r="R449" t="s">
        <v>881</v>
      </c>
      <c r="S449" t="s">
        <v>881</v>
      </c>
      <c r="T449" t="s">
        <v>949</v>
      </c>
      <c r="U449" t="s">
        <v>960</v>
      </c>
      <c r="V449" s="28" t="s">
        <v>1078</v>
      </c>
      <c r="W449" s="28" t="s">
        <v>1070</v>
      </c>
      <c r="X449" s="28" t="s">
        <v>2447</v>
      </c>
      <c r="Y449" s="28" t="s">
        <v>2448</v>
      </c>
      <c r="Z449" s="28" t="s">
        <v>2449</v>
      </c>
      <c r="AA449" s="28" t="s">
        <v>2450</v>
      </c>
      <c r="AB449" s="28" t="s">
        <v>2301</v>
      </c>
      <c r="AC449" s="28" t="s">
        <v>2302</v>
      </c>
    </row>
    <row r="450" spans="1:29">
      <c r="A450">
        <v>1</v>
      </c>
      <c r="B450">
        <v>2123</v>
      </c>
      <c r="C450">
        <v>2123</v>
      </c>
      <c r="D450" t="s">
        <v>21</v>
      </c>
      <c r="E450" s="22">
        <v>44357</v>
      </c>
      <c r="F450" s="23">
        <v>44357</v>
      </c>
      <c r="G450" t="s">
        <v>27</v>
      </c>
      <c r="H450" t="s">
        <v>32</v>
      </c>
      <c r="I450" t="s">
        <v>21</v>
      </c>
      <c r="J450" t="s">
        <v>54</v>
      </c>
      <c r="K450" t="s">
        <v>73</v>
      </c>
      <c r="L450" t="s">
        <v>531</v>
      </c>
      <c r="M450">
        <v>2111</v>
      </c>
      <c r="N450" t="s">
        <v>846</v>
      </c>
      <c r="O450" t="s">
        <v>865</v>
      </c>
      <c r="P450" t="s">
        <v>21</v>
      </c>
      <c r="Q450" t="s">
        <v>21</v>
      </c>
      <c r="R450" t="s">
        <v>1030</v>
      </c>
      <c r="S450" t="s">
        <v>21</v>
      </c>
      <c r="T450" t="s">
        <v>958</v>
      </c>
      <c r="U450" t="s">
        <v>960</v>
      </c>
      <c r="V450" s="28" t="s">
        <v>1057</v>
      </c>
      <c r="W450" s="28" t="s">
        <v>1049</v>
      </c>
      <c r="X450" s="28" t="s">
        <v>2451</v>
      </c>
      <c r="Y450" s="28" t="s">
        <v>2452</v>
      </c>
      <c r="Z450" s="28" t="s">
        <v>2453</v>
      </c>
      <c r="AA450" s="28" t="s">
        <v>2454</v>
      </c>
      <c r="AB450" s="28" t="s">
        <v>2455</v>
      </c>
      <c r="AC450" s="28" t="s">
        <v>2456</v>
      </c>
    </row>
    <row r="451" spans="1:29">
      <c r="A451">
        <v>2</v>
      </c>
      <c r="B451">
        <v>2126</v>
      </c>
      <c r="C451">
        <v>2126</v>
      </c>
      <c r="D451" t="s">
        <v>21</v>
      </c>
      <c r="E451" s="22">
        <v>44376</v>
      </c>
      <c r="F451" s="23">
        <v>44376</v>
      </c>
      <c r="G451" t="s">
        <v>27</v>
      </c>
      <c r="H451" t="s">
        <v>34</v>
      </c>
      <c r="I451" t="s">
        <v>21</v>
      </c>
      <c r="J451" t="s">
        <v>55</v>
      </c>
      <c r="K451" t="s">
        <v>74</v>
      </c>
      <c r="L451" t="s">
        <v>532</v>
      </c>
      <c r="M451">
        <v>2123</v>
      </c>
      <c r="N451" t="s">
        <v>847</v>
      </c>
      <c r="O451" t="s">
        <v>865</v>
      </c>
      <c r="P451" t="s">
        <v>21</v>
      </c>
      <c r="Q451" t="s">
        <v>21</v>
      </c>
      <c r="R451" t="s">
        <v>911</v>
      </c>
      <c r="S451" t="s">
        <v>911</v>
      </c>
      <c r="T451" t="s">
        <v>28</v>
      </c>
      <c r="U451" t="s">
        <v>960</v>
      </c>
      <c r="V451" s="28" t="s">
        <v>1200</v>
      </c>
      <c r="W451" s="28" t="s">
        <v>1068</v>
      </c>
      <c r="X451" s="28" t="s">
        <v>2457</v>
      </c>
      <c r="Y451" s="28" t="s">
        <v>2458</v>
      </c>
      <c r="Z451" s="28" t="s">
        <v>2459</v>
      </c>
      <c r="AA451" s="28" t="s">
        <v>2460</v>
      </c>
      <c r="AB451" s="28" t="s">
        <v>2185</v>
      </c>
      <c r="AC451" s="28" t="s">
        <v>2186</v>
      </c>
    </row>
    <row r="452" spans="1:29">
      <c r="A452">
        <v>3</v>
      </c>
      <c r="B452">
        <v>2133</v>
      </c>
      <c r="C452">
        <v>2126</v>
      </c>
      <c r="D452" t="s">
        <v>21</v>
      </c>
      <c r="E452" s="22">
        <v>44375</v>
      </c>
      <c r="F452" s="23">
        <v>44425</v>
      </c>
      <c r="G452" t="s">
        <v>27</v>
      </c>
      <c r="H452" t="s">
        <v>31</v>
      </c>
      <c r="I452" t="s">
        <v>21</v>
      </c>
      <c r="J452" t="s">
        <v>55</v>
      </c>
      <c r="K452" t="s">
        <v>74</v>
      </c>
      <c r="L452" t="s">
        <v>1031</v>
      </c>
      <c r="M452">
        <v>2120</v>
      </c>
      <c r="N452" t="s">
        <v>847</v>
      </c>
      <c r="O452" t="s">
        <v>865</v>
      </c>
      <c r="P452" t="s">
        <v>21</v>
      </c>
      <c r="Q452" t="s">
        <v>21</v>
      </c>
      <c r="R452" t="s">
        <v>1030</v>
      </c>
      <c r="S452" t="s">
        <v>21</v>
      </c>
      <c r="T452" t="s">
        <v>958</v>
      </c>
      <c r="U452" t="s">
        <v>960</v>
      </c>
      <c r="V452" s="28" t="s">
        <v>1264</v>
      </c>
      <c r="W452" s="28" t="s">
        <v>1265</v>
      </c>
      <c r="X452" s="28" t="s">
        <v>2461</v>
      </c>
      <c r="Y452" s="28" t="s">
        <v>2462</v>
      </c>
      <c r="Z452" s="28" t="s">
        <v>2463</v>
      </c>
      <c r="AA452" s="28" t="s">
        <v>2464</v>
      </c>
      <c r="AB452" s="28" t="s">
        <v>2465</v>
      </c>
      <c r="AC452" s="28" t="s">
        <v>2466</v>
      </c>
    </row>
    <row r="453" spans="1:29">
      <c r="A453">
        <v>4</v>
      </c>
      <c r="B453">
        <v>2133</v>
      </c>
      <c r="C453">
        <v>2133</v>
      </c>
      <c r="D453" t="s">
        <v>21</v>
      </c>
      <c r="E453" s="22">
        <v>44425</v>
      </c>
      <c r="F453" s="23">
        <v>44425</v>
      </c>
      <c r="G453" t="s">
        <v>27</v>
      </c>
      <c r="H453" t="s">
        <v>34</v>
      </c>
      <c r="I453" t="s">
        <v>21</v>
      </c>
      <c r="J453" t="s">
        <v>55</v>
      </c>
      <c r="K453" t="s">
        <v>74</v>
      </c>
      <c r="L453" t="s">
        <v>1032</v>
      </c>
      <c r="M453">
        <v>2109</v>
      </c>
      <c r="N453" t="s">
        <v>1033</v>
      </c>
      <c r="O453" t="s">
        <v>865</v>
      </c>
      <c r="P453" t="s">
        <v>21</v>
      </c>
      <c r="Q453" t="s">
        <v>21</v>
      </c>
      <c r="R453" t="s">
        <v>1030</v>
      </c>
      <c r="S453" t="s">
        <v>21</v>
      </c>
      <c r="T453" t="s">
        <v>958</v>
      </c>
      <c r="U453" t="s">
        <v>960</v>
      </c>
      <c r="V453" s="28" t="s">
        <v>1264</v>
      </c>
      <c r="W453" s="28" t="s">
        <v>1265</v>
      </c>
      <c r="X453" s="28" t="s">
        <v>2461</v>
      </c>
      <c r="Y453" s="28" t="s">
        <v>2462</v>
      </c>
      <c r="Z453" s="28" t="s">
        <v>2463</v>
      </c>
      <c r="AA453" s="28" t="s">
        <v>2464</v>
      </c>
      <c r="AB453" s="28" t="s">
        <v>2465</v>
      </c>
      <c r="AC453" s="28" t="s">
        <v>2466</v>
      </c>
    </row>
    <row r="454" spans="1:29">
      <c r="A454">
        <v>5</v>
      </c>
      <c r="B454">
        <v>2133</v>
      </c>
      <c r="C454">
        <v>2133</v>
      </c>
      <c r="D454" t="s">
        <v>21</v>
      </c>
      <c r="E454" s="22">
        <v>44425</v>
      </c>
      <c r="F454" s="23">
        <v>44425</v>
      </c>
      <c r="G454" t="s">
        <v>27</v>
      </c>
      <c r="H454" t="s">
        <v>34</v>
      </c>
      <c r="I454" t="s">
        <v>21</v>
      </c>
      <c r="J454" t="s">
        <v>55</v>
      </c>
      <c r="K454" t="s">
        <v>74</v>
      </c>
      <c r="L454" t="s">
        <v>1034</v>
      </c>
      <c r="M454">
        <v>2109</v>
      </c>
      <c r="N454" t="s">
        <v>1033</v>
      </c>
      <c r="O454" t="s">
        <v>865</v>
      </c>
      <c r="P454" t="s">
        <v>21</v>
      </c>
      <c r="Q454" t="s">
        <v>21</v>
      </c>
      <c r="R454" t="s">
        <v>1030</v>
      </c>
      <c r="S454" t="s">
        <v>21</v>
      </c>
      <c r="T454" t="s">
        <v>958</v>
      </c>
      <c r="U454" t="s">
        <v>960</v>
      </c>
      <c r="V454" s="28" t="s">
        <v>1264</v>
      </c>
      <c r="W454" s="28" t="s">
        <v>1265</v>
      </c>
      <c r="X454" s="28" t="s">
        <v>2461</v>
      </c>
      <c r="Y454" s="28" t="s">
        <v>2462</v>
      </c>
      <c r="Z454" s="28" t="s">
        <v>2463</v>
      </c>
      <c r="AA454" s="28" t="s">
        <v>2464</v>
      </c>
      <c r="AB454" s="28" t="s">
        <v>2465</v>
      </c>
      <c r="AC454" s="28" t="s">
        <v>2466</v>
      </c>
    </row>
    <row r="455" spans="1:29">
      <c r="A455">
        <v>6</v>
      </c>
      <c r="B455">
        <v>2133</v>
      </c>
      <c r="C455">
        <v>2133</v>
      </c>
      <c r="D455" t="s">
        <v>21</v>
      </c>
      <c r="E455" s="22">
        <v>44425</v>
      </c>
      <c r="F455" s="23">
        <v>44425</v>
      </c>
      <c r="G455" t="s">
        <v>27</v>
      </c>
      <c r="H455" t="s">
        <v>34</v>
      </c>
      <c r="I455" t="s">
        <v>21</v>
      </c>
      <c r="J455" t="s">
        <v>55</v>
      </c>
      <c r="K455" t="s">
        <v>74</v>
      </c>
      <c r="L455" t="s">
        <v>1035</v>
      </c>
      <c r="M455">
        <v>2109</v>
      </c>
      <c r="N455" t="s">
        <v>1033</v>
      </c>
      <c r="O455" t="s">
        <v>865</v>
      </c>
      <c r="P455" t="s">
        <v>21</v>
      </c>
      <c r="Q455" t="s">
        <v>21</v>
      </c>
      <c r="R455" t="s">
        <v>1030</v>
      </c>
      <c r="S455" t="s">
        <v>21</v>
      </c>
      <c r="T455" t="s">
        <v>958</v>
      </c>
      <c r="U455" t="s">
        <v>960</v>
      </c>
      <c r="V455" s="28" t="s">
        <v>1264</v>
      </c>
      <c r="W455" s="28" t="s">
        <v>1265</v>
      </c>
      <c r="X455" s="28" t="s">
        <v>2461</v>
      </c>
      <c r="Y455" s="28" t="s">
        <v>2462</v>
      </c>
      <c r="Z455" s="28" t="s">
        <v>2463</v>
      </c>
      <c r="AA455" s="28" t="s">
        <v>2464</v>
      </c>
      <c r="AB455" s="28" t="s">
        <v>2465</v>
      </c>
      <c r="AC455" s="28" t="s">
        <v>2466</v>
      </c>
    </row>
    <row r="456" spans="1:29">
      <c r="A456">
        <v>7</v>
      </c>
      <c r="B456">
        <v>2133</v>
      </c>
      <c r="C456">
        <v>2133</v>
      </c>
      <c r="D456" t="s">
        <v>21</v>
      </c>
      <c r="E456" s="22">
        <v>44425</v>
      </c>
      <c r="F456" s="23">
        <v>44425</v>
      </c>
      <c r="G456" t="s">
        <v>27</v>
      </c>
      <c r="H456" t="s">
        <v>34</v>
      </c>
      <c r="I456" t="s">
        <v>21</v>
      </c>
      <c r="J456" t="s">
        <v>55</v>
      </c>
      <c r="K456" t="s">
        <v>74</v>
      </c>
      <c r="L456" t="s">
        <v>1036</v>
      </c>
      <c r="M456">
        <v>2109</v>
      </c>
      <c r="N456" t="s">
        <v>1033</v>
      </c>
      <c r="O456" t="s">
        <v>865</v>
      </c>
      <c r="P456" t="s">
        <v>21</v>
      </c>
      <c r="Q456" t="s">
        <v>21</v>
      </c>
      <c r="R456" t="s">
        <v>1030</v>
      </c>
      <c r="S456" t="s">
        <v>21</v>
      </c>
      <c r="T456" t="s">
        <v>958</v>
      </c>
      <c r="U456" t="s">
        <v>960</v>
      </c>
      <c r="V456" s="28" t="s">
        <v>1264</v>
      </c>
      <c r="W456" s="28" t="s">
        <v>1265</v>
      </c>
      <c r="X456" s="28" t="s">
        <v>2461</v>
      </c>
      <c r="Y456" s="28" t="s">
        <v>2462</v>
      </c>
      <c r="Z456" s="28" t="s">
        <v>2463</v>
      </c>
      <c r="AA456" s="28" t="s">
        <v>2464</v>
      </c>
      <c r="AB456" s="28" t="s">
        <v>2465</v>
      </c>
      <c r="AC456" s="28" t="s">
        <v>2466</v>
      </c>
    </row>
    <row r="457" spans="1:29">
      <c r="A457">
        <v>8</v>
      </c>
      <c r="B457">
        <v>2133</v>
      </c>
      <c r="C457">
        <v>2133</v>
      </c>
      <c r="D457" t="s">
        <v>21</v>
      </c>
      <c r="E457" s="22">
        <v>44425</v>
      </c>
      <c r="F457" s="23">
        <v>44425</v>
      </c>
      <c r="G457" t="s">
        <v>27</v>
      </c>
      <c r="H457" t="s">
        <v>34</v>
      </c>
      <c r="I457" t="s">
        <v>21</v>
      </c>
      <c r="J457" t="s">
        <v>55</v>
      </c>
      <c r="K457" t="s">
        <v>74</v>
      </c>
      <c r="L457" t="s">
        <v>1037</v>
      </c>
      <c r="M457">
        <v>2109</v>
      </c>
      <c r="N457" t="s">
        <v>1033</v>
      </c>
      <c r="O457" t="s">
        <v>865</v>
      </c>
      <c r="P457" t="s">
        <v>21</v>
      </c>
      <c r="Q457" t="s">
        <v>21</v>
      </c>
      <c r="R457" t="s">
        <v>1030</v>
      </c>
      <c r="S457" t="s">
        <v>21</v>
      </c>
      <c r="T457" t="s">
        <v>958</v>
      </c>
      <c r="U457" t="s">
        <v>960</v>
      </c>
      <c r="V457" s="28" t="s">
        <v>1264</v>
      </c>
      <c r="W457" s="28" t="s">
        <v>1265</v>
      </c>
      <c r="X457" s="28" t="s">
        <v>2461</v>
      </c>
      <c r="Y457" s="28" t="s">
        <v>2462</v>
      </c>
      <c r="Z457" s="28" t="s">
        <v>2463</v>
      </c>
      <c r="AA457" s="28" t="s">
        <v>2464</v>
      </c>
      <c r="AB457" s="28" t="s">
        <v>2465</v>
      </c>
      <c r="AC457" s="28" t="s">
        <v>2466</v>
      </c>
    </row>
    <row r="458" spans="1:29">
      <c r="A458">
        <v>9</v>
      </c>
      <c r="B458">
        <v>2133</v>
      </c>
      <c r="C458">
        <v>2133</v>
      </c>
      <c r="D458" t="s">
        <v>21</v>
      </c>
      <c r="E458" s="22">
        <v>44425</v>
      </c>
      <c r="F458" s="23">
        <v>44425</v>
      </c>
      <c r="G458" t="s">
        <v>27</v>
      </c>
      <c r="H458" t="s">
        <v>34</v>
      </c>
      <c r="I458" t="s">
        <v>21</v>
      </c>
      <c r="J458" t="s">
        <v>55</v>
      </c>
      <c r="K458" t="s">
        <v>74</v>
      </c>
      <c r="L458" t="s">
        <v>1038</v>
      </c>
      <c r="M458">
        <v>2109</v>
      </c>
      <c r="N458" t="s">
        <v>1033</v>
      </c>
      <c r="O458" t="s">
        <v>865</v>
      </c>
      <c r="P458" t="s">
        <v>21</v>
      </c>
      <c r="Q458" t="s">
        <v>21</v>
      </c>
      <c r="R458" t="s">
        <v>1030</v>
      </c>
      <c r="S458" t="s">
        <v>21</v>
      </c>
      <c r="T458" t="s">
        <v>958</v>
      </c>
      <c r="U458" t="s">
        <v>960</v>
      </c>
      <c r="V458" s="28" t="s">
        <v>1264</v>
      </c>
      <c r="W458" s="28" t="s">
        <v>1265</v>
      </c>
      <c r="X458" s="28" t="s">
        <v>2461</v>
      </c>
      <c r="Y458" s="28" t="s">
        <v>2462</v>
      </c>
      <c r="Z458" s="28" t="s">
        <v>2463</v>
      </c>
      <c r="AA458" s="28" t="s">
        <v>2464</v>
      </c>
      <c r="AB458" s="28" t="s">
        <v>2465</v>
      </c>
      <c r="AC458" s="28" t="s">
        <v>2466</v>
      </c>
    </row>
    <row r="459" spans="1:29">
      <c r="A459">
        <v>10</v>
      </c>
      <c r="B459">
        <v>2133</v>
      </c>
      <c r="C459">
        <v>2133</v>
      </c>
      <c r="D459" t="s">
        <v>21</v>
      </c>
      <c r="E459" s="22">
        <v>44425</v>
      </c>
      <c r="F459" s="23">
        <v>44425</v>
      </c>
      <c r="G459" t="s">
        <v>27</v>
      </c>
      <c r="H459" t="s">
        <v>34</v>
      </c>
      <c r="I459" t="s">
        <v>21</v>
      </c>
      <c r="J459" t="s">
        <v>55</v>
      </c>
      <c r="K459" t="s">
        <v>74</v>
      </c>
      <c r="L459" t="s">
        <v>1039</v>
      </c>
      <c r="M459">
        <v>2109</v>
      </c>
      <c r="N459" t="s">
        <v>1033</v>
      </c>
      <c r="O459" t="s">
        <v>865</v>
      </c>
      <c r="P459" t="s">
        <v>21</v>
      </c>
      <c r="Q459" t="s">
        <v>21</v>
      </c>
      <c r="R459" t="s">
        <v>1030</v>
      </c>
      <c r="S459" t="s">
        <v>21</v>
      </c>
      <c r="T459" t="s">
        <v>958</v>
      </c>
      <c r="U459" t="s">
        <v>960</v>
      </c>
      <c r="V459" s="28" t="s">
        <v>1264</v>
      </c>
      <c r="W459" s="28" t="s">
        <v>1265</v>
      </c>
      <c r="X459" s="28" t="s">
        <v>2461</v>
      </c>
      <c r="Y459" s="28" t="s">
        <v>2462</v>
      </c>
      <c r="Z459" s="28" t="s">
        <v>2463</v>
      </c>
      <c r="AA459" s="28" t="s">
        <v>2464</v>
      </c>
      <c r="AB459" s="28" t="s">
        <v>2465</v>
      </c>
      <c r="AC459" s="28" t="s">
        <v>2466</v>
      </c>
    </row>
    <row r="460" spans="1:29">
      <c r="A460">
        <v>11</v>
      </c>
      <c r="B460">
        <v>2133</v>
      </c>
      <c r="C460">
        <v>2133</v>
      </c>
      <c r="D460" t="s">
        <v>21</v>
      </c>
      <c r="E460" s="22">
        <v>44425</v>
      </c>
      <c r="F460" s="23">
        <v>44425</v>
      </c>
      <c r="G460" t="s">
        <v>27</v>
      </c>
      <c r="H460" t="s">
        <v>34</v>
      </c>
      <c r="I460" t="s">
        <v>21</v>
      </c>
      <c r="J460" t="s">
        <v>55</v>
      </c>
      <c r="K460" t="s">
        <v>74</v>
      </c>
      <c r="L460" t="s">
        <v>1040</v>
      </c>
      <c r="M460">
        <v>2109</v>
      </c>
      <c r="N460" t="s">
        <v>1033</v>
      </c>
      <c r="O460" t="s">
        <v>865</v>
      </c>
      <c r="P460" t="s">
        <v>21</v>
      </c>
      <c r="Q460" t="s">
        <v>21</v>
      </c>
      <c r="R460" t="s">
        <v>1030</v>
      </c>
      <c r="S460" t="s">
        <v>21</v>
      </c>
      <c r="T460" t="s">
        <v>958</v>
      </c>
      <c r="U460" t="s">
        <v>960</v>
      </c>
      <c r="V460" s="28" t="s">
        <v>1264</v>
      </c>
      <c r="W460" s="28" t="s">
        <v>1265</v>
      </c>
      <c r="X460" s="28" t="s">
        <v>2461</v>
      </c>
      <c r="Y460" s="28" t="s">
        <v>2462</v>
      </c>
      <c r="Z460" s="28" t="s">
        <v>2463</v>
      </c>
      <c r="AA460" s="28" t="s">
        <v>2464</v>
      </c>
      <c r="AB460" s="28" t="s">
        <v>2465</v>
      </c>
      <c r="AC460" s="28" t="s">
        <v>2466</v>
      </c>
    </row>
    <row r="461" spans="1:29">
      <c r="A461">
        <v>12</v>
      </c>
      <c r="B461">
        <v>2133</v>
      </c>
      <c r="C461">
        <v>2133</v>
      </c>
      <c r="D461" t="s">
        <v>21</v>
      </c>
      <c r="E461" s="22">
        <v>44425</v>
      </c>
      <c r="F461" s="23">
        <v>44425</v>
      </c>
      <c r="G461" t="s">
        <v>27</v>
      </c>
      <c r="H461" t="s">
        <v>34</v>
      </c>
      <c r="I461" t="s">
        <v>21</v>
      </c>
      <c r="J461" t="s">
        <v>55</v>
      </c>
      <c r="K461" t="s">
        <v>74</v>
      </c>
      <c r="L461" t="s">
        <v>1041</v>
      </c>
      <c r="M461">
        <v>2109</v>
      </c>
      <c r="N461" t="s">
        <v>1033</v>
      </c>
      <c r="O461" t="s">
        <v>865</v>
      </c>
      <c r="P461" t="s">
        <v>21</v>
      </c>
      <c r="Q461" t="s">
        <v>21</v>
      </c>
      <c r="R461" t="s">
        <v>1030</v>
      </c>
      <c r="S461" t="s">
        <v>21</v>
      </c>
      <c r="T461" t="s">
        <v>958</v>
      </c>
      <c r="U461" t="s">
        <v>960</v>
      </c>
      <c r="V461" s="28" t="s">
        <v>1264</v>
      </c>
      <c r="W461" s="28" t="s">
        <v>1265</v>
      </c>
      <c r="X461" s="28" t="s">
        <v>2461</v>
      </c>
      <c r="Y461" s="28" t="s">
        <v>2462</v>
      </c>
      <c r="Z461" s="28" t="s">
        <v>2463</v>
      </c>
      <c r="AA461" s="28" t="s">
        <v>2464</v>
      </c>
      <c r="AB461" s="28" t="s">
        <v>2465</v>
      </c>
      <c r="AC461" s="28" t="s">
        <v>2466</v>
      </c>
    </row>
    <row r="462" spans="1:29">
      <c r="A462">
        <v>13</v>
      </c>
      <c r="B462">
        <v>2133</v>
      </c>
      <c r="C462">
        <v>2133</v>
      </c>
      <c r="D462" t="s">
        <v>21</v>
      </c>
      <c r="E462" s="22">
        <v>44425</v>
      </c>
      <c r="F462" s="23">
        <v>44425</v>
      </c>
      <c r="G462" t="s">
        <v>27</v>
      </c>
      <c r="H462" t="s">
        <v>34</v>
      </c>
      <c r="I462" t="s">
        <v>21</v>
      </c>
      <c r="J462" t="s">
        <v>55</v>
      </c>
      <c r="K462" t="s">
        <v>74</v>
      </c>
      <c r="L462" t="s">
        <v>1042</v>
      </c>
      <c r="M462">
        <v>2109</v>
      </c>
      <c r="N462" t="s">
        <v>1033</v>
      </c>
      <c r="O462" t="s">
        <v>865</v>
      </c>
      <c r="P462" t="s">
        <v>21</v>
      </c>
      <c r="Q462" t="s">
        <v>21</v>
      </c>
      <c r="R462" t="s">
        <v>1030</v>
      </c>
      <c r="S462" t="s">
        <v>21</v>
      </c>
      <c r="T462" t="s">
        <v>958</v>
      </c>
      <c r="U462" t="s">
        <v>960</v>
      </c>
      <c r="V462" s="28" t="s">
        <v>1264</v>
      </c>
      <c r="W462" s="28" t="s">
        <v>1265</v>
      </c>
      <c r="X462" s="28" t="s">
        <v>2461</v>
      </c>
      <c r="Y462" s="28" t="s">
        <v>2462</v>
      </c>
      <c r="Z462" s="28" t="s">
        <v>2463</v>
      </c>
      <c r="AA462" s="28" t="s">
        <v>2464</v>
      </c>
      <c r="AB462" s="28" t="s">
        <v>2465</v>
      </c>
      <c r="AC462" s="28" t="s">
        <v>2466</v>
      </c>
    </row>
    <row r="463" spans="1:29">
      <c r="A463">
        <v>14</v>
      </c>
      <c r="B463">
        <v>2133</v>
      </c>
      <c r="C463">
        <v>2133</v>
      </c>
      <c r="D463" t="s">
        <v>21</v>
      </c>
      <c r="E463" s="22">
        <v>44428</v>
      </c>
      <c r="F463" s="23">
        <v>44428</v>
      </c>
      <c r="G463" t="s">
        <v>27</v>
      </c>
      <c r="H463" t="s">
        <v>34</v>
      </c>
      <c r="I463" t="s">
        <v>21</v>
      </c>
      <c r="J463" t="s">
        <v>54</v>
      </c>
      <c r="K463" t="s">
        <v>73</v>
      </c>
      <c r="L463" t="s">
        <v>6107</v>
      </c>
      <c r="M463">
        <v>2111</v>
      </c>
      <c r="N463" t="s">
        <v>846</v>
      </c>
      <c r="O463" t="s">
        <v>865</v>
      </c>
      <c r="P463" t="s">
        <v>21</v>
      </c>
      <c r="Q463" t="s">
        <v>21</v>
      </c>
      <c r="R463" t="s">
        <v>1030</v>
      </c>
      <c r="S463" t="s">
        <v>21</v>
      </c>
      <c r="T463" t="s">
        <v>958</v>
      </c>
      <c r="U463" t="s">
        <v>960</v>
      </c>
      <c r="V463" s="28" t="s">
        <v>1264</v>
      </c>
      <c r="W463" s="28" t="s">
        <v>1265</v>
      </c>
      <c r="X463" s="28" t="s">
        <v>2461</v>
      </c>
      <c r="Y463" s="28" t="s">
        <v>2462</v>
      </c>
      <c r="Z463" s="28" t="s">
        <v>6108</v>
      </c>
      <c r="AA463" s="28" t="s">
        <v>6109</v>
      </c>
      <c r="AB463" s="28" t="s">
        <v>6110</v>
      </c>
      <c r="AC463" s="28" t="s">
        <v>6111</v>
      </c>
    </row>
    <row r="464" spans="1:29">
      <c r="A464">
        <v>15</v>
      </c>
      <c r="B464">
        <v>2133</v>
      </c>
      <c r="C464">
        <v>2133</v>
      </c>
      <c r="D464" t="s">
        <v>21</v>
      </c>
      <c r="E464" s="22">
        <v>44428</v>
      </c>
      <c r="F464" s="23">
        <v>44428</v>
      </c>
      <c r="G464" t="s">
        <v>27</v>
      </c>
      <c r="H464" t="s">
        <v>34</v>
      </c>
      <c r="I464" t="s">
        <v>21</v>
      </c>
      <c r="J464" t="s">
        <v>54</v>
      </c>
      <c r="K464" t="s">
        <v>73</v>
      </c>
      <c r="L464" t="s">
        <v>6112</v>
      </c>
      <c r="M464">
        <v>2111</v>
      </c>
      <c r="N464" t="s">
        <v>846</v>
      </c>
      <c r="O464" t="s">
        <v>865</v>
      </c>
      <c r="P464" t="s">
        <v>21</v>
      </c>
      <c r="Q464" t="s">
        <v>21</v>
      </c>
      <c r="R464" t="s">
        <v>1030</v>
      </c>
      <c r="S464" t="s">
        <v>21</v>
      </c>
      <c r="T464" t="s">
        <v>958</v>
      </c>
      <c r="U464" t="s">
        <v>960</v>
      </c>
      <c r="V464" s="28" t="s">
        <v>1264</v>
      </c>
      <c r="W464" s="28" t="s">
        <v>1265</v>
      </c>
      <c r="X464" s="28" t="s">
        <v>2461</v>
      </c>
      <c r="Y464" s="28" t="s">
        <v>2462</v>
      </c>
      <c r="Z464" s="28" t="s">
        <v>6108</v>
      </c>
      <c r="AA464" s="28" t="s">
        <v>6109</v>
      </c>
      <c r="AB464" s="28" t="s">
        <v>6110</v>
      </c>
      <c r="AC464" s="28" t="s">
        <v>6111</v>
      </c>
    </row>
    <row r="465" spans="1:29">
      <c r="A465">
        <v>16</v>
      </c>
      <c r="B465">
        <v>2133</v>
      </c>
      <c r="C465">
        <v>2133</v>
      </c>
      <c r="D465" t="s">
        <v>21</v>
      </c>
      <c r="E465" s="22">
        <v>44428</v>
      </c>
      <c r="F465" s="23">
        <v>44428</v>
      </c>
      <c r="G465" t="s">
        <v>27</v>
      </c>
      <c r="H465" t="s">
        <v>34</v>
      </c>
      <c r="I465" t="s">
        <v>21</v>
      </c>
      <c r="J465" t="s">
        <v>54</v>
      </c>
      <c r="K465" t="s">
        <v>73</v>
      </c>
      <c r="L465" t="s">
        <v>6113</v>
      </c>
      <c r="M465">
        <v>2111</v>
      </c>
      <c r="N465" t="s">
        <v>846</v>
      </c>
      <c r="O465" t="s">
        <v>865</v>
      </c>
      <c r="P465" t="s">
        <v>21</v>
      </c>
      <c r="Q465" t="s">
        <v>21</v>
      </c>
      <c r="R465" t="s">
        <v>1030</v>
      </c>
      <c r="S465" t="s">
        <v>21</v>
      </c>
      <c r="T465" t="s">
        <v>958</v>
      </c>
      <c r="U465" t="s">
        <v>960</v>
      </c>
      <c r="V465" s="28" t="s">
        <v>1264</v>
      </c>
      <c r="W465" s="28" t="s">
        <v>1265</v>
      </c>
      <c r="X465" s="28" t="s">
        <v>2461</v>
      </c>
      <c r="Y465" s="28" t="s">
        <v>2462</v>
      </c>
      <c r="Z465" s="28" t="s">
        <v>6108</v>
      </c>
      <c r="AA465" s="28" t="s">
        <v>6109</v>
      </c>
      <c r="AB465" s="28" t="s">
        <v>6110</v>
      </c>
      <c r="AC465" s="28" t="s">
        <v>6111</v>
      </c>
    </row>
    <row r="466" spans="1:29">
      <c r="A466">
        <v>17</v>
      </c>
      <c r="B466">
        <v>2133</v>
      </c>
      <c r="C466">
        <v>2133</v>
      </c>
      <c r="D466" t="s">
        <v>21</v>
      </c>
      <c r="E466" s="22">
        <v>44428</v>
      </c>
      <c r="F466" s="23">
        <v>44428</v>
      </c>
      <c r="G466" t="s">
        <v>27</v>
      </c>
      <c r="H466" t="s">
        <v>34</v>
      </c>
      <c r="I466" t="s">
        <v>21</v>
      </c>
      <c r="J466" t="s">
        <v>54</v>
      </c>
      <c r="K466" t="s">
        <v>73</v>
      </c>
      <c r="L466" t="s">
        <v>6114</v>
      </c>
      <c r="M466">
        <v>2111</v>
      </c>
      <c r="N466" t="s">
        <v>846</v>
      </c>
      <c r="O466" t="s">
        <v>865</v>
      </c>
      <c r="P466" t="s">
        <v>21</v>
      </c>
      <c r="Q466" t="s">
        <v>21</v>
      </c>
      <c r="R466" t="s">
        <v>1030</v>
      </c>
      <c r="S466" t="s">
        <v>21</v>
      </c>
      <c r="T466" t="s">
        <v>958</v>
      </c>
      <c r="U466" t="s">
        <v>960</v>
      </c>
      <c r="V466" s="28" t="s">
        <v>1264</v>
      </c>
      <c r="W466" s="28" t="s">
        <v>1265</v>
      </c>
      <c r="X466" s="28" t="s">
        <v>2461</v>
      </c>
      <c r="Y466" s="28" t="s">
        <v>2462</v>
      </c>
      <c r="Z466" s="28" t="s">
        <v>6108</v>
      </c>
      <c r="AA466" s="28" t="s">
        <v>6109</v>
      </c>
      <c r="AB466" s="28" t="s">
        <v>6110</v>
      </c>
      <c r="AC466" s="28" t="s">
        <v>6111</v>
      </c>
    </row>
    <row r="467" spans="1:29">
      <c r="A467">
        <v>18</v>
      </c>
      <c r="B467">
        <v>2133</v>
      </c>
      <c r="C467">
        <v>2133</v>
      </c>
      <c r="D467" t="s">
        <v>21</v>
      </c>
      <c r="E467" s="22">
        <v>44428</v>
      </c>
      <c r="F467" s="23">
        <v>44428</v>
      </c>
      <c r="G467" t="s">
        <v>27</v>
      </c>
      <c r="H467" t="s">
        <v>34</v>
      </c>
      <c r="I467" t="s">
        <v>21</v>
      </c>
      <c r="J467" t="s">
        <v>54</v>
      </c>
      <c r="K467" t="s">
        <v>73</v>
      </c>
      <c r="L467" t="s">
        <v>6115</v>
      </c>
      <c r="M467">
        <v>2111</v>
      </c>
      <c r="N467" t="s">
        <v>846</v>
      </c>
      <c r="O467" t="s">
        <v>865</v>
      </c>
      <c r="P467" t="s">
        <v>21</v>
      </c>
      <c r="Q467" t="s">
        <v>21</v>
      </c>
      <c r="R467" t="s">
        <v>1030</v>
      </c>
      <c r="S467" t="s">
        <v>21</v>
      </c>
      <c r="T467" t="s">
        <v>958</v>
      </c>
      <c r="U467" t="s">
        <v>960</v>
      </c>
      <c r="V467" s="28" t="s">
        <v>1264</v>
      </c>
      <c r="W467" s="28" t="s">
        <v>1265</v>
      </c>
      <c r="X467" s="28" t="s">
        <v>2461</v>
      </c>
      <c r="Y467" s="28" t="s">
        <v>2462</v>
      </c>
      <c r="Z467" s="28" t="s">
        <v>6108</v>
      </c>
      <c r="AA467" s="28" t="s">
        <v>6109</v>
      </c>
      <c r="AB467" s="28" t="s">
        <v>6110</v>
      </c>
      <c r="AC467" s="28" t="s">
        <v>6111</v>
      </c>
    </row>
    <row r="468" spans="1:29">
      <c r="A468">
        <v>19</v>
      </c>
      <c r="B468">
        <v>2134</v>
      </c>
      <c r="C468">
        <v>2133</v>
      </c>
      <c r="D468" t="s">
        <v>21</v>
      </c>
      <c r="E468" s="22">
        <v>44427</v>
      </c>
      <c r="F468" s="23">
        <v>44431</v>
      </c>
      <c r="G468" t="s">
        <v>27</v>
      </c>
      <c r="H468" t="s">
        <v>31</v>
      </c>
      <c r="I468" t="s">
        <v>21</v>
      </c>
      <c r="J468" t="s">
        <v>55</v>
      </c>
      <c r="K468" t="s">
        <v>74</v>
      </c>
      <c r="L468" t="s">
        <v>6116</v>
      </c>
      <c r="M468">
        <v>2123</v>
      </c>
      <c r="N468" t="s">
        <v>847</v>
      </c>
      <c r="O468" t="s">
        <v>865</v>
      </c>
      <c r="P468" t="s">
        <v>21</v>
      </c>
      <c r="Q468" t="s">
        <v>21</v>
      </c>
      <c r="R468" t="s">
        <v>21</v>
      </c>
      <c r="S468" t="s">
        <v>21</v>
      </c>
      <c r="T468" t="s">
        <v>958</v>
      </c>
      <c r="U468" t="s">
        <v>960</v>
      </c>
      <c r="V468" s="28" t="s">
        <v>6117</v>
      </c>
      <c r="W468" s="28" t="s">
        <v>1265</v>
      </c>
      <c r="X468" s="28" t="s">
        <v>6118</v>
      </c>
      <c r="Y468" s="28" t="s">
        <v>2462</v>
      </c>
      <c r="Z468" s="28" t="s">
        <v>6119</v>
      </c>
      <c r="AA468" s="28" t="s">
        <v>2464</v>
      </c>
      <c r="AB468" s="28" t="s">
        <v>6120</v>
      </c>
      <c r="AC468" s="28" t="s">
        <v>2466</v>
      </c>
    </row>
    <row r="469" spans="1:29">
      <c r="A469">
        <v>1</v>
      </c>
      <c r="B469">
        <v>2125</v>
      </c>
      <c r="C469">
        <v>2125</v>
      </c>
      <c r="D469" t="s">
        <v>21</v>
      </c>
      <c r="E469" s="22">
        <v>44370</v>
      </c>
      <c r="F469" s="23">
        <v>44370</v>
      </c>
      <c r="G469" t="s">
        <v>27</v>
      </c>
      <c r="H469" t="s">
        <v>32</v>
      </c>
      <c r="I469" t="s">
        <v>21</v>
      </c>
      <c r="J469" t="s">
        <v>56</v>
      </c>
      <c r="K469" t="s">
        <v>75</v>
      </c>
      <c r="L469" t="s">
        <v>533</v>
      </c>
      <c r="M469">
        <v>2123</v>
      </c>
      <c r="N469" t="s">
        <v>848</v>
      </c>
      <c r="O469" t="s">
        <v>865</v>
      </c>
      <c r="P469" t="s">
        <v>21</v>
      </c>
      <c r="Q469" t="s">
        <v>21</v>
      </c>
      <c r="R469" t="s">
        <v>21</v>
      </c>
      <c r="S469" t="s">
        <v>21</v>
      </c>
      <c r="T469" t="s">
        <v>958</v>
      </c>
      <c r="U469" t="s">
        <v>960</v>
      </c>
      <c r="V469" s="28" t="s">
        <v>1058</v>
      </c>
      <c r="W469" s="28" t="s">
        <v>1049</v>
      </c>
      <c r="X469" s="28" t="s">
        <v>2467</v>
      </c>
      <c r="Y469" s="28" t="s">
        <v>2452</v>
      </c>
      <c r="Z469" s="28" t="s">
        <v>2468</v>
      </c>
      <c r="AA469" s="28" t="s">
        <v>2469</v>
      </c>
      <c r="AB469" s="28" t="s">
        <v>2470</v>
      </c>
      <c r="AC469" s="28" t="s">
        <v>2471</v>
      </c>
    </row>
    <row r="470" spans="1:29">
      <c r="A470">
        <v>2</v>
      </c>
      <c r="B470">
        <v>2125</v>
      </c>
      <c r="C470">
        <v>2125</v>
      </c>
      <c r="D470" t="s">
        <v>21</v>
      </c>
      <c r="E470" s="22">
        <v>44370</v>
      </c>
      <c r="F470" s="23">
        <v>44370</v>
      </c>
      <c r="G470" t="s">
        <v>27</v>
      </c>
      <c r="H470" t="s">
        <v>32</v>
      </c>
      <c r="I470" t="s">
        <v>21</v>
      </c>
      <c r="J470" t="s">
        <v>56</v>
      </c>
      <c r="K470" t="s">
        <v>75</v>
      </c>
      <c r="L470" t="s">
        <v>534</v>
      </c>
      <c r="M470">
        <v>2123</v>
      </c>
      <c r="N470" t="s">
        <v>848</v>
      </c>
      <c r="O470" t="s">
        <v>865</v>
      </c>
      <c r="P470" t="s">
        <v>21</v>
      </c>
      <c r="Q470" t="s">
        <v>21</v>
      </c>
      <c r="R470" t="s">
        <v>21</v>
      </c>
      <c r="S470" t="s">
        <v>21</v>
      </c>
      <c r="T470" t="s">
        <v>958</v>
      </c>
      <c r="U470" t="s">
        <v>960</v>
      </c>
      <c r="V470" s="28" t="s">
        <v>1058</v>
      </c>
      <c r="W470" s="28" t="s">
        <v>1049</v>
      </c>
      <c r="X470" s="28" t="s">
        <v>2467</v>
      </c>
      <c r="Y470" s="28" t="s">
        <v>2452</v>
      </c>
      <c r="Z470" s="28" t="s">
        <v>2468</v>
      </c>
      <c r="AA470" s="28" t="s">
        <v>2469</v>
      </c>
      <c r="AB470" s="28" t="s">
        <v>2470</v>
      </c>
      <c r="AC470" s="28" t="s">
        <v>2471</v>
      </c>
    </row>
    <row r="471" spans="1:29">
      <c r="A471">
        <v>3</v>
      </c>
      <c r="B471">
        <v>2135</v>
      </c>
      <c r="C471">
        <v>2135</v>
      </c>
      <c r="D471" t="s">
        <v>21</v>
      </c>
      <c r="E471" s="22">
        <v>44441</v>
      </c>
      <c r="F471" s="23">
        <v>44441</v>
      </c>
      <c r="G471" t="s">
        <v>27</v>
      </c>
      <c r="H471" t="s">
        <v>28</v>
      </c>
      <c r="I471" t="s">
        <v>21</v>
      </c>
      <c r="J471" t="s">
        <v>56</v>
      </c>
      <c r="K471" t="s">
        <v>75</v>
      </c>
      <c r="L471" t="s">
        <v>6121</v>
      </c>
      <c r="M471">
        <v>2124</v>
      </c>
      <c r="N471" t="s">
        <v>848</v>
      </c>
      <c r="O471" t="s">
        <v>865</v>
      </c>
      <c r="P471" t="s">
        <v>21</v>
      </c>
      <c r="Q471" t="s">
        <v>21</v>
      </c>
      <c r="R471" t="s">
        <v>6122</v>
      </c>
      <c r="S471" t="s">
        <v>6122</v>
      </c>
      <c r="T471" t="s">
        <v>952</v>
      </c>
      <c r="U471" t="s">
        <v>960</v>
      </c>
      <c r="V471" s="28" t="s">
        <v>6123</v>
      </c>
      <c r="W471" s="28" t="s">
        <v>1239</v>
      </c>
      <c r="X471" s="28" t="s">
        <v>6124</v>
      </c>
      <c r="Y471" s="28" t="s">
        <v>6125</v>
      </c>
      <c r="Z471" s="28" t="s">
        <v>6126</v>
      </c>
      <c r="AA471" s="28" t="s">
        <v>6127</v>
      </c>
      <c r="AB471" s="28" t="s">
        <v>6128</v>
      </c>
      <c r="AC471" s="28" t="s">
        <v>6129</v>
      </c>
    </row>
    <row r="472" spans="1:29">
      <c r="A472">
        <v>1</v>
      </c>
      <c r="B472">
        <v>2116</v>
      </c>
      <c r="C472">
        <v>2116</v>
      </c>
      <c r="D472" t="s">
        <v>21</v>
      </c>
      <c r="E472" s="22">
        <v>44308</v>
      </c>
      <c r="F472" s="23">
        <v>44308</v>
      </c>
      <c r="G472" t="s">
        <v>27</v>
      </c>
      <c r="H472" t="s">
        <v>32</v>
      </c>
      <c r="I472" t="s">
        <v>21</v>
      </c>
      <c r="J472" t="s">
        <v>53</v>
      </c>
      <c r="K472" t="s">
        <v>72</v>
      </c>
      <c r="L472" t="s">
        <v>535</v>
      </c>
      <c r="M472">
        <v>2113</v>
      </c>
      <c r="N472" t="s">
        <v>849</v>
      </c>
      <c r="O472" t="s">
        <v>865</v>
      </c>
      <c r="P472" t="s">
        <v>21</v>
      </c>
      <c r="Q472" t="s">
        <v>21</v>
      </c>
      <c r="R472" t="s">
        <v>912</v>
      </c>
      <c r="S472" t="s">
        <v>912</v>
      </c>
      <c r="T472" t="s">
        <v>951</v>
      </c>
      <c r="U472" t="s">
        <v>960</v>
      </c>
      <c r="V472" s="28" t="s">
        <v>1059</v>
      </c>
      <c r="W472" s="28" t="s">
        <v>1050</v>
      </c>
      <c r="X472" s="28" t="s">
        <v>2472</v>
      </c>
      <c r="Y472" s="28" t="s">
        <v>2473</v>
      </c>
      <c r="Z472" s="28" t="s">
        <v>2474</v>
      </c>
      <c r="AA472" s="28" t="s">
        <v>2475</v>
      </c>
      <c r="AB472" s="28" t="s">
        <v>2476</v>
      </c>
      <c r="AC472" s="28" t="s">
        <v>2477</v>
      </c>
    </row>
    <row r="473" spans="1:29">
      <c r="A473">
        <v>2</v>
      </c>
      <c r="B473">
        <v>2125</v>
      </c>
      <c r="C473">
        <v>2125</v>
      </c>
      <c r="D473" t="s">
        <v>21</v>
      </c>
      <c r="E473" s="22">
        <v>44369</v>
      </c>
      <c r="F473" s="23">
        <v>44369</v>
      </c>
      <c r="G473" t="s">
        <v>27</v>
      </c>
      <c r="H473" t="s">
        <v>29</v>
      </c>
      <c r="I473" t="s">
        <v>21</v>
      </c>
      <c r="J473" t="s">
        <v>53</v>
      </c>
      <c r="K473" t="s">
        <v>72</v>
      </c>
      <c r="L473" t="s">
        <v>536</v>
      </c>
      <c r="M473">
        <v>2119</v>
      </c>
      <c r="N473" t="s">
        <v>849</v>
      </c>
      <c r="O473" t="s">
        <v>865</v>
      </c>
      <c r="P473" t="s">
        <v>21</v>
      </c>
      <c r="Q473" t="s">
        <v>21</v>
      </c>
      <c r="R473" t="s">
        <v>21</v>
      </c>
      <c r="S473" t="s">
        <v>21</v>
      </c>
      <c r="T473" t="s">
        <v>958</v>
      </c>
      <c r="U473" t="s">
        <v>960</v>
      </c>
      <c r="V473" s="28" t="s">
        <v>1058</v>
      </c>
      <c r="W473" s="28" t="s">
        <v>1049</v>
      </c>
      <c r="X473" s="28" t="s">
        <v>2467</v>
      </c>
      <c r="Y473" s="28" t="s">
        <v>2452</v>
      </c>
      <c r="Z473" s="28" t="s">
        <v>2478</v>
      </c>
      <c r="AA473" s="28" t="s">
        <v>2479</v>
      </c>
      <c r="AB473" s="28" t="s">
        <v>2480</v>
      </c>
      <c r="AC473" s="28" t="s">
        <v>2481</v>
      </c>
    </row>
    <row r="474" spans="1:29">
      <c r="A474">
        <v>3</v>
      </c>
      <c r="B474">
        <v>2125</v>
      </c>
      <c r="C474">
        <v>2125</v>
      </c>
      <c r="D474" t="s">
        <v>21</v>
      </c>
      <c r="E474" s="22">
        <v>44369</v>
      </c>
      <c r="F474" s="23">
        <v>44369</v>
      </c>
      <c r="G474" t="s">
        <v>27</v>
      </c>
      <c r="H474" t="s">
        <v>29</v>
      </c>
      <c r="I474" t="s">
        <v>21</v>
      </c>
      <c r="J474" t="s">
        <v>53</v>
      </c>
      <c r="K474" t="s">
        <v>72</v>
      </c>
      <c r="L474" t="s">
        <v>537</v>
      </c>
      <c r="M474">
        <v>2119</v>
      </c>
      <c r="N474" t="s">
        <v>849</v>
      </c>
      <c r="O474" t="s">
        <v>865</v>
      </c>
      <c r="P474" t="s">
        <v>21</v>
      </c>
      <c r="Q474" t="s">
        <v>21</v>
      </c>
      <c r="R474" t="s">
        <v>21</v>
      </c>
      <c r="S474" t="s">
        <v>21</v>
      </c>
      <c r="T474" t="s">
        <v>958</v>
      </c>
      <c r="U474" t="s">
        <v>960</v>
      </c>
      <c r="V474" s="28" t="s">
        <v>1058</v>
      </c>
      <c r="W474" s="28" t="s">
        <v>1049</v>
      </c>
      <c r="X474" s="28" t="s">
        <v>2467</v>
      </c>
      <c r="Y474" s="28" t="s">
        <v>2452</v>
      </c>
      <c r="Z474" s="28" t="s">
        <v>2478</v>
      </c>
      <c r="AA474" s="28" t="s">
        <v>2479</v>
      </c>
      <c r="AB474" s="28" t="s">
        <v>2480</v>
      </c>
      <c r="AC474" s="28" t="s">
        <v>2481</v>
      </c>
    </row>
    <row r="475" spans="1:29">
      <c r="A475">
        <v>4</v>
      </c>
      <c r="B475">
        <v>2126</v>
      </c>
      <c r="C475">
        <v>2126</v>
      </c>
      <c r="D475" t="s">
        <v>21</v>
      </c>
      <c r="E475" s="22">
        <v>44376</v>
      </c>
      <c r="F475" s="23">
        <v>44376</v>
      </c>
      <c r="G475" t="s">
        <v>27</v>
      </c>
      <c r="H475" t="s">
        <v>29</v>
      </c>
      <c r="I475" t="s">
        <v>21</v>
      </c>
      <c r="J475" t="s">
        <v>53</v>
      </c>
      <c r="K475" t="s">
        <v>72</v>
      </c>
      <c r="L475" t="s">
        <v>538</v>
      </c>
      <c r="M475">
        <v>2119</v>
      </c>
      <c r="N475" t="s">
        <v>849</v>
      </c>
      <c r="O475" t="s">
        <v>865</v>
      </c>
      <c r="P475" t="s">
        <v>21</v>
      </c>
      <c r="Q475" t="s">
        <v>21</v>
      </c>
      <c r="R475" t="s">
        <v>21</v>
      </c>
      <c r="S475" t="s">
        <v>21</v>
      </c>
      <c r="T475" t="s">
        <v>958</v>
      </c>
      <c r="U475" t="s">
        <v>960</v>
      </c>
      <c r="V475" s="28" t="s">
        <v>1060</v>
      </c>
      <c r="W475" s="28" t="s">
        <v>1049</v>
      </c>
      <c r="X475" s="28" t="s">
        <v>2482</v>
      </c>
      <c r="Y475" s="28" t="s">
        <v>2452</v>
      </c>
      <c r="Z475" s="28" t="s">
        <v>2483</v>
      </c>
      <c r="AA475" s="28" t="s">
        <v>2479</v>
      </c>
      <c r="AB475" s="28" t="s">
        <v>2484</v>
      </c>
      <c r="AC475" s="28" t="s">
        <v>2481</v>
      </c>
    </row>
    <row r="476" spans="1:29">
      <c r="A476">
        <v>5</v>
      </c>
      <c r="B476">
        <v>2126</v>
      </c>
      <c r="C476">
        <v>2126</v>
      </c>
      <c r="D476" t="s">
        <v>21</v>
      </c>
      <c r="E476" s="22">
        <v>44376</v>
      </c>
      <c r="F476" s="23">
        <v>44376</v>
      </c>
      <c r="G476" t="s">
        <v>27</v>
      </c>
      <c r="H476" t="s">
        <v>29</v>
      </c>
      <c r="I476" t="s">
        <v>21</v>
      </c>
      <c r="J476" t="s">
        <v>53</v>
      </c>
      <c r="K476" t="s">
        <v>72</v>
      </c>
      <c r="L476" t="s">
        <v>539</v>
      </c>
      <c r="M476">
        <v>2119</v>
      </c>
      <c r="N476" t="s">
        <v>849</v>
      </c>
      <c r="O476" t="s">
        <v>865</v>
      </c>
      <c r="P476" t="s">
        <v>21</v>
      </c>
      <c r="Q476" t="s">
        <v>21</v>
      </c>
      <c r="R476" t="s">
        <v>21</v>
      </c>
      <c r="S476" t="s">
        <v>21</v>
      </c>
      <c r="T476" t="s">
        <v>958</v>
      </c>
      <c r="U476" t="s">
        <v>960</v>
      </c>
      <c r="V476" s="28" t="s">
        <v>1060</v>
      </c>
      <c r="W476" s="28" t="s">
        <v>1049</v>
      </c>
      <c r="X476" s="28" t="s">
        <v>2482</v>
      </c>
      <c r="Y476" s="28" t="s">
        <v>2452</v>
      </c>
      <c r="Z476" s="28" t="s">
        <v>2483</v>
      </c>
      <c r="AA476" s="28" t="s">
        <v>2479</v>
      </c>
      <c r="AB476" s="28" t="s">
        <v>2484</v>
      </c>
      <c r="AC476" s="28" t="s">
        <v>2481</v>
      </c>
    </row>
    <row r="477" spans="1:29">
      <c r="A477">
        <v>6</v>
      </c>
      <c r="B477">
        <v>2126</v>
      </c>
      <c r="C477">
        <v>2126</v>
      </c>
      <c r="D477" t="s">
        <v>21</v>
      </c>
      <c r="E477" s="22">
        <v>44376</v>
      </c>
      <c r="F477" s="23">
        <v>44376</v>
      </c>
      <c r="G477" t="s">
        <v>27</v>
      </c>
      <c r="H477" t="s">
        <v>29</v>
      </c>
      <c r="I477" t="s">
        <v>21</v>
      </c>
      <c r="J477" t="s">
        <v>53</v>
      </c>
      <c r="K477" t="s">
        <v>72</v>
      </c>
      <c r="L477" t="s">
        <v>540</v>
      </c>
      <c r="M477">
        <v>2119</v>
      </c>
      <c r="N477" t="s">
        <v>849</v>
      </c>
      <c r="O477" t="s">
        <v>865</v>
      </c>
      <c r="P477" t="s">
        <v>21</v>
      </c>
      <c r="Q477" t="s">
        <v>21</v>
      </c>
      <c r="R477" t="s">
        <v>21</v>
      </c>
      <c r="S477" t="s">
        <v>21</v>
      </c>
      <c r="T477" t="s">
        <v>958</v>
      </c>
      <c r="U477" t="s">
        <v>960</v>
      </c>
      <c r="V477" s="28" t="s">
        <v>1060</v>
      </c>
      <c r="W477" s="28" t="s">
        <v>1049</v>
      </c>
      <c r="X477" s="28" t="s">
        <v>2482</v>
      </c>
      <c r="Y477" s="28" t="s">
        <v>2452</v>
      </c>
      <c r="Z477" s="28" t="s">
        <v>2483</v>
      </c>
      <c r="AA477" s="28" t="s">
        <v>2479</v>
      </c>
      <c r="AB477" s="28" t="s">
        <v>2484</v>
      </c>
      <c r="AC477" s="28" t="s">
        <v>2481</v>
      </c>
    </row>
    <row r="478" spans="1:29">
      <c r="A478">
        <v>7</v>
      </c>
      <c r="B478">
        <v>2129</v>
      </c>
      <c r="C478">
        <v>2129</v>
      </c>
      <c r="D478" t="s">
        <v>21</v>
      </c>
      <c r="E478" s="22">
        <v>44396</v>
      </c>
      <c r="F478" s="23">
        <v>44396</v>
      </c>
      <c r="G478" t="s">
        <v>27</v>
      </c>
      <c r="H478" t="s">
        <v>28</v>
      </c>
      <c r="I478" t="s">
        <v>21</v>
      </c>
      <c r="J478" t="s">
        <v>53</v>
      </c>
      <c r="K478" t="s">
        <v>72</v>
      </c>
      <c r="L478" t="s">
        <v>541</v>
      </c>
      <c r="M478">
        <v>2124</v>
      </c>
      <c r="N478" t="s">
        <v>849</v>
      </c>
      <c r="O478" t="s">
        <v>865</v>
      </c>
      <c r="P478" t="s">
        <v>21</v>
      </c>
      <c r="Q478" t="s">
        <v>21</v>
      </c>
      <c r="R478" t="s">
        <v>911</v>
      </c>
      <c r="S478" t="s">
        <v>911</v>
      </c>
      <c r="T478" t="s">
        <v>28</v>
      </c>
      <c r="U478" t="s">
        <v>960</v>
      </c>
      <c r="V478" s="28" t="s">
        <v>1223</v>
      </c>
      <c r="W478" s="28" t="s">
        <v>1213</v>
      </c>
      <c r="X478" s="28" t="s">
        <v>2485</v>
      </c>
      <c r="Y478" s="28" t="s">
        <v>2486</v>
      </c>
      <c r="Z478" s="28" t="s">
        <v>2487</v>
      </c>
      <c r="AA478" s="28" t="s">
        <v>2488</v>
      </c>
      <c r="AB478" s="28" t="s">
        <v>2489</v>
      </c>
      <c r="AC478" s="28" t="s">
        <v>2490</v>
      </c>
    </row>
    <row r="479" spans="1:29">
      <c r="A479">
        <v>8</v>
      </c>
      <c r="B479">
        <v>2130</v>
      </c>
      <c r="C479">
        <v>2130</v>
      </c>
      <c r="D479" t="s">
        <v>21</v>
      </c>
      <c r="E479" s="22">
        <v>44406</v>
      </c>
      <c r="F479" s="23">
        <v>44406</v>
      </c>
      <c r="G479" t="s">
        <v>27</v>
      </c>
      <c r="H479" t="s">
        <v>28</v>
      </c>
      <c r="I479" t="s">
        <v>21</v>
      </c>
      <c r="J479" t="s">
        <v>53</v>
      </c>
      <c r="K479" t="s">
        <v>72</v>
      </c>
      <c r="L479" t="s">
        <v>1043</v>
      </c>
      <c r="M479">
        <v>2127</v>
      </c>
      <c r="N479" t="s">
        <v>849</v>
      </c>
      <c r="O479" t="s">
        <v>865</v>
      </c>
      <c r="P479" t="s">
        <v>21</v>
      </c>
      <c r="Q479" t="s">
        <v>21</v>
      </c>
      <c r="R479" t="s">
        <v>1044</v>
      </c>
      <c r="S479" t="s">
        <v>1044</v>
      </c>
      <c r="T479" t="s">
        <v>959</v>
      </c>
      <c r="U479" t="s">
        <v>960</v>
      </c>
      <c r="V479" s="28" t="s">
        <v>1266</v>
      </c>
      <c r="W479" s="28" t="s">
        <v>1267</v>
      </c>
      <c r="X479" s="28" t="s">
        <v>2491</v>
      </c>
      <c r="Y479" s="28" t="s">
        <v>2492</v>
      </c>
      <c r="Z479" s="28" t="s">
        <v>2493</v>
      </c>
      <c r="AA479" s="28" t="s">
        <v>2494</v>
      </c>
      <c r="AB479" s="28" t="s">
        <v>2495</v>
      </c>
      <c r="AC479" s="28" t="s">
        <v>2496</v>
      </c>
    </row>
    <row r="480" spans="1:29">
      <c r="A480">
        <v>9</v>
      </c>
      <c r="B480">
        <v>2134</v>
      </c>
      <c r="C480">
        <v>2134</v>
      </c>
      <c r="D480" t="s">
        <v>21</v>
      </c>
      <c r="E480" s="22">
        <v>44434</v>
      </c>
      <c r="F480" s="23">
        <v>44434</v>
      </c>
      <c r="G480" t="s">
        <v>27</v>
      </c>
      <c r="H480" t="s">
        <v>28</v>
      </c>
      <c r="I480" t="s">
        <v>21</v>
      </c>
      <c r="J480" t="s">
        <v>53</v>
      </c>
      <c r="K480" t="s">
        <v>72</v>
      </c>
      <c r="L480" t="s">
        <v>6130</v>
      </c>
      <c r="M480">
        <v>2128</v>
      </c>
      <c r="N480" t="s">
        <v>6131</v>
      </c>
      <c r="O480" t="s">
        <v>865</v>
      </c>
      <c r="P480" t="s">
        <v>21</v>
      </c>
      <c r="Q480" t="s">
        <v>21</v>
      </c>
      <c r="R480" t="s">
        <v>922</v>
      </c>
      <c r="S480" t="s">
        <v>922</v>
      </c>
      <c r="T480" t="s">
        <v>28</v>
      </c>
      <c r="U480" t="s">
        <v>960</v>
      </c>
      <c r="V480" s="28" t="s">
        <v>5919</v>
      </c>
      <c r="W480" s="28" t="s">
        <v>1231</v>
      </c>
      <c r="X480" s="28" t="s">
        <v>6132</v>
      </c>
      <c r="Y480" s="28" t="s">
        <v>6133</v>
      </c>
      <c r="Z480" s="28" t="s">
        <v>6134</v>
      </c>
      <c r="AA480" s="28" t="s">
        <v>6135</v>
      </c>
      <c r="AB480" s="28" t="s">
        <v>6001</v>
      </c>
      <c r="AC480" s="28" t="s">
        <v>2322</v>
      </c>
    </row>
    <row r="481" spans="1:29">
      <c r="A481">
        <v>10</v>
      </c>
      <c r="B481">
        <v>2134</v>
      </c>
      <c r="C481">
        <v>2134</v>
      </c>
      <c r="D481" t="s">
        <v>21</v>
      </c>
      <c r="E481" s="22">
        <v>44434</v>
      </c>
      <c r="F481" s="23">
        <v>44434</v>
      </c>
      <c r="G481" t="s">
        <v>27</v>
      </c>
      <c r="H481" t="s">
        <v>28</v>
      </c>
      <c r="I481" t="s">
        <v>21</v>
      </c>
      <c r="J481" t="s">
        <v>53</v>
      </c>
      <c r="K481" t="s">
        <v>72</v>
      </c>
      <c r="L481" t="s">
        <v>6136</v>
      </c>
      <c r="M481">
        <v>2128</v>
      </c>
      <c r="N481" t="s">
        <v>6131</v>
      </c>
      <c r="O481" t="s">
        <v>865</v>
      </c>
      <c r="P481" t="s">
        <v>21</v>
      </c>
      <c r="Q481" t="s">
        <v>21</v>
      </c>
      <c r="R481" t="s">
        <v>922</v>
      </c>
      <c r="S481" t="s">
        <v>922</v>
      </c>
      <c r="T481" t="s">
        <v>28</v>
      </c>
      <c r="U481" t="s">
        <v>960</v>
      </c>
      <c r="V481" s="28" t="s">
        <v>5919</v>
      </c>
      <c r="W481" s="28" t="s">
        <v>1231</v>
      </c>
      <c r="X481" s="28" t="s">
        <v>6132</v>
      </c>
      <c r="Y481" s="28" t="s">
        <v>6133</v>
      </c>
      <c r="Z481" s="28" t="s">
        <v>6134</v>
      </c>
      <c r="AA481" s="28" t="s">
        <v>6135</v>
      </c>
      <c r="AB481" s="28" t="s">
        <v>6001</v>
      </c>
      <c r="AC481" s="28" t="s">
        <v>2322</v>
      </c>
    </row>
    <row r="482" spans="1:29">
      <c r="A482">
        <v>11</v>
      </c>
      <c r="B482">
        <v>2134</v>
      </c>
      <c r="C482">
        <v>2134</v>
      </c>
      <c r="D482" t="s">
        <v>21</v>
      </c>
      <c r="E482" s="22">
        <v>44434</v>
      </c>
      <c r="F482" s="23">
        <v>44434</v>
      </c>
      <c r="G482" t="s">
        <v>27</v>
      </c>
      <c r="H482" t="s">
        <v>28</v>
      </c>
      <c r="I482" t="s">
        <v>21</v>
      </c>
      <c r="J482" t="s">
        <v>53</v>
      </c>
      <c r="K482" t="s">
        <v>72</v>
      </c>
      <c r="L482" t="s">
        <v>6137</v>
      </c>
      <c r="M482">
        <v>2128</v>
      </c>
      <c r="N482" t="s">
        <v>6131</v>
      </c>
      <c r="O482" t="s">
        <v>865</v>
      </c>
      <c r="P482" t="s">
        <v>21</v>
      </c>
      <c r="Q482" t="s">
        <v>21</v>
      </c>
      <c r="R482" t="s">
        <v>922</v>
      </c>
      <c r="S482" t="s">
        <v>922</v>
      </c>
      <c r="T482" t="s">
        <v>28</v>
      </c>
      <c r="U482" t="s">
        <v>960</v>
      </c>
      <c r="V482" s="28" t="s">
        <v>5919</v>
      </c>
      <c r="W482" s="28" t="s">
        <v>1231</v>
      </c>
      <c r="X482" s="28" t="s">
        <v>6132</v>
      </c>
      <c r="Y482" s="28" t="s">
        <v>6133</v>
      </c>
      <c r="Z482" s="28" t="s">
        <v>6134</v>
      </c>
      <c r="AA482" s="28" t="s">
        <v>6135</v>
      </c>
      <c r="AB482" s="28" t="s">
        <v>6001</v>
      </c>
      <c r="AC482" s="28" t="s">
        <v>2322</v>
      </c>
    </row>
    <row r="483" spans="1:29">
      <c r="A483">
        <v>1</v>
      </c>
      <c r="B483">
        <v>2009</v>
      </c>
      <c r="C483">
        <v>2009</v>
      </c>
      <c r="D483" t="s">
        <v>23</v>
      </c>
      <c r="E483" s="22">
        <v>43888</v>
      </c>
      <c r="F483" s="23">
        <v>43888</v>
      </c>
      <c r="G483" t="s">
        <v>965</v>
      </c>
      <c r="H483" t="s">
        <v>28</v>
      </c>
      <c r="I483" t="s">
        <v>23</v>
      </c>
      <c r="J483" t="s">
        <v>58</v>
      </c>
      <c r="K483" t="s">
        <v>101</v>
      </c>
      <c r="L483" t="s">
        <v>542</v>
      </c>
      <c r="M483">
        <v>2003</v>
      </c>
      <c r="N483" t="s">
        <v>850</v>
      </c>
      <c r="O483" t="s">
        <v>866</v>
      </c>
      <c r="P483" t="s">
        <v>21</v>
      </c>
      <c r="Q483" t="s">
        <v>21</v>
      </c>
      <c r="R483" t="s">
        <v>913</v>
      </c>
      <c r="S483" t="s">
        <v>913</v>
      </c>
      <c r="T483" t="s">
        <v>957</v>
      </c>
      <c r="U483" t="s">
        <v>961</v>
      </c>
      <c r="V483" s="28" t="s">
        <v>1268</v>
      </c>
      <c r="W483" s="28" t="s">
        <v>1269</v>
      </c>
      <c r="X483" s="28" t="s">
        <v>2497</v>
      </c>
      <c r="Y483" s="28" t="s">
        <v>2498</v>
      </c>
      <c r="Z483" s="28" t="s">
        <v>2499</v>
      </c>
      <c r="AA483" s="28" t="s">
        <v>2500</v>
      </c>
      <c r="AB483" s="28" t="s">
        <v>2501</v>
      </c>
      <c r="AC483" s="28" t="s">
        <v>2502</v>
      </c>
    </row>
    <row r="484" spans="1:29">
      <c r="A484">
        <v>2</v>
      </c>
      <c r="B484">
        <v>2009</v>
      </c>
      <c r="C484">
        <v>2009</v>
      </c>
      <c r="D484" t="s">
        <v>23</v>
      </c>
      <c r="E484" s="22">
        <v>43888</v>
      </c>
      <c r="F484" s="23">
        <v>43888</v>
      </c>
      <c r="G484" t="s">
        <v>965</v>
      </c>
      <c r="H484" t="s">
        <v>28</v>
      </c>
      <c r="I484" t="s">
        <v>23</v>
      </c>
      <c r="J484" t="s">
        <v>61</v>
      </c>
      <c r="K484" t="s">
        <v>100</v>
      </c>
      <c r="L484" t="s">
        <v>543</v>
      </c>
      <c r="M484">
        <v>2003</v>
      </c>
      <c r="N484" t="s">
        <v>851</v>
      </c>
      <c r="O484" t="s">
        <v>866</v>
      </c>
      <c r="P484" t="s">
        <v>21</v>
      </c>
      <c r="Q484" t="s">
        <v>21</v>
      </c>
      <c r="R484" t="s">
        <v>914</v>
      </c>
      <c r="S484" t="s">
        <v>914</v>
      </c>
      <c r="T484" t="s">
        <v>957</v>
      </c>
      <c r="U484" t="s">
        <v>961</v>
      </c>
      <c r="V484" s="28" t="s">
        <v>1268</v>
      </c>
      <c r="W484" s="28" t="s">
        <v>1269</v>
      </c>
      <c r="X484" s="28" t="s">
        <v>2497</v>
      </c>
      <c r="Y484" s="28" t="s">
        <v>2498</v>
      </c>
      <c r="Z484" s="28" t="s">
        <v>2503</v>
      </c>
      <c r="AA484" s="28" t="s">
        <v>2504</v>
      </c>
      <c r="AB484" s="28" t="s">
        <v>2505</v>
      </c>
      <c r="AC484" s="28" t="s">
        <v>2506</v>
      </c>
    </row>
    <row r="485" spans="1:29">
      <c r="A485">
        <v>3</v>
      </c>
      <c r="B485">
        <v>2021</v>
      </c>
      <c r="C485">
        <v>2021</v>
      </c>
      <c r="D485" t="s">
        <v>23</v>
      </c>
      <c r="E485" s="22">
        <v>43971</v>
      </c>
      <c r="F485" s="23">
        <v>43971</v>
      </c>
      <c r="G485" t="s">
        <v>965</v>
      </c>
      <c r="H485" t="s">
        <v>28</v>
      </c>
      <c r="I485" t="s">
        <v>23</v>
      </c>
      <c r="J485" t="s">
        <v>58</v>
      </c>
      <c r="K485" t="s">
        <v>100</v>
      </c>
      <c r="L485" t="s">
        <v>544</v>
      </c>
      <c r="M485">
        <v>2008</v>
      </c>
      <c r="N485" t="s">
        <v>851</v>
      </c>
      <c r="O485" t="s">
        <v>866</v>
      </c>
      <c r="P485" t="s">
        <v>21</v>
      </c>
      <c r="Q485" t="s">
        <v>21</v>
      </c>
      <c r="R485" t="s">
        <v>915</v>
      </c>
      <c r="S485" t="s">
        <v>915</v>
      </c>
      <c r="T485" t="s">
        <v>950</v>
      </c>
      <c r="U485" t="s">
        <v>961</v>
      </c>
      <c r="V485" s="28" t="s">
        <v>1270</v>
      </c>
      <c r="W485" s="28" t="s">
        <v>1271</v>
      </c>
      <c r="X485" s="28" t="s">
        <v>2507</v>
      </c>
      <c r="Y485" s="28" t="s">
        <v>2508</v>
      </c>
      <c r="Z485" s="28" t="s">
        <v>2509</v>
      </c>
      <c r="AA485" s="28" t="s">
        <v>2510</v>
      </c>
      <c r="AB485" s="28" t="s">
        <v>2511</v>
      </c>
      <c r="AC485" s="28" t="s">
        <v>2512</v>
      </c>
    </row>
    <row r="486" spans="1:29">
      <c r="A486">
        <v>4</v>
      </c>
      <c r="B486">
        <v>2021</v>
      </c>
      <c r="C486">
        <v>2021</v>
      </c>
      <c r="D486" t="s">
        <v>23</v>
      </c>
      <c r="E486" s="22">
        <v>43971</v>
      </c>
      <c r="F486" s="23">
        <v>43971</v>
      </c>
      <c r="G486" t="s">
        <v>965</v>
      </c>
      <c r="H486" t="s">
        <v>28</v>
      </c>
      <c r="I486" t="s">
        <v>23</v>
      </c>
      <c r="J486" t="s">
        <v>61</v>
      </c>
      <c r="K486" t="s">
        <v>101</v>
      </c>
      <c r="L486" t="s">
        <v>545</v>
      </c>
      <c r="M486">
        <v>2009</v>
      </c>
      <c r="N486" t="s">
        <v>850</v>
      </c>
      <c r="O486" t="s">
        <v>866</v>
      </c>
      <c r="P486" t="s">
        <v>21</v>
      </c>
      <c r="Q486" t="s">
        <v>21</v>
      </c>
      <c r="R486" t="s">
        <v>915</v>
      </c>
      <c r="S486" t="s">
        <v>915</v>
      </c>
      <c r="T486" t="s">
        <v>950</v>
      </c>
      <c r="U486" t="s">
        <v>961</v>
      </c>
      <c r="V486" s="28" t="s">
        <v>1270</v>
      </c>
      <c r="W486" s="28" t="s">
        <v>1271</v>
      </c>
      <c r="X486" s="28" t="s">
        <v>2507</v>
      </c>
      <c r="Y486" s="28" t="s">
        <v>2508</v>
      </c>
      <c r="Z486" s="28" t="s">
        <v>2513</v>
      </c>
      <c r="AA486" s="28" t="s">
        <v>2514</v>
      </c>
      <c r="AB486" s="28" t="s">
        <v>2515</v>
      </c>
      <c r="AC486" s="28" t="s">
        <v>2516</v>
      </c>
    </row>
    <row r="487" spans="1:29">
      <c r="A487">
        <v>5</v>
      </c>
      <c r="B487">
        <v>2021</v>
      </c>
      <c r="C487">
        <v>2021</v>
      </c>
      <c r="D487" t="s">
        <v>23</v>
      </c>
      <c r="E487" s="22">
        <v>43972</v>
      </c>
      <c r="F487" s="23">
        <v>43972</v>
      </c>
      <c r="G487" t="s">
        <v>965</v>
      </c>
      <c r="H487" t="s">
        <v>28</v>
      </c>
      <c r="I487" t="s">
        <v>23</v>
      </c>
      <c r="J487" t="s">
        <v>61</v>
      </c>
      <c r="K487" t="s">
        <v>101</v>
      </c>
      <c r="L487" t="s">
        <v>546</v>
      </c>
      <c r="M487">
        <v>2003</v>
      </c>
      <c r="N487" t="s">
        <v>850</v>
      </c>
      <c r="O487" t="s">
        <v>866</v>
      </c>
      <c r="P487" t="s">
        <v>21</v>
      </c>
      <c r="Q487" t="s">
        <v>21</v>
      </c>
      <c r="R487" t="s">
        <v>915</v>
      </c>
      <c r="S487" t="s">
        <v>915</v>
      </c>
      <c r="T487" t="s">
        <v>950</v>
      </c>
      <c r="U487" t="s">
        <v>961</v>
      </c>
      <c r="V487" s="28" t="s">
        <v>1270</v>
      </c>
      <c r="W487" s="28" t="s">
        <v>1271</v>
      </c>
      <c r="X487" s="28" t="s">
        <v>2507</v>
      </c>
      <c r="Y487" s="28" t="s">
        <v>2508</v>
      </c>
      <c r="Z487" s="28" t="s">
        <v>2513</v>
      </c>
      <c r="AA487" s="28" t="s">
        <v>2514</v>
      </c>
      <c r="AB487" s="28" t="s">
        <v>2515</v>
      </c>
      <c r="AC487" s="28" t="s">
        <v>2516</v>
      </c>
    </row>
    <row r="488" spans="1:29">
      <c r="A488">
        <v>6</v>
      </c>
      <c r="B488">
        <v>2021</v>
      </c>
      <c r="C488">
        <v>2021</v>
      </c>
      <c r="D488" t="s">
        <v>23</v>
      </c>
      <c r="E488" s="22">
        <v>43972</v>
      </c>
      <c r="F488" s="23">
        <v>43972</v>
      </c>
      <c r="G488" t="s">
        <v>965</v>
      </c>
      <c r="H488" t="s">
        <v>28</v>
      </c>
      <c r="I488" t="s">
        <v>23</v>
      </c>
      <c r="J488" t="s">
        <v>61</v>
      </c>
      <c r="K488" t="s">
        <v>101</v>
      </c>
      <c r="L488" t="s">
        <v>547</v>
      </c>
      <c r="M488">
        <v>2009</v>
      </c>
      <c r="N488" t="s">
        <v>850</v>
      </c>
      <c r="O488" t="s">
        <v>866</v>
      </c>
      <c r="P488" t="s">
        <v>21</v>
      </c>
      <c r="Q488" t="s">
        <v>21</v>
      </c>
      <c r="R488" t="s">
        <v>915</v>
      </c>
      <c r="S488" t="s">
        <v>915</v>
      </c>
      <c r="T488" t="s">
        <v>950</v>
      </c>
      <c r="U488" t="s">
        <v>961</v>
      </c>
      <c r="V488" s="28" t="s">
        <v>1270</v>
      </c>
      <c r="W488" s="28" t="s">
        <v>1271</v>
      </c>
      <c r="X488" s="28" t="s">
        <v>2507</v>
      </c>
      <c r="Y488" s="28" t="s">
        <v>2508</v>
      </c>
      <c r="Z488" s="28" t="s">
        <v>2513</v>
      </c>
      <c r="AA488" s="28" t="s">
        <v>2514</v>
      </c>
      <c r="AB488" s="28" t="s">
        <v>2515</v>
      </c>
      <c r="AC488" s="28" t="s">
        <v>2516</v>
      </c>
    </row>
    <row r="489" spans="1:29">
      <c r="A489">
        <v>7</v>
      </c>
      <c r="B489">
        <v>2024</v>
      </c>
      <c r="C489">
        <v>2024</v>
      </c>
      <c r="D489" t="s">
        <v>23</v>
      </c>
      <c r="E489" s="22">
        <v>43992</v>
      </c>
      <c r="F489" s="23">
        <v>43992</v>
      </c>
      <c r="G489" t="s">
        <v>965</v>
      </c>
      <c r="H489" t="s">
        <v>28</v>
      </c>
      <c r="I489" t="s">
        <v>23</v>
      </c>
      <c r="J489" t="s">
        <v>58</v>
      </c>
      <c r="K489" t="s">
        <v>100</v>
      </c>
      <c r="L489" t="s">
        <v>548</v>
      </c>
      <c r="M489">
        <v>2010</v>
      </c>
      <c r="N489" t="s">
        <v>851</v>
      </c>
      <c r="O489" t="s">
        <v>866</v>
      </c>
      <c r="P489" t="s">
        <v>21</v>
      </c>
      <c r="Q489" t="s">
        <v>21</v>
      </c>
      <c r="R489" t="s">
        <v>915</v>
      </c>
      <c r="S489" t="s">
        <v>915</v>
      </c>
      <c r="T489" t="s">
        <v>950</v>
      </c>
      <c r="U489" t="s">
        <v>961</v>
      </c>
      <c r="V489" s="28" t="s">
        <v>1272</v>
      </c>
      <c r="W489" s="28" t="s">
        <v>1273</v>
      </c>
      <c r="X489" s="28" t="s">
        <v>2517</v>
      </c>
      <c r="Y489" s="28" t="s">
        <v>2518</v>
      </c>
      <c r="Z489" s="28" t="s">
        <v>2519</v>
      </c>
      <c r="AA489" s="28" t="s">
        <v>2520</v>
      </c>
      <c r="AB489" s="28" t="s">
        <v>2521</v>
      </c>
      <c r="AC489" s="28" t="s">
        <v>2522</v>
      </c>
    </row>
    <row r="490" spans="1:29">
      <c r="A490">
        <v>9</v>
      </c>
      <c r="B490">
        <v>2024</v>
      </c>
      <c r="C490">
        <v>2024</v>
      </c>
      <c r="D490" t="s">
        <v>23</v>
      </c>
      <c r="E490" s="22">
        <v>43993</v>
      </c>
      <c r="F490" s="23">
        <v>43993</v>
      </c>
      <c r="G490" t="s">
        <v>965</v>
      </c>
      <c r="H490" t="s">
        <v>28</v>
      </c>
      <c r="I490" t="s">
        <v>23</v>
      </c>
      <c r="J490" t="s">
        <v>58</v>
      </c>
      <c r="K490" t="s">
        <v>100</v>
      </c>
      <c r="L490" t="s">
        <v>549</v>
      </c>
      <c r="M490">
        <v>2011</v>
      </c>
      <c r="N490" t="s">
        <v>851</v>
      </c>
      <c r="O490" t="s">
        <v>866</v>
      </c>
      <c r="P490" t="s">
        <v>21</v>
      </c>
      <c r="Q490" t="s">
        <v>21</v>
      </c>
      <c r="R490" t="s">
        <v>915</v>
      </c>
      <c r="S490" t="s">
        <v>915</v>
      </c>
      <c r="T490" t="s">
        <v>950</v>
      </c>
      <c r="U490" t="s">
        <v>961</v>
      </c>
      <c r="V490" s="28" t="s">
        <v>1272</v>
      </c>
      <c r="W490" s="28" t="s">
        <v>1273</v>
      </c>
      <c r="X490" s="28" t="s">
        <v>2517</v>
      </c>
      <c r="Y490" s="28" t="s">
        <v>2518</v>
      </c>
      <c r="Z490" s="28" t="s">
        <v>2519</v>
      </c>
      <c r="AA490" s="28" t="s">
        <v>2520</v>
      </c>
      <c r="AB490" s="28" t="s">
        <v>2521</v>
      </c>
      <c r="AC490" s="28" t="s">
        <v>2522</v>
      </c>
    </row>
    <row r="491" spans="1:29">
      <c r="A491">
        <v>10</v>
      </c>
      <c r="B491">
        <v>2024</v>
      </c>
      <c r="C491">
        <v>2024</v>
      </c>
      <c r="D491" t="s">
        <v>23</v>
      </c>
      <c r="E491" s="22">
        <v>43994</v>
      </c>
      <c r="F491" s="23">
        <v>43994</v>
      </c>
      <c r="G491" t="s">
        <v>965</v>
      </c>
      <c r="H491" t="s">
        <v>28</v>
      </c>
      <c r="I491" t="s">
        <v>23</v>
      </c>
      <c r="J491" t="s">
        <v>61</v>
      </c>
      <c r="K491" t="s">
        <v>101</v>
      </c>
      <c r="L491" t="s">
        <v>550</v>
      </c>
      <c r="M491">
        <v>2011</v>
      </c>
      <c r="N491" t="s">
        <v>850</v>
      </c>
      <c r="O491" t="s">
        <v>866</v>
      </c>
      <c r="P491" t="s">
        <v>21</v>
      </c>
      <c r="Q491" t="s">
        <v>21</v>
      </c>
      <c r="R491" t="s">
        <v>915</v>
      </c>
      <c r="S491" t="s">
        <v>915</v>
      </c>
      <c r="T491" t="s">
        <v>950</v>
      </c>
      <c r="U491" t="s">
        <v>961</v>
      </c>
      <c r="V491" s="28" t="s">
        <v>1272</v>
      </c>
      <c r="W491" s="28" t="s">
        <v>1273</v>
      </c>
      <c r="X491" s="28" t="s">
        <v>2517</v>
      </c>
      <c r="Y491" s="28" t="s">
        <v>2518</v>
      </c>
      <c r="Z491" s="28" t="s">
        <v>2523</v>
      </c>
      <c r="AA491" s="28" t="s">
        <v>2524</v>
      </c>
      <c r="AB491" s="28" t="s">
        <v>2525</v>
      </c>
      <c r="AC491" s="28" t="s">
        <v>2526</v>
      </c>
    </row>
    <row r="492" spans="1:29">
      <c r="A492">
        <v>8</v>
      </c>
      <c r="B492">
        <v>2024</v>
      </c>
      <c r="C492">
        <v>2024</v>
      </c>
      <c r="D492" t="s">
        <v>23</v>
      </c>
      <c r="E492" s="22">
        <v>43992</v>
      </c>
      <c r="F492" s="23">
        <v>43992</v>
      </c>
      <c r="G492" t="s">
        <v>965</v>
      </c>
      <c r="H492" t="s">
        <v>28</v>
      </c>
      <c r="I492" t="s">
        <v>23</v>
      </c>
      <c r="J492" t="s">
        <v>58</v>
      </c>
      <c r="K492" t="s">
        <v>100</v>
      </c>
      <c r="L492" t="s">
        <v>551</v>
      </c>
      <c r="M492">
        <v>2013</v>
      </c>
      <c r="N492" t="s">
        <v>851</v>
      </c>
      <c r="O492" t="s">
        <v>866</v>
      </c>
      <c r="P492" t="s">
        <v>21</v>
      </c>
      <c r="Q492" t="s">
        <v>21</v>
      </c>
      <c r="R492" t="s">
        <v>916</v>
      </c>
      <c r="S492" t="s">
        <v>916</v>
      </c>
      <c r="T492" t="s">
        <v>28</v>
      </c>
      <c r="U492" t="s">
        <v>961</v>
      </c>
      <c r="V492" s="28" t="s">
        <v>1274</v>
      </c>
      <c r="W492" s="28" t="s">
        <v>1275</v>
      </c>
      <c r="X492" s="28" t="s">
        <v>2527</v>
      </c>
      <c r="Y492" s="28" t="s">
        <v>2528</v>
      </c>
      <c r="Z492" s="28" t="s">
        <v>2529</v>
      </c>
      <c r="AA492" s="28" t="s">
        <v>2530</v>
      </c>
      <c r="AB492" s="28" t="s">
        <v>2531</v>
      </c>
      <c r="AC492" s="28" t="s">
        <v>2532</v>
      </c>
    </row>
    <row r="493" spans="1:29">
      <c r="A493">
        <v>11</v>
      </c>
      <c r="B493">
        <v>2025</v>
      </c>
      <c r="C493">
        <v>2025</v>
      </c>
      <c r="D493" t="s">
        <v>23</v>
      </c>
      <c r="E493" s="22">
        <v>43997</v>
      </c>
      <c r="F493" s="23">
        <v>43997</v>
      </c>
      <c r="G493" t="s">
        <v>965</v>
      </c>
      <c r="H493" t="s">
        <v>28</v>
      </c>
      <c r="I493" t="s">
        <v>23</v>
      </c>
      <c r="J493" t="s">
        <v>58</v>
      </c>
      <c r="K493" t="s">
        <v>100</v>
      </c>
      <c r="L493" t="s">
        <v>552</v>
      </c>
      <c r="M493">
        <v>2014</v>
      </c>
      <c r="N493" t="s">
        <v>851</v>
      </c>
      <c r="O493" t="s">
        <v>866</v>
      </c>
      <c r="P493" t="s">
        <v>21</v>
      </c>
      <c r="Q493" t="s">
        <v>21</v>
      </c>
      <c r="R493" t="s">
        <v>917</v>
      </c>
      <c r="S493" t="s">
        <v>917</v>
      </c>
      <c r="T493" t="s">
        <v>952</v>
      </c>
      <c r="U493" t="s">
        <v>961</v>
      </c>
      <c r="V493" s="28" t="s">
        <v>1276</v>
      </c>
      <c r="W493" s="28" t="s">
        <v>1277</v>
      </c>
      <c r="X493" s="28" t="s">
        <v>2533</v>
      </c>
      <c r="Y493" s="28" t="s">
        <v>2534</v>
      </c>
      <c r="Z493" s="28" t="s">
        <v>2535</v>
      </c>
      <c r="AA493" s="28" t="s">
        <v>2536</v>
      </c>
      <c r="AB493" s="28" t="s">
        <v>2537</v>
      </c>
      <c r="AC493" s="28" t="s">
        <v>2538</v>
      </c>
    </row>
    <row r="494" spans="1:29">
      <c r="A494">
        <v>12</v>
      </c>
      <c r="B494">
        <v>2025</v>
      </c>
      <c r="C494">
        <v>2025</v>
      </c>
      <c r="D494" t="s">
        <v>23</v>
      </c>
      <c r="E494" s="22">
        <v>43998</v>
      </c>
      <c r="F494" s="23">
        <v>43998</v>
      </c>
      <c r="G494" t="s">
        <v>965</v>
      </c>
      <c r="H494" t="s">
        <v>28</v>
      </c>
      <c r="I494" t="s">
        <v>23</v>
      </c>
      <c r="J494" t="s">
        <v>58</v>
      </c>
      <c r="K494" t="s">
        <v>100</v>
      </c>
      <c r="L494" t="s">
        <v>553</v>
      </c>
      <c r="M494">
        <v>2013</v>
      </c>
      <c r="N494" t="s">
        <v>851</v>
      </c>
      <c r="O494" t="s">
        <v>866</v>
      </c>
      <c r="P494" t="s">
        <v>21</v>
      </c>
      <c r="Q494" t="s">
        <v>21</v>
      </c>
      <c r="R494" t="s">
        <v>911</v>
      </c>
      <c r="S494" t="s">
        <v>911</v>
      </c>
      <c r="T494" t="s">
        <v>28</v>
      </c>
      <c r="U494" t="s">
        <v>961</v>
      </c>
      <c r="V494" s="28" t="s">
        <v>1278</v>
      </c>
      <c r="W494" s="28" t="s">
        <v>1275</v>
      </c>
      <c r="X494" s="28" t="s">
        <v>2539</v>
      </c>
      <c r="Y494" s="28" t="s">
        <v>2528</v>
      </c>
      <c r="Z494" s="28" t="s">
        <v>2540</v>
      </c>
      <c r="AA494" s="28" t="s">
        <v>2530</v>
      </c>
      <c r="AB494" s="28" t="s">
        <v>2541</v>
      </c>
      <c r="AC494" s="28" t="s">
        <v>2532</v>
      </c>
    </row>
    <row r="495" spans="1:29">
      <c r="A495">
        <v>13</v>
      </c>
      <c r="B495">
        <v>2025</v>
      </c>
      <c r="C495">
        <v>2025</v>
      </c>
      <c r="D495" t="s">
        <v>23</v>
      </c>
      <c r="E495" s="22">
        <v>44001</v>
      </c>
      <c r="F495" s="23">
        <v>44001</v>
      </c>
      <c r="G495" t="s">
        <v>965</v>
      </c>
      <c r="H495" t="s">
        <v>28</v>
      </c>
      <c r="I495" t="s">
        <v>23</v>
      </c>
      <c r="J495" t="s">
        <v>61</v>
      </c>
      <c r="K495" t="s">
        <v>101</v>
      </c>
      <c r="L495" t="s">
        <v>554</v>
      </c>
      <c r="M495">
        <v>2011</v>
      </c>
      <c r="N495" t="s">
        <v>850</v>
      </c>
      <c r="O495" t="s">
        <v>866</v>
      </c>
      <c r="P495" t="s">
        <v>21</v>
      </c>
      <c r="Q495" t="s">
        <v>21</v>
      </c>
      <c r="R495" t="s">
        <v>881</v>
      </c>
      <c r="S495" t="s">
        <v>881</v>
      </c>
      <c r="T495" t="s">
        <v>949</v>
      </c>
      <c r="U495" t="s">
        <v>961</v>
      </c>
      <c r="V495" s="28" t="s">
        <v>1279</v>
      </c>
      <c r="W495" s="28" t="s">
        <v>1254</v>
      </c>
      <c r="X495" s="28" t="s">
        <v>2542</v>
      </c>
      <c r="Y495" s="28" t="s">
        <v>2543</v>
      </c>
      <c r="Z495" s="28" t="s">
        <v>2544</v>
      </c>
      <c r="AA495" s="28" t="s">
        <v>2545</v>
      </c>
      <c r="AB495" s="28" t="s">
        <v>2546</v>
      </c>
      <c r="AC495" s="28" t="s">
        <v>2547</v>
      </c>
    </row>
    <row r="496" spans="1:29">
      <c r="A496">
        <v>14</v>
      </c>
      <c r="B496">
        <v>2026</v>
      </c>
      <c r="C496">
        <v>2026</v>
      </c>
      <c r="D496" t="s">
        <v>23</v>
      </c>
      <c r="E496" s="22">
        <v>44005</v>
      </c>
      <c r="F496" s="23">
        <v>44005</v>
      </c>
      <c r="G496" t="s">
        <v>965</v>
      </c>
      <c r="H496" t="s">
        <v>28</v>
      </c>
      <c r="I496" t="s">
        <v>23</v>
      </c>
      <c r="J496" t="s">
        <v>58</v>
      </c>
      <c r="K496" t="s">
        <v>100</v>
      </c>
      <c r="L496" t="s">
        <v>555</v>
      </c>
      <c r="M496">
        <v>2013</v>
      </c>
      <c r="N496" t="s">
        <v>851</v>
      </c>
      <c r="O496" t="s">
        <v>866</v>
      </c>
      <c r="P496" t="s">
        <v>21</v>
      </c>
      <c r="Q496" t="s">
        <v>21</v>
      </c>
      <c r="R496" t="s">
        <v>918</v>
      </c>
      <c r="S496" t="s">
        <v>918</v>
      </c>
      <c r="T496" t="s">
        <v>28</v>
      </c>
      <c r="U496" t="s">
        <v>961</v>
      </c>
      <c r="V496" s="28" t="s">
        <v>1280</v>
      </c>
      <c r="W496" s="28" t="s">
        <v>1275</v>
      </c>
      <c r="X496" s="28" t="s">
        <v>2548</v>
      </c>
      <c r="Y496" s="28" t="s">
        <v>2528</v>
      </c>
      <c r="Z496" s="28" t="s">
        <v>2549</v>
      </c>
      <c r="AA496" s="28" t="s">
        <v>2530</v>
      </c>
      <c r="AB496" s="28" t="s">
        <v>2550</v>
      </c>
      <c r="AC496" s="28" t="s">
        <v>2532</v>
      </c>
    </row>
    <row r="497" spans="1:29">
      <c r="A497">
        <v>15</v>
      </c>
      <c r="B497">
        <v>2026</v>
      </c>
      <c r="C497">
        <v>2026</v>
      </c>
      <c r="D497" t="s">
        <v>23</v>
      </c>
      <c r="E497" s="22">
        <v>44007</v>
      </c>
      <c r="F497" s="23">
        <v>44007</v>
      </c>
      <c r="G497" t="s">
        <v>965</v>
      </c>
      <c r="H497" t="s">
        <v>28</v>
      </c>
      <c r="I497" t="s">
        <v>23</v>
      </c>
      <c r="J497" t="s">
        <v>61</v>
      </c>
      <c r="K497" t="s">
        <v>101</v>
      </c>
      <c r="L497" t="s">
        <v>556</v>
      </c>
      <c r="M497">
        <v>2017</v>
      </c>
      <c r="N497" t="s">
        <v>850</v>
      </c>
      <c r="O497" t="s">
        <v>866</v>
      </c>
      <c r="P497" t="s">
        <v>21</v>
      </c>
      <c r="Q497" t="s">
        <v>21</v>
      </c>
      <c r="R497" t="s">
        <v>915</v>
      </c>
      <c r="S497" t="s">
        <v>915</v>
      </c>
      <c r="T497" t="s">
        <v>950</v>
      </c>
      <c r="U497" t="s">
        <v>961</v>
      </c>
      <c r="V497" s="28" t="s">
        <v>1281</v>
      </c>
      <c r="W497" s="28" t="s">
        <v>1273</v>
      </c>
      <c r="X497" s="28" t="s">
        <v>2551</v>
      </c>
      <c r="Y497" s="28" t="s">
        <v>2518</v>
      </c>
      <c r="Z497" s="28" t="s">
        <v>2552</v>
      </c>
      <c r="AA497" s="28" t="s">
        <v>2524</v>
      </c>
      <c r="AB497" s="28" t="s">
        <v>2553</v>
      </c>
      <c r="AC497" s="28" t="s">
        <v>2526</v>
      </c>
    </row>
    <row r="498" spans="1:29">
      <c r="A498">
        <v>16</v>
      </c>
      <c r="B498">
        <v>2026</v>
      </c>
      <c r="C498">
        <v>2026</v>
      </c>
      <c r="D498" t="s">
        <v>23</v>
      </c>
      <c r="E498" s="22">
        <v>44007</v>
      </c>
      <c r="F498" s="23">
        <v>44007</v>
      </c>
      <c r="G498" t="s">
        <v>965</v>
      </c>
      <c r="H498" t="s">
        <v>28</v>
      </c>
      <c r="I498" t="s">
        <v>23</v>
      </c>
      <c r="J498" t="s">
        <v>61</v>
      </c>
      <c r="K498" t="s">
        <v>101</v>
      </c>
      <c r="L498" t="s">
        <v>557</v>
      </c>
      <c r="M498">
        <v>2017</v>
      </c>
      <c r="N498" t="s">
        <v>850</v>
      </c>
      <c r="O498" t="s">
        <v>866</v>
      </c>
      <c r="P498" t="s">
        <v>21</v>
      </c>
      <c r="Q498" t="s">
        <v>21</v>
      </c>
      <c r="R498" t="s">
        <v>915</v>
      </c>
      <c r="S498" t="s">
        <v>915</v>
      </c>
      <c r="T498" t="s">
        <v>950</v>
      </c>
      <c r="U498" t="s">
        <v>961</v>
      </c>
      <c r="V498" s="28" t="s">
        <v>1281</v>
      </c>
      <c r="W498" s="28" t="s">
        <v>1273</v>
      </c>
      <c r="X498" s="28" t="s">
        <v>2551</v>
      </c>
      <c r="Y498" s="28" t="s">
        <v>2518</v>
      </c>
      <c r="Z498" s="28" t="s">
        <v>2552</v>
      </c>
      <c r="AA498" s="28" t="s">
        <v>2524</v>
      </c>
      <c r="AB498" s="28" t="s">
        <v>2553</v>
      </c>
      <c r="AC498" s="28" t="s">
        <v>2526</v>
      </c>
    </row>
    <row r="499" spans="1:29">
      <c r="A499">
        <v>17</v>
      </c>
      <c r="B499">
        <v>2026</v>
      </c>
      <c r="C499">
        <v>2026</v>
      </c>
      <c r="D499" t="s">
        <v>23</v>
      </c>
      <c r="E499" s="22">
        <v>44007</v>
      </c>
      <c r="F499" s="23">
        <v>44007</v>
      </c>
      <c r="G499" t="s">
        <v>965</v>
      </c>
      <c r="H499" t="s">
        <v>28</v>
      </c>
      <c r="I499" t="s">
        <v>23</v>
      </c>
      <c r="J499" t="s">
        <v>61</v>
      </c>
      <c r="K499" t="s">
        <v>101</v>
      </c>
      <c r="L499" t="s">
        <v>558</v>
      </c>
      <c r="M499">
        <v>2017</v>
      </c>
      <c r="N499" t="s">
        <v>850</v>
      </c>
      <c r="O499" t="s">
        <v>866</v>
      </c>
      <c r="P499" t="s">
        <v>21</v>
      </c>
      <c r="Q499" t="s">
        <v>21</v>
      </c>
      <c r="R499" t="s">
        <v>919</v>
      </c>
      <c r="S499" t="s">
        <v>891</v>
      </c>
      <c r="T499" t="s">
        <v>891</v>
      </c>
      <c r="U499" t="s">
        <v>961</v>
      </c>
      <c r="V499" s="28" t="s">
        <v>1282</v>
      </c>
      <c r="W499" s="28" t="s">
        <v>1283</v>
      </c>
      <c r="X499" s="28" t="s">
        <v>2554</v>
      </c>
      <c r="Y499" s="28" t="s">
        <v>2555</v>
      </c>
      <c r="Z499" s="28" t="s">
        <v>2556</v>
      </c>
      <c r="AA499" s="28" t="s">
        <v>2557</v>
      </c>
      <c r="AB499" s="28" t="s">
        <v>2558</v>
      </c>
      <c r="AC499" s="28" t="s">
        <v>2559</v>
      </c>
    </row>
    <row r="500" spans="1:29">
      <c r="A500">
        <v>18</v>
      </c>
      <c r="B500">
        <v>2028</v>
      </c>
      <c r="C500">
        <v>2028</v>
      </c>
      <c r="D500" t="s">
        <v>23</v>
      </c>
      <c r="E500" s="22">
        <v>44020</v>
      </c>
      <c r="F500" s="23">
        <v>44020</v>
      </c>
      <c r="G500" t="s">
        <v>965</v>
      </c>
      <c r="H500" t="s">
        <v>28</v>
      </c>
      <c r="I500" t="s">
        <v>23</v>
      </c>
      <c r="J500" t="s">
        <v>58</v>
      </c>
      <c r="K500" t="s">
        <v>100</v>
      </c>
      <c r="L500" t="s">
        <v>559</v>
      </c>
      <c r="M500">
        <v>2016</v>
      </c>
      <c r="N500" t="s">
        <v>851</v>
      </c>
      <c r="O500" t="s">
        <v>866</v>
      </c>
      <c r="P500" t="s">
        <v>21</v>
      </c>
      <c r="Q500" t="s">
        <v>21</v>
      </c>
      <c r="R500" t="s">
        <v>920</v>
      </c>
      <c r="S500" t="s">
        <v>921</v>
      </c>
      <c r="T500" t="s">
        <v>959</v>
      </c>
      <c r="U500" t="s">
        <v>961</v>
      </c>
      <c r="V500" s="28" t="s">
        <v>1284</v>
      </c>
      <c r="W500" s="28" t="s">
        <v>1285</v>
      </c>
      <c r="X500" s="28" t="s">
        <v>2560</v>
      </c>
      <c r="Y500" s="28" t="s">
        <v>2561</v>
      </c>
      <c r="Z500" s="28" t="s">
        <v>2562</v>
      </c>
      <c r="AA500" s="28" t="s">
        <v>2563</v>
      </c>
      <c r="AB500" s="28" t="s">
        <v>2564</v>
      </c>
      <c r="AC500" s="28" t="s">
        <v>2565</v>
      </c>
    </row>
    <row r="501" spans="1:29">
      <c r="A501">
        <v>19</v>
      </c>
      <c r="B501">
        <v>2028</v>
      </c>
      <c r="C501">
        <v>2028</v>
      </c>
      <c r="D501" t="s">
        <v>23</v>
      </c>
      <c r="E501" s="22">
        <v>44021</v>
      </c>
      <c r="F501" s="23">
        <v>44021</v>
      </c>
      <c r="G501" t="s">
        <v>965</v>
      </c>
      <c r="H501" t="s">
        <v>28</v>
      </c>
      <c r="I501" t="s">
        <v>23</v>
      </c>
      <c r="J501" t="s">
        <v>58</v>
      </c>
      <c r="K501" t="s">
        <v>100</v>
      </c>
      <c r="L501" t="s">
        <v>560</v>
      </c>
      <c r="M501">
        <v>2016</v>
      </c>
      <c r="N501" t="s">
        <v>851</v>
      </c>
      <c r="O501" t="s">
        <v>866</v>
      </c>
      <c r="P501" t="s">
        <v>21</v>
      </c>
      <c r="Q501" t="s">
        <v>21</v>
      </c>
      <c r="R501" t="s">
        <v>911</v>
      </c>
      <c r="S501" t="s">
        <v>911</v>
      </c>
      <c r="T501" t="s">
        <v>28</v>
      </c>
      <c r="U501" t="s">
        <v>961</v>
      </c>
      <c r="V501" s="28" t="s">
        <v>1286</v>
      </c>
      <c r="W501" s="28" t="s">
        <v>1287</v>
      </c>
      <c r="X501" s="28" t="s">
        <v>2566</v>
      </c>
      <c r="Y501" s="28" t="s">
        <v>2567</v>
      </c>
      <c r="Z501" s="28" t="s">
        <v>2568</v>
      </c>
      <c r="AA501" s="28" t="s">
        <v>2569</v>
      </c>
      <c r="AB501" s="28" t="s">
        <v>2570</v>
      </c>
      <c r="AC501" s="28" t="s">
        <v>2571</v>
      </c>
    </row>
    <row r="502" spans="1:29">
      <c r="A502">
        <v>20</v>
      </c>
      <c r="B502">
        <v>2028</v>
      </c>
      <c r="C502">
        <v>2028</v>
      </c>
      <c r="D502" t="s">
        <v>23</v>
      </c>
      <c r="E502" s="22">
        <v>44021</v>
      </c>
      <c r="F502" s="23">
        <v>44021</v>
      </c>
      <c r="G502" t="s">
        <v>965</v>
      </c>
      <c r="H502" t="s">
        <v>28</v>
      </c>
      <c r="I502" t="s">
        <v>23</v>
      </c>
      <c r="J502" t="s">
        <v>58</v>
      </c>
      <c r="K502" t="s">
        <v>100</v>
      </c>
      <c r="L502" t="s">
        <v>561</v>
      </c>
      <c r="M502">
        <v>2016</v>
      </c>
      <c r="N502" t="s">
        <v>851</v>
      </c>
      <c r="O502" t="s">
        <v>866</v>
      </c>
      <c r="P502" t="s">
        <v>21</v>
      </c>
      <c r="Q502" t="s">
        <v>21</v>
      </c>
      <c r="R502" t="s">
        <v>915</v>
      </c>
      <c r="S502" t="s">
        <v>915</v>
      </c>
      <c r="T502" t="s">
        <v>950</v>
      </c>
      <c r="U502" t="s">
        <v>961</v>
      </c>
      <c r="V502" s="28" t="s">
        <v>1288</v>
      </c>
      <c r="W502" s="28" t="s">
        <v>1289</v>
      </c>
      <c r="X502" s="28" t="s">
        <v>2572</v>
      </c>
      <c r="Y502" s="28" t="s">
        <v>2573</v>
      </c>
      <c r="Z502" s="28" t="s">
        <v>2574</v>
      </c>
      <c r="AA502" s="28" t="s">
        <v>2575</v>
      </c>
      <c r="AB502" s="28" t="s">
        <v>2576</v>
      </c>
      <c r="AC502" s="28" t="s">
        <v>2577</v>
      </c>
    </row>
    <row r="503" spans="1:29">
      <c r="A503">
        <v>21</v>
      </c>
      <c r="B503">
        <v>2028</v>
      </c>
      <c r="C503">
        <v>2028</v>
      </c>
      <c r="D503" t="s">
        <v>23</v>
      </c>
      <c r="E503" s="22">
        <v>44021</v>
      </c>
      <c r="F503" s="23">
        <v>44021</v>
      </c>
      <c r="G503" t="s">
        <v>965</v>
      </c>
      <c r="H503" t="s">
        <v>28</v>
      </c>
      <c r="I503" t="s">
        <v>23</v>
      </c>
      <c r="J503" t="s">
        <v>58</v>
      </c>
      <c r="K503" t="s">
        <v>100</v>
      </c>
      <c r="L503" t="s">
        <v>562</v>
      </c>
      <c r="M503">
        <v>2023</v>
      </c>
      <c r="N503" t="s">
        <v>851</v>
      </c>
      <c r="O503" t="s">
        <v>866</v>
      </c>
      <c r="P503" t="s">
        <v>21</v>
      </c>
      <c r="Q503" t="s">
        <v>21</v>
      </c>
      <c r="R503" t="s">
        <v>915</v>
      </c>
      <c r="S503" t="s">
        <v>915</v>
      </c>
      <c r="T503" t="s">
        <v>950</v>
      </c>
      <c r="U503" t="s">
        <v>961</v>
      </c>
      <c r="V503" s="28" t="s">
        <v>1288</v>
      </c>
      <c r="W503" s="28" t="s">
        <v>1289</v>
      </c>
      <c r="X503" s="28" t="s">
        <v>2572</v>
      </c>
      <c r="Y503" s="28" t="s">
        <v>2573</v>
      </c>
      <c r="Z503" s="28" t="s">
        <v>2574</v>
      </c>
      <c r="AA503" s="28" t="s">
        <v>2575</v>
      </c>
      <c r="AB503" s="28" t="s">
        <v>2576</v>
      </c>
      <c r="AC503" s="28" t="s">
        <v>2577</v>
      </c>
    </row>
    <row r="504" spans="1:29">
      <c r="A504">
        <v>22</v>
      </c>
      <c r="B504">
        <v>2028</v>
      </c>
      <c r="C504">
        <v>2028</v>
      </c>
      <c r="D504" t="s">
        <v>23</v>
      </c>
      <c r="E504" s="22">
        <v>44022</v>
      </c>
      <c r="F504" s="23">
        <v>44022</v>
      </c>
      <c r="G504" t="s">
        <v>965</v>
      </c>
      <c r="H504" t="s">
        <v>28</v>
      </c>
      <c r="I504" t="s">
        <v>23</v>
      </c>
      <c r="J504" t="s">
        <v>58</v>
      </c>
      <c r="K504" t="s">
        <v>100</v>
      </c>
      <c r="L504" t="s">
        <v>563</v>
      </c>
      <c r="M504">
        <v>2024</v>
      </c>
      <c r="N504" t="s">
        <v>851</v>
      </c>
      <c r="O504" t="s">
        <v>866</v>
      </c>
      <c r="P504" t="s">
        <v>21</v>
      </c>
      <c r="Q504" t="s">
        <v>21</v>
      </c>
      <c r="R504" t="s">
        <v>918</v>
      </c>
      <c r="S504" t="s">
        <v>918</v>
      </c>
      <c r="T504" t="s">
        <v>28</v>
      </c>
      <c r="U504" t="s">
        <v>961</v>
      </c>
      <c r="V504" s="28" t="s">
        <v>1286</v>
      </c>
      <c r="W504" s="28" t="s">
        <v>1287</v>
      </c>
      <c r="X504" s="28" t="s">
        <v>2566</v>
      </c>
      <c r="Y504" s="28" t="s">
        <v>2567</v>
      </c>
      <c r="Z504" s="28" t="s">
        <v>2568</v>
      </c>
      <c r="AA504" s="28" t="s">
        <v>2569</v>
      </c>
      <c r="AB504" s="28" t="s">
        <v>2570</v>
      </c>
      <c r="AC504" s="28" t="s">
        <v>2571</v>
      </c>
    </row>
    <row r="505" spans="1:29">
      <c r="A505">
        <v>23</v>
      </c>
      <c r="B505">
        <v>2029</v>
      </c>
      <c r="C505">
        <v>2029</v>
      </c>
      <c r="D505" t="s">
        <v>23</v>
      </c>
      <c r="E505" s="22">
        <v>44028</v>
      </c>
      <c r="F505" s="23">
        <v>44028</v>
      </c>
      <c r="G505" t="s">
        <v>965</v>
      </c>
      <c r="H505" t="s">
        <v>28</v>
      </c>
      <c r="I505" t="s">
        <v>23</v>
      </c>
      <c r="J505" t="s">
        <v>58</v>
      </c>
      <c r="K505" t="s">
        <v>100</v>
      </c>
      <c r="L505" t="s">
        <v>564</v>
      </c>
      <c r="M505">
        <v>2024</v>
      </c>
      <c r="N505" t="s">
        <v>851</v>
      </c>
      <c r="O505" t="s">
        <v>866</v>
      </c>
      <c r="P505" t="s">
        <v>21</v>
      </c>
      <c r="Q505" t="s">
        <v>21</v>
      </c>
      <c r="R505" t="s">
        <v>915</v>
      </c>
      <c r="S505" t="s">
        <v>915</v>
      </c>
      <c r="T505" t="s">
        <v>950</v>
      </c>
      <c r="U505" t="s">
        <v>961</v>
      </c>
      <c r="V505" s="28" t="s">
        <v>1290</v>
      </c>
      <c r="W505" s="28" t="s">
        <v>1289</v>
      </c>
      <c r="X505" s="28" t="s">
        <v>2578</v>
      </c>
      <c r="Y505" s="28" t="s">
        <v>2573</v>
      </c>
      <c r="Z505" s="28" t="s">
        <v>2579</v>
      </c>
      <c r="AA505" s="28" t="s">
        <v>2575</v>
      </c>
      <c r="AB505" s="28" t="s">
        <v>2580</v>
      </c>
      <c r="AC505" s="28" t="s">
        <v>2577</v>
      </c>
    </row>
    <row r="506" spans="1:29">
      <c r="A506">
        <v>24</v>
      </c>
      <c r="B506">
        <v>2029</v>
      </c>
      <c r="C506">
        <v>2029</v>
      </c>
      <c r="D506" t="s">
        <v>23</v>
      </c>
      <c r="E506" s="22">
        <v>44028</v>
      </c>
      <c r="F506" s="23">
        <v>44028</v>
      </c>
      <c r="G506" t="s">
        <v>965</v>
      </c>
      <c r="H506" t="s">
        <v>28</v>
      </c>
      <c r="I506" t="s">
        <v>23</v>
      </c>
      <c r="J506" t="s">
        <v>61</v>
      </c>
      <c r="K506" t="s">
        <v>101</v>
      </c>
      <c r="L506" t="s">
        <v>565</v>
      </c>
      <c r="M506">
        <v>2024</v>
      </c>
      <c r="N506" t="s">
        <v>850</v>
      </c>
      <c r="O506" t="s">
        <v>866</v>
      </c>
      <c r="P506" t="s">
        <v>21</v>
      </c>
      <c r="Q506" t="s">
        <v>21</v>
      </c>
      <c r="R506" t="s">
        <v>915</v>
      </c>
      <c r="S506" t="s">
        <v>915</v>
      </c>
      <c r="T506" t="s">
        <v>950</v>
      </c>
      <c r="U506" t="s">
        <v>961</v>
      </c>
      <c r="V506" s="28" t="s">
        <v>1290</v>
      </c>
      <c r="W506" s="28" t="s">
        <v>1289</v>
      </c>
      <c r="X506" s="28" t="s">
        <v>2578</v>
      </c>
      <c r="Y506" s="28" t="s">
        <v>2573</v>
      </c>
      <c r="Z506" s="28" t="s">
        <v>2581</v>
      </c>
      <c r="AA506" s="28" t="s">
        <v>2582</v>
      </c>
      <c r="AB506" s="28" t="s">
        <v>2583</v>
      </c>
      <c r="AC506" s="28" t="s">
        <v>2584</v>
      </c>
    </row>
    <row r="507" spans="1:29">
      <c r="A507">
        <v>25</v>
      </c>
      <c r="B507">
        <v>2029</v>
      </c>
      <c r="C507">
        <v>2029</v>
      </c>
      <c r="D507" t="s">
        <v>23</v>
      </c>
      <c r="E507" s="22">
        <v>44027</v>
      </c>
      <c r="F507" s="23">
        <v>44027</v>
      </c>
      <c r="G507" t="s">
        <v>965</v>
      </c>
      <c r="H507" t="s">
        <v>28</v>
      </c>
      <c r="I507" t="s">
        <v>23</v>
      </c>
      <c r="J507" t="s">
        <v>61</v>
      </c>
      <c r="K507" t="s">
        <v>101</v>
      </c>
      <c r="L507" t="s">
        <v>566</v>
      </c>
      <c r="M507">
        <v>2024</v>
      </c>
      <c r="N507" t="s">
        <v>850</v>
      </c>
      <c r="O507" t="s">
        <v>866</v>
      </c>
      <c r="P507" t="s">
        <v>21</v>
      </c>
      <c r="Q507" t="s">
        <v>21</v>
      </c>
      <c r="R507" t="s">
        <v>920</v>
      </c>
      <c r="S507" t="s">
        <v>921</v>
      </c>
      <c r="T507" t="s">
        <v>959</v>
      </c>
      <c r="U507" t="s">
        <v>961</v>
      </c>
      <c r="V507" s="28" t="s">
        <v>1291</v>
      </c>
      <c r="W507" s="28" t="s">
        <v>1285</v>
      </c>
      <c r="X507" s="28" t="s">
        <v>2585</v>
      </c>
      <c r="Y507" s="28" t="s">
        <v>2561</v>
      </c>
      <c r="Z507" s="28" t="s">
        <v>2586</v>
      </c>
      <c r="AA507" s="28" t="s">
        <v>2587</v>
      </c>
      <c r="AB507" s="28" t="s">
        <v>2588</v>
      </c>
      <c r="AC507" s="28" t="s">
        <v>2589</v>
      </c>
    </row>
    <row r="508" spans="1:29">
      <c r="A508">
        <v>26</v>
      </c>
      <c r="B508">
        <v>2031</v>
      </c>
      <c r="C508">
        <v>2031</v>
      </c>
      <c r="D508" t="s">
        <v>23</v>
      </c>
      <c r="E508" s="22">
        <v>44039</v>
      </c>
      <c r="F508" s="23">
        <v>44039</v>
      </c>
      <c r="G508" t="s">
        <v>965</v>
      </c>
      <c r="H508" t="s">
        <v>28</v>
      </c>
      <c r="I508" t="s">
        <v>23</v>
      </c>
      <c r="J508" t="s">
        <v>61</v>
      </c>
      <c r="K508" t="s">
        <v>101</v>
      </c>
      <c r="L508" t="s">
        <v>567</v>
      </c>
      <c r="M508">
        <v>2022</v>
      </c>
      <c r="N508" t="s">
        <v>850</v>
      </c>
      <c r="O508" t="s">
        <v>866</v>
      </c>
      <c r="P508" t="s">
        <v>21</v>
      </c>
      <c r="Q508" t="s">
        <v>21</v>
      </c>
      <c r="R508" t="s">
        <v>915</v>
      </c>
      <c r="S508" t="s">
        <v>915</v>
      </c>
      <c r="T508" t="s">
        <v>950</v>
      </c>
      <c r="U508" t="s">
        <v>961</v>
      </c>
      <c r="V508" s="28" t="s">
        <v>1292</v>
      </c>
      <c r="W508" s="28" t="s">
        <v>1293</v>
      </c>
      <c r="X508" s="28" t="s">
        <v>2590</v>
      </c>
      <c r="Y508" s="28" t="s">
        <v>2591</v>
      </c>
      <c r="Z508" s="28" t="s">
        <v>2592</v>
      </c>
      <c r="AA508" s="28" t="s">
        <v>2593</v>
      </c>
      <c r="AB508" s="28" t="s">
        <v>2594</v>
      </c>
      <c r="AC508" s="28" t="s">
        <v>2595</v>
      </c>
    </row>
    <row r="509" spans="1:29">
      <c r="A509">
        <v>27</v>
      </c>
      <c r="B509">
        <v>2032</v>
      </c>
      <c r="C509">
        <v>2032</v>
      </c>
      <c r="D509" t="s">
        <v>23</v>
      </c>
      <c r="E509" s="22">
        <v>44051</v>
      </c>
      <c r="F509" s="23">
        <v>44051</v>
      </c>
      <c r="G509" t="s">
        <v>965</v>
      </c>
      <c r="H509" t="s">
        <v>28</v>
      </c>
      <c r="I509" t="s">
        <v>23</v>
      </c>
      <c r="J509" t="s">
        <v>61</v>
      </c>
      <c r="K509" t="s">
        <v>101</v>
      </c>
      <c r="L509" t="s">
        <v>568</v>
      </c>
      <c r="M509">
        <v>2027</v>
      </c>
      <c r="N509" t="s">
        <v>850</v>
      </c>
      <c r="O509" t="s">
        <v>866</v>
      </c>
      <c r="P509" t="s">
        <v>21</v>
      </c>
      <c r="Q509" t="s">
        <v>21</v>
      </c>
      <c r="R509" t="s">
        <v>915</v>
      </c>
      <c r="S509" t="s">
        <v>915</v>
      </c>
      <c r="T509" t="s">
        <v>950</v>
      </c>
      <c r="U509" t="s">
        <v>961</v>
      </c>
      <c r="V509" s="28" t="s">
        <v>1294</v>
      </c>
      <c r="W509" s="28" t="s">
        <v>1293</v>
      </c>
      <c r="X509" s="28" t="s">
        <v>2596</v>
      </c>
      <c r="Y509" s="28" t="s">
        <v>2591</v>
      </c>
      <c r="Z509" s="28" t="s">
        <v>2597</v>
      </c>
      <c r="AA509" s="28" t="s">
        <v>2593</v>
      </c>
      <c r="AB509" s="28" t="s">
        <v>2598</v>
      </c>
      <c r="AC509" s="28" t="s">
        <v>2595</v>
      </c>
    </row>
    <row r="510" spans="1:29">
      <c r="A510">
        <v>28</v>
      </c>
      <c r="B510">
        <v>2032</v>
      </c>
      <c r="C510">
        <v>2032</v>
      </c>
      <c r="D510" t="s">
        <v>23</v>
      </c>
      <c r="E510" s="22">
        <v>44051</v>
      </c>
      <c r="F510" s="23">
        <v>44051</v>
      </c>
      <c r="G510" t="s">
        <v>965</v>
      </c>
      <c r="H510" t="s">
        <v>28</v>
      </c>
      <c r="I510" t="s">
        <v>23</v>
      </c>
      <c r="J510" t="s">
        <v>61</v>
      </c>
      <c r="K510" t="s">
        <v>101</v>
      </c>
      <c r="L510" t="s">
        <v>569</v>
      </c>
      <c r="M510">
        <v>2027</v>
      </c>
      <c r="N510" t="s">
        <v>850</v>
      </c>
      <c r="O510" t="s">
        <v>866</v>
      </c>
      <c r="P510" t="s">
        <v>21</v>
      </c>
      <c r="Q510" t="s">
        <v>21</v>
      </c>
      <c r="R510" t="s">
        <v>915</v>
      </c>
      <c r="S510" t="s">
        <v>915</v>
      </c>
      <c r="T510" t="s">
        <v>950</v>
      </c>
      <c r="U510" t="s">
        <v>961</v>
      </c>
      <c r="V510" s="28" t="s">
        <v>1294</v>
      </c>
      <c r="W510" s="28" t="s">
        <v>1293</v>
      </c>
      <c r="X510" s="28" t="s">
        <v>2596</v>
      </c>
      <c r="Y510" s="28" t="s">
        <v>2591</v>
      </c>
      <c r="Z510" s="28" t="s">
        <v>2597</v>
      </c>
      <c r="AA510" s="28" t="s">
        <v>2593</v>
      </c>
      <c r="AB510" s="28" t="s">
        <v>2598</v>
      </c>
      <c r="AC510" s="28" t="s">
        <v>2595</v>
      </c>
    </row>
    <row r="511" spans="1:29">
      <c r="A511">
        <v>29</v>
      </c>
      <c r="B511">
        <v>2032</v>
      </c>
      <c r="C511">
        <v>2032</v>
      </c>
      <c r="D511" t="s">
        <v>23</v>
      </c>
      <c r="E511" s="22">
        <v>44051</v>
      </c>
      <c r="F511" s="23">
        <v>44051</v>
      </c>
      <c r="G511" t="s">
        <v>965</v>
      </c>
      <c r="H511" t="s">
        <v>28</v>
      </c>
      <c r="I511" t="s">
        <v>23</v>
      </c>
      <c r="J511" t="s">
        <v>61</v>
      </c>
      <c r="K511" t="s">
        <v>101</v>
      </c>
      <c r="L511" t="s">
        <v>570</v>
      </c>
      <c r="M511">
        <v>2027</v>
      </c>
      <c r="N511" t="s">
        <v>850</v>
      </c>
      <c r="O511" t="s">
        <v>866</v>
      </c>
      <c r="P511" t="s">
        <v>21</v>
      </c>
      <c r="Q511" t="s">
        <v>21</v>
      </c>
      <c r="R511" t="s">
        <v>915</v>
      </c>
      <c r="S511" t="s">
        <v>915</v>
      </c>
      <c r="T511" t="s">
        <v>950</v>
      </c>
      <c r="U511" t="s">
        <v>961</v>
      </c>
      <c r="V511" s="28" t="s">
        <v>1294</v>
      </c>
      <c r="W511" s="28" t="s">
        <v>1293</v>
      </c>
      <c r="X511" s="28" t="s">
        <v>2596</v>
      </c>
      <c r="Y511" s="28" t="s">
        <v>2591</v>
      </c>
      <c r="Z511" s="28" t="s">
        <v>2597</v>
      </c>
      <c r="AA511" s="28" t="s">
        <v>2593</v>
      </c>
      <c r="AB511" s="28" t="s">
        <v>2598</v>
      </c>
      <c r="AC511" s="28" t="s">
        <v>2595</v>
      </c>
    </row>
    <row r="512" spans="1:29">
      <c r="A512">
        <v>30</v>
      </c>
      <c r="B512">
        <v>2033</v>
      </c>
      <c r="C512">
        <v>2033</v>
      </c>
      <c r="D512" t="s">
        <v>23</v>
      </c>
      <c r="E512" s="22">
        <v>44053</v>
      </c>
      <c r="F512" s="23">
        <v>44053</v>
      </c>
      <c r="G512" t="s">
        <v>965</v>
      </c>
      <c r="H512" t="s">
        <v>28</v>
      </c>
      <c r="I512" t="s">
        <v>23</v>
      </c>
      <c r="J512" t="s">
        <v>61</v>
      </c>
      <c r="K512" t="s">
        <v>101</v>
      </c>
      <c r="L512" t="s">
        <v>571</v>
      </c>
      <c r="M512">
        <v>2029</v>
      </c>
      <c r="N512" t="s">
        <v>850</v>
      </c>
      <c r="O512" t="s">
        <v>866</v>
      </c>
      <c r="P512" t="s">
        <v>21</v>
      </c>
      <c r="Q512" t="s">
        <v>21</v>
      </c>
      <c r="R512" t="s">
        <v>915</v>
      </c>
      <c r="S512" t="s">
        <v>915</v>
      </c>
      <c r="T512" t="s">
        <v>950</v>
      </c>
      <c r="U512" t="s">
        <v>961</v>
      </c>
      <c r="V512" s="28" t="s">
        <v>1295</v>
      </c>
      <c r="W512" s="28" t="s">
        <v>1293</v>
      </c>
      <c r="X512" s="28" t="s">
        <v>2599</v>
      </c>
      <c r="Y512" s="28" t="s">
        <v>2591</v>
      </c>
      <c r="Z512" s="28" t="s">
        <v>2600</v>
      </c>
      <c r="AA512" s="28" t="s">
        <v>2593</v>
      </c>
      <c r="AB512" s="28" t="s">
        <v>2601</v>
      </c>
      <c r="AC512" s="28" t="s">
        <v>2595</v>
      </c>
    </row>
    <row r="513" spans="1:29">
      <c r="A513">
        <v>31</v>
      </c>
      <c r="B513">
        <v>2033</v>
      </c>
      <c r="C513">
        <v>2033</v>
      </c>
      <c r="D513" t="s">
        <v>23</v>
      </c>
      <c r="E513" s="22">
        <v>44053</v>
      </c>
      <c r="F513" s="23">
        <v>44053</v>
      </c>
      <c r="G513" t="s">
        <v>965</v>
      </c>
      <c r="H513" t="s">
        <v>28</v>
      </c>
      <c r="I513" t="s">
        <v>23</v>
      </c>
      <c r="J513" t="s">
        <v>61</v>
      </c>
      <c r="K513" t="s">
        <v>101</v>
      </c>
      <c r="L513" t="s">
        <v>572</v>
      </c>
      <c r="M513">
        <v>2029</v>
      </c>
      <c r="N513" t="s">
        <v>850</v>
      </c>
      <c r="O513" t="s">
        <v>866</v>
      </c>
      <c r="P513" t="s">
        <v>21</v>
      </c>
      <c r="Q513" t="s">
        <v>21</v>
      </c>
      <c r="R513" t="s">
        <v>915</v>
      </c>
      <c r="S513" t="s">
        <v>915</v>
      </c>
      <c r="T513" t="s">
        <v>950</v>
      </c>
      <c r="U513" t="s">
        <v>961</v>
      </c>
      <c r="V513" s="28" t="s">
        <v>1295</v>
      </c>
      <c r="W513" s="28" t="s">
        <v>1293</v>
      </c>
      <c r="X513" s="28" t="s">
        <v>2599</v>
      </c>
      <c r="Y513" s="28" t="s">
        <v>2591</v>
      </c>
      <c r="Z513" s="28" t="s">
        <v>2600</v>
      </c>
      <c r="AA513" s="28" t="s">
        <v>2593</v>
      </c>
      <c r="AB513" s="28" t="s">
        <v>2601</v>
      </c>
      <c r="AC513" s="28" t="s">
        <v>2595</v>
      </c>
    </row>
    <row r="514" spans="1:29">
      <c r="A514">
        <v>32</v>
      </c>
      <c r="B514">
        <v>2033</v>
      </c>
      <c r="C514">
        <v>2033</v>
      </c>
      <c r="D514" t="s">
        <v>23</v>
      </c>
      <c r="E514" s="22">
        <v>44055</v>
      </c>
      <c r="F514" s="23">
        <v>44055</v>
      </c>
      <c r="G514" t="s">
        <v>965</v>
      </c>
      <c r="H514" t="s">
        <v>28</v>
      </c>
      <c r="I514" t="s">
        <v>23</v>
      </c>
      <c r="J514" t="s">
        <v>58</v>
      </c>
      <c r="K514" t="s">
        <v>100</v>
      </c>
      <c r="L514" t="s">
        <v>573</v>
      </c>
      <c r="M514">
        <v>2026</v>
      </c>
      <c r="N514" t="s">
        <v>851</v>
      </c>
      <c r="O514" t="s">
        <v>866</v>
      </c>
      <c r="P514" t="s">
        <v>21</v>
      </c>
      <c r="Q514" t="s">
        <v>21</v>
      </c>
      <c r="R514" t="s">
        <v>911</v>
      </c>
      <c r="S514" t="s">
        <v>911</v>
      </c>
      <c r="T514" t="s">
        <v>28</v>
      </c>
      <c r="U514" t="s">
        <v>961</v>
      </c>
      <c r="V514" s="28" t="s">
        <v>1296</v>
      </c>
      <c r="W514" s="28" t="s">
        <v>1297</v>
      </c>
      <c r="X514" s="28" t="s">
        <v>2602</v>
      </c>
      <c r="Y514" s="28" t="s">
        <v>2603</v>
      </c>
      <c r="Z514" s="28" t="s">
        <v>2604</v>
      </c>
      <c r="AA514" s="28" t="s">
        <v>2605</v>
      </c>
      <c r="AB514" s="28" t="s">
        <v>2606</v>
      </c>
      <c r="AC514" s="28" t="s">
        <v>2607</v>
      </c>
    </row>
    <row r="515" spans="1:29">
      <c r="A515">
        <v>33</v>
      </c>
      <c r="B515">
        <v>2033</v>
      </c>
      <c r="C515">
        <v>2033</v>
      </c>
      <c r="D515" t="s">
        <v>23</v>
      </c>
      <c r="E515" s="22">
        <v>44058</v>
      </c>
      <c r="F515" s="23">
        <v>44058</v>
      </c>
      <c r="G515" t="s">
        <v>965</v>
      </c>
      <c r="H515" t="s">
        <v>28</v>
      </c>
      <c r="I515" t="s">
        <v>23</v>
      </c>
      <c r="J515" t="s">
        <v>61</v>
      </c>
      <c r="K515" t="s">
        <v>101</v>
      </c>
      <c r="L515" t="s">
        <v>574</v>
      </c>
      <c r="M515">
        <v>2028</v>
      </c>
      <c r="N515" t="s">
        <v>850</v>
      </c>
      <c r="O515" t="s">
        <v>866</v>
      </c>
      <c r="P515" t="s">
        <v>21</v>
      </c>
      <c r="Q515" t="s">
        <v>21</v>
      </c>
      <c r="R515" t="s">
        <v>915</v>
      </c>
      <c r="S515" t="s">
        <v>915</v>
      </c>
      <c r="T515" t="s">
        <v>950</v>
      </c>
      <c r="U515" t="s">
        <v>961</v>
      </c>
      <c r="V515" s="28" t="s">
        <v>1295</v>
      </c>
      <c r="W515" s="28" t="s">
        <v>1293</v>
      </c>
      <c r="X515" s="28" t="s">
        <v>2599</v>
      </c>
      <c r="Y515" s="28" t="s">
        <v>2591</v>
      </c>
      <c r="Z515" s="28" t="s">
        <v>2600</v>
      </c>
      <c r="AA515" s="28" t="s">
        <v>2593</v>
      </c>
      <c r="AB515" s="28" t="s">
        <v>2601</v>
      </c>
      <c r="AC515" s="28" t="s">
        <v>2595</v>
      </c>
    </row>
    <row r="516" spans="1:29">
      <c r="A516">
        <v>40</v>
      </c>
      <c r="B516">
        <v>2035</v>
      </c>
      <c r="C516">
        <v>2035</v>
      </c>
      <c r="D516" t="s">
        <v>23</v>
      </c>
      <c r="E516" s="22">
        <v>44069</v>
      </c>
      <c r="F516" s="23">
        <v>44069</v>
      </c>
      <c r="G516" t="s">
        <v>965</v>
      </c>
      <c r="H516" t="s">
        <v>28</v>
      </c>
      <c r="I516" t="s">
        <v>23</v>
      </c>
      <c r="J516" t="s">
        <v>61</v>
      </c>
      <c r="K516" t="s">
        <v>101</v>
      </c>
      <c r="L516" t="s">
        <v>575</v>
      </c>
      <c r="M516">
        <v>2029</v>
      </c>
      <c r="N516" t="s">
        <v>850</v>
      </c>
      <c r="O516" t="s">
        <v>866</v>
      </c>
      <c r="P516" t="s">
        <v>21</v>
      </c>
      <c r="Q516" t="s">
        <v>21</v>
      </c>
      <c r="R516" t="s">
        <v>921</v>
      </c>
      <c r="S516" t="s">
        <v>921</v>
      </c>
      <c r="T516" t="s">
        <v>959</v>
      </c>
      <c r="U516" t="s">
        <v>961</v>
      </c>
      <c r="V516" s="28" t="s">
        <v>1298</v>
      </c>
      <c r="W516" s="28" t="s">
        <v>1299</v>
      </c>
      <c r="X516" s="28" t="s">
        <v>2608</v>
      </c>
      <c r="Y516" s="28" t="s">
        <v>2609</v>
      </c>
      <c r="Z516" s="28" t="s">
        <v>2610</v>
      </c>
      <c r="AA516" s="28" t="s">
        <v>2611</v>
      </c>
      <c r="AB516" s="28" t="s">
        <v>2612</v>
      </c>
      <c r="AC516" s="28" t="s">
        <v>2613</v>
      </c>
    </row>
    <row r="517" spans="1:29">
      <c r="A517">
        <v>41</v>
      </c>
      <c r="B517">
        <v>2036</v>
      </c>
      <c r="C517">
        <v>2036</v>
      </c>
      <c r="D517" t="s">
        <v>23</v>
      </c>
      <c r="E517" s="22">
        <v>44077</v>
      </c>
      <c r="F517" s="23">
        <v>44077</v>
      </c>
      <c r="G517" t="s">
        <v>965</v>
      </c>
      <c r="H517" t="s">
        <v>28</v>
      </c>
      <c r="I517" t="s">
        <v>23</v>
      </c>
      <c r="J517" t="s">
        <v>58</v>
      </c>
      <c r="K517" t="s">
        <v>100</v>
      </c>
      <c r="L517" t="s">
        <v>576</v>
      </c>
      <c r="M517">
        <v>2027</v>
      </c>
      <c r="N517" t="s">
        <v>851</v>
      </c>
      <c r="O517" t="s">
        <v>866</v>
      </c>
      <c r="P517" t="s">
        <v>21</v>
      </c>
      <c r="Q517" t="s">
        <v>21</v>
      </c>
      <c r="R517" t="s">
        <v>922</v>
      </c>
      <c r="S517" t="s">
        <v>922</v>
      </c>
      <c r="T517" t="s">
        <v>28</v>
      </c>
      <c r="U517" t="s">
        <v>961</v>
      </c>
      <c r="V517" s="28" t="s">
        <v>1300</v>
      </c>
      <c r="W517" s="28" t="s">
        <v>1301</v>
      </c>
      <c r="X517" s="28" t="s">
        <v>2614</v>
      </c>
      <c r="Y517" s="28" t="s">
        <v>2615</v>
      </c>
      <c r="Z517" s="28" t="s">
        <v>2616</v>
      </c>
      <c r="AA517" s="28" t="s">
        <v>2617</v>
      </c>
      <c r="AB517" s="28" t="s">
        <v>2618</v>
      </c>
      <c r="AC517" s="28" t="s">
        <v>2619</v>
      </c>
    </row>
    <row r="518" spans="1:29">
      <c r="A518">
        <v>42</v>
      </c>
      <c r="B518">
        <v>2036</v>
      </c>
      <c r="C518">
        <v>2036</v>
      </c>
      <c r="D518" t="s">
        <v>23</v>
      </c>
      <c r="E518" s="22">
        <v>44077</v>
      </c>
      <c r="F518" s="23">
        <v>44077</v>
      </c>
      <c r="G518" t="s">
        <v>965</v>
      </c>
      <c r="H518" t="s">
        <v>28</v>
      </c>
      <c r="I518" t="s">
        <v>23</v>
      </c>
      <c r="J518" t="s">
        <v>61</v>
      </c>
      <c r="K518" t="s">
        <v>101</v>
      </c>
      <c r="L518" t="s">
        <v>577</v>
      </c>
      <c r="M518">
        <v>2030</v>
      </c>
      <c r="N518" t="s">
        <v>850</v>
      </c>
      <c r="O518" t="s">
        <v>866</v>
      </c>
      <c r="P518" t="s">
        <v>21</v>
      </c>
      <c r="Q518" t="s">
        <v>21</v>
      </c>
      <c r="R518" t="s">
        <v>923</v>
      </c>
      <c r="S518" t="s">
        <v>923</v>
      </c>
      <c r="T518" t="s">
        <v>951</v>
      </c>
      <c r="U518" t="s">
        <v>961</v>
      </c>
      <c r="V518" s="28" t="s">
        <v>1302</v>
      </c>
      <c r="W518" s="28" t="s">
        <v>1303</v>
      </c>
      <c r="X518" s="28" t="s">
        <v>2620</v>
      </c>
      <c r="Y518" s="28" t="s">
        <v>2621</v>
      </c>
      <c r="Z518" s="28" t="s">
        <v>2622</v>
      </c>
      <c r="AA518" s="28" t="s">
        <v>2623</v>
      </c>
      <c r="AB518" s="28" t="s">
        <v>2624</v>
      </c>
      <c r="AC518" s="28" t="s">
        <v>2625</v>
      </c>
    </row>
    <row r="519" spans="1:29">
      <c r="A519">
        <v>43</v>
      </c>
      <c r="B519">
        <v>2037</v>
      </c>
      <c r="C519">
        <v>2037</v>
      </c>
      <c r="D519" t="s">
        <v>23</v>
      </c>
      <c r="E519" s="22">
        <v>44081</v>
      </c>
      <c r="F519" s="23">
        <v>44081</v>
      </c>
      <c r="G519" t="s">
        <v>965</v>
      </c>
      <c r="H519" t="s">
        <v>28</v>
      </c>
      <c r="I519" t="s">
        <v>23</v>
      </c>
      <c r="J519" t="s">
        <v>61</v>
      </c>
      <c r="K519" t="s">
        <v>101</v>
      </c>
      <c r="L519" t="s">
        <v>578</v>
      </c>
      <c r="M519">
        <v>2030</v>
      </c>
      <c r="N519" t="s">
        <v>850</v>
      </c>
      <c r="O519" t="s">
        <v>866</v>
      </c>
      <c r="P519" t="s">
        <v>21</v>
      </c>
      <c r="Q519" t="s">
        <v>21</v>
      </c>
      <c r="R519" t="s">
        <v>924</v>
      </c>
      <c r="S519" t="s">
        <v>924</v>
      </c>
      <c r="T519" t="s">
        <v>951</v>
      </c>
      <c r="U519" t="s">
        <v>961</v>
      </c>
      <c r="V519" s="28" t="s">
        <v>1304</v>
      </c>
      <c r="W519" s="28" t="s">
        <v>1303</v>
      </c>
      <c r="X519" s="28" t="s">
        <v>2626</v>
      </c>
      <c r="Y519" s="28" t="s">
        <v>2621</v>
      </c>
      <c r="Z519" s="28" t="s">
        <v>2627</v>
      </c>
      <c r="AA519" s="28" t="s">
        <v>2623</v>
      </c>
      <c r="AB519" s="28" t="s">
        <v>2628</v>
      </c>
      <c r="AC519" s="28" t="s">
        <v>2625</v>
      </c>
    </row>
    <row r="520" spans="1:29">
      <c r="A520">
        <v>44</v>
      </c>
      <c r="B520">
        <v>2038</v>
      </c>
      <c r="C520">
        <v>2038</v>
      </c>
      <c r="D520" t="s">
        <v>23</v>
      </c>
      <c r="E520" s="22">
        <v>44088</v>
      </c>
      <c r="F520" s="23">
        <v>44088</v>
      </c>
      <c r="G520" t="s">
        <v>965</v>
      </c>
      <c r="H520" t="s">
        <v>28</v>
      </c>
      <c r="I520" t="s">
        <v>23</v>
      </c>
      <c r="J520" t="s">
        <v>58</v>
      </c>
      <c r="K520" t="s">
        <v>100</v>
      </c>
      <c r="L520" t="s">
        <v>579</v>
      </c>
      <c r="M520">
        <v>2032</v>
      </c>
      <c r="N520" t="s">
        <v>851</v>
      </c>
      <c r="O520" t="s">
        <v>866</v>
      </c>
      <c r="P520" t="s">
        <v>21</v>
      </c>
      <c r="Q520" t="s">
        <v>21</v>
      </c>
      <c r="R520" t="s">
        <v>881</v>
      </c>
      <c r="S520" t="s">
        <v>881</v>
      </c>
      <c r="T520" t="s">
        <v>949</v>
      </c>
      <c r="U520" t="s">
        <v>961</v>
      </c>
      <c r="V520" s="28" t="s">
        <v>1305</v>
      </c>
      <c r="W520" s="28" t="s">
        <v>1306</v>
      </c>
      <c r="X520" s="28" t="s">
        <v>2629</v>
      </c>
      <c r="Y520" s="28" t="s">
        <v>2630</v>
      </c>
      <c r="Z520" s="28" t="s">
        <v>2631</v>
      </c>
      <c r="AA520" s="28" t="s">
        <v>2632</v>
      </c>
      <c r="AB520" s="28" t="s">
        <v>2633</v>
      </c>
      <c r="AC520" s="28" t="s">
        <v>2634</v>
      </c>
    </row>
    <row r="521" spans="1:29">
      <c r="A521">
        <v>45</v>
      </c>
      <c r="B521">
        <v>2039</v>
      </c>
      <c r="C521">
        <v>2039</v>
      </c>
      <c r="D521" t="s">
        <v>23</v>
      </c>
      <c r="E521" s="22">
        <v>44099</v>
      </c>
      <c r="F521" s="23">
        <v>44099</v>
      </c>
      <c r="G521" t="s">
        <v>965</v>
      </c>
      <c r="H521" t="s">
        <v>28</v>
      </c>
      <c r="I521" t="s">
        <v>23</v>
      </c>
      <c r="J521" t="s">
        <v>58</v>
      </c>
      <c r="K521" t="s">
        <v>100</v>
      </c>
      <c r="L521" t="s">
        <v>580</v>
      </c>
      <c r="M521">
        <v>2032</v>
      </c>
      <c r="N521" t="s">
        <v>851</v>
      </c>
      <c r="O521" t="s">
        <v>866</v>
      </c>
      <c r="P521" t="s">
        <v>21</v>
      </c>
      <c r="Q521" t="s">
        <v>21</v>
      </c>
      <c r="R521" t="s">
        <v>921</v>
      </c>
      <c r="S521" t="s">
        <v>921</v>
      </c>
      <c r="T521" t="s">
        <v>959</v>
      </c>
      <c r="U521" t="s">
        <v>961</v>
      </c>
      <c r="V521" s="28" t="s">
        <v>1307</v>
      </c>
      <c r="W521" s="28" t="s">
        <v>1308</v>
      </c>
      <c r="X521" s="28" t="s">
        <v>2635</v>
      </c>
      <c r="Y521" s="28" t="s">
        <v>2636</v>
      </c>
      <c r="Z521" s="28" t="s">
        <v>2637</v>
      </c>
      <c r="AA521" s="28" t="s">
        <v>2638</v>
      </c>
      <c r="AB521" s="28" t="s">
        <v>2639</v>
      </c>
      <c r="AC521" s="28" t="s">
        <v>2640</v>
      </c>
    </row>
    <row r="522" spans="1:29">
      <c r="A522">
        <v>46</v>
      </c>
      <c r="B522">
        <v>2040</v>
      </c>
      <c r="C522">
        <v>2040</v>
      </c>
      <c r="D522" t="s">
        <v>23</v>
      </c>
      <c r="E522" s="22">
        <v>44104</v>
      </c>
      <c r="F522" s="23">
        <v>44104</v>
      </c>
      <c r="G522" t="s">
        <v>965</v>
      </c>
      <c r="H522" t="s">
        <v>28</v>
      </c>
      <c r="I522" t="s">
        <v>23</v>
      </c>
      <c r="J522" t="s">
        <v>58</v>
      </c>
      <c r="K522" t="s">
        <v>100</v>
      </c>
      <c r="L522" t="s">
        <v>581</v>
      </c>
      <c r="M522">
        <v>2034</v>
      </c>
      <c r="N522" t="s">
        <v>851</v>
      </c>
      <c r="O522" t="s">
        <v>866</v>
      </c>
      <c r="P522" t="s">
        <v>21</v>
      </c>
      <c r="Q522" t="s">
        <v>21</v>
      </c>
      <c r="R522" t="s">
        <v>915</v>
      </c>
      <c r="S522" t="s">
        <v>915</v>
      </c>
      <c r="T522" t="s">
        <v>950</v>
      </c>
      <c r="U522" t="s">
        <v>961</v>
      </c>
      <c r="V522" s="28" t="s">
        <v>1309</v>
      </c>
      <c r="W522" s="28" t="s">
        <v>1310</v>
      </c>
      <c r="X522" s="28" t="s">
        <v>2641</v>
      </c>
      <c r="Y522" s="28" t="s">
        <v>2642</v>
      </c>
      <c r="Z522" s="28" t="s">
        <v>2643</v>
      </c>
      <c r="AA522" s="28" t="s">
        <v>2644</v>
      </c>
      <c r="AB522" s="28" t="s">
        <v>2645</v>
      </c>
      <c r="AC522" s="28" t="s">
        <v>2646</v>
      </c>
    </row>
    <row r="523" spans="1:29">
      <c r="A523">
        <v>47</v>
      </c>
      <c r="B523">
        <v>2040</v>
      </c>
      <c r="C523">
        <v>2040</v>
      </c>
      <c r="D523" t="s">
        <v>23</v>
      </c>
      <c r="E523" s="22">
        <v>44104</v>
      </c>
      <c r="F523" s="23">
        <v>44104</v>
      </c>
      <c r="G523" t="s">
        <v>965</v>
      </c>
      <c r="H523" t="s">
        <v>28</v>
      </c>
      <c r="I523" t="s">
        <v>23</v>
      </c>
      <c r="J523" t="s">
        <v>58</v>
      </c>
      <c r="K523" t="s">
        <v>100</v>
      </c>
      <c r="L523" t="s">
        <v>582</v>
      </c>
      <c r="M523">
        <v>2024</v>
      </c>
      <c r="N523" t="s">
        <v>851</v>
      </c>
      <c r="O523" t="s">
        <v>866</v>
      </c>
      <c r="P523" t="s">
        <v>21</v>
      </c>
      <c r="Q523" t="s">
        <v>21</v>
      </c>
      <c r="R523" t="s">
        <v>868</v>
      </c>
      <c r="S523" t="s">
        <v>868</v>
      </c>
      <c r="T523" t="s">
        <v>891</v>
      </c>
      <c r="U523" t="s">
        <v>961</v>
      </c>
      <c r="V523" s="28" t="s">
        <v>1311</v>
      </c>
      <c r="W523" s="28" t="s">
        <v>1312</v>
      </c>
      <c r="X523" s="28" t="s">
        <v>2647</v>
      </c>
      <c r="Y523" s="28" t="s">
        <v>2648</v>
      </c>
      <c r="Z523" s="28" t="s">
        <v>2649</v>
      </c>
      <c r="AA523" s="28" t="s">
        <v>2650</v>
      </c>
      <c r="AB523" s="28" t="s">
        <v>2651</v>
      </c>
      <c r="AC523" s="28" t="s">
        <v>2652</v>
      </c>
    </row>
    <row r="524" spans="1:29">
      <c r="A524">
        <v>48</v>
      </c>
      <c r="B524">
        <v>2041</v>
      </c>
      <c r="C524">
        <v>2041</v>
      </c>
      <c r="D524" t="s">
        <v>23</v>
      </c>
      <c r="E524" s="22">
        <v>44112</v>
      </c>
      <c r="F524" s="23">
        <v>44112</v>
      </c>
      <c r="G524" t="s">
        <v>965</v>
      </c>
      <c r="H524" t="s">
        <v>28</v>
      </c>
      <c r="I524" t="s">
        <v>23</v>
      </c>
      <c r="J524" t="s">
        <v>58</v>
      </c>
      <c r="K524" t="s">
        <v>100</v>
      </c>
      <c r="L524" t="s">
        <v>583</v>
      </c>
      <c r="M524">
        <v>2036</v>
      </c>
      <c r="N524" t="s">
        <v>851</v>
      </c>
      <c r="O524" t="s">
        <v>866</v>
      </c>
      <c r="P524" t="s">
        <v>21</v>
      </c>
      <c r="Q524" t="s">
        <v>21</v>
      </c>
      <c r="R524" t="s">
        <v>911</v>
      </c>
      <c r="S524" t="s">
        <v>911</v>
      </c>
      <c r="T524" t="s">
        <v>28</v>
      </c>
      <c r="U524" t="s">
        <v>961</v>
      </c>
      <c r="V524" s="28" t="s">
        <v>1313</v>
      </c>
      <c r="W524" s="28" t="s">
        <v>1314</v>
      </c>
      <c r="X524" s="28" t="s">
        <v>2653</v>
      </c>
      <c r="Y524" s="28" t="s">
        <v>2654</v>
      </c>
      <c r="Z524" s="28" t="s">
        <v>2655</v>
      </c>
      <c r="AA524" s="28" t="s">
        <v>2656</v>
      </c>
      <c r="AB524" s="28" t="s">
        <v>2657</v>
      </c>
      <c r="AC524" s="28" t="s">
        <v>2658</v>
      </c>
    </row>
    <row r="525" spans="1:29">
      <c r="A525">
        <v>49</v>
      </c>
      <c r="B525">
        <v>2041</v>
      </c>
      <c r="C525">
        <v>2041</v>
      </c>
      <c r="D525" t="s">
        <v>23</v>
      </c>
      <c r="E525" s="22">
        <v>44112</v>
      </c>
      <c r="F525" s="23">
        <v>44112</v>
      </c>
      <c r="G525" t="s">
        <v>965</v>
      </c>
      <c r="H525" t="s">
        <v>28</v>
      </c>
      <c r="I525" t="s">
        <v>23</v>
      </c>
      <c r="J525" t="s">
        <v>61</v>
      </c>
      <c r="K525" t="s">
        <v>101</v>
      </c>
      <c r="L525" t="s">
        <v>584</v>
      </c>
      <c r="M525">
        <v>2037</v>
      </c>
      <c r="N525" t="s">
        <v>850</v>
      </c>
      <c r="O525" t="s">
        <v>866</v>
      </c>
      <c r="P525" t="s">
        <v>21</v>
      </c>
      <c r="Q525" t="s">
        <v>21</v>
      </c>
      <c r="R525" t="s">
        <v>915</v>
      </c>
      <c r="S525" t="s">
        <v>915</v>
      </c>
      <c r="T525" t="s">
        <v>950</v>
      </c>
      <c r="U525" t="s">
        <v>961</v>
      </c>
      <c r="V525" s="28" t="s">
        <v>1315</v>
      </c>
      <c r="W525" s="28" t="s">
        <v>1310</v>
      </c>
      <c r="X525" s="28" t="s">
        <v>2659</v>
      </c>
      <c r="Y525" s="28" t="s">
        <v>2642</v>
      </c>
      <c r="Z525" s="28" t="s">
        <v>2660</v>
      </c>
      <c r="AA525" s="28" t="s">
        <v>2661</v>
      </c>
      <c r="AB525" s="28" t="s">
        <v>2662</v>
      </c>
      <c r="AC525" s="28" t="s">
        <v>2663</v>
      </c>
    </row>
    <row r="526" spans="1:29">
      <c r="A526">
        <v>50</v>
      </c>
      <c r="B526">
        <v>2043</v>
      </c>
      <c r="C526">
        <v>2043</v>
      </c>
      <c r="D526" t="s">
        <v>23</v>
      </c>
      <c r="E526" s="22">
        <v>44125</v>
      </c>
      <c r="F526" s="23">
        <v>44125</v>
      </c>
      <c r="G526" t="s">
        <v>965</v>
      </c>
      <c r="H526" t="s">
        <v>28</v>
      </c>
      <c r="I526" t="s">
        <v>23</v>
      </c>
      <c r="J526" t="s">
        <v>58</v>
      </c>
      <c r="K526" t="s">
        <v>100</v>
      </c>
      <c r="L526" t="s">
        <v>585</v>
      </c>
      <c r="M526">
        <v>2039</v>
      </c>
      <c r="N526" t="s">
        <v>851</v>
      </c>
      <c r="O526" t="s">
        <v>866</v>
      </c>
      <c r="P526" t="s">
        <v>21</v>
      </c>
      <c r="Q526" t="s">
        <v>21</v>
      </c>
      <c r="R526" t="s">
        <v>915</v>
      </c>
      <c r="S526" t="s">
        <v>915</v>
      </c>
      <c r="T526" t="s">
        <v>950</v>
      </c>
      <c r="U526" t="s">
        <v>961</v>
      </c>
      <c r="V526" s="28" t="s">
        <v>1316</v>
      </c>
      <c r="W526" s="28" t="s">
        <v>1310</v>
      </c>
      <c r="X526" s="28" t="s">
        <v>2664</v>
      </c>
      <c r="Y526" s="28" t="s">
        <v>2642</v>
      </c>
      <c r="Z526" s="28" t="s">
        <v>2665</v>
      </c>
      <c r="AA526" s="28" t="s">
        <v>2644</v>
      </c>
      <c r="AB526" s="28" t="s">
        <v>2666</v>
      </c>
      <c r="AC526" s="28" t="s">
        <v>2646</v>
      </c>
    </row>
    <row r="527" spans="1:29">
      <c r="A527">
        <v>51</v>
      </c>
      <c r="B527">
        <v>2043</v>
      </c>
      <c r="C527">
        <v>2043</v>
      </c>
      <c r="D527" t="s">
        <v>23</v>
      </c>
      <c r="E527" s="22">
        <v>44126</v>
      </c>
      <c r="F527" s="23">
        <v>44126</v>
      </c>
      <c r="G527" t="s">
        <v>965</v>
      </c>
      <c r="H527" t="s">
        <v>28</v>
      </c>
      <c r="I527" t="s">
        <v>23</v>
      </c>
      <c r="J527" t="s">
        <v>58</v>
      </c>
      <c r="K527" t="s">
        <v>100</v>
      </c>
      <c r="L527" t="s">
        <v>586</v>
      </c>
      <c r="M527">
        <v>2039</v>
      </c>
      <c r="N527" t="s">
        <v>851</v>
      </c>
      <c r="O527" t="s">
        <v>866</v>
      </c>
      <c r="P527" t="s">
        <v>21</v>
      </c>
      <c r="Q527" t="s">
        <v>21</v>
      </c>
      <c r="R527" t="s">
        <v>915</v>
      </c>
      <c r="S527" t="s">
        <v>915</v>
      </c>
      <c r="T527" t="s">
        <v>950</v>
      </c>
      <c r="U527" t="s">
        <v>961</v>
      </c>
      <c r="V527" s="28" t="s">
        <v>1316</v>
      </c>
      <c r="W527" s="28" t="s">
        <v>1310</v>
      </c>
      <c r="X527" s="28" t="s">
        <v>2664</v>
      </c>
      <c r="Y527" s="28" t="s">
        <v>2642</v>
      </c>
      <c r="Z527" s="28" t="s">
        <v>2665</v>
      </c>
      <c r="AA527" s="28" t="s">
        <v>2644</v>
      </c>
      <c r="AB527" s="28" t="s">
        <v>2666</v>
      </c>
      <c r="AC527" s="28" t="s">
        <v>2646</v>
      </c>
    </row>
    <row r="528" spans="1:29">
      <c r="A528">
        <v>52</v>
      </c>
      <c r="B528">
        <v>2049</v>
      </c>
      <c r="C528">
        <v>2049</v>
      </c>
      <c r="D528" t="s">
        <v>23</v>
      </c>
      <c r="E528" s="22">
        <v>44169</v>
      </c>
      <c r="F528" s="23">
        <v>44169</v>
      </c>
      <c r="G528" t="s">
        <v>965</v>
      </c>
      <c r="H528" t="s">
        <v>28</v>
      </c>
      <c r="I528" t="s">
        <v>23</v>
      </c>
      <c r="J528" t="s">
        <v>61</v>
      </c>
      <c r="K528" t="s">
        <v>101</v>
      </c>
      <c r="L528" t="s">
        <v>587</v>
      </c>
      <c r="M528">
        <v>2041</v>
      </c>
      <c r="N528" t="s">
        <v>850</v>
      </c>
      <c r="O528" t="s">
        <v>866</v>
      </c>
      <c r="P528" t="s">
        <v>21</v>
      </c>
      <c r="Q528" t="s">
        <v>21</v>
      </c>
      <c r="R528" t="s">
        <v>891</v>
      </c>
      <c r="S528" t="s">
        <v>891</v>
      </c>
      <c r="T528" t="s">
        <v>891</v>
      </c>
      <c r="U528" t="s">
        <v>961</v>
      </c>
      <c r="V528" s="28" t="s">
        <v>1317</v>
      </c>
      <c r="W528" s="28" t="s">
        <v>1318</v>
      </c>
      <c r="X528" s="28" t="s">
        <v>2667</v>
      </c>
      <c r="Y528" s="28" t="s">
        <v>2668</v>
      </c>
      <c r="Z528" s="28" t="s">
        <v>2669</v>
      </c>
      <c r="AA528" s="28" t="s">
        <v>2670</v>
      </c>
      <c r="AB528" s="28" t="s">
        <v>2671</v>
      </c>
      <c r="AC528" s="28" t="s">
        <v>2672</v>
      </c>
    </row>
    <row r="529" spans="1:29">
      <c r="A529">
        <v>53</v>
      </c>
      <c r="B529">
        <v>2049</v>
      </c>
      <c r="C529">
        <v>2049</v>
      </c>
      <c r="D529" t="s">
        <v>23</v>
      </c>
      <c r="E529" s="22">
        <v>44169</v>
      </c>
      <c r="F529" s="23">
        <v>44169</v>
      </c>
      <c r="G529" t="s">
        <v>965</v>
      </c>
      <c r="H529" t="s">
        <v>28</v>
      </c>
      <c r="I529" t="s">
        <v>23</v>
      </c>
      <c r="J529" t="s">
        <v>61</v>
      </c>
      <c r="K529" t="s">
        <v>101</v>
      </c>
      <c r="L529" t="s">
        <v>588</v>
      </c>
      <c r="M529">
        <v>2042</v>
      </c>
      <c r="N529" t="s">
        <v>850</v>
      </c>
      <c r="O529" t="s">
        <v>866</v>
      </c>
      <c r="P529" t="s">
        <v>21</v>
      </c>
      <c r="Q529" t="s">
        <v>21</v>
      </c>
      <c r="R529" t="s">
        <v>881</v>
      </c>
      <c r="S529" t="s">
        <v>881</v>
      </c>
      <c r="T529" t="s">
        <v>949</v>
      </c>
      <c r="U529" t="s">
        <v>961</v>
      </c>
      <c r="V529" s="28" t="s">
        <v>1319</v>
      </c>
      <c r="W529" s="28" t="s">
        <v>1320</v>
      </c>
      <c r="X529" s="28" t="s">
        <v>2673</v>
      </c>
      <c r="Y529" s="28" t="s">
        <v>2674</v>
      </c>
      <c r="Z529" s="28" t="s">
        <v>2675</v>
      </c>
      <c r="AA529" s="28" t="s">
        <v>2676</v>
      </c>
      <c r="AB529" s="28" t="s">
        <v>2677</v>
      </c>
      <c r="AC529" s="28" t="s">
        <v>2678</v>
      </c>
    </row>
    <row r="530" spans="1:29">
      <c r="A530">
        <v>54</v>
      </c>
      <c r="B530">
        <v>2052</v>
      </c>
      <c r="C530">
        <v>2052</v>
      </c>
      <c r="D530" t="s">
        <v>23</v>
      </c>
      <c r="E530" s="22">
        <v>44188</v>
      </c>
      <c r="F530" s="23">
        <v>44188</v>
      </c>
      <c r="G530" t="s">
        <v>965</v>
      </c>
      <c r="H530" t="s">
        <v>28</v>
      </c>
      <c r="I530" t="s">
        <v>23</v>
      </c>
      <c r="J530" t="s">
        <v>61</v>
      </c>
      <c r="K530" t="s">
        <v>101</v>
      </c>
      <c r="L530" t="s">
        <v>589</v>
      </c>
      <c r="M530">
        <v>2042</v>
      </c>
      <c r="N530" t="s">
        <v>850</v>
      </c>
      <c r="O530" t="s">
        <v>866</v>
      </c>
      <c r="P530" t="s">
        <v>21</v>
      </c>
      <c r="Q530" t="s">
        <v>21</v>
      </c>
      <c r="R530" t="s">
        <v>925</v>
      </c>
      <c r="S530" t="s">
        <v>925</v>
      </c>
      <c r="T530" t="s">
        <v>28</v>
      </c>
      <c r="U530" t="s">
        <v>961</v>
      </c>
      <c r="V530" s="28" t="s">
        <v>1321</v>
      </c>
      <c r="W530" s="28" t="s">
        <v>1322</v>
      </c>
      <c r="X530" s="28" t="s">
        <v>2679</v>
      </c>
      <c r="Y530" s="28" t="s">
        <v>2680</v>
      </c>
      <c r="Z530" s="28" t="s">
        <v>2681</v>
      </c>
      <c r="AA530" s="28" t="s">
        <v>2682</v>
      </c>
      <c r="AB530" s="28" t="s">
        <v>2683</v>
      </c>
      <c r="AC530" s="28" t="s">
        <v>2684</v>
      </c>
    </row>
    <row r="531" spans="1:29">
      <c r="A531">
        <v>55</v>
      </c>
      <c r="B531">
        <v>2101</v>
      </c>
      <c r="C531">
        <v>2101</v>
      </c>
      <c r="D531" t="s">
        <v>23</v>
      </c>
      <c r="E531" s="22">
        <v>44200</v>
      </c>
      <c r="F531" s="23">
        <v>44200</v>
      </c>
      <c r="G531" t="s">
        <v>965</v>
      </c>
      <c r="H531" t="s">
        <v>28</v>
      </c>
      <c r="I531" t="s">
        <v>23</v>
      </c>
      <c r="J531" t="s">
        <v>61</v>
      </c>
      <c r="K531" t="s">
        <v>101</v>
      </c>
      <c r="L531" t="s">
        <v>590</v>
      </c>
      <c r="M531">
        <v>2042</v>
      </c>
      <c r="N531" t="s">
        <v>850</v>
      </c>
      <c r="O531" t="s">
        <v>866</v>
      </c>
      <c r="P531" t="s">
        <v>21</v>
      </c>
      <c r="Q531" t="s">
        <v>21</v>
      </c>
      <c r="R531" t="s">
        <v>915</v>
      </c>
      <c r="S531" t="s">
        <v>915</v>
      </c>
      <c r="T531" t="s">
        <v>950</v>
      </c>
      <c r="U531" t="s">
        <v>961</v>
      </c>
      <c r="V531" s="28" t="s">
        <v>1323</v>
      </c>
      <c r="W531" s="28" t="s">
        <v>1089</v>
      </c>
      <c r="X531" s="28" t="s">
        <v>2685</v>
      </c>
      <c r="Y531" s="28" t="s">
        <v>2686</v>
      </c>
      <c r="Z531" s="28" t="s">
        <v>2687</v>
      </c>
      <c r="AA531" s="28" t="s">
        <v>2688</v>
      </c>
      <c r="AB531" s="28" t="s">
        <v>2689</v>
      </c>
      <c r="AC531" s="28" t="s">
        <v>1807</v>
      </c>
    </row>
    <row r="532" spans="1:29">
      <c r="A532">
        <v>56</v>
      </c>
      <c r="B532">
        <v>2101</v>
      </c>
      <c r="C532">
        <v>2101</v>
      </c>
      <c r="D532" t="s">
        <v>23</v>
      </c>
      <c r="E532" s="22">
        <v>44200</v>
      </c>
      <c r="F532" s="23">
        <v>44200</v>
      </c>
      <c r="G532" t="s">
        <v>965</v>
      </c>
      <c r="H532" t="s">
        <v>28</v>
      </c>
      <c r="I532" t="s">
        <v>23</v>
      </c>
      <c r="J532" t="s">
        <v>61</v>
      </c>
      <c r="K532" t="s">
        <v>101</v>
      </c>
      <c r="L532" t="s">
        <v>591</v>
      </c>
      <c r="M532">
        <v>2047</v>
      </c>
      <c r="N532" t="s">
        <v>850</v>
      </c>
      <c r="O532" t="s">
        <v>866</v>
      </c>
      <c r="P532" t="s">
        <v>21</v>
      </c>
      <c r="Q532" t="s">
        <v>21</v>
      </c>
      <c r="R532" t="s">
        <v>915</v>
      </c>
      <c r="S532" t="s">
        <v>915</v>
      </c>
      <c r="T532" t="s">
        <v>950</v>
      </c>
      <c r="U532" t="s">
        <v>961</v>
      </c>
      <c r="V532" s="28" t="s">
        <v>1323</v>
      </c>
      <c r="W532" s="28" t="s">
        <v>1089</v>
      </c>
      <c r="X532" s="28" t="s">
        <v>2685</v>
      </c>
      <c r="Y532" s="28" t="s">
        <v>2686</v>
      </c>
      <c r="Z532" s="28" t="s">
        <v>2687</v>
      </c>
      <c r="AA532" s="28" t="s">
        <v>2688</v>
      </c>
      <c r="AB532" s="28" t="s">
        <v>2689</v>
      </c>
      <c r="AC532" s="28" t="s">
        <v>1807</v>
      </c>
    </row>
    <row r="533" spans="1:29">
      <c r="A533">
        <v>57</v>
      </c>
      <c r="B533">
        <v>2103</v>
      </c>
      <c r="C533">
        <v>2103</v>
      </c>
      <c r="D533" t="s">
        <v>23</v>
      </c>
      <c r="E533" s="22">
        <v>44215</v>
      </c>
      <c r="F533" s="23">
        <v>44215</v>
      </c>
      <c r="G533" t="s">
        <v>965</v>
      </c>
      <c r="H533" t="s">
        <v>28</v>
      </c>
      <c r="I533" t="s">
        <v>23</v>
      </c>
      <c r="J533" t="s">
        <v>61</v>
      </c>
      <c r="K533" t="s">
        <v>101</v>
      </c>
      <c r="L533" t="s">
        <v>592</v>
      </c>
      <c r="M533">
        <v>2048</v>
      </c>
      <c r="N533" t="s">
        <v>850</v>
      </c>
      <c r="O533" t="s">
        <v>866</v>
      </c>
      <c r="P533" t="s">
        <v>21</v>
      </c>
      <c r="Q533" t="s">
        <v>21</v>
      </c>
      <c r="R533" t="s">
        <v>915</v>
      </c>
      <c r="S533" t="s">
        <v>915</v>
      </c>
      <c r="T533" t="s">
        <v>950</v>
      </c>
      <c r="U533" t="s">
        <v>961</v>
      </c>
      <c r="V533" s="28" t="s">
        <v>1098</v>
      </c>
      <c r="W533" s="28" t="s">
        <v>1089</v>
      </c>
      <c r="X533" s="28" t="s">
        <v>2690</v>
      </c>
      <c r="Y533" s="28" t="s">
        <v>2686</v>
      </c>
      <c r="Z533" s="28" t="s">
        <v>2691</v>
      </c>
      <c r="AA533" s="28" t="s">
        <v>2688</v>
      </c>
      <c r="AB533" s="28" t="s">
        <v>1806</v>
      </c>
      <c r="AC533" s="28" t="s">
        <v>1807</v>
      </c>
    </row>
    <row r="534" spans="1:29">
      <c r="A534">
        <v>58</v>
      </c>
      <c r="B534">
        <v>2104</v>
      </c>
      <c r="C534">
        <v>2104</v>
      </c>
      <c r="D534" t="s">
        <v>23</v>
      </c>
      <c r="E534" s="22">
        <v>44225</v>
      </c>
      <c r="F534" s="23">
        <v>44225</v>
      </c>
      <c r="G534" t="s">
        <v>965</v>
      </c>
      <c r="H534" t="s">
        <v>28</v>
      </c>
      <c r="I534" t="s">
        <v>23</v>
      </c>
      <c r="J534" t="s">
        <v>58</v>
      </c>
      <c r="K534" t="s">
        <v>100</v>
      </c>
      <c r="L534" t="s">
        <v>593</v>
      </c>
      <c r="M534">
        <v>2051</v>
      </c>
      <c r="N534" t="s">
        <v>851</v>
      </c>
      <c r="O534" t="s">
        <v>866</v>
      </c>
      <c r="P534" t="s">
        <v>21</v>
      </c>
      <c r="Q534" t="s">
        <v>21</v>
      </c>
      <c r="R534" t="s">
        <v>891</v>
      </c>
      <c r="S534" t="s">
        <v>891</v>
      </c>
      <c r="T534" t="s">
        <v>891</v>
      </c>
      <c r="U534" t="s">
        <v>961</v>
      </c>
      <c r="V534" s="28" t="s">
        <v>1324</v>
      </c>
      <c r="W534" s="28" t="s">
        <v>1325</v>
      </c>
      <c r="X534" s="28" t="s">
        <v>2692</v>
      </c>
      <c r="Y534" s="28" t="s">
        <v>2693</v>
      </c>
      <c r="Z534" s="28" t="s">
        <v>2694</v>
      </c>
      <c r="AA534" s="28" t="s">
        <v>2695</v>
      </c>
      <c r="AB534" s="28" t="s">
        <v>2696</v>
      </c>
      <c r="AC534" s="28" t="s">
        <v>2697</v>
      </c>
    </row>
    <row r="535" spans="1:29">
      <c r="A535">
        <v>59</v>
      </c>
      <c r="B535">
        <v>2106</v>
      </c>
      <c r="C535">
        <v>2106</v>
      </c>
      <c r="D535" t="s">
        <v>23</v>
      </c>
      <c r="E535" s="22">
        <v>44238</v>
      </c>
      <c r="F535" s="23">
        <v>44238</v>
      </c>
      <c r="G535" t="s">
        <v>965</v>
      </c>
      <c r="H535" t="s">
        <v>28</v>
      </c>
      <c r="I535" t="s">
        <v>23</v>
      </c>
      <c r="J535" t="s">
        <v>61</v>
      </c>
      <c r="K535" t="s">
        <v>101</v>
      </c>
      <c r="L535" t="s">
        <v>594</v>
      </c>
      <c r="M535">
        <v>2101</v>
      </c>
      <c r="N535" t="s">
        <v>850</v>
      </c>
      <c r="O535" t="s">
        <v>866</v>
      </c>
      <c r="P535" t="s">
        <v>21</v>
      </c>
      <c r="Q535" t="s">
        <v>21</v>
      </c>
      <c r="R535" t="s">
        <v>913</v>
      </c>
      <c r="S535" t="s">
        <v>913</v>
      </c>
      <c r="T535" t="s">
        <v>957</v>
      </c>
      <c r="U535" t="s">
        <v>961</v>
      </c>
      <c r="V535" s="28" t="s">
        <v>1326</v>
      </c>
      <c r="W535" s="28" t="s">
        <v>1327</v>
      </c>
      <c r="X535" s="28" t="s">
        <v>2698</v>
      </c>
      <c r="Y535" s="28" t="s">
        <v>2699</v>
      </c>
      <c r="Z535" s="28" t="s">
        <v>2700</v>
      </c>
      <c r="AA535" s="28" t="s">
        <v>2701</v>
      </c>
      <c r="AB535" s="28" t="s">
        <v>2702</v>
      </c>
      <c r="AC535" s="28" t="s">
        <v>2703</v>
      </c>
    </row>
    <row r="536" spans="1:29">
      <c r="A536">
        <v>60</v>
      </c>
      <c r="B536">
        <v>2106</v>
      </c>
      <c r="C536">
        <v>2106</v>
      </c>
      <c r="D536" t="s">
        <v>23</v>
      </c>
      <c r="E536" s="22">
        <v>44238</v>
      </c>
      <c r="F536" s="23">
        <v>44238</v>
      </c>
      <c r="G536" t="s">
        <v>965</v>
      </c>
      <c r="H536" t="s">
        <v>28</v>
      </c>
      <c r="I536" t="s">
        <v>23</v>
      </c>
      <c r="J536" t="s">
        <v>61</v>
      </c>
      <c r="K536" t="s">
        <v>101</v>
      </c>
      <c r="L536" t="s">
        <v>595</v>
      </c>
      <c r="M536">
        <v>2101</v>
      </c>
      <c r="N536" t="s">
        <v>850</v>
      </c>
      <c r="O536" t="s">
        <v>866</v>
      </c>
      <c r="P536" t="s">
        <v>21</v>
      </c>
      <c r="Q536" t="s">
        <v>21</v>
      </c>
      <c r="R536" t="s">
        <v>915</v>
      </c>
      <c r="S536" t="s">
        <v>915</v>
      </c>
      <c r="T536" t="s">
        <v>950</v>
      </c>
      <c r="U536" t="s">
        <v>961</v>
      </c>
      <c r="V536" s="28" t="s">
        <v>1328</v>
      </c>
      <c r="W536" s="28" t="s">
        <v>1114</v>
      </c>
      <c r="X536" s="28" t="s">
        <v>2704</v>
      </c>
      <c r="Y536" s="28" t="s">
        <v>2705</v>
      </c>
      <c r="Z536" s="28" t="s">
        <v>2706</v>
      </c>
      <c r="AA536" s="28" t="s">
        <v>2707</v>
      </c>
      <c r="AB536" s="28" t="s">
        <v>2708</v>
      </c>
      <c r="AC536" s="28" t="s">
        <v>2709</v>
      </c>
    </row>
    <row r="537" spans="1:29">
      <c r="A537">
        <v>61</v>
      </c>
      <c r="B537">
        <v>2106</v>
      </c>
      <c r="C537">
        <v>2106</v>
      </c>
      <c r="D537" t="s">
        <v>23</v>
      </c>
      <c r="E537" s="22">
        <v>44238</v>
      </c>
      <c r="F537" s="23">
        <v>44238</v>
      </c>
      <c r="G537" t="s">
        <v>965</v>
      </c>
      <c r="H537" t="s">
        <v>28</v>
      </c>
      <c r="I537" t="s">
        <v>23</v>
      </c>
      <c r="J537" t="s">
        <v>61</v>
      </c>
      <c r="K537" t="s">
        <v>101</v>
      </c>
      <c r="L537" t="s">
        <v>596</v>
      </c>
      <c r="M537">
        <v>2101</v>
      </c>
      <c r="N537" t="s">
        <v>850</v>
      </c>
      <c r="O537" t="s">
        <v>866</v>
      </c>
      <c r="P537" t="s">
        <v>21</v>
      </c>
      <c r="Q537" t="s">
        <v>21</v>
      </c>
      <c r="R537" t="s">
        <v>926</v>
      </c>
      <c r="S537" t="s">
        <v>926</v>
      </c>
      <c r="T537" t="s">
        <v>952</v>
      </c>
      <c r="U537" t="s">
        <v>961</v>
      </c>
      <c r="V537" s="28" t="s">
        <v>1329</v>
      </c>
      <c r="W537" s="28" t="s">
        <v>1130</v>
      </c>
      <c r="X537" s="28" t="s">
        <v>2710</v>
      </c>
      <c r="Y537" s="28" t="s">
        <v>2711</v>
      </c>
      <c r="Z537" s="28" t="s">
        <v>2712</v>
      </c>
      <c r="AA537" s="28" t="s">
        <v>2713</v>
      </c>
      <c r="AB537" s="28" t="s">
        <v>2714</v>
      </c>
      <c r="AC537" s="28" t="s">
        <v>1925</v>
      </c>
    </row>
    <row r="538" spans="1:29">
      <c r="A538">
        <v>62</v>
      </c>
      <c r="B538">
        <v>2108</v>
      </c>
      <c r="C538">
        <v>2108</v>
      </c>
      <c r="D538" t="s">
        <v>23</v>
      </c>
      <c r="E538" s="22">
        <v>44251</v>
      </c>
      <c r="F538" s="23">
        <v>44251</v>
      </c>
      <c r="G538" t="s">
        <v>965</v>
      </c>
      <c r="H538" t="s">
        <v>28</v>
      </c>
      <c r="I538" t="s">
        <v>23</v>
      </c>
      <c r="J538" t="s">
        <v>61</v>
      </c>
      <c r="K538" t="s">
        <v>101</v>
      </c>
      <c r="L538" t="s">
        <v>597</v>
      </c>
      <c r="M538">
        <v>2104</v>
      </c>
      <c r="N538" t="s">
        <v>850</v>
      </c>
      <c r="O538" t="s">
        <v>866</v>
      </c>
      <c r="P538" t="s">
        <v>21</v>
      </c>
      <c r="Q538" t="s">
        <v>21</v>
      </c>
      <c r="R538" t="s">
        <v>921</v>
      </c>
      <c r="S538" t="s">
        <v>919</v>
      </c>
      <c r="T538" t="s">
        <v>959</v>
      </c>
      <c r="U538" t="s">
        <v>961</v>
      </c>
      <c r="V538" s="28" t="s">
        <v>1330</v>
      </c>
      <c r="W538" s="28" t="s">
        <v>1263</v>
      </c>
      <c r="X538" s="28" t="s">
        <v>2715</v>
      </c>
      <c r="Y538" s="28" t="s">
        <v>2716</v>
      </c>
      <c r="Z538" s="28" t="s">
        <v>2717</v>
      </c>
      <c r="AA538" s="28" t="s">
        <v>2718</v>
      </c>
      <c r="AB538" s="28" t="s">
        <v>2719</v>
      </c>
      <c r="AC538" s="28" t="s">
        <v>2720</v>
      </c>
    </row>
    <row r="539" spans="1:29">
      <c r="A539">
        <v>63</v>
      </c>
      <c r="B539">
        <v>2109</v>
      </c>
      <c r="C539">
        <v>2109</v>
      </c>
      <c r="D539" t="s">
        <v>23</v>
      </c>
      <c r="E539" s="22">
        <v>44256</v>
      </c>
      <c r="F539" s="23">
        <v>44256</v>
      </c>
      <c r="G539" t="s">
        <v>965</v>
      </c>
      <c r="H539" t="s">
        <v>28</v>
      </c>
      <c r="I539" t="s">
        <v>23</v>
      </c>
      <c r="J539" t="s">
        <v>61</v>
      </c>
      <c r="K539" t="s">
        <v>101</v>
      </c>
      <c r="L539" t="s">
        <v>598</v>
      </c>
      <c r="M539">
        <v>2103</v>
      </c>
      <c r="N539" t="s">
        <v>850</v>
      </c>
      <c r="O539" t="s">
        <v>866</v>
      </c>
      <c r="P539" t="s">
        <v>21</v>
      </c>
      <c r="Q539" t="s">
        <v>21</v>
      </c>
      <c r="R539" t="s">
        <v>891</v>
      </c>
      <c r="S539" t="s">
        <v>891</v>
      </c>
      <c r="T539" t="s">
        <v>891</v>
      </c>
      <c r="U539" t="s">
        <v>961</v>
      </c>
      <c r="V539" s="28" t="s">
        <v>1331</v>
      </c>
      <c r="W539" s="28" t="s">
        <v>1332</v>
      </c>
      <c r="X539" s="28" t="s">
        <v>2721</v>
      </c>
      <c r="Y539" s="28" t="s">
        <v>2722</v>
      </c>
      <c r="Z539" s="28" t="s">
        <v>2723</v>
      </c>
      <c r="AA539" s="28" t="s">
        <v>2724</v>
      </c>
      <c r="AB539" s="28" t="s">
        <v>2725</v>
      </c>
      <c r="AC539" s="28" t="s">
        <v>2726</v>
      </c>
    </row>
    <row r="540" spans="1:29">
      <c r="A540">
        <v>64</v>
      </c>
      <c r="B540">
        <v>2112</v>
      </c>
      <c r="C540">
        <v>2112</v>
      </c>
      <c r="D540" t="s">
        <v>23</v>
      </c>
      <c r="E540" s="22">
        <v>44277</v>
      </c>
      <c r="F540" s="23">
        <v>44277</v>
      </c>
      <c r="G540" t="s">
        <v>965</v>
      </c>
      <c r="H540" t="s">
        <v>28</v>
      </c>
      <c r="I540" t="s">
        <v>23</v>
      </c>
      <c r="J540" t="s">
        <v>61</v>
      </c>
      <c r="K540" t="s">
        <v>101</v>
      </c>
      <c r="L540" t="s">
        <v>599</v>
      </c>
      <c r="M540">
        <v>2102</v>
      </c>
      <c r="N540" t="s">
        <v>850</v>
      </c>
      <c r="O540" t="s">
        <v>866</v>
      </c>
      <c r="P540" t="s">
        <v>21</v>
      </c>
      <c r="Q540" t="s">
        <v>21</v>
      </c>
      <c r="R540" t="s">
        <v>883</v>
      </c>
      <c r="S540" t="s">
        <v>883</v>
      </c>
      <c r="T540" t="s">
        <v>959</v>
      </c>
      <c r="U540" t="s">
        <v>961</v>
      </c>
      <c r="V540" s="28" t="s">
        <v>1333</v>
      </c>
      <c r="W540" s="28" t="s">
        <v>1334</v>
      </c>
      <c r="X540" s="28" t="s">
        <v>2727</v>
      </c>
      <c r="Y540" s="28" t="s">
        <v>2728</v>
      </c>
      <c r="Z540" s="28" t="s">
        <v>2729</v>
      </c>
      <c r="AA540" s="28" t="s">
        <v>2730</v>
      </c>
      <c r="AB540" s="28" t="s">
        <v>2731</v>
      </c>
      <c r="AC540" s="28" t="s">
        <v>2732</v>
      </c>
    </row>
    <row r="541" spans="1:29">
      <c r="A541">
        <v>65</v>
      </c>
      <c r="B541">
        <v>2112</v>
      </c>
      <c r="C541">
        <v>2112</v>
      </c>
      <c r="D541" t="s">
        <v>23</v>
      </c>
      <c r="E541" s="22">
        <v>44278</v>
      </c>
      <c r="F541" s="23">
        <v>44278</v>
      </c>
      <c r="G541" t="s">
        <v>965</v>
      </c>
      <c r="H541" t="s">
        <v>28</v>
      </c>
      <c r="I541" t="s">
        <v>23</v>
      </c>
      <c r="J541" t="s">
        <v>61</v>
      </c>
      <c r="K541" t="s">
        <v>101</v>
      </c>
      <c r="L541" t="s">
        <v>600</v>
      </c>
      <c r="M541">
        <v>2103</v>
      </c>
      <c r="N541" t="s">
        <v>850</v>
      </c>
      <c r="O541" t="s">
        <v>866</v>
      </c>
      <c r="P541" t="s">
        <v>21</v>
      </c>
      <c r="Q541" t="s">
        <v>21</v>
      </c>
      <c r="R541" t="s">
        <v>921</v>
      </c>
      <c r="S541" t="s">
        <v>919</v>
      </c>
      <c r="T541" t="s">
        <v>959</v>
      </c>
      <c r="U541" t="s">
        <v>961</v>
      </c>
      <c r="V541" s="28" t="s">
        <v>1333</v>
      </c>
      <c r="W541" s="28" t="s">
        <v>1334</v>
      </c>
      <c r="X541" s="28" t="s">
        <v>2727</v>
      </c>
      <c r="Y541" s="28" t="s">
        <v>2728</v>
      </c>
      <c r="Z541" s="28" t="s">
        <v>2729</v>
      </c>
      <c r="AA541" s="28" t="s">
        <v>2730</v>
      </c>
      <c r="AB541" s="28" t="s">
        <v>2731</v>
      </c>
      <c r="AC541" s="28" t="s">
        <v>2732</v>
      </c>
    </row>
    <row r="542" spans="1:29">
      <c r="A542">
        <v>66</v>
      </c>
      <c r="B542">
        <v>2112</v>
      </c>
      <c r="C542">
        <v>2112</v>
      </c>
      <c r="D542" t="s">
        <v>23</v>
      </c>
      <c r="E542" s="22">
        <v>44278</v>
      </c>
      <c r="F542" s="23">
        <v>44278</v>
      </c>
      <c r="G542" t="s">
        <v>965</v>
      </c>
      <c r="H542" t="s">
        <v>28</v>
      </c>
      <c r="I542" t="s">
        <v>23</v>
      </c>
      <c r="J542" t="s">
        <v>61</v>
      </c>
      <c r="K542" t="s">
        <v>101</v>
      </c>
      <c r="L542" t="s">
        <v>601</v>
      </c>
      <c r="M542">
        <v>2103</v>
      </c>
      <c r="N542" t="s">
        <v>850</v>
      </c>
      <c r="O542" t="s">
        <v>866</v>
      </c>
      <c r="P542" t="s">
        <v>21</v>
      </c>
      <c r="Q542" t="s">
        <v>21</v>
      </c>
      <c r="R542" t="s">
        <v>915</v>
      </c>
      <c r="S542" t="s">
        <v>915</v>
      </c>
      <c r="T542" t="s">
        <v>950</v>
      </c>
      <c r="U542" t="s">
        <v>961</v>
      </c>
      <c r="V542" s="28" t="s">
        <v>1335</v>
      </c>
      <c r="W542" s="28" t="s">
        <v>1148</v>
      </c>
      <c r="X542" s="28" t="s">
        <v>2733</v>
      </c>
      <c r="Y542" s="28" t="s">
        <v>2734</v>
      </c>
      <c r="Z542" s="28" t="s">
        <v>2735</v>
      </c>
      <c r="AA542" s="28" t="s">
        <v>2736</v>
      </c>
      <c r="AB542" s="28" t="s">
        <v>2737</v>
      </c>
      <c r="AC542" s="28" t="s">
        <v>2738</v>
      </c>
    </row>
    <row r="543" spans="1:29">
      <c r="A543">
        <v>67</v>
      </c>
      <c r="B543">
        <v>2113</v>
      </c>
      <c r="C543">
        <v>2113</v>
      </c>
      <c r="D543" t="s">
        <v>23</v>
      </c>
      <c r="E543" s="22">
        <v>44287</v>
      </c>
      <c r="F543" s="23">
        <v>44287</v>
      </c>
      <c r="G543" t="s">
        <v>965</v>
      </c>
      <c r="H543" t="s">
        <v>28</v>
      </c>
      <c r="I543" t="s">
        <v>23</v>
      </c>
      <c r="J543" t="s">
        <v>61</v>
      </c>
      <c r="K543" t="s">
        <v>101</v>
      </c>
      <c r="L543" t="s">
        <v>602</v>
      </c>
      <c r="M543">
        <v>2108</v>
      </c>
      <c r="N543" t="s">
        <v>850</v>
      </c>
      <c r="O543" t="s">
        <v>866</v>
      </c>
      <c r="P543" t="s">
        <v>21</v>
      </c>
      <c r="Q543" t="s">
        <v>21</v>
      </c>
      <c r="R543" t="s">
        <v>881</v>
      </c>
      <c r="S543" t="s">
        <v>881</v>
      </c>
      <c r="T543" t="s">
        <v>949</v>
      </c>
      <c r="U543" t="s">
        <v>961</v>
      </c>
      <c r="V543" s="28" t="s">
        <v>1336</v>
      </c>
      <c r="W543" s="28" t="s">
        <v>1140</v>
      </c>
      <c r="X543" s="28" t="s">
        <v>2739</v>
      </c>
      <c r="Y543" s="28" t="s">
        <v>2740</v>
      </c>
      <c r="Z543" s="28" t="s">
        <v>2741</v>
      </c>
      <c r="AA543" s="28" t="s">
        <v>2742</v>
      </c>
      <c r="AB543" s="28" t="s">
        <v>2743</v>
      </c>
      <c r="AC543" s="28" t="s">
        <v>2744</v>
      </c>
    </row>
    <row r="544" spans="1:29">
      <c r="A544">
        <v>68</v>
      </c>
      <c r="B544">
        <v>2113</v>
      </c>
      <c r="C544">
        <v>2113</v>
      </c>
      <c r="D544" t="s">
        <v>23</v>
      </c>
      <c r="E544" s="22">
        <v>44287</v>
      </c>
      <c r="F544" s="23">
        <v>44287</v>
      </c>
      <c r="G544" t="s">
        <v>965</v>
      </c>
      <c r="H544" t="s">
        <v>28</v>
      </c>
      <c r="I544" t="s">
        <v>23</v>
      </c>
      <c r="J544" t="s">
        <v>61</v>
      </c>
      <c r="K544" t="s">
        <v>101</v>
      </c>
      <c r="L544" t="s">
        <v>603</v>
      </c>
      <c r="M544">
        <v>2107</v>
      </c>
      <c r="N544" t="s">
        <v>850</v>
      </c>
      <c r="O544" t="s">
        <v>866</v>
      </c>
      <c r="P544" t="s">
        <v>21</v>
      </c>
      <c r="Q544" t="s">
        <v>21</v>
      </c>
      <c r="R544" t="s">
        <v>915</v>
      </c>
      <c r="S544" t="s">
        <v>915</v>
      </c>
      <c r="T544" t="s">
        <v>950</v>
      </c>
      <c r="U544" t="s">
        <v>961</v>
      </c>
      <c r="V544" s="28" t="s">
        <v>1337</v>
      </c>
      <c r="W544" s="28" t="s">
        <v>1148</v>
      </c>
      <c r="X544" s="28" t="s">
        <v>2745</v>
      </c>
      <c r="Y544" s="28" t="s">
        <v>2734</v>
      </c>
      <c r="Z544" s="28" t="s">
        <v>2746</v>
      </c>
      <c r="AA544" s="28" t="s">
        <v>2736</v>
      </c>
      <c r="AB544" s="28" t="s">
        <v>2747</v>
      </c>
      <c r="AC544" s="28" t="s">
        <v>2738</v>
      </c>
    </row>
    <row r="545" spans="1:29">
      <c r="A545">
        <v>69</v>
      </c>
      <c r="B545">
        <v>2115</v>
      </c>
      <c r="C545">
        <v>2115</v>
      </c>
      <c r="D545" t="s">
        <v>23</v>
      </c>
      <c r="E545" s="22">
        <v>44298</v>
      </c>
      <c r="F545" s="23">
        <v>44298</v>
      </c>
      <c r="G545" t="s">
        <v>965</v>
      </c>
      <c r="H545" t="s">
        <v>28</v>
      </c>
      <c r="I545" t="s">
        <v>23</v>
      </c>
      <c r="J545" t="s">
        <v>61</v>
      </c>
      <c r="K545" t="s">
        <v>101</v>
      </c>
      <c r="L545" t="s">
        <v>604</v>
      </c>
      <c r="M545">
        <v>2104</v>
      </c>
      <c r="N545" t="s">
        <v>850</v>
      </c>
      <c r="O545" t="s">
        <v>866</v>
      </c>
      <c r="P545" t="s">
        <v>21</v>
      </c>
      <c r="Q545" t="s">
        <v>21</v>
      </c>
      <c r="R545" t="s">
        <v>927</v>
      </c>
      <c r="S545" t="s">
        <v>927</v>
      </c>
      <c r="T545" t="s">
        <v>954</v>
      </c>
      <c r="U545" t="s">
        <v>961</v>
      </c>
      <c r="V545" s="28" t="s">
        <v>1338</v>
      </c>
      <c r="W545" s="28" t="s">
        <v>1339</v>
      </c>
      <c r="X545" s="28" t="s">
        <v>2748</v>
      </c>
      <c r="Y545" s="28" t="s">
        <v>2749</v>
      </c>
      <c r="Z545" s="28" t="s">
        <v>2750</v>
      </c>
      <c r="AA545" s="28" t="s">
        <v>2751</v>
      </c>
      <c r="AB545" s="28" t="s">
        <v>2752</v>
      </c>
      <c r="AC545" s="28" t="s">
        <v>2753</v>
      </c>
    </row>
    <row r="546" spans="1:29">
      <c r="A546">
        <v>70</v>
      </c>
      <c r="B546">
        <v>2115</v>
      </c>
      <c r="C546">
        <v>2115</v>
      </c>
      <c r="D546" t="s">
        <v>23</v>
      </c>
      <c r="E546" s="22">
        <v>44298</v>
      </c>
      <c r="F546" s="23">
        <v>44298</v>
      </c>
      <c r="G546" t="s">
        <v>965</v>
      </c>
      <c r="H546" t="s">
        <v>28</v>
      </c>
      <c r="I546" t="s">
        <v>23</v>
      </c>
      <c r="J546" t="s">
        <v>61</v>
      </c>
      <c r="K546" t="s">
        <v>101</v>
      </c>
      <c r="L546" t="s">
        <v>605</v>
      </c>
      <c r="M546">
        <v>2104</v>
      </c>
      <c r="N546" t="s">
        <v>850</v>
      </c>
      <c r="O546" t="s">
        <v>866</v>
      </c>
      <c r="P546" t="s">
        <v>21</v>
      </c>
      <c r="Q546" t="s">
        <v>21</v>
      </c>
      <c r="R546" t="s">
        <v>911</v>
      </c>
      <c r="S546" t="s">
        <v>911</v>
      </c>
      <c r="T546" t="s">
        <v>28</v>
      </c>
      <c r="U546" t="s">
        <v>961</v>
      </c>
      <c r="V546" s="28" t="s">
        <v>1340</v>
      </c>
      <c r="W546" s="28" t="s">
        <v>1160</v>
      </c>
      <c r="X546" s="28" t="s">
        <v>2754</v>
      </c>
      <c r="Y546" s="28" t="s">
        <v>2755</v>
      </c>
      <c r="Z546" s="28" t="s">
        <v>2756</v>
      </c>
      <c r="AA546" s="28" t="s">
        <v>2757</v>
      </c>
      <c r="AB546" s="28" t="s">
        <v>2758</v>
      </c>
      <c r="AC546" s="28" t="s">
        <v>2759</v>
      </c>
    </row>
    <row r="547" spans="1:29">
      <c r="A547">
        <v>71</v>
      </c>
      <c r="B547">
        <v>2115</v>
      </c>
      <c r="C547">
        <v>2117</v>
      </c>
      <c r="D547" t="s">
        <v>23</v>
      </c>
      <c r="E547" s="22">
        <v>44312</v>
      </c>
      <c r="F547" s="23">
        <v>44298</v>
      </c>
      <c r="G547" t="s">
        <v>965</v>
      </c>
      <c r="H547" t="s">
        <v>28</v>
      </c>
      <c r="I547" t="s">
        <v>23</v>
      </c>
      <c r="J547" t="s">
        <v>61</v>
      </c>
      <c r="K547" t="s">
        <v>101</v>
      </c>
      <c r="L547" t="s">
        <v>606</v>
      </c>
      <c r="M547">
        <v>2109</v>
      </c>
      <c r="N547" t="s">
        <v>850</v>
      </c>
      <c r="O547" t="s">
        <v>866</v>
      </c>
      <c r="P547" t="s">
        <v>21</v>
      </c>
      <c r="Q547" t="s">
        <v>21</v>
      </c>
      <c r="R547" t="s">
        <v>927</v>
      </c>
      <c r="S547" t="s">
        <v>927</v>
      </c>
      <c r="T547" t="s">
        <v>954</v>
      </c>
      <c r="U547" t="s">
        <v>961</v>
      </c>
      <c r="V547" s="28" t="s">
        <v>1338</v>
      </c>
      <c r="W547" s="28" t="s">
        <v>1339</v>
      </c>
      <c r="X547" s="28" t="s">
        <v>2748</v>
      </c>
      <c r="Y547" s="28" t="s">
        <v>2749</v>
      </c>
      <c r="Z547" s="28" t="s">
        <v>2750</v>
      </c>
      <c r="AA547" s="28" t="s">
        <v>2751</v>
      </c>
      <c r="AB547" s="28" t="s">
        <v>2752</v>
      </c>
      <c r="AC547" s="28" t="s">
        <v>2753</v>
      </c>
    </row>
    <row r="548" spans="1:29">
      <c r="A548">
        <v>72</v>
      </c>
      <c r="B548">
        <v>2125</v>
      </c>
      <c r="C548">
        <v>2125</v>
      </c>
      <c r="D548" t="s">
        <v>23</v>
      </c>
      <c r="E548" s="22">
        <v>44370</v>
      </c>
      <c r="F548" s="23">
        <v>44370</v>
      </c>
      <c r="G548" t="s">
        <v>965</v>
      </c>
      <c r="H548" t="s">
        <v>28</v>
      </c>
      <c r="I548" t="s">
        <v>23</v>
      </c>
      <c r="J548" t="s">
        <v>61</v>
      </c>
      <c r="K548" t="s">
        <v>101</v>
      </c>
      <c r="L548" t="s">
        <v>607</v>
      </c>
      <c r="M548">
        <v>2116</v>
      </c>
      <c r="N548" t="s">
        <v>850</v>
      </c>
      <c r="O548" t="s">
        <v>866</v>
      </c>
      <c r="P548" t="s">
        <v>21</v>
      </c>
      <c r="Q548" t="s">
        <v>21</v>
      </c>
      <c r="R548" t="s">
        <v>928</v>
      </c>
      <c r="S548" t="s">
        <v>928</v>
      </c>
      <c r="T548" t="s">
        <v>28</v>
      </c>
      <c r="U548" t="s">
        <v>961</v>
      </c>
      <c r="V548" s="28" t="s">
        <v>1341</v>
      </c>
      <c r="W548" s="28" t="s">
        <v>1342</v>
      </c>
      <c r="X548" s="28" t="s">
        <v>2760</v>
      </c>
      <c r="Y548" s="28" t="s">
        <v>2761</v>
      </c>
      <c r="Z548" s="28" t="s">
        <v>2762</v>
      </c>
      <c r="AA548" s="28" t="s">
        <v>2763</v>
      </c>
      <c r="AB548" s="28" t="s">
        <v>2764</v>
      </c>
      <c r="AC548" s="28" t="s">
        <v>2765</v>
      </c>
    </row>
    <row r="549" spans="1:29">
      <c r="A549">
        <v>1</v>
      </c>
      <c r="B549">
        <v>2022</v>
      </c>
      <c r="C549">
        <v>2022</v>
      </c>
      <c r="D549" t="s">
        <v>23</v>
      </c>
      <c r="E549" s="22">
        <v>43979</v>
      </c>
      <c r="F549" s="23">
        <v>43979</v>
      </c>
      <c r="G549" t="s">
        <v>965</v>
      </c>
      <c r="H549" t="s">
        <v>28</v>
      </c>
      <c r="I549" t="s">
        <v>23</v>
      </c>
      <c r="J549" t="s">
        <v>57</v>
      </c>
      <c r="K549" t="s">
        <v>104</v>
      </c>
      <c r="L549" t="s">
        <v>608</v>
      </c>
      <c r="M549">
        <v>2009</v>
      </c>
      <c r="N549" t="s">
        <v>852</v>
      </c>
      <c r="O549" t="s">
        <v>866</v>
      </c>
      <c r="P549" t="s">
        <v>21</v>
      </c>
      <c r="Q549" t="s">
        <v>21</v>
      </c>
      <c r="R549" t="s">
        <v>881</v>
      </c>
      <c r="S549" t="s">
        <v>881</v>
      </c>
      <c r="T549" t="s">
        <v>949</v>
      </c>
      <c r="U549" t="s">
        <v>961</v>
      </c>
      <c r="V549" s="28" t="s">
        <v>1343</v>
      </c>
      <c r="W549" s="28" t="s">
        <v>1254</v>
      </c>
      <c r="X549" s="28" t="s">
        <v>2766</v>
      </c>
      <c r="Y549" s="28" t="s">
        <v>2543</v>
      </c>
      <c r="Z549" s="28" t="s">
        <v>2767</v>
      </c>
      <c r="AA549" s="28" t="s">
        <v>2768</v>
      </c>
      <c r="AB549" s="28" t="s">
        <v>2769</v>
      </c>
      <c r="AC549" s="28" t="s">
        <v>2770</v>
      </c>
    </row>
    <row r="550" spans="1:29">
      <c r="A550">
        <v>2</v>
      </c>
      <c r="B550">
        <v>2030</v>
      </c>
      <c r="C550">
        <v>2030</v>
      </c>
      <c r="D550" t="s">
        <v>21</v>
      </c>
      <c r="E550" s="22">
        <v>44033</v>
      </c>
      <c r="F550" s="23">
        <v>44033</v>
      </c>
      <c r="G550" t="s">
        <v>965</v>
      </c>
      <c r="H550" t="s">
        <v>28</v>
      </c>
      <c r="I550" t="s">
        <v>21</v>
      </c>
      <c r="J550" t="s">
        <v>57</v>
      </c>
      <c r="K550" t="s">
        <v>104</v>
      </c>
      <c r="L550" t="s">
        <v>609</v>
      </c>
      <c r="M550">
        <v>1947</v>
      </c>
      <c r="N550" t="s">
        <v>852</v>
      </c>
      <c r="O550" t="s">
        <v>866</v>
      </c>
      <c r="P550" t="s">
        <v>21</v>
      </c>
      <c r="Q550" t="s">
        <v>21</v>
      </c>
      <c r="R550" t="s">
        <v>915</v>
      </c>
      <c r="S550" t="s">
        <v>915</v>
      </c>
      <c r="T550" t="s">
        <v>950</v>
      </c>
      <c r="U550" t="s">
        <v>961</v>
      </c>
      <c r="V550" s="28" t="s">
        <v>1344</v>
      </c>
      <c r="W550" s="28" t="s">
        <v>1289</v>
      </c>
      <c r="X550" s="28" t="s">
        <v>2771</v>
      </c>
      <c r="Y550" s="28" t="s">
        <v>2573</v>
      </c>
      <c r="Z550" s="28" t="s">
        <v>2772</v>
      </c>
      <c r="AA550" s="28" t="s">
        <v>2773</v>
      </c>
      <c r="AB550" s="28" t="s">
        <v>2774</v>
      </c>
      <c r="AC550" s="28" t="s">
        <v>2775</v>
      </c>
    </row>
    <row r="551" spans="1:29">
      <c r="A551">
        <v>3</v>
      </c>
      <c r="B551">
        <v>2030</v>
      </c>
      <c r="C551">
        <v>2030</v>
      </c>
      <c r="D551" t="s">
        <v>21</v>
      </c>
      <c r="E551" s="22">
        <v>44034</v>
      </c>
      <c r="F551" s="23">
        <v>44034</v>
      </c>
      <c r="G551" t="s">
        <v>965</v>
      </c>
      <c r="H551" t="s">
        <v>28</v>
      </c>
      <c r="I551" t="s">
        <v>21</v>
      </c>
      <c r="J551" t="s">
        <v>57</v>
      </c>
      <c r="K551" t="s">
        <v>104</v>
      </c>
      <c r="L551" t="s">
        <v>610</v>
      </c>
      <c r="M551">
        <v>2022</v>
      </c>
      <c r="N551" t="s">
        <v>852</v>
      </c>
      <c r="O551" t="s">
        <v>866</v>
      </c>
      <c r="P551" t="s">
        <v>21</v>
      </c>
      <c r="Q551" t="s">
        <v>21</v>
      </c>
      <c r="R551" t="s">
        <v>923</v>
      </c>
      <c r="S551" t="s">
        <v>924</v>
      </c>
      <c r="T551" t="s">
        <v>951</v>
      </c>
      <c r="U551" t="s">
        <v>961</v>
      </c>
      <c r="V551" s="28" t="s">
        <v>1345</v>
      </c>
      <c r="W551" s="28" t="s">
        <v>1346</v>
      </c>
      <c r="X551" s="28" t="s">
        <v>2776</v>
      </c>
      <c r="Y551" s="28" t="s">
        <v>2777</v>
      </c>
      <c r="Z551" s="28" t="s">
        <v>2778</v>
      </c>
      <c r="AA551" s="28" t="s">
        <v>2779</v>
      </c>
      <c r="AB551" s="28" t="s">
        <v>2780</v>
      </c>
      <c r="AC551" s="28" t="s">
        <v>2781</v>
      </c>
    </row>
    <row r="552" spans="1:29">
      <c r="A552">
        <v>4</v>
      </c>
      <c r="B552">
        <v>2032</v>
      </c>
      <c r="C552">
        <v>2032</v>
      </c>
      <c r="D552" t="s">
        <v>23</v>
      </c>
      <c r="E552" s="22">
        <v>44051</v>
      </c>
      <c r="F552" s="23">
        <v>44051</v>
      </c>
      <c r="G552" t="s">
        <v>965</v>
      </c>
      <c r="H552" t="s">
        <v>28</v>
      </c>
      <c r="I552" t="s">
        <v>23</v>
      </c>
      <c r="J552" t="s">
        <v>57</v>
      </c>
      <c r="K552" t="s">
        <v>104</v>
      </c>
      <c r="L552" t="s">
        <v>611</v>
      </c>
      <c r="M552">
        <v>2027</v>
      </c>
      <c r="N552" t="s">
        <v>852</v>
      </c>
      <c r="O552" t="s">
        <v>866</v>
      </c>
      <c r="P552" t="s">
        <v>21</v>
      </c>
      <c r="Q552" t="s">
        <v>21</v>
      </c>
      <c r="R552" t="s">
        <v>881</v>
      </c>
      <c r="S552" t="s">
        <v>881</v>
      </c>
      <c r="T552" t="s">
        <v>949</v>
      </c>
      <c r="U552" t="s">
        <v>961</v>
      </c>
      <c r="V552" s="28" t="s">
        <v>1347</v>
      </c>
      <c r="W552" s="28" t="s">
        <v>1348</v>
      </c>
      <c r="X552" s="28" t="s">
        <v>2782</v>
      </c>
      <c r="Y552" s="28" t="s">
        <v>2783</v>
      </c>
      <c r="Z552" s="28" t="s">
        <v>2784</v>
      </c>
      <c r="AA552" s="28" t="s">
        <v>2785</v>
      </c>
      <c r="AB552" s="28" t="s">
        <v>2786</v>
      </c>
      <c r="AC552" s="28" t="s">
        <v>2787</v>
      </c>
    </row>
    <row r="553" spans="1:29">
      <c r="A553">
        <v>5</v>
      </c>
      <c r="B553">
        <v>2034</v>
      </c>
      <c r="C553">
        <v>2034</v>
      </c>
      <c r="D553" t="s">
        <v>23</v>
      </c>
      <c r="E553" s="22">
        <v>44064</v>
      </c>
      <c r="F553" s="23">
        <v>44064</v>
      </c>
      <c r="G553" t="s">
        <v>965</v>
      </c>
      <c r="H553" t="s">
        <v>28</v>
      </c>
      <c r="I553" t="s">
        <v>23</v>
      </c>
      <c r="J553" t="s">
        <v>57</v>
      </c>
      <c r="K553" t="s">
        <v>104</v>
      </c>
      <c r="L553" t="s">
        <v>612</v>
      </c>
      <c r="M553">
        <v>2028</v>
      </c>
      <c r="N553" t="s">
        <v>852</v>
      </c>
      <c r="O553" t="s">
        <v>866</v>
      </c>
      <c r="P553" t="s">
        <v>21</v>
      </c>
      <c r="Q553" t="s">
        <v>21</v>
      </c>
      <c r="R553" t="s">
        <v>924</v>
      </c>
      <c r="S553" t="s">
        <v>924</v>
      </c>
      <c r="T553" t="s">
        <v>951</v>
      </c>
      <c r="U553" t="s">
        <v>961</v>
      </c>
      <c r="V553" s="28" t="s">
        <v>1349</v>
      </c>
      <c r="W553" s="28" t="s">
        <v>1350</v>
      </c>
      <c r="X553" s="28" t="s">
        <v>2788</v>
      </c>
      <c r="Y553" s="28" t="s">
        <v>2789</v>
      </c>
      <c r="Z553" s="28" t="s">
        <v>2790</v>
      </c>
      <c r="AA553" s="28" t="s">
        <v>2791</v>
      </c>
      <c r="AB553" s="28" t="s">
        <v>2792</v>
      </c>
      <c r="AC553" s="28" t="s">
        <v>2793</v>
      </c>
    </row>
    <row r="554" spans="1:29">
      <c r="A554">
        <v>6</v>
      </c>
      <c r="B554">
        <v>2034</v>
      </c>
      <c r="C554">
        <v>2034</v>
      </c>
      <c r="D554" t="s">
        <v>23</v>
      </c>
      <c r="E554" s="22">
        <v>44064</v>
      </c>
      <c r="F554" s="23">
        <v>44064</v>
      </c>
      <c r="G554" t="s">
        <v>965</v>
      </c>
      <c r="H554" t="s">
        <v>28</v>
      </c>
      <c r="I554" t="s">
        <v>23</v>
      </c>
      <c r="J554" t="s">
        <v>57</v>
      </c>
      <c r="K554" t="s">
        <v>104</v>
      </c>
      <c r="L554" t="s">
        <v>613</v>
      </c>
      <c r="M554">
        <v>2028</v>
      </c>
      <c r="N554" t="s">
        <v>852</v>
      </c>
      <c r="O554" t="s">
        <v>866</v>
      </c>
      <c r="P554" t="s">
        <v>21</v>
      </c>
      <c r="Q554" t="s">
        <v>21</v>
      </c>
      <c r="R554" t="s">
        <v>922</v>
      </c>
      <c r="S554" t="s">
        <v>922</v>
      </c>
      <c r="T554" t="s">
        <v>28</v>
      </c>
      <c r="U554" t="s">
        <v>961</v>
      </c>
      <c r="V554" s="28" t="s">
        <v>1351</v>
      </c>
      <c r="W554" s="28" t="s">
        <v>1297</v>
      </c>
      <c r="X554" s="28" t="s">
        <v>2794</v>
      </c>
      <c r="Y554" s="28" t="s">
        <v>2603</v>
      </c>
      <c r="Z554" s="28" t="s">
        <v>2795</v>
      </c>
      <c r="AA554" s="28" t="s">
        <v>2796</v>
      </c>
      <c r="AB554" s="28" t="s">
        <v>2797</v>
      </c>
      <c r="AC554" s="28" t="s">
        <v>2798</v>
      </c>
    </row>
    <row r="555" spans="1:29">
      <c r="A555">
        <v>7</v>
      </c>
      <c r="B555">
        <v>2036</v>
      </c>
      <c r="C555">
        <v>2036</v>
      </c>
      <c r="D555" t="s">
        <v>23</v>
      </c>
      <c r="E555" s="22">
        <v>44076</v>
      </c>
      <c r="F555" s="23">
        <v>44076</v>
      </c>
      <c r="G555" t="s">
        <v>965</v>
      </c>
      <c r="H555" t="s">
        <v>28</v>
      </c>
      <c r="I555" t="s">
        <v>23</v>
      </c>
      <c r="J555" t="s">
        <v>57</v>
      </c>
      <c r="K555" t="s">
        <v>104</v>
      </c>
      <c r="L555" t="s">
        <v>614</v>
      </c>
      <c r="M555">
        <v>2032</v>
      </c>
      <c r="N555" t="s">
        <v>852</v>
      </c>
      <c r="O555" t="s">
        <v>866</v>
      </c>
      <c r="P555" t="s">
        <v>21</v>
      </c>
      <c r="Q555" t="s">
        <v>21</v>
      </c>
      <c r="R555" t="s">
        <v>922</v>
      </c>
      <c r="S555" t="s">
        <v>922</v>
      </c>
      <c r="T555" t="s">
        <v>28</v>
      </c>
      <c r="U555" t="s">
        <v>961</v>
      </c>
      <c r="V555" s="28" t="s">
        <v>1300</v>
      </c>
      <c r="W555" s="28" t="s">
        <v>1301</v>
      </c>
      <c r="X555" s="28" t="s">
        <v>2614</v>
      </c>
      <c r="Y555" s="28" t="s">
        <v>2615</v>
      </c>
      <c r="Z555" s="28" t="s">
        <v>2799</v>
      </c>
      <c r="AA555" s="28" t="s">
        <v>2800</v>
      </c>
      <c r="AB555" s="28" t="s">
        <v>2801</v>
      </c>
      <c r="AC555" s="28" t="s">
        <v>2802</v>
      </c>
    </row>
    <row r="556" spans="1:29">
      <c r="A556">
        <v>8</v>
      </c>
      <c r="B556">
        <v>2038</v>
      </c>
      <c r="C556">
        <v>2038</v>
      </c>
      <c r="D556" t="s">
        <v>23</v>
      </c>
      <c r="E556" s="22">
        <v>44091</v>
      </c>
      <c r="F556" s="23">
        <v>44091</v>
      </c>
      <c r="G556" t="s">
        <v>965</v>
      </c>
      <c r="H556" t="s">
        <v>28</v>
      </c>
      <c r="I556" t="s">
        <v>23</v>
      </c>
      <c r="J556" t="s">
        <v>57</v>
      </c>
      <c r="K556" t="s">
        <v>104</v>
      </c>
      <c r="L556" t="s">
        <v>615</v>
      </c>
      <c r="M556">
        <v>2033</v>
      </c>
      <c r="N556" t="s">
        <v>852</v>
      </c>
      <c r="O556" t="s">
        <v>866</v>
      </c>
      <c r="P556" t="s">
        <v>21</v>
      </c>
      <c r="Q556" t="s">
        <v>21</v>
      </c>
      <c r="R556" t="s">
        <v>915</v>
      </c>
      <c r="S556" t="s">
        <v>915</v>
      </c>
      <c r="T556" t="s">
        <v>950</v>
      </c>
      <c r="U556" t="s">
        <v>961</v>
      </c>
      <c r="V556" s="28" t="s">
        <v>1352</v>
      </c>
      <c r="W556" s="28" t="s">
        <v>1353</v>
      </c>
      <c r="X556" s="28" t="s">
        <v>2803</v>
      </c>
      <c r="Y556" s="28" t="s">
        <v>2804</v>
      </c>
      <c r="Z556" s="28" t="s">
        <v>2805</v>
      </c>
      <c r="AA556" s="28" t="s">
        <v>2806</v>
      </c>
      <c r="AB556" s="28" t="s">
        <v>2807</v>
      </c>
      <c r="AC556" s="28" t="s">
        <v>2808</v>
      </c>
    </row>
    <row r="557" spans="1:29">
      <c r="A557">
        <v>9</v>
      </c>
      <c r="B557">
        <v>2038</v>
      </c>
      <c r="C557">
        <v>2038</v>
      </c>
      <c r="D557" t="s">
        <v>23</v>
      </c>
      <c r="E557" s="22">
        <v>44091</v>
      </c>
      <c r="F557" s="23">
        <v>44091</v>
      </c>
      <c r="G557" t="s">
        <v>965</v>
      </c>
      <c r="H557" t="s">
        <v>28</v>
      </c>
      <c r="I557" t="s">
        <v>23</v>
      </c>
      <c r="J557" t="s">
        <v>57</v>
      </c>
      <c r="K557" t="s">
        <v>104</v>
      </c>
      <c r="L557" t="s">
        <v>616</v>
      </c>
      <c r="M557">
        <v>2033</v>
      </c>
      <c r="N557" t="s">
        <v>852</v>
      </c>
      <c r="O557" t="s">
        <v>866</v>
      </c>
      <c r="P557" t="s">
        <v>21</v>
      </c>
      <c r="Q557" t="s">
        <v>21</v>
      </c>
      <c r="R557" t="s">
        <v>911</v>
      </c>
      <c r="S557" t="s">
        <v>911</v>
      </c>
      <c r="T557" t="s">
        <v>28</v>
      </c>
      <c r="U557" t="s">
        <v>961</v>
      </c>
      <c r="V557" s="28" t="s">
        <v>1354</v>
      </c>
      <c r="W557" s="28" t="s">
        <v>1301</v>
      </c>
      <c r="X557" s="28" t="s">
        <v>2809</v>
      </c>
      <c r="Y557" s="28" t="s">
        <v>2615</v>
      </c>
      <c r="Z557" s="28" t="s">
        <v>2810</v>
      </c>
      <c r="AA557" s="28" t="s">
        <v>2800</v>
      </c>
      <c r="AB557" s="28" t="s">
        <v>2811</v>
      </c>
      <c r="AC557" s="28" t="s">
        <v>2802</v>
      </c>
    </row>
    <row r="558" spans="1:29">
      <c r="A558">
        <v>10</v>
      </c>
      <c r="B558">
        <v>2049</v>
      </c>
      <c r="C558">
        <v>2049</v>
      </c>
      <c r="D558" t="s">
        <v>23</v>
      </c>
      <c r="E558" s="22">
        <v>44165</v>
      </c>
      <c r="F558" s="23">
        <v>44165</v>
      </c>
      <c r="G558" t="s">
        <v>965</v>
      </c>
      <c r="H558" t="s">
        <v>28</v>
      </c>
      <c r="I558" t="s">
        <v>23</v>
      </c>
      <c r="J558" t="s">
        <v>57</v>
      </c>
      <c r="K558" t="s">
        <v>104</v>
      </c>
      <c r="L558" t="s">
        <v>617</v>
      </c>
      <c r="M558">
        <v>2039</v>
      </c>
      <c r="N558" t="s">
        <v>852</v>
      </c>
      <c r="O558" t="s">
        <v>866</v>
      </c>
      <c r="P558" t="s">
        <v>21</v>
      </c>
      <c r="Q558" t="s">
        <v>21</v>
      </c>
      <c r="R558" t="s">
        <v>922</v>
      </c>
      <c r="S558" t="s">
        <v>922</v>
      </c>
      <c r="T558" t="s">
        <v>28</v>
      </c>
      <c r="U558" t="s">
        <v>961</v>
      </c>
      <c r="V558" s="28" t="s">
        <v>1355</v>
      </c>
      <c r="W558" s="28" t="s">
        <v>1322</v>
      </c>
      <c r="X558" s="28" t="s">
        <v>2812</v>
      </c>
      <c r="Y558" s="28" t="s">
        <v>2680</v>
      </c>
      <c r="Z558" s="28" t="s">
        <v>2813</v>
      </c>
      <c r="AA558" s="28" t="s">
        <v>2814</v>
      </c>
      <c r="AB558" s="28" t="s">
        <v>2815</v>
      </c>
      <c r="AC558" s="28" t="s">
        <v>2816</v>
      </c>
    </row>
    <row r="559" spans="1:29">
      <c r="A559">
        <v>11</v>
      </c>
      <c r="B559">
        <v>2049</v>
      </c>
      <c r="C559">
        <v>2049</v>
      </c>
      <c r="D559" t="s">
        <v>23</v>
      </c>
      <c r="E559" s="22">
        <v>44165</v>
      </c>
      <c r="F559" s="23">
        <v>44165</v>
      </c>
      <c r="G559" t="s">
        <v>965</v>
      </c>
      <c r="H559" t="s">
        <v>28</v>
      </c>
      <c r="I559" t="s">
        <v>23</v>
      </c>
      <c r="J559" t="s">
        <v>57</v>
      </c>
      <c r="K559" t="s">
        <v>104</v>
      </c>
      <c r="L559" t="s">
        <v>618</v>
      </c>
      <c r="M559">
        <v>2039</v>
      </c>
      <c r="N559" t="s">
        <v>852</v>
      </c>
      <c r="O559" t="s">
        <v>866</v>
      </c>
      <c r="P559" t="s">
        <v>21</v>
      </c>
      <c r="Q559" t="s">
        <v>21</v>
      </c>
      <c r="R559" t="s">
        <v>922</v>
      </c>
      <c r="S559" t="s">
        <v>922</v>
      </c>
      <c r="T559" t="s">
        <v>28</v>
      </c>
      <c r="U559" t="s">
        <v>961</v>
      </c>
      <c r="V559" s="28" t="s">
        <v>1355</v>
      </c>
      <c r="W559" s="28" t="s">
        <v>1322</v>
      </c>
      <c r="X559" s="28" t="s">
        <v>2812</v>
      </c>
      <c r="Y559" s="28" t="s">
        <v>2680</v>
      </c>
      <c r="Z559" s="28" t="s">
        <v>2813</v>
      </c>
      <c r="AA559" s="28" t="s">
        <v>2814</v>
      </c>
      <c r="AB559" s="28" t="s">
        <v>2815</v>
      </c>
      <c r="AC559" s="28" t="s">
        <v>2816</v>
      </c>
    </row>
    <row r="560" spans="1:29">
      <c r="A560">
        <v>12</v>
      </c>
      <c r="B560">
        <v>2049</v>
      </c>
      <c r="C560">
        <v>2049</v>
      </c>
      <c r="D560" t="s">
        <v>23</v>
      </c>
      <c r="E560" s="22">
        <v>44165</v>
      </c>
      <c r="F560" s="23">
        <v>44165</v>
      </c>
      <c r="G560" t="s">
        <v>965</v>
      </c>
      <c r="H560" t="s">
        <v>28</v>
      </c>
      <c r="I560" t="s">
        <v>23</v>
      </c>
      <c r="J560" t="s">
        <v>57</v>
      </c>
      <c r="K560" t="s">
        <v>104</v>
      </c>
      <c r="L560" t="s">
        <v>619</v>
      </c>
      <c r="M560">
        <v>2039</v>
      </c>
      <c r="N560" t="s">
        <v>852</v>
      </c>
      <c r="O560" t="s">
        <v>866</v>
      </c>
      <c r="P560" t="s">
        <v>21</v>
      </c>
      <c r="Q560" t="s">
        <v>21</v>
      </c>
      <c r="R560" t="s">
        <v>922</v>
      </c>
      <c r="S560" t="s">
        <v>922</v>
      </c>
      <c r="T560" t="s">
        <v>28</v>
      </c>
      <c r="U560" t="s">
        <v>961</v>
      </c>
      <c r="V560" s="28" t="s">
        <v>1355</v>
      </c>
      <c r="W560" s="28" t="s">
        <v>1322</v>
      </c>
      <c r="X560" s="28" t="s">
        <v>2812</v>
      </c>
      <c r="Y560" s="28" t="s">
        <v>2680</v>
      </c>
      <c r="Z560" s="28" t="s">
        <v>2813</v>
      </c>
      <c r="AA560" s="28" t="s">
        <v>2814</v>
      </c>
      <c r="AB560" s="28" t="s">
        <v>2815</v>
      </c>
      <c r="AC560" s="28" t="s">
        <v>2816</v>
      </c>
    </row>
    <row r="561" spans="1:29">
      <c r="A561">
        <v>13</v>
      </c>
      <c r="B561">
        <v>2049</v>
      </c>
      <c r="C561">
        <v>2049</v>
      </c>
      <c r="D561" t="s">
        <v>23</v>
      </c>
      <c r="E561" s="22">
        <v>44165</v>
      </c>
      <c r="F561" s="23">
        <v>44165</v>
      </c>
      <c r="G561" t="s">
        <v>965</v>
      </c>
      <c r="H561" t="s">
        <v>28</v>
      </c>
      <c r="I561" t="s">
        <v>23</v>
      </c>
      <c r="J561" t="s">
        <v>57</v>
      </c>
      <c r="K561" t="s">
        <v>104</v>
      </c>
      <c r="L561" t="s">
        <v>620</v>
      </c>
      <c r="M561">
        <v>2039</v>
      </c>
      <c r="N561" t="s">
        <v>852</v>
      </c>
      <c r="O561" t="s">
        <v>866</v>
      </c>
      <c r="P561" t="s">
        <v>21</v>
      </c>
      <c r="Q561" t="s">
        <v>21</v>
      </c>
      <c r="R561" t="s">
        <v>922</v>
      </c>
      <c r="S561" t="s">
        <v>922</v>
      </c>
      <c r="T561" t="s">
        <v>28</v>
      </c>
      <c r="U561" t="s">
        <v>961</v>
      </c>
      <c r="V561" s="28" t="s">
        <v>1355</v>
      </c>
      <c r="W561" s="28" t="s">
        <v>1322</v>
      </c>
      <c r="X561" s="28" t="s">
        <v>2812</v>
      </c>
      <c r="Y561" s="28" t="s">
        <v>2680</v>
      </c>
      <c r="Z561" s="28" t="s">
        <v>2813</v>
      </c>
      <c r="AA561" s="28" t="s">
        <v>2814</v>
      </c>
      <c r="AB561" s="28" t="s">
        <v>2815</v>
      </c>
      <c r="AC561" s="28" t="s">
        <v>2816</v>
      </c>
    </row>
    <row r="562" spans="1:29">
      <c r="A562">
        <v>14</v>
      </c>
      <c r="B562">
        <v>2051</v>
      </c>
      <c r="C562">
        <v>2051</v>
      </c>
      <c r="D562" t="s">
        <v>23</v>
      </c>
      <c r="E562" s="22">
        <v>44181</v>
      </c>
      <c r="F562" s="23">
        <v>44181</v>
      </c>
      <c r="G562" t="s">
        <v>965</v>
      </c>
      <c r="H562" t="s">
        <v>28</v>
      </c>
      <c r="I562" t="s">
        <v>23</v>
      </c>
      <c r="J562" t="s">
        <v>57</v>
      </c>
      <c r="K562" t="s">
        <v>104</v>
      </c>
      <c r="L562" t="s">
        <v>621</v>
      </c>
      <c r="M562">
        <v>2045</v>
      </c>
      <c r="N562" t="s">
        <v>852</v>
      </c>
      <c r="O562" t="s">
        <v>866</v>
      </c>
      <c r="P562" t="s">
        <v>21</v>
      </c>
      <c r="Q562" t="s">
        <v>21</v>
      </c>
      <c r="R562" t="s">
        <v>891</v>
      </c>
      <c r="S562" t="s">
        <v>891</v>
      </c>
      <c r="T562" t="s">
        <v>891</v>
      </c>
      <c r="U562" t="s">
        <v>961</v>
      </c>
      <c r="V562" s="28" t="s">
        <v>1356</v>
      </c>
      <c r="W562" s="28" t="s">
        <v>1318</v>
      </c>
      <c r="X562" s="28" t="s">
        <v>2817</v>
      </c>
      <c r="Y562" s="28" t="s">
        <v>2668</v>
      </c>
      <c r="Z562" s="28" t="s">
        <v>2818</v>
      </c>
      <c r="AA562" s="28" t="s">
        <v>2819</v>
      </c>
      <c r="AB562" s="28" t="s">
        <v>2820</v>
      </c>
      <c r="AC562" s="28" t="s">
        <v>2821</v>
      </c>
    </row>
    <row r="563" spans="1:29">
      <c r="A563">
        <v>15</v>
      </c>
      <c r="B563">
        <v>2051</v>
      </c>
      <c r="C563">
        <v>2051</v>
      </c>
      <c r="D563" t="s">
        <v>23</v>
      </c>
      <c r="E563" s="22">
        <v>44181</v>
      </c>
      <c r="F563" s="23">
        <v>44181</v>
      </c>
      <c r="G563" t="s">
        <v>965</v>
      </c>
      <c r="H563" t="s">
        <v>28</v>
      </c>
      <c r="I563" t="s">
        <v>23</v>
      </c>
      <c r="J563" t="s">
        <v>57</v>
      </c>
      <c r="K563" t="s">
        <v>104</v>
      </c>
      <c r="L563" t="s">
        <v>622</v>
      </c>
      <c r="M563">
        <v>2045</v>
      </c>
      <c r="N563" t="s">
        <v>852</v>
      </c>
      <c r="O563" t="s">
        <v>866</v>
      </c>
      <c r="P563" t="s">
        <v>21</v>
      </c>
      <c r="Q563" t="s">
        <v>21</v>
      </c>
      <c r="R563" t="s">
        <v>921</v>
      </c>
      <c r="S563" t="s">
        <v>921</v>
      </c>
      <c r="T563" t="s">
        <v>959</v>
      </c>
      <c r="U563" t="s">
        <v>961</v>
      </c>
      <c r="V563" s="28" t="s">
        <v>1357</v>
      </c>
      <c r="W563" s="28" t="s">
        <v>1260</v>
      </c>
      <c r="X563" s="28" t="s">
        <v>2822</v>
      </c>
      <c r="Y563" s="28" t="s">
        <v>2823</v>
      </c>
      <c r="Z563" s="28" t="s">
        <v>2824</v>
      </c>
      <c r="AA563" s="28" t="s">
        <v>2825</v>
      </c>
      <c r="AB563" s="28" t="s">
        <v>2826</v>
      </c>
      <c r="AC563" s="28" t="s">
        <v>2827</v>
      </c>
    </row>
    <row r="564" spans="1:29">
      <c r="A564">
        <v>16</v>
      </c>
      <c r="B564">
        <v>2112</v>
      </c>
      <c r="C564">
        <v>2112</v>
      </c>
      <c r="D564" t="s">
        <v>23</v>
      </c>
      <c r="E564" s="22">
        <v>44278</v>
      </c>
      <c r="F564" s="23">
        <v>44278</v>
      </c>
      <c r="G564" t="s">
        <v>965</v>
      </c>
      <c r="H564" t="s">
        <v>28</v>
      </c>
      <c r="I564" t="s">
        <v>23</v>
      </c>
      <c r="J564" t="s">
        <v>57</v>
      </c>
      <c r="K564" t="s">
        <v>104</v>
      </c>
      <c r="L564" t="s">
        <v>623</v>
      </c>
      <c r="M564">
        <v>2108</v>
      </c>
      <c r="N564" t="s">
        <v>852</v>
      </c>
      <c r="O564" t="s">
        <v>866</v>
      </c>
      <c r="P564" t="s">
        <v>21</v>
      </c>
      <c r="Q564" t="s">
        <v>21</v>
      </c>
      <c r="R564" t="s">
        <v>881</v>
      </c>
      <c r="S564" t="s">
        <v>881</v>
      </c>
      <c r="T564" t="s">
        <v>949</v>
      </c>
      <c r="U564" t="s">
        <v>961</v>
      </c>
      <c r="V564" s="28" t="s">
        <v>1358</v>
      </c>
      <c r="W564" s="28" t="s">
        <v>1140</v>
      </c>
      <c r="X564" s="28" t="s">
        <v>2828</v>
      </c>
      <c r="Y564" s="28" t="s">
        <v>2740</v>
      </c>
      <c r="Z564" s="28" t="s">
        <v>2829</v>
      </c>
      <c r="AA564" s="28" t="s">
        <v>2830</v>
      </c>
      <c r="AB564" s="28" t="s">
        <v>2831</v>
      </c>
      <c r="AC564" s="28" t="s">
        <v>2832</v>
      </c>
    </row>
    <row r="565" spans="1:29">
      <c r="A565">
        <v>17</v>
      </c>
      <c r="B565">
        <v>2113</v>
      </c>
      <c r="C565">
        <v>2113</v>
      </c>
      <c r="D565" t="s">
        <v>23</v>
      </c>
      <c r="E565" s="22">
        <v>44289</v>
      </c>
      <c r="F565" s="23">
        <v>44289</v>
      </c>
      <c r="G565" t="s">
        <v>965</v>
      </c>
      <c r="H565" t="s">
        <v>28</v>
      </c>
      <c r="I565" t="s">
        <v>23</v>
      </c>
      <c r="J565" t="s">
        <v>57</v>
      </c>
      <c r="K565" t="s">
        <v>104</v>
      </c>
      <c r="L565" t="s">
        <v>624</v>
      </c>
      <c r="M565">
        <v>2107</v>
      </c>
      <c r="N565" t="s">
        <v>852</v>
      </c>
      <c r="O565" t="s">
        <v>866</v>
      </c>
      <c r="P565" t="s">
        <v>21</v>
      </c>
      <c r="Q565" t="s">
        <v>21</v>
      </c>
      <c r="R565" t="s">
        <v>919</v>
      </c>
      <c r="S565" t="s">
        <v>919</v>
      </c>
      <c r="T565" t="s">
        <v>959</v>
      </c>
      <c r="U565" t="s">
        <v>961</v>
      </c>
      <c r="V565" s="28" t="s">
        <v>1359</v>
      </c>
      <c r="W565" s="28" t="s">
        <v>1334</v>
      </c>
      <c r="X565" s="28" t="s">
        <v>2833</v>
      </c>
      <c r="Y565" s="28" t="s">
        <v>2728</v>
      </c>
      <c r="Z565" s="28" t="s">
        <v>2834</v>
      </c>
      <c r="AA565" s="28" t="s">
        <v>2835</v>
      </c>
      <c r="AB565" s="28" t="s">
        <v>2836</v>
      </c>
      <c r="AC565" s="28" t="s">
        <v>2837</v>
      </c>
    </row>
    <row r="566" spans="1:29">
      <c r="A566">
        <v>18</v>
      </c>
      <c r="B566">
        <v>2121</v>
      </c>
      <c r="C566">
        <v>2121</v>
      </c>
      <c r="D566" t="s">
        <v>23</v>
      </c>
      <c r="E566" s="22">
        <v>44342</v>
      </c>
      <c r="F566" s="23">
        <v>44342</v>
      </c>
      <c r="G566" t="s">
        <v>965</v>
      </c>
      <c r="H566" t="s">
        <v>28</v>
      </c>
      <c r="I566" t="s">
        <v>23</v>
      </c>
      <c r="J566" t="s">
        <v>57</v>
      </c>
      <c r="K566" t="s">
        <v>104</v>
      </c>
      <c r="L566" t="s">
        <v>625</v>
      </c>
      <c r="M566">
        <v>2115</v>
      </c>
      <c r="N566" t="s">
        <v>852</v>
      </c>
      <c r="O566" t="s">
        <v>866</v>
      </c>
      <c r="P566" t="s">
        <v>21</v>
      </c>
      <c r="Q566" t="s">
        <v>21</v>
      </c>
      <c r="R566" t="s">
        <v>929</v>
      </c>
      <c r="S566" t="s">
        <v>929</v>
      </c>
      <c r="T566" t="s">
        <v>28</v>
      </c>
      <c r="U566" t="s">
        <v>961</v>
      </c>
      <c r="V566" s="28" t="s">
        <v>1360</v>
      </c>
      <c r="W566" s="28" t="s">
        <v>1167</v>
      </c>
      <c r="X566" s="28" t="s">
        <v>2838</v>
      </c>
      <c r="Y566" s="28" t="s">
        <v>2839</v>
      </c>
      <c r="Z566" s="28" t="s">
        <v>2840</v>
      </c>
      <c r="AA566" s="28" t="s">
        <v>2841</v>
      </c>
      <c r="AB566" s="28" t="s">
        <v>2842</v>
      </c>
      <c r="AC566" s="28" t="s">
        <v>2843</v>
      </c>
    </row>
    <row r="567" spans="1:29">
      <c r="A567">
        <v>1</v>
      </c>
      <c r="B567">
        <v>2031</v>
      </c>
      <c r="C567">
        <v>2031</v>
      </c>
      <c r="D567" t="s">
        <v>23</v>
      </c>
      <c r="E567" s="22">
        <v>44039</v>
      </c>
      <c r="F567" s="23">
        <v>44039</v>
      </c>
      <c r="G567" t="s">
        <v>965</v>
      </c>
      <c r="H567" t="s">
        <v>28</v>
      </c>
      <c r="I567" t="s">
        <v>23</v>
      </c>
      <c r="J567" t="s">
        <v>63</v>
      </c>
      <c r="K567" t="s">
        <v>105</v>
      </c>
      <c r="L567" t="s">
        <v>626</v>
      </c>
      <c r="M567">
        <v>2024</v>
      </c>
      <c r="N567" t="s">
        <v>853</v>
      </c>
      <c r="O567" t="s">
        <v>866</v>
      </c>
      <c r="P567" t="s">
        <v>21</v>
      </c>
      <c r="Q567" t="s">
        <v>21</v>
      </c>
      <c r="R567" t="s">
        <v>923</v>
      </c>
      <c r="S567" t="s">
        <v>923</v>
      </c>
      <c r="T567" t="s">
        <v>951</v>
      </c>
      <c r="U567" t="s">
        <v>961</v>
      </c>
      <c r="V567" s="28" t="s">
        <v>1361</v>
      </c>
      <c r="W567" s="28" t="s">
        <v>1350</v>
      </c>
      <c r="X567" s="28" t="s">
        <v>2844</v>
      </c>
      <c r="Y567" s="28" t="s">
        <v>2789</v>
      </c>
      <c r="Z567" s="28" t="s">
        <v>2845</v>
      </c>
      <c r="AA567" s="28" t="s">
        <v>2846</v>
      </c>
      <c r="AB567" s="28" t="s">
        <v>2847</v>
      </c>
      <c r="AC567" s="28" t="s">
        <v>2848</v>
      </c>
    </row>
    <row r="568" spans="1:29">
      <c r="A568">
        <v>2</v>
      </c>
      <c r="B568">
        <v>2032</v>
      </c>
      <c r="C568">
        <v>2032</v>
      </c>
      <c r="D568" t="s">
        <v>23</v>
      </c>
      <c r="E568" s="22">
        <v>44046</v>
      </c>
      <c r="F568" s="23">
        <v>44046</v>
      </c>
      <c r="G568" t="s">
        <v>965</v>
      </c>
      <c r="H568" t="s">
        <v>28</v>
      </c>
      <c r="I568" t="s">
        <v>23</v>
      </c>
      <c r="J568" t="s">
        <v>64</v>
      </c>
      <c r="K568" t="s">
        <v>106</v>
      </c>
      <c r="L568" t="s">
        <v>627</v>
      </c>
      <c r="M568">
        <v>2023</v>
      </c>
      <c r="N568" t="s">
        <v>854</v>
      </c>
      <c r="O568">
        <v>0</v>
      </c>
      <c r="P568" t="s">
        <v>21</v>
      </c>
      <c r="Q568" t="s">
        <v>21</v>
      </c>
      <c r="R568" t="s">
        <v>923</v>
      </c>
      <c r="S568" t="s">
        <v>923</v>
      </c>
      <c r="T568" t="s">
        <v>951</v>
      </c>
      <c r="U568" t="s">
        <v>961</v>
      </c>
      <c r="V568" s="28" t="s">
        <v>1362</v>
      </c>
      <c r="W568" s="28" t="s">
        <v>1350</v>
      </c>
      <c r="X568" s="28" t="s">
        <v>2849</v>
      </c>
      <c r="Y568" s="28" t="s">
        <v>2789</v>
      </c>
      <c r="Z568" s="28" t="s">
        <v>2850</v>
      </c>
      <c r="AA568" s="28" t="s">
        <v>2851</v>
      </c>
      <c r="AB568" s="28" t="s">
        <v>2852</v>
      </c>
      <c r="AC568" s="28" t="s">
        <v>2853</v>
      </c>
    </row>
    <row r="569" spans="1:29">
      <c r="A569">
        <v>3</v>
      </c>
      <c r="B569">
        <v>2032</v>
      </c>
      <c r="C569">
        <v>2032</v>
      </c>
      <c r="D569" t="s">
        <v>23</v>
      </c>
      <c r="E569" s="22">
        <v>44047</v>
      </c>
      <c r="F569" s="23">
        <v>44047</v>
      </c>
      <c r="G569" t="s">
        <v>965</v>
      </c>
      <c r="H569" t="s">
        <v>28</v>
      </c>
      <c r="I569" t="s">
        <v>23</v>
      </c>
      <c r="J569" t="s">
        <v>64</v>
      </c>
      <c r="K569" t="s">
        <v>106</v>
      </c>
      <c r="L569" t="s">
        <v>628</v>
      </c>
      <c r="M569">
        <v>2023</v>
      </c>
      <c r="N569" t="s">
        <v>854</v>
      </c>
      <c r="O569">
        <v>0</v>
      </c>
      <c r="P569" t="s">
        <v>21</v>
      </c>
      <c r="Q569" t="s">
        <v>21</v>
      </c>
      <c r="R569" t="s">
        <v>922</v>
      </c>
      <c r="S569" t="s">
        <v>922</v>
      </c>
      <c r="T569" t="s">
        <v>28</v>
      </c>
      <c r="U569" t="s">
        <v>961</v>
      </c>
      <c r="V569" s="28" t="s">
        <v>1363</v>
      </c>
      <c r="W569" s="28" t="s">
        <v>1297</v>
      </c>
      <c r="X569" s="28" t="s">
        <v>2854</v>
      </c>
      <c r="Y569" s="28" t="s">
        <v>2603</v>
      </c>
      <c r="Z569" s="28" t="s">
        <v>2855</v>
      </c>
      <c r="AA569" s="28" t="s">
        <v>2856</v>
      </c>
      <c r="AB569" s="28" t="s">
        <v>2857</v>
      </c>
      <c r="AC569" s="28" t="s">
        <v>2858</v>
      </c>
    </row>
    <row r="570" spans="1:29">
      <c r="A570">
        <v>4</v>
      </c>
      <c r="B570">
        <v>2032</v>
      </c>
      <c r="C570">
        <v>2032</v>
      </c>
      <c r="D570" t="s">
        <v>23</v>
      </c>
      <c r="E570" s="22">
        <v>44051</v>
      </c>
      <c r="F570" s="23">
        <v>44051</v>
      </c>
      <c r="G570" t="s">
        <v>965</v>
      </c>
      <c r="H570" t="s">
        <v>28</v>
      </c>
      <c r="I570" t="s">
        <v>23</v>
      </c>
      <c r="J570" t="s">
        <v>64</v>
      </c>
      <c r="K570" t="s">
        <v>106</v>
      </c>
      <c r="L570" t="s">
        <v>629</v>
      </c>
      <c r="M570">
        <v>2023</v>
      </c>
      <c r="N570" t="s">
        <v>854</v>
      </c>
      <c r="O570">
        <v>0</v>
      </c>
      <c r="P570" t="s">
        <v>21</v>
      </c>
      <c r="Q570" t="s">
        <v>21</v>
      </c>
      <c r="R570" t="s">
        <v>923</v>
      </c>
      <c r="S570" t="s">
        <v>923</v>
      </c>
      <c r="T570" t="s">
        <v>951</v>
      </c>
      <c r="U570" t="s">
        <v>961</v>
      </c>
      <c r="V570" s="28" t="s">
        <v>1362</v>
      </c>
      <c r="W570" s="28" t="s">
        <v>1350</v>
      </c>
      <c r="X570" s="28" t="s">
        <v>2849</v>
      </c>
      <c r="Y570" s="28" t="s">
        <v>2789</v>
      </c>
      <c r="Z570" s="28" t="s">
        <v>2850</v>
      </c>
      <c r="AA570" s="28" t="s">
        <v>2851</v>
      </c>
      <c r="AB570" s="28" t="s">
        <v>2852</v>
      </c>
      <c r="AC570" s="28" t="s">
        <v>2853</v>
      </c>
    </row>
    <row r="571" spans="1:29">
      <c r="A571">
        <v>6</v>
      </c>
      <c r="B571">
        <v>2033</v>
      </c>
      <c r="C571">
        <v>2033</v>
      </c>
      <c r="D571" t="s">
        <v>23</v>
      </c>
      <c r="E571" s="22">
        <v>44058</v>
      </c>
      <c r="F571" s="23">
        <v>44058</v>
      </c>
      <c r="G571" t="s">
        <v>965</v>
      </c>
      <c r="H571" t="s">
        <v>28</v>
      </c>
      <c r="I571" t="s">
        <v>23</v>
      </c>
      <c r="J571" t="s">
        <v>64</v>
      </c>
      <c r="K571" t="s">
        <v>106</v>
      </c>
      <c r="L571" t="s">
        <v>630</v>
      </c>
      <c r="M571">
        <v>2028</v>
      </c>
      <c r="N571" t="s">
        <v>854</v>
      </c>
      <c r="O571">
        <v>0</v>
      </c>
      <c r="P571" t="s">
        <v>21</v>
      </c>
      <c r="Q571" t="s">
        <v>21</v>
      </c>
      <c r="R571" t="s">
        <v>922</v>
      </c>
      <c r="S571" t="s">
        <v>922</v>
      </c>
      <c r="T571" t="s">
        <v>28</v>
      </c>
      <c r="U571" t="s">
        <v>961</v>
      </c>
      <c r="V571" s="28" t="s">
        <v>1296</v>
      </c>
      <c r="W571" s="28" t="s">
        <v>1297</v>
      </c>
      <c r="X571" s="28" t="s">
        <v>2602</v>
      </c>
      <c r="Y571" s="28" t="s">
        <v>2603</v>
      </c>
      <c r="Z571" s="28" t="s">
        <v>2859</v>
      </c>
      <c r="AA571" s="28" t="s">
        <v>2856</v>
      </c>
      <c r="AB571" s="28" t="s">
        <v>2860</v>
      </c>
      <c r="AC571" s="28" t="s">
        <v>2858</v>
      </c>
    </row>
    <row r="572" spans="1:29">
      <c r="A572">
        <v>8</v>
      </c>
      <c r="B572">
        <v>2033</v>
      </c>
      <c r="C572">
        <v>2033</v>
      </c>
      <c r="D572" t="s">
        <v>23</v>
      </c>
      <c r="E572" s="22">
        <v>44058</v>
      </c>
      <c r="F572" s="23">
        <v>44058</v>
      </c>
      <c r="G572" t="s">
        <v>965</v>
      </c>
      <c r="H572" t="s">
        <v>28</v>
      </c>
      <c r="I572" t="s">
        <v>23</v>
      </c>
      <c r="J572" t="s">
        <v>64</v>
      </c>
      <c r="K572" t="s">
        <v>106</v>
      </c>
      <c r="L572" t="s">
        <v>631</v>
      </c>
      <c r="M572">
        <v>2028</v>
      </c>
      <c r="N572" t="s">
        <v>854</v>
      </c>
      <c r="O572">
        <v>0</v>
      </c>
      <c r="P572" t="s">
        <v>21</v>
      </c>
      <c r="Q572" t="s">
        <v>21</v>
      </c>
      <c r="R572" t="s">
        <v>911</v>
      </c>
      <c r="S572" t="s">
        <v>911</v>
      </c>
      <c r="T572" t="s">
        <v>28</v>
      </c>
      <c r="U572" t="s">
        <v>961</v>
      </c>
      <c r="V572" s="28" t="s">
        <v>1296</v>
      </c>
      <c r="W572" s="28" t="s">
        <v>1297</v>
      </c>
      <c r="X572" s="28" t="s">
        <v>2602</v>
      </c>
      <c r="Y572" s="28" t="s">
        <v>2603</v>
      </c>
      <c r="Z572" s="28" t="s">
        <v>2859</v>
      </c>
      <c r="AA572" s="28" t="s">
        <v>2856</v>
      </c>
      <c r="AB572" s="28" t="s">
        <v>2860</v>
      </c>
      <c r="AC572" s="28" t="s">
        <v>2858</v>
      </c>
    </row>
    <row r="573" spans="1:29">
      <c r="A573">
        <v>9</v>
      </c>
      <c r="B573">
        <v>2033</v>
      </c>
      <c r="C573">
        <v>2033</v>
      </c>
      <c r="D573" t="s">
        <v>23</v>
      </c>
      <c r="E573" s="22">
        <v>44057</v>
      </c>
      <c r="F573" s="23">
        <v>44057</v>
      </c>
      <c r="G573" t="s">
        <v>965</v>
      </c>
      <c r="H573" t="s">
        <v>28</v>
      </c>
      <c r="I573" t="s">
        <v>23</v>
      </c>
      <c r="J573" t="s">
        <v>64</v>
      </c>
      <c r="K573" t="s">
        <v>106</v>
      </c>
      <c r="L573" t="s">
        <v>632</v>
      </c>
      <c r="M573">
        <v>2029</v>
      </c>
      <c r="N573" t="s">
        <v>854</v>
      </c>
      <c r="O573">
        <v>0</v>
      </c>
      <c r="P573" t="s">
        <v>21</v>
      </c>
      <c r="Q573" t="s">
        <v>21</v>
      </c>
      <c r="R573" t="s">
        <v>930</v>
      </c>
      <c r="S573" t="s">
        <v>908</v>
      </c>
      <c r="T573" t="s">
        <v>959</v>
      </c>
      <c r="U573" t="s">
        <v>961</v>
      </c>
      <c r="V573" s="28" t="s">
        <v>1364</v>
      </c>
      <c r="W573" s="28" t="s">
        <v>1299</v>
      </c>
      <c r="X573" s="28" t="s">
        <v>2861</v>
      </c>
      <c r="Y573" s="28" t="s">
        <v>2609</v>
      </c>
      <c r="Z573" s="28" t="s">
        <v>2862</v>
      </c>
      <c r="AA573" s="28" t="s">
        <v>2863</v>
      </c>
      <c r="AB573" s="28" t="s">
        <v>2864</v>
      </c>
      <c r="AC573" s="28" t="s">
        <v>2865</v>
      </c>
    </row>
    <row r="574" spans="1:29">
      <c r="A574">
        <v>10</v>
      </c>
      <c r="B574">
        <v>2034</v>
      </c>
      <c r="C574">
        <v>2034</v>
      </c>
      <c r="D574" t="s">
        <v>23</v>
      </c>
      <c r="E574" s="22">
        <v>44061</v>
      </c>
      <c r="F574" s="23">
        <v>44061</v>
      </c>
      <c r="G574" t="s">
        <v>965</v>
      </c>
      <c r="H574" t="s">
        <v>28</v>
      </c>
      <c r="I574" t="s">
        <v>23</v>
      </c>
      <c r="J574" t="s">
        <v>64</v>
      </c>
      <c r="K574" t="s">
        <v>106</v>
      </c>
      <c r="L574" t="s">
        <v>633</v>
      </c>
      <c r="M574">
        <v>2030</v>
      </c>
      <c r="N574" t="s">
        <v>854</v>
      </c>
      <c r="O574">
        <v>0</v>
      </c>
      <c r="P574" t="s">
        <v>21</v>
      </c>
      <c r="Q574" t="s">
        <v>21</v>
      </c>
      <c r="R574" t="s">
        <v>922</v>
      </c>
      <c r="S574" t="s">
        <v>922</v>
      </c>
      <c r="T574" t="s">
        <v>28</v>
      </c>
      <c r="U574" t="s">
        <v>961</v>
      </c>
      <c r="V574" s="28" t="s">
        <v>1351</v>
      </c>
      <c r="W574" s="28" t="s">
        <v>1297</v>
      </c>
      <c r="X574" s="28" t="s">
        <v>2794</v>
      </c>
      <c r="Y574" s="28" t="s">
        <v>2603</v>
      </c>
      <c r="Z574" s="28" t="s">
        <v>2866</v>
      </c>
      <c r="AA574" s="28" t="s">
        <v>2856</v>
      </c>
      <c r="AB574" s="28" t="s">
        <v>2867</v>
      </c>
      <c r="AC574" s="28" t="s">
        <v>2858</v>
      </c>
    </row>
    <row r="575" spans="1:29">
      <c r="A575">
        <v>11</v>
      </c>
      <c r="B575">
        <v>2034</v>
      </c>
      <c r="C575">
        <v>2034</v>
      </c>
      <c r="D575" t="s">
        <v>23</v>
      </c>
      <c r="E575" s="22">
        <v>44062</v>
      </c>
      <c r="F575" s="23">
        <v>44062</v>
      </c>
      <c r="G575" t="s">
        <v>965</v>
      </c>
      <c r="H575" t="s">
        <v>28</v>
      </c>
      <c r="I575" t="s">
        <v>23</v>
      </c>
      <c r="J575" t="s">
        <v>64</v>
      </c>
      <c r="K575" t="s">
        <v>106</v>
      </c>
      <c r="L575" t="s">
        <v>634</v>
      </c>
      <c r="M575">
        <v>2030</v>
      </c>
      <c r="N575" t="s">
        <v>854</v>
      </c>
      <c r="O575">
        <v>0</v>
      </c>
      <c r="P575" t="s">
        <v>21</v>
      </c>
      <c r="Q575" t="s">
        <v>21</v>
      </c>
      <c r="R575" t="s">
        <v>931</v>
      </c>
      <c r="S575" t="s">
        <v>931</v>
      </c>
      <c r="T575" t="s">
        <v>954</v>
      </c>
      <c r="U575" t="s">
        <v>961</v>
      </c>
      <c r="V575" s="28" t="s">
        <v>1365</v>
      </c>
      <c r="W575" s="28" t="s">
        <v>1366</v>
      </c>
      <c r="X575" s="28" t="s">
        <v>2868</v>
      </c>
      <c r="Y575" s="28" t="s">
        <v>2869</v>
      </c>
      <c r="Z575" s="28" t="s">
        <v>2870</v>
      </c>
      <c r="AA575" s="28" t="s">
        <v>2871</v>
      </c>
      <c r="AB575" s="28" t="s">
        <v>2872</v>
      </c>
      <c r="AC575" s="28" t="s">
        <v>2873</v>
      </c>
    </row>
    <row r="576" spans="1:29">
      <c r="A576">
        <v>12</v>
      </c>
      <c r="B576">
        <v>2034</v>
      </c>
      <c r="C576">
        <v>2034</v>
      </c>
      <c r="D576" t="s">
        <v>23</v>
      </c>
      <c r="E576" s="22">
        <v>44062</v>
      </c>
      <c r="F576" s="23">
        <v>44062</v>
      </c>
      <c r="G576" t="s">
        <v>965</v>
      </c>
      <c r="H576" t="s">
        <v>28</v>
      </c>
      <c r="I576" t="s">
        <v>23</v>
      </c>
      <c r="J576" t="s">
        <v>64</v>
      </c>
      <c r="K576" t="s">
        <v>106</v>
      </c>
      <c r="L576" t="s">
        <v>635</v>
      </c>
      <c r="M576">
        <v>2030</v>
      </c>
      <c r="N576" t="s">
        <v>854</v>
      </c>
      <c r="O576">
        <v>0</v>
      </c>
      <c r="P576" t="s">
        <v>21</v>
      </c>
      <c r="Q576" t="s">
        <v>21</v>
      </c>
      <c r="R576" t="s">
        <v>931</v>
      </c>
      <c r="S576" t="s">
        <v>931</v>
      </c>
      <c r="T576" t="s">
        <v>954</v>
      </c>
      <c r="U576" t="s">
        <v>961</v>
      </c>
      <c r="V576" s="28" t="s">
        <v>1365</v>
      </c>
      <c r="W576" s="28" t="s">
        <v>1366</v>
      </c>
      <c r="X576" s="28" t="s">
        <v>2868</v>
      </c>
      <c r="Y576" s="28" t="s">
        <v>2869</v>
      </c>
      <c r="Z576" s="28" t="s">
        <v>2870</v>
      </c>
      <c r="AA576" s="28" t="s">
        <v>2871</v>
      </c>
      <c r="AB576" s="28" t="s">
        <v>2872</v>
      </c>
      <c r="AC576" s="28" t="s">
        <v>2873</v>
      </c>
    </row>
    <row r="577" spans="1:29">
      <c r="A577">
        <v>13</v>
      </c>
      <c r="B577">
        <v>2034</v>
      </c>
      <c r="C577">
        <v>2034</v>
      </c>
      <c r="D577" t="s">
        <v>23</v>
      </c>
      <c r="E577" s="22">
        <v>44062</v>
      </c>
      <c r="F577" s="23">
        <v>44062</v>
      </c>
      <c r="G577" t="s">
        <v>965</v>
      </c>
      <c r="H577" t="s">
        <v>28</v>
      </c>
      <c r="I577" t="s">
        <v>23</v>
      </c>
      <c r="J577" t="s">
        <v>64</v>
      </c>
      <c r="K577" t="s">
        <v>106</v>
      </c>
      <c r="L577" t="s">
        <v>636</v>
      </c>
      <c r="M577">
        <v>2030</v>
      </c>
      <c r="N577" t="s">
        <v>854</v>
      </c>
      <c r="O577">
        <v>0</v>
      </c>
      <c r="P577" t="s">
        <v>21</v>
      </c>
      <c r="Q577" t="s">
        <v>21</v>
      </c>
      <c r="R577" t="s">
        <v>931</v>
      </c>
      <c r="S577" t="s">
        <v>931</v>
      </c>
      <c r="T577" t="s">
        <v>954</v>
      </c>
      <c r="U577" t="s">
        <v>961</v>
      </c>
      <c r="V577" s="28" t="s">
        <v>1365</v>
      </c>
      <c r="W577" s="28" t="s">
        <v>1366</v>
      </c>
      <c r="X577" s="28" t="s">
        <v>2868</v>
      </c>
      <c r="Y577" s="28" t="s">
        <v>2869</v>
      </c>
      <c r="Z577" s="28" t="s">
        <v>2870</v>
      </c>
      <c r="AA577" s="28" t="s">
        <v>2871</v>
      </c>
      <c r="AB577" s="28" t="s">
        <v>2872</v>
      </c>
      <c r="AC577" s="28" t="s">
        <v>2873</v>
      </c>
    </row>
    <row r="578" spans="1:29">
      <c r="A578">
        <v>14</v>
      </c>
      <c r="B578">
        <v>2034</v>
      </c>
      <c r="C578">
        <v>2034</v>
      </c>
      <c r="D578" t="s">
        <v>23</v>
      </c>
      <c r="E578" s="22">
        <v>44062</v>
      </c>
      <c r="F578" s="23">
        <v>44062</v>
      </c>
      <c r="G578" t="s">
        <v>965</v>
      </c>
      <c r="H578" t="s">
        <v>28</v>
      </c>
      <c r="I578" t="s">
        <v>23</v>
      </c>
      <c r="J578" t="s">
        <v>64</v>
      </c>
      <c r="K578" t="s">
        <v>106</v>
      </c>
      <c r="L578" t="s">
        <v>637</v>
      </c>
      <c r="M578">
        <v>2030</v>
      </c>
      <c r="N578" t="s">
        <v>854</v>
      </c>
      <c r="O578">
        <v>0</v>
      </c>
      <c r="P578" t="s">
        <v>21</v>
      </c>
      <c r="Q578" t="s">
        <v>21</v>
      </c>
      <c r="R578" t="s">
        <v>911</v>
      </c>
      <c r="S578" t="s">
        <v>911</v>
      </c>
      <c r="T578" t="s">
        <v>28</v>
      </c>
      <c r="U578" t="s">
        <v>961</v>
      </c>
      <c r="V578" s="28" t="s">
        <v>1351</v>
      </c>
      <c r="W578" s="28" t="s">
        <v>1297</v>
      </c>
      <c r="X578" s="28" t="s">
        <v>2794</v>
      </c>
      <c r="Y578" s="28" t="s">
        <v>2603</v>
      </c>
      <c r="Z578" s="28" t="s">
        <v>2866</v>
      </c>
      <c r="AA578" s="28" t="s">
        <v>2856</v>
      </c>
      <c r="AB578" s="28" t="s">
        <v>2867</v>
      </c>
      <c r="AC578" s="28" t="s">
        <v>2858</v>
      </c>
    </row>
    <row r="579" spans="1:29">
      <c r="A579">
        <v>15</v>
      </c>
      <c r="B579">
        <v>2034</v>
      </c>
      <c r="C579">
        <v>2034</v>
      </c>
      <c r="D579" t="s">
        <v>23</v>
      </c>
      <c r="E579" s="22">
        <v>44063</v>
      </c>
      <c r="F579" s="23">
        <v>44063</v>
      </c>
      <c r="G579" t="s">
        <v>965</v>
      </c>
      <c r="H579" t="s">
        <v>28</v>
      </c>
      <c r="I579" t="s">
        <v>23</v>
      </c>
      <c r="J579" t="s">
        <v>64</v>
      </c>
      <c r="K579" t="s">
        <v>106</v>
      </c>
      <c r="L579" t="s">
        <v>638</v>
      </c>
      <c r="M579">
        <v>2030</v>
      </c>
      <c r="N579" t="s">
        <v>854</v>
      </c>
      <c r="O579">
        <v>0</v>
      </c>
      <c r="P579" t="s">
        <v>21</v>
      </c>
      <c r="Q579" t="s">
        <v>21</v>
      </c>
      <c r="R579" t="s">
        <v>922</v>
      </c>
      <c r="S579" t="s">
        <v>922</v>
      </c>
      <c r="T579" t="s">
        <v>28</v>
      </c>
      <c r="U579" t="s">
        <v>961</v>
      </c>
      <c r="V579" s="28" t="s">
        <v>1351</v>
      </c>
      <c r="W579" s="28" t="s">
        <v>1297</v>
      </c>
      <c r="X579" s="28" t="s">
        <v>2794</v>
      </c>
      <c r="Y579" s="28" t="s">
        <v>2603</v>
      </c>
      <c r="Z579" s="28" t="s">
        <v>2866</v>
      </c>
      <c r="AA579" s="28" t="s">
        <v>2856</v>
      </c>
      <c r="AB579" s="28" t="s">
        <v>2867</v>
      </c>
      <c r="AC579" s="28" t="s">
        <v>2858</v>
      </c>
    </row>
    <row r="580" spans="1:29">
      <c r="A580">
        <v>16</v>
      </c>
      <c r="B580">
        <v>2035</v>
      </c>
      <c r="C580">
        <v>2035</v>
      </c>
      <c r="D580" t="s">
        <v>23</v>
      </c>
      <c r="E580" s="22">
        <v>44070</v>
      </c>
      <c r="F580" s="23">
        <v>44070</v>
      </c>
      <c r="G580" t="s">
        <v>965</v>
      </c>
      <c r="H580" t="s">
        <v>28</v>
      </c>
      <c r="I580" t="s">
        <v>23</v>
      </c>
      <c r="J580" t="s">
        <v>64</v>
      </c>
      <c r="K580" t="s">
        <v>106</v>
      </c>
      <c r="L580" t="s">
        <v>639</v>
      </c>
      <c r="M580">
        <v>2030</v>
      </c>
      <c r="N580" t="s">
        <v>854</v>
      </c>
      <c r="O580">
        <v>0</v>
      </c>
      <c r="P580" t="s">
        <v>21</v>
      </c>
      <c r="Q580" t="s">
        <v>21</v>
      </c>
      <c r="R580" t="s">
        <v>922</v>
      </c>
      <c r="S580" t="s">
        <v>922</v>
      </c>
      <c r="T580" t="s">
        <v>28</v>
      </c>
      <c r="U580" t="s">
        <v>961</v>
      </c>
      <c r="V580" s="28" t="s">
        <v>1367</v>
      </c>
      <c r="W580" s="28" t="s">
        <v>1297</v>
      </c>
      <c r="X580" s="28" t="s">
        <v>2874</v>
      </c>
      <c r="Y580" s="28" t="s">
        <v>2603</v>
      </c>
      <c r="Z580" s="28" t="s">
        <v>2875</v>
      </c>
      <c r="AA580" s="28" t="s">
        <v>2856</v>
      </c>
      <c r="AB580" s="28" t="s">
        <v>2876</v>
      </c>
      <c r="AC580" s="28" t="s">
        <v>2858</v>
      </c>
    </row>
    <row r="581" spans="1:29">
      <c r="A581">
        <v>17</v>
      </c>
      <c r="B581">
        <v>2037</v>
      </c>
      <c r="C581">
        <v>2037</v>
      </c>
      <c r="D581" t="s">
        <v>23</v>
      </c>
      <c r="E581" s="22">
        <v>44082</v>
      </c>
      <c r="F581" s="23">
        <v>44082</v>
      </c>
      <c r="G581" t="s">
        <v>965</v>
      </c>
      <c r="H581" t="s">
        <v>28</v>
      </c>
      <c r="I581" t="s">
        <v>23</v>
      </c>
      <c r="J581" t="s">
        <v>64</v>
      </c>
      <c r="K581" t="s">
        <v>106</v>
      </c>
      <c r="L581" t="s">
        <v>640</v>
      </c>
      <c r="M581">
        <v>2032</v>
      </c>
      <c r="N581" t="s">
        <v>854</v>
      </c>
      <c r="O581">
        <v>0</v>
      </c>
      <c r="P581" t="s">
        <v>21</v>
      </c>
      <c r="Q581" t="s">
        <v>21</v>
      </c>
      <c r="R581" t="s">
        <v>915</v>
      </c>
      <c r="S581" t="s">
        <v>915</v>
      </c>
      <c r="T581" t="s">
        <v>950</v>
      </c>
      <c r="U581" t="s">
        <v>961</v>
      </c>
      <c r="V581" s="28" t="s">
        <v>1368</v>
      </c>
      <c r="W581" s="28" t="s">
        <v>1353</v>
      </c>
      <c r="X581" s="28" t="s">
        <v>2877</v>
      </c>
      <c r="Y581" s="28" t="s">
        <v>2804</v>
      </c>
      <c r="Z581" s="28" t="s">
        <v>2878</v>
      </c>
      <c r="AA581" s="28" t="s">
        <v>2879</v>
      </c>
      <c r="AB581" s="28" t="s">
        <v>2880</v>
      </c>
      <c r="AC581" s="28" t="s">
        <v>2881</v>
      </c>
    </row>
    <row r="582" spans="1:29">
      <c r="A582">
        <v>18</v>
      </c>
      <c r="B582">
        <v>2042</v>
      </c>
      <c r="C582">
        <v>2042</v>
      </c>
      <c r="D582" t="s">
        <v>23</v>
      </c>
      <c r="E582" s="22">
        <v>44119</v>
      </c>
      <c r="F582" s="23">
        <v>44119</v>
      </c>
      <c r="G582" t="s">
        <v>965</v>
      </c>
      <c r="H582" t="s">
        <v>28</v>
      </c>
      <c r="I582" t="s">
        <v>23</v>
      </c>
      <c r="J582" t="s">
        <v>64</v>
      </c>
      <c r="K582" t="s">
        <v>106</v>
      </c>
      <c r="L582" t="s">
        <v>641</v>
      </c>
      <c r="M582">
        <v>2038</v>
      </c>
      <c r="N582" t="s">
        <v>854</v>
      </c>
      <c r="O582">
        <v>0</v>
      </c>
      <c r="P582" t="s">
        <v>21</v>
      </c>
      <c r="Q582" t="s">
        <v>21</v>
      </c>
      <c r="R582" t="s">
        <v>922</v>
      </c>
      <c r="S582" t="s">
        <v>922</v>
      </c>
      <c r="T582" t="s">
        <v>28</v>
      </c>
      <c r="U582" t="s">
        <v>961</v>
      </c>
      <c r="V582" s="28" t="s">
        <v>1369</v>
      </c>
      <c r="W582" s="28" t="s">
        <v>1314</v>
      </c>
      <c r="X582" s="28" t="s">
        <v>2882</v>
      </c>
      <c r="Y582" s="28" t="s">
        <v>2654</v>
      </c>
      <c r="Z582" s="28" t="s">
        <v>2883</v>
      </c>
      <c r="AA582" s="28" t="s">
        <v>2884</v>
      </c>
      <c r="AB582" s="28" t="s">
        <v>2885</v>
      </c>
      <c r="AC582" s="28" t="s">
        <v>2886</v>
      </c>
    </row>
    <row r="583" spans="1:29">
      <c r="A583">
        <v>19</v>
      </c>
      <c r="B583">
        <v>2043</v>
      </c>
      <c r="C583">
        <v>2043</v>
      </c>
      <c r="D583" t="s">
        <v>23</v>
      </c>
      <c r="E583" s="22">
        <v>44125</v>
      </c>
      <c r="F583" s="23">
        <v>44125</v>
      </c>
      <c r="G583" t="s">
        <v>965</v>
      </c>
      <c r="H583" t="s">
        <v>28</v>
      </c>
      <c r="I583" t="s">
        <v>23</v>
      </c>
      <c r="J583" t="s">
        <v>64</v>
      </c>
      <c r="K583" t="s">
        <v>106</v>
      </c>
      <c r="L583" t="s">
        <v>642</v>
      </c>
      <c r="M583">
        <v>2040</v>
      </c>
      <c r="N583" t="s">
        <v>854</v>
      </c>
      <c r="O583">
        <v>0</v>
      </c>
      <c r="P583" t="s">
        <v>21</v>
      </c>
      <c r="Q583" t="s">
        <v>21</v>
      </c>
      <c r="R583" t="s">
        <v>881</v>
      </c>
      <c r="S583" t="s">
        <v>881</v>
      </c>
      <c r="T583" t="s">
        <v>949</v>
      </c>
      <c r="U583" t="s">
        <v>961</v>
      </c>
      <c r="V583" s="28" t="s">
        <v>1370</v>
      </c>
      <c r="W583" s="28" t="s">
        <v>1371</v>
      </c>
      <c r="X583" s="28" t="s">
        <v>2887</v>
      </c>
      <c r="Y583" s="28" t="s">
        <v>2888</v>
      </c>
      <c r="Z583" s="28" t="s">
        <v>2889</v>
      </c>
      <c r="AA583" s="28" t="s">
        <v>2890</v>
      </c>
      <c r="AB583" s="28" t="s">
        <v>2891</v>
      </c>
      <c r="AC583" s="28" t="s">
        <v>2892</v>
      </c>
    </row>
    <row r="584" spans="1:29">
      <c r="A584">
        <v>20</v>
      </c>
      <c r="B584">
        <v>2102</v>
      </c>
      <c r="C584">
        <v>2102</v>
      </c>
      <c r="D584" t="s">
        <v>23</v>
      </c>
      <c r="E584" s="22">
        <v>44209</v>
      </c>
      <c r="F584" s="23">
        <v>44209</v>
      </c>
      <c r="G584" t="s">
        <v>965</v>
      </c>
      <c r="H584" t="s">
        <v>28</v>
      </c>
      <c r="I584" t="s">
        <v>23</v>
      </c>
      <c r="J584" t="s">
        <v>64</v>
      </c>
      <c r="K584" t="s">
        <v>106</v>
      </c>
      <c r="L584" t="s">
        <v>643</v>
      </c>
      <c r="M584">
        <v>2043</v>
      </c>
      <c r="N584" t="s">
        <v>854</v>
      </c>
      <c r="O584">
        <v>0</v>
      </c>
      <c r="P584" t="s">
        <v>21</v>
      </c>
      <c r="Q584" t="s">
        <v>21</v>
      </c>
      <c r="R584" t="s">
        <v>931</v>
      </c>
      <c r="S584" t="s">
        <v>931</v>
      </c>
      <c r="T584" t="s">
        <v>954</v>
      </c>
      <c r="U584" t="s">
        <v>961</v>
      </c>
      <c r="V584" s="28" t="s">
        <v>1372</v>
      </c>
      <c r="W584" s="28" t="s">
        <v>1105</v>
      </c>
      <c r="X584" s="28" t="s">
        <v>2893</v>
      </c>
      <c r="Y584" s="28" t="s">
        <v>2894</v>
      </c>
      <c r="Z584" s="28" t="s">
        <v>2895</v>
      </c>
      <c r="AA584" s="28" t="s">
        <v>2896</v>
      </c>
      <c r="AB584" s="28" t="s">
        <v>2897</v>
      </c>
      <c r="AC584" s="28" t="s">
        <v>2898</v>
      </c>
    </row>
    <row r="585" spans="1:29">
      <c r="A585">
        <v>21</v>
      </c>
      <c r="B585">
        <v>2102</v>
      </c>
      <c r="C585">
        <v>2102</v>
      </c>
      <c r="D585" t="s">
        <v>23</v>
      </c>
      <c r="E585" s="22">
        <v>44209</v>
      </c>
      <c r="F585" s="23">
        <v>44209</v>
      </c>
      <c r="G585" t="s">
        <v>965</v>
      </c>
      <c r="H585" t="s">
        <v>28</v>
      </c>
      <c r="I585" t="s">
        <v>23</v>
      </c>
      <c r="J585" t="s">
        <v>64</v>
      </c>
      <c r="K585" t="s">
        <v>106</v>
      </c>
      <c r="L585" t="s">
        <v>644</v>
      </c>
      <c r="M585">
        <v>2049</v>
      </c>
      <c r="N585" t="s">
        <v>854</v>
      </c>
      <c r="O585">
        <v>0</v>
      </c>
      <c r="P585" t="s">
        <v>21</v>
      </c>
      <c r="Q585" t="s">
        <v>21</v>
      </c>
      <c r="R585" t="s">
        <v>881</v>
      </c>
      <c r="S585" t="s">
        <v>881</v>
      </c>
      <c r="T585" t="s">
        <v>949</v>
      </c>
      <c r="U585" t="s">
        <v>961</v>
      </c>
      <c r="V585" s="28" t="s">
        <v>1096</v>
      </c>
      <c r="W585" s="28" t="s">
        <v>1097</v>
      </c>
      <c r="X585" s="28" t="s">
        <v>2899</v>
      </c>
      <c r="Y585" s="28" t="s">
        <v>2900</v>
      </c>
      <c r="Z585" s="28" t="s">
        <v>2901</v>
      </c>
      <c r="AA585" s="28" t="s">
        <v>2902</v>
      </c>
      <c r="AB585" s="28" t="s">
        <v>2903</v>
      </c>
      <c r="AC585" s="28" t="s">
        <v>2904</v>
      </c>
    </row>
    <row r="586" spans="1:29">
      <c r="A586">
        <v>22</v>
      </c>
      <c r="B586">
        <v>2102</v>
      </c>
      <c r="C586">
        <v>2102</v>
      </c>
      <c r="D586" t="s">
        <v>23</v>
      </c>
      <c r="E586" s="22">
        <v>44209</v>
      </c>
      <c r="F586" s="23">
        <v>44209</v>
      </c>
      <c r="G586" t="s">
        <v>965</v>
      </c>
      <c r="H586" t="s">
        <v>28</v>
      </c>
      <c r="I586" t="s">
        <v>23</v>
      </c>
      <c r="J586" t="s">
        <v>64</v>
      </c>
      <c r="K586" t="s">
        <v>106</v>
      </c>
      <c r="L586" t="s">
        <v>645</v>
      </c>
      <c r="M586">
        <v>2050</v>
      </c>
      <c r="N586" t="s">
        <v>854</v>
      </c>
      <c r="O586">
        <v>0</v>
      </c>
      <c r="P586" t="s">
        <v>21</v>
      </c>
      <c r="Q586" t="s">
        <v>21</v>
      </c>
      <c r="R586" t="s">
        <v>922</v>
      </c>
      <c r="S586" t="s">
        <v>922</v>
      </c>
      <c r="T586" t="s">
        <v>28</v>
      </c>
      <c r="U586" t="s">
        <v>961</v>
      </c>
      <c r="V586" s="28" t="s">
        <v>1087</v>
      </c>
      <c r="W586" s="28" t="s">
        <v>1082</v>
      </c>
      <c r="X586" s="28" t="s">
        <v>2905</v>
      </c>
      <c r="Y586" s="28" t="s">
        <v>2906</v>
      </c>
      <c r="Z586" s="28" t="s">
        <v>2907</v>
      </c>
      <c r="AA586" s="28" t="s">
        <v>2908</v>
      </c>
      <c r="AB586" s="28" t="s">
        <v>2909</v>
      </c>
      <c r="AC586" s="28" t="s">
        <v>2910</v>
      </c>
    </row>
    <row r="587" spans="1:29">
      <c r="A587">
        <v>23</v>
      </c>
      <c r="B587">
        <v>2108</v>
      </c>
      <c r="C587">
        <v>2108</v>
      </c>
      <c r="D587" t="s">
        <v>23</v>
      </c>
      <c r="E587" s="22">
        <v>44250</v>
      </c>
      <c r="F587" s="23">
        <v>44250</v>
      </c>
      <c r="G587" t="s">
        <v>965</v>
      </c>
      <c r="H587" t="s">
        <v>28</v>
      </c>
      <c r="I587" t="s">
        <v>23</v>
      </c>
      <c r="J587" t="s">
        <v>64</v>
      </c>
      <c r="K587" t="s">
        <v>106</v>
      </c>
      <c r="L587" t="s">
        <v>646</v>
      </c>
      <c r="M587">
        <v>2103</v>
      </c>
      <c r="N587" t="s">
        <v>854</v>
      </c>
      <c r="O587">
        <v>0</v>
      </c>
      <c r="P587" t="s">
        <v>21</v>
      </c>
      <c r="Q587" t="s">
        <v>21</v>
      </c>
      <c r="R587" t="s">
        <v>922</v>
      </c>
      <c r="S587" t="s">
        <v>922</v>
      </c>
      <c r="T587" t="s">
        <v>28</v>
      </c>
      <c r="U587" t="s">
        <v>961</v>
      </c>
      <c r="V587" s="28" t="s">
        <v>1373</v>
      </c>
      <c r="W587" s="28" t="s">
        <v>1122</v>
      </c>
      <c r="X587" s="28" t="s">
        <v>2911</v>
      </c>
      <c r="Y587" s="28" t="s">
        <v>2912</v>
      </c>
      <c r="Z587" s="28" t="s">
        <v>2913</v>
      </c>
      <c r="AA587" s="28" t="s">
        <v>2914</v>
      </c>
      <c r="AB587" s="28" t="s">
        <v>2915</v>
      </c>
      <c r="AC587" s="28" t="s">
        <v>2916</v>
      </c>
    </row>
    <row r="588" spans="1:29">
      <c r="A588">
        <v>24</v>
      </c>
      <c r="B588">
        <v>2108</v>
      </c>
      <c r="C588">
        <v>2108</v>
      </c>
      <c r="D588" t="s">
        <v>23</v>
      </c>
      <c r="E588" s="22">
        <v>44251</v>
      </c>
      <c r="F588" s="23">
        <v>44251</v>
      </c>
      <c r="G588" t="s">
        <v>965</v>
      </c>
      <c r="H588" t="s">
        <v>28</v>
      </c>
      <c r="I588" t="s">
        <v>23</v>
      </c>
      <c r="J588" t="s">
        <v>64</v>
      </c>
      <c r="K588" t="s">
        <v>106</v>
      </c>
      <c r="L588" t="s">
        <v>647</v>
      </c>
      <c r="M588">
        <v>2103</v>
      </c>
      <c r="N588" t="s">
        <v>854</v>
      </c>
      <c r="O588">
        <v>0</v>
      </c>
      <c r="P588" t="s">
        <v>21</v>
      </c>
      <c r="Q588" t="s">
        <v>21</v>
      </c>
      <c r="R588" t="s">
        <v>881</v>
      </c>
      <c r="S588" t="s">
        <v>881</v>
      </c>
      <c r="T588" t="s">
        <v>949</v>
      </c>
      <c r="U588" t="s">
        <v>961</v>
      </c>
      <c r="V588" s="28" t="s">
        <v>1374</v>
      </c>
      <c r="W588" s="28" t="s">
        <v>1112</v>
      </c>
      <c r="X588" s="28" t="s">
        <v>2917</v>
      </c>
      <c r="Y588" s="28" t="s">
        <v>2918</v>
      </c>
      <c r="Z588" s="28" t="s">
        <v>2919</v>
      </c>
      <c r="AA588" s="28" t="s">
        <v>2920</v>
      </c>
      <c r="AB588" s="28" t="s">
        <v>2921</v>
      </c>
      <c r="AC588" s="28" t="s">
        <v>2922</v>
      </c>
    </row>
    <row r="589" spans="1:29">
      <c r="A589">
        <v>25</v>
      </c>
      <c r="B589">
        <v>2108</v>
      </c>
      <c r="C589">
        <v>2108</v>
      </c>
      <c r="D589" t="s">
        <v>23</v>
      </c>
      <c r="E589" s="22">
        <v>44251</v>
      </c>
      <c r="F589" s="23">
        <v>44251</v>
      </c>
      <c r="G589" t="s">
        <v>965</v>
      </c>
      <c r="H589" t="s">
        <v>28</v>
      </c>
      <c r="I589" t="s">
        <v>23</v>
      </c>
      <c r="J589" t="s">
        <v>64</v>
      </c>
      <c r="K589" t="s">
        <v>106</v>
      </c>
      <c r="L589" t="s">
        <v>648</v>
      </c>
      <c r="M589">
        <v>2051</v>
      </c>
      <c r="N589" t="s">
        <v>854</v>
      </c>
      <c r="O589">
        <v>0</v>
      </c>
      <c r="P589" t="s">
        <v>21</v>
      </c>
      <c r="Q589" t="s">
        <v>21</v>
      </c>
      <c r="R589" t="s">
        <v>883</v>
      </c>
      <c r="S589" t="s">
        <v>883</v>
      </c>
      <c r="T589" t="s">
        <v>959</v>
      </c>
      <c r="U589" t="s">
        <v>961</v>
      </c>
      <c r="V589" s="28" t="s">
        <v>1330</v>
      </c>
      <c r="W589" s="28" t="s">
        <v>1263</v>
      </c>
      <c r="X589" s="28" t="s">
        <v>2715</v>
      </c>
      <c r="Y589" s="28" t="s">
        <v>2716</v>
      </c>
      <c r="Z589" s="28" t="s">
        <v>2923</v>
      </c>
      <c r="AA589" s="28" t="s">
        <v>2924</v>
      </c>
      <c r="AB589" s="28" t="s">
        <v>2925</v>
      </c>
      <c r="AC589" s="28" t="s">
        <v>2926</v>
      </c>
    </row>
    <row r="590" spans="1:29">
      <c r="A590">
        <v>26</v>
      </c>
      <c r="B590">
        <v>2111</v>
      </c>
      <c r="C590">
        <v>2111</v>
      </c>
      <c r="D590" t="s">
        <v>23</v>
      </c>
      <c r="E590" s="22">
        <v>44274</v>
      </c>
      <c r="F590" s="23">
        <v>44274</v>
      </c>
      <c r="G590" t="s">
        <v>965</v>
      </c>
      <c r="H590" t="s">
        <v>28</v>
      </c>
      <c r="I590" t="s">
        <v>23</v>
      </c>
      <c r="J590" t="s">
        <v>64</v>
      </c>
      <c r="K590" t="s">
        <v>106</v>
      </c>
      <c r="L590" t="s">
        <v>649</v>
      </c>
      <c r="M590">
        <v>2108</v>
      </c>
      <c r="N590" t="s">
        <v>854</v>
      </c>
      <c r="O590">
        <v>0</v>
      </c>
      <c r="P590" t="s">
        <v>21</v>
      </c>
      <c r="Q590" t="s">
        <v>21</v>
      </c>
      <c r="R590" t="s">
        <v>883</v>
      </c>
      <c r="S590" t="s">
        <v>883</v>
      </c>
      <c r="T590" t="s">
        <v>959</v>
      </c>
      <c r="U590" t="s">
        <v>961</v>
      </c>
      <c r="V590" s="28" t="s">
        <v>1375</v>
      </c>
      <c r="W590" s="28" t="s">
        <v>1334</v>
      </c>
      <c r="X590" s="28" t="s">
        <v>2927</v>
      </c>
      <c r="Y590" s="28" t="s">
        <v>2728</v>
      </c>
      <c r="Z590" s="28" t="s">
        <v>2928</v>
      </c>
      <c r="AA590" s="28" t="s">
        <v>2929</v>
      </c>
      <c r="AB590" s="28" t="s">
        <v>2930</v>
      </c>
      <c r="AC590" s="28" t="s">
        <v>2931</v>
      </c>
    </row>
    <row r="591" spans="1:29">
      <c r="A591">
        <v>27</v>
      </c>
      <c r="B591">
        <v>2113</v>
      </c>
      <c r="C591">
        <v>2113</v>
      </c>
      <c r="D591" t="s">
        <v>23</v>
      </c>
      <c r="E591" s="22">
        <v>44288</v>
      </c>
      <c r="F591" s="23">
        <v>44288</v>
      </c>
      <c r="G591" t="s">
        <v>965</v>
      </c>
      <c r="H591" t="s">
        <v>28</v>
      </c>
      <c r="I591" t="s">
        <v>23</v>
      </c>
      <c r="J591" t="s">
        <v>64</v>
      </c>
      <c r="K591" t="s">
        <v>106</v>
      </c>
      <c r="L591" t="s">
        <v>650</v>
      </c>
      <c r="M591">
        <v>2105</v>
      </c>
      <c r="N591" t="s">
        <v>854</v>
      </c>
      <c r="O591">
        <v>0</v>
      </c>
      <c r="P591" t="s">
        <v>21</v>
      </c>
      <c r="Q591" t="s">
        <v>21</v>
      </c>
      <c r="R591" t="s">
        <v>932</v>
      </c>
      <c r="S591" t="s">
        <v>932</v>
      </c>
      <c r="T591" t="s">
        <v>955</v>
      </c>
      <c r="U591" t="s">
        <v>961</v>
      </c>
      <c r="V591" s="28" t="s">
        <v>1376</v>
      </c>
      <c r="W591" s="28" t="s">
        <v>1377</v>
      </c>
      <c r="X591" s="28" t="s">
        <v>2932</v>
      </c>
      <c r="Y591" s="28" t="s">
        <v>2933</v>
      </c>
      <c r="Z591" s="28" t="s">
        <v>2934</v>
      </c>
      <c r="AA591" s="28" t="s">
        <v>2935</v>
      </c>
      <c r="AB591" s="28" t="s">
        <v>2936</v>
      </c>
      <c r="AC591" s="28" t="s">
        <v>2937</v>
      </c>
    </row>
    <row r="592" spans="1:29">
      <c r="A592">
        <v>28</v>
      </c>
      <c r="B592">
        <v>2118</v>
      </c>
      <c r="C592">
        <v>2118</v>
      </c>
      <c r="D592" t="s">
        <v>23</v>
      </c>
      <c r="E592" s="22">
        <v>44320</v>
      </c>
      <c r="F592" s="23">
        <v>44320</v>
      </c>
      <c r="G592" t="s">
        <v>965</v>
      </c>
      <c r="H592" t="s">
        <v>28</v>
      </c>
      <c r="I592" t="s">
        <v>23</v>
      </c>
      <c r="J592" t="s">
        <v>64</v>
      </c>
      <c r="K592" t="s">
        <v>106</v>
      </c>
      <c r="L592" t="s">
        <v>651</v>
      </c>
      <c r="M592">
        <v>2111</v>
      </c>
      <c r="N592" t="s">
        <v>854</v>
      </c>
      <c r="O592">
        <v>0</v>
      </c>
      <c r="P592" t="s">
        <v>21</v>
      </c>
      <c r="Q592" t="s">
        <v>21</v>
      </c>
      <c r="R592" t="s">
        <v>923</v>
      </c>
      <c r="S592" t="s">
        <v>931</v>
      </c>
      <c r="T592" t="s">
        <v>954</v>
      </c>
      <c r="U592" t="s">
        <v>961</v>
      </c>
      <c r="V592" s="28" t="s">
        <v>1162</v>
      </c>
      <c r="W592" s="28" t="s">
        <v>1163</v>
      </c>
      <c r="X592" s="28" t="s">
        <v>2938</v>
      </c>
      <c r="Y592" s="28" t="s">
        <v>2939</v>
      </c>
      <c r="Z592" s="28" t="s">
        <v>2940</v>
      </c>
      <c r="AA592" s="28" t="s">
        <v>2941</v>
      </c>
      <c r="AB592" s="28" t="s">
        <v>2063</v>
      </c>
      <c r="AC592" s="28" t="s">
        <v>2064</v>
      </c>
    </row>
    <row r="593" spans="1:29">
      <c r="A593">
        <v>29</v>
      </c>
      <c r="B593">
        <v>2122</v>
      </c>
      <c r="C593">
        <v>2122</v>
      </c>
      <c r="D593" t="s">
        <v>23</v>
      </c>
      <c r="E593" s="22">
        <v>44348</v>
      </c>
      <c r="F593" s="23">
        <v>44348</v>
      </c>
      <c r="G593" t="s">
        <v>965</v>
      </c>
      <c r="H593" t="s">
        <v>28</v>
      </c>
      <c r="I593" t="s">
        <v>23</v>
      </c>
      <c r="J593" t="s">
        <v>64</v>
      </c>
      <c r="K593" t="s">
        <v>106</v>
      </c>
      <c r="L593" t="s">
        <v>652</v>
      </c>
      <c r="M593">
        <v>2115</v>
      </c>
      <c r="N593" t="s">
        <v>854</v>
      </c>
      <c r="O593">
        <v>0</v>
      </c>
      <c r="P593" t="s">
        <v>21</v>
      </c>
      <c r="Q593" t="s">
        <v>21</v>
      </c>
      <c r="R593" t="s">
        <v>933</v>
      </c>
      <c r="S593" t="s">
        <v>933</v>
      </c>
      <c r="T593" t="s">
        <v>955</v>
      </c>
      <c r="U593" t="s">
        <v>961</v>
      </c>
      <c r="V593" s="28" t="s">
        <v>1184</v>
      </c>
      <c r="W593" s="28" t="s">
        <v>1185</v>
      </c>
      <c r="X593" s="28" t="s">
        <v>2942</v>
      </c>
      <c r="Y593" s="28" t="s">
        <v>2943</v>
      </c>
      <c r="Z593" s="28" t="s">
        <v>2944</v>
      </c>
      <c r="AA593" s="28" t="s">
        <v>2945</v>
      </c>
      <c r="AB593" s="28" t="s">
        <v>2946</v>
      </c>
      <c r="AC593" s="28" t="s">
        <v>2947</v>
      </c>
    </row>
    <row r="594" spans="1:29">
      <c r="A594">
        <v>30</v>
      </c>
      <c r="B594">
        <v>2122</v>
      </c>
      <c r="C594">
        <v>2122</v>
      </c>
      <c r="D594" t="s">
        <v>23</v>
      </c>
      <c r="E594" s="22">
        <v>44348</v>
      </c>
      <c r="F594" s="23">
        <v>44348</v>
      </c>
      <c r="G594" t="s">
        <v>965</v>
      </c>
      <c r="H594" t="s">
        <v>28</v>
      </c>
      <c r="I594" t="s">
        <v>23</v>
      </c>
      <c r="J594" t="s">
        <v>63</v>
      </c>
      <c r="K594" t="s">
        <v>105</v>
      </c>
      <c r="L594" t="s">
        <v>653</v>
      </c>
      <c r="M594">
        <v>2051</v>
      </c>
      <c r="N594" t="s">
        <v>853</v>
      </c>
      <c r="O594" t="s">
        <v>866</v>
      </c>
      <c r="P594" t="s">
        <v>21</v>
      </c>
      <c r="Q594" t="s">
        <v>21</v>
      </c>
      <c r="R594" t="s">
        <v>933</v>
      </c>
      <c r="S594" t="s">
        <v>933</v>
      </c>
      <c r="T594" t="s">
        <v>955</v>
      </c>
      <c r="U594" t="s">
        <v>961</v>
      </c>
      <c r="V594" s="28" t="s">
        <v>1184</v>
      </c>
      <c r="W594" s="28" t="s">
        <v>1185</v>
      </c>
      <c r="X594" s="28" t="s">
        <v>2942</v>
      </c>
      <c r="Y594" s="28" t="s">
        <v>2943</v>
      </c>
      <c r="Z594" s="28" t="s">
        <v>2948</v>
      </c>
      <c r="AA594" s="28" t="s">
        <v>2949</v>
      </c>
      <c r="AB594" s="28" t="s">
        <v>2950</v>
      </c>
      <c r="AC594" s="28" t="s">
        <v>2951</v>
      </c>
    </row>
    <row r="595" spans="1:29">
      <c r="A595">
        <v>31</v>
      </c>
      <c r="B595">
        <v>2130</v>
      </c>
      <c r="C595">
        <v>2130</v>
      </c>
      <c r="D595" t="s">
        <v>23</v>
      </c>
      <c r="E595" s="22">
        <v>44403</v>
      </c>
      <c r="F595" s="23">
        <v>44403</v>
      </c>
      <c r="G595" t="s">
        <v>965</v>
      </c>
      <c r="H595" t="s">
        <v>28</v>
      </c>
      <c r="I595" t="s">
        <v>23</v>
      </c>
      <c r="J595" t="s">
        <v>64</v>
      </c>
      <c r="K595" t="s">
        <v>106</v>
      </c>
      <c r="L595" t="s">
        <v>654</v>
      </c>
      <c r="M595">
        <v>2122</v>
      </c>
      <c r="N595" t="s">
        <v>854</v>
      </c>
      <c r="O595">
        <v>0</v>
      </c>
      <c r="P595" t="s">
        <v>21</v>
      </c>
      <c r="Q595" t="s">
        <v>21</v>
      </c>
      <c r="R595" t="s">
        <v>922</v>
      </c>
      <c r="S595" t="s">
        <v>922</v>
      </c>
      <c r="T595" t="s">
        <v>28</v>
      </c>
      <c r="U595" t="s">
        <v>961</v>
      </c>
      <c r="V595" s="28" t="s">
        <v>1378</v>
      </c>
      <c r="W595" s="28" t="s">
        <v>1379</v>
      </c>
      <c r="X595" s="28" t="s">
        <v>2952</v>
      </c>
      <c r="Y595" s="28" t="s">
        <v>2953</v>
      </c>
      <c r="Z595" s="28" t="s">
        <v>2954</v>
      </c>
      <c r="AA595" s="28" t="s">
        <v>2955</v>
      </c>
      <c r="AB595" s="28" t="s">
        <v>2956</v>
      </c>
      <c r="AC595" s="28" t="s">
        <v>2957</v>
      </c>
    </row>
    <row r="596" spans="1:29">
      <c r="A596">
        <v>1</v>
      </c>
      <c r="B596">
        <v>2129</v>
      </c>
      <c r="C596">
        <v>2129</v>
      </c>
      <c r="D596" t="s">
        <v>23</v>
      </c>
      <c r="E596" s="22">
        <v>44400</v>
      </c>
      <c r="F596" s="23">
        <v>44400</v>
      </c>
      <c r="G596" t="s">
        <v>965</v>
      </c>
      <c r="H596" t="s">
        <v>28</v>
      </c>
      <c r="I596" t="s">
        <v>23</v>
      </c>
      <c r="J596" t="s">
        <v>69</v>
      </c>
      <c r="K596" t="s">
        <v>75</v>
      </c>
      <c r="L596" t="s">
        <v>655</v>
      </c>
      <c r="M596">
        <v>2120</v>
      </c>
      <c r="N596" t="s">
        <v>855</v>
      </c>
      <c r="O596" t="s">
        <v>866</v>
      </c>
      <c r="P596" t="s">
        <v>21</v>
      </c>
      <c r="Q596" t="s">
        <v>21</v>
      </c>
      <c r="R596" t="s">
        <v>915</v>
      </c>
      <c r="S596" t="s">
        <v>915</v>
      </c>
      <c r="T596" t="s">
        <v>950</v>
      </c>
      <c r="U596" t="s">
        <v>960</v>
      </c>
      <c r="V596" s="28" t="s">
        <v>1226</v>
      </c>
      <c r="W596" s="28" t="s">
        <v>1215</v>
      </c>
      <c r="X596" s="28" t="s">
        <v>2958</v>
      </c>
      <c r="Y596" s="28" t="s">
        <v>2959</v>
      </c>
      <c r="Z596" s="28" t="s">
        <v>2960</v>
      </c>
      <c r="AA596" s="28" t="s">
        <v>2961</v>
      </c>
      <c r="AB596" s="28" t="s">
        <v>2962</v>
      </c>
      <c r="AC596" s="28" t="s">
        <v>2963</v>
      </c>
    </row>
    <row r="597" spans="1:29">
      <c r="A597">
        <v>1</v>
      </c>
      <c r="B597">
        <v>2121</v>
      </c>
      <c r="C597">
        <v>2121</v>
      </c>
      <c r="D597" t="s">
        <v>23</v>
      </c>
      <c r="E597" s="22">
        <v>44341</v>
      </c>
      <c r="F597" s="23">
        <v>44341</v>
      </c>
      <c r="G597" t="s">
        <v>965</v>
      </c>
      <c r="H597" t="s">
        <v>28</v>
      </c>
      <c r="I597" t="s">
        <v>23</v>
      </c>
      <c r="J597" t="s">
        <v>67</v>
      </c>
      <c r="K597" t="s">
        <v>103</v>
      </c>
      <c r="L597" t="s">
        <v>656</v>
      </c>
      <c r="M597">
        <v>2117</v>
      </c>
      <c r="N597" t="s">
        <v>856</v>
      </c>
      <c r="O597" t="s">
        <v>866</v>
      </c>
      <c r="P597" t="s">
        <v>21</v>
      </c>
      <c r="Q597" t="s">
        <v>21</v>
      </c>
      <c r="R597" t="s">
        <v>934</v>
      </c>
      <c r="S597" t="s">
        <v>934</v>
      </c>
      <c r="T597" t="s">
        <v>955</v>
      </c>
      <c r="U597" t="s">
        <v>960</v>
      </c>
      <c r="V597" s="28" t="s">
        <v>1380</v>
      </c>
      <c r="W597" s="28" t="s">
        <v>1381</v>
      </c>
      <c r="X597" s="28" t="s">
        <v>2964</v>
      </c>
      <c r="Y597" s="28" t="s">
        <v>2965</v>
      </c>
      <c r="Z597" s="28" t="s">
        <v>2966</v>
      </c>
      <c r="AA597" s="28" t="s">
        <v>2967</v>
      </c>
      <c r="AB597" s="28" t="s">
        <v>2968</v>
      </c>
      <c r="AC597" s="28" t="s">
        <v>2969</v>
      </c>
    </row>
    <row r="598" spans="1:29">
      <c r="A598">
        <v>2</v>
      </c>
      <c r="B598">
        <v>2125</v>
      </c>
      <c r="C598">
        <v>2125</v>
      </c>
      <c r="D598" t="s">
        <v>23</v>
      </c>
      <c r="E598" s="22">
        <v>44370</v>
      </c>
      <c r="F598" s="23">
        <v>44370</v>
      </c>
      <c r="G598" t="s">
        <v>965</v>
      </c>
      <c r="H598" t="s">
        <v>28</v>
      </c>
      <c r="I598" t="s">
        <v>23</v>
      </c>
      <c r="J598" t="s">
        <v>67</v>
      </c>
      <c r="K598" t="s">
        <v>103</v>
      </c>
      <c r="L598" t="s">
        <v>657</v>
      </c>
      <c r="M598">
        <v>2120</v>
      </c>
      <c r="N598" t="s">
        <v>857</v>
      </c>
      <c r="O598" t="s">
        <v>866</v>
      </c>
      <c r="P598" t="s">
        <v>21</v>
      </c>
      <c r="Q598" t="s">
        <v>21</v>
      </c>
      <c r="R598" t="s">
        <v>918</v>
      </c>
      <c r="S598" t="s">
        <v>918</v>
      </c>
      <c r="T598" t="s">
        <v>28</v>
      </c>
      <c r="U598" t="s">
        <v>960</v>
      </c>
      <c r="V598" s="28" t="s">
        <v>1382</v>
      </c>
      <c r="W598" s="28" t="s">
        <v>1068</v>
      </c>
      <c r="X598" s="28" t="s">
        <v>2970</v>
      </c>
      <c r="Y598" s="28" t="s">
        <v>2971</v>
      </c>
      <c r="Z598" s="28" t="s">
        <v>2972</v>
      </c>
      <c r="AA598" s="28" t="s">
        <v>2973</v>
      </c>
      <c r="AB598" s="28" t="s">
        <v>2974</v>
      </c>
      <c r="AC598" s="28" t="s">
        <v>2975</v>
      </c>
    </row>
    <row r="599" spans="1:29">
      <c r="A599">
        <v>3</v>
      </c>
      <c r="B599">
        <v>2130</v>
      </c>
      <c r="C599">
        <v>2130</v>
      </c>
      <c r="D599" t="s">
        <v>23</v>
      </c>
      <c r="E599" s="22">
        <v>44408</v>
      </c>
      <c r="F599" s="23">
        <v>44408</v>
      </c>
      <c r="G599" t="s">
        <v>965</v>
      </c>
      <c r="H599" t="s">
        <v>28</v>
      </c>
      <c r="I599" t="s">
        <v>23</v>
      </c>
      <c r="J599" t="s">
        <v>67</v>
      </c>
      <c r="K599" t="s">
        <v>103</v>
      </c>
      <c r="L599" t="s">
        <v>658</v>
      </c>
      <c r="M599">
        <v>2121</v>
      </c>
      <c r="N599" t="s">
        <v>857</v>
      </c>
      <c r="O599" t="s">
        <v>866</v>
      </c>
      <c r="P599" t="s">
        <v>21</v>
      </c>
      <c r="Q599" t="s">
        <v>21</v>
      </c>
      <c r="R599" t="s">
        <v>915</v>
      </c>
      <c r="S599" t="s">
        <v>915</v>
      </c>
      <c r="T599" t="s">
        <v>950</v>
      </c>
      <c r="U599" t="s">
        <v>960</v>
      </c>
      <c r="V599" s="28" t="s">
        <v>1383</v>
      </c>
      <c r="W599" s="28" t="s">
        <v>1215</v>
      </c>
      <c r="X599" s="28" t="s">
        <v>2976</v>
      </c>
      <c r="Y599" s="28" t="s">
        <v>2959</v>
      </c>
      <c r="Z599" s="28" t="s">
        <v>2977</v>
      </c>
      <c r="AA599" s="28" t="s">
        <v>2978</v>
      </c>
      <c r="AB599" s="28" t="s">
        <v>2979</v>
      </c>
      <c r="AC599" s="28" t="s">
        <v>2980</v>
      </c>
    </row>
    <row r="600" spans="1:29">
      <c r="A600">
        <v>4</v>
      </c>
      <c r="B600">
        <v>2130</v>
      </c>
      <c r="C600">
        <v>2130</v>
      </c>
      <c r="D600" t="s">
        <v>23</v>
      </c>
      <c r="E600" s="22">
        <v>44408</v>
      </c>
      <c r="F600" s="23">
        <v>44408</v>
      </c>
      <c r="G600" t="s">
        <v>965</v>
      </c>
      <c r="H600" t="s">
        <v>28</v>
      </c>
      <c r="I600" t="s">
        <v>23</v>
      </c>
      <c r="J600" t="s">
        <v>67</v>
      </c>
      <c r="K600" t="s">
        <v>103</v>
      </c>
      <c r="L600" t="s">
        <v>659</v>
      </c>
      <c r="M600">
        <v>2121</v>
      </c>
      <c r="N600" t="s">
        <v>857</v>
      </c>
      <c r="O600" t="s">
        <v>866</v>
      </c>
      <c r="P600" t="s">
        <v>21</v>
      </c>
      <c r="Q600" t="s">
        <v>21</v>
      </c>
      <c r="R600" t="s">
        <v>915</v>
      </c>
      <c r="S600" t="s">
        <v>915</v>
      </c>
      <c r="T600" t="s">
        <v>950</v>
      </c>
      <c r="U600" t="s">
        <v>960</v>
      </c>
      <c r="V600" s="28" t="s">
        <v>1383</v>
      </c>
      <c r="W600" s="28" t="s">
        <v>1215</v>
      </c>
      <c r="X600" s="28" t="s">
        <v>2976</v>
      </c>
      <c r="Y600" s="28" t="s">
        <v>2959</v>
      </c>
      <c r="Z600" s="28" t="s">
        <v>2977</v>
      </c>
      <c r="AA600" s="28" t="s">
        <v>2978</v>
      </c>
      <c r="AB600" s="28" t="s">
        <v>2979</v>
      </c>
      <c r="AC600" s="28" t="s">
        <v>2980</v>
      </c>
    </row>
    <row r="601" spans="1:29">
      <c r="A601">
        <v>5</v>
      </c>
      <c r="B601">
        <v>2130</v>
      </c>
      <c r="C601">
        <v>2130</v>
      </c>
      <c r="D601" t="s">
        <v>23</v>
      </c>
      <c r="E601" s="22">
        <v>44408</v>
      </c>
      <c r="F601" s="23">
        <v>44408</v>
      </c>
      <c r="G601" t="s">
        <v>965</v>
      </c>
      <c r="H601" t="s">
        <v>28</v>
      </c>
      <c r="I601" t="s">
        <v>23</v>
      </c>
      <c r="J601" t="s">
        <v>67</v>
      </c>
      <c r="K601" t="s">
        <v>103</v>
      </c>
      <c r="L601" t="s">
        <v>660</v>
      </c>
      <c r="M601">
        <v>2121</v>
      </c>
      <c r="N601" t="s">
        <v>857</v>
      </c>
      <c r="O601" t="s">
        <v>866</v>
      </c>
      <c r="P601" t="s">
        <v>21</v>
      </c>
      <c r="Q601" t="s">
        <v>21</v>
      </c>
      <c r="R601" t="s">
        <v>915</v>
      </c>
      <c r="S601" t="s">
        <v>915</v>
      </c>
      <c r="T601" t="s">
        <v>950</v>
      </c>
      <c r="U601" t="s">
        <v>960</v>
      </c>
      <c r="V601" s="28" t="s">
        <v>1383</v>
      </c>
      <c r="W601" s="28" t="s">
        <v>1215</v>
      </c>
      <c r="X601" s="28" t="s">
        <v>2976</v>
      </c>
      <c r="Y601" s="28" t="s">
        <v>2959</v>
      </c>
      <c r="Z601" s="28" t="s">
        <v>2977</v>
      </c>
      <c r="AA601" s="28" t="s">
        <v>2978</v>
      </c>
      <c r="AB601" s="28" t="s">
        <v>2979</v>
      </c>
      <c r="AC601" s="28" t="s">
        <v>2980</v>
      </c>
    </row>
    <row r="602" spans="1:29">
      <c r="A602">
        <v>6</v>
      </c>
      <c r="B602">
        <v>2130</v>
      </c>
      <c r="C602">
        <v>2130</v>
      </c>
      <c r="D602" t="s">
        <v>23</v>
      </c>
      <c r="E602" s="22">
        <v>44408</v>
      </c>
      <c r="F602" s="23">
        <v>44408</v>
      </c>
      <c r="G602" t="s">
        <v>965</v>
      </c>
      <c r="H602" t="s">
        <v>28</v>
      </c>
      <c r="I602" t="s">
        <v>23</v>
      </c>
      <c r="J602" t="s">
        <v>67</v>
      </c>
      <c r="K602" t="s">
        <v>103</v>
      </c>
      <c r="L602" t="s">
        <v>661</v>
      </c>
      <c r="M602">
        <v>2121</v>
      </c>
      <c r="N602" t="s">
        <v>857</v>
      </c>
      <c r="O602" t="s">
        <v>866</v>
      </c>
      <c r="P602" t="s">
        <v>21</v>
      </c>
      <c r="Q602" t="s">
        <v>21</v>
      </c>
      <c r="R602" t="s">
        <v>919</v>
      </c>
      <c r="S602" t="s">
        <v>919</v>
      </c>
      <c r="T602" t="s">
        <v>959</v>
      </c>
      <c r="U602" t="s">
        <v>960</v>
      </c>
      <c r="V602" s="28" t="s">
        <v>1266</v>
      </c>
      <c r="W602" s="28" t="s">
        <v>1267</v>
      </c>
      <c r="X602" s="28" t="s">
        <v>2981</v>
      </c>
      <c r="Y602" s="28" t="s">
        <v>2982</v>
      </c>
      <c r="Z602" s="28" t="s">
        <v>2983</v>
      </c>
      <c r="AA602" s="28" t="s">
        <v>2984</v>
      </c>
      <c r="AB602" s="28" t="s">
        <v>2985</v>
      </c>
      <c r="AC602" s="28" t="s">
        <v>2986</v>
      </c>
    </row>
    <row r="603" spans="1:29">
      <c r="A603">
        <v>7</v>
      </c>
      <c r="B603">
        <v>2130</v>
      </c>
      <c r="C603">
        <v>2130</v>
      </c>
      <c r="D603" t="s">
        <v>23</v>
      </c>
      <c r="E603" s="22">
        <v>44408</v>
      </c>
      <c r="F603" s="23">
        <v>44408</v>
      </c>
      <c r="G603" t="s">
        <v>965</v>
      </c>
      <c r="H603" t="s">
        <v>28</v>
      </c>
      <c r="I603" t="s">
        <v>23</v>
      </c>
      <c r="J603" t="s">
        <v>67</v>
      </c>
      <c r="K603" t="s">
        <v>103</v>
      </c>
      <c r="L603" t="s">
        <v>662</v>
      </c>
      <c r="M603">
        <v>2121</v>
      </c>
      <c r="N603" t="s">
        <v>857</v>
      </c>
      <c r="O603" t="s">
        <v>866</v>
      </c>
      <c r="P603" t="s">
        <v>21</v>
      </c>
      <c r="Q603" t="s">
        <v>21</v>
      </c>
      <c r="R603" t="s">
        <v>896</v>
      </c>
      <c r="S603" t="s">
        <v>896</v>
      </c>
      <c r="T603" t="s">
        <v>959</v>
      </c>
      <c r="U603" t="s">
        <v>960</v>
      </c>
      <c r="V603" s="28" t="s">
        <v>1266</v>
      </c>
      <c r="W603" s="28" t="s">
        <v>1267</v>
      </c>
      <c r="X603" s="28" t="s">
        <v>2981</v>
      </c>
      <c r="Y603" s="28" t="s">
        <v>2982</v>
      </c>
      <c r="Z603" s="28" t="s">
        <v>2983</v>
      </c>
      <c r="AA603" s="28" t="s">
        <v>2984</v>
      </c>
      <c r="AB603" s="28" t="s">
        <v>2985</v>
      </c>
      <c r="AC603" s="28" t="s">
        <v>2986</v>
      </c>
    </row>
    <row r="604" spans="1:29">
      <c r="A604">
        <v>8</v>
      </c>
      <c r="B604">
        <v>2131</v>
      </c>
      <c r="C604">
        <v>2131</v>
      </c>
      <c r="D604" t="s">
        <v>23</v>
      </c>
      <c r="E604" s="22">
        <v>44410</v>
      </c>
      <c r="F604" s="23">
        <v>44410</v>
      </c>
      <c r="G604" t="s">
        <v>965</v>
      </c>
      <c r="H604" t="s">
        <v>28</v>
      </c>
      <c r="I604" t="s">
        <v>23</v>
      </c>
      <c r="J604" t="s">
        <v>67</v>
      </c>
      <c r="K604" t="s">
        <v>103</v>
      </c>
      <c r="L604" t="s">
        <v>663</v>
      </c>
      <c r="M604">
        <v>2124</v>
      </c>
      <c r="N604" t="s">
        <v>857</v>
      </c>
      <c r="O604" t="s">
        <v>866</v>
      </c>
      <c r="P604" t="s">
        <v>21</v>
      </c>
      <c r="Q604" t="s">
        <v>21</v>
      </c>
      <c r="R604" t="s">
        <v>925</v>
      </c>
      <c r="S604" t="s">
        <v>925</v>
      </c>
      <c r="T604" t="s">
        <v>28</v>
      </c>
      <c r="U604" t="s">
        <v>960</v>
      </c>
      <c r="V604" s="28" t="s">
        <v>1384</v>
      </c>
      <c r="W604" s="28" t="s">
        <v>1231</v>
      </c>
      <c r="X604" s="28" t="s">
        <v>2987</v>
      </c>
      <c r="Y604" s="28" t="s">
        <v>2988</v>
      </c>
      <c r="Z604" s="28" t="s">
        <v>2989</v>
      </c>
      <c r="AA604" s="28" t="s">
        <v>2990</v>
      </c>
      <c r="AB604" s="28" t="s">
        <v>2991</v>
      </c>
      <c r="AC604" s="28" t="s">
        <v>2992</v>
      </c>
    </row>
    <row r="605" spans="1:29">
      <c r="A605">
        <v>9</v>
      </c>
      <c r="B605">
        <v>2131</v>
      </c>
      <c r="C605">
        <v>2131</v>
      </c>
      <c r="D605" t="s">
        <v>23</v>
      </c>
      <c r="E605" s="22">
        <v>44410</v>
      </c>
      <c r="F605" s="23">
        <v>44410</v>
      </c>
      <c r="G605" t="s">
        <v>965</v>
      </c>
      <c r="H605" t="s">
        <v>28</v>
      </c>
      <c r="I605" t="s">
        <v>23</v>
      </c>
      <c r="J605" t="s">
        <v>67</v>
      </c>
      <c r="K605" t="s">
        <v>103</v>
      </c>
      <c r="L605" t="s">
        <v>664</v>
      </c>
      <c r="M605">
        <v>2124</v>
      </c>
      <c r="N605" t="s">
        <v>857</v>
      </c>
      <c r="O605" t="s">
        <v>866</v>
      </c>
      <c r="P605" t="s">
        <v>21</v>
      </c>
      <c r="Q605" t="s">
        <v>21</v>
      </c>
      <c r="R605" t="s">
        <v>935</v>
      </c>
      <c r="S605" t="s">
        <v>935</v>
      </c>
      <c r="T605" t="s">
        <v>955</v>
      </c>
      <c r="U605" t="s">
        <v>960</v>
      </c>
      <c r="V605" s="28" t="s">
        <v>1385</v>
      </c>
      <c r="W605" s="28" t="s">
        <v>1237</v>
      </c>
      <c r="X605" s="28" t="s">
        <v>2993</v>
      </c>
      <c r="Y605" s="28" t="s">
        <v>2994</v>
      </c>
      <c r="Z605" s="28" t="s">
        <v>2995</v>
      </c>
      <c r="AA605" s="28" t="s">
        <v>2996</v>
      </c>
      <c r="AB605" s="28" t="s">
        <v>2997</v>
      </c>
      <c r="AC605" s="28" t="s">
        <v>2998</v>
      </c>
    </row>
    <row r="606" spans="1:29">
      <c r="A606">
        <v>10</v>
      </c>
      <c r="B606">
        <v>2134</v>
      </c>
      <c r="C606">
        <v>2134</v>
      </c>
      <c r="D606" t="s">
        <v>23</v>
      </c>
      <c r="E606" s="22">
        <v>44431</v>
      </c>
      <c r="F606" s="23">
        <v>44431</v>
      </c>
      <c r="G606" t="s">
        <v>965</v>
      </c>
      <c r="H606" t="s">
        <v>28</v>
      </c>
      <c r="I606" t="s">
        <v>23</v>
      </c>
      <c r="J606" t="s">
        <v>67</v>
      </c>
      <c r="K606" t="s">
        <v>103</v>
      </c>
      <c r="L606" t="s">
        <v>5918</v>
      </c>
      <c r="M606">
        <v>2124</v>
      </c>
      <c r="N606" t="s">
        <v>857</v>
      </c>
      <c r="O606" t="s">
        <v>866</v>
      </c>
      <c r="P606" t="s">
        <v>21</v>
      </c>
      <c r="Q606" t="s">
        <v>21</v>
      </c>
      <c r="R606" t="s">
        <v>922</v>
      </c>
      <c r="S606" t="s">
        <v>922</v>
      </c>
      <c r="T606" t="s">
        <v>28</v>
      </c>
      <c r="U606" t="s">
        <v>960</v>
      </c>
      <c r="V606" s="28" t="s">
        <v>5919</v>
      </c>
      <c r="W606" s="28" t="s">
        <v>1231</v>
      </c>
      <c r="X606" s="28" t="s">
        <v>5920</v>
      </c>
      <c r="Y606" s="28" t="s">
        <v>2988</v>
      </c>
      <c r="Z606" s="28" t="s">
        <v>5921</v>
      </c>
      <c r="AA606" s="28" t="s">
        <v>2990</v>
      </c>
      <c r="AB606" s="28" t="s">
        <v>5922</v>
      </c>
      <c r="AC606" s="28" t="s">
        <v>2992</v>
      </c>
    </row>
    <row r="607" spans="1:29">
      <c r="A607">
        <v>11</v>
      </c>
      <c r="B607">
        <v>2137</v>
      </c>
      <c r="C607">
        <v>2137</v>
      </c>
      <c r="D607" t="s">
        <v>23</v>
      </c>
      <c r="E607" s="22">
        <v>44454</v>
      </c>
      <c r="F607" s="23">
        <v>44454</v>
      </c>
      <c r="G607" t="s">
        <v>965</v>
      </c>
      <c r="H607" t="s">
        <v>28</v>
      </c>
      <c r="I607" t="s">
        <v>23</v>
      </c>
      <c r="J607" t="s">
        <v>67</v>
      </c>
      <c r="K607" t="s">
        <v>103</v>
      </c>
      <c r="L607" t="s">
        <v>6367</v>
      </c>
      <c r="M607">
        <v>2124</v>
      </c>
      <c r="N607" t="s">
        <v>857</v>
      </c>
      <c r="O607" t="s">
        <v>866</v>
      </c>
      <c r="P607" t="s">
        <v>21</v>
      </c>
      <c r="Q607" t="s">
        <v>21</v>
      </c>
      <c r="R607" t="s">
        <v>934</v>
      </c>
      <c r="S607" s="38" t="s">
        <v>934</v>
      </c>
      <c r="T607" s="38" t="s">
        <v>955</v>
      </c>
      <c r="U607" t="s">
        <v>960</v>
      </c>
      <c r="V607" s="28" t="s">
        <v>6368</v>
      </c>
      <c r="W607" s="28" t="s">
        <v>6369</v>
      </c>
      <c r="X607" s="28" t="s">
        <v>6370</v>
      </c>
      <c r="Y607" s="28" t="s">
        <v>6371</v>
      </c>
      <c r="Z607" s="28" t="s">
        <v>6372</v>
      </c>
      <c r="AA607" s="28" t="s">
        <v>6373</v>
      </c>
      <c r="AB607" s="28" t="s">
        <v>6374</v>
      </c>
      <c r="AC607" s="28" t="s">
        <v>6375</v>
      </c>
    </row>
    <row r="608" spans="1:29">
      <c r="A608">
        <v>12</v>
      </c>
      <c r="B608">
        <v>2137</v>
      </c>
      <c r="C608">
        <v>2137</v>
      </c>
      <c r="D608" t="s">
        <v>23</v>
      </c>
      <c r="E608" s="22">
        <v>44456</v>
      </c>
      <c r="F608" s="23">
        <v>44454</v>
      </c>
      <c r="G608" t="s">
        <v>965</v>
      </c>
      <c r="H608" t="s">
        <v>28</v>
      </c>
      <c r="I608" t="s">
        <v>23</v>
      </c>
      <c r="J608" t="s">
        <v>67</v>
      </c>
      <c r="K608" t="s">
        <v>103</v>
      </c>
      <c r="L608" t="s">
        <v>6376</v>
      </c>
      <c r="M608">
        <v>2128</v>
      </c>
      <c r="N608" t="s">
        <v>857</v>
      </c>
      <c r="O608" t="s">
        <v>866</v>
      </c>
      <c r="P608" t="s">
        <v>21</v>
      </c>
      <c r="Q608" t="s">
        <v>21</v>
      </c>
      <c r="R608" t="s">
        <v>915</v>
      </c>
      <c r="S608" t="s">
        <v>915</v>
      </c>
      <c r="T608" s="39" t="s">
        <v>950</v>
      </c>
      <c r="U608" t="s">
        <v>960</v>
      </c>
      <c r="V608" s="28" t="s">
        <v>6377</v>
      </c>
      <c r="W608" s="28" t="s">
        <v>6214</v>
      </c>
      <c r="X608" s="28" t="s">
        <v>6378</v>
      </c>
      <c r="Y608" s="28" t="s">
        <v>6379</v>
      </c>
      <c r="Z608" s="28" t="s">
        <v>6380</v>
      </c>
      <c r="AA608" s="28" t="s">
        <v>6381</v>
      </c>
      <c r="AB608" s="28" t="s">
        <v>6382</v>
      </c>
      <c r="AC608" s="28" t="s">
        <v>6235</v>
      </c>
    </row>
    <row r="609" spans="1:29">
      <c r="A609">
        <v>1</v>
      </c>
      <c r="B609">
        <v>2115</v>
      </c>
      <c r="C609">
        <v>2115</v>
      </c>
      <c r="D609" t="s">
        <v>23</v>
      </c>
      <c r="E609" s="22">
        <v>44302</v>
      </c>
      <c r="F609" s="23">
        <v>44302</v>
      </c>
      <c r="G609" t="s">
        <v>965</v>
      </c>
      <c r="H609" t="s">
        <v>28</v>
      </c>
      <c r="I609" t="s">
        <v>23</v>
      </c>
      <c r="J609" t="s">
        <v>68</v>
      </c>
      <c r="K609" t="s">
        <v>107</v>
      </c>
      <c r="L609" t="s">
        <v>665</v>
      </c>
      <c r="M609">
        <v>2110</v>
      </c>
      <c r="N609" t="s">
        <v>858</v>
      </c>
      <c r="O609" t="s">
        <v>866</v>
      </c>
      <c r="P609" t="s">
        <v>21</v>
      </c>
      <c r="Q609" t="s">
        <v>21</v>
      </c>
      <c r="R609" t="s">
        <v>894</v>
      </c>
      <c r="S609" t="s">
        <v>894</v>
      </c>
      <c r="T609" t="s">
        <v>953</v>
      </c>
      <c r="U609" t="s">
        <v>960</v>
      </c>
      <c r="V609" s="28" t="s">
        <v>1386</v>
      </c>
      <c r="W609" s="28" t="s">
        <v>1387</v>
      </c>
      <c r="X609" s="28" t="s">
        <v>2999</v>
      </c>
      <c r="Y609" s="28" t="s">
        <v>3000</v>
      </c>
      <c r="Z609" s="28" t="s">
        <v>3001</v>
      </c>
      <c r="AA609" s="28" t="s">
        <v>3002</v>
      </c>
      <c r="AB609" s="28" t="s">
        <v>3003</v>
      </c>
      <c r="AC609" s="28" t="s">
        <v>3004</v>
      </c>
    </row>
    <row r="610" spans="1:29">
      <c r="A610">
        <v>2</v>
      </c>
      <c r="B610">
        <v>2115</v>
      </c>
      <c r="C610">
        <v>2115</v>
      </c>
      <c r="D610" t="s">
        <v>23</v>
      </c>
      <c r="E610" s="22">
        <v>44302</v>
      </c>
      <c r="F610" s="23">
        <v>44302</v>
      </c>
      <c r="G610" t="s">
        <v>965</v>
      </c>
      <c r="H610" t="s">
        <v>28</v>
      </c>
      <c r="I610" t="s">
        <v>23</v>
      </c>
      <c r="J610" t="s">
        <v>68</v>
      </c>
      <c r="K610" t="s">
        <v>107</v>
      </c>
      <c r="L610" t="s">
        <v>666</v>
      </c>
      <c r="M610">
        <v>2110</v>
      </c>
      <c r="N610" t="s">
        <v>858</v>
      </c>
      <c r="O610" t="s">
        <v>866</v>
      </c>
      <c r="P610" t="s">
        <v>21</v>
      </c>
      <c r="Q610" t="s">
        <v>21</v>
      </c>
      <c r="R610" t="s">
        <v>933</v>
      </c>
      <c r="S610" t="s">
        <v>933</v>
      </c>
      <c r="T610" t="s">
        <v>955</v>
      </c>
      <c r="U610" t="s">
        <v>960</v>
      </c>
      <c r="V610" s="28" t="s">
        <v>1388</v>
      </c>
      <c r="W610" s="28" t="s">
        <v>1389</v>
      </c>
      <c r="X610" s="28" t="s">
        <v>3005</v>
      </c>
      <c r="Y610" s="28" t="s">
        <v>3006</v>
      </c>
      <c r="Z610" s="28" t="s">
        <v>3007</v>
      </c>
      <c r="AA610" s="28" t="s">
        <v>3008</v>
      </c>
      <c r="AB610" s="28" t="s">
        <v>3009</v>
      </c>
      <c r="AC610" s="28" t="s">
        <v>3010</v>
      </c>
    </row>
    <row r="611" spans="1:29">
      <c r="A611">
        <v>3</v>
      </c>
      <c r="B611">
        <v>2118</v>
      </c>
      <c r="C611">
        <v>2118</v>
      </c>
      <c r="D611" t="s">
        <v>23</v>
      </c>
      <c r="E611" s="22">
        <v>44319</v>
      </c>
      <c r="F611" s="23">
        <v>44319</v>
      </c>
      <c r="G611" t="s">
        <v>965</v>
      </c>
      <c r="H611" t="s">
        <v>28</v>
      </c>
      <c r="I611" t="s">
        <v>23</v>
      </c>
      <c r="J611" t="s">
        <v>68</v>
      </c>
      <c r="K611" t="s">
        <v>107</v>
      </c>
      <c r="L611" t="s">
        <v>667</v>
      </c>
      <c r="M611">
        <v>2114</v>
      </c>
      <c r="N611" t="s">
        <v>858</v>
      </c>
      <c r="O611" t="s">
        <v>866</v>
      </c>
      <c r="P611" t="s">
        <v>21</v>
      </c>
      <c r="Q611" t="s">
        <v>21</v>
      </c>
      <c r="R611" t="s">
        <v>923</v>
      </c>
      <c r="S611" t="s">
        <v>923</v>
      </c>
      <c r="T611" t="s">
        <v>951</v>
      </c>
      <c r="U611" t="s">
        <v>960</v>
      </c>
      <c r="V611" s="28" t="s">
        <v>1390</v>
      </c>
      <c r="W611" s="28" t="s">
        <v>1391</v>
      </c>
      <c r="X611" s="28" t="s">
        <v>3011</v>
      </c>
      <c r="Y611" s="28" t="s">
        <v>3012</v>
      </c>
      <c r="Z611" s="28" t="s">
        <v>3013</v>
      </c>
      <c r="AA611" s="28" t="s">
        <v>3014</v>
      </c>
      <c r="AB611" s="28" t="s">
        <v>3015</v>
      </c>
      <c r="AC611" s="28" t="s">
        <v>3016</v>
      </c>
    </row>
    <row r="612" spans="1:29">
      <c r="A612">
        <v>4</v>
      </c>
      <c r="B612">
        <v>2122</v>
      </c>
      <c r="C612">
        <v>2122</v>
      </c>
      <c r="D612" t="s">
        <v>23</v>
      </c>
      <c r="E612" s="22">
        <v>44349</v>
      </c>
      <c r="F612" s="23">
        <v>44349</v>
      </c>
      <c r="G612" t="s">
        <v>965</v>
      </c>
      <c r="H612" t="s">
        <v>28</v>
      </c>
      <c r="I612" t="s">
        <v>23</v>
      </c>
      <c r="J612" t="s">
        <v>68</v>
      </c>
      <c r="K612" t="s">
        <v>107</v>
      </c>
      <c r="L612" t="s">
        <v>668</v>
      </c>
      <c r="M612">
        <v>2116</v>
      </c>
      <c r="N612" t="s">
        <v>858</v>
      </c>
      <c r="O612" t="s">
        <v>866</v>
      </c>
      <c r="P612" t="s">
        <v>21</v>
      </c>
      <c r="Q612" t="s">
        <v>21</v>
      </c>
      <c r="R612" t="s">
        <v>915</v>
      </c>
      <c r="S612" t="s">
        <v>915</v>
      </c>
      <c r="T612" t="s">
        <v>950</v>
      </c>
      <c r="U612" t="s">
        <v>960</v>
      </c>
      <c r="V612" s="28" t="s">
        <v>1181</v>
      </c>
      <c r="W612" s="28" t="s">
        <v>1169</v>
      </c>
      <c r="X612" s="28" t="s">
        <v>3017</v>
      </c>
      <c r="Y612" s="28" t="s">
        <v>3018</v>
      </c>
      <c r="Z612" s="28" t="s">
        <v>3019</v>
      </c>
      <c r="AA612" s="28" t="s">
        <v>3020</v>
      </c>
      <c r="AB612" s="28" t="s">
        <v>3021</v>
      </c>
      <c r="AC612" s="28" t="s">
        <v>3022</v>
      </c>
    </row>
    <row r="613" spans="1:29">
      <c r="A613">
        <v>5</v>
      </c>
      <c r="B613">
        <v>2122</v>
      </c>
      <c r="C613">
        <v>2122</v>
      </c>
      <c r="D613" t="s">
        <v>23</v>
      </c>
      <c r="E613" s="22">
        <v>44350</v>
      </c>
      <c r="F613" s="23">
        <v>44350</v>
      </c>
      <c r="G613" t="s">
        <v>965</v>
      </c>
      <c r="H613" t="s">
        <v>28</v>
      </c>
      <c r="I613" t="s">
        <v>23</v>
      </c>
      <c r="J613" t="s">
        <v>68</v>
      </c>
      <c r="K613" t="s">
        <v>107</v>
      </c>
      <c r="L613" t="s">
        <v>669</v>
      </c>
      <c r="M613">
        <v>2117</v>
      </c>
      <c r="N613" t="s">
        <v>858</v>
      </c>
      <c r="O613" t="s">
        <v>866</v>
      </c>
      <c r="P613" t="s">
        <v>21</v>
      </c>
      <c r="Q613" t="s">
        <v>21</v>
      </c>
      <c r="R613" t="s">
        <v>923</v>
      </c>
      <c r="S613" t="s">
        <v>923</v>
      </c>
      <c r="T613" t="s">
        <v>951</v>
      </c>
      <c r="U613" t="s">
        <v>960</v>
      </c>
      <c r="V613" s="28" t="s">
        <v>1392</v>
      </c>
      <c r="W613" s="28" t="s">
        <v>1391</v>
      </c>
      <c r="X613" s="28" t="s">
        <v>3023</v>
      </c>
      <c r="Y613" s="28" t="s">
        <v>3012</v>
      </c>
      <c r="Z613" s="28" t="s">
        <v>3024</v>
      </c>
      <c r="AA613" s="28" t="s">
        <v>3014</v>
      </c>
      <c r="AB613" s="28" t="s">
        <v>3025</v>
      </c>
      <c r="AC613" s="28" t="s">
        <v>3016</v>
      </c>
    </row>
    <row r="614" spans="1:29">
      <c r="A614">
        <v>6</v>
      </c>
      <c r="B614">
        <v>2122</v>
      </c>
      <c r="C614">
        <v>2122</v>
      </c>
      <c r="D614" t="s">
        <v>23</v>
      </c>
      <c r="E614" s="22">
        <v>44351</v>
      </c>
      <c r="F614" s="23">
        <v>44351</v>
      </c>
      <c r="G614" t="s">
        <v>965</v>
      </c>
      <c r="H614" t="s">
        <v>28</v>
      </c>
      <c r="I614" t="s">
        <v>23</v>
      </c>
      <c r="J614" t="s">
        <v>68</v>
      </c>
      <c r="K614" t="s">
        <v>107</v>
      </c>
      <c r="L614" t="s">
        <v>670</v>
      </c>
      <c r="M614">
        <v>2117</v>
      </c>
      <c r="N614" t="s">
        <v>858</v>
      </c>
      <c r="O614" t="s">
        <v>866</v>
      </c>
      <c r="P614" t="s">
        <v>21</v>
      </c>
      <c r="Q614" t="s">
        <v>21</v>
      </c>
      <c r="R614" t="s">
        <v>936</v>
      </c>
      <c r="S614" t="s">
        <v>936</v>
      </c>
      <c r="T614" t="s">
        <v>948</v>
      </c>
      <c r="U614" t="s">
        <v>960</v>
      </c>
      <c r="V614" s="28" t="s">
        <v>1393</v>
      </c>
      <c r="W614" s="28" t="s">
        <v>1062</v>
      </c>
      <c r="X614" s="28" t="s">
        <v>3026</v>
      </c>
      <c r="Y614" s="28" t="s">
        <v>3027</v>
      </c>
      <c r="Z614" s="28" t="s">
        <v>3028</v>
      </c>
      <c r="AA614" s="28" t="s">
        <v>3029</v>
      </c>
      <c r="AB614" s="28" t="s">
        <v>3030</v>
      </c>
      <c r="AC614" s="28" t="s">
        <v>3031</v>
      </c>
    </row>
    <row r="615" spans="1:29">
      <c r="A615">
        <v>7</v>
      </c>
      <c r="B615">
        <v>2122</v>
      </c>
      <c r="C615">
        <v>2122</v>
      </c>
      <c r="D615" t="s">
        <v>23</v>
      </c>
      <c r="E615" s="22">
        <v>44351</v>
      </c>
      <c r="F615" s="23">
        <v>44351</v>
      </c>
      <c r="G615" t="s">
        <v>965</v>
      </c>
      <c r="H615" t="s">
        <v>28</v>
      </c>
      <c r="I615" t="s">
        <v>23</v>
      </c>
      <c r="J615" t="s">
        <v>68</v>
      </c>
      <c r="K615" t="s">
        <v>107</v>
      </c>
      <c r="L615" t="s">
        <v>671</v>
      </c>
      <c r="M615">
        <v>2115</v>
      </c>
      <c r="N615" t="s">
        <v>858</v>
      </c>
      <c r="O615" t="s">
        <v>866</v>
      </c>
      <c r="P615" t="s">
        <v>21</v>
      </c>
      <c r="Q615" t="s">
        <v>21</v>
      </c>
      <c r="R615" t="s">
        <v>922</v>
      </c>
      <c r="S615" t="s">
        <v>922</v>
      </c>
      <c r="T615" t="s">
        <v>28</v>
      </c>
      <c r="U615" t="s">
        <v>960</v>
      </c>
      <c r="V615" s="28" t="s">
        <v>1394</v>
      </c>
      <c r="W615" s="28" t="s">
        <v>1165</v>
      </c>
      <c r="X615" s="28" t="s">
        <v>3032</v>
      </c>
      <c r="Y615" s="28" t="s">
        <v>3033</v>
      </c>
      <c r="Z615" s="28" t="s">
        <v>3034</v>
      </c>
      <c r="AA615" s="28" t="s">
        <v>3035</v>
      </c>
      <c r="AB615" s="28" t="s">
        <v>3036</v>
      </c>
      <c r="AC615" s="28" t="s">
        <v>3037</v>
      </c>
    </row>
    <row r="616" spans="1:29">
      <c r="A616">
        <v>8</v>
      </c>
      <c r="B616">
        <v>2122</v>
      </c>
      <c r="C616">
        <v>2122</v>
      </c>
      <c r="D616" t="s">
        <v>23</v>
      </c>
      <c r="E616" s="22">
        <v>44352</v>
      </c>
      <c r="F616" s="23">
        <v>44352</v>
      </c>
      <c r="G616" t="s">
        <v>965</v>
      </c>
      <c r="H616" t="s">
        <v>28</v>
      </c>
      <c r="I616" t="s">
        <v>23</v>
      </c>
      <c r="J616" t="s">
        <v>68</v>
      </c>
      <c r="K616" t="s">
        <v>107</v>
      </c>
      <c r="L616" t="s">
        <v>672</v>
      </c>
      <c r="M616">
        <v>2117</v>
      </c>
      <c r="N616" t="s">
        <v>858</v>
      </c>
      <c r="O616" t="s">
        <v>866</v>
      </c>
      <c r="P616" t="s">
        <v>21</v>
      </c>
      <c r="Q616" t="s">
        <v>21</v>
      </c>
      <c r="R616" t="s">
        <v>915</v>
      </c>
      <c r="S616" t="s">
        <v>915</v>
      </c>
      <c r="T616" t="s">
        <v>950</v>
      </c>
      <c r="U616" t="s">
        <v>960</v>
      </c>
      <c r="V616" s="28" t="s">
        <v>1181</v>
      </c>
      <c r="W616" s="28" t="s">
        <v>1169</v>
      </c>
      <c r="X616" s="28" t="s">
        <v>3017</v>
      </c>
      <c r="Y616" s="28" t="s">
        <v>3018</v>
      </c>
      <c r="Z616" s="28" t="s">
        <v>3019</v>
      </c>
      <c r="AA616" s="28" t="s">
        <v>3020</v>
      </c>
      <c r="AB616" s="28" t="s">
        <v>3021</v>
      </c>
      <c r="AC616" s="28" t="s">
        <v>3022</v>
      </c>
    </row>
    <row r="617" spans="1:29">
      <c r="A617">
        <v>9</v>
      </c>
      <c r="B617">
        <v>2126</v>
      </c>
      <c r="C617">
        <v>2126</v>
      </c>
      <c r="D617" t="s">
        <v>23</v>
      </c>
      <c r="E617" s="22">
        <v>44376</v>
      </c>
      <c r="F617" s="23">
        <v>44376</v>
      </c>
      <c r="G617" t="s">
        <v>965</v>
      </c>
      <c r="H617" t="s">
        <v>28</v>
      </c>
      <c r="I617" t="s">
        <v>23</v>
      </c>
      <c r="J617" t="s">
        <v>68</v>
      </c>
      <c r="K617" t="s">
        <v>107</v>
      </c>
      <c r="L617" t="s">
        <v>673</v>
      </c>
      <c r="M617">
        <v>2119</v>
      </c>
      <c r="N617" t="s">
        <v>858</v>
      </c>
      <c r="O617" t="s">
        <v>866</v>
      </c>
      <c r="P617" t="s">
        <v>21</v>
      </c>
      <c r="Q617" t="s">
        <v>21</v>
      </c>
      <c r="R617" t="s">
        <v>881</v>
      </c>
      <c r="S617" t="s">
        <v>881</v>
      </c>
      <c r="T617" t="s">
        <v>949</v>
      </c>
      <c r="U617" t="s">
        <v>960</v>
      </c>
      <c r="V617" s="28" t="s">
        <v>1203</v>
      </c>
      <c r="W617" s="28" t="s">
        <v>1194</v>
      </c>
      <c r="X617" s="28" t="s">
        <v>3038</v>
      </c>
      <c r="Y617" s="28" t="s">
        <v>3039</v>
      </c>
      <c r="Z617" s="28" t="s">
        <v>3040</v>
      </c>
      <c r="AA617" s="28" t="s">
        <v>3041</v>
      </c>
      <c r="AB617" s="28" t="s">
        <v>3042</v>
      </c>
      <c r="AC617" s="28" t="s">
        <v>3043</v>
      </c>
    </row>
    <row r="618" spans="1:29">
      <c r="A618">
        <v>10</v>
      </c>
      <c r="B618">
        <v>2126</v>
      </c>
      <c r="C618">
        <v>2126</v>
      </c>
      <c r="D618" t="s">
        <v>23</v>
      </c>
      <c r="E618" s="22">
        <v>44376</v>
      </c>
      <c r="F618" s="23">
        <v>44376</v>
      </c>
      <c r="G618" t="s">
        <v>965</v>
      </c>
      <c r="H618" t="s">
        <v>28</v>
      </c>
      <c r="I618" t="s">
        <v>23</v>
      </c>
      <c r="J618" t="s">
        <v>68</v>
      </c>
      <c r="K618" t="s">
        <v>107</v>
      </c>
      <c r="L618" t="s">
        <v>674</v>
      </c>
      <c r="M618">
        <v>2020</v>
      </c>
      <c r="N618" t="s">
        <v>858</v>
      </c>
      <c r="O618" t="s">
        <v>866</v>
      </c>
      <c r="P618" t="s">
        <v>21</v>
      </c>
      <c r="Q618" t="s">
        <v>21</v>
      </c>
      <c r="R618" t="s">
        <v>924</v>
      </c>
      <c r="S618" t="s">
        <v>931</v>
      </c>
      <c r="T618" t="s">
        <v>954</v>
      </c>
      <c r="U618" t="s">
        <v>960</v>
      </c>
      <c r="V618" s="28" t="s">
        <v>1395</v>
      </c>
      <c r="W618" s="28" t="s">
        <v>1396</v>
      </c>
      <c r="X618" s="28" t="s">
        <v>3044</v>
      </c>
      <c r="Y618" s="28" t="s">
        <v>3045</v>
      </c>
      <c r="Z618" s="28" t="s">
        <v>3046</v>
      </c>
      <c r="AA618" s="28" t="s">
        <v>3047</v>
      </c>
      <c r="AB618" s="28" t="s">
        <v>3048</v>
      </c>
      <c r="AC618" s="28" t="s">
        <v>3049</v>
      </c>
    </row>
    <row r="619" spans="1:29">
      <c r="A619">
        <v>11</v>
      </c>
      <c r="B619">
        <v>2133</v>
      </c>
      <c r="C619">
        <v>2133</v>
      </c>
      <c r="D619" t="s">
        <v>23</v>
      </c>
      <c r="E619" s="22">
        <v>44425</v>
      </c>
      <c r="F619" s="23">
        <v>44425</v>
      </c>
      <c r="G619" t="s">
        <v>965</v>
      </c>
      <c r="H619" t="s">
        <v>28</v>
      </c>
      <c r="I619" t="s">
        <v>23</v>
      </c>
      <c r="J619" t="s">
        <v>68</v>
      </c>
      <c r="K619" t="s">
        <v>107</v>
      </c>
      <c r="L619" t="s">
        <v>675</v>
      </c>
      <c r="M619">
        <v>2124</v>
      </c>
      <c r="N619" t="s">
        <v>858</v>
      </c>
      <c r="O619" t="s">
        <v>866</v>
      </c>
      <c r="P619" t="s">
        <v>21</v>
      </c>
      <c r="Q619" t="s">
        <v>21</v>
      </c>
      <c r="R619" t="s">
        <v>924</v>
      </c>
      <c r="S619" t="s">
        <v>870</v>
      </c>
      <c r="T619" t="s">
        <v>949</v>
      </c>
      <c r="U619" t="s">
        <v>960</v>
      </c>
      <c r="V619" s="28" t="s">
        <v>1397</v>
      </c>
      <c r="W619" s="28" t="s">
        <v>1235</v>
      </c>
      <c r="X619" s="28" t="s">
        <v>3050</v>
      </c>
      <c r="Y619" s="28" t="s">
        <v>3051</v>
      </c>
      <c r="Z619" s="28" t="s">
        <v>3052</v>
      </c>
      <c r="AA619" s="28" t="s">
        <v>3053</v>
      </c>
      <c r="AB619" s="28" t="s">
        <v>3054</v>
      </c>
      <c r="AC619" s="28" t="s">
        <v>3055</v>
      </c>
    </row>
    <row r="620" spans="1:29">
      <c r="A620">
        <v>12</v>
      </c>
      <c r="B620">
        <v>2134</v>
      </c>
      <c r="C620">
        <v>2134</v>
      </c>
      <c r="D620" t="s">
        <v>23</v>
      </c>
      <c r="E620" s="22">
        <v>44432</v>
      </c>
      <c r="F620" s="23">
        <v>44432</v>
      </c>
      <c r="G620" t="s">
        <v>965</v>
      </c>
      <c r="H620" t="s">
        <v>28</v>
      </c>
      <c r="I620" t="s">
        <v>23</v>
      </c>
      <c r="J620" t="s">
        <v>68</v>
      </c>
      <c r="K620" t="s">
        <v>107</v>
      </c>
      <c r="L620" t="s">
        <v>5923</v>
      </c>
      <c r="M620">
        <v>2125</v>
      </c>
      <c r="N620" t="s">
        <v>858</v>
      </c>
      <c r="O620" t="s">
        <v>866</v>
      </c>
      <c r="P620" t="s">
        <v>21</v>
      </c>
      <c r="Q620" t="s">
        <v>21</v>
      </c>
      <c r="R620" t="s">
        <v>922</v>
      </c>
      <c r="S620" t="s">
        <v>922</v>
      </c>
      <c r="T620" t="s">
        <v>28</v>
      </c>
      <c r="U620" t="s">
        <v>960</v>
      </c>
      <c r="V620" s="28" t="s">
        <v>5919</v>
      </c>
      <c r="W620" s="28" t="s">
        <v>1231</v>
      </c>
      <c r="X620" s="28" t="s">
        <v>5920</v>
      </c>
      <c r="Y620" s="28" t="s">
        <v>2988</v>
      </c>
      <c r="Z620" s="28" t="s">
        <v>5924</v>
      </c>
      <c r="AA620" s="28" t="s">
        <v>5925</v>
      </c>
      <c r="AB620" s="28" t="s">
        <v>5926</v>
      </c>
      <c r="AC620" s="28" t="s">
        <v>5927</v>
      </c>
    </row>
    <row r="621" spans="1:29">
      <c r="A621">
        <v>13</v>
      </c>
      <c r="B621">
        <v>2134</v>
      </c>
      <c r="C621">
        <v>2134</v>
      </c>
      <c r="D621" t="s">
        <v>23</v>
      </c>
      <c r="E621" s="22">
        <v>44432</v>
      </c>
      <c r="F621" s="23">
        <v>44432</v>
      </c>
      <c r="G621" t="s">
        <v>965</v>
      </c>
      <c r="H621" t="s">
        <v>28</v>
      </c>
      <c r="I621" t="s">
        <v>23</v>
      </c>
      <c r="J621" t="s">
        <v>68</v>
      </c>
      <c r="K621" t="s">
        <v>107</v>
      </c>
      <c r="L621" t="s">
        <v>5928</v>
      </c>
      <c r="M621">
        <v>2126</v>
      </c>
      <c r="N621" t="s">
        <v>858</v>
      </c>
      <c r="O621" t="s">
        <v>866</v>
      </c>
      <c r="P621" t="s">
        <v>21</v>
      </c>
      <c r="Q621" t="s">
        <v>21</v>
      </c>
      <c r="R621" t="s">
        <v>915</v>
      </c>
      <c r="S621" t="s">
        <v>915</v>
      </c>
      <c r="T621" t="s">
        <v>950</v>
      </c>
      <c r="U621" t="s">
        <v>960</v>
      </c>
      <c r="V621" s="28" t="s">
        <v>5929</v>
      </c>
      <c r="W621" s="28" t="s">
        <v>1241</v>
      </c>
      <c r="X621" s="28" t="s">
        <v>5930</v>
      </c>
      <c r="Y621" s="28" t="s">
        <v>3274</v>
      </c>
      <c r="Z621" s="28" t="s">
        <v>5931</v>
      </c>
      <c r="AA621" s="28" t="s">
        <v>5932</v>
      </c>
      <c r="AB621" s="28" t="s">
        <v>5933</v>
      </c>
      <c r="AC621" s="28" t="s">
        <v>5934</v>
      </c>
    </row>
    <row r="622" spans="1:29">
      <c r="A622">
        <v>14</v>
      </c>
      <c r="B622">
        <v>2135</v>
      </c>
      <c r="C622">
        <v>2135</v>
      </c>
      <c r="D622" t="s">
        <v>23</v>
      </c>
      <c r="E622" s="22">
        <v>44442</v>
      </c>
      <c r="F622" s="23">
        <v>44442</v>
      </c>
      <c r="G622" t="s">
        <v>965</v>
      </c>
      <c r="H622" t="s">
        <v>28</v>
      </c>
      <c r="I622" t="s">
        <v>23</v>
      </c>
      <c r="J622" t="s">
        <v>68</v>
      </c>
      <c r="K622" t="s">
        <v>107</v>
      </c>
      <c r="L622" t="s">
        <v>6138</v>
      </c>
      <c r="M622">
        <v>2126</v>
      </c>
      <c r="N622" t="s">
        <v>858</v>
      </c>
      <c r="O622" t="s">
        <v>866</v>
      </c>
      <c r="P622" t="s">
        <v>21</v>
      </c>
      <c r="Q622" t="s">
        <v>21</v>
      </c>
      <c r="R622" t="s">
        <v>922</v>
      </c>
      <c r="S622" t="s">
        <v>922</v>
      </c>
      <c r="T622" t="s">
        <v>28</v>
      </c>
      <c r="U622" t="s">
        <v>960</v>
      </c>
      <c r="V622" s="28" t="s">
        <v>6079</v>
      </c>
      <c r="W622" s="28" t="s">
        <v>1231</v>
      </c>
      <c r="X622" s="28" t="s">
        <v>6139</v>
      </c>
      <c r="Y622" s="28" t="s">
        <v>2988</v>
      </c>
      <c r="Z622" s="28" t="s">
        <v>6140</v>
      </c>
      <c r="AA622" s="28" t="s">
        <v>5925</v>
      </c>
      <c r="AB622" s="28" t="s">
        <v>6141</v>
      </c>
      <c r="AC622" s="28" t="s">
        <v>5927</v>
      </c>
    </row>
    <row r="623" spans="1:29">
      <c r="A623">
        <v>1</v>
      </c>
      <c r="B623">
        <v>2037</v>
      </c>
      <c r="C623">
        <v>2037</v>
      </c>
      <c r="D623" t="s">
        <v>23</v>
      </c>
      <c r="E623" s="22">
        <v>44081</v>
      </c>
      <c r="F623" s="23">
        <v>44081</v>
      </c>
      <c r="G623" t="s">
        <v>965</v>
      </c>
      <c r="H623" t="s">
        <v>28</v>
      </c>
      <c r="I623" t="s">
        <v>23</v>
      </c>
      <c r="J623" t="s">
        <v>60</v>
      </c>
      <c r="K623" t="s">
        <v>108</v>
      </c>
      <c r="L623" t="s">
        <v>676</v>
      </c>
      <c r="M623">
        <v>2032</v>
      </c>
      <c r="N623" t="s">
        <v>859</v>
      </c>
      <c r="O623" t="s">
        <v>866</v>
      </c>
      <c r="P623" t="s">
        <v>21</v>
      </c>
      <c r="Q623" t="s">
        <v>21</v>
      </c>
      <c r="R623" t="s">
        <v>918</v>
      </c>
      <c r="S623" t="s">
        <v>918</v>
      </c>
      <c r="T623" t="s">
        <v>28</v>
      </c>
      <c r="U623" t="s">
        <v>961</v>
      </c>
      <c r="V623" s="28" t="s">
        <v>1398</v>
      </c>
      <c r="W623" s="28" t="s">
        <v>1301</v>
      </c>
      <c r="X623" s="28" t="s">
        <v>3056</v>
      </c>
      <c r="Y623" s="28" t="s">
        <v>2615</v>
      </c>
      <c r="Z623" s="28" t="s">
        <v>3057</v>
      </c>
      <c r="AA623" s="28" t="s">
        <v>3058</v>
      </c>
      <c r="AB623" s="28" t="s">
        <v>3059</v>
      </c>
      <c r="AC623" s="28" t="s">
        <v>3060</v>
      </c>
    </row>
    <row r="624" spans="1:29">
      <c r="A624">
        <v>2</v>
      </c>
      <c r="B624">
        <v>2038</v>
      </c>
      <c r="C624">
        <v>2038</v>
      </c>
      <c r="D624" t="s">
        <v>23</v>
      </c>
      <c r="E624" s="22">
        <v>44088</v>
      </c>
      <c r="F624" s="23">
        <v>44088</v>
      </c>
      <c r="G624" t="s">
        <v>965</v>
      </c>
      <c r="H624" t="s">
        <v>28</v>
      </c>
      <c r="I624" t="s">
        <v>23</v>
      </c>
      <c r="J624" t="s">
        <v>60</v>
      </c>
      <c r="K624" t="s">
        <v>108</v>
      </c>
      <c r="L624" t="s">
        <v>677</v>
      </c>
      <c r="M624">
        <v>2033</v>
      </c>
      <c r="N624" t="s">
        <v>859</v>
      </c>
      <c r="O624" t="s">
        <v>866</v>
      </c>
      <c r="P624" t="s">
        <v>21</v>
      </c>
      <c r="Q624" t="s">
        <v>21</v>
      </c>
      <c r="R624" t="s">
        <v>918</v>
      </c>
      <c r="S624" t="s">
        <v>918</v>
      </c>
      <c r="T624" t="s">
        <v>28</v>
      </c>
      <c r="U624" t="s">
        <v>961</v>
      </c>
      <c r="V624" s="28" t="s">
        <v>1354</v>
      </c>
      <c r="W624" s="28" t="s">
        <v>1301</v>
      </c>
      <c r="X624" s="28" t="s">
        <v>2809</v>
      </c>
      <c r="Y624" s="28" t="s">
        <v>2615</v>
      </c>
      <c r="Z624" s="28" t="s">
        <v>3061</v>
      </c>
      <c r="AA624" s="28" t="s">
        <v>3058</v>
      </c>
      <c r="AB624" s="28" t="s">
        <v>3062</v>
      </c>
      <c r="AC624" s="28" t="s">
        <v>3060</v>
      </c>
    </row>
    <row r="625" spans="1:29">
      <c r="A625">
        <v>3</v>
      </c>
      <c r="B625">
        <v>2040</v>
      </c>
      <c r="C625">
        <v>2040</v>
      </c>
      <c r="D625" t="s">
        <v>23</v>
      </c>
      <c r="E625" s="22">
        <v>44106</v>
      </c>
      <c r="F625" s="23">
        <v>44106</v>
      </c>
      <c r="G625" t="s">
        <v>965</v>
      </c>
      <c r="H625" t="s">
        <v>28</v>
      </c>
      <c r="I625" t="s">
        <v>23</v>
      </c>
      <c r="J625" t="s">
        <v>60</v>
      </c>
      <c r="K625" t="s">
        <v>108</v>
      </c>
      <c r="L625" t="s">
        <v>678</v>
      </c>
      <c r="M625">
        <v>2036</v>
      </c>
      <c r="N625" t="s">
        <v>859</v>
      </c>
      <c r="O625" t="s">
        <v>866</v>
      </c>
      <c r="P625" t="s">
        <v>21</v>
      </c>
      <c r="Q625" t="s">
        <v>21</v>
      </c>
      <c r="R625" t="s">
        <v>937</v>
      </c>
      <c r="S625" t="s">
        <v>937</v>
      </c>
      <c r="T625" t="s">
        <v>28</v>
      </c>
      <c r="U625" t="s">
        <v>961</v>
      </c>
      <c r="V625" s="28" t="s">
        <v>1399</v>
      </c>
      <c r="W625" s="28" t="s">
        <v>1314</v>
      </c>
      <c r="X625" s="28" t="s">
        <v>3063</v>
      </c>
      <c r="Y625" s="28" t="s">
        <v>2654</v>
      </c>
      <c r="Z625" s="28" t="s">
        <v>3064</v>
      </c>
      <c r="AA625" s="28" t="s">
        <v>3065</v>
      </c>
      <c r="AB625" s="28" t="s">
        <v>3066</v>
      </c>
      <c r="AC625" s="28" t="s">
        <v>3067</v>
      </c>
    </row>
    <row r="626" spans="1:29">
      <c r="A626">
        <v>4</v>
      </c>
      <c r="B626">
        <v>2040</v>
      </c>
      <c r="C626">
        <v>2040</v>
      </c>
      <c r="D626" t="s">
        <v>23</v>
      </c>
      <c r="E626" s="22">
        <v>44106</v>
      </c>
      <c r="F626" s="23">
        <v>44106</v>
      </c>
      <c r="G626" t="s">
        <v>965</v>
      </c>
      <c r="H626" t="s">
        <v>28</v>
      </c>
      <c r="I626" t="s">
        <v>23</v>
      </c>
      <c r="J626" t="s">
        <v>60</v>
      </c>
      <c r="K626" t="s">
        <v>108</v>
      </c>
      <c r="L626" t="s">
        <v>679</v>
      </c>
      <c r="M626">
        <v>2036</v>
      </c>
      <c r="N626" t="s">
        <v>859</v>
      </c>
      <c r="O626" t="s">
        <v>866</v>
      </c>
      <c r="P626" t="s">
        <v>21</v>
      </c>
      <c r="Q626" t="s">
        <v>21</v>
      </c>
      <c r="R626" t="s">
        <v>868</v>
      </c>
      <c r="S626" t="s">
        <v>868</v>
      </c>
      <c r="T626" t="s">
        <v>891</v>
      </c>
      <c r="U626" t="s">
        <v>961</v>
      </c>
      <c r="V626" s="28" t="s">
        <v>1311</v>
      </c>
      <c r="W626" s="28" t="s">
        <v>1312</v>
      </c>
      <c r="X626" s="28" t="s">
        <v>2647</v>
      </c>
      <c r="Y626" s="28" t="s">
        <v>2648</v>
      </c>
      <c r="Z626" s="28" t="s">
        <v>3068</v>
      </c>
      <c r="AA626" s="28" t="s">
        <v>3069</v>
      </c>
      <c r="AB626" s="28" t="s">
        <v>3070</v>
      </c>
      <c r="AC626" s="28" t="s">
        <v>3071</v>
      </c>
    </row>
    <row r="627" spans="1:29">
      <c r="A627">
        <v>5</v>
      </c>
      <c r="B627">
        <v>2041</v>
      </c>
      <c r="C627">
        <v>2041</v>
      </c>
      <c r="D627" t="s">
        <v>23</v>
      </c>
      <c r="E627" s="22">
        <v>44110</v>
      </c>
      <c r="F627" s="23">
        <v>44110</v>
      </c>
      <c r="G627" t="s">
        <v>965</v>
      </c>
      <c r="H627" t="s">
        <v>28</v>
      </c>
      <c r="I627" t="s">
        <v>23</v>
      </c>
      <c r="J627" t="s">
        <v>60</v>
      </c>
      <c r="K627" t="s">
        <v>108</v>
      </c>
      <c r="L627" t="s">
        <v>680</v>
      </c>
      <c r="M627">
        <v>2036</v>
      </c>
      <c r="N627" t="s">
        <v>859</v>
      </c>
      <c r="O627" t="s">
        <v>866</v>
      </c>
      <c r="P627" t="s">
        <v>21</v>
      </c>
      <c r="Q627" t="s">
        <v>21</v>
      </c>
      <c r="R627" t="s">
        <v>881</v>
      </c>
      <c r="S627" t="s">
        <v>881</v>
      </c>
      <c r="T627" t="s">
        <v>949</v>
      </c>
      <c r="U627" t="s">
        <v>961</v>
      </c>
      <c r="V627" s="28" t="s">
        <v>1400</v>
      </c>
      <c r="W627" s="28" t="s">
        <v>1371</v>
      </c>
      <c r="X627" s="28" t="s">
        <v>3072</v>
      </c>
      <c r="Y627" s="28" t="s">
        <v>2888</v>
      </c>
      <c r="Z627" s="28" t="s">
        <v>3073</v>
      </c>
      <c r="AA627" s="28" t="s">
        <v>3074</v>
      </c>
      <c r="AB627" s="28" t="s">
        <v>3075</v>
      </c>
      <c r="AC627" s="28" t="s">
        <v>3076</v>
      </c>
    </row>
    <row r="628" spans="1:29">
      <c r="A628">
        <v>6</v>
      </c>
      <c r="B628">
        <v>2041</v>
      </c>
      <c r="C628">
        <v>2041</v>
      </c>
      <c r="D628" t="s">
        <v>23</v>
      </c>
      <c r="E628" s="22">
        <v>44113</v>
      </c>
      <c r="F628" s="23">
        <v>44113</v>
      </c>
      <c r="G628" t="s">
        <v>965</v>
      </c>
      <c r="H628" t="s">
        <v>28</v>
      </c>
      <c r="I628" t="s">
        <v>23</v>
      </c>
      <c r="J628" t="s">
        <v>60</v>
      </c>
      <c r="K628" t="s">
        <v>108</v>
      </c>
      <c r="L628" t="s">
        <v>681</v>
      </c>
      <c r="M628">
        <v>2036</v>
      </c>
      <c r="N628" t="s">
        <v>859</v>
      </c>
      <c r="O628" t="s">
        <v>866</v>
      </c>
      <c r="P628" t="s">
        <v>21</v>
      </c>
      <c r="Q628" t="s">
        <v>21</v>
      </c>
      <c r="R628" t="s">
        <v>922</v>
      </c>
      <c r="S628" t="s">
        <v>922</v>
      </c>
      <c r="T628" t="s">
        <v>28</v>
      </c>
      <c r="U628" t="s">
        <v>961</v>
      </c>
      <c r="V628" s="28" t="s">
        <v>1313</v>
      </c>
      <c r="W628" s="28" t="s">
        <v>1314</v>
      </c>
      <c r="X628" s="28" t="s">
        <v>2653</v>
      </c>
      <c r="Y628" s="28" t="s">
        <v>2654</v>
      </c>
      <c r="Z628" s="28" t="s">
        <v>3077</v>
      </c>
      <c r="AA628" s="28" t="s">
        <v>3065</v>
      </c>
      <c r="AB628" s="28" t="s">
        <v>3078</v>
      </c>
      <c r="AC628" s="28" t="s">
        <v>3067</v>
      </c>
    </row>
    <row r="629" spans="1:29">
      <c r="A629">
        <v>7</v>
      </c>
      <c r="B629">
        <v>2041</v>
      </c>
      <c r="C629">
        <v>2041</v>
      </c>
      <c r="D629" t="s">
        <v>23</v>
      </c>
      <c r="E629" s="22">
        <v>44113</v>
      </c>
      <c r="F629" s="23">
        <v>44113</v>
      </c>
      <c r="G629" t="s">
        <v>965</v>
      </c>
      <c r="H629" t="s">
        <v>28</v>
      </c>
      <c r="I629" t="s">
        <v>23</v>
      </c>
      <c r="J629" t="s">
        <v>60</v>
      </c>
      <c r="K629" t="s">
        <v>108</v>
      </c>
      <c r="L629" t="s">
        <v>682</v>
      </c>
      <c r="M629">
        <v>2036</v>
      </c>
      <c r="N629" t="s">
        <v>859</v>
      </c>
      <c r="O629" t="s">
        <v>866</v>
      </c>
      <c r="P629" t="s">
        <v>21</v>
      </c>
      <c r="Q629" t="s">
        <v>21</v>
      </c>
      <c r="R629" t="s">
        <v>891</v>
      </c>
      <c r="S629" t="s">
        <v>891</v>
      </c>
      <c r="T629" t="s">
        <v>891</v>
      </c>
      <c r="U629" t="s">
        <v>961</v>
      </c>
      <c r="V629" s="28" t="s">
        <v>1401</v>
      </c>
      <c r="W629" s="28" t="s">
        <v>1312</v>
      </c>
      <c r="X629" s="28" t="s">
        <v>3079</v>
      </c>
      <c r="Y629" s="28" t="s">
        <v>2648</v>
      </c>
      <c r="Z629" s="28" t="s">
        <v>3080</v>
      </c>
      <c r="AA629" s="28" t="s">
        <v>3069</v>
      </c>
      <c r="AB629" s="28" t="s">
        <v>3081</v>
      </c>
      <c r="AC629" s="28" t="s">
        <v>3071</v>
      </c>
    </row>
    <row r="630" spans="1:29">
      <c r="A630">
        <v>8</v>
      </c>
      <c r="B630">
        <v>2044</v>
      </c>
      <c r="C630">
        <v>2044</v>
      </c>
      <c r="D630" t="s">
        <v>23</v>
      </c>
      <c r="E630" s="22">
        <v>44131</v>
      </c>
      <c r="F630" s="23">
        <v>44131</v>
      </c>
      <c r="G630" t="s">
        <v>965</v>
      </c>
      <c r="H630" t="s">
        <v>28</v>
      </c>
      <c r="I630" t="s">
        <v>23</v>
      </c>
      <c r="J630" t="s">
        <v>60</v>
      </c>
      <c r="K630" t="s">
        <v>108</v>
      </c>
      <c r="L630" t="s">
        <v>683</v>
      </c>
      <c r="M630">
        <v>2039</v>
      </c>
      <c r="N630" t="s">
        <v>859</v>
      </c>
      <c r="O630" t="s">
        <v>866</v>
      </c>
      <c r="P630" t="s">
        <v>21</v>
      </c>
      <c r="Q630" t="s">
        <v>21</v>
      </c>
      <c r="R630" t="s">
        <v>918</v>
      </c>
      <c r="S630" t="s">
        <v>918</v>
      </c>
      <c r="T630" t="s">
        <v>28</v>
      </c>
      <c r="U630" t="s">
        <v>961</v>
      </c>
      <c r="V630" s="28" t="s">
        <v>1402</v>
      </c>
      <c r="W630" s="28" t="s">
        <v>1403</v>
      </c>
      <c r="X630" s="28" t="s">
        <v>3082</v>
      </c>
      <c r="Y630" s="28" t="s">
        <v>3083</v>
      </c>
      <c r="Z630" s="28" t="s">
        <v>3084</v>
      </c>
      <c r="AA630" s="28" t="s">
        <v>3085</v>
      </c>
      <c r="AB630" s="28" t="s">
        <v>3086</v>
      </c>
      <c r="AC630" s="28" t="s">
        <v>3087</v>
      </c>
    </row>
    <row r="631" spans="1:29">
      <c r="A631">
        <v>9</v>
      </c>
      <c r="B631">
        <v>2044</v>
      </c>
      <c r="C631">
        <v>2044</v>
      </c>
      <c r="D631" t="s">
        <v>23</v>
      </c>
      <c r="E631" s="22">
        <v>44131</v>
      </c>
      <c r="F631" s="23">
        <v>44131</v>
      </c>
      <c r="G631" t="s">
        <v>965</v>
      </c>
      <c r="H631" t="s">
        <v>28</v>
      </c>
      <c r="I631" t="s">
        <v>23</v>
      </c>
      <c r="J631" t="s">
        <v>60</v>
      </c>
      <c r="K631" t="s">
        <v>108</v>
      </c>
      <c r="L631" t="s">
        <v>684</v>
      </c>
      <c r="M631">
        <v>2038</v>
      </c>
      <c r="N631" t="s">
        <v>859</v>
      </c>
      <c r="O631" t="s">
        <v>866</v>
      </c>
      <c r="P631" t="s">
        <v>21</v>
      </c>
      <c r="Q631" t="s">
        <v>21</v>
      </c>
      <c r="R631" t="s">
        <v>938</v>
      </c>
      <c r="S631" t="s">
        <v>927</v>
      </c>
      <c r="T631" t="s">
        <v>954</v>
      </c>
      <c r="U631" t="s">
        <v>961</v>
      </c>
      <c r="V631" s="28" t="s">
        <v>1404</v>
      </c>
      <c r="W631" s="28" t="s">
        <v>1405</v>
      </c>
      <c r="X631" s="28" t="s">
        <v>3088</v>
      </c>
      <c r="Y631" s="28" t="s">
        <v>3089</v>
      </c>
      <c r="Z631" s="28" t="s">
        <v>3090</v>
      </c>
      <c r="AA631" s="28" t="s">
        <v>3091</v>
      </c>
      <c r="AB631" s="28" t="s">
        <v>3092</v>
      </c>
      <c r="AC631" s="28" t="s">
        <v>3093</v>
      </c>
    </row>
    <row r="632" spans="1:29">
      <c r="A632">
        <v>10</v>
      </c>
      <c r="B632">
        <v>2049</v>
      </c>
      <c r="C632">
        <v>2049</v>
      </c>
      <c r="D632" t="s">
        <v>23</v>
      </c>
      <c r="E632" s="22">
        <v>44169</v>
      </c>
      <c r="F632" s="23">
        <v>44169</v>
      </c>
      <c r="G632" t="s">
        <v>965</v>
      </c>
      <c r="H632" t="s">
        <v>28</v>
      </c>
      <c r="I632" t="s">
        <v>23</v>
      </c>
      <c r="J632" t="s">
        <v>60</v>
      </c>
      <c r="K632" t="s">
        <v>108</v>
      </c>
      <c r="L632" t="s">
        <v>685</v>
      </c>
      <c r="M632">
        <v>2039</v>
      </c>
      <c r="N632" t="s">
        <v>859</v>
      </c>
      <c r="O632" t="s">
        <v>866</v>
      </c>
      <c r="P632" t="s">
        <v>21</v>
      </c>
      <c r="Q632" t="s">
        <v>21</v>
      </c>
      <c r="R632" t="s">
        <v>924</v>
      </c>
      <c r="S632" t="s">
        <v>924</v>
      </c>
      <c r="T632" t="s">
        <v>951</v>
      </c>
      <c r="U632" t="s">
        <v>961</v>
      </c>
      <c r="V632" s="28" t="s">
        <v>1406</v>
      </c>
      <c r="W632" s="28" t="s">
        <v>1407</v>
      </c>
      <c r="X632" s="28" t="s">
        <v>3094</v>
      </c>
      <c r="Y632" s="28" t="s">
        <v>3095</v>
      </c>
      <c r="Z632" s="28" t="s">
        <v>3096</v>
      </c>
      <c r="AA632" s="28" t="s">
        <v>3097</v>
      </c>
      <c r="AB632" s="28" t="s">
        <v>3098</v>
      </c>
      <c r="AC632" s="28" t="s">
        <v>3099</v>
      </c>
    </row>
    <row r="633" spans="1:29">
      <c r="A633">
        <v>11</v>
      </c>
      <c r="B633">
        <v>2101</v>
      </c>
      <c r="C633">
        <v>2101</v>
      </c>
      <c r="D633" t="s">
        <v>23</v>
      </c>
      <c r="E633" s="22">
        <v>44200</v>
      </c>
      <c r="F633" s="23">
        <v>44200</v>
      </c>
      <c r="G633" t="s">
        <v>965</v>
      </c>
      <c r="H633" t="s">
        <v>28</v>
      </c>
      <c r="I633" t="s">
        <v>23</v>
      </c>
      <c r="J633" t="s">
        <v>60</v>
      </c>
      <c r="K633" t="s">
        <v>108</v>
      </c>
      <c r="L633" t="s">
        <v>686</v>
      </c>
      <c r="M633">
        <v>2046</v>
      </c>
      <c r="N633" t="s">
        <v>859</v>
      </c>
      <c r="O633" t="s">
        <v>866</v>
      </c>
      <c r="P633" t="s">
        <v>21</v>
      </c>
      <c r="Q633" t="s">
        <v>21</v>
      </c>
      <c r="R633" t="s">
        <v>916</v>
      </c>
      <c r="S633" t="s">
        <v>916</v>
      </c>
      <c r="T633" t="s">
        <v>28</v>
      </c>
      <c r="U633" t="s">
        <v>961</v>
      </c>
      <c r="V633" s="28" t="s">
        <v>1081</v>
      </c>
      <c r="W633" s="28" t="s">
        <v>1082</v>
      </c>
      <c r="X633" s="28" t="s">
        <v>3100</v>
      </c>
      <c r="Y633" s="28" t="s">
        <v>2906</v>
      </c>
      <c r="Z633" s="28" t="s">
        <v>3101</v>
      </c>
      <c r="AA633" s="28" t="s">
        <v>3102</v>
      </c>
      <c r="AB633" s="28" t="s">
        <v>3103</v>
      </c>
      <c r="AC633" s="28" t="s">
        <v>1790</v>
      </c>
    </row>
    <row r="634" spans="1:29">
      <c r="A634">
        <v>12</v>
      </c>
      <c r="B634">
        <v>2101</v>
      </c>
      <c r="C634">
        <v>2101</v>
      </c>
      <c r="D634" t="s">
        <v>23</v>
      </c>
      <c r="E634" s="22">
        <v>44203</v>
      </c>
      <c r="F634" s="23">
        <v>44203</v>
      </c>
      <c r="G634" t="s">
        <v>965</v>
      </c>
      <c r="H634" t="s">
        <v>28</v>
      </c>
      <c r="I634" t="s">
        <v>23</v>
      </c>
      <c r="J634" t="s">
        <v>60</v>
      </c>
      <c r="K634" t="s">
        <v>108</v>
      </c>
      <c r="L634" t="s">
        <v>687</v>
      </c>
      <c r="M634">
        <v>2048</v>
      </c>
      <c r="N634" t="s">
        <v>859</v>
      </c>
      <c r="O634" t="s">
        <v>866</v>
      </c>
      <c r="P634" t="s">
        <v>21</v>
      </c>
      <c r="Q634" t="s">
        <v>21</v>
      </c>
      <c r="R634" t="s">
        <v>881</v>
      </c>
      <c r="S634" t="s">
        <v>881</v>
      </c>
      <c r="T634" t="s">
        <v>949</v>
      </c>
      <c r="U634" t="s">
        <v>961</v>
      </c>
      <c r="V634" s="28" t="s">
        <v>1408</v>
      </c>
      <c r="W634" s="28" t="s">
        <v>1097</v>
      </c>
      <c r="X634" s="28" t="s">
        <v>3104</v>
      </c>
      <c r="Y634" s="28" t="s">
        <v>2900</v>
      </c>
      <c r="Z634" s="28" t="s">
        <v>3105</v>
      </c>
      <c r="AA634" s="28" t="s">
        <v>3106</v>
      </c>
      <c r="AB634" s="28" t="s">
        <v>3107</v>
      </c>
      <c r="AC634" s="28" t="s">
        <v>1820</v>
      </c>
    </row>
    <row r="635" spans="1:29">
      <c r="A635">
        <v>13</v>
      </c>
      <c r="B635">
        <v>2102</v>
      </c>
      <c r="C635">
        <v>2102</v>
      </c>
      <c r="D635" t="s">
        <v>23</v>
      </c>
      <c r="E635" s="22">
        <v>44209</v>
      </c>
      <c r="F635" s="23">
        <v>44209</v>
      </c>
      <c r="G635" t="s">
        <v>965</v>
      </c>
      <c r="H635" t="s">
        <v>28</v>
      </c>
      <c r="I635" t="s">
        <v>23</v>
      </c>
      <c r="J635" t="s">
        <v>60</v>
      </c>
      <c r="K635" t="s">
        <v>108</v>
      </c>
      <c r="L635" t="s">
        <v>688</v>
      </c>
      <c r="M635">
        <v>2046</v>
      </c>
      <c r="N635" t="s">
        <v>859</v>
      </c>
      <c r="O635" t="s">
        <v>866</v>
      </c>
      <c r="P635" t="s">
        <v>21</v>
      </c>
      <c r="Q635" t="s">
        <v>21</v>
      </c>
      <c r="R635" t="s">
        <v>881</v>
      </c>
      <c r="S635" t="s">
        <v>881</v>
      </c>
      <c r="T635" t="s">
        <v>949</v>
      </c>
      <c r="U635" t="s">
        <v>961</v>
      </c>
      <c r="V635" s="28" t="s">
        <v>1096</v>
      </c>
      <c r="W635" s="28" t="s">
        <v>1097</v>
      </c>
      <c r="X635" s="28" t="s">
        <v>2899</v>
      </c>
      <c r="Y635" s="28" t="s">
        <v>2900</v>
      </c>
      <c r="Z635" s="28" t="s">
        <v>3108</v>
      </c>
      <c r="AA635" s="28" t="s">
        <v>3106</v>
      </c>
      <c r="AB635" s="28" t="s">
        <v>3109</v>
      </c>
      <c r="AC635" s="28" t="s">
        <v>1820</v>
      </c>
    </row>
    <row r="636" spans="1:29">
      <c r="A636">
        <v>14</v>
      </c>
      <c r="B636">
        <v>2102</v>
      </c>
      <c r="C636">
        <v>2102</v>
      </c>
      <c r="D636" t="s">
        <v>23</v>
      </c>
      <c r="E636" s="22">
        <v>44209</v>
      </c>
      <c r="F636" s="23">
        <v>44209</v>
      </c>
      <c r="G636" t="s">
        <v>965</v>
      </c>
      <c r="H636" t="s">
        <v>28</v>
      </c>
      <c r="I636" t="s">
        <v>23</v>
      </c>
      <c r="J636" t="s">
        <v>60</v>
      </c>
      <c r="K636" t="s">
        <v>108</v>
      </c>
      <c r="L636" t="s">
        <v>689</v>
      </c>
      <c r="M636">
        <v>2048</v>
      </c>
      <c r="N636" t="s">
        <v>859</v>
      </c>
      <c r="O636" t="s">
        <v>866</v>
      </c>
      <c r="P636" t="s">
        <v>21</v>
      </c>
      <c r="Q636" t="s">
        <v>21</v>
      </c>
      <c r="R636" t="s">
        <v>922</v>
      </c>
      <c r="S636" t="s">
        <v>922</v>
      </c>
      <c r="T636" t="s">
        <v>28</v>
      </c>
      <c r="U636" t="s">
        <v>961</v>
      </c>
      <c r="V636" s="28" t="s">
        <v>1087</v>
      </c>
      <c r="W636" s="28" t="s">
        <v>1082</v>
      </c>
      <c r="X636" s="28" t="s">
        <v>2905</v>
      </c>
      <c r="Y636" s="28" t="s">
        <v>2906</v>
      </c>
      <c r="Z636" s="28" t="s">
        <v>3110</v>
      </c>
      <c r="AA636" s="28" t="s">
        <v>3102</v>
      </c>
      <c r="AB636" s="28" t="s">
        <v>1789</v>
      </c>
      <c r="AC636" s="28" t="s">
        <v>1790</v>
      </c>
    </row>
    <row r="637" spans="1:29">
      <c r="A637">
        <v>15</v>
      </c>
      <c r="B637">
        <v>2105</v>
      </c>
      <c r="C637">
        <v>2105</v>
      </c>
      <c r="D637" t="s">
        <v>23</v>
      </c>
      <c r="E637" s="22">
        <v>44231</v>
      </c>
      <c r="F637" s="23">
        <v>44231</v>
      </c>
      <c r="G637" t="s">
        <v>965</v>
      </c>
      <c r="H637" t="s">
        <v>28</v>
      </c>
      <c r="I637" t="s">
        <v>23</v>
      </c>
      <c r="J637" t="s">
        <v>60</v>
      </c>
      <c r="K637" t="s">
        <v>108</v>
      </c>
      <c r="L637" t="s">
        <v>690</v>
      </c>
      <c r="M637">
        <v>2050</v>
      </c>
      <c r="N637" t="s">
        <v>859</v>
      </c>
      <c r="O637" t="s">
        <v>866</v>
      </c>
      <c r="P637" t="s">
        <v>21</v>
      </c>
      <c r="Q637" t="s">
        <v>21</v>
      </c>
      <c r="R637" t="s">
        <v>925</v>
      </c>
      <c r="S637" t="s">
        <v>925</v>
      </c>
      <c r="T637" t="s">
        <v>28</v>
      </c>
      <c r="U637" t="s">
        <v>961</v>
      </c>
      <c r="V637" s="28" t="s">
        <v>1121</v>
      </c>
      <c r="W637" s="28" t="s">
        <v>1122</v>
      </c>
      <c r="X637" s="28" t="s">
        <v>3111</v>
      </c>
      <c r="Y637" s="28" t="s">
        <v>2912</v>
      </c>
      <c r="Z637" s="28" t="s">
        <v>3112</v>
      </c>
      <c r="AA637" s="28" t="s">
        <v>3113</v>
      </c>
      <c r="AB637" s="28" t="s">
        <v>3114</v>
      </c>
      <c r="AC637" s="28" t="s">
        <v>3115</v>
      </c>
    </row>
    <row r="638" spans="1:29">
      <c r="A638">
        <v>16</v>
      </c>
      <c r="B638">
        <v>2105</v>
      </c>
      <c r="C638">
        <v>2105</v>
      </c>
      <c r="D638" t="s">
        <v>23</v>
      </c>
      <c r="E638" s="22">
        <v>44231</v>
      </c>
      <c r="F638" s="23">
        <v>44231</v>
      </c>
      <c r="G638" t="s">
        <v>965</v>
      </c>
      <c r="H638" t="s">
        <v>28</v>
      </c>
      <c r="I638" t="s">
        <v>23</v>
      </c>
      <c r="J638" t="s">
        <v>60</v>
      </c>
      <c r="K638" t="s">
        <v>108</v>
      </c>
      <c r="L638" t="s">
        <v>691</v>
      </c>
      <c r="M638">
        <v>2051</v>
      </c>
      <c r="N638" t="s">
        <v>859</v>
      </c>
      <c r="O638" t="s">
        <v>866</v>
      </c>
      <c r="P638" t="s">
        <v>21</v>
      </c>
      <c r="Q638" t="s">
        <v>21</v>
      </c>
      <c r="R638" t="s">
        <v>925</v>
      </c>
      <c r="S638" t="s">
        <v>925</v>
      </c>
      <c r="T638" t="s">
        <v>28</v>
      </c>
      <c r="U638" t="s">
        <v>961</v>
      </c>
      <c r="V638" s="28" t="s">
        <v>1121</v>
      </c>
      <c r="W638" s="28" t="s">
        <v>1122</v>
      </c>
      <c r="X638" s="28" t="s">
        <v>3111</v>
      </c>
      <c r="Y638" s="28" t="s">
        <v>2912</v>
      </c>
      <c r="Z638" s="28" t="s">
        <v>3112</v>
      </c>
      <c r="AA638" s="28" t="s">
        <v>3113</v>
      </c>
      <c r="AB638" s="28" t="s">
        <v>3114</v>
      </c>
      <c r="AC638" s="28" t="s">
        <v>3115</v>
      </c>
    </row>
    <row r="639" spans="1:29">
      <c r="A639">
        <v>18</v>
      </c>
      <c r="B639">
        <v>2105</v>
      </c>
      <c r="C639">
        <v>2105</v>
      </c>
      <c r="D639" t="s">
        <v>23</v>
      </c>
      <c r="E639" s="22">
        <v>44233</v>
      </c>
      <c r="F639" s="23">
        <v>44233</v>
      </c>
      <c r="G639" t="s">
        <v>965</v>
      </c>
      <c r="H639" t="s">
        <v>28</v>
      </c>
      <c r="I639" t="s">
        <v>23</v>
      </c>
      <c r="J639" t="s">
        <v>60</v>
      </c>
      <c r="K639" t="s">
        <v>108</v>
      </c>
      <c r="L639" t="s">
        <v>692</v>
      </c>
      <c r="M639">
        <v>2053</v>
      </c>
      <c r="N639" t="s">
        <v>859</v>
      </c>
      <c r="O639" t="s">
        <v>866</v>
      </c>
      <c r="P639" t="s">
        <v>21</v>
      </c>
      <c r="Q639" t="s">
        <v>21</v>
      </c>
      <c r="R639" t="s">
        <v>939</v>
      </c>
      <c r="S639" t="s">
        <v>939</v>
      </c>
      <c r="T639" t="s">
        <v>28</v>
      </c>
      <c r="U639" t="s">
        <v>961</v>
      </c>
      <c r="V639" s="28" t="s">
        <v>1121</v>
      </c>
      <c r="W639" s="28" t="s">
        <v>1122</v>
      </c>
      <c r="X639" s="28" t="s">
        <v>3111</v>
      </c>
      <c r="Y639" s="28" t="s">
        <v>2912</v>
      </c>
      <c r="Z639" s="28" t="s">
        <v>3112</v>
      </c>
      <c r="AA639" s="28" t="s">
        <v>3113</v>
      </c>
      <c r="AB639" s="28" t="s">
        <v>3114</v>
      </c>
      <c r="AC639" s="28" t="s">
        <v>3115</v>
      </c>
    </row>
    <row r="640" spans="1:29">
      <c r="A640">
        <v>20</v>
      </c>
      <c r="B640">
        <v>2105</v>
      </c>
      <c r="C640">
        <v>2105</v>
      </c>
      <c r="D640" t="s">
        <v>23</v>
      </c>
      <c r="E640" s="22">
        <v>44233</v>
      </c>
      <c r="F640" s="23">
        <v>44233</v>
      </c>
      <c r="G640" t="s">
        <v>965</v>
      </c>
      <c r="H640" t="s">
        <v>28</v>
      </c>
      <c r="I640" t="s">
        <v>23</v>
      </c>
      <c r="J640" t="s">
        <v>60</v>
      </c>
      <c r="K640" t="s">
        <v>108</v>
      </c>
      <c r="L640" t="s">
        <v>693</v>
      </c>
      <c r="M640">
        <v>2053</v>
      </c>
      <c r="N640" t="s">
        <v>859</v>
      </c>
      <c r="O640" t="s">
        <v>866</v>
      </c>
      <c r="P640" t="s">
        <v>21</v>
      </c>
      <c r="Q640" t="s">
        <v>21</v>
      </c>
      <c r="R640" t="s">
        <v>868</v>
      </c>
      <c r="S640" t="s">
        <v>868</v>
      </c>
      <c r="T640" t="s">
        <v>891</v>
      </c>
      <c r="U640" t="s">
        <v>961</v>
      </c>
      <c r="V640" s="28" t="s">
        <v>1117</v>
      </c>
      <c r="W640" s="28" t="s">
        <v>1118</v>
      </c>
      <c r="X640" s="28" t="s">
        <v>3116</v>
      </c>
      <c r="Y640" s="28" t="s">
        <v>3117</v>
      </c>
      <c r="Z640" s="28" t="s">
        <v>3118</v>
      </c>
      <c r="AA640" s="28" t="s">
        <v>3119</v>
      </c>
      <c r="AB640" s="28" t="s">
        <v>3120</v>
      </c>
      <c r="AC640" s="28" t="s">
        <v>3121</v>
      </c>
    </row>
    <row r="641" spans="1:29">
      <c r="A641">
        <v>19</v>
      </c>
      <c r="B641">
        <v>2106</v>
      </c>
      <c r="C641">
        <v>2106</v>
      </c>
      <c r="D641" t="s">
        <v>23</v>
      </c>
      <c r="E641" s="22">
        <v>44238</v>
      </c>
      <c r="F641" s="23">
        <v>44238</v>
      </c>
      <c r="G641" t="s">
        <v>965</v>
      </c>
      <c r="H641" t="s">
        <v>28</v>
      </c>
      <c r="I641" t="s">
        <v>23</v>
      </c>
      <c r="J641" t="s">
        <v>60</v>
      </c>
      <c r="K641" t="s">
        <v>108</v>
      </c>
      <c r="L641" t="s">
        <v>694</v>
      </c>
      <c r="M641">
        <v>2101</v>
      </c>
      <c r="N641" t="s">
        <v>859</v>
      </c>
      <c r="O641" t="s">
        <v>866</v>
      </c>
      <c r="P641" t="s">
        <v>21</v>
      </c>
      <c r="Q641" t="s">
        <v>21</v>
      </c>
      <c r="R641" t="s">
        <v>881</v>
      </c>
      <c r="S641" t="s">
        <v>881</v>
      </c>
      <c r="T641" t="s">
        <v>949</v>
      </c>
      <c r="U641" t="s">
        <v>961</v>
      </c>
      <c r="V641" s="28" t="s">
        <v>1128</v>
      </c>
      <c r="W641" s="28" t="s">
        <v>1112</v>
      </c>
      <c r="X641" s="28" t="s">
        <v>3122</v>
      </c>
      <c r="Y641" s="28" t="s">
        <v>2918</v>
      </c>
      <c r="Z641" s="28" t="s">
        <v>3123</v>
      </c>
      <c r="AA641" s="28" t="s">
        <v>3124</v>
      </c>
      <c r="AB641" s="28" t="s">
        <v>3125</v>
      </c>
      <c r="AC641" s="28" t="s">
        <v>3126</v>
      </c>
    </row>
    <row r="642" spans="1:29">
      <c r="A642">
        <v>21</v>
      </c>
      <c r="B642">
        <v>2109</v>
      </c>
      <c r="C642">
        <v>2109</v>
      </c>
      <c r="D642" t="s">
        <v>23</v>
      </c>
      <c r="E642" s="22">
        <v>44260</v>
      </c>
      <c r="F642" s="23">
        <v>44260</v>
      </c>
      <c r="G642" t="s">
        <v>965</v>
      </c>
      <c r="H642" t="s">
        <v>28</v>
      </c>
      <c r="I642" t="s">
        <v>23</v>
      </c>
      <c r="J642" t="s">
        <v>60</v>
      </c>
      <c r="K642" t="s">
        <v>108</v>
      </c>
      <c r="L642" t="s">
        <v>695</v>
      </c>
      <c r="M642">
        <v>2103</v>
      </c>
      <c r="N642" t="s">
        <v>859</v>
      </c>
      <c r="O642" t="s">
        <v>866</v>
      </c>
      <c r="P642" t="s">
        <v>21</v>
      </c>
      <c r="Q642" t="s">
        <v>21</v>
      </c>
      <c r="R642" t="s">
        <v>931</v>
      </c>
      <c r="S642" t="s">
        <v>931</v>
      </c>
      <c r="T642" t="s">
        <v>954</v>
      </c>
      <c r="U642" t="s">
        <v>961</v>
      </c>
      <c r="V642" s="28" t="s">
        <v>1409</v>
      </c>
      <c r="W642" s="28" t="s">
        <v>1410</v>
      </c>
      <c r="X642" s="28" t="s">
        <v>3127</v>
      </c>
      <c r="Y642" s="28" t="s">
        <v>3128</v>
      </c>
      <c r="Z642" s="28" t="s">
        <v>3129</v>
      </c>
      <c r="AA642" s="28" t="s">
        <v>3130</v>
      </c>
      <c r="AB642" s="28" t="s">
        <v>3131</v>
      </c>
      <c r="AC642" s="28" t="s">
        <v>3132</v>
      </c>
    </row>
    <row r="643" spans="1:29">
      <c r="A643">
        <v>22</v>
      </c>
      <c r="B643">
        <v>2113</v>
      </c>
      <c r="C643">
        <v>2113</v>
      </c>
      <c r="D643" t="s">
        <v>23</v>
      </c>
      <c r="E643" s="22">
        <v>44287</v>
      </c>
      <c r="F643" s="23">
        <v>44287</v>
      </c>
      <c r="G643" t="s">
        <v>965</v>
      </c>
      <c r="H643" t="s">
        <v>28</v>
      </c>
      <c r="I643" t="s">
        <v>23</v>
      </c>
      <c r="J643" t="s">
        <v>60</v>
      </c>
      <c r="K643" t="s">
        <v>108</v>
      </c>
      <c r="L643" t="s">
        <v>696</v>
      </c>
      <c r="M643">
        <v>2109</v>
      </c>
      <c r="N643" t="s">
        <v>859</v>
      </c>
      <c r="O643" t="s">
        <v>866</v>
      </c>
      <c r="P643" t="s">
        <v>21</v>
      </c>
      <c r="Q643" t="s">
        <v>21</v>
      </c>
      <c r="R643" t="s">
        <v>918</v>
      </c>
      <c r="S643" t="s">
        <v>918</v>
      </c>
      <c r="T643" t="s">
        <v>28</v>
      </c>
      <c r="U643" t="s">
        <v>961</v>
      </c>
      <c r="V643" s="28" t="s">
        <v>1411</v>
      </c>
      <c r="W643" s="28" t="s">
        <v>1145</v>
      </c>
      <c r="X643" s="28" t="s">
        <v>3133</v>
      </c>
      <c r="Y643" s="28" t="s">
        <v>3134</v>
      </c>
      <c r="Z643" s="28" t="s">
        <v>3135</v>
      </c>
      <c r="AA643" s="28" t="s">
        <v>3136</v>
      </c>
      <c r="AB643" s="28" t="s">
        <v>3137</v>
      </c>
      <c r="AC643" s="28" t="s">
        <v>1995</v>
      </c>
    </row>
    <row r="644" spans="1:29">
      <c r="A644">
        <v>23</v>
      </c>
      <c r="B644">
        <v>2113</v>
      </c>
      <c r="C644">
        <v>2113</v>
      </c>
      <c r="D644" t="s">
        <v>23</v>
      </c>
      <c r="E644" s="22">
        <v>44287</v>
      </c>
      <c r="F644" s="23">
        <v>44287</v>
      </c>
      <c r="G644" t="s">
        <v>965</v>
      </c>
      <c r="H644" t="s">
        <v>28</v>
      </c>
      <c r="I644" t="s">
        <v>23</v>
      </c>
      <c r="J644" t="s">
        <v>60</v>
      </c>
      <c r="K644" t="s">
        <v>108</v>
      </c>
      <c r="L644" t="s">
        <v>697</v>
      </c>
      <c r="M644">
        <v>2109</v>
      </c>
      <c r="N644" t="s">
        <v>859</v>
      </c>
      <c r="O644" t="s">
        <v>866</v>
      </c>
      <c r="P644" t="s">
        <v>21</v>
      </c>
      <c r="Q644" t="s">
        <v>21</v>
      </c>
      <c r="R644" t="s">
        <v>933</v>
      </c>
      <c r="S644" t="s">
        <v>933</v>
      </c>
      <c r="T644" t="s">
        <v>955</v>
      </c>
      <c r="U644" t="s">
        <v>961</v>
      </c>
      <c r="V644" s="28" t="s">
        <v>1376</v>
      </c>
      <c r="W644" s="28" t="s">
        <v>1377</v>
      </c>
      <c r="X644" s="28" t="s">
        <v>2932</v>
      </c>
      <c r="Y644" s="28" t="s">
        <v>2933</v>
      </c>
      <c r="Z644" s="28" t="s">
        <v>3138</v>
      </c>
      <c r="AA644" s="28" t="s">
        <v>3139</v>
      </c>
      <c r="AB644" s="28" t="s">
        <v>3140</v>
      </c>
      <c r="AC644" s="28" t="s">
        <v>3141</v>
      </c>
    </row>
    <row r="645" spans="1:29">
      <c r="A645">
        <v>1</v>
      </c>
      <c r="B645">
        <v>2114</v>
      </c>
      <c r="C645">
        <v>2114</v>
      </c>
      <c r="D645" t="s">
        <v>23</v>
      </c>
      <c r="E645" s="22">
        <v>44296</v>
      </c>
      <c r="F645" s="23">
        <v>44296</v>
      </c>
      <c r="G645" t="s">
        <v>965</v>
      </c>
      <c r="H645" t="s">
        <v>28</v>
      </c>
      <c r="I645" t="s">
        <v>23</v>
      </c>
      <c r="J645" t="s">
        <v>52</v>
      </c>
      <c r="K645" t="s">
        <v>71</v>
      </c>
      <c r="L645" t="s">
        <v>698</v>
      </c>
      <c r="M645">
        <v>2102</v>
      </c>
      <c r="N645" t="s">
        <v>860</v>
      </c>
      <c r="O645" t="s">
        <v>866</v>
      </c>
      <c r="P645" t="s">
        <v>21</v>
      </c>
      <c r="Q645" t="s">
        <v>21</v>
      </c>
      <c r="R645" t="s">
        <v>915</v>
      </c>
      <c r="S645" t="s">
        <v>915</v>
      </c>
      <c r="T645" t="s">
        <v>950</v>
      </c>
      <c r="U645" t="s">
        <v>960</v>
      </c>
      <c r="V645" s="28" t="s">
        <v>1412</v>
      </c>
      <c r="W645" s="28" t="s">
        <v>1413</v>
      </c>
      <c r="X645" s="28" t="s">
        <v>3142</v>
      </c>
      <c r="Y645" s="28" t="s">
        <v>3143</v>
      </c>
      <c r="Z645" s="28" t="s">
        <v>3144</v>
      </c>
      <c r="AA645" s="28" t="s">
        <v>3145</v>
      </c>
      <c r="AB645" s="28" t="s">
        <v>3146</v>
      </c>
      <c r="AC645" s="28" t="s">
        <v>3147</v>
      </c>
    </row>
    <row r="646" spans="1:29">
      <c r="A646">
        <v>2</v>
      </c>
      <c r="B646">
        <v>2115</v>
      </c>
      <c r="C646">
        <v>2115</v>
      </c>
      <c r="D646" t="s">
        <v>23</v>
      </c>
      <c r="E646" s="22">
        <v>44300</v>
      </c>
      <c r="F646" s="23">
        <v>44300</v>
      </c>
      <c r="G646" t="s">
        <v>965</v>
      </c>
      <c r="H646" t="s">
        <v>28</v>
      </c>
      <c r="I646" t="s">
        <v>23</v>
      </c>
      <c r="J646" t="s">
        <v>52</v>
      </c>
      <c r="K646" t="s">
        <v>71</v>
      </c>
      <c r="L646" t="s">
        <v>699</v>
      </c>
      <c r="M646">
        <v>2110</v>
      </c>
      <c r="N646" t="s">
        <v>860</v>
      </c>
      <c r="O646" t="s">
        <v>866</v>
      </c>
      <c r="P646" t="s">
        <v>21</v>
      </c>
      <c r="Q646" t="s">
        <v>21</v>
      </c>
      <c r="R646" t="s">
        <v>881</v>
      </c>
      <c r="S646" t="s">
        <v>881</v>
      </c>
      <c r="T646" t="s">
        <v>949</v>
      </c>
      <c r="U646" t="s">
        <v>960</v>
      </c>
      <c r="V646" s="28" t="s">
        <v>1414</v>
      </c>
      <c r="W646" s="28" t="s">
        <v>1415</v>
      </c>
      <c r="X646" s="28" t="s">
        <v>3148</v>
      </c>
      <c r="Y646" s="28" t="s">
        <v>3149</v>
      </c>
      <c r="Z646" s="28" t="s">
        <v>3150</v>
      </c>
      <c r="AA646" s="28" t="s">
        <v>3151</v>
      </c>
      <c r="AB646" s="28" t="s">
        <v>3152</v>
      </c>
      <c r="AC646" s="28" t="s">
        <v>3153</v>
      </c>
    </row>
    <row r="647" spans="1:29">
      <c r="A647">
        <v>3</v>
      </c>
      <c r="B647">
        <v>2115</v>
      </c>
      <c r="C647">
        <v>2115</v>
      </c>
      <c r="D647" t="s">
        <v>23</v>
      </c>
      <c r="E647" s="22">
        <v>44301</v>
      </c>
      <c r="F647" s="23">
        <v>44301</v>
      </c>
      <c r="G647" t="s">
        <v>965</v>
      </c>
      <c r="H647" t="s">
        <v>28</v>
      </c>
      <c r="I647" t="s">
        <v>23</v>
      </c>
      <c r="J647" t="s">
        <v>52</v>
      </c>
      <c r="K647" t="s">
        <v>71</v>
      </c>
      <c r="L647" t="s">
        <v>700</v>
      </c>
      <c r="M647">
        <v>2111</v>
      </c>
      <c r="N647" t="s">
        <v>860</v>
      </c>
      <c r="O647" t="s">
        <v>866</v>
      </c>
      <c r="P647" t="s">
        <v>21</v>
      </c>
      <c r="Q647" t="s">
        <v>21</v>
      </c>
      <c r="R647" t="s">
        <v>918</v>
      </c>
      <c r="S647" t="s">
        <v>918</v>
      </c>
      <c r="T647" t="s">
        <v>28</v>
      </c>
      <c r="U647" t="s">
        <v>960</v>
      </c>
      <c r="V647" s="28" t="s">
        <v>1416</v>
      </c>
      <c r="W647" s="28" t="s">
        <v>1417</v>
      </c>
      <c r="X647" s="28" t="s">
        <v>3154</v>
      </c>
      <c r="Y647" s="28" t="s">
        <v>3155</v>
      </c>
      <c r="Z647" s="28" t="s">
        <v>3156</v>
      </c>
      <c r="AA647" s="28" t="s">
        <v>3157</v>
      </c>
      <c r="AB647" s="28" t="s">
        <v>3158</v>
      </c>
      <c r="AC647" s="28" t="s">
        <v>3159</v>
      </c>
    </row>
    <row r="648" spans="1:29">
      <c r="A648">
        <v>4</v>
      </c>
      <c r="B648">
        <v>2116</v>
      </c>
      <c r="C648">
        <v>2116</v>
      </c>
      <c r="D648" t="s">
        <v>23</v>
      </c>
      <c r="E648" s="22">
        <v>44310</v>
      </c>
      <c r="F648" s="23">
        <v>44310</v>
      </c>
      <c r="G648" t="s">
        <v>965</v>
      </c>
      <c r="H648" t="s">
        <v>28</v>
      </c>
      <c r="I648" t="s">
        <v>23</v>
      </c>
      <c r="J648" t="s">
        <v>52</v>
      </c>
      <c r="K648" t="s">
        <v>71</v>
      </c>
      <c r="L648" t="s">
        <v>701</v>
      </c>
      <c r="M648">
        <v>2113</v>
      </c>
      <c r="N648" t="s">
        <v>860</v>
      </c>
      <c r="O648" t="s">
        <v>866</v>
      </c>
      <c r="P648" t="s">
        <v>21</v>
      </c>
      <c r="Q648" t="s">
        <v>21</v>
      </c>
      <c r="R648" t="s">
        <v>922</v>
      </c>
      <c r="S648" t="s">
        <v>922</v>
      </c>
      <c r="T648" t="s">
        <v>28</v>
      </c>
      <c r="U648" t="s">
        <v>960</v>
      </c>
      <c r="V648" s="28" t="s">
        <v>1418</v>
      </c>
      <c r="W648" s="28" t="s">
        <v>1417</v>
      </c>
      <c r="X648" s="28" t="s">
        <v>3160</v>
      </c>
      <c r="Y648" s="28" t="s">
        <v>3155</v>
      </c>
      <c r="Z648" s="28" t="s">
        <v>3161</v>
      </c>
      <c r="AA648" s="28" t="s">
        <v>3157</v>
      </c>
      <c r="AB648" s="28" t="s">
        <v>3162</v>
      </c>
      <c r="AC648" s="28" t="s">
        <v>3159</v>
      </c>
    </row>
    <row r="649" spans="1:29">
      <c r="A649">
        <v>5</v>
      </c>
      <c r="B649">
        <v>2117</v>
      </c>
      <c r="C649">
        <v>2117</v>
      </c>
      <c r="D649" t="s">
        <v>23</v>
      </c>
      <c r="E649" s="22">
        <v>44312</v>
      </c>
      <c r="F649" s="23">
        <v>44312</v>
      </c>
      <c r="G649" t="s">
        <v>965</v>
      </c>
      <c r="H649" t="s">
        <v>28</v>
      </c>
      <c r="I649" t="s">
        <v>23</v>
      </c>
      <c r="J649" t="s">
        <v>52</v>
      </c>
      <c r="K649" t="s">
        <v>71</v>
      </c>
      <c r="L649" t="s">
        <v>702</v>
      </c>
      <c r="M649">
        <v>2113</v>
      </c>
      <c r="N649" t="s">
        <v>860</v>
      </c>
      <c r="O649" t="s">
        <v>866</v>
      </c>
      <c r="P649" t="s">
        <v>21</v>
      </c>
      <c r="Q649" t="s">
        <v>21</v>
      </c>
      <c r="R649" t="s">
        <v>915</v>
      </c>
      <c r="S649" t="s">
        <v>936</v>
      </c>
      <c r="T649" t="s">
        <v>948</v>
      </c>
      <c r="U649" t="s">
        <v>960</v>
      </c>
      <c r="V649" s="28" t="s">
        <v>1419</v>
      </c>
      <c r="W649" s="28" t="s">
        <v>1420</v>
      </c>
      <c r="X649" s="28" t="s">
        <v>3163</v>
      </c>
      <c r="Y649" s="28" t="s">
        <v>3164</v>
      </c>
      <c r="Z649" s="28" t="s">
        <v>3165</v>
      </c>
      <c r="AA649" s="28" t="s">
        <v>3166</v>
      </c>
      <c r="AB649" s="28" t="s">
        <v>3167</v>
      </c>
      <c r="AC649" s="28" t="s">
        <v>3168</v>
      </c>
    </row>
    <row r="650" spans="1:29">
      <c r="A650">
        <v>6</v>
      </c>
      <c r="B650">
        <v>2117</v>
      </c>
      <c r="C650">
        <v>2117</v>
      </c>
      <c r="D650" t="s">
        <v>23</v>
      </c>
      <c r="E650" s="22">
        <v>44312</v>
      </c>
      <c r="F650" s="23">
        <v>44312</v>
      </c>
      <c r="G650" t="s">
        <v>965</v>
      </c>
      <c r="H650" t="s">
        <v>28</v>
      </c>
      <c r="I650" t="s">
        <v>23</v>
      </c>
      <c r="J650" t="s">
        <v>52</v>
      </c>
      <c r="K650" t="s">
        <v>71</v>
      </c>
      <c r="L650" t="s">
        <v>703</v>
      </c>
      <c r="M650">
        <v>2113</v>
      </c>
      <c r="N650" t="s">
        <v>860</v>
      </c>
      <c r="O650" t="s">
        <v>866</v>
      </c>
      <c r="P650" t="s">
        <v>21</v>
      </c>
      <c r="Q650" t="s">
        <v>21</v>
      </c>
      <c r="R650" t="s">
        <v>939</v>
      </c>
      <c r="S650" t="s">
        <v>939</v>
      </c>
      <c r="T650" t="s">
        <v>28</v>
      </c>
      <c r="U650" t="s">
        <v>960</v>
      </c>
      <c r="V650" s="28" t="s">
        <v>1421</v>
      </c>
      <c r="W650" s="28" t="s">
        <v>1417</v>
      </c>
      <c r="X650" s="28" t="s">
        <v>3169</v>
      </c>
      <c r="Y650" s="28" t="s">
        <v>3155</v>
      </c>
      <c r="Z650" s="28" t="s">
        <v>3170</v>
      </c>
      <c r="AA650" s="28" t="s">
        <v>3157</v>
      </c>
      <c r="AB650" s="28" t="s">
        <v>3171</v>
      </c>
      <c r="AC650" s="28" t="s">
        <v>3159</v>
      </c>
    </row>
    <row r="651" spans="1:29">
      <c r="A651">
        <v>7</v>
      </c>
      <c r="B651">
        <v>2117</v>
      </c>
      <c r="C651">
        <v>2117</v>
      </c>
      <c r="D651" t="s">
        <v>23</v>
      </c>
      <c r="E651" s="22">
        <v>44313</v>
      </c>
      <c r="F651" s="23">
        <v>44313</v>
      </c>
      <c r="G651" t="s">
        <v>965</v>
      </c>
      <c r="H651" t="s">
        <v>28</v>
      </c>
      <c r="I651" t="s">
        <v>23</v>
      </c>
      <c r="J651" t="s">
        <v>52</v>
      </c>
      <c r="K651" t="s">
        <v>71</v>
      </c>
      <c r="L651" t="s">
        <v>704</v>
      </c>
      <c r="M651">
        <v>2114</v>
      </c>
      <c r="N651" t="s">
        <v>860</v>
      </c>
      <c r="O651" t="s">
        <v>866</v>
      </c>
      <c r="P651" t="s">
        <v>21</v>
      </c>
      <c r="Q651" t="s">
        <v>21</v>
      </c>
      <c r="R651" t="s">
        <v>915</v>
      </c>
      <c r="S651" t="s">
        <v>915</v>
      </c>
      <c r="T651" t="s">
        <v>950</v>
      </c>
      <c r="U651" t="s">
        <v>960</v>
      </c>
      <c r="V651" s="28" t="s">
        <v>1422</v>
      </c>
      <c r="W651" s="28" t="s">
        <v>1413</v>
      </c>
      <c r="X651" s="28" t="s">
        <v>3172</v>
      </c>
      <c r="Y651" s="28" t="s">
        <v>3143</v>
      </c>
      <c r="Z651" s="28" t="s">
        <v>3173</v>
      </c>
      <c r="AA651" s="28" t="s">
        <v>3145</v>
      </c>
      <c r="AB651" s="28" t="s">
        <v>3174</v>
      </c>
      <c r="AC651" s="28" t="s">
        <v>3147</v>
      </c>
    </row>
    <row r="652" spans="1:29">
      <c r="A652">
        <v>8</v>
      </c>
      <c r="B652">
        <v>2118</v>
      </c>
      <c r="C652">
        <v>2118</v>
      </c>
      <c r="D652" t="s">
        <v>23</v>
      </c>
      <c r="E652" s="22">
        <v>44320</v>
      </c>
      <c r="F652" s="23">
        <v>44320</v>
      </c>
      <c r="G652" t="s">
        <v>965</v>
      </c>
      <c r="H652" t="s">
        <v>28</v>
      </c>
      <c r="I652" t="s">
        <v>23</v>
      </c>
      <c r="J652" t="s">
        <v>52</v>
      </c>
      <c r="K652" t="s">
        <v>71</v>
      </c>
      <c r="L652" t="s">
        <v>705</v>
      </c>
      <c r="M652">
        <v>2112</v>
      </c>
      <c r="N652" t="s">
        <v>860</v>
      </c>
      <c r="O652" t="s">
        <v>866</v>
      </c>
      <c r="P652" t="s">
        <v>21</v>
      </c>
      <c r="Q652" t="s">
        <v>21</v>
      </c>
      <c r="R652" t="s">
        <v>933</v>
      </c>
      <c r="S652" t="s">
        <v>933</v>
      </c>
      <c r="T652" t="s">
        <v>955</v>
      </c>
      <c r="U652" t="s">
        <v>960</v>
      </c>
      <c r="V652" s="28" t="s">
        <v>1423</v>
      </c>
      <c r="W652" s="28" t="s">
        <v>1381</v>
      </c>
      <c r="X652" s="28" t="s">
        <v>3175</v>
      </c>
      <c r="Y652" s="28" t="s">
        <v>2965</v>
      </c>
      <c r="Z652" s="28" t="s">
        <v>3176</v>
      </c>
      <c r="AA652" s="28" t="s">
        <v>3177</v>
      </c>
      <c r="AB652" s="28" t="s">
        <v>3178</v>
      </c>
      <c r="AC652" s="28" t="s">
        <v>3179</v>
      </c>
    </row>
    <row r="653" spans="1:29">
      <c r="A653">
        <v>9</v>
      </c>
      <c r="B653">
        <v>2121</v>
      </c>
      <c r="C653">
        <v>2121</v>
      </c>
      <c r="D653" t="s">
        <v>23</v>
      </c>
      <c r="E653" s="22">
        <v>44343</v>
      </c>
      <c r="F653" s="23">
        <v>44343</v>
      </c>
      <c r="G653" t="s">
        <v>965</v>
      </c>
      <c r="H653" t="s">
        <v>28</v>
      </c>
      <c r="I653" t="s">
        <v>23</v>
      </c>
      <c r="J653" t="s">
        <v>52</v>
      </c>
      <c r="K653" t="s">
        <v>71</v>
      </c>
      <c r="L653" t="s">
        <v>706</v>
      </c>
      <c r="M653">
        <v>2116</v>
      </c>
      <c r="N653" t="s">
        <v>860</v>
      </c>
      <c r="O653" t="s">
        <v>866</v>
      </c>
      <c r="P653" t="s">
        <v>21</v>
      </c>
      <c r="Q653" t="s">
        <v>21</v>
      </c>
      <c r="R653" t="s">
        <v>922</v>
      </c>
      <c r="S653" t="s">
        <v>922</v>
      </c>
      <c r="T653" t="s">
        <v>28</v>
      </c>
      <c r="U653" t="s">
        <v>960</v>
      </c>
      <c r="V653" s="28" t="s">
        <v>1424</v>
      </c>
      <c r="W653" s="28" t="s">
        <v>1165</v>
      </c>
      <c r="X653" s="28" t="s">
        <v>3180</v>
      </c>
      <c r="Y653" s="28" t="s">
        <v>3033</v>
      </c>
      <c r="Z653" s="28" t="s">
        <v>3181</v>
      </c>
      <c r="AA653" s="28" t="s">
        <v>3182</v>
      </c>
      <c r="AB653" s="28" t="s">
        <v>3183</v>
      </c>
      <c r="AC653" s="28" t="s">
        <v>2060</v>
      </c>
    </row>
    <row r="654" spans="1:29">
      <c r="A654">
        <v>10</v>
      </c>
      <c r="B654">
        <v>2121</v>
      </c>
      <c r="C654">
        <v>2123</v>
      </c>
      <c r="D654" t="s">
        <v>23</v>
      </c>
      <c r="E654" s="22">
        <v>44357</v>
      </c>
      <c r="F654" s="23">
        <v>44343</v>
      </c>
      <c r="G654" t="s">
        <v>965</v>
      </c>
      <c r="H654" t="s">
        <v>28</v>
      </c>
      <c r="I654" t="s">
        <v>23</v>
      </c>
      <c r="J654" t="s">
        <v>52</v>
      </c>
      <c r="K654" t="s">
        <v>71</v>
      </c>
      <c r="L654" t="s">
        <v>707</v>
      </c>
      <c r="M654">
        <v>2117</v>
      </c>
      <c r="N654" t="s">
        <v>860</v>
      </c>
      <c r="O654" t="s">
        <v>866</v>
      </c>
      <c r="P654" t="s">
        <v>21</v>
      </c>
      <c r="Q654" t="s">
        <v>21</v>
      </c>
      <c r="R654" t="s">
        <v>922</v>
      </c>
      <c r="S654" t="s">
        <v>922</v>
      </c>
      <c r="T654" t="s">
        <v>28</v>
      </c>
      <c r="U654" t="s">
        <v>960</v>
      </c>
      <c r="V654" s="28" t="s">
        <v>1424</v>
      </c>
      <c r="W654" s="28" t="s">
        <v>1165</v>
      </c>
      <c r="X654" s="28" t="s">
        <v>3180</v>
      </c>
      <c r="Y654" s="28" t="s">
        <v>3033</v>
      </c>
      <c r="Z654" s="28" t="s">
        <v>3181</v>
      </c>
      <c r="AA654" s="28" t="s">
        <v>3182</v>
      </c>
      <c r="AB654" s="28" t="s">
        <v>3183</v>
      </c>
      <c r="AC654" s="28" t="s">
        <v>2060</v>
      </c>
    </row>
    <row r="655" spans="1:29">
      <c r="A655">
        <v>11</v>
      </c>
      <c r="B655">
        <v>2125</v>
      </c>
      <c r="C655">
        <v>2125</v>
      </c>
      <c r="D655" t="s">
        <v>23</v>
      </c>
      <c r="E655" s="22">
        <v>44372</v>
      </c>
      <c r="F655" s="23">
        <v>44372</v>
      </c>
      <c r="G655" t="s">
        <v>965</v>
      </c>
      <c r="H655" t="s">
        <v>28</v>
      </c>
      <c r="I655" t="s">
        <v>23</v>
      </c>
      <c r="J655" t="s">
        <v>52</v>
      </c>
      <c r="K655" t="s">
        <v>71</v>
      </c>
      <c r="L655" t="s">
        <v>708</v>
      </c>
      <c r="M655">
        <v>2119</v>
      </c>
      <c r="N655" t="s">
        <v>860</v>
      </c>
      <c r="O655" t="s">
        <v>866</v>
      </c>
      <c r="P655" t="s">
        <v>21</v>
      </c>
      <c r="Q655" t="s">
        <v>21</v>
      </c>
      <c r="R655" t="s">
        <v>924</v>
      </c>
      <c r="S655" t="s">
        <v>931</v>
      </c>
      <c r="T655" t="s">
        <v>954</v>
      </c>
      <c r="U655" t="s">
        <v>960</v>
      </c>
      <c r="V655" s="28" t="s">
        <v>1425</v>
      </c>
      <c r="W655" s="28" t="s">
        <v>1396</v>
      </c>
      <c r="X655" s="28" t="s">
        <v>3184</v>
      </c>
      <c r="Y655" s="28" t="s">
        <v>3045</v>
      </c>
      <c r="Z655" s="28" t="s">
        <v>3185</v>
      </c>
      <c r="AA655" s="28" t="s">
        <v>3186</v>
      </c>
      <c r="AB655" s="28" t="s">
        <v>3187</v>
      </c>
      <c r="AC655" s="28" t="s">
        <v>3188</v>
      </c>
    </row>
    <row r="656" spans="1:29">
      <c r="A656">
        <v>12</v>
      </c>
      <c r="B656">
        <v>2125</v>
      </c>
      <c r="C656">
        <v>2125</v>
      </c>
      <c r="D656" t="s">
        <v>23</v>
      </c>
      <c r="E656" s="22">
        <v>44372</v>
      </c>
      <c r="F656" s="23">
        <v>44372</v>
      </c>
      <c r="G656" t="s">
        <v>965</v>
      </c>
      <c r="H656" t="s">
        <v>28</v>
      </c>
      <c r="I656" t="s">
        <v>23</v>
      </c>
      <c r="J656" t="s">
        <v>52</v>
      </c>
      <c r="K656" t="s">
        <v>71</v>
      </c>
      <c r="L656" t="s">
        <v>709</v>
      </c>
      <c r="M656">
        <v>2119</v>
      </c>
      <c r="N656" t="s">
        <v>860</v>
      </c>
      <c r="O656" t="s">
        <v>866</v>
      </c>
      <c r="P656" t="s">
        <v>21</v>
      </c>
      <c r="Q656" t="s">
        <v>21</v>
      </c>
      <c r="R656" t="s">
        <v>925</v>
      </c>
      <c r="S656" t="s">
        <v>925</v>
      </c>
      <c r="T656" t="s">
        <v>28</v>
      </c>
      <c r="U656" t="s">
        <v>960</v>
      </c>
      <c r="V656" s="28" t="s">
        <v>1382</v>
      </c>
      <c r="W656" s="28" t="s">
        <v>1068</v>
      </c>
      <c r="X656" s="28" t="s">
        <v>2970</v>
      </c>
      <c r="Y656" s="28" t="s">
        <v>2971</v>
      </c>
      <c r="Z656" s="28" t="s">
        <v>3189</v>
      </c>
      <c r="AA656" s="28" t="s">
        <v>3190</v>
      </c>
      <c r="AB656" s="28" t="s">
        <v>3191</v>
      </c>
      <c r="AC656" s="28" t="s">
        <v>1674</v>
      </c>
    </row>
    <row r="657" spans="1:29">
      <c r="A657">
        <v>13</v>
      </c>
      <c r="B657">
        <v>2126</v>
      </c>
      <c r="C657">
        <v>2126</v>
      </c>
      <c r="D657" t="s">
        <v>23</v>
      </c>
      <c r="E657" s="22">
        <v>44375</v>
      </c>
      <c r="F657" s="23">
        <v>44375</v>
      </c>
      <c r="G657" t="s">
        <v>965</v>
      </c>
      <c r="H657" t="s">
        <v>28</v>
      </c>
      <c r="I657" t="s">
        <v>23</v>
      </c>
      <c r="J657" t="s">
        <v>52</v>
      </c>
      <c r="K657" t="s">
        <v>71</v>
      </c>
      <c r="L657" t="s">
        <v>710</v>
      </c>
      <c r="M657">
        <v>2119</v>
      </c>
      <c r="N657" t="s">
        <v>860</v>
      </c>
      <c r="O657" t="s">
        <v>866</v>
      </c>
      <c r="P657" t="s">
        <v>21</v>
      </c>
      <c r="Q657" t="s">
        <v>21</v>
      </c>
      <c r="R657" t="s">
        <v>868</v>
      </c>
      <c r="S657" t="s">
        <v>868</v>
      </c>
      <c r="T657" t="s">
        <v>891</v>
      </c>
      <c r="U657" t="s">
        <v>960</v>
      </c>
      <c r="V657" s="28" t="s">
        <v>1209</v>
      </c>
      <c r="W657" s="28" t="s">
        <v>1066</v>
      </c>
      <c r="X657" s="28" t="s">
        <v>3192</v>
      </c>
      <c r="Y657" s="28" t="s">
        <v>3193</v>
      </c>
      <c r="Z657" s="28" t="s">
        <v>3194</v>
      </c>
      <c r="AA657" s="28" t="s">
        <v>3195</v>
      </c>
      <c r="AB657" s="28" t="s">
        <v>3196</v>
      </c>
      <c r="AC657" s="28" t="s">
        <v>1668</v>
      </c>
    </row>
    <row r="658" spans="1:29">
      <c r="A658">
        <v>14</v>
      </c>
      <c r="B658">
        <v>2129</v>
      </c>
      <c r="C658">
        <v>2129</v>
      </c>
      <c r="D658" t="s">
        <v>23</v>
      </c>
      <c r="E658" s="22">
        <v>44396</v>
      </c>
      <c r="F658" s="23">
        <v>44396</v>
      </c>
      <c r="G658" t="s">
        <v>965</v>
      </c>
      <c r="H658" t="s">
        <v>28</v>
      </c>
      <c r="I658" t="s">
        <v>23</v>
      </c>
      <c r="J658" t="s">
        <v>52</v>
      </c>
      <c r="K658" t="s">
        <v>71</v>
      </c>
      <c r="L658" t="s">
        <v>711</v>
      </c>
      <c r="M658">
        <v>2120</v>
      </c>
      <c r="N658" t="s">
        <v>860</v>
      </c>
      <c r="O658" t="s">
        <v>866</v>
      </c>
      <c r="P658" t="s">
        <v>21</v>
      </c>
      <c r="Q658" t="s">
        <v>21</v>
      </c>
      <c r="R658" t="s">
        <v>922</v>
      </c>
      <c r="S658" t="s">
        <v>922</v>
      </c>
      <c r="T658" t="s">
        <v>28</v>
      </c>
      <c r="U658" t="s">
        <v>960</v>
      </c>
      <c r="V658" s="28" t="s">
        <v>1223</v>
      </c>
      <c r="W658" s="28" t="s">
        <v>1213</v>
      </c>
      <c r="X658" s="28" t="s">
        <v>3197</v>
      </c>
      <c r="Y658" s="28" t="s">
        <v>3198</v>
      </c>
      <c r="Z658" s="28" t="s">
        <v>3199</v>
      </c>
      <c r="AA658" s="28" t="s">
        <v>3200</v>
      </c>
      <c r="AB658" s="28" t="s">
        <v>2316</v>
      </c>
      <c r="AC658" s="28" t="s">
        <v>2262</v>
      </c>
    </row>
    <row r="659" spans="1:29">
      <c r="A659">
        <v>15</v>
      </c>
      <c r="B659">
        <v>2129</v>
      </c>
      <c r="C659">
        <v>2129</v>
      </c>
      <c r="D659" t="s">
        <v>23</v>
      </c>
      <c r="E659" s="22">
        <v>44396</v>
      </c>
      <c r="F659" s="23">
        <v>44396</v>
      </c>
      <c r="G659" t="s">
        <v>965</v>
      </c>
      <c r="H659" t="s">
        <v>28</v>
      </c>
      <c r="I659" t="s">
        <v>23</v>
      </c>
      <c r="J659" t="s">
        <v>52</v>
      </c>
      <c r="K659" t="s">
        <v>71</v>
      </c>
      <c r="L659" t="s">
        <v>712</v>
      </c>
      <c r="M659">
        <v>2120</v>
      </c>
      <c r="N659" t="s">
        <v>860</v>
      </c>
      <c r="O659" t="s">
        <v>866</v>
      </c>
      <c r="P659" t="s">
        <v>21</v>
      </c>
      <c r="Q659" t="s">
        <v>21</v>
      </c>
      <c r="R659" t="s">
        <v>915</v>
      </c>
      <c r="S659" t="s">
        <v>915</v>
      </c>
      <c r="T659" t="s">
        <v>950</v>
      </c>
      <c r="U659" t="s">
        <v>960</v>
      </c>
      <c r="V659" s="28" t="s">
        <v>1226</v>
      </c>
      <c r="W659" s="28" t="s">
        <v>1215</v>
      </c>
      <c r="X659" s="28" t="s">
        <v>2958</v>
      </c>
      <c r="Y659" s="28" t="s">
        <v>2959</v>
      </c>
      <c r="Z659" s="28" t="s">
        <v>3201</v>
      </c>
      <c r="AA659" s="28" t="s">
        <v>3202</v>
      </c>
      <c r="AB659" s="28" t="s">
        <v>2296</v>
      </c>
      <c r="AC659" s="28" t="s">
        <v>2297</v>
      </c>
    </row>
    <row r="660" spans="1:29">
      <c r="A660">
        <v>16</v>
      </c>
      <c r="B660">
        <v>2130</v>
      </c>
      <c r="C660">
        <v>2130</v>
      </c>
      <c r="D660" t="s">
        <v>23</v>
      </c>
      <c r="E660" s="22">
        <v>44404</v>
      </c>
      <c r="F660" s="23">
        <v>44404</v>
      </c>
      <c r="G660" t="s">
        <v>965</v>
      </c>
      <c r="H660" t="s">
        <v>28</v>
      </c>
      <c r="I660" t="s">
        <v>23</v>
      </c>
      <c r="J660" t="s">
        <v>52</v>
      </c>
      <c r="K660" t="s">
        <v>71</v>
      </c>
      <c r="L660" t="s">
        <v>713</v>
      </c>
      <c r="M660">
        <v>2121</v>
      </c>
      <c r="N660" t="s">
        <v>860</v>
      </c>
      <c r="O660" t="s">
        <v>866</v>
      </c>
      <c r="P660" t="s">
        <v>21</v>
      </c>
      <c r="Q660" t="s">
        <v>21</v>
      </c>
      <c r="R660" t="s">
        <v>922</v>
      </c>
      <c r="S660" t="s">
        <v>922</v>
      </c>
      <c r="T660" t="s">
        <v>28</v>
      </c>
      <c r="U660" t="s">
        <v>960</v>
      </c>
      <c r="V660" s="28" t="s">
        <v>1426</v>
      </c>
      <c r="W660" s="28" t="s">
        <v>1213</v>
      </c>
      <c r="X660" s="28" t="s">
        <v>3203</v>
      </c>
      <c r="Y660" s="28" t="s">
        <v>3198</v>
      </c>
      <c r="Z660" s="28" t="s">
        <v>3204</v>
      </c>
      <c r="AA660" s="28" t="s">
        <v>3200</v>
      </c>
      <c r="AB660" s="28" t="s">
        <v>3205</v>
      </c>
      <c r="AC660" s="28" t="s">
        <v>2262</v>
      </c>
    </row>
    <row r="661" spans="1:29">
      <c r="A661">
        <v>17</v>
      </c>
      <c r="B661">
        <v>2130</v>
      </c>
      <c r="C661">
        <v>2130</v>
      </c>
      <c r="D661" t="s">
        <v>23</v>
      </c>
      <c r="E661" s="22">
        <v>44406</v>
      </c>
      <c r="F661" s="23">
        <v>44406</v>
      </c>
      <c r="G661" t="s">
        <v>965</v>
      </c>
      <c r="H661" t="s">
        <v>28</v>
      </c>
      <c r="I661" t="s">
        <v>23</v>
      </c>
      <c r="J661" t="s">
        <v>52</v>
      </c>
      <c r="K661" t="s">
        <v>71</v>
      </c>
      <c r="L661" t="s">
        <v>714</v>
      </c>
      <c r="M661">
        <v>2123</v>
      </c>
      <c r="N661" t="s">
        <v>860</v>
      </c>
      <c r="O661" t="s">
        <v>866</v>
      </c>
      <c r="P661" t="s">
        <v>21</v>
      </c>
      <c r="Q661" t="s">
        <v>21</v>
      </c>
      <c r="R661" t="s">
        <v>922</v>
      </c>
      <c r="S661" t="s">
        <v>922</v>
      </c>
      <c r="T661" t="s">
        <v>28</v>
      </c>
      <c r="U661" t="s">
        <v>960</v>
      </c>
      <c r="V661" s="28" t="s">
        <v>1426</v>
      </c>
      <c r="W661" s="28" t="s">
        <v>1213</v>
      </c>
      <c r="X661" s="28" t="s">
        <v>3203</v>
      </c>
      <c r="Y661" s="28" t="s">
        <v>3198</v>
      </c>
      <c r="Z661" s="28" t="s">
        <v>3204</v>
      </c>
      <c r="AA661" s="28" t="s">
        <v>3200</v>
      </c>
      <c r="AB661" s="28" t="s">
        <v>3205</v>
      </c>
      <c r="AC661" s="28" t="s">
        <v>2262</v>
      </c>
    </row>
    <row r="662" spans="1:29">
      <c r="A662">
        <v>18</v>
      </c>
      <c r="B662">
        <v>2130</v>
      </c>
      <c r="C662">
        <v>2130</v>
      </c>
      <c r="D662" t="s">
        <v>23</v>
      </c>
      <c r="E662" s="22">
        <v>44406</v>
      </c>
      <c r="F662" s="23">
        <v>44406</v>
      </c>
      <c r="G662" t="s">
        <v>965</v>
      </c>
      <c r="H662" t="s">
        <v>28</v>
      </c>
      <c r="I662" t="s">
        <v>23</v>
      </c>
      <c r="J662" t="s">
        <v>52</v>
      </c>
      <c r="K662" t="s">
        <v>71</v>
      </c>
      <c r="L662" t="s">
        <v>715</v>
      </c>
      <c r="M662">
        <v>2123</v>
      </c>
      <c r="N662" t="s">
        <v>860</v>
      </c>
      <c r="O662" t="s">
        <v>866</v>
      </c>
      <c r="P662" t="s">
        <v>21</v>
      </c>
      <c r="Q662" t="s">
        <v>21</v>
      </c>
      <c r="R662" t="s">
        <v>907</v>
      </c>
      <c r="S662" t="s">
        <v>907</v>
      </c>
      <c r="T662" t="s">
        <v>953</v>
      </c>
      <c r="U662" t="s">
        <v>960</v>
      </c>
      <c r="V662" s="28" t="s">
        <v>1427</v>
      </c>
      <c r="W662" s="28" t="s">
        <v>1428</v>
      </c>
      <c r="X662" s="28" t="s">
        <v>3206</v>
      </c>
      <c r="Y662" s="28" t="s">
        <v>3207</v>
      </c>
      <c r="Z662" s="28" t="s">
        <v>3208</v>
      </c>
      <c r="AA662" s="28" t="s">
        <v>3209</v>
      </c>
      <c r="AB662" s="28" t="s">
        <v>3210</v>
      </c>
      <c r="AC662" s="28" t="s">
        <v>3211</v>
      </c>
    </row>
    <row r="663" spans="1:29">
      <c r="A663">
        <v>19</v>
      </c>
      <c r="B663">
        <v>2132</v>
      </c>
      <c r="C663">
        <v>2132</v>
      </c>
      <c r="D663" t="s">
        <v>23</v>
      </c>
      <c r="E663" s="22">
        <v>44422</v>
      </c>
      <c r="F663" s="23">
        <v>44422</v>
      </c>
      <c r="G663" t="s">
        <v>965</v>
      </c>
      <c r="H663" t="s">
        <v>28</v>
      </c>
      <c r="I663" t="s">
        <v>23</v>
      </c>
      <c r="J663" t="s">
        <v>52</v>
      </c>
      <c r="K663" t="s">
        <v>71</v>
      </c>
      <c r="L663" t="s">
        <v>716</v>
      </c>
      <c r="M663">
        <v>2123</v>
      </c>
      <c r="N663" t="s">
        <v>860</v>
      </c>
      <c r="O663" t="s">
        <v>866</v>
      </c>
      <c r="P663" t="s">
        <v>21</v>
      </c>
      <c r="Q663" t="s">
        <v>21</v>
      </c>
      <c r="R663" t="s">
        <v>922</v>
      </c>
      <c r="S663" t="s">
        <v>922</v>
      </c>
      <c r="T663" t="s">
        <v>28</v>
      </c>
      <c r="U663" t="s">
        <v>960</v>
      </c>
      <c r="V663" s="28" t="s">
        <v>1230</v>
      </c>
      <c r="W663" s="28" t="s">
        <v>1231</v>
      </c>
      <c r="X663" s="28" t="s">
        <v>3212</v>
      </c>
      <c r="Y663" s="28" t="s">
        <v>2988</v>
      </c>
      <c r="Z663" s="28" t="s">
        <v>3213</v>
      </c>
      <c r="AA663" s="28" t="s">
        <v>3214</v>
      </c>
      <c r="AB663" s="28" t="s">
        <v>3215</v>
      </c>
      <c r="AC663" s="28" t="s">
        <v>3216</v>
      </c>
    </row>
    <row r="664" spans="1:29">
      <c r="A664">
        <v>20</v>
      </c>
      <c r="B664">
        <v>2132</v>
      </c>
      <c r="C664">
        <v>2132</v>
      </c>
      <c r="D664" t="s">
        <v>23</v>
      </c>
      <c r="E664" s="22">
        <v>44423</v>
      </c>
      <c r="F664" s="23">
        <v>44423</v>
      </c>
      <c r="G664" t="s">
        <v>965</v>
      </c>
      <c r="H664" t="s">
        <v>28</v>
      </c>
      <c r="I664" t="s">
        <v>23</v>
      </c>
      <c r="J664" t="s">
        <v>52</v>
      </c>
      <c r="K664" t="s">
        <v>71</v>
      </c>
      <c r="L664" t="s">
        <v>717</v>
      </c>
      <c r="M664">
        <v>2124</v>
      </c>
      <c r="N664" t="s">
        <v>860</v>
      </c>
      <c r="O664" t="s">
        <v>866</v>
      </c>
      <c r="P664" t="s">
        <v>21</v>
      </c>
      <c r="Q664" t="s">
        <v>21</v>
      </c>
      <c r="R664" t="s">
        <v>924</v>
      </c>
      <c r="S664" t="s">
        <v>881</v>
      </c>
      <c r="T664" t="s">
        <v>949</v>
      </c>
      <c r="U664" t="s">
        <v>960</v>
      </c>
      <c r="V664" s="28" t="s">
        <v>1234</v>
      </c>
      <c r="W664" s="28" t="s">
        <v>1235</v>
      </c>
      <c r="X664" s="28" t="s">
        <v>3217</v>
      </c>
      <c r="Y664" s="28" t="s">
        <v>3051</v>
      </c>
      <c r="Z664" s="28" t="s">
        <v>3218</v>
      </c>
      <c r="AA664" s="28" t="s">
        <v>3219</v>
      </c>
      <c r="AB664" s="28" t="s">
        <v>3220</v>
      </c>
      <c r="AC664" s="28" t="s">
        <v>3221</v>
      </c>
    </row>
    <row r="665" spans="1:29">
      <c r="A665">
        <v>21</v>
      </c>
      <c r="B665">
        <v>2133</v>
      </c>
      <c r="C665">
        <v>2133</v>
      </c>
      <c r="D665" t="s">
        <v>23</v>
      </c>
      <c r="E665" s="22">
        <v>44424</v>
      </c>
      <c r="F665" s="23">
        <v>44424</v>
      </c>
      <c r="G665" t="s">
        <v>965</v>
      </c>
      <c r="H665" t="s">
        <v>28</v>
      </c>
      <c r="I665" t="s">
        <v>23</v>
      </c>
      <c r="J665" t="s">
        <v>52</v>
      </c>
      <c r="K665" t="s">
        <v>71</v>
      </c>
      <c r="L665" t="s">
        <v>718</v>
      </c>
      <c r="M665">
        <v>2124</v>
      </c>
      <c r="N665" t="s">
        <v>860</v>
      </c>
      <c r="O665" t="s">
        <v>866</v>
      </c>
      <c r="P665" t="s">
        <v>21</v>
      </c>
      <c r="Q665" t="s">
        <v>21</v>
      </c>
      <c r="R665" t="s">
        <v>922</v>
      </c>
      <c r="S665" t="s">
        <v>922</v>
      </c>
      <c r="T665" t="s">
        <v>28</v>
      </c>
      <c r="U665" t="s">
        <v>960</v>
      </c>
      <c r="V665" s="28" t="s">
        <v>1246</v>
      </c>
      <c r="W665" s="28" t="s">
        <v>1231</v>
      </c>
      <c r="X665" s="28" t="s">
        <v>3222</v>
      </c>
      <c r="Y665" s="28" t="s">
        <v>2988</v>
      </c>
      <c r="Z665" s="28" t="s">
        <v>3223</v>
      </c>
      <c r="AA665" s="28" t="s">
        <v>3214</v>
      </c>
      <c r="AB665" s="28" t="s">
        <v>3224</v>
      </c>
      <c r="AC665" s="28" t="s">
        <v>3216</v>
      </c>
    </row>
    <row r="666" spans="1:29">
      <c r="A666">
        <v>22</v>
      </c>
      <c r="B666">
        <v>2134</v>
      </c>
      <c r="C666">
        <v>2134</v>
      </c>
      <c r="D666" t="s">
        <v>23</v>
      </c>
      <c r="E666" s="22">
        <v>44433</v>
      </c>
      <c r="F666" s="23">
        <v>44433</v>
      </c>
      <c r="G666" t="s">
        <v>965</v>
      </c>
      <c r="H666" t="s">
        <v>28</v>
      </c>
      <c r="I666" t="s">
        <v>23</v>
      </c>
      <c r="J666" t="s">
        <v>52</v>
      </c>
      <c r="K666" t="s">
        <v>71</v>
      </c>
      <c r="L666" t="s">
        <v>5935</v>
      </c>
      <c r="M666">
        <v>2126</v>
      </c>
      <c r="N666" t="s">
        <v>860</v>
      </c>
      <c r="O666" t="s">
        <v>866</v>
      </c>
      <c r="P666" t="s">
        <v>21</v>
      </c>
      <c r="Q666" t="s">
        <v>21</v>
      </c>
      <c r="R666" t="s">
        <v>938</v>
      </c>
      <c r="S666" t="s">
        <v>944</v>
      </c>
      <c r="T666" t="s">
        <v>954</v>
      </c>
      <c r="U666" t="s">
        <v>960</v>
      </c>
      <c r="V666" s="28" t="s">
        <v>5936</v>
      </c>
      <c r="W666" s="28" t="s">
        <v>1444</v>
      </c>
      <c r="X666" s="28" t="s">
        <v>5937</v>
      </c>
      <c r="Y666" s="28" t="s">
        <v>3311</v>
      </c>
      <c r="Z666" s="28" t="s">
        <v>5938</v>
      </c>
      <c r="AA666" s="28" t="s">
        <v>5939</v>
      </c>
      <c r="AB666" s="28" t="s">
        <v>5940</v>
      </c>
      <c r="AC666" s="28" t="s">
        <v>5941</v>
      </c>
    </row>
    <row r="667" spans="1:29">
      <c r="A667">
        <v>23</v>
      </c>
      <c r="B667">
        <v>2134</v>
      </c>
      <c r="C667">
        <v>2134</v>
      </c>
      <c r="D667" t="s">
        <v>23</v>
      </c>
      <c r="E667" s="22">
        <v>44433</v>
      </c>
      <c r="F667" s="23">
        <v>44433</v>
      </c>
      <c r="G667" t="s">
        <v>965</v>
      </c>
      <c r="H667" t="s">
        <v>28</v>
      </c>
      <c r="I667" t="s">
        <v>23</v>
      </c>
      <c r="J667" t="s">
        <v>52</v>
      </c>
      <c r="K667" t="s">
        <v>71</v>
      </c>
      <c r="L667" t="s">
        <v>5942</v>
      </c>
      <c r="M667">
        <v>2126</v>
      </c>
      <c r="N667" t="s">
        <v>860</v>
      </c>
      <c r="O667" t="s">
        <v>866</v>
      </c>
      <c r="P667" t="s">
        <v>21</v>
      </c>
      <c r="Q667" t="s">
        <v>21</v>
      </c>
      <c r="R667" t="s">
        <v>881</v>
      </c>
      <c r="S667" t="s">
        <v>881</v>
      </c>
      <c r="T667" t="s">
        <v>949</v>
      </c>
      <c r="U667" t="s">
        <v>960</v>
      </c>
      <c r="V667" s="28" t="s">
        <v>5943</v>
      </c>
      <c r="W667" s="28" t="s">
        <v>1235</v>
      </c>
      <c r="X667" s="28" t="s">
        <v>5944</v>
      </c>
      <c r="Y667" s="28" t="s">
        <v>3051</v>
      </c>
      <c r="Z667" s="28" t="s">
        <v>5945</v>
      </c>
      <c r="AA667" s="28" t="s">
        <v>3219</v>
      </c>
      <c r="AB667" s="28" t="s">
        <v>5946</v>
      </c>
      <c r="AC667" s="28" t="s">
        <v>3221</v>
      </c>
    </row>
    <row r="668" spans="1:29">
      <c r="A668">
        <v>24</v>
      </c>
      <c r="B668">
        <v>2134</v>
      </c>
      <c r="C668">
        <v>2134</v>
      </c>
      <c r="D668" t="s">
        <v>23</v>
      </c>
      <c r="E668" s="22">
        <v>44433</v>
      </c>
      <c r="F668" s="23">
        <v>44433</v>
      </c>
      <c r="G668" t="s">
        <v>965</v>
      </c>
      <c r="H668" t="s">
        <v>28</v>
      </c>
      <c r="I668" t="s">
        <v>23</v>
      </c>
      <c r="J668" t="s">
        <v>52</v>
      </c>
      <c r="K668" t="s">
        <v>71</v>
      </c>
      <c r="L668" t="s">
        <v>5947</v>
      </c>
      <c r="M668">
        <v>2126</v>
      </c>
      <c r="N668" t="s">
        <v>860</v>
      </c>
      <c r="O668" t="s">
        <v>866</v>
      </c>
      <c r="P668" t="s">
        <v>21</v>
      </c>
      <c r="Q668" t="s">
        <v>21</v>
      </c>
      <c r="R668" t="s">
        <v>5948</v>
      </c>
      <c r="S668" t="s">
        <v>5948</v>
      </c>
      <c r="T668" t="s">
        <v>956</v>
      </c>
      <c r="U668" t="s">
        <v>960</v>
      </c>
      <c r="V668" s="28" t="s">
        <v>5949</v>
      </c>
      <c r="W668" s="28" t="s">
        <v>1248</v>
      </c>
      <c r="X668" s="28" t="s">
        <v>5950</v>
      </c>
      <c r="Y668" s="28" t="s">
        <v>5951</v>
      </c>
      <c r="Z668" s="28" t="s">
        <v>5952</v>
      </c>
      <c r="AA668" s="28" t="s">
        <v>5953</v>
      </c>
      <c r="AB668" s="28" t="s">
        <v>5954</v>
      </c>
      <c r="AC668" s="28" t="s">
        <v>5955</v>
      </c>
    </row>
    <row r="669" spans="1:29">
      <c r="A669">
        <v>25</v>
      </c>
      <c r="B669">
        <v>2134</v>
      </c>
      <c r="C669">
        <v>2134</v>
      </c>
      <c r="D669" t="s">
        <v>23</v>
      </c>
      <c r="E669" s="22">
        <v>44434</v>
      </c>
      <c r="F669" s="23">
        <v>44434</v>
      </c>
      <c r="G669" t="s">
        <v>965</v>
      </c>
      <c r="H669" t="s">
        <v>28</v>
      </c>
      <c r="I669" t="s">
        <v>23</v>
      </c>
      <c r="J669" t="s">
        <v>52</v>
      </c>
      <c r="K669" t="s">
        <v>71</v>
      </c>
      <c r="L669" t="s">
        <v>5956</v>
      </c>
      <c r="M669">
        <v>2127</v>
      </c>
      <c r="N669" t="s">
        <v>860</v>
      </c>
      <c r="O669" t="s">
        <v>866</v>
      </c>
      <c r="P669" t="s">
        <v>21</v>
      </c>
      <c r="Q669" t="s">
        <v>21</v>
      </c>
      <c r="R669" t="s">
        <v>911</v>
      </c>
      <c r="S669" t="s">
        <v>911</v>
      </c>
      <c r="T669" t="s">
        <v>28</v>
      </c>
      <c r="U669" t="s">
        <v>960</v>
      </c>
      <c r="V669" s="28" t="s">
        <v>5919</v>
      </c>
      <c r="W669" s="28" t="s">
        <v>1231</v>
      </c>
      <c r="X669" s="28" t="s">
        <v>5920</v>
      </c>
      <c r="Y669" s="28" t="s">
        <v>2988</v>
      </c>
      <c r="Z669" s="28" t="s">
        <v>5957</v>
      </c>
      <c r="AA669" s="28" t="s">
        <v>3214</v>
      </c>
      <c r="AB669" s="28" t="s">
        <v>5958</v>
      </c>
      <c r="AC669" s="28" t="s">
        <v>3216</v>
      </c>
    </row>
    <row r="670" spans="1:29">
      <c r="A670">
        <v>26</v>
      </c>
      <c r="B670">
        <v>2134</v>
      </c>
      <c r="C670">
        <v>2134</v>
      </c>
      <c r="D670" t="s">
        <v>23</v>
      </c>
      <c r="E670" s="22">
        <v>44434</v>
      </c>
      <c r="F670" s="23">
        <v>44434</v>
      </c>
      <c r="G670" t="s">
        <v>965</v>
      </c>
      <c r="H670" t="s">
        <v>28</v>
      </c>
      <c r="I670" t="s">
        <v>23</v>
      </c>
      <c r="J670" t="s">
        <v>52</v>
      </c>
      <c r="K670" t="s">
        <v>71</v>
      </c>
      <c r="L670" t="s">
        <v>5959</v>
      </c>
      <c r="M670">
        <v>2127</v>
      </c>
      <c r="N670" t="s">
        <v>860</v>
      </c>
      <c r="O670" t="s">
        <v>866</v>
      </c>
      <c r="P670" t="s">
        <v>21</v>
      </c>
      <c r="Q670" t="s">
        <v>21</v>
      </c>
      <c r="R670" t="s">
        <v>919</v>
      </c>
      <c r="S670" t="s">
        <v>1044</v>
      </c>
      <c r="T670" t="s">
        <v>959</v>
      </c>
      <c r="U670" t="s">
        <v>960</v>
      </c>
      <c r="V670" s="28" t="s">
        <v>5960</v>
      </c>
      <c r="W670" s="28" t="s">
        <v>5961</v>
      </c>
      <c r="X670" s="28" t="s">
        <v>5962</v>
      </c>
      <c r="Y670" s="28" t="s">
        <v>5963</v>
      </c>
      <c r="Z670" s="28" t="s">
        <v>5964</v>
      </c>
      <c r="AA670" s="28" t="s">
        <v>5965</v>
      </c>
      <c r="AB670" s="28" t="s">
        <v>5966</v>
      </c>
      <c r="AC670" s="28" t="s">
        <v>5967</v>
      </c>
    </row>
    <row r="671" spans="1:29">
      <c r="A671">
        <v>27</v>
      </c>
      <c r="B671">
        <v>2134</v>
      </c>
      <c r="C671">
        <v>2134</v>
      </c>
      <c r="D671" t="s">
        <v>23</v>
      </c>
      <c r="E671" s="22">
        <v>44434</v>
      </c>
      <c r="F671" s="23">
        <v>44434</v>
      </c>
      <c r="G671" t="s">
        <v>965</v>
      </c>
      <c r="H671" t="s">
        <v>28</v>
      </c>
      <c r="I671" t="s">
        <v>23</v>
      </c>
      <c r="J671" t="s">
        <v>52</v>
      </c>
      <c r="K671" t="s">
        <v>71</v>
      </c>
      <c r="L671" t="s">
        <v>5968</v>
      </c>
      <c r="M671">
        <v>2126</v>
      </c>
      <c r="N671" t="s">
        <v>860</v>
      </c>
      <c r="O671" t="s">
        <v>866</v>
      </c>
      <c r="P671" t="s">
        <v>21</v>
      </c>
      <c r="Q671" t="s">
        <v>21</v>
      </c>
      <c r="R671" t="s">
        <v>921</v>
      </c>
      <c r="S671" t="s">
        <v>921</v>
      </c>
      <c r="T671" t="s">
        <v>959</v>
      </c>
      <c r="U671" t="s">
        <v>960</v>
      </c>
      <c r="V671" s="28" t="s">
        <v>5960</v>
      </c>
      <c r="W671" s="28" t="s">
        <v>5961</v>
      </c>
      <c r="X671" s="28" t="s">
        <v>5962</v>
      </c>
      <c r="Y671" s="28" t="s">
        <v>5963</v>
      </c>
      <c r="Z671" s="28" t="s">
        <v>5964</v>
      </c>
      <c r="AA671" s="28" t="s">
        <v>5965</v>
      </c>
      <c r="AB671" s="28" t="s">
        <v>5966</v>
      </c>
      <c r="AC671" s="28" t="s">
        <v>5967</v>
      </c>
    </row>
    <row r="672" spans="1:29">
      <c r="A672">
        <v>28</v>
      </c>
      <c r="B672">
        <v>2136</v>
      </c>
      <c r="C672">
        <v>2136</v>
      </c>
      <c r="D672" t="s">
        <v>23</v>
      </c>
      <c r="E672" s="22">
        <v>44446</v>
      </c>
      <c r="F672" s="23">
        <v>44446</v>
      </c>
      <c r="G672" t="s">
        <v>965</v>
      </c>
      <c r="H672" t="s">
        <v>28</v>
      </c>
      <c r="I672" t="s">
        <v>23</v>
      </c>
      <c r="J672" t="s">
        <v>52</v>
      </c>
      <c r="K672" t="s">
        <v>71</v>
      </c>
      <c r="L672" t="s">
        <v>6245</v>
      </c>
      <c r="M672">
        <v>2128</v>
      </c>
      <c r="N672" t="s">
        <v>860</v>
      </c>
      <c r="O672" t="s">
        <v>866</v>
      </c>
      <c r="P672" t="s">
        <v>21</v>
      </c>
      <c r="Q672" t="s">
        <v>21</v>
      </c>
      <c r="R672" t="s">
        <v>922</v>
      </c>
      <c r="S672" t="s">
        <v>922</v>
      </c>
      <c r="T672" t="s">
        <v>28</v>
      </c>
      <c r="U672" t="s">
        <v>960</v>
      </c>
      <c r="V672" s="28" t="s">
        <v>6246</v>
      </c>
      <c r="W672" s="28" t="s">
        <v>6247</v>
      </c>
      <c r="X672" s="28" t="s">
        <v>6248</v>
      </c>
      <c r="Y672" s="28" t="s">
        <v>6249</v>
      </c>
      <c r="Z672" s="28" t="s">
        <v>6250</v>
      </c>
      <c r="AA672" s="28" t="s">
        <v>6251</v>
      </c>
      <c r="AB672" s="28" t="s">
        <v>6252</v>
      </c>
      <c r="AC672" s="28" t="s">
        <v>6253</v>
      </c>
    </row>
    <row r="673" spans="1:29">
      <c r="A673">
        <v>29</v>
      </c>
      <c r="B673">
        <v>2136</v>
      </c>
      <c r="C673">
        <v>2136</v>
      </c>
      <c r="D673" t="s">
        <v>23</v>
      </c>
      <c r="E673" s="22">
        <v>44446</v>
      </c>
      <c r="F673" s="23">
        <v>44446</v>
      </c>
      <c r="G673" t="s">
        <v>965</v>
      </c>
      <c r="H673" t="s">
        <v>28</v>
      </c>
      <c r="I673" t="s">
        <v>23</v>
      </c>
      <c r="J673" t="s">
        <v>52</v>
      </c>
      <c r="K673" t="s">
        <v>71</v>
      </c>
      <c r="L673" t="s">
        <v>6254</v>
      </c>
      <c r="M673">
        <v>2128</v>
      </c>
      <c r="N673" t="s">
        <v>860</v>
      </c>
      <c r="O673" t="s">
        <v>866</v>
      </c>
      <c r="P673" t="s">
        <v>21</v>
      </c>
      <c r="Q673" t="s">
        <v>21</v>
      </c>
      <c r="R673" t="s">
        <v>891</v>
      </c>
      <c r="S673" t="s">
        <v>891</v>
      </c>
      <c r="T673" t="s">
        <v>891</v>
      </c>
      <c r="U673" t="s">
        <v>960</v>
      </c>
      <c r="V673" s="28" t="s">
        <v>6255</v>
      </c>
      <c r="W673" s="28" t="s">
        <v>6256</v>
      </c>
      <c r="X673" s="28" t="s">
        <v>6257</v>
      </c>
      <c r="Y673" s="28" t="s">
        <v>6258</v>
      </c>
      <c r="Z673" s="28" t="s">
        <v>6259</v>
      </c>
      <c r="AA673" s="28" t="s">
        <v>6260</v>
      </c>
      <c r="AB673" s="28" t="s">
        <v>6261</v>
      </c>
      <c r="AC673" s="28" t="s">
        <v>6262</v>
      </c>
    </row>
    <row r="674" spans="1:29">
      <c r="A674">
        <v>30</v>
      </c>
      <c r="B674">
        <v>2136</v>
      </c>
      <c r="C674">
        <v>2136</v>
      </c>
      <c r="D674" t="s">
        <v>23</v>
      </c>
      <c r="E674" s="22">
        <v>44447</v>
      </c>
      <c r="F674" s="23">
        <v>44447</v>
      </c>
      <c r="G674" t="s">
        <v>965</v>
      </c>
      <c r="H674" t="s">
        <v>28</v>
      </c>
      <c r="I674" t="s">
        <v>23</v>
      </c>
      <c r="J674" t="s">
        <v>52</v>
      </c>
      <c r="K674" t="s">
        <v>71</v>
      </c>
      <c r="L674" t="s">
        <v>6263</v>
      </c>
      <c r="M674">
        <v>2130</v>
      </c>
      <c r="N674" t="s">
        <v>860</v>
      </c>
      <c r="O674" t="s">
        <v>866</v>
      </c>
      <c r="P674" t="s">
        <v>21</v>
      </c>
      <c r="Q674" t="s">
        <v>21</v>
      </c>
      <c r="R674" t="s">
        <v>922</v>
      </c>
      <c r="S674" t="s">
        <v>922</v>
      </c>
      <c r="T674" t="s">
        <v>28</v>
      </c>
      <c r="U674" t="s">
        <v>960</v>
      </c>
      <c r="V674" s="28" t="s">
        <v>6246</v>
      </c>
      <c r="W674" s="28" t="s">
        <v>6247</v>
      </c>
      <c r="X674" s="28" t="s">
        <v>6248</v>
      </c>
      <c r="Y674" s="28" t="s">
        <v>6249</v>
      </c>
      <c r="Z674" s="28" t="s">
        <v>6250</v>
      </c>
      <c r="AA674" s="28" t="s">
        <v>6251</v>
      </c>
      <c r="AB674" s="28" t="s">
        <v>6252</v>
      </c>
      <c r="AC674" s="28" t="s">
        <v>6253</v>
      </c>
    </row>
    <row r="675" spans="1:29">
      <c r="A675">
        <v>31</v>
      </c>
      <c r="B675">
        <v>2136</v>
      </c>
      <c r="C675">
        <v>2136</v>
      </c>
      <c r="D675" t="s">
        <v>23</v>
      </c>
      <c r="E675" s="22">
        <v>44447</v>
      </c>
      <c r="F675" s="23">
        <v>44447</v>
      </c>
      <c r="G675" t="s">
        <v>965</v>
      </c>
      <c r="H675" t="s">
        <v>28</v>
      </c>
      <c r="I675" t="s">
        <v>23</v>
      </c>
      <c r="J675" t="s">
        <v>52</v>
      </c>
      <c r="K675" t="s">
        <v>71</v>
      </c>
      <c r="L675" t="s">
        <v>6264</v>
      </c>
      <c r="M675">
        <v>2130</v>
      </c>
      <c r="N675" t="s">
        <v>860</v>
      </c>
      <c r="O675" t="s">
        <v>866</v>
      </c>
      <c r="P675" t="s">
        <v>21</v>
      </c>
      <c r="Q675" t="s">
        <v>21</v>
      </c>
      <c r="R675" t="s">
        <v>891</v>
      </c>
      <c r="S675" t="s">
        <v>891</v>
      </c>
      <c r="T675" t="s">
        <v>891</v>
      </c>
      <c r="U675" t="s">
        <v>960</v>
      </c>
      <c r="V675" s="28" t="s">
        <v>6255</v>
      </c>
      <c r="W675" s="28" t="s">
        <v>6256</v>
      </c>
      <c r="X675" s="28" t="s">
        <v>6257</v>
      </c>
      <c r="Y675" s="28" t="s">
        <v>6258</v>
      </c>
      <c r="Z675" s="28" t="s">
        <v>6259</v>
      </c>
      <c r="AA675" s="28" t="s">
        <v>6260</v>
      </c>
      <c r="AB675" s="28" t="s">
        <v>6261</v>
      </c>
      <c r="AC675" s="28" t="s">
        <v>6262</v>
      </c>
    </row>
    <row r="676" spans="1:29">
      <c r="A676">
        <v>1</v>
      </c>
      <c r="B676">
        <v>2122</v>
      </c>
      <c r="C676">
        <v>2137</v>
      </c>
      <c r="D676" t="s">
        <v>23</v>
      </c>
      <c r="E676" s="22">
        <v>44452</v>
      </c>
      <c r="F676" s="23">
        <v>44348</v>
      </c>
      <c r="G676" t="s">
        <v>965</v>
      </c>
      <c r="H676" t="s">
        <v>35</v>
      </c>
      <c r="I676" t="s">
        <v>23</v>
      </c>
      <c r="J676" t="s">
        <v>62</v>
      </c>
      <c r="K676" t="s">
        <v>111</v>
      </c>
      <c r="L676" t="s">
        <v>6383</v>
      </c>
      <c r="M676">
        <v>2130</v>
      </c>
      <c r="N676" t="s">
        <v>864</v>
      </c>
      <c r="O676" t="s">
        <v>866</v>
      </c>
      <c r="P676" t="s">
        <v>21</v>
      </c>
      <c r="Q676" t="s">
        <v>21</v>
      </c>
      <c r="R676" t="s">
        <v>868</v>
      </c>
      <c r="S676" t="s">
        <v>868</v>
      </c>
      <c r="T676" t="s">
        <v>891</v>
      </c>
      <c r="U676" t="s">
        <v>961</v>
      </c>
      <c r="V676" s="28" t="s">
        <v>6384</v>
      </c>
      <c r="W676" s="28" t="s">
        <v>1178</v>
      </c>
      <c r="X676" s="28" t="s">
        <v>6385</v>
      </c>
      <c r="Y676" s="28" t="s">
        <v>6386</v>
      </c>
      <c r="Z676" s="28" t="s">
        <v>6387</v>
      </c>
      <c r="AA676" s="28" t="s">
        <v>6388</v>
      </c>
      <c r="AB676" s="28" t="s">
        <v>6389</v>
      </c>
      <c r="AC676" s="28" t="s">
        <v>6390</v>
      </c>
    </row>
    <row r="677" spans="1:29">
      <c r="A677">
        <v>1</v>
      </c>
      <c r="B677">
        <v>2130</v>
      </c>
      <c r="C677">
        <v>2130</v>
      </c>
      <c r="D677" t="s">
        <v>23</v>
      </c>
      <c r="E677" s="22">
        <v>44408</v>
      </c>
      <c r="F677" s="23">
        <v>44408</v>
      </c>
      <c r="G677" t="s">
        <v>965</v>
      </c>
      <c r="H677" t="s">
        <v>28</v>
      </c>
      <c r="I677" t="s">
        <v>23</v>
      </c>
      <c r="J677" t="s">
        <v>56</v>
      </c>
      <c r="K677" t="s">
        <v>75</v>
      </c>
      <c r="L677" t="s">
        <v>719</v>
      </c>
      <c r="M677">
        <v>2121</v>
      </c>
      <c r="N677" t="s">
        <v>861</v>
      </c>
      <c r="O677" t="s">
        <v>866</v>
      </c>
      <c r="P677" t="s">
        <v>21</v>
      </c>
      <c r="Q677" t="s">
        <v>21</v>
      </c>
      <c r="R677" t="s">
        <v>940</v>
      </c>
      <c r="S677" t="s">
        <v>940</v>
      </c>
      <c r="T677" t="s">
        <v>952</v>
      </c>
      <c r="U677" t="s">
        <v>960</v>
      </c>
      <c r="V677" s="28" t="s">
        <v>1429</v>
      </c>
      <c r="W677" s="28" t="s">
        <v>1430</v>
      </c>
      <c r="X677" s="28" t="s">
        <v>3225</v>
      </c>
      <c r="Y677" s="28" t="s">
        <v>3226</v>
      </c>
      <c r="Z677" s="28" t="s">
        <v>3227</v>
      </c>
      <c r="AA677" s="28" t="s">
        <v>3228</v>
      </c>
      <c r="AB677" s="28" t="s">
        <v>3229</v>
      </c>
      <c r="AC677" s="28" t="s">
        <v>3230</v>
      </c>
    </row>
    <row r="678" spans="1:29">
      <c r="A678">
        <v>2</v>
      </c>
      <c r="B678">
        <v>2133</v>
      </c>
      <c r="C678">
        <v>2133</v>
      </c>
      <c r="D678" t="s">
        <v>23</v>
      </c>
      <c r="E678" s="22">
        <v>44428</v>
      </c>
      <c r="F678" s="23">
        <v>44428</v>
      </c>
      <c r="G678" t="s">
        <v>965</v>
      </c>
      <c r="H678" t="s">
        <v>28</v>
      </c>
      <c r="I678" t="s">
        <v>23</v>
      </c>
      <c r="J678" t="s">
        <v>56</v>
      </c>
      <c r="K678" t="s">
        <v>75</v>
      </c>
      <c r="L678" t="s">
        <v>5969</v>
      </c>
      <c r="M678">
        <v>2123</v>
      </c>
      <c r="N678" t="s">
        <v>861</v>
      </c>
      <c r="O678" t="s">
        <v>866</v>
      </c>
      <c r="P678" t="s">
        <v>21</v>
      </c>
      <c r="Q678" t="s">
        <v>21</v>
      </c>
      <c r="R678" t="s">
        <v>921</v>
      </c>
      <c r="S678" t="s">
        <v>921</v>
      </c>
      <c r="T678" t="s">
        <v>959</v>
      </c>
      <c r="U678" t="s">
        <v>960</v>
      </c>
      <c r="V678" s="28" t="s">
        <v>5970</v>
      </c>
      <c r="W678" s="28" t="s">
        <v>5961</v>
      </c>
      <c r="X678" s="28" t="s">
        <v>5971</v>
      </c>
      <c r="Y678" s="28" t="s">
        <v>5963</v>
      </c>
      <c r="Z678" s="28" t="s">
        <v>5972</v>
      </c>
      <c r="AA678" s="28" t="s">
        <v>5973</v>
      </c>
      <c r="AB678" s="28" t="s">
        <v>5974</v>
      </c>
      <c r="AC678" s="28" t="s">
        <v>5975</v>
      </c>
    </row>
    <row r="679" spans="1:29">
      <c r="A679">
        <v>3</v>
      </c>
      <c r="B679">
        <v>2135</v>
      </c>
      <c r="C679">
        <v>2135</v>
      </c>
      <c r="D679" t="s">
        <v>23</v>
      </c>
      <c r="E679" s="22">
        <v>44443</v>
      </c>
      <c r="F679" s="23">
        <v>44443</v>
      </c>
      <c r="G679" t="s">
        <v>965</v>
      </c>
      <c r="H679" t="s">
        <v>28</v>
      </c>
      <c r="I679" t="s">
        <v>23</v>
      </c>
      <c r="J679" t="s">
        <v>56</v>
      </c>
      <c r="K679" t="s">
        <v>75</v>
      </c>
      <c r="L679" t="s">
        <v>6142</v>
      </c>
      <c r="M679">
        <v>2122</v>
      </c>
      <c r="N679" t="s">
        <v>861</v>
      </c>
      <c r="O679" t="s">
        <v>866</v>
      </c>
      <c r="P679" t="s">
        <v>21</v>
      </c>
      <c r="Q679" t="s">
        <v>21</v>
      </c>
      <c r="R679" t="s">
        <v>881</v>
      </c>
      <c r="S679" t="s">
        <v>881</v>
      </c>
      <c r="T679" t="s">
        <v>949</v>
      </c>
      <c r="U679" t="s">
        <v>960</v>
      </c>
      <c r="V679" s="28" t="s">
        <v>6143</v>
      </c>
      <c r="W679" s="28" t="s">
        <v>1235</v>
      </c>
      <c r="X679" s="28" t="s">
        <v>6144</v>
      </c>
      <c r="Y679" s="28" t="s">
        <v>3051</v>
      </c>
      <c r="Z679" s="28" t="s">
        <v>6145</v>
      </c>
      <c r="AA679" s="28" t="s">
        <v>6146</v>
      </c>
      <c r="AB679" s="28" t="s">
        <v>6147</v>
      </c>
      <c r="AC679" s="28" t="s">
        <v>6148</v>
      </c>
    </row>
    <row r="680" spans="1:29">
      <c r="A680">
        <v>4</v>
      </c>
      <c r="B680">
        <v>2136</v>
      </c>
      <c r="C680">
        <v>2136</v>
      </c>
      <c r="D680" t="s">
        <v>23</v>
      </c>
      <c r="E680" s="22">
        <v>44446</v>
      </c>
      <c r="F680" s="23">
        <v>44446</v>
      </c>
      <c r="G680" t="s">
        <v>965</v>
      </c>
      <c r="H680" t="s">
        <v>28</v>
      </c>
      <c r="I680" t="s">
        <v>23</v>
      </c>
      <c r="J680" t="s">
        <v>56</v>
      </c>
      <c r="K680" t="s">
        <v>75</v>
      </c>
      <c r="L680" t="s">
        <v>6265</v>
      </c>
      <c r="M680">
        <v>2122</v>
      </c>
      <c r="N680" t="s">
        <v>861</v>
      </c>
      <c r="O680" t="s">
        <v>866</v>
      </c>
      <c r="P680" t="s">
        <v>21</v>
      </c>
      <c r="Q680" t="s">
        <v>21</v>
      </c>
      <c r="R680" t="s">
        <v>929</v>
      </c>
      <c r="S680" t="s">
        <v>929</v>
      </c>
      <c r="T680" t="s">
        <v>28</v>
      </c>
      <c r="U680" t="s">
        <v>960</v>
      </c>
      <c r="V680" s="28" t="s">
        <v>6246</v>
      </c>
      <c r="W680" s="28" t="s">
        <v>6247</v>
      </c>
      <c r="X680" s="28" t="s">
        <v>6248</v>
      </c>
      <c r="Y680" s="28" t="s">
        <v>6249</v>
      </c>
      <c r="Z680" s="28" t="s">
        <v>6266</v>
      </c>
      <c r="AA680" s="28" t="s">
        <v>6267</v>
      </c>
      <c r="AB680" s="28" t="s">
        <v>6268</v>
      </c>
      <c r="AC680" s="28" t="s">
        <v>6269</v>
      </c>
    </row>
    <row r="681" spans="1:29">
      <c r="A681">
        <v>1</v>
      </c>
      <c r="B681">
        <v>2118</v>
      </c>
      <c r="C681">
        <v>2118</v>
      </c>
      <c r="D681" t="s">
        <v>21</v>
      </c>
      <c r="E681" s="22">
        <v>44321</v>
      </c>
      <c r="F681" s="23">
        <v>44321</v>
      </c>
      <c r="G681" t="s">
        <v>965</v>
      </c>
      <c r="H681" t="s">
        <v>28</v>
      </c>
      <c r="I681" t="s">
        <v>21</v>
      </c>
      <c r="J681" t="s">
        <v>53</v>
      </c>
      <c r="K681" t="s">
        <v>72</v>
      </c>
      <c r="L681" t="s">
        <v>720</v>
      </c>
      <c r="M681">
        <v>2114</v>
      </c>
      <c r="N681" t="s">
        <v>862</v>
      </c>
      <c r="O681" t="s">
        <v>866</v>
      </c>
      <c r="P681" t="s">
        <v>21</v>
      </c>
      <c r="Q681" t="s">
        <v>21</v>
      </c>
      <c r="R681" t="s">
        <v>915</v>
      </c>
      <c r="S681" t="s">
        <v>915</v>
      </c>
      <c r="T681" t="s">
        <v>950</v>
      </c>
      <c r="U681" t="s">
        <v>960</v>
      </c>
      <c r="V681" s="28" t="s">
        <v>1431</v>
      </c>
      <c r="W681" s="28" t="s">
        <v>1169</v>
      </c>
      <c r="X681" s="28" t="s">
        <v>3231</v>
      </c>
      <c r="Y681" s="28" t="s">
        <v>3018</v>
      </c>
      <c r="Z681" s="28" t="s">
        <v>3232</v>
      </c>
      <c r="AA681" s="28" t="s">
        <v>3233</v>
      </c>
      <c r="AB681" s="28" t="s">
        <v>3234</v>
      </c>
      <c r="AC681" s="28" t="s">
        <v>2076</v>
      </c>
    </row>
    <row r="682" spans="1:29">
      <c r="A682">
        <v>2</v>
      </c>
      <c r="B682">
        <v>2118</v>
      </c>
      <c r="C682">
        <v>2118</v>
      </c>
      <c r="D682" t="s">
        <v>21</v>
      </c>
      <c r="E682" s="22">
        <v>44323</v>
      </c>
      <c r="F682" s="23">
        <v>44323</v>
      </c>
      <c r="G682" t="s">
        <v>965</v>
      </c>
      <c r="H682" t="s">
        <v>28</v>
      </c>
      <c r="I682" t="s">
        <v>21</v>
      </c>
      <c r="J682" t="s">
        <v>53</v>
      </c>
      <c r="K682" t="s">
        <v>72</v>
      </c>
      <c r="L682" t="s">
        <v>721</v>
      </c>
      <c r="M682">
        <v>2114</v>
      </c>
      <c r="N682" t="s">
        <v>862</v>
      </c>
      <c r="O682" t="s">
        <v>866</v>
      </c>
      <c r="P682" t="s">
        <v>21</v>
      </c>
      <c r="Q682" t="s">
        <v>21</v>
      </c>
      <c r="R682" t="s">
        <v>911</v>
      </c>
      <c r="S682" t="s">
        <v>911</v>
      </c>
      <c r="T682" t="s">
        <v>28</v>
      </c>
      <c r="U682" t="s">
        <v>960</v>
      </c>
      <c r="V682" s="28" t="s">
        <v>1164</v>
      </c>
      <c r="W682" s="28" t="s">
        <v>1165</v>
      </c>
      <c r="X682" s="28" t="s">
        <v>3235</v>
      </c>
      <c r="Y682" s="28" t="s">
        <v>3033</v>
      </c>
      <c r="Z682" s="28" t="s">
        <v>3236</v>
      </c>
      <c r="AA682" s="28" t="s">
        <v>3237</v>
      </c>
      <c r="AB682" s="28" t="s">
        <v>3238</v>
      </c>
      <c r="AC682" s="28" t="s">
        <v>3239</v>
      </c>
    </row>
    <row r="683" spans="1:29">
      <c r="A683">
        <v>3</v>
      </c>
      <c r="B683">
        <v>2118</v>
      </c>
      <c r="C683">
        <v>2118</v>
      </c>
      <c r="D683" t="s">
        <v>21</v>
      </c>
      <c r="E683" s="22">
        <v>44324</v>
      </c>
      <c r="F683" s="23">
        <v>44324</v>
      </c>
      <c r="G683" t="s">
        <v>965</v>
      </c>
      <c r="H683" t="s">
        <v>28</v>
      </c>
      <c r="I683" t="s">
        <v>21</v>
      </c>
      <c r="J683" t="s">
        <v>53</v>
      </c>
      <c r="K683" t="s">
        <v>72</v>
      </c>
      <c r="L683" t="s">
        <v>722</v>
      </c>
      <c r="M683">
        <v>2115</v>
      </c>
      <c r="N683" t="s">
        <v>862</v>
      </c>
      <c r="O683" t="s">
        <v>866</v>
      </c>
      <c r="P683" t="s">
        <v>21</v>
      </c>
      <c r="Q683" t="s">
        <v>21</v>
      </c>
      <c r="R683" t="s">
        <v>921</v>
      </c>
      <c r="S683" t="s">
        <v>921</v>
      </c>
      <c r="T683" t="s">
        <v>959</v>
      </c>
      <c r="U683" t="s">
        <v>960</v>
      </c>
      <c r="V683" s="28" t="s">
        <v>1432</v>
      </c>
      <c r="W683" s="28" t="s">
        <v>1433</v>
      </c>
      <c r="X683" s="28" t="s">
        <v>3240</v>
      </c>
      <c r="Y683" s="28" t="s">
        <v>3241</v>
      </c>
      <c r="Z683" s="28" t="s">
        <v>3242</v>
      </c>
      <c r="AA683" s="28" t="s">
        <v>3243</v>
      </c>
      <c r="AB683" s="28" t="s">
        <v>3244</v>
      </c>
      <c r="AC683" s="28" t="s">
        <v>3245</v>
      </c>
    </row>
    <row r="684" spans="1:29">
      <c r="A684">
        <v>4</v>
      </c>
      <c r="B684">
        <v>2121</v>
      </c>
      <c r="C684">
        <v>2121</v>
      </c>
      <c r="D684" t="s">
        <v>21</v>
      </c>
      <c r="E684" s="22">
        <v>44342</v>
      </c>
      <c r="F684" s="23">
        <v>44342</v>
      </c>
      <c r="G684" t="s">
        <v>965</v>
      </c>
      <c r="H684" t="s">
        <v>28</v>
      </c>
      <c r="I684" t="s">
        <v>21</v>
      </c>
      <c r="J684" t="s">
        <v>53</v>
      </c>
      <c r="K684" t="s">
        <v>72</v>
      </c>
      <c r="L684" t="s">
        <v>723</v>
      </c>
      <c r="M684">
        <v>2116</v>
      </c>
      <c r="N684" t="s">
        <v>862</v>
      </c>
      <c r="O684" t="s">
        <v>866</v>
      </c>
      <c r="P684" t="s">
        <v>21</v>
      </c>
      <c r="Q684" t="s">
        <v>21</v>
      </c>
      <c r="R684" t="s">
        <v>924</v>
      </c>
      <c r="S684" t="s">
        <v>931</v>
      </c>
      <c r="T684" t="s">
        <v>954</v>
      </c>
      <c r="U684" t="s">
        <v>960</v>
      </c>
      <c r="V684" s="28" t="s">
        <v>1174</v>
      </c>
      <c r="W684" s="28" t="s">
        <v>1175</v>
      </c>
      <c r="X684" s="28" t="s">
        <v>3246</v>
      </c>
      <c r="Y684" s="28" t="s">
        <v>3247</v>
      </c>
      <c r="Z684" s="28" t="s">
        <v>3248</v>
      </c>
      <c r="AA684" s="28" t="s">
        <v>3249</v>
      </c>
      <c r="AB684" s="28" t="s">
        <v>3250</v>
      </c>
      <c r="AC684" s="28" t="s">
        <v>3251</v>
      </c>
    </row>
    <row r="685" spans="1:29">
      <c r="A685">
        <v>5</v>
      </c>
      <c r="B685">
        <v>2123</v>
      </c>
      <c r="C685">
        <v>2123</v>
      </c>
      <c r="D685" t="s">
        <v>21</v>
      </c>
      <c r="E685" s="22">
        <v>44359</v>
      </c>
      <c r="F685" s="23">
        <v>44359</v>
      </c>
      <c r="G685" t="s">
        <v>965</v>
      </c>
      <c r="H685" t="s">
        <v>28</v>
      </c>
      <c r="I685" t="s">
        <v>21</v>
      </c>
      <c r="J685" t="s">
        <v>53</v>
      </c>
      <c r="K685" t="s">
        <v>72</v>
      </c>
      <c r="L685" t="s">
        <v>724</v>
      </c>
      <c r="M685">
        <v>2119</v>
      </c>
      <c r="N685" t="s">
        <v>862</v>
      </c>
      <c r="O685" t="s">
        <v>866</v>
      </c>
      <c r="P685" t="s">
        <v>21</v>
      </c>
      <c r="Q685" t="s">
        <v>21</v>
      </c>
      <c r="R685" t="s">
        <v>868</v>
      </c>
      <c r="S685" t="s">
        <v>868</v>
      </c>
      <c r="T685" t="s">
        <v>891</v>
      </c>
      <c r="U685" t="s">
        <v>960</v>
      </c>
      <c r="V685" s="28" t="s">
        <v>1065</v>
      </c>
      <c r="W685" s="28" t="s">
        <v>1066</v>
      </c>
      <c r="X685" s="28" t="s">
        <v>3252</v>
      </c>
      <c r="Y685" s="28" t="s">
        <v>3193</v>
      </c>
      <c r="Z685" s="28" t="s">
        <v>3253</v>
      </c>
      <c r="AA685" s="28" t="s">
        <v>3254</v>
      </c>
      <c r="AB685" s="28" t="s">
        <v>3255</v>
      </c>
      <c r="AC685" s="28" t="s">
        <v>3256</v>
      </c>
    </row>
    <row r="686" spans="1:29">
      <c r="A686">
        <v>6</v>
      </c>
      <c r="B686">
        <v>2124</v>
      </c>
      <c r="C686">
        <v>2124</v>
      </c>
      <c r="D686" t="s">
        <v>21</v>
      </c>
      <c r="E686" s="22">
        <v>44362</v>
      </c>
      <c r="F686" s="23">
        <v>44362</v>
      </c>
      <c r="G686" t="s">
        <v>965</v>
      </c>
      <c r="H686" t="s">
        <v>28</v>
      </c>
      <c r="I686" t="s">
        <v>21</v>
      </c>
      <c r="J686" t="s">
        <v>53</v>
      </c>
      <c r="K686" t="s">
        <v>72</v>
      </c>
      <c r="L686" t="s">
        <v>725</v>
      </c>
      <c r="M686">
        <v>2117</v>
      </c>
      <c r="N686" t="s">
        <v>862</v>
      </c>
      <c r="O686" t="s">
        <v>866</v>
      </c>
      <c r="P686" t="s">
        <v>21</v>
      </c>
      <c r="Q686" t="s">
        <v>21</v>
      </c>
      <c r="R686" t="s">
        <v>936</v>
      </c>
      <c r="S686" t="s">
        <v>944</v>
      </c>
      <c r="T686" t="s">
        <v>954</v>
      </c>
      <c r="U686" t="s">
        <v>960</v>
      </c>
      <c r="V686" s="28" t="s">
        <v>1434</v>
      </c>
      <c r="W686" s="28" t="s">
        <v>1396</v>
      </c>
      <c r="X686" s="28" t="s">
        <v>3257</v>
      </c>
      <c r="Y686" s="28" t="s">
        <v>3045</v>
      </c>
      <c r="Z686" s="28" t="s">
        <v>3258</v>
      </c>
      <c r="AA686" s="28" t="s">
        <v>3259</v>
      </c>
      <c r="AB686" s="28" t="s">
        <v>3260</v>
      </c>
      <c r="AC686" s="28" t="s">
        <v>3261</v>
      </c>
    </row>
    <row r="687" spans="1:29">
      <c r="A687">
        <v>7</v>
      </c>
      <c r="B687">
        <v>2124</v>
      </c>
      <c r="C687">
        <v>2124</v>
      </c>
      <c r="D687" t="s">
        <v>21</v>
      </c>
      <c r="E687" s="22">
        <v>44362</v>
      </c>
      <c r="F687" s="23">
        <v>44362</v>
      </c>
      <c r="G687" t="s">
        <v>965</v>
      </c>
      <c r="H687" t="s">
        <v>28</v>
      </c>
      <c r="I687" t="s">
        <v>21</v>
      </c>
      <c r="J687" t="s">
        <v>53</v>
      </c>
      <c r="K687" t="s">
        <v>72</v>
      </c>
      <c r="L687" t="s">
        <v>726</v>
      </c>
      <c r="M687">
        <v>2117</v>
      </c>
      <c r="N687" t="s">
        <v>862</v>
      </c>
      <c r="O687" t="s">
        <v>866</v>
      </c>
      <c r="P687" t="s">
        <v>21</v>
      </c>
      <c r="Q687" t="s">
        <v>21</v>
      </c>
      <c r="R687" t="s">
        <v>922</v>
      </c>
      <c r="S687" t="s">
        <v>922</v>
      </c>
      <c r="T687" t="s">
        <v>28</v>
      </c>
      <c r="U687" t="s">
        <v>960</v>
      </c>
      <c r="V687" s="28" t="s">
        <v>1435</v>
      </c>
      <c r="W687" s="28" t="s">
        <v>1068</v>
      </c>
      <c r="X687" s="28" t="s">
        <v>3262</v>
      </c>
      <c r="Y687" s="28" t="s">
        <v>2971</v>
      </c>
      <c r="Z687" s="28" t="s">
        <v>3263</v>
      </c>
      <c r="AA687" s="28" t="s">
        <v>3264</v>
      </c>
      <c r="AB687" s="28" t="s">
        <v>3265</v>
      </c>
      <c r="AC687" s="28" t="s">
        <v>3266</v>
      </c>
    </row>
    <row r="688" spans="1:29">
      <c r="A688">
        <v>8</v>
      </c>
      <c r="B688">
        <v>2128</v>
      </c>
      <c r="C688">
        <v>2128</v>
      </c>
      <c r="D688" t="s">
        <v>21</v>
      </c>
      <c r="E688" s="22">
        <v>44392</v>
      </c>
      <c r="F688" s="23">
        <v>44392</v>
      </c>
      <c r="G688" t="s">
        <v>965</v>
      </c>
      <c r="H688" t="s">
        <v>28</v>
      </c>
      <c r="I688" t="s">
        <v>21</v>
      </c>
      <c r="J688" t="s">
        <v>53</v>
      </c>
      <c r="K688" t="s">
        <v>72</v>
      </c>
      <c r="L688" t="s">
        <v>727</v>
      </c>
      <c r="M688">
        <v>2120</v>
      </c>
      <c r="N688" t="s">
        <v>862</v>
      </c>
      <c r="O688" t="s">
        <v>866</v>
      </c>
      <c r="P688" t="s">
        <v>21</v>
      </c>
      <c r="Q688" t="s">
        <v>21</v>
      </c>
      <c r="R688" t="s">
        <v>922</v>
      </c>
      <c r="S688" t="s">
        <v>922</v>
      </c>
      <c r="T688" t="s">
        <v>28</v>
      </c>
      <c r="U688" t="s">
        <v>960</v>
      </c>
      <c r="V688" s="28" t="s">
        <v>1217</v>
      </c>
      <c r="W688" s="28" t="s">
        <v>1213</v>
      </c>
      <c r="X688" s="28" t="s">
        <v>3267</v>
      </c>
      <c r="Y688" s="28" t="s">
        <v>3198</v>
      </c>
      <c r="Z688" s="28" t="s">
        <v>3268</v>
      </c>
      <c r="AA688" s="28" t="s">
        <v>3269</v>
      </c>
      <c r="AB688" s="28" t="s">
        <v>3270</v>
      </c>
      <c r="AC688" s="28" t="s">
        <v>2490</v>
      </c>
    </row>
    <row r="689" spans="1:29">
      <c r="A689">
        <v>9</v>
      </c>
      <c r="B689">
        <v>2130</v>
      </c>
      <c r="C689">
        <v>2130</v>
      </c>
      <c r="D689" t="s">
        <v>21</v>
      </c>
      <c r="E689" s="22">
        <v>44404</v>
      </c>
      <c r="F689" s="23">
        <v>44404</v>
      </c>
      <c r="G689" t="s">
        <v>965</v>
      </c>
      <c r="H689" t="s">
        <v>28</v>
      </c>
      <c r="I689" t="s">
        <v>21</v>
      </c>
      <c r="J689" t="s">
        <v>53</v>
      </c>
      <c r="K689" t="s">
        <v>72</v>
      </c>
      <c r="L689" t="s">
        <v>728</v>
      </c>
      <c r="M689">
        <v>2121</v>
      </c>
      <c r="N689" t="s">
        <v>862</v>
      </c>
      <c r="O689" t="s">
        <v>866</v>
      </c>
      <c r="P689" t="s">
        <v>21</v>
      </c>
      <c r="Q689" t="s">
        <v>21</v>
      </c>
      <c r="R689" t="s">
        <v>922</v>
      </c>
      <c r="S689" t="s">
        <v>922</v>
      </c>
      <c r="T689" t="s">
        <v>28</v>
      </c>
      <c r="U689" t="s">
        <v>960</v>
      </c>
      <c r="V689" s="28" t="s">
        <v>1426</v>
      </c>
      <c r="W689" s="28" t="s">
        <v>1213</v>
      </c>
      <c r="X689" s="28" t="s">
        <v>3203</v>
      </c>
      <c r="Y689" s="28" t="s">
        <v>3198</v>
      </c>
      <c r="Z689" s="28" t="s">
        <v>3271</v>
      </c>
      <c r="AA689" s="28" t="s">
        <v>3269</v>
      </c>
      <c r="AB689" s="28" t="s">
        <v>3272</v>
      </c>
      <c r="AC689" s="28" t="s">
        <v>2490</v>
      </c>
    </row>
    <row r="690" spans="1:29">
      <c r="A690">
        <v>10</v>
      </c>
      <c r="B690">
        <v>2131</v>
      </c>
      <c r="C690">
        <v>2131</v>
      </c>
      <c r="D690" t="s">
        <v>21</v>
      </c>
      <c r="E690" s="22">
        <v>44416</v>
      </c>
      <c r="F690" s="23">
        <v>44416</v>
      </c>
      <c r="G690" t="s">
        <v>965</v>
      </c>
      <c r="H690" t="s">
        <v>28</v>
      </c>
      <c r="I690" t="s">
        <v>21</v>
      </c>
      <c r="J690" t="s">
        <v>53</v>
      </c>
      <c r="K690" t="s">
        <v>72</v>
      </c>
      <c r="L690" t="s">
        <v>729</v>
      </c>
      <c r="M690">
        <v>2123</v>
      </c>
      <c r="N690" t="s">
        <v>862</v>
      </c>
      <c r="O690" t="s">
        <v>866</v>
      </c>
      <c r="P690" t="s">
        <v>21</v>
      </c>
      <c r="Q690" t="s">
        <v>21</v>
      </c>
      <c r="R690" t="s">
        <v>915</v>
      </c>
      <c r="S690" t="s">
        <v>915</v>
      </c>
      <c r="T690" t="s">
        <v>950</v>
      </c>
      <c r="U690" t="s">
        <v>960</v>
      </c>
      <c r="V690" s="28" t="s">
        <v>1436</v>
      </c>
      <c r="W690" s="28" t="s">
        <v>1241</v>
      </c>
      <c r="X690" s="28" t="s">
        <v>3273</v>
      </c>
      <c r="Y690" s="28" t="s">
        <v>3274</v>
      </c>
      <c r="Z690" s="28" t="s">
        <v>3275</v>
      </c>
      <c r="AA690" s="28" t="s">
        <v>3276</v>
      </c>
      <c r="AB690" s="28" t="s">
        <v>3277</v>
      </c>
      <c r="AC690" s="28" t="s">
        <v>2356</v>
      </c>
    </row>
    <row r="691" spans="1:29">
      <c r="A691">
        <v>11</v>
      </c>
      <c r="B691">
        <v>2131</v>
      </c>
      <c r="C691">
        <v>2132</v>
      </c>
      <c r="D691" t="s">
        <v>21</v>
      </c>
      <c r="E691" s="22">
        <v>44417</v>
      </c>
      <c r="F691" s="23">
        <v>44416</v>
      </c>
      <c r="G691" t="s">
        <v>965</v>
      </c>
      <c r="H691" t="s">
        <v>28</v>
      </c>
      <c r="I691" t="s">
        <v>21</v>
      </c>
      <c r="J691" t="s">
        <v>53</v>
      </c>
      <c r="K691" t="s">
        <v>72</v>
      </c>
      <c r="L691" t="s">
        <v>730</v>
      </c>
      <c r="M691">
        <v>2123</v>
      </c>
      <c r="N691" t="s">
        <v>862</v>
      </c>
      <c r="O691" t="s">
        <v>866</v>
      </c>
      <c r="P691" t="s">
        <v>21</v>
      </c>
      <c r="Q691" t="s">
        <v>21</v>
      </c>
      <c r="R691" t="s">
        <v>922</v>
      </c>
      <c r="S691" t="s">
        <v>922</v>
      </c>
      <c r="T691" t="s">
        <v>28</v>
      </c>
      <c r="U691" t="s">
        <v>960</v>
      </c>
      <c r="V691" s="28" t="s">
        <v>1384</v>
      </c>
      <c r="W691" s="28" t="s">
        <v>1231</v>
      </c>
      <c r="X691" s="28" t="s">
        <v>2987</v>
      </c>
      <c r="Y691" s="28" t="s">
        <v>2988</v>
      </c>
      <c r="Z691" s="28" t="s">
        <v>3278</v>
      </c>
      <c r="AA691" s="28" t="s">
        <v>3279</v>
      </c>
      <c r="AB691" s="28" t="s">
        <v>3280</v>
      </c>
      <c r="AC691" s="28" t="s">
        <v>2322</v>
      </c>
    </row>
    <row r="692" spans="1:29">
      <c r="A692">
        <v>12</v>
      </c>
      <c r="B692">
        <v>2131</v>
      </c>
      <c r="C692">
        <v>2132</v>
      </c>
      <c r="D692" t="s">
        <v>21</v>
      </c>
      <c r="E692" s="22">
        <v>44417</v>
      </c>
      <c r="F692" s="23">
        <v>44416</v>
      </c>
      <c r="G692" t="s">
        <v>965</v>
      </c>
      <c r="H692" t="s">
        <v>28</v>
      </c>
      <c r="I692" t="s">
        <v>21</v>
      </c>
      <c r="J692" t="s">
        <v>53</v>
      </c>
      <c r="K692" t="s">
        <v>72</v>
      </c>
      <c r="L692" t="s">
        <v>731</v>
      </c>
      <c r="M692">
        <v>2122</v>
      </c>
      <c r="N692" t="s">
        <v>862</v>
      </c>
      <c r="O692" t="s">
        <v>866</v>
      </c>
      <c r="P692" t="s">
        <v>21</v>
      </c>
      <c r="Q692" t="s">
        <v>21</v>
      </c>
      <c r="R692" t="s">
        <v>891</v>
      </c>
      <c r="S692" t="s">
        <v>891</v>
      </c>
      <c r="T692" t="s">
        <v>891</v>
      </c>
      <c r="U692" t="s">
        <v>960</v>
      </c>
      <c r="V692" s="28" t="s">
        <v>1437</v>
      </c>
      <c r="W692" s="28" t="s">
        <v>1080</v>
      </c>
      <c r="X692" s="28" t="s">
        <v>3281</v>
      </c>
      <c r="Y692" s="28" t="s">
        <v>3282</v>
      </c>
      <c r="Z692" s="28" t="s">
        <v>3283</v>
      </c>
      <c r="AA692" s="28" t="s">
        <v>3284</v>
      </c>
      <c r="AB692" s="28" t="s">
        <v>3285</v>
      </c>
      <c r="AC692" s="28" t="s">
        <v>3286</v>
      </c>
    </row>
    <row r="693" spans="1:29">
      <c r="A693">
        <v>13</v>
      </c>
      <c r="B693">
        <v>2134</v>
      </c>
      <c r="C693">
        <v>2134</v>
      </c>
      <c r="D693" t="s">
        <v>21</v>
      </c>
      <c r="E693" s="22">
        <v>44435</v>
      </c>
      <c r="F693" s="23">
        <v>44435</v>
      </c>
      <c r="G693" t="s">
        <v>965</v>
      </c>
      <c r="H693" t="s">
        <v>28</v>
      </c>
      <c r="I693" t="s">
        <v>21</v>
      </c>
      <c r="J693" t="s">
        <v>53</v>
      </c>
      <c r="K693" t="s">
        <v>72</v>
      </c>
      <c r="L693" t="s">
        <v>6149</v>
      </c>
      <c r="M693">
        <v>2124</v>
      </c>
      <c r="N693" t="s">
        <v>862</v>
      </c>
      <c r="O693" t="s">
        <v>866</v>
      </c>
      <c r="P693" t="s">
        <v>21</v>
      </c>
      <c r="Q693" t="s">
        <v>21</v>
      </c>
      <c r="R693" t="s">
        <v>915</v>
      </c>
      <c r="S693" t="s">
        <v>915</v>
      </c>
      <c r="T693" t="s">
        <v>950</v>
      </c>
      <c r="U693" t="s">
        <v>960</v>
      </c>
      <c r="V693" s="28" t="s">
        <v>5929</v>
      </c>
      <c r="W693" s="28" t="s">
        <v>1241</v>
      </c>
      <c r="X693" s="28" t="s">
        <v>5930</v>
      </c>
      <c r="Y693" s="28" t="s">
        <v>3274</v>
      </c>
      <c r="Z693" s="28" t="s">
        <v>6150</v>
      </c>
      <c r="AA693" s="28" t="s">
        <v>3276</v>
      </c>
      <c r="AB693" s="28" t="s">
        <v>6151</v>
      </c>
      <c r="AC693" s="28" t="s">
        <v>2356</v>
      </c>
    </row>
    <row r="694" spans="1:29">
      <c r="A694">
        <v>14</v>
      </c>
      <c r="B694">
        <v>2137</v>
      </c>
      <c r="C694">
        <v>2137</v>
      </c>
      <c r="D694" t="s">
        <v>21</v>
      </c>
      <c r="E694" s="22">
        <v>44453</v>
      </c>
      <c r="F694" s="23">
        <v>44453</v>
      </c>
      <c r="G694" t="s">
        <v>965</v>
      </c>
      <c r="H694" t="s">
        <v>28</v>
      </c>
      <c r="I694" t="s">
        <v>21</v>
      </c>
      <c r="J694" t="s">
        <v>53</v>
      </c>
      <c r="K694" t="s">
        <v>72</v>
      </c>
      <c r="L694" t="s">
        <v>6391</v>
      </c>
      <c r="M694">
        <v>2128</v>
      </c>
      <c r="N694" t="s">
        <v>862</v>
      </c>
      <c r="O694" t="s">
        <v>866</v>
      </c>
      <c r="P694" t="s">
        <v>21</v>
      </c>
      <c r="Q694" t="s">
        <v>21</v>
      </c>
      <c r="R694" t="s">
        <v>922</v>
      </c>
      <c r="S694" t="s">
        <v>922</v>
      </c>
      <c r="T694" s="39" t="s">
        <v>28</v>
      </c>
      <c r="U694" t="s">
        <v>960</v>
      </c>
      <c r="V694" s="28" t="s">
        <v>6356</v>
      </c>
      <c r="W694" s="28" t="s">
        <v>6247</v>
      </c>
      <c r="X694" s="28" t="s">
        <v>6392</v>
      </c>
      <c r="Y694" s="28" t="s">
        <v>6249</v>
      </c>
      <c r="Z694" s="28" t="s">
        <v>6393</v>
      </c>
      <c r="AA694" s="28" t="s">
        <v>6394</v>
      </c>
      <c r="AB694" s="28" t="s">
        <v>6395</v>
      </c>
      <c r="AC694" s="28" t="s">
        <v>6396</v>
      </c>
    </row>
    <row r="695" spans="1:29">
      <c r="A695">
        <v>15</v>
      </c>
      <c r="B695">
        <v>2137</v>
      </c>
      <c r="C695">
        <v>2137</v>
      </c>
      <c r="D695" t="s">
        <v>21</v>
      </c>
      <c r="E695" s="22">
        <v>44453</v>
      </c>
      <c r="F695" s="23">
        <v>44453</v>
      </c>
      <c r="G695" t="s">
        <v>965</v>
      </c>
      <c r="H695" t="s">
        <v>28</v>
      </c>
      <c r="I695" t="s">
        <v>21</v>
      </c>
      <c r="J695" t="s">
        <v>53</v>
      </c>
      <c r="K695" t="s">
        <v>72</v>
      </c>
      <c r="L695" t="s">
        <v>6397</v>
      </c>
      <c r="M695">
        <v>2128</v>
      </c>
      <c r="N695" t="s">
        <v>862</v>
      </c>
      <c r="O695" t="s">
        <v>866</v>
      </c>
      <c r="P695" t="s">
        <v>21</v>
      </c>
      <c r="Q695" t="s">
        <v>21</v>
      </c>
      <c r="R695" t="s">
        <v>922</v>
      </c>
      <c r="S695" t="s">
        <v>922</v>
      </c>
      <c r="T695" t="s">
        <v>28</v>
      </c>
      <c r="U695" t="s">
        <v>960</v>
      </c>
      <c r="V695" s="28" t="s">
        <v>6356</v>
      </c>
      <c r="W695" s="28" t="s">
        <v>6247</v>
      </c>
      <c r="X695" s="28" t="s">
        <v>6392</v>
      </c>
      <c r="Y695" s="28" t="s">
        <v>6249</v>
      </c>
      <c r="Z695" s="28" t="s">
        <v>6393</v>
      </c>
      <c r="AA695" s="28" t="s">
        <v>6394</v>
      </c>
      <c r="AB695" s="28" t="s">
        <v>6395</v>
      </c>
      <c r="AC695" s="28" t="s">
        <v>6396</v>
      </c>
    </row>
    <row r="696" spans="1:29">
      <c r="A696">
        <v>16</v>
      </c>
      <c r="B696">
        <v>2137</v>
      </c>
      <c r="C696">
        <v>2137</v>
      </c>
      <c r="D696" t="s">
        <v>21</v>
      </c>
      <c r="E696" s="22">
        <v>44454</v>
      </c>
      <c r="F696" s="23">
        <v>44454</v>
      </c>
      <c r="G696" t="s">
        <v>965</v>
      </c>
      <c r="H696" t="s">
        <v>28</v>
      </c>
      <c r="I696" t="s">
        <v>21</v>
      </c>
      <c r="J696" t="s">
        <v>53</v>
      </c>
      <c r="K696" t="s">
        <v>72</v>
      </c>
      <c r="L696" t="s">
        <v>6398</v>
      </c>
      <c r="M696">
        <v>2128</v>
      </c>
      <c r="N696" t="s">
        <v>862</v>
      </c>
      <c r="O696" t="s">
        <v>866</v>
      </c>
      <c r="P696" t="s">
        <v>21</v>
      </c>
      <c r="Q696" t="s">
        <v>21</v>
      </c>
      <c r="R696" t="s">
        <v>922</v>
      </c>
      <c r="S696" t="s">
        <v>922</v>
      </c>
      <c r="T696" t="s">
        <v>28</v>
      </c>
      <c r="U696" t="s">
        <v>960</v>
      </c>
      <c r="V696" s="28" t="s">
        <v>6356</v>
      </c>
      <c r="W696" s="28" t="s">
        <v>6247</v>
      </c>
      <c r="X696" s="28" t="s">
        <v>6392</v>
      </c>
      <c r="Y696" s="28" t="s">
        <v>6249</v>
      </c>
      <c r="Z696" s="28" t="s">
        <v>6393</v>
      </c>
      <c r="AA696" s="28" t="s">
        <v>6394</v>
      </c>
      <c r="AB696" s="28" t="s">
        <v>6395</v>
      </c>
      <c r="AC696" s="28" t="s">
        <v>6396</v>
      </c>
    </row>
    <row r="697" spans="1:29">
      <c r="A697">
        <v>17</v>
      </c>
      <c r="B697">
        <v>2137</v>
      </c>
      <c r="C697">
        <v>2137</v>
      </c>
      <c r="D697" t="s">
        <v>21</v>
      </c>
      <c r="E697" s="22">
        <v>44455</v>
      </c>
      <c r="F697" s="23">
        <v>44454</v>
      </c>
      <c r="G697" t="s">
        <v>965</v>
      </c>
      <c r="H697" t="s">
        <v>28</v>
      </c>
      <c r="I697" t="s">
        <v>21</v>
      </c>
      <c r="J697" t="s">
        <v>53</v>
      </c>
      <c r="K697" t="s">
        <v>72</v>
      </c>
      <c r="L697" t="s">
        <v>6399</v>
      </c>
      <c r="M697">
        <v>2128</v>
      </c>
      <c r="N697" t="s">
        <v>862</v>
      </c>
      <c r="O697" t="s">
        <v>866</v>
      </c>
      <c r="P697" t="s">
        <v>21</v>
      </c>
      <c r="Q697" t="s">
        <v>21</v>
      </c>
      <c r="R697" t="s">
        <v>942</v>
      </c>
      <c r="S697" t="s">
        <v>942</v>
      </c>
      <c r="T697" t="s">
        <v>28</v>
      </c>
      <c r="U697" t="s">
        <v>960</v>
      </c>
      <c r="V697" s="28" t="s">
        <v>6356</v>
      </c>
      <c r="W697" s="28" t="s">
        <v>6247</v>
      </c>
      <c r="X697" s="28" t="s">
        <v>6392</v>
      </c>
      <c r="Y697" s="28" t="s">
        <v>6249</v>
      </c>
      <c r="Z697" s="28" t="s">
        <v>6393</v>
      </c>
      <c r="AA697" s="28" t="s">
        <v>6394</v>
      </c>
      <c r="AB697" s="28" t="s">
        <v>6395</v>
      </c>
      <c r="AC697" s="28" t="s">
        <v>6396</v>
      </c>
    </row>
    <row r="698" spans="1:29">
      <c r="A698">
        <v>18</v>
      </c>
      <c r="B698">
        <v>2137</v>
      </c>
      <c r="C698">
        <v>2137</v>
      </c>
      <c r="D698" t="s">
        <v>21</v>
      </c>
      <c r="E698" s="22">
        <v>44455</v>
      </c>
      <c r="F698" s="23">
        <v>44454</v>
      </c>
      <c r="G698" t="s">
        <v>965</v>
      </c>
      <c r="H698" t="s">
        <v>28</v>
      </c>
      <c r="I698" t="s">
        <v>21</v>
      </c>
      <c r="J698" t="s">
        <v>53</v>
      </c>
      <c r="K698" t="s">
        <v>72</v>
      </c>
      <c r="L698" t="s">
        <v>6400</v>
      </c>
      <c r="M698">
        <v>2128</v>
      </c>
      <c r="N698" t="s">
        <v>862</v>
      </c>
      <c r="O698" t="s">
        <v>866</v>
      </c>
      <c r="P698" t="s">
        <v>21</v>
      </c>
      <c r="Q698" t="s">
        <v>21</v>
      </c>
      <c r="R698" t="s">
        <v>922</v>
      </c>
      <c r="S698" t="s">
        <v>922</v>
      </c>
      <c r="T698" t="s">
        <v>28</v>
      </c>
      <c r="U698" t="s">
        <v>960</v>
      </c>
      <c r="V698" s="28" t="s">
        <v>6356</v>
      </c>
      <c r="W698" s="28" t="s">
        <v>6247</v>
      </c>
      <c r="X698" s="28" t="s">
        <v>6392</v>
      </c>
      <c r="Y698" s="28" t="s">
        <v>6249</v>
      </c>
      <c r="Z698" s="28" t="s">
        <v>6393</v>
      </c>
      <c r="AA698" s="28" t="s">
        <v>6394</v>
      </c>
      <c r="AB698" s="28" t="s">
        <v>6395</v>
      </c>
      <c r="AC698" s="28" t="s">
        <v>6396</v>
      </c>
    </row>
    <row r="699" spans="1:29">
      <c r="A699">
        <v>19</v>
      </c>
      <c r="B699">
        <v>2137</v>
      </c>
      <c r="C699">
        <v>2137</v>
      </c>
      <c r="D699" t="s">
        <v>21</v>
      </c>
      <c r="E699" s="22">
        <v>44456</v>
      </c>
      <c r="F699" s="23">
        <v>44454</v>
      </c>
      <c r="G699" t="s">
        <v>965</v>
      </c>
      <c r="H699" t="s">
        <v>28</v>
      </c>
      <c r="I699" t="s">
        <v>21</v>
      </c>
      <c r="J699" t="s">
        <v>53</v>
      </c>
      <c r="K699" t="s">
        <v>72</v>
      </c>
      <c r="L699" t="s">
        <v>6401</v>
      </c>
      <c r="M699">
        <v>2130</v>
      </c>
      <c r="N699" t="s">
        <v>862</v>
      </c>
      <c r="O699" t="s">
        <v>866</v>
      </c>
      <c r="P699" t="s">
        <v>21</v>
      </c>
      <c r="Q699" t="s">
        <v>21</v>
      </c>
      <c r="R699" t="s">
        <v>6402</v>
      </c>
      <c r="S699" t="s">
        <v>6402</v>
      </c>
      <c r="T699" s="38" t="s">
        <v>955</v>
      </c>
      <c r="U699" t="s">
        <v>960</v>
      </c>
      <c r="V699" s="28" t="s">
        <v>6368</v>
      </c>
      <c r="W699" s="28" t="s">
        <v>6369</v>
      </c>
      <c r="X699" s="28" t="s">
        <v>6370</v>
      </c>
      <c r="Y699" s="28" t="s">
        <v>6371</v>
      </c>
      <c r="Z699" s="28" t="s">
        <v>6403</v>
      </c>
      <c r="AA699" s="28" t="s">
        <v>6404</v>
      </c>
      <c r="AB699" s="28" t="s">
        <v>6405</v>
      </c>
      <c r="AC699" s="28" t="s">
        <v>6406</v>
      </c>
    </row>
    <row r="700" spans="1:29">
      <c r="A700">
        <v>20</v>
      </c>
      <c r="B700">
        <v>2137</v>
      </c>
      <c r="C700">
        <v>2137</v>
      </c>
      <c r="D700" t="s">
        <v>21</v>
      </c>
      <c r="E700" s="22">
        <v>44456</v>
      </c>
      <c r="F700" s="23">
        <v>44454</v>
      </c>
      <c r="G700" t="s">
        <v>965</v>
      </c>
      <c r="H700" t="s">
        <v>28</v>
      </c>
      <c r="I700" t="s">
        <v>21</v>
      </c>
      <c r="J700" t="s">
        <v>53</v>
      </c>
      <c r="K700" t="s">
        <v>72</v>
      </c>
      <c r="L700" t="s">
        <v>6407</v>
      </c>
      <c r="M700">
        <v>2130</v>
      </c>
      <c r="N700" t="s">
        <v>862</v>
      </c>
      <c r="O700" t="s">
        <v>866</v>
      </c>
      <c r="P700" t="s">
        <v>21</v>
      </c>
      <c r="Q700" t="s">
        <v>21</v>
      </c>
      <c r="R700" t="s">
        <v>922</v>
      </c>
      <c r="S700" t="s">
        <v>922</v>
      </c>
      <c r="T700" t="s">
        <v>28</v>
      </c>
      <c r="U700" t="s">
        <v>960</v>
      </c>
      <c r="V700" s="28" t="s">
        <v>6356</v>
      </c>
      <c r="W700" s="28" t="s">
        <v>6247</v>
      </c>
      <c r="X700" s="28" t="s">
        <v>6392</v>
      </c>
      <c r="Y700" s="28" t="s">
        <v>6249</v>
      </c>
      <c r="Z700" s="28" t="s">
        <v>6393</v>
      </c>
      <c r="AA700" s="28" t="s">
        <v>6394</v>
      </c>
      <c r="AB700" s="28" t="s">
        <v>6395</v>
      </c>
      <c r="AC700" s="28" t="s">
        <v>6396</v>
      </c>
    </row>
    <row r="701" spans="1:29">
      <c r="A701">
        <v>1</v>
      </c>
      <c r="B701">
        <v>2120</v>
      </c>
      <c r="C701">
        <v>2120</v>
      </c>
      <c r="D701" t="s">
        <v>21</v>
      </c>
      <c r="E701" s="22">
        <v>44336</v>
      </c>
      <c r="F701" s="23">
        <v>44336</v>
      </c>
      <c r="G701" t="s">
        <v>965</v>
      </c>
      <c r="H701" t="s">
        <v>28</v>
      </c>
      <c r="I701" t="s">
        <v>21</v>
      </c>
      <c r="J701" t="s">
        <v>66</v>
      </c>
      <c r="K701" t="s">
        <v>109</v>
      </c>
      <c r="L701" t="s">
        <v>732</v>
      </c>
      <c r="M701">
        <v>2115</v>
      </c>
      <c r="N701" t="s">
        <v>863</v>
      </c>
      <c r="O701" t="s">
        <v>866</v>
      </c>
      <c r="P701" t="s">
        <v>21</v>
      </c>
      <c r="Q701" t="s">
        <v>21</v>
      </c>
      <c r="R701" t="s">
        <v>917</v>
      </c>
      <c r="S701" t="s">
        <v>917</v>
      </c>
      <c r="T701" t="s">
        <v>952</v>
      </c>
      <c r="U701" t="s">
        <v>960</v>
      </c>
      <c r="V701" s="28" t="s">
        <v>1438</v>
      </c>
      <c r="W701" s="28" t="s">
        <v>1439</v>
      </c>
      <c r="X701" s="28" t="s">
        <v>3287</v>
      </c>
      <c r="Y701" s="28" t="s">
        <v>3288</v>
      </c>
      <c r="Z701" s="28" t="s">
        <v>3289</v>
      </c>
      <c r="AA701" s="28" t="s">
        <v>3290</v>
      </c>
      <c r="AB701" s="28" t="s">
        <v>3291</v>
      </c>
      <c r="AC701" s="28" t="s">
        <v>3292</v>
      </c>
    </row>
    <row r="702" spans="1:29">
      <c r="A702">
        <v>2</v>
      </c>
      <c r="B702">
        <v>2120</v>
      </c>
      <c r="C702">
        <v>2122</v>
      </c>
      <c r="D702" t="s">
        <v>21</v>
      </c>
      <c r="E702" s="22">
        <v>44350</v>
      </c>
      <c r="F702" s="23">
        <v>44336</v>
      </c>
      <c r="G702" t="s">
        <v>965</v>
      </c>
      <c r="H702" t="s">
        <v>28</v>
      </c>
      <c r="I702" t="s">
        <v>21</v>
      </c>
      <c r="J702" t="s">
        <v>66</v>
      </c>
      <c r="K702" t="s">
        <v>109</v>
      </c>
      <c r="L702" t="s">
        <v>733</v>
      </c>
      <c r="M702">
        <v>2116</v>
      </c>
      <c r="N702" t="s">
        <v>863</v>
      </c>
      <c r="O702" t="s">
        <v>866</v>
      </c>
      <c r="P702" t="s">
        <v>21</v>
      </c>
      <c r="Q702" t="s">
        <v>21</v>
      </c>
      <c r="R702" t="s">
        <v>924</v>
      </c>
      <c r="S702" t="s">
        <v>931</v>
      </c>
      <c r="T702" t="s">
        <v>954</v>
      </c>
      <c r="U702" t="s">
        <v>960</v>
      </c>
      <c r="V702" s="28" t="s">
        <v>1440</v>
      </c>
      <c r="W702" s="28" t="s">
        <v>1175</v>
      </c>
      <c r="X702" s="28" t="s">
        <v>3293</v>
      </c>
      <c r="Y702" s="28" t="s">
        <v>3247</v>
      </c>
      <c r="Z702" s="28" t="s">
        <v>3294</v>
      </c>
      <c r="AA702" s="28" t="s">
        <v>3295</v>
      </c>
      <c r="AB702" s="28" t="s">
        <v>3296</v>
      </c>
      <c r="AC702" s="28" t="s">
        <v>2098</v>
      </c>
    </row>
    <row r="703" spans="1:29">
      <c r="A703">
        <v>3</v>
      </c>
      <c r="B703">
        <v>2123</v>
      </c>
      <c r="C703">
        <v>2123</v>
      </c>
      <c r="D703" t="s">
        <v>21</v>
      </c>
      <c r="E703" s="22">
        <v>44355</v>
      </c>
      <c r="F703" s="23">
        <v>44355</v>
      </c>
      <c r="G703" t="s">
        <v>965</v>
      </c>
      <c r="H703" t="s">
        <v>28</v>
      </c>
      <c r="I703" t="s">
        <v>21</v>
      </c>
      <c r="J703" t="s">
        <v>66</v>
      </c>
      <c r="K703" t="s">
        <v>109</v>
      </c>
      <c r="L703" t="s">
        <v>734</v>
      </c>
      <c r="M703">
        <v>2117</v>
      </c>
      <c r="N703" t="s">
        <v>863</v>
      </c>
      <c r="O703" t="s">
        <v>866</v>
      </c>
      <c r="P703" t="s">
        <v>21</v>
      </c>
      <c r="Q703" t="s">
        <v>21</v>
      </c>
      <c r="R703" t="s">
        <v>936</v>
      </c>
      <c r="S703" t="s">
        <v>944</v>
      </c>
      <c r="T703" t="s">
        <v>954</v>
      </c>
      <c r="U703" t="s">
        <v>960</v>
      </c>
      <c r="V703" s="28" t="s">
        <v>1441</v>
      </c>
      <c r="W703" s="28" t="s">
        <v>1396</v>
      </c>
      <c r="X703" s="28" t="s">
        <v>3297</v>
      </c>
      <c r="Y703" s="28" t="s">
        <v>3045</v>
      </c>
      <c r="Z703" s="28" t="s">
        <v>3298</v>
      </c>
      <c r="AA703" s="28" t="s">
        <v>3299</v>
      </c>
      <c r="AB703" s="28" t="s">
        <v>3300</v>
      </c>
      <c r="AC703" s="28" t="s">
        <v>3301</v>
      </c>
    </row>
    <row r="704" spans="1:29">
      <c r="A704">
        <v>4</v>
      </c>
      <c r="B704">
        <v>2123</v>
      </c>
      <c r="C704">
        <v>2123</v>
      </c>
      <c r="D704" t="s">
        <v>21</v>
      </c>
      <c r="E704" s="22">
        <v>44357</v>
      </c>
      <c r="F704" s="23">
        <v>44357</v>
      </c>
      <c r="G704" t="s">
        <v>965</v>
      </c>
      <c r="H704" t="s">
        <v>28</v>
      </c>
      <c r="I704" t="s">
        <v>21</v>
      </c>
      <c r="J704" t="s">
        <v>66</v>
      </c>
      <c r="K704" t="s">
        <v>109</v>
      </c>
      <c r="L704" t="s">
        <v>735</v>
      </c>
      <c r="M704">
        <v>2118</v>
      </c>
      <c r="N704" t="s">
        <v>863</v>
      </c>
      <c r="O704" t="s">
        <v>866</v>
      </c>
      <c r="P704" t="s">
        <v>21</v>
      </c>
      <c r="Q704" t="s">
        <v>21</v>
      </c>
      <c r="R704" t="s">
        <v>915</v>
      </c>
      <c r="S704" t="s">
        <v>915</v>
      </c>
      <c r="T704" t="s">
        <v>950</v>
      </c>
      <c r="U704" t="s">
        <v>960</v>
      </c>
      <c r="V704" s="28" t="s">
        <v>1442</v>
      </c>
      <c r="W704" s="28" t="s">
        <v>1207</v>
      </c>
      <c r="X704" s="28" t="s">
        <v>3302</v>
      </c>
      <c r="Y704" s="28" t="s">
        <v>3303</v>
      </c>
      <c r="Z704" s="28" t="s">
        <v>3304</v>
      </c>
      <c r="AA704" s="28" t="s">
        <v>3305</v>
      </c>
      <c r="AB704" s="28" t="s">
        <v>3306</v>
      </c>
      <c r="AC704" s="28" t="s">
        <v>2209</v>
      </c>
    </row>
    <row r="705" spans="1:29">
      <c r="A705">
        <v>5</v>
      </c>
      <c r="B705">
        <v>2128</v>
      </c>
      <c r="C705">
        <v>2128</v>
      </c>
      <c r="D705" t="s">
        <v>21</v>
      </c>
      <c r="E705" s="22">
        <v>44392</v>
      </c>
      <c r="F705" s="23">
        <v>44392</v>
      </c>
      <c r="G705" t="s">
        <v>965</v>
      </c>
      <c r="H705" t="s">
        <v>28</v>
      </c>
      <c r="I705" t="s">
        <v>21</v>
      </c>
      <c r="J705" t="s">
        <v>66</v>
      </c>
      <c r="K705" t="s">
        <v>109</v>
      </c>
      <c r="L705" t="s">
        <v>736</v>
      </c>
      <c r="M705">
        <v>2118</v>
      </c>
      <c r="N705" t="s">
        <v>863</v>
      </c>
      <c r="O705" t="s">
        <v>866</v>
      </c>
      <c r="P705" t="s">
        <v>21</v>
      </c>
      <c r="Q705" t="s">
        <v>21</v>
      </c>
      <c r="R705" t="s">
        <v>922</v>
      </c>
      <c r="S705" t="s">
        <v>922</v>
      </c>
      <c r="T705" t="s">
        <v>28</v>
      </c>
      <c r="U705" t="s">
        <v>960</v>
      </c>
      <c r="V705" s="28" t="s">
        <v>1217</v>
      </c>
      <c r="W705" s="28" t="s">
        <v>1213</v>
      </c>
      <c r="X705" s="28" t="s">
        <v>3267</v>
      </c>
      <c r="Y705" s="28" t="s">
        <v>3198</v>
      </c>
      <c r="Z705" s="28" t="s">
        <v>3307</v>
      </c>
      <c r="AA705" s="28" t="s">
        <v>3308</v>
      </c>
      <c r="AB705" s="28" t="s">
        <v>3309</v>
      </c>
      <c r="AC705" s="28" t="s">
        <v>2242</v>
      </c>
    </row>
    <row r="706" spans="1:29">
      <c r="A706">
        <v>6</v>
      </c>
      <c r="B706">
        <v>2128</v>
      </c>
      <c r="C706">
        <v>2130</v>
      </c>
      <c r="D706" t="s">
        <v>21</v>
      </c>
      <c r="E706" s="22">
        <v>44405</v>
      </c>
      <c r="F706" s="23">
        <v>44392</v>
      </c>
      <c r="G706" t="s">
        <v>965</v>
      </c>
      <c r="H706" t="s">
        <v>28</v>
      </c>
      <c r="I706" t="s">
        <v>21</v>
      </c>
      <c r="J706" t="s">
        <v>66</v>
      </c>
      <c r="K706" t="s">
        <v>109</v>
      </c>
      <c r="L706" t="s">
        <v>737</v>
      </c>
      <c r="M706">
        <v>2120</v>
      </c>
      <c r="N706" t="s">
        <v>863</v>
      </c>
      <c r="O706" t="s">
        <v>866</v>
      </c>
      <c r="P706" t="s">
        <v>21</v>
      </c>
      <c r="Q706" t="s">
        <v>21</v>
      </c>
      <c r="R706" t="s">
        <v>925</v>
      </c>
      <c r="S706" t="s">
        <v>925</v>
      </c>
      <c r="T706" t="s">
        <v>28</v>
      </c>
      <c r="U706" t="s">
        <v>960</v>
      </c>
      <c r="V706" s="28" t="s">
        <v>1217</v>
      </c>
      <c r="W706" s="28" t="s">
        <v>1213</v>
      </c>
      <c r="X706" s="28" t="s">
        <v>3267</v>
      </c>
      <c r="Y706" s="28" t="s">
        <v>3198</v>
      </c>
      <c r="Z706" s="28" t="s">
        <v>3307</v>
      </c>
      <c r="AA706" s="28" t="s">
        <v>3308</v>
      </c>
      <c r="AB706" s="28" t="s">
        <v>3309</v>
      </c>
      <c r="AC706" s="28" t="s">
        <v>2242</v>
      </c>
    </row>
    <row r="707" spans="1:29">
      <c r="A707">
        <v>7</v>
      </c>
      <c r="B707">
        <v>2132</v>
      </c>
      <c r="C707">
        <v>2132</v>
      </c>
      <c r="D707" t="s">
        <v>21</v>
      </c>
      <c r="E707" s="22">
        <v>44419</v>
      </c>
      <c r="F707" s="23">
        <v>44419</v>
      </c>
      <c r="G707" t="s">
        <v>965</v>
      </c>
      <c r="H707" t="s">
        <v>28</v>
      </c>
      <c r="I707" t="s">
        <v>21</v>
      </c>
      <c r="J707" t="s">
        <v>66</v>
      </c>
      <c r="K707" t="s">
        <v>109</v>
      </c>
      <c r="L707" t="s">
        <v>738</v>
      </c>
      <c r="M707">
        <v>2125</v>
      </c>
      <c r="N707" t="s">
        <v>863</v>
      </c>
      <c r="O707" t="s">
        <v>866</v>
      </c>
      <c r="P707" t="s">
        <v>21</v>
      </c>
      <c r="Q707" t="s">
        <v>21</v>
      </c>
      <c r="R707" t="s">
        <v>938</v>
      </c>
      <c r="S707" t="s">
        <v>944</v>
      </c>
      <c r="T707" t="s">
        <v>954</v>
      </c>
      <c r="U707" t="s">
        <v>960</v>
      </c>
      <c r="V707" s="28" t="s">
        <v>1443</v>
      </c>
      <c r="W707" s="28" t="s">
        <v>1444</v>
      </c>
      <c r="X707" s="28" t="s">
        <v>3310</v>
      </c>
      <c r="Y707" s="28" t="s">
        <v>3311</v>
      </c>
      <c r="Z707" s="28" t="s">
        <v>3312</v>
      </c>
      <c r="AA707" s="28" t="s">
        <v>3313</v>
      </c>
      <c r="AB707" s="28" t="s">
        <v>3314</v>
      </c>
      <c r="AC707" s="28" t="s">
        <v>3315</v>
      </c>
    </row>
    <row r="708" spans="1:29">
      <c r="A708">
        <v>8</v>
      </c>
      <c r="B708">
        <v>2132</v>
      </c>
      <c r="C708">
        <v>2132</v>
      </c>
      <c r="D708" t="s">
        <v>21</v>
      </c>
      <c r="E708" s="22">
        <v>44420</v>
      </c>
      <c r="F708" s="23">
        <v>44420</v>
      </c>
      <c r="G708" t="s">
        <v>965</v>
      </c>
      <c r="H708" t="s">
        <v>28</v>
      </c>
      <c r="I708" t="s">
        <v>21</v>
      </c>
      <c r="J708" t="s">
        <v>66</v>
      </c>
      <c r="K708" t="s">
        <v>109</v>
      </c>
      <c r="L708" t="s">
        <v>739</v>
      </c>
      <c r="M708">
        <v>2124</v>
      </c>
      <c r="N708" t="s">
        <v>863</v>
      </c>
      <c r="O708" t="s">
        <v>866</v>
      </c>
      <c r="P708" t="s">
        <v>21</v>
      </c>
      <c r="Q708" t="s">
        <v>21</v>
      </c>
      <c r="R708" t="s">
        <v>881</v>
      </c>
      <c r="S708" t="s">
        <v>881</v>
      </c>
      <c r="T708" t="s">
        <v>949</v>
      </c>
      <c r="U708" t="s">
        <v>960</v>
      </c>
      <c r="V708" s="28" t="s">
        <v>1234</v>
      </c>
      <c r="W708" s="28" t="s">
        <v>1235</v>
      </c>
      <c r="X708" s="28" t="s">
        <v>3217</v>
      </c>
      <c r="Y708" s="28" t="s">
        <v>3051</v>
      </c>
      <c r="Z708" s="28" t="s">
        <v>3316</v>
      </c>
      <c r="AA708" s="28" t="s">
        <v>3317</v>
      </c>
      <c r="AB708" s="28" t="s">
        <v>2333</v>
      </c>
      <c r="AC708" s="28" t="s">
        <v>2334</v>
      </c>
    </row>
    <row r="709" spans="1:29">
      <c r="A709">
        <v>9</v>
      </c>
      <c r="B709">
        <v>2133</v>
      </c>
      <c r="C709">
        <v>2133</v>
      </c>
      <c r="D709" t="s">
        <v>21</v>
      </c>
      <c r="E709" s="22">
        <v>44427</v>
      </c>
      <c r="F709" s="23">
        <v>44427</v>
      </c>
      <c r="G709" t="s">
        <v>965</v>
      </c>
      <c r="H709" t="s">
        <v>28</v>
      </c>
      <c r="I709" t="s">
        <v>21</v>
      </c>
      <c r="J709" t="s">
        <v>66</v>
      </c>
      <c r="K709" t="s">
        <v>109</v>
      </c>
      <c r="L709" t="s">
        <v>740</v>
      </c>
      <c r="M709">
        <v>2124</v>
      </c>
      <c r="N709" t="s">
        <v>863</v>
      </c>
      <c r="O709" t="s">
        <v>866</v>
      </c>
      <c r="P709" t="s">
        <v>21</v>
      </c>
      <c r="Q709" t="s">
        <v>21</v>
      </c>
      <c r="R709" t="s">
        <v>922</v>
      </c>
      <c r="S709" t="s">
        <v>922</v>
      </c>
      <c r="T709" t="s">
        <v>28</v>
      </c>
      <c r="U709" t="s">
        <v>960</v>
      </c>
      <c r="V709" s="28" t="s">
        <v>1246</v>
      </c>
      <c r="W709" s="28" t="s">
        <v>1231</v>
      </c>
      <c r="X709" s="28" t="s">
        <v>3222</v>
      </c>
      <c r="Y709" s="28" t="s">
        <v>2988</v>
      </c>
      <c r="Z709" s="28" t="s">
        <v>3318</v>
      </c>
      <c r="AA709" s="28" t="s">
        <v>3319</v>
      </c>
      <c r="AB709" s="28" t="s">
        <v>2377</v>
      </c>
      <c r="AC709" s="28" t="s">
        <v>2338</v>
      </c>
    </row>
    <row r="710" spans="1:29">
      <c r="A710">
        <v>10</v>
      </c>
      <c r="B710">
        <v>2133</v>
      </c>
      <c r="C710">
        <v>2133</v>
      </c>
      <c r="D710" t="s">
        <v>21</v>
      </c>
      <c r="E710" s="22">
        <v>44427</v>
      </c>
      <c r="F710" s="23">
        <v>44427</v>
      </c>
      <c r="G710" t="s">
        <v>965</v>
      </c>
      <c r="H710" t="s">
        <v>28</v>
      </c>
      <c r="I710" t="s">
        <v>21</v>
      </c>
      <c r="J710" t="s">
        <v>66</v>
      </c>
      <c r="K710" t="s">
        <v>109</v>
      </c>
      <c r="L710" t="s">
        <v>741</v>
      </c>
      <c r="M710">
        <v>2124</v>
      </c>
      <c r="N710" t="s">
        <v>863</v>
      </c>
      <c r="O710" t="s">
        <v>866</v>
      </c>
      <c r="P710" t="s">
        <v>21</v>
      </c>
      <c r="Q710" t="s">
        <v>21</v>
      </c>
      <c r="R710" t="s">
        <v>886</v>
      </c>
      <c r="S710" t="s">
        <v>886</v>
      </c>
      <c r="T710" t="s">
        <v>955</v>
      </c>
      <c r="U710" t="s">
        <v>960</v>
      </c>
      <c r="V710" s="28" t="s">
        <v>1445</v>
      </c>
      <c r="W710" s="28" t="s">
        <v>1237</v>
      </c>
      <c r="X710" s="28" t="s">
        <v>3320</v>
      </c>
      <c r="Y710" s="28" t="s">
        <v>2994</v>
      </c>
      <c r="Z710" s="28" t="s">
        <v>3321</v>
      </c>
      <c r="AA710" s="28" t="s">
        <v>3322</v>
      </c>
      <c r="AB710" s="28" t="s">
        <v>3323</v>
      </c>
      <c r="AC710" s="28" t="s">
        <v>3324</v>
      </c>
    </row>
    <row r="711" spans="1:29">
      <c r="A711">
        <v>11</v>
      </c>
      <c r="B711">
        <v>2134</v>
      </c>
      <c r="C711">
        <v>2134</v>
      </c>
      <c r="D711" t="s">
        <v>21</v>
      </c>
      <c r="E711" s="22">
        <v>44435</v>
      </c>
      <c r="F711" s="23">
        <v>44435</v>
      </c>
      <c r="G711" t="s">
        <v>965</v>
      </c>
      <c r="H711" t="s">
        <v>28</v>
      </c>
      <c r="I711" t="s">
        <v>21</v>
      </c>
      <c r="J711" t="s">
        <v>66</v>
      </c>
      <c r="K711" t="s">
        <v>109</v>
      </c>
      <c r="L711" t="s">
        <v>6152</v>
      </c>
      <c r="M711">
        <v>2126</v>
      </c>
      <c r="N711" t="s">
        <v>863</v>
      </c>
      <c r="O711" t="s">
        <v>866</v>
      </c>
      <c r="P711" t="s">
        <v>21</v>
      </c>
      <c r="Q711" t="s">
        <v>21</v>
      </c>
      <c r="R711" t="s">
        <v>881</v>
      </c>
      <c r="S711" t="s">
        <v>881</v>
      </c>
      <c r="T711" t="s">
        <v>949</v>
      </c>
      <c r="U711" t="s">
        <v>960</v>
      </c>
      <c r="V711" s="28" t="s">
        <v>5943</v>
      </c>
      <c r="W711" s="28" t="s">
        <v>1235</v>
      </c>
      <c r="X711" s="28" t="s">
        <v>5944</v>
      </c>
      <c r="Y711" s="28" t="s">
        <v>3051</v>
      </c>
      <c r="Z711" s="28" t="s">
        <v>6153</v>
      </c>
      <c r="AA711" s="28" t="s">
        <v>3317</v>
      </c>
      <c r="AB711" s="28" t="s">
        <v>6154</v>
      </c>
      <c r="AC711" s="28" t="s">
        <v>2334</v>
      </c>
    </row>
    <row r="712" spans="1:29">
      <c r="A712">
        <v>12</v>
      </c>
      <c r="B712">
        <v>2133</v>
      </c>
      <c r="C712">
        <v>2137</v>
      </c>
      <c r="D712" t="s">
        <v>21</v>
      </c>
      <c r="E712" s="22">
        <v>44454</v>
      </c>
      <c r="F712" s="23">
        <v>44427</v>
      </c>
      <c r="G712" t="s">
        <v>965</v>
      </c>
      <c r="H712" t="s">
        <v>28</v>
      </c>
      <c r="I712" t="s">
        <v>21</v>
      </c>
      <c r="J712" t="s">
        <v>66</v>
      </c>
      <c r="K712" t="s">
        <v>109</v>
      </c>
      <c r="L712" t="s">
        <v>6408</v>
      </c>
      <c r="M712">
        <v>2126</v>
      </c>
      <c r="N712" t="s">
        <v>863</v>
      </c>
      <c r="O712" t="s">
        <v>866</v>
      </c>
      <c r="P712" t="s">
        <v>21</v>
      </c>
      <c r="Q712" t="s">
        <v>21</v>
      </c>
      <c r="R712" t="s">
        <v>868</v>
      </c>
      <c r="S712" t="s">
        <v>868</v>
      </c>
      <c r="T712" t="s">
        <v>891</v>
      </c>
      <c r="U712" t="s">
        <v>960</v>
      </c>
      <c r="V712" s="28" t="s">
        <v>1245</v>
      </c>
      <c r="W712" s="28" t="s">
        <v>1080</v>
      </c>
      <c r="X712" s="28" t="s">
        <v>6409</v>
      </c>
      <c r="Y712" s="28" t="s">
        <v>3282</v>
      </c>
      <c r="Z712" s="28" t="s">
        <v>6410</v>
      </c>
      <c r="AA712" s="28" t="s">
        <v>6411</v>
      </c>
      <c r="AB712" s="28" t="s">
        <v>6412</v>
      </c>
      <c r="AC712" s="28" t="s">
        <v>6413</v>
      </c>
    </row>
    <row r="713" spans="1:29">
      <c r="A713">
        <v>13</v>
      </c>
      <c r="B713">
        <v>2137</v>
      </c>
      <c r="C713">
        <v>2137</v>
      </c>
      <c r="D713" t="s">
        <v>21</v>
      </c>
      <c r="E713" s="22">
        <v>44457</v>
      </c>
      <c r="F713" s="23">
        <v>44457</v>
      </c>
      <c r="G713" t="s">
        <v>965</v>
      </c>
      <c r="H713" t="s">
        <v>28</v>
      </c>
      <c r="I713" t="s">
        <v>21</v>
      </c>
      <c r="J713" t="s">
        <v>66</v>
      </c>
      <c r="K713" t="s">
        <v>109</v>
      </c>
      <c r="L713" t="s">
        <v>6414</v>
      </c>
      <c r="M713">
        <v>2130</v>
      </c>
      <c r="N713" t="s">
        <v>863</v>
      </c>
      <c r="O713" t="s">
        <v>866</v>
      </c>
      <c r="P713" t="s">
        <v>21</v>
      </c>
      <c r="Q713" t="s">
        <v>21</v>
      </c>
      <c r="R713" t="s">
        <v>922</v>
      </c>
      <c r="S713" t="s">
        <v>922</v>
      </c>
      <c r="T713" t="s">
        <v>28</v>
      </c>
      <c r="U713" t="s">
        <v>960</v>
      </c>
      <c r="V713" s="28" t="s">
        <v>6356</v>
      </c>
      <c r="W713" s="28" t="s">
        <v>6247</v>
      </c>
      <c r="X713" s="28" t="s">
        <v>6392</v>
      </c>
      <c r="Y713" s="28" t="s">
        <v>6249</v>
      </c>
      <c r="Z713" s="28" t="s">
        <v>6415</v>
      </c>
      <c r="AA713" s="28" t="s">
        <v>6416</v>
      </c>
      <c r="AB713" s="28" t="s">
        <v>6417</v>
      </c>
      <c r="AC713" s="28" t="s">
        <v>6418</v>
      </c>
    </row>
    <row r="714" spans="1:29">
      <c r="A714">
        <v>14</v>
      </c>
      <c r="B714">
        <v>2137</v>
      </c>
      <c r="C714">
        <v>2137</v>
      </c>
      <c r="D714" t="s">
        <v>21</v>
      </c>
      <c r="E714" s="22">
        <v>44457</v>
      </c>
      <c r="F714" s="23">
        <v>44457</v>
      </c>
      <c r="G714" t="s">
        <v>965</v>
      </c>
      <c r="H714" t="s">
        <v>28</v>
      </c>
      <c r="I714" t="s">
        <v>21</v>
      </c>
      <c r="J714" t="s">
        <v>66</v>
      </c>
      <c r="K714" t="s">
        <v>109</v>
      </c>
      <c r="L714" t="s">
        <v>6419</v>
      </c>
      <c r="M714">
        <v>2130</v>
      </c>
      <c r="N714" t="s">
        <v>863</v>
      </c>
      <c r="O714" t="s">
        <v>866</v>
      </c>
      <c r="P714" t="s">
        <v>21</v>
      </c>
      <c r="Q714" t="s">
        <v>21</v>
      </c>
      <c r="R714" t="s">
        <v>891</v>
      </c>
      <c r="S714" t="s">
        <v>891</v>
      </c>
      <c r="T714" t="s">
        <v>891</v>
      </c>
      <c r="U714" t="s">
        <v>960</v>
      </c>
      <c r="V714" s="28" t="s">
        <v>6420</v>
      </c>
      <c r="W714" s="28" t="s">
        <v>6256</v>
      </c>
      <c r="X714" s="28" t="s">
        <v>6421</v>
      </c>
      <c r="Y714" s="28" t="s">
        <v>6258</v>
      </c>
      <c r="Z714" s="28" t="s">
        <v>6422</v>
      </c>
      <c r="AA714" s="28" t="s">
        <v>6423</v>
      </c>
      <c r="AB714" s="28" t="s">
        <v>6424</v>
      </c>
      <c r="AC714" s="28" t="s">
        <v>6425</v>
      </c>
    </row>
    <row r="715" spans="1:29">
      <c r="A715">
        <v>15</v>
      </c>
      <c r="B715">
        <v>2137</v>
      </c>
      <c r="C715">
        <v>2137</v>
      </c>
      <c r="D715" t="s">
        <v>21</v>
      </c>
      <c r="E715" s="22">
        <v>44457</v>
      </c>
      <c r="F715" s="23">
        <v>44457</v>
      </c>
      <c r="G715" t="s">
        <v>965</v>
      </c>
      <c r="H715" t="s">
        <v>28</v>
      </c>
      <c r="I715" t="s">
        <v>21</v>
      </c>
      <c r="J715" t="s">
        <v>66</v>
      </c>
      <c r="K715" t="s">
        <v>109</v>
      </c>
      <c r="L715" t="s">
        <v>6426</v>
      </c>
      <c r="M715">
        <v>2131</v>
      </c>
      <c r="N715" t="s">
        <v>863</v>
      </c>
      <c r="O715" t="s">
        <v>866</v>
      </c>
      <c r="P715" t="s">
        <v>21</v>
      </c>
      <c r="Q715" t="s">
        <v>21</v>
      </c>
      <c r="R715" t="s">
        <v>938</v>
      </c>
      <c r="S715" t="s">
        <v>944</v>
      </c>
      <c r="T715" t="s">
        <v>954</v>
      </c>
      <c r="U715" t="s">
        <v>960</v>
      </c>
      <c r="V715" s="28" t="s">
        <v>6427</v>
      </c>
      <c r="W715" s="28" t="s">
        <v>6428</v>
      </c>
      <c r="X715" s="28" t="s">
        <v>6429</v>
      </c>
      <c r="Y715" s="28" t="s">
        <v>6430</v>
      </c>
      <c r="Z715" s="28" t="s">
        <v>6431</v>
      </c>
      <c r="AA715" s="28" t="s">
        <v>6432</v>
      </c>
      <c r="AB715" s="28" t="s">
        <v>6433</v>
      </c>
      <c r="AC715" s="28" t="s">
        <v>6434</v>
      </c>
    </row>
    <row r="716" spans="1:29">
      <c r="A716">
        <v>1</v>
      </c>
      <c r="B716">
        <v>2002</v>
      </c>
      <c r="C716">
        <v>2002</v>
      </c>
      <c r="D716" t="s">
        <v>21</v>
      </c>
      <c r="E716" s="22">
        <v>43838</v>
      </c>
      <c r="F716" s="23">
        <v>43838</v>
      </c>
      <c r="G716" t="s">
        <v>965</v>
      </c>
      <c r="H716" t="s">
        <v>28</v>
      </c>
      <c r="I716" t="s">
        <v>21</v>
      </c>
      <c r="J716" t="s">
        <v>21</v>
      </c>
      <c r="K716" t="s">
        <v>21</v>
      </c>
      <c r="L716" t="s">
        <v>21</v>
      </c>
      <c r="M716" t="s">
        <v>21</v>
      </c>
      <c r="N716" t="s">
        <v>21</v>
      </c>
      <c r="O716" t="s">
        <v>21</v>
      </c>
      <c r="P716" t="s">
        <v>21</v>
      </c>
      <c r="Q716" t="s">
        <v>21</v>
      </c>
      <c r="R716" t="s">
        <v>925</v>
      </c>
      <c r="S716" t="s">
        <v>925</v>
      </c>
      <c r="T716" t="s">
        <v>28</v>
      </c>
    </row>
    <row r="717" spans="1:29">
      <c r="A717">
        <v>5</v>
      </c>
      <c r="B717">
        <v>2007</v>
      </c>
      <c r="C717">
        <v>2007</v>
      </c>
      <c r="D717" t="s">
        <v>21</v>
      </c>
      <c r="E717" s="22">
        <v>43873</v>
      </c>
      <c r="F717" s="23">
        <v>43873</v>
      </c>
      <c r="G717" t="s">
        <v>965</v>
      </c>
      <c r="H717" t="s">
        <v>28</v>
      </c>
      <c r="I717" t="s">
        <v>21</v>
      </c>
      <c r="J717" t="s">
        <v>21</v>
      </c>
      <c r="K717" t="s">
        <v>21</v>
      </c>
      <c r="L717" t="s">
        <v>21</v>
      </c>
      <c r="M717" t="s">
        <v>21</v>
      </c>
      <c r="N717" t="s">
        <v>21</v>
      </c>
      <c r="O717" t="s">
        <v>21</v>
      </c>
      <c r="P717" t="s">
        <v>21</v>
      </c>
      <c r="Q717" t="s">
        <v>21</v>
      </c>
      <c r="R717" t="s">
        <v>881</v>
      </c>
      <c r="S717" t="s">
        <v>881</v>
      </c>
      <c r="T717" t="s">
        <v>949</v>
      </c>
    </row>
    <row r="718" spans="1:29">
      <c r="A718">
        <v>6</v>
      </c>
      <c r="B718">
        <v>2007</v>
      </c>
      <c r="C718">
        <v>2007</v>
      </c>
      <c r="D718" t="s">
        <v>23</v>
      </c>
      <c r="E718" s="22">
        <v>43872</v>
      </c>
      <c r="F718" s="23">
        <v>43873</v>
      </c>
      <c r="G718" t="s">
        <v>965</v>
      </c>
      <c r="H718" t="s">
        <v>28</v>
      </c>
      <c r="I718" t="s">
        <v>23</v>
      </c>
      <c r="J718" t="s">
        <v>60</v>
      </c>
      <c r="K718" t="s">
        <v>110</v>
      </c>
      <c r="L718" t="s">
        <v>742</v>
      </c>
      <c r="M718">
        <v>1951</v>
      </c>
      <c r="N718" t="s">
        <v>859</v>
      </c>
      <c r="O718" t="s">
        <v>866</v>
      </c>
      <c r="P718" t="s">
        <v>21</v>
      </c>
      <c r="Q718" t="s">
        <v>21</v>
      </c>
      <c r="R718" t="s">
        <v>941</v>
      </c>
      <c r="S718" t="s">
        <v>881</v>
      </c>
      <c r="T718" t="s">
        <v>949</v>
      </c>
      <c r="U718" t="s">
        <v>961</v>
      </c>
      <c r="V718" s="28" t="s">
        <v>1446</v>
      </c>
      <c r="W718" s="28" t="s">
        <v>1447</v>
      </c>
      <c r="X718" s="28" t="s">
        <v>3325</v>
      </c>
      <c r="Y718" s="28" t="s">
        <v>3326</v>
      </c>
      <c r="Z718" s="28" t="s">
        <v>3327</v>
      </c>
      <c r="AA718" s="28" t="s">
        <v>3328</v>
      </c>
      <c r="AB718" s="28" t="s">
        <v>3329</v>
      </c>
      <c r="AC718" s="28" t="s">
        <v>3330</v>
      </c>
    </row>
    <row r="719" spans="1:29">
      <c r="A719">
        <v>7</v>
      </c>
      <c r="B719">
        <v>2007</v>
      </c>
      <c r="C719">
        <v>2007</v>
      </c>
      <c r="D719" t="s">
        <v>23</v>
      </c>
      <c r="E719" s="22">
        <v>43875</v>
      </c>
      <c r="F719" s="23">
        <v>43876</v>
      </c>
      <c r="G719" t="s">
        <v>965</v>
      </c>
      <c r="H719" t="s">
        <v>28</v>
      </c>
      <c r="I719" t="s">
        <v>23</v>
      </c>
      <c r="J719" t="s">
        <v>60</v>
      </c>
      <c r="K719" t="s">
        <v>110</v>
      </c>
      <c r="L719" t="s">
        <v>743</v>
      </c>
      <c r="M719">
        <v>1951</v>
      </c>
      <c r="N719" t="s">
        <v>859</v>
      </c>
      <c r="O719" t="s">
        <v>866</v>
      </c>
      <c r="P719" t="s">
        <v>21</v>
      </c>
      <c r="Q719" t="s">
        <v>21</v>
      </c>
      <c r="R719" t="s">
        <v>920</v>
      </c>
      <c r="S719" t="s">
        <v>921</v>
      </c>
      <c r="T719" t="s">
        <v>959</v>
      </c>
      <c r="U719" t="s">
        <v>961</v>
      </c>
      <c r="V719" s="28" t="s">
        <v>1448</v>
      </c>
      <c r="W719" s="28" t="s">
        <v>1449</v>
      </c>
      <c r="X719" s="28" t="s">
        <v>3331</v>
      </c>
      <c r="Y719" s="28" t="s">
        <v>3332</v>
      </c>
      <c r="Z719" s="28" t="s">
        <v>3333</v>
      </c>
      <c r="AA719" s="28" t="s">
        <v>3334</v>
      </c>
      <c r="AB719" s="28" t="s">
        <v>3335</v>
      </c>
      <c r="AC719" s="28" t="s">
        <v>3336</v>
      </c>
    </row>
    <row r="720" spans="1:29">
      <c r="A720">
        <v>8</v>
      </c>
      <c r="B720">
        <v>2020</v>
      </c>
      <c r="C720">
        <v>2020</v>
      </c>
      <c r="D720" t="s">
        <v>23</v>
      </c>
      <c r="E720" s="22">
        <v>43967</v>
      </c>
      <c r="F720" s="23">
        <v>43967</v>
      </c>
      <c r="G720" t="s">
        <v>965</v>
      </c>
      <c r="H720" t="s">
        <v>28</v>
      </c>
      <c r="I720" t="s">
        <v>23</v>
      </c>
      <c r="J720" t="s">
        <v>60</v>
      </c>
      <c r="K720" t="s">
        <v>110</v>
      </c>
      <c r="L720" t="s">
        <v>744</v>
      </c>
      <c r="M720">
        <v>2007</v>
      </c>
      <c r="N720" t="s">
        <v>859</v>
      </c>
      <c r="O720" t="s">
        <v>866</v>
      </c>
      <c r="P720" t="s">
        <v>21</v>
      </c>
      <c r="Q720" t="s">
        <v>21</v>
      </c>
      <c r="R720" t="s">
        <v>922</v>
      </c>
      <c r="S720" t="s">
        <v>922</v>
      </c>
      <c r="T720" t="s">
        <v>28</v>
      </c>
      <c r="U720" t="s">
        <v>961</v>
      </c>
      <c r="V720" s="28" t="s">
        <v>1450</v>
      </c>
      <c r="W720" s="28" t="s">
        <v>1451</v>
      </c>
      <c r="X720" s="28" t="s">
        <v>3337</v>
      </c>
      <c r="Y720" s="28" t="s">
        <v>3338</v>
      </c>
      <c r="Z720" s="28" t="s">
        <v>3339</v>
      </c>
      <c r="AA720" s="28" t="s">
        <v>3340</v>
      </c>
      <c r="AB720" s="28" t="s">
        <v>3341</v>
      </c>
      <c r="AC720" s="28" t="s">
        <v>3342</v>
      </c>
    </row>
    <row r="721" spans="1:29">
      <c r="A721">
        <v>9</v>
      </c>
      <c r="B721">
        <v>2020</v>
      </c>
      <c r="C721">
        <v>2020</v>
      </c>
      <c r="D721" t="s">
        <v>23</v>
      </c>
      <c r="E721" s="22">
        <v>43967</v>
      </c>
      <c r="F721" s="23">
        <v>43967</v>
      </c>
      <c r="G721" t="s">
        <v>965</v>
      </c>
      <c r="H721" t="s">
        <v>28</v>
      </c>
      <c r="I721" t="s">
        <v>23</v>
      </c>
      <c r="J721" t="s">
        <v>60</v>
      </c>
      <c r="K721" t="s">
        <v>110</v>
      </c>
      <c r="L721" t="s">
        <v>745</v>
      </c>
      <c r="M721">
        <v>2007</v>
      </c>
      <c r="N721" t="s">
        <v>859</v>
      </c>
      <c r="O721" t="s">
        <v>866</v>
      </c>
      <c r="P721" t="s">
        <v>21</v>
      </c>
      <c r="Q721" t="s">
        <v>21</v>
      </c>
      <c r="R721" t="s">
        <v>922</v>
      </c>
      <c r="S721" t="s">
        <v>922</v>
      </c>
      <c r="T721" t="s">
        <v>28</v>
      </c>
      <c r="U721" t="s">
        <v>961</v>
      </c>
      <c r="V721" s="28" t="s">
        <v>1450</v>
      </c>
      <c r="W721" s="28" t="s">
        <v>1451</v>
      </c>
      <c r="X721" s="28" t="s">
        <v>3337</v>
      </c>
      <c r="Y721" s="28" t="s">
        <v>3338</v>
      </c>
      <c r="Z721" s="28" t="s">
        <v>3339</v>
      </c>
      <c r="AA721" s="28" t="s">
        <v>3340</v>
      </c>
      <c r="AB721" s="28" t="s">
        <v>3341</v>
      </c>
      <c r="AC721" s="28" t="s">
        <v>3342</v>
      </c>
    </row>
    <row r="722" spans="1:29">
      <c r="A722">
        <v>10</v>
      </c>
      <c r="B722">
        <v>2021</v>
      </c>
      <c r="C722">
        <v>2021</v>
      </c>
      <c r="D722" t="s">
        <v>23</v>
      </c>
      <c r="E722" s="22">
        <v>43969</v>
      </c>
      <c r="F722" s="23">
        <v>43969</v>
      </c>
      <c r="G722" t="s">
        <v>965</v>
      </c>
      <c r="H722" t="s">
        <v>28</v>
      </c>
      <c r="I722" t="s">
        <v>23</v>
      </c>
      <c r="J722" t="s">
        <v>60</v>
      </c>
      <c r="K722" t="s">
        <v>110</v>
      </c>
      <c r="L722" t="s">
        <v>746</v>
      </c>
      <c r="M722">
        <v>2011</v>
      </c>
      <c r="N722" t="s">
        <v>859</v>
      </c>
      <c r="O722" t="s">
        <v>866</v>
      </c>
      <c r="P722" t="s">
        <v>21</v>
      </c>
      <c r="Q722" t="s">
        <v>21</v>
      </c>
      <c r="R722" t="s">
        <v>891</v>
      </c>
      <c r="S722" t="s">
        <v>891</v>
      </c>
      <c r="T722" t="s">
        <v>891</v>
      </c>
      <c r="U722" t="s">
        <v>961</v>
      </c>
      <c r="V722" s="28" t="s">
        <v>1452</v>
      </c>
      <c r="W722" s="28" t="s">
        <v>1453</v>
      </c>
      <c r="X722" s="28" t="s">
        <v>3343</v>
      </c>
      <c r="Y722" s="28" t="s">
        <v>3344</v>
      </c>
      <c r="Z722" s="28" t="s">
        <v>3345</v>
      </c>
      <c r="AA722" s="28" t="s">
        <v>3346</v>
      </c>
      <c r="AB722" s="28" t="s">
        <v>3347</v>
      </c>
      <c r="AC722" s="28" t="s">
        <v>3348</v>
      </c>
    </row>
    <row r="723" spans="1:29">
      <c r="A723">
        <v>11</v>
      </c>
      <c r="B723">
        <v>2023</v>
      </c>
      <c r="C723">
        <v>2023</v>
      </c>
      <c r="D723" t="s">
        <v>23</v>
      </c>
      <c r="E723" s="22">
        <v>43985</v>
      </c>
      <c r="F723" s="23">
        <v>43985</v>
      </c>
      <c r="G723" t="s">
        <v>965</v>
      </c>
      <c r="H723" t="s">
        <v>28</v>
      </c>
      <c r="I723" t="s">
        <v>23</v>
      </c>
      <c r="J723" t="s">
        <v>60</v>
      </c>
      <c r="K723" t="s">
        <v>110</v>
      </c>
      <c r="L723" t="s">
        <v>747</v>
      </c>
      <c r="M723">
        <v>2011</v>
      </c>
      <c r="N723" t="s">
        <v>859</v>
      </c>
      <c r="O723" t="s">
        <v>866</v>
      </c>
      <c r="P723" t="s">
        <v>21</v>
      </c>
      <c r="Q723" t="s">
        <v>21</v>
      </c>
      <c r="R723" t="s">
        <v>924</v>
      </c>
      <c r="S723" t="s">
        <v>947</v>
      </c>
      <c r="T723" t="s">
        <v>954</v>
      </c>
      <c r="U723" t="s">
        <v>961</v>
      </c>
      <c r="V723" s="28" t="s">
        <v>1454</v>
      </c>
      <c r="W723" s="28" t="s">
        <v>1455</v>
      </c>
      <c r="X723" s="28" t="s">
        <v>3349</v>
      </c>
      <c r="Y723" s="28" t="s">
        <v>3350</v>
      </c>
      <c r="Z723" s="28" t="s">
        <v>3351</v>
      </c>
      <c r="AA723" s="28" t="s">
        <v>3352</v>
      </c>
      <c r="AB723" s="28" t="s">
        <v>3353</v>
      </c>
      <c r="AC723" s="28" t="s">
        <v>3354</v>
      </c>
    </row>
    <row r="724" spans="1:29">
      <c r="A724">
        <v>12</v>
      </c>
      <c r="B724">
        <v>2023</v>
      </c>
      <c r="C724">
        <v>2023</v>
      </c>
      <c r="D724" t="s">
        <v>23</v>
      </c>
      <c r="E724" s="22">
        <v>43985</v>
      </c>
      <c r="F724" s="23">
        <v>43985</v>
      </c>
      <c r="G724" t="s">
        <v>965</v>
      </c>
      <c r="H724" t="s">
        <v>28</v>
      </c>
      <c r="I724" t="s">
        <v>23</v>
      </c>
      <c r="J724" t="s">
        <v>60</v>
      </c>
      <c r="K724" t="s">
        <v>110</v>
      </c>
      <c r="L724" t="s">
        <v>748</v>
      </c>
      <c r="M724">
        <v>1949</v>
      </c>
      <c r="N724" t="s">
        <v>859</v>
      </c>
      <c r="O724" t="s">
        <v>866</v>
      </c>
      <c r="P724" t="s">
        <v>21</v>
      </c>
      <c r="Q724" t="s">
        <v>21</v>
      </c>
      <c r="R724" t="s">
        <v>924</v>
      </c>
      <c r="S724" t="s">
        <v>947</v>
      </c>
      <c r="T724" t="s">
        <v>954</v>
      </c>
      <c r="U724" t="s">
        <v>961</v>
      </c>
      <c r="V724" s="28" t="s">
        <v>1454</v>
      </c>
      <c r="W724" s="28" t="s">
        <v>1455</v>
      </c>
      <c r="X724" s="28" t="s">
        <v>3349</v>
      </c>
      <c r="Y724" s="28" t="s">
        <v>3350</v>
      </c>
      <c r="Z724" s="28" t="s">
        <v>3351</v>
      </c>
      <c r="AA724" s="28" t="s">
        <v>3352</v>
      </c>
      <c r="AB724" s="28" t="s">
        <v>3353</v>
      </c>
      <c r="AC724" s="28" t="s">
        <v>3354</v>
      </c>
    </row>
    <row r="725" spans="1:29">
      <c r="A725">
        <v>13</v>
      </c>
      <c r="B725">
        <v>2023</v>
      </c>
      <c r="C725">
        <v>2023</v>
      </c>
      <c r="D725" t="s">
        <v>23</v>
      </c>
      <c r="E725" s="22">
        <v>43985</v>
      </c>
      <c r="F725" s="22">
        <v>43985</v>
      </c>
      <c r="G725" t="s">
        <v>965</v>
      </c>
      <c r="H725" t="s">
        <v>28</v>
      </c>
      <c r="I725" t="s">
        <v>23</v>
      </c>
      <c r="J725" t="s">
        <v>60</v>
      </c>
      <c r="K725" t="s">
        <v>110</v>
      </c>
      <c r="L725" t="s">
        <v>749</v>
      </c>
      <c r="M725">
        <v>2011</v>
      </c>
      <c r="N725" t="s">
        <v>859</v>
      </c>
      <c r="O725" t="s">
        <v>866</v>
      </c>
      <c r="P725" t="s">
        <v>21</v>
      </c>
      <c r="Q725" t="s">
        <v>21</v>
      </c>
      <c r="R725" t="s">
        <v>881</v>
      </c>
      <c r="S725" t="s">
        <v>881</v>
      </c>
      <c r="T725" t="s">
        <v>949</v>
      </c>
      <c r="U725" t="s">
        <v>961</v>
      </c>
      <c r="V725" s="28" t="s">
        <v>1253</v>
      </c>
      <c r="W725" s="28" t="s">
        <v>1254</v>
      </c>
      <c r="X725" s="28" t="s">
        <v>3355</v>
      </c>
      <c r="Y725" s="28" t="s">
        <v>2543</v>
      </c>
      <c r="Z725" s="28" t="s">
        <v>3356</v>
      </c>
      <c r="AA725" s="28" t="s">
        <v>3357</v>
      </c>
      <c r="AB725" s="28" t="s">
        <v>3358</v>
      </c>
      <c r="AC725" s="28" t="s">
        <v>3359</v>
      </c>
    </row>
    <row r="726" spans="1:29">
      <c r="A726">
        <v>14</v>
      </c>
      <c r="B726">
        <v>2023</v>
      </c>
      <c r="C726">
        <v>2023</v>
      </c>
      <c r="D726" t="s">
        <v>23</v>
      </c>
      <c r="E726" s="22">
        <v>43985</v>
      </c>
      <c r="F726" s="22">
        <v>43985</v>
      </c>
      <c r="G726" t="s">
        <v>965</v>
      </c>
      <c r="H726" t="s">
        <v>28</v>
      </c>
      <c r="I726" t="s">
        <v>23</v>
      </c>
      <c r="J726" t="s">
        <v>60</v>
      </c>
      <c r="K726" t="s">
        <v>110</v>
      </c>
      <c r="L726" t="s">
        <v>750</v>
      </c>
      <c r="M726">
        <v>2011</v>
      </c>
      <c r="N726" t="s">
        <v>859</v>
      </c>
      <c r="O726" t="s">
        <v>866</v>
      </c>
      <c r="P726" t="s">
        <v>21</v>
      </c>
      <c r="Q726" t="s">
        <v>21</v>
      </c>
      <c r="R726" t="s">
        <v>924</v>
      </c>
      <c r="S726" t="s">
        <v>886</v>
      </c>
      <c r="T726" t="s">
        <v>955</v>
      </c>
      <c r="U726" t="s">
        <v>961</v>
      </c>
      <c r="V726" s="28" t="s">
        <v>1456</v>
      </c>
      <c r="W726" s="28" t="s">
        <v>1457</v>
      </c>
      <c r="X726" s="28" t="s">
        <v>3360</v>
      </c>
      <c r="Y726" s="28" t="s">
        <v>3361</v>
      </c>
      <c r="Z726" s="28" t="s">
        <v>3362</v>
      </c>
      <c r="AA726" s="28" t="s">
        <v>3363</v>
      </c>
      <c r="AB726" s="28" t="s">
        <v>3364</v>
      </c>
      <c r="AC726" s="28" t="s">
        <v>3365</v>
      </c>
    </row>
    <row r="727" spans="1:29">
      <c r="A727">
        <v>15</v>
      </c>
      <c r="B727">
        <v>2024</v>
      </c>
      <c r="C727">
        <v>2024</v>
      </c>
      <c r="D727" t="s">
        <v>23</v>
      </c>
      <c r="E727" s="22">
        <v>43994</v>
      </c>
      <c r="F727" s="22">
        <v>43994</v>
      </c>
      <c r="G727" t="s">
        <v>965</v>
      </c>
      <c r="H727" t="s">
        <v>28</v>
      </c>
      <c r="I727" t="s">
        <v>23</v>
      </c>
      <c r="J727" t="s">
        <v>60</v>
      </c>
      <c r="K727" t="s">
        <v>110</v>
      </c>
      <c r="L727" t="s">
        <v>751</v>
      </c>
      <c r="M727">
        <v>2014</v>
      </c>
      <c r="N727" t="s">
        <v>859</v>
      </c>
      <c r="O727" t="s">
        <v>866</v>
      </c>
      <c r="P727" t="s">
        <v>21</v>
      </c>
      <c r="Q727" t="s">
        <v>21</v>
      </c>
      <c r="R727" t="s">
        <v>867</v>
      </c>
      <c r="S727" t="s">
        <v>867</v>
      </c>
      <c r="T727" t="s">
        <v>948</v>
      </c>
      <c r="U727" t="s">
        <v>961</v>
      </c>
      <c r="V727" s="28" t="s">
        <v>1458</v>
      </c>
      <c r="W727" s="28" t="s">
        <v>1459</v>
      </c>
      <c r="X727" s="28" t="s">
        <v>3366</v>
      </c>
      <c r="Y727" s="28" t="s">
        <v>3367</v>
      </c>
      <c r="Z727" s="28" t="s">
        <v>3368</v>
      </c>
      <c r="AA727" s="28" t="s">
        <v>3369</v>
      </c>
      <c r="AB727" s="28" t="s">
        <v>3370</v>
      </c>
      <c r="AC727" s="28" t="s">
        <v>3371</v>
      </c>
    </row>
    <row r="728" spans="1:29">
      <c r="A728">
        <v>16</v>
      </c>
      <c r="B728">
        <v>2024</v>
      </c>
      <c r="C728">
        <v>2024</v>
      </c>
      <c r="D728" t="s">
        <v>23</v>
      </c>
      <c r="E728" s="22">
        <v>43994</v>
      </c>
      <c r="F728" s="22">
        <v>43994</v>
      </c>
      <c r="G728" t="s">
        <v>965</v>
      </c>
      <c r="H728" t="s">
        <v>28</v>
      </c>
      <c r="I728" t="s">
        <v>23</v>
      </c>
      <c r="J728" t="s">
        <v>60</v>
      </c>
      <c r="K728" t="s">
        <v>110</v>
      </c>
      <c r="L728" t="s">
        <v>752</v>
      </c>
      <c r="M728">
        <v>2015</v>
      </c>
      <c r="N728" t="s">
        <v>859</v>
      </c>
      <c r="O728" t="s">
        <v>866</v>
      </c>
      <c r="P728" t="s">
        <v>21</v>
      </c>
      <c r="Q728" t="s">
        <v>21</v>
      </c>
      <c r="R728" t="s">
        <v>867</v>
      </c>
      <c r="S728" t="s">
        <v>867</v>
      </c>
      <c r="T728" t="s">
        <v>948</v>
      </c>
      <c r="U728" t="s">
        <v>961</v>
      </c>
      <c r="V728" s="28" t="s">
        <v>1458</v>
      </c>
      <c r="W728" s="28" t="s">
        <v>1459</v>
      </c>
      <c r="X728" s="28" t="s">
        <v>3366</v>
      </c>
      <c r="Y728" s="28" t="s">
        <v>3367</v>
      </c>
      <c r="Z728" s="28" t="s">
        <v>3368</v>
      </c>
      <c r="AA728" s="28" t="s">
        <v>3369</v>
      </c>
      <c r="AB728" s="28" t="s">
        <v>3370</v>
      </c>
      <c r="AC728" s="28" t="s">
        <v>3371</v>
      </c>
    </row>
    <row r="729" spans="1:29">
      <c r="A729">
        <v>18</v>
      </c>
      <c r="B729">
        <v>2024</v>
      </c>
      <c r="C729">
        <v>2024</v>
      </c>
      <c r="D729" t="s">
        <v>23</v>
      </c>
      <c r="E729" s="22">
        <v>43995</v>
      </c>
      <c r="F729" s="22">
        <v>43995</v>
      </c>
      <c r="G729" t="s">
        <v>965</v>
      </c>
      <c r="H729" t="s">
        <v>28</v>
      </c>
      <c r="I729" t="s">
        <v>23</v>
      </c>
      <c r="J729" t="s">
        <v>60</v>
      </c>
      <c r="K729" t="s">
        <v>110</v>
      </c>
      <c r="L729" t="s">
        <v>753</v>
      </c>
      <c r="M729">
        <v>2015</v>
      </c>
      <c r="N729" t="s">
        <v>859</v>
      </c>
      <c r="O729" t="s">
        <v>866</v>
      </c>
      <c r="P729" t="s">
        <v>21</v>
      </c>
      <c r="Q729" t="s">
        <v>21</v>
      </c>
      <c r="R729" t="s">
        <v>867</v>
      </c>
      <c r="S729" t="s">
        <v>867</v>
      </c>
      <c r="T729" t="s">
        <v>948</v>
      </c>
      <c r="U729" t="s">
        <v>961</v>
      </c>
      <c r="V729" s="28" t="s">
        <v>1458</v>
      </c>
      <c r="W729" s="28" t="s">
        <v>1459</v>
      </c>
      <c r="X729" s="28" t="s">
        <v>3366</v>
      </c>
      <c r="Y729" s="28" t="s">
        <v>3367</v>
      </c>
      <c r="Z729" s="28" t="s">
        <v>3368</v>
      </c>
      <c r="AA729" s="28" t="s">
        <v>3369</v>
      </c>
      <c r="AB729" s="28" t="s">
        <v>3370</v>
      </c>
      <c r="AC729" s="28" t="s">
        <v>3371</v>
      </c>
    </row>
    <row r="730" spans="1:29">
      <c r="A730">
        <v>20</v>
      </c>
      <c r="B730">
        <v>2024</v>
      </c>
      <c r="C730">
        <v>2024</v>
      </c>
      <c r="D730" t="s">
        <v>23</v>
      </c>
      <c r="E730" s="22">
        <v>43995</v>
      </c>
      <c r="F730" s="22">
        <v>43995</v>
      </c>
      <c r="G730" t="s">
        <v>965</v>
      </c>
      <c r="H730" t="s">
        <v>28</v>
      </c>
      <c r="I730" t="s">
        <v>23</v>
      </c>
      <c r="J730" t="s">
        <v>60</v>
      </c>
      <c r="K730" t="s">
        <v>110</v>
      </c>
      <c r="L730" t="s">
        <v>754</v>
      </c>
      <c r="M730">
        <v>2014</v>
      </c>
      <c r="N730" t="s">
        <v>859</v>
      </c>
      <c r="O730" t="s">
        <v>866</v>
      </c>
      <c r="P730" t="s">
        <v>21</v>
      </c>
      <c r="Q730" t="s">
        <v>21</v>
      </c>
      <c r="R730" t="s">
        <v>867</v>
      </c>
      <c r="S730" t="s">
        <v>867</v>
      </c>
      <c r="T730" t="s">
        <v>948</v>
      </c>
      <c r="U730" t="s">
        <v>961</v>
      </c>
      <c r="V730" s="28" t="s">
        <v>1458</v>
      </c>
      <c r="W730" s="28" t="s">
        <v>1459</v>
      </c>
      <c r="X730" s="28" t="s">
        <v>3366</v>
      </c>
      <c r="Y730" s="28" t="s">
        <v>3367</v>
      </c>
      <c r="Z730" s="28" t="s">
        <v>3368</v>
      </c>
      <c r="AA730" s="28" t="s">
        <v>3369</v>
      </c>
      <c r="AB730" s="28" t="s">
        <v>3370</v>
      </c>
      <c r="AC730" s="28" t="s">
        <v>3371</v>
      </c>
    </row>
    <row r="731" spans="1:29">
      <c r="A731">
        <v>19</v>
      </c>
      <c r="B731">
        <v>2024</v>
      </c>
      <c r="C731">
        <v>2024</v>
      </c>
      <c r="D731" t="s">
        <v>23</v>
      </c>
      <c r="E731" s="22">
        <v>43995</v>
      </c>
      <c r="F731" s="22">
        <v>43995</v>
      </c>
      <c r="G731" t="s">
        <v>965</v>
      </c>
      <c r="H731" t="s">
        <v>28</v>
      </c>
      <c r="I731" t="s">
        <v>23</v>
      </c>
      <c r="J731" t="s">
        <v>60</v>
      </c>
      <c r="K731" t="s">
        <v>110</v>
      </c>
      <c r="L731" t="s">
        <v>755</v>
      </c>
      <c r="M731">
        <v>2015</v>
      </c>
      <c r="N731" t="s">
        <v>859</v>
      </c>
      <c r="O731" t="s">
        <v>866</v>
      </c>
      <c r="P731" t="s">
        <v>21</v>
      </c>
      <c r="Q731" t="s">
        <v>21</v>
      </c>
      <c r="R731" t="s">
        <v>916</v>
      </c>
      <c r="S731" t="s">
        <v>916</v>
      </c>
      <c r="T731" t="s">
        <v>28</v>
      </c>
      <c r="U731" t="s">
        <v>961</v>
      </c>
      <c r="V731" s="28" t="s">
        <v>1274</v>
      </c>
      <c r="W731" s="28" t="s">
        <v>1275</v>
      </c>
      <c r="X731" s="28" t="s">
        <v>2527</v>
      </c>
      <c r="Y731" s="28" t="s">
        <v>2528</v>
      </c>
      <c r="Z731" s="28" t="s">
        <v>3372</v>
      </c>
      <c r="AA731" s="28" t="s">
        <v>3373</v>
      </c>
      <c r="AB731" s="28" t="s">
        <v>3374</v>
      </c>
      <c r="AC731" s="28" t="s">
        <v>3375</v>
      </c>
    </row>
    <row r="732" spans="1:29">
      <c r="A732">
        <v>21</v>
      </c>
      <c r="B732">
        <v>2025</v>
      </c>
      <c r="C732">
        <v>2025</v>
      </c>
      <c r="D732" t="s">
        <v>23</v>
      </c>
      <c r="E732" s="22">
        <v>43998</v>
      </c>
      <c r="F732" s="22">
        <v>43998</v>
      </c>
      <c r="G732" t="s">
        <v>965</v>
      </c>
      <c r="H732" t="s">
        <v>28</v>
      </c>
      <c r="I732" t="s">
        <v>23</v>
      </c>
      <c r="J732" t="s">
        <v>60</v>
      </c>
      <c r="K732" t="s">
        <v>110</v>
      </c>
      <c r="L732" t="s">
        <v>756</v>
      </c>
      <c r="M732">
        <v>2014</v>
      </c>
      <c r="N732" t="s">
        <v>859</v>
      </c>
      <c r="O732" t="s">
        <v>866</v>
      </c>
      <c r="P732" t="s">
        <v>21</v>
      </c>
      <c r="Q732" t="s">
        <v>21</v>
      </c>
      <c r="R732" t="s">
        <v>867</v>
      </c>
      <c r="S732" t="s">
        <v>867</v>
      </c>
      <c r="T732" t="s">
        <v>948</v>
      </c>
      <c r="U732" t="s">
        <v>961</v>
      </c>
      <c r="V732" s="28" t="s">
        <v>1460</v>
      </c>
      <c r="W732" s="28" t="s">
        <v>1459</v>
      </c>
      <c r="X732" s="28" t="s">
        <v>3376</v>
      </c>
      <c r="Y732" s="28" t="s">
        <v>3367</v>
      </c>
      <c r="Z732" s="28" t="s">
        <v>3377</v>
      </c>
      <c r="AA732" s="28" t="s">
        <v>3369</v>
      </c>
      <c r="AB732" s="28" t="s">
        <v>3378</v>
      </c>
      <c r="AC732" s="28" t="s">
        <v>3371</v>
      </c>
    </row>
    <row r="733" spans="1:29">
      <c r="A733">
        <v>22</v>
      </c>
      <c r="B733">
        <v>2025</v>
      </c>
      <c r="C733">
        <v>2025</v>
      </c>
      <c r="D733" t="s">
        <v>23</v>
      </c>
      <c r="E733" s="22">
        <v>43999</v>
      </c>
      <c r="F733" s="22">
        <v>43999</v>
      </c>
      <c r="G733" t="s">
        <v>965</v>
      </c>
      <c r="H733" t="s">
        <v>28</v>
      </c>
      <c r="I733" t="s">
        <v>23</v>
      </c>
      <c r="J733" t="s">
        <v>60</v>
      </c>
      <c r="K733" t="s">
        <v>110</v>
      </c>
      <c r="L733" t="s">
        <v>757</v>
      </c>
      <c r="M733">
        <v>2014</v>
      </c>
      <c r="N733" t="s">
        <v>859</v>
      </c>
      <c r="O733" t="s">
        <v>866</v>
      </c>
      <c r="P733" t="s">
        <v>21</v>
      </c>
      <c r="Q733" t="s">
        <v>21</v>
      </c>
      <c r="R733" t="s">
        <v>867</v>
      </c>
      <c r="S733" t="s">
        <v>867</v>
      </c>
      <c r="T733" t="s">
        <v>948</v>
      </c>
      <c r="U733" t="s">
        <v>961</v>
      </c>
      <c r="V733" s="28" t="s">
        <v>1460</v>
      </c>
      <c r="W733" s="28" t="s">
        <v>1459</v>
      </c>
      <c r="X733" s="28" t="s">
        <v>3376</v>
      </c>
      <c r="Y733" s="28" t="s">
        <v>3367</v>
      </c>
      <c r="Z733" s="28" t="s">
        <v>3377</v>
      </c>
      <c r="AA733" s="28" t="s">
        <v>3369</v>
      </c>
      <c r="AB733" s="28" t="s">
        <v>3378</v>
      </c>
      <c r="AC733" s="28" t="s">
        <v>3371</v>
      </c>
    </row>
    <row r="734" spans="1:29">
      <c r="A734">
        <v>23</v>
      </c>
      <c r="B734">
        <v>2026</v>
      </c>
      <c r="C734">
        <v>2026</v>
      </c>
      <c r="D734" t="s">
        <v>23</v>
      </c>
      <c r="E734" s="22">
        <v>44005</v>
      </c>
      <c r="F734" s="22">
        <v>44005</v>
      </c>
      <c r="G734" t="s">
        <v>965</v>
      </c>
      <c r="H734" t="s">
        <v>28</v>
      </c>
      <c r="I734" t="s">
        <v>23</v>
      </c>
      <c r="J734" t="s">
        <v>60</v>
      </c>
      <c r="K734" t="s">
        <v>110</v>
      </c>
      <c r="L734" t="s">
        <v>758</v>
      </c>
      <c r="M734">
        <v>2020</v>
      </c>
      <c r="N734" t="s">
        <v>859</v>
      </c>
      <c r="O734" t="s">
        <v>866</v>
      </c>
      <c r="P734" t="s">
        <v>21</v>
      </c>
      <c r="Q734" t="s">
        <v>21</v>
      </c>
      <c r="R734" t="s">
        <v>924</v>
      </c>
      <c r="S734" t="s">
        <v>924</v>
      </c>
      <c r="T734" t="s">
        <v>951</v>
      </c>
      <c r="U734" t="s">
        <v>961</v>
      </c>
      <c r="V734" s="28" t="s">
        <v>1461</v>
      </c>
      <c r="W734" s="28" t="s">
        <v>1462</v>
      </c>
      <c r="X734" s="28" t="s">
        <v>3379</v>
      </c>
      <c r="Y734" s="28" t="s">
        <v>3380</v>
      </c>
      <c r="Z734" s="28" t="s">
        <v>3381</v>
      </c>
      <c r="AA734" s="28" t="s">
        <v>3382</v>
      </c>
      <c r="AB734" s="28" t="s">
        <v>3383</v>
      </c>
      <c r="AC734" s="28" t="s">
        <v>3384</v>
      </c>
    </row>
    <row r="735" spans="1:29">
      <c r="A735">
        <v>24</v>
      </c>
      <c r="B735">
        <v>2026</v>
      </c>
      <c r="C735">
        <v>2026</v>
      </c>
      <c r="D735" t="s">
        <v>23</v>
      </c>
      <c r="E735" s="22">
        <v>44006</v>
      </c>
      <c r="F735" s="22">
        <v>44006</v>
      </c>
      <c r="G735" t="s">
        <v>965</v>
      </c>
      <c r="H735" t="s">
        <v>28</v>
      </c>
      <c r="I735" t="s">
        <v>23</v>
      </c>
      <c r="J735" t="s">
        <v>60</v>
      </c>
      <c r="K735" t="s">
        <v>110</v>
      </c>
      <c r="L735" t="s">
        <v>759</v>
      </c>
      <c r="M735">
        <v>2012</v>
      </c>
      <c r="N735" t="s">
        <v>859</v>
      </c>
      <c r="O735" t="s">
        <v>866</v>
      </c>
      <c r="P735" t="s">
        <v>21</v>
      </c>
      <c r="Q735" t="s">
        <v>21</v>
      </c>
      <c r="R735" t="s">
        <v>911</v>
      </c>
      <c r="S735" t="s">
        <v>911</v>
      </c>
      <c r="T735" t="s">
        <v>28</v>
      </c>
      <c r="U735" t="s">
        <v>961</v>
      </c>
      <c r="V735" s="28" t="s">
        <v>1280</v>
      </c>
      <c r="W735" s="28" t="s">
        <v>1275</v>
      </c>
      <c r="X735" s="28" t="s">
        <v>2548</v>
      </c>
      <c r="Y735" s="28" t="s">
        <v>2528</v>
      </c>
      <c r="Z735" s="28" t="s">
        <v>3385</v>
      </c>
      <c r="AA735" s="28" t="s">
        <v>3373</v>
      </c>
      <c r="AB735" s="28" t="s">
        <v>3386</v>
      </c>
      <c r="AC735" s="28" t="s">
        <v>3375</v>
      </c>
    </row>
    <row r="736" spans="1:29">
      <c r="A736">
        <v>25</v>
      </c>
      <c r="B736">
        <v>2030</v>
      </c>
      <c r="C736">
        <v>2030</v>
      </c>
      <c r="D736" t="s">
        <v>23</v>
      </c>
      <c r="E736" s="22">
        <v>44032</v>
      </c>
      <c r="F736" s="22">
        <v>44032</v>
      </c>
      <c r="G736" t="s">
        <v>965</v>
      </c>
      <c r="H736" t="s">
        <v>28</v>
      </c>
      <c r="I736" t="s">
        <v>23</v>
      </c>
      <c r="J736" t="s">
        <v>60</v>
      </c>
      <c r="K736" t="s">
        <v>110</v>
      </c>
      <c r="L736" t="s">
        <v>760</v>
      </c>
      <c r="M736">
        <v>2026</v>
      </c>
      <c r="N736" t="s">
        <v>859</v>
      </c>
      <c r="O736" t="s">
        <v>866</v>
      </c>
      <c r="P736" t="s">
        <v>21</v>
      </c>
      <c r="Q736" t="s">
        <v>21</v>
      </c>
      <c r="R736" t="s">
        <v>911</v>
      </c>
      <c r="S736" t="s">
        <v>911</v>
      </c>
      <c r="T736" t="s">
        <v>28</v>
      </c>
      <c r="U736" t="s">
        <v>961</v>
      </c>
      <c r="V736" s="28" t="s">
        <v>1463</v>
      </c>
      <c r="W736" s="28" t="s">
        <v>1287</v>
      </c>
      <c r="X736" s="28" t="s">
        <v>3387</v>
      </c>
      <c r="Y736" s="28" t="s">
        <v>2567</v>
      </c>
      <c r="Z736" s="28" t="s">
        <v>3388</v>
      </c>
      <c r="AA736" s="28" t="s">
        <v>3389</v>
      </c>
      <c r="AB736" s="28" t="s">
        <v>3390</v>
      </c>
      <c r="AC736" s="28" t="s">
        <v>3391</v>
      </c>
    </row>
    <row r="737" spans="1:29">
      <c r="A737">
        <v>26</v>
      </c>
      <c r="B737">
        <v>2030</v>
      </c>
      <c r="C737">
        <v>2030</v>
      </c>
      <c r="D737" t="s">
        <v>23</v>
      </c>
      <c r="E737" s="22">
        <v>44032</v>
      </c>
      <c r="F737" s="22">
        <v>44032</v>
      </c>
      <c r="G737" t="s">
        <v>965</v>
      </c>
      <c r="H737" t="s">
        <v>28</v>
      </c>
      <c r="I737" t="s">
        <v>23</v>
      </c>
      <c r="J737" t="s">
        <v>60</v>
      </c>
      <c r="K737" t="s">
        <v>110</v>
      </c>
      <c r="L737" t="s">
        <v>761</v>
      </c>
      <c r="M737">
        <v>2025</v>
      </c>
      <c r="N737" t="s">
        <v>859</v>
      </c>
      <c r="O737" t="s">
        <v>866</v>
      </c>
      <c r="P737" t="s">
        <v>21</v>
      </c>
      <c r="Q737" t="s">
        <v>21</v>
      </c>
      <c r="R737" t="s">
        <v>891</v>
      </c>
      <c r="S737" t="s">
        <v>891</v>
      </c>
      <c r="T737" t="s">
        <v>891</v>
      </c>
      <c r="U737" t="s">
        <v>961</v>
      </c>
      <c r="V737" s="28" t="s">
        <v>1464</v>
      </c>
      <c r="W737" s="28" t="s">
        <v>1465</v>
      </c>
      <c r="X737" s="28" t="s">
        <v>3392</v>
      </c>
      <c r="Y737" s="28" t="s">
        <v>3393</v>
      </c>
      <c r="Z737" s="28" t="s">
        <v>3394</v>
      </c>
      <c r="AA737" s="28" t="s">
        <v>3395</v>
      </c>
      <c r="AB737" s="28" t="s">
        <v>3396</v>
      </c>
      <c r="AC737" s="28" t="s">
        <v>3397</v>
      </c>
    </row>
    <row r="738" spans="1:29">
      <c r="A738">
        <v>27</v>
      </c>
      <c r="B738">
        <v>2032</v>
      </c>
      <c r="C738">
        <v>2032</v>
      </c>
      <c r="D738" t="s">
        <v>23</v>
      </c>
      <c r="E738" s="22">
        <v>44048</v>
      </c>
      <c r="F738" s="22">
        <v>44048</v>
      </c>
      <c r="G738" t="s">
        <v>965</v>
      </c>
      <c r="H738" t="s">
        <v>28</v>
      </c>
      <c r="I738" t="s">
        <v>23</v>
      </c>
      <c r="J738" t="s">
        <v>60</v>
      </c>
      <c r="K738" t="s">
        <v>110</v>
      </c>
      <c r="L738" t="s">
        <v>762</v>
      </c>
      <c r="M738">
        <v>2026</v>
      </c>
      <c r="N738" t="s">
        <v>859</v>
      </c>
      <c r="O738" t="s">
        <v>866</v>
      </c>
      <c r="P738" t="s">
        <v>21</v>
      </c>
      <c r="Q738" t="s">
        <v>21</v>
      </c>
      <c r="R738" t="s">
        <v>867</v>
      </c>
      <c r="S738" t="s">
        <v>867</v>
      </c>
      <c r="T738" t="s">
        <v>948</v>
      </c>
      <c r="U738" t="s">
        <v>961</v>
      </c>
      <c r="V738" s="28" t="s">
        <v>1466</v>
      </c>
      <c r="W738" s="28" t="s">
        <v>1467</v>
      </c>
      <c r="X738" s="28" t="s">
        <v>3398</v>
      </c>
      <c r="Y738" s="28" t="s">
        <v>3399</v>
      </c>
      <c r="Z738" s="28" t="s">
        <v>3400</v>
      </c>
      <c r="AA738" s="28" t="s">
        <v>3401</v>
      </c>
      <c r="AB738" s="28" t="s">
        <v>3402</v>
      </c>
      <c r="AC738" s="28" t="s">
        <v>3403</v>
      </c>
    </row>
    <row r="739" spans="1:29">
      <c r="A739">
        <v>28</v>
      </c>
      <c r="B739">
        <v>2032</v>
      </c>
      <c r="C739">
        <v>2032</v>
      </c>
      <c r="D739" t="s">
        <v>23</v>
      </c>
      <c r="E739" s="22">
        <v>44049</v>
      </c>
      <c r="F739" s="22">
        <v>44049</v>
      </c>
      <c r="G739" t="s">
        <v>965</v>
      </c>
      <c r="H739" t="s">
        <v>28</v>
      </c>
      <c r="I739" t="s">
        <v>23</v>
      </c>
      <c r="J739" t="s">
        <v>60</v>
      </c>
      <c r="K739" t="s">
        <v>110</v>
      </c>
      <c r="L739" t="s">
        <v>763</v>
      </c>
      <c r="M739">
        <v>2029</v>
      </c>
      <c r="N739" t="s">
        <v>859</v>
      </c>
      <c r="O739" t="s">
        <v>866</v>
      </c>
      <c r="P739" t="s">
        <v>21</v>
      </c>
      <c r="Q739" t="s">
        <v>21</v>
      </c>
      <c r="R739" t="s">
        <v>868</v>
      </c>
      <c r="S739" t="s">
        <v>868</v>
      </c>
      <c r="T739" t="s">
        <v>891</v>
      </c>
      <c r="U739" t="s">
        <v>961</v>
      </c>
      <c r="V739" s="28" t="s">
        <v>1468</v>
      </c>
      <c r="W739" s="28" t="s">
        <v>1256</v>
      </c>
      <c r="X739" s="28" t="s">
        <v>3404</v>
      </c>
      <c r="Y739" s="28" t="s">
        <v>3405</v>
      </c>
      <c r="Z739" s="28" t="s">
        <v>3406</v>
      </c>
      <c r="AA739" s="28" t="s">
        <v>3407</v>
      </c>
      <c r="AB739" s="28" t="s">
        <v>3408</v>
      </c>
      <c r="AC739" s="28" t="s">
        <v>3409</v>
      </c>
    </row>
    <row r="740" spans="1:29">
      <c r="A740">
        <v>29</v>
      </c>
      <c r="B740">
        <v>2032</v>
      </c>
      <c r="C740">
        <v>2032</v>
      </c>
      <c r="D740" t="s">
        <v>23</v>
      </c>
      <c r="E740" s="22">
        <v>44049</v>
      </c>
      <c r="F740" s="22">
        <v>44049</v>
      </c>
      <c r="G740" t="s">
        <v>965</v>
      </c>
      <c r="H740" t="s">
        <v>28</v>
      </c>
      <c r="I740" t="s">
        <v>23</v>
      </c>
      <c r="J740" t="s">
        <v>60</v>
      </c>
      <c r="K740" t="s">
        <v>110</v>
      </c>
      <c r="L740" t="s">
        <v>764</v>
      </c>
      <c r="M740">
        <v>2029</v>
      </c>
      <c r="N740" t="s">
        <v>859</v>
      </c>
      <c r="O740" t="s">
        <v>866</v>
      </c>
      <c r="P740" t="s">
        <v>21</v>
      </c>
      <c r="Q740" t="s">
        <v>21</v>
      </c>
      <c r="R740" t="s">
        <v>924</v>
      </c>
      <c r="S740" t="s">
        <v>947</v>
      </c>
      <c r="T740" t="s">
        <v>954</v>
      </c>
      <c r="U740" t="s">
        <v>961</v>
      </c>
      <c r="V740" s="28" t="s">
        <v>1469</v>
      </c>
      <c r="W740" s="28" t="s">
        <v>1366</v>
      </c>
      <c r="X740" s="28" t="s">
        <v>3410</v>
      </c>
      <c r="Y740" s="28" t="s">
        <v>2869</v>
      </c>
      <c r="Z740" s="28" t="s">
        <v>3411</v>
      </c>
      <c r="AA740" s="28" t="s">
        <v>3412</v>
      </c>
      <c r="AB740" s="28" t="s">
        <v>3413</v>
      </c>
      <c r="AC740" s="28" t="s">
        <v>3414</v>
      </c>
    </row>
    <row r="741" spans="1:29">
      <c r="A741">
        <v>30</v>
      </c>
      <c r="B741">
        <v>2032</v>
      </c>
      <c r="C741">
        <v>2032</v>
      </c>
      <c r="D741" t="s">
        <v>23</v>
      </c>
      <c r="E741" s="22">
        <v>44049</v>
      </c>
      <c r="F741" s="22">
        <v>44049</v>
      </c>
      <c r="G741" t="s">
        <v>965</v>
      </c>
      <c r="H741" t="s">
        <v>28</v>
      </c>
      <c r="I741" t="s">
        <v>23</v>
      </c>
      <c r="J741" t="s">
        <v>60</v>
      </c>
      <c r="K741" t="s">
        <v>110</v>
      </c>
      <c r="L741" t="s">
        <v>765</v>
      </c>
      <c r="M741">
        <v>2029</v>
      </c>
      <c r="N741" t="s">
        <v>859</v>
      </c>
      <c r="O741" t="s">
        <v>866</v>
      </c>
      <c r="P741" t="s">
        <v>21</v>
      </c>
      <c r="Q741" t="s">
        <v>21</v>
      </c>
      <c r="R741" t="s">
        <v>925</v>
      </c>
      <c r="S741" t="s">
        <v>925</v>
      </c>
      <c r="T741" t="s">
        <v>28</v>
      </c>
      <c r="U741" t="s">
        <v>961</v>
      </c>
      <c r="V741" s="28" t="s">
        <v>1363</v>
      </c>
      <c r="W741" s="28" t="s">
        <v>1297</v>
      </c>
      <c r="X741" s="28" t="s">
        <v>2854</v>
      </c>
      <c r="Y741" s="28" t="s">
        <v>2603</v>
      </c>
      <c r="Z741" s="28" t="s">
        <v>3415</v>
      </c>
      <c r="AA741" s="28" t="s">
        <v>3416</v>
      </c>
      <c r="AB741" s="28" t="s">
        <v>3417</v>
      </c>
      <c r="AC741" s="28" t="s">
        <v>3418</v>
      </c>
    </row>
    <row r="742" spans="1:29">
      <c r="A742">
        <v>31</v>
      </c>
      <c r="B742">
        <v>2032</v>
      </c>
      <c r="C742">
        <v>2032</v>
      </c>
      <c r="D742" t="s">
        <v>23</v>
      </c>
      <c r="E742" s="22">
        <v>44049</v>
      </c>
      <c r="F742" s="22">
        <v>44049</v>
      </c>
      <c r="G742" t="s">
        <v>965</v>
      </c>
      <c r="H742" t="s">
        <v>28</v>
      </c>
      <c r="I742" t="s">
        <v>23</v>
      </c>
      <c r="J742" t="s">
        <v>60</v>
      </c>
      <c r="K742" t="s">
        <v>110</v>
      </c>
      <c r="L742" t="s">
        <v>766</v>
      </c>
      <c r="M742">
        <v>2029</v>
      </c>
      <c r="N742" t="s">
        <v>859</v>
      </c>
      <c r="O742" t="s">
        <v>866</v>
      </c>
      <c r="P742" t="s">
        <v>21</v>
      </c>
      <c r="Q742" t="s">
        <v>21</v>
      </c>
      <c r="R742" t="s">
        <v>867</v>
      </c>
      <c r="S742" t="s">
        <v>867</v>
      </c>
      <c r="T742" t="s">
        <v>948</v>
      </c>
      <c r="U742" t="s">
        <v>961</v>
      </c>
      <c r="V742" s="28" t="s">
        <v>1466</v>
      </c>
      <c r="W742" s="28" t="s">
        <v>1467</v>
      </c>
      <c r="X742" s="28" t="s">
        <v>3398</v>
      </c>
      <c r="Y742" s="28" t="s">
        <v>3399</v>
      </c>
      <c r="Z742" s="28" t="s">
        <v>3400</v>
      </c>
      <c r="AA742" s="28" t="s">
        <v>3401</v>
      </c>
      <c r="AB742" s="28" t="s">
        <v>3402</v>
      </c>
      <c r="AC742" s="28" t="s">
        <v>3403</v>
      </c>
    </row>
    <row r="743" spans="1:29">
      <c r="A743">
        <v>32</v>
      </c>
      <c r="B743">
        <v>2032</v>
      </c>
      <c r="C743">
        <v>2032</v>
      </c>
      <c r="D743" t="s">
        <v>23</v>
      </c>
      <c r="E743" s="22">
        <v>44049</v>
      </c>
      <c r="F743" s="22">
        <v>44049</v>
      </c>
      <c r="G743" t="s">
        <v>965</v>
      </c>
      <c r="H743" t="s">
        <v>28</v>
      </c>
      <c r="I743" t="s">
        <v>23</v>
      </c>
      <c r="J743" t="s">
        <v>60</v>
      </c>
      <c r="K743" t="s">
        <v>110</v>
      </c>
      <c r="L743" t="s">
        <v>767</v>
      </c>
      <c r="M743">
        <v>2026</v>
      </c>
      <c r="N743" t="s">
        <v>859</v>
      </c>
      <c r="O743" t="s">
        <v>866</v>
      </c>
      <c r="P743" t="s">
        <v>21</v>
      </c>
      <c r="Q743" t="s">
        <v>21</v>
      </c>
      <c r="R743" t="s">
        <v>867</v>
      </c>
      <c r="S743" t="s">
        <v>867</v>
      </c>
      <c r="T743" t="s">
        <v>948</v>
      </c>
      <c r="U743" t="s">
        <v>961</v>
      </c>
      <c r="V743" s="28" t="s">
        <v>1466</v>
      </c>
      <c r="W743" s="28" t="s">
        <v>1467</v>
      </c>
      <c r="X743" s="28" t="s">
        <v>3398</v>
      </c>
      <c r="Y743" s="28" t="s">
        <v>3399</v>
      </c>
      <c r="Z743" s="28" t="s">
        <v>3400</v>
      </c>
      <c r="AA743" s="28" t="s">
        <v>3401</v>
      </c>
      <c r="AB743" s="28" t="s">
        <v>3402</v>
      </c>
      <c r="AC743" s="28" t="s">
        <v>3403</v>
      </c>
    </row>
    <row r="744" spans="1:29">
      <c r="A744">
        <v>33</v>
      </c>
      <c r="B744">
        <v>2032</v>
      </c>
      <c r="C744">
        <v>2032</v>
      </c>
      <c r="D744" t="s">
        <v>23</v>
      </c>
      <c r="E744" s="22">
        <v>44049</v>
      </c>
      <c r="F744" s="22">
        <v>44049</v>
      </c>
      <c r="G744" t="s">
        <v>965</v>
      </c>
      <c r="H744" t="s">
        <v>28</v>
      </c>
      <c r="I744" t="s">
        <v>23</v>
      </c>
      <c r="J744" t="s">
        <v>60</v>
      </c>
      <c r="K744" t="s">
        <v>110</v>
      </c>
      <c r="L744" t="s">
        <v>768</v>
      </c>
      <c r="M744">
        <v>2029</v>
      </c>
      <c r="N744" t="s">
        <v>859</v>
      </c>
      <c r="O744" t="s">
        <v>866</v>
      </c>
      <c r="P744" t="s">
        <v>21</v>
      </c>
      <c r="Q744" t="s">
        <v>21</v>
      </c>
      <c r="R744" t="s">
        <v>922</v>
      </c>
      <c r="S744" t="s">
        <v>922</v>
      </c>
      <c r="T744" t="s">
        <v>28</v>
      </c>
      <c r="U744" t="s">
        <v>961</v>
      </c>
      <c r="V744" s="28" t="s">
        <v>1363</v>
      </c>
      <c r="W744" s="28" t="s">
        <v>1297</v>
      </c>
      <c r="X744" s="28" t="s">
        <v>2854</v>
      </c>
      <c r="Y744" s="28" t="s">
        <v>2603</v>
      </c>
      <c r="Z744" s="28" t="s">
        <v>3415</v>
      </c>
      <c r="AA744" s="28" t="s">
        <v>3416</v>
      </c>
      <c r="AB744" s="28" t="s">
        <v>3417</v>
      </c>
      <c r="AC744" s="28" t="s">
        <v>3418</v>
      </c>
    </row>
    <row r="745" spans="1:29">
      <c r="A745">
        <v>34</v>
      </c>
      <c r="B745">
        <v>2032</v>
      </c>
      <c r="C745">
        <v>2032</v>
      </c>
      <c r="D745" t="s">
        <v>23</v>
      </c>
      <c r="E745" s="22">
        <v>44050</v>
      </c>
      <c r="F745" s="22">
        <v>44050</v>
      </c>
      <c r="G745" t="s">
        <v>965</v>
      </c>
      <c r="H745" t="s">
        <v>28</v>
      </c>
      <c r="I745" t="s">
        <v>23</v>
      </c>
      <c r="J745" t="s">
        <v>60</v>
      </c>
      <c r="K745" t="s">
        <v>110</v>
      </c>
      <c r="L745" t="s">
        <v>769</v>
      </c>
      <c r="M745">
        <v>2029</v>
      </c>
      <c r="N745" t="s">
        <v>859</v>
      </c>
      <c r="O745" t="s">
        <v>866</v>
      </c>
      <c r="P745" t="s">
        <v>21</v>
      </c>
      <c r="Q745" t="s">
        <v>21</v>
      </c>
      <c r="R745" t="s">
        <v>868</v>
      </c>
      <c r="S745" t="s">
        <v>868</v>
      </c>
      <c r="T745" t="s">
        <v>891</v>
      </c>
      <c r="U745" t="s">
        <v>961</v>
      </c>
      <c r="V745" s="28" t="s">
        <v>1468</v>
      </c>
      <c r="W745" s="28" t="s">
        <v>1256</v>
      </c>
      <c r="X745" s="28" t="s">
        <v>3404</v>
      </c>
      <c r="Y745" s="28" t="s">
        <v>3405</v>
      </c>
      <c r="Z745" s="28" t="s">
        <v>3406</v>
      </c>
      <c r="AA745" s="28" t="s">
        <v>3407</v>
      </c>
      <c r="AB745" s="28" t="s">
        <v>3408</v>
      </c>
      <c r="AC745" s="28" t="s">
        <v>3409</v>
      </c>
    </row>
    <row r="746" spans="1:29">
      <c r="A746">
        <v>35</v>
      </c>
      <c r="B746">
        <v>2032</v>
      </c>
      <c r="C746">
        <v>2032</v>
      </c>
      <c r="D746" t="s">
        <v>23</v>
      </c>
      <c r="E746" s="22">
        <v>44050</v>
      </c>
      <c r="F746" s="22">
        <v>44050</v>
      </c>
      <c r="G746" t="s">
        <v>965</v>
      </c>
      <c r="H746" t="s">
        <v>28</v>
      </c>
      <c r="I746" t="s">
        <v>23</v>
      </c>
      <c r="J746" t="s">
        <v>60</v>
      </c>
      <c r="K746" t="s">
        <v>110</v>
      </c>
      <c r="L746" t="s">
        <v>770</v>
      </c>
      <c r="M746">
        <v>2026</v>
      </c>
      <c r="N746" t="s">
        <v>859</v>
      </c>
      <c r="O746" t="s">
        <v>866</v>
      </c>
      <c r="P746" t="s">
        <v>21</v>
      </c>
      <c r="Q746" t="s">
        <v>21</v>
      </c>
      <c r="R746" t="s">
        <v>881</v>
      </c>
      <c r="S746" t="s">
        <v>881</v>
      </c>
      <c r="T746" t="s">
        <v>949</v>
      </c>
      <c r="U746" t="s">
        <v>961</v>
      </c>
      <c r="V746" s="28" t="s">
        <v>1347</v>
      </c>
      <c r="W746" s="28" t="s">
        <v>1348</v>
      </c>
      <c r="X746" s="28" t="s">
        <v>2782</v>
      </c>
      <c r="Y746" s="28" t="s">
        <v>2783</v>
      </c>
      <c r="Z746" s="28" t="s">
        <v>3419</v>
      </c>
      <c r="AA746" s="28" t="s">
        <v>3420</v>
      </c>
      <c r="AB746" s="28" t="s">
        <v>3421</v>
      </c>
      <c r="AC746" s="28" t="s">
        <v>3422</v>
      </c>
    </row>
    <row r="747" spans="1:29">
      <c r="A747">
        <v>36</v>
      </c>
      <c r="B747">
        <v>2033</v>
      </c>
      <c r="C747">
        <v>2033</v>
      </c>
      <c r="D747" t="s">
        <v>23</v>
      </c>
      <c r="E747" s="22">
        <v>44053</v>
      </c>
      <c r="F747" s="22">
        <v>44053</v>
      </c>
      <c r="G747" t="s">
        <v>965</v>
      </c>
      <c r="H747" t="s">
        <v>28</v>
      </c>
      <c r="I747" t="s">
        <v>23</v>
      </c>
      <c r="J747" t="s">
        <v>60</v>
      </c>
      <c r="K747" t="s">
        <v>110</v>
      </c>
      <c r="L747" t="s">
        <v>771</v>
      </c>
      <c r="M747">
        <v>2029</v>
      </c>
      <c r="N747" t="s">
        <v>859</v>
      </c>
      <c r="O747" t="s">
        <v>866</v>
      </c>
      <c r="P747" t="s">
        <v>21</v>
      </c>
      <c r="Q747" t="s">
        <v>21</v>
      </c>
      <c r="R747" t="s">
        <v>911</v>
      </c>
      <c r="S747" t="s">
        <v>911</v>
      </c>
      <c r="T747" t="s">
        <v>28</v>
      </c>
      <c r="U747" t="s">
        <v>961</v>
      </c>
      <c r="V747" s="28" t="s">
        <v>1296</v>
      </c>
      <c r="W747" s="28" t="s">
        <v>1297</v>
      </c>
      <c r="X747" s="28" t="s">
        <v>2602</v>
      </c>
      <c r="Y747" s="28" t="s">
        <v>2603</v>
      </c>
      <c r="Z747" s="28" t="s">
        <v>3423</v>
      </c>
      <c r="AA747" s="28" t="s">
        <v>3416</v>
      </c>
      <c r="AB747" s="28" t="s">
        <v>3424</v>
      </c>
      <c r="AC747" s="28" t="s">
        <v>3418</v>
      </c>
    </row>
    <row r="748" spans="1:29">
      <c r="A748">
        <v>37</v>
      </c>
      <c r="B748">
        <v>2033</v>
      </c>
      <c r="C748">
        <v>2033</v>
      </c>
      <c r="D748" t="s">
        <v>23</v>
      </c>
      <c r="E748" s="22">
        <v>44058</v>
      </c>
      <c r="F748" s="22">
        <v>44058</v>
      </c>
      <c r="G748" t="s">
        <v>965</v>
      </c>
      <c r="H748" t="s">
        <v>28</v>
      </c>
      <c r="I748" t="s">
        <v>23</v>
      </c>
      <c r="J748" t="s">
        <v>60</v>
      </c>
      <c r="K748" t="s">
        <v>110</v>
      </c>
      <c r="L748" t="s">
        <v>772</v>
      </c>
      <c r="M748">
        <v>2027</v>
      </c>
      <c r="N748" t="s">
        <v>859</v>
      </c>
      <c r="O748" t="s">
        <v>866</v>
      </c>
      <c r="P748" t="s">
        <v>21</v>
      </c>
      <c r="Q748" t="s">
        <v>21</v>
      </c>
      <c r="R748" t="s">
        <v>942</v>
      </c>
      <c r="S748" t="s">
        <v>942</v>
      </c>
      <c r="T748" t="s">
        <v>28</v>
      </c>
      <c r="U748" t="s">
        <v>961</v>
      </c>
      <c r="V748" s="28" t="s">
        <v>1296</v>
      </c>
      <c r="W748" s="28" t="s">
        <v>1297</v>
      </c>
      <c r="X748" s="28" t="s">
        <v>2602</v>
      </c>
      <c r="Y748" s="28" t="s">
        <v>2603</v>
      </c>
      <c r="Z748" s="28" t="s">
        <v>3423</v>
      </c>
      <c r="AA748" s="28" t="s">
        <v>3416</v>
      </c>
      <c r="AB748" s="28" t="s">
        <v>3424</v>
      </c>
      <c r="AC748" s="28" t="s">
        <v>3418</v>
      </c>
    </row>
    <row r="749" spans="1:29">
      <c r="A749">
        <v>38</v>
      </c>
      <c r="B749">
        <v>2034</v>
      </c>
      <c r="C749">
        <v>2034</v>
      </c>
      <c r="D749" t="s">
        <v>23</v>
      </c>
      <c r="E749" s="22">
        <v>44060</v>
      </c>
      <c r="F749" s="22">
        <v>44060</v>
      </c>
      <c r="G749" t="s">
        <v>965</v>
      </c>
      <c r="H749" t="s">
        <v>28</v>
      </c>
      <c r="I749" t="s">
        <v>23</v>
      </c>
      <c r="J749" t="s">
        <v>60</v>
      </c>
      <c r="K749" t="s">
        <v>110</v>
      </c>
      <c r="L749" t="s">
        <v>773</v>
      </c>
      <c r="M749">
        <v>2027</v>
      </c>
      <c r="N749" t="s">
        <v>859</v>
      </c>
      <c r="O749" t="s">
        <v>866</v>
      </c>
      <c r="P749" t="s">
        <v>21</v>
      </c>
      <c r="Q749" t="s">
        <v>21</v>
      </c>
      <c r="R749" t="s">
        <v>868</v>
      </c>
      <c r="S749" t="s">
        <v>868</v>
      </c>
      <c r="T749" t="s">
        <v>891</v>
      </c>
      <c r="U749" t="s">
        <v>961</v>
      </c>
      <c r="V749" s="28" t="s">
        <v>1255</v>
      </c>
      <c r="W749" s="28" t="s">
        <v>1256</v>
      </c>
      <c r="X749" s="28" t="s">
        <v>3425</v>
      </c>
      <c r="Y749" s="28" t="s">
        <v>3405</v>
      </c>
      <c r="Z749" s="28" t="s">
        <v>3426</v>
      </c>
      <c r="AA749" s="28" t="s">
        <v>3407</v>
      </c>
      <c r="AB749" s="28" t="s">
        <v>3427</v>
      </c>
      <c r="AC749" s="28" t="s">
        <v>3409</v>
      </c>
    </row>
    <row r="750" spans="1:29">
      <c r="A750">
        <v>39</v>
      </c>
      <c r="B750">
        <v>2034</v>
      </c>
      <c r="C750">
        <v>2034</v>
      </c>
      <c r="D750" t="s">
        <v>23</v>
      </c>
      <c r="E750" s="22">
        <v>44060</v>
      </c>
      <c r="F750" s="22">
        <v>44060</v>
      </c>
      <c r="G750" t="s">
        <v>965</v>
      </c>
      <c r="H750" t="s">
        <v>28</v>
      </c>
      <c r="I750" t="s">
        <v>23</v>
      </c>
      <c r="J750" t="s">
        <v>60</v>
      </c>
      <c r="K750" t="s">
        <v>110</v>
      </c>
      <c r="L750" t="s">
        <v>774</v>
      </c>
      <c r="M750">
        <v>2030</v>
      </c>
      <c r="N750" t="s">
        <v>859</v>
      </c>
      <c r="O750" t="s">
        <v>866</v>
      </c>
      <c r="P750" t="s">
        <v>21</v>
      </c>
      <c r="Q750" t="s">
        <v>21</v>
      </c>
      <c r="R750" t="s">
        <v>931</v>
      </c>
      <c r="S750" t="s">
        <v>931</v>
      </c>
      <c r="T750" t="s">
        <v>954</v>
      </c>
      <c r="U750" t="s">
        <v>961</v>
      </c>
      <c r="V750" s="28" t="s">
        <v>1365</v>
      </c>
      <c r="W750" s="28" t="s">
        <v>1366</v>
      </c>
      <c r="X750" s="28" t="s">
        <v>2868</v>
      </c>
      <c r="Y750" s="28" t="s">
        <v>2869</v>
      </c>
      <c r="Z750" s="28" t="s">
        <v>3428</v>
      </c>
      <c r="AA750" s="28" t="s">
        <v>3412</v>
      </c>
      <c r="AB750" s="28" t="s">
        <v>3429</v>
      </c>
      <c r="AC750" s="28" t="s">
        <v>3414</v>
      </c>
    </row>
    <row r="751" spans="1:29">
      <c r="A751">
        <v>40</v>
      </c>
      <c r="B751">
        <v>2034</v>
      </c>
      <c r="C751">
        <v>2034</v>
      </c>
      <c r="D751" t="s">
        <v>23</v>
      </c>
      <c r="E751" s="22">
        <v>44062</v>
      </c>
      <c r="F751" s="22">
        <v>44062</v>
      </c>
      <c r="G751" t="s">
        <v>965</v>
      </c>
      <c r="H751" t="s">
        <v>28</v>
      </c>
      <c r="I751" t="s">
        <v>23</v>
      </c>
      <c r="J751" t="s">
        <v>60</v>
      </c>
      <c r="K751" t="s">
        <v>110</v>
      </c>
      <c r="L751" t="s">
        <v>775</v>
      </c>
      <c r="M751">
        <v>2030</v>
      </c>
      <c r="N751" t="s">
        <v>859</v>
      </c>
      <c r="O751" t="s">
        <v>866</v>
      </c>
      <c r="P751" t="s">
        <v>21</v>
      </c>
      <c r="Q751" t="s">
        <v>21</v>
      </c>
      <c r="R751" t="s">
        <v>891</v>
      </c>
      <c r="S751" t="s">
        <v>891</v>
      </c>
      <c r="T751" t="s">
        <v>891</v>
      </c>
      <c r="U751" t="s">
        <v>961</v>
      </c>
      <c r="V751" s="28" t="s">
        <v>1255</v>
      </c>
      <c r="W751" s="28" t="s">
        <v>1256</v>
      </c>
      <c r="X751" s="28" t="s">
        <v>3425</v>
      </c>
      <c r="Y751" s="28" t="s">
        <v>3405</v>
      </c>
      <c r="Z751" s="28" t="s">
        <v>3426</v>
      </c>
      <c r="AA751" s="28" t="s">
        <v>3407</v>
      </c>
      <c r="AB751" s="28" t="s">
        <v>3427</v>
      </c>
      <c r="AC751" s="28" t="s">
        <v>3409</v>
      </c>
    </row>
    <row r="752" spans="1:29">
      <c r="A752">
        <v>41</v>
      </c>
      <c r="B752">
        <v>2035</v>
      </c>
      <c r="C752">
        <v>2035</v>
      </c>
      <c r="D752" t="s">
        <v>23</v>
      </c>
      <c r="E752" s="22">
        <v>44068</v>
      </c>
      <c r="F752" s="22">
        <v>44068</v>
      </c>
      <c r="G752" t="s">
        <v>965</v>
      </c>
      <c r="H752" t="s">
        <v>28</v>
      </c>
      <c r="I752" t="s">
        <v>23</v>
      </c>
      <c r="J752" t="s">
        <v>60</v>
      </c>
      <c r="K752" t="s">
        <v>110</v>
      </c>
      <c r="L752" t="s">
        <v>776</v>
      </c>
      <c r="M752">
        <v>2030</v>
      </c>
      <c r="N752" t="s">
        <v>859</v>
      </c>
      <c r="O752" t="s">
        <v>866</v>
      </c>
      <c r="P752" t="s">
        <v>21</v>
      </c>
      <c r="Q752" t="s">
        <v>21</v>
      </c>
      <c r="R752" t="s">
        <v>911</v>
      </c>
      <c r="S752" t="s">
        <v>911</v>
      </c>
      <c r="T752" t="s">
        <v>28</v>
      </c>
      <c r="U752" t="s">
        <v>961</v>
      </c>
      <c r="V752" s="28" t="s">
        <v>1367</v>
      </c>
      <c r="W752" s="28" t="s">
        <v>1297</v>
      </c>
      <c r="X752" s="28" t="s">
        <v>2874</v>
      </c>
      <c r="Y752" s="28" t="s">
        <v>2603</v>
      </c>
      <c r="Z752" s="28" t="s">
        <v>3430</v>
      </c>
      <c r="AA752" s="28" t="s">
        <v>3416</v>
      </c>
      <c r="AB752" s="28" t="s">
        <v>3431</v>
      </c>
      <c r="AC752" s="28" t="s">
        <v>3418</v>
      </c>
    </row>
    <row r="753" spans="1:29">
      <c r="A753">
        <v>42</v>
      </c>
      <c r="B753">
        <v>2035</v>
      </c>
      <c r="C753">
        <v>2035</v>
      </c>
      <c r="D753" t="s">
        <v>23</v>
      </c>
      <c r="E753" s="22">
        <v>44072</v>
      </c>
      <c r="F753" s="22">
        <v>44072</v>
      </c>
      <c r="G753" t="s">
        <v>965</v>
      </c>
      <c r="H753" t="s">
        <v>28</v>
      </c>
      <c r="I753" t="s">
        <v>23</v>
      </c>
      <c r="J753" t="s">
        <v>60</v>
      </c>
      <c r="K753" t="s">
        <v>110</v>
      </c>
      <c r="L753" t="s">
        <v>777</v>
      </c>
      <c r="M753">
        <v>2031</v>
      </c>
      <c r="N753" t="s">
        <v>859</v>
      </c>
      <c r="O753" t="s">
        <v>866</v>
      </c>
      <c r="P753" t="s">
        <v>21</v>
      </c>
      <c r="Q753" t="s">
        <v>21</v>
      </c>
      <c r="R753" t="s">
        <v>868</v>
      </c>
      <c r="S753" t="s">
        <v>868</v>
      </c>
      <c r="T753" t="s">
        <v>891</v>
      </c>
      <c r="U753" t="s">
        <v>961</v>
      </c>
      <c r="V753" s="28" t="s">
        <v>1470</v>
      </c>
      <c r="W753" s="28" t="s">
        <v>1256</v>
      </c>
      <c r="X753" s="28" t="s">
        <v>3432</v>
      </c>
      <c r="Y753" s="28" t="s">
        <v>3405</v>
      </c>
      <c r="Z753" s="28" t="s">
        <v>3433</v>
      </c>
      <c r="AA753" s="28" t="s">
        <v>3407</v>
      </c>
      <c r="AB753" s="28" t="s">
        <v>3434</v>
      </c>
      <c r="AC753" s="28" t="s">
        <v>3409</v>
      </c>
    </row>
    <row r="754" spans="1:29">
      <c r="A754">
        <v>43</v>
      </c>
      <c r="B754">
        <v>2036</v>
      </c>
      <c r="C754">
        <v>2036</v>
      </c>
      <c r="D754" t="s">
        <v>23</v>
      </c>
      <c r="E754" s="22">
        <v>44075</v>
      </c>
      <c r="F754" s="22">
        <v>44075</v>
      </c>
      <c r="G754" t="s">
        <v>965</v>
      </c>
      <c r="H754" t="s">
        <v>28</v>
      </c>
      <c r="I754" t="s">
        <v>23</v>
      </c>
      <c r="J754" t="s">
        <v>60</v>
      </c>
      <c r="K754" t="s">
        <v>110</v>
      </c>
      <c r="L754" t="s">
        <v>778</v>
      </c>
      <c r="M754">
        <v>2032</v>
      </c>
      <c r="N754" t="s">
        <v>859</v>
      </c>
      <c r="O754" t="s">
        <v>866</v>
      </c>
      <c r="P754" t="s">
        <v>21</v>
      </c>
      <c r="Q754" t="s">
        <v>21</v>
      </c>
      <c r="R754" t="s">
        <v>924</v>
      </c>
      <c r="S754" t="s">
        <v>924</v>
      </c>
      <c r="T754" t="s">
        <v>951</v>
      </c>
      <c r="U754" t="s">
        <v>961</v>
      </c>
      <c r="V754" s="28" t="s">
        <v>1302</v>
      </c>
      <c r="W754" s="28" t="s">
        <v>1303</v>
      </c>
      <c r="X754" s="28" t="s">
        <v>2620</v>
      </c>
      <c r="Y754" s="28" t="s">
        <v>2621</v>
      </c>
      <c r="Z754" s="28" t="s">
        <v>3435</v>
      </c>
      <c r="AA754" s="28" t="s">
        <v>3436</v>
      </c>
      <c r="AB754" s="28" t="s">
        <v>3437</v>
      </c>
      <c r="AC754" s="28" t="s">
        <v>3438</v>
      </c>
    </row>
    <row r="755" spans="1:29">
      <c r="A755">
        <v>44</v>
      </c>
      <c r="B755">
        <v>2036</v>
      </c>
      <c r="C755">
        <v>2036</v>
      </c>
      <c r="D755" t="s">
        <v>23</v>
      </c>
      <c r="E755" s="22">
        <v>44079</v>
      </c>
      <c r="F755" s="22">
        <v>44079</v>
      </c>
      <c r="G755" t="s">
        <v>965</v>
      </c>
      <c r="H755" t="s">
        <v>28</v>
      </c>
      <c r="I755" t="s">
        <v>23</v>
      </c>
      <c r="J755" t="s">
        <v>60</v>
      </c>
      <c r="K755" t="s">
        <v>110</v>
      </c>
      <c r="L755" t="s">
        <v>779</v>
      </c>
      <c r="M755">
        <v>2032</v>
      </c>
      <c r="N755" t="s">
        <v>859</v>
      </c>
      <c r="O755" t="s">
        <v>866</v>
      </c>
      <c r="P755" t="s">
        <v>21</v>
      </c>
      <c r="Q755" t="s">
        <v>21</v>
      </c>
      <c r="R755" t="s">
        <v>915</v>
      </c>
      <c r="S755" t="s">
        <v>915</v>
      </c>
      <c r="T755" t="s">
        <v>950</v>
      </c>
      <c r="U755" t="s">
        <v>961</v>
      </c>
      <c r="V755" s="28" t="s">
        <v>1471</v>
      </c>
      <c r="W755" s="28" t="s">
        <v>1353</v>
      </c>
      <c r="X755" s="28" t="s">
        <v>3439</v>
      </c>
      <c r="Y755" s="28" t="s">
        <v>2804</v>
      </c>
      <c r="Z755" s="28" t="s">
        <v>3440</v>
      </c>
      <c r="AA755" s="28" t="s">
        <v>3441</v>
      </c>
      <c r="AB755" s="28" t="s">
        <v>3442</v>
      </c>
      <c r="AC755" s="28" t="s">
        <v>3443</v>
      </c>
    </row>
    <row r="756" spans="1:29">
      <c r="A756">
        <v>45</v>
      </c>
      <c r="B756">
        <v>2109</v>
      </c>
      <c r="C756">
        <v>2109</v>
      </c>
      <c r="D756" t="s">
        <v>23</v>
      </c>
      <c r="E756" s="22">
        <v>44260</v>
      </c>
      <c r="F756" s="22">
        <v>44260</v>
      </c>
      <c r="G756" t="s">
        <v>965</v>
      </c>
      <c r="H756" t="s">
        <v>28</v>
      </c>
      <c r="I756" t="s">
        <v>23</v>
      </c>
      <c r="J756" t="s">
        <v>60</v>
      </c>
      <c r="K756" t="s">
        <v>110</v>
      </c>
      <c r="L756" t="s">
        <v>780</v>
      </c>
      <c r="M756">
        <v>2034</v>
      </c>
      <c r="N756" t="s">
        <v>859</v>
      </c>
      <c r="O756" t="s">
        <v>866</v>
      </c>
      <c r="P756" t="s">
        <v>21</v>
      </c>
      <c r="Q756" t="s">
        <v>21</v>
      </c>
      <c r="R756" t="s">
        <v>915</v>
      </c>
      <c r="S756" t="s">
        <v>915</v>
      </c>
      <c r="T756" t="s">
        <v>950</v>
      </c>
      <c r="U756" t="s">
        <v>961</v>
      </c>
      <c r="V756" s="28" t="s">
        <v>1472</v>
      </c>
      <c r="W756" s="28" t="s">
        <v>1148</v>
      </c>
      <c r="X756" s="28" t="s">
        <v>3444</v>
      </c>
      <c r="Y756" s="28" t="s">
        <v>2734</v>
      </c>
      <c r="Z756" s="28" t="s">
        <v>3445</v>
      </c>
      <c r="AA756" s="28" t="s">
        <v>3446</v>
      </c>
      <c r="AB756" s="28" t="s">
        <v>3447</v>
      </c>
      <c r="AC756" s="28" t="s">
        <v>3448</v>
      </c>
    </row>
    <row r="757" spans="1:29">
      <c r="A757">
        <v>46</v>
      </c>
      <c r="B757">
        <v>2109</v>
      </c>
      <c r="C757">
        <v>2109</v>
      </c>
      <c r="D757" t="s">
        <v>23</v>
      </c>
      <c r="E757" s="22">
        <v>44260</v>
      </c>
      <c r="F757" s="22">
        <v>44260</v>
      </c>
      <c r="G757" t="s">
        <v>965</v>
      </c>
      <c r="H757" t="s">
        <v>28</v>
      </c>
      <c r="I757" t="s">
        <v>23</v>
      </c>
      <c r="J757" t="s">
        <v>60</v>
      </c>
      <c r="K757" t="s">
        <v>110</v>
      </c>
      <c r="L757" t="s">
        <v>781</v>
      </c>
      <c r="M757">
        <v>2034</v>
      </c>
      <c r="N757" t="s">
        <v>859</v>
      </c>
      <c r="O757" t="s">
        <v>866</v>
      </c>
      <c r="P757" t="s">
        <v>21</v>
      </c>
      <c r="Q757" t="s">
        <v>21</v>
      </c>
      <c r="R757" t="s">
        <v>891</v>
      </c>
      <c r="S757" t="s">
        <v>891</v>
      </c>
      <c r="T757" t="s">
        <v>891</v>
      </c>
      <c r="U757" t="s">
        <v>961</v>
      </c>
      <c r="V757" s="28" t="s">
        <v>1331</v>
      </c>
      <c r="W757" s="28" t="s">
        <v>1332</v>
      </c>
      <c r="X757" s="28" t="s">
        <v>2721</v>
      </c>
      <c r="Y757" s="28" t="s">
        <v>2722</v>
      </c>
      <c r="Z757" s="28" t="s">
        <v>3449</v>
      </c>
      <c r="AA757" s="28" t="s">
        <v>3450</v>
      </c>
      <c r="AB757" s="28" t="s">
        <v>3451</v>
      </c>
      <c r="AC757" s="28" t="s">
        <v>3452</v>
      </c>
    </row>
    <row r="758" spans="1:29">
      <c r="A758">
        <v>47</v>
      </c>
      <c r="B758">
        <v>2114</v>
      </c>
      <c r="C758">
        <v>2114</v>
      </c>
      <c r="D758" t="s">
        <v>23</v>
      </c>
      <c r="E758" s="22">
        <v>44295</v>
      </c>
      <c r="F758" s="22">
        <v>44295</v>
      </c>
      <c r="G758" t="s">
        <v>965</v>
      </c>
      <c r="H758" t="s">
        <v>28</v>
      </c>
      <c r="I758" t="s">
        <v>23</v>
      </c>
      <c r="J758" t="s">
        <v>60</v>
      </c>
      <c r="K758" t="s">
        <v>110</v>
      </c>
      <c r="L758" t="s">
        <v>782</v>
      </c>
      <c r="M758">
        <v>2110</v>
      </c>
      <c r="N758" t="s">
        <v>859</v>
      </c>
      <c r="O758" t="s">
        <v>866</v>
      </c>
      <c r="P758" t="s">
        <v>21</v>
      </c>
      <c r="Q758" t="s">
        <v>21</v>
      </c>
      <c r="R758" t="s">
        <v>924</v>
      </c>
      <c r="S758" t="s">
        <v>924</v>
      </c>
      <c r="T758" t="s">
        <v>951</v>
      </c>
      <c r="U758" t="s">
        <v>961</v>
      </c>
      <c r="V758" s="28" t="s">
        <v>1473</v>
      </c>
      <c r="W758" s="28" t="s">
        <v>1474</v>
      </c>
      <c r="X758" s="28" t="s">
        <v>3453</v>
      </c>
      <c r="Y758" s="28" t="s">
        <v>3454</v>
      </c>
      <c r="Z758" s="28" t="s">
        <v>3455</v>
      </c>
      <c r="AA758" s="28" t="s">
        <v>3456</v>
      </c>
      <c r="AB758" s="28" t="s">
        <v>3457</v>
      </c>
      <c r="AC758" s="28" t="s">
        <v>3458</v>
      </c>
    </row>
    <row r="759" spans="1:29">
      <c r="A759">
        <v>48</v>
      </c>
      <c r="B759">
        <v>2114</v>
      </c>
      <c r="C759">
        <v>2114</v>
      </c>
      <c r="D759" t="s">
        <v>23</v>
      </c>
      <c r="E759" s="22">
        <v>44295</v>
      </c>
      <c r="F759" s="22">
        <v>44295</v>
      </c>
      <c r="G759" t="s">
        <v>965</v>
      </c>
      <c r="H759" t="s">
        <v>28</v>
      </c>
      <c r="I759" t="s">
        <v>23</v>
      </c>
      <c r="J759" t="s">
        <v>60</v>
      </c>
      <c r="K759" t="s">
        <v>110</v>
      </c>
      <c r="L759" t="s">
        <v>783</v>
      </c>
      <c r="M759">
        <v>2119</v>
      </c>
      <c r="N759" t="s">
        <v>859</v>
      </c>
      <c r="O759" t="s">
        <v>866</v>
      </c>
      <c r="P759" t="s">
        <v>21</v>
      </c>
      <c r="Q759" t="s">
        <v>21</v>
      </c>
      <c r="R759" t="s">
        <v>931</v>
      </c>
      <c r="S759" t="s">
        <v>931</v>
      </c>
      <c r="T759" t="s">
        <v>954</v>
      </c>
      <c r="U759" t="s">
        <v>961</v>
      </c>
      <c r="V759" s="28" t="s">
        <v>1475</v>
      </c>
      <c r="W759" s="28" t="s">
        <v>1339</v>
      </c>
      <c r="X759" s="28" t="s">
        <v>3459</v>
      </c>
      <c r="Y759" s="28" t="s">
        <v>2749</v>
      </c>
      <c r="Z759" s="28" t="s">
        <v>3460</v>
      </c>
      <c r="AA759" s="28" t="s">
        <v>3461</v>
      </c>
      <c r="AB759" s="28" t="s">
        <v>3462</v>
      </c>
      <c r="AC759" s="28" t="s">
        <v>3463</v>
      </c>
    </row>
    <row r="760" spans="1:29">
      <c r="A760">
        <v>49</v>
      </c>
      <c r="B760">
        <v>2114</v>
      </c>
      <c r="C760">
        <v>2115</v>
      </c>
      <c r="D760" t="s">
        <v>23</v>
      </c>
      <c r="E760" s="22">
        <v>44298</v>
      </c>
      <c r="F760" s="22">
        <v>44295</v>
      </c>
      <c r="G760" t="s">
        <v>965</v>
      </c>
      <c r="H760" t="s">
        <v>28</v>
      </c>
      <c r="I760" t="s">
        <v>23</v>
      </c>
      <c r="J760" t="s">
        <v>60</v>
      </c>
      <c r="K760" t="s">
        <v>110</v>
      </c>
      <c r="L760" t="s">
        <v>784</v>
      </c>
      <c r="M760">
        <v>2110</v>
      </c>
      <c r="N760" t="s">
        <v>859</v>
      </c>
      <c r="O760" t="s">
        <v>866</v>
      </c>
      <c r="P760" t="s">
        <v>21</v>
      </c>
      <c r="Q760" t="s">
        <v>21</v>
      </c>
      <c r="R760" t="s">
        <v>936</v>
      </c>
      <c r="S760" t="s">
        <v>936</v>
      </c>
      <c r="T760" t="s">
        <v>948</v>
      </c>
      <c r="U760" t="s">
        <v>961</v>
      </c>
      <c r="V760" s="28" t="s">
        <v>1476</v>
      </c>
      <c r="W760" s="28" t="s">
        <v>1477</v>
      </c>
      <c r="X760" s="28" t="s">
        <v>3464</v>
      </c>
      <c r="Y760" s="28" t="s">
        <v>3465</v>
      </c>
      <c r="Z760" s="28" t="s">
        <v>3466</v>
      </c>
      <c r="AA760" s="28" t="s">
        <v>3467</v>
      </c>
      <c r="AB760" s="28" t="s">
        <v>3468</v>
      </c>
      <c r="AC760" s="28" t="s">
        <v>3469</v>
      </c>
    </row>
    <row r="761" spans="1:29">
      <c r="A761">
        <v>50</v>
      </c>
      <c r="B761">
        <v>2133</v>
      </c>
      <c r="C761">
        <v>2133</v>
      </c>
      <c r="D761" t="s">
        <v>23</v>
      </c>
      <c r="E761" s="22">
        <v>44426</v>
      </c>
      <c r="F761" s="22">
        <v>44426</v>
      </c>
      <c r="G761" t="s">
        <v>965</v>
      </c>
      <c r="H761" t="s">
        <v>28</v>
      </c>
      <c r="I761" t="s">
        <v>23</v>
      </c>
      <c r="J761" t="s">
        <v>60</v>
      </c>
      <c r="K761" t="s">
        <v>110</v>
      </c>
      <c r="L761" t="s">
        <v>785</v>
      </c>
      <c r="M761">
        <v>2114</v>
      </c>
      <c r="N761" t="s">
        <v>859</v>
      </c>
      <c r="O761" t="s">
        <v>866</v>
      </c>
      <c r="P761" t="s">
        <v>21</v>
      </c>
      <c r="Q761" t="s">
        <v>21</v>
      </c>
      <c r="R761" t="s">
        <v>904</v>
      </c>
      <c r="S761" t="s">
        <v>904</v>
      </c>
      <c r="T761" t="s">
        <v>28</v>
      </c>
      <c r="U761" t="s">
        <v>961</v>
      </c>
      <c r="V761" s="28" t="s">
        <v>1478</v>
      </c>
      <c r="W761" s="28" t="s">
        <v>1479</v>
      </c>
      <c r="X761" s="28" t="s">
        <v>3470</v>
      </c>
      <c r="Y761" s="28" t="s">
        <v>3471</v>
      </c>
      <c r="Z761" s="28" t="s">
        <v>3472</v>
      </c>
      <c r="AA761" s="28" t="s">
        <v>3473</v>
      </c>
      <c r="AB761" s="28" t="s">
        <v>3474</v>
      </c>
      <c r="AC761" s="28" t="s">
        <v>3475</v>
      </c>
    </row>
    <row r="762" spans="1:29">
      <c r="A762">
        <v>1</v>
      </c>
      <c r="B762">
        <v>2029</v>
      </c>
      <c r="C762">
        <v>2029</v>
      </c>
      <c r="D762" t="s">
        <v>23</v>
      </c>
      <c r="E762" s="22">
        <v>44029</v>
      </c>
      <c r="F762" s="22">
        <v>44029</v>
      </c>
      <c r="G762" t="s">
        <v>965</v>
      </c>
      <c r="H762" t="s">
        <v>35</v>
      </c>
      <c r="I762" t="s">
        <v>23</v>
      </c>
      <c r="J762" t="s">
        <v>62</v>
      </c>
      <c r="K762" t="s">
        <v>111</v>
      </c>
      <c r="L762" t="s">
        <v>786</v>
      </c>
      <c r="M762">
        <v>2024</v>
      </c>
      <c r="N762" t="s">
        <v>864</v>
      </c>
      <c r="O762" t="s">
        <v>866</v>
      </c>
      <c r="P762" t="s">
        <v>21</v>
      </c>
      <c r="Q762" t="s">
        <v>21</v>
      </c>
      <c r="R762" t="s">
        <v>920</v>
      </c>
      <c r="S762" t="s">
        <v>921</v>
      </c>
      <c r="T762" t="s">
        <v>959</v>
      </c>
      <c r="U762" t="s">
        <v>961</v>
      </c>
      <c r="V762" s="28" t="s">
        <v>1291</v>
      </c>
      <c r="W762" s="28" t="s">
        <v>1285</v>
      </c>
      <c r="X762" s="28" t="s">
        <v>2585</v>
      </c>
      <c r="Y762" s="28" t="s">
        <v>2561</v>
      </c>
      <c r="Z762" s="28" t="s">
        <v>3476</v>
      </c>
      <c r="AA762" s="28" t="s">
        <v>3477</v>
      </c>
      <c r="AB762" s="28" t="s">
        <v>3478</v>
      </c>
      <c r="AC762" s="28" t="s">
        <v>3479</v>
      </c>
    </row>
    <row r="763" spans="1:29">
      <c r="A763">
        <v>2</v>
      </c>
      <c r="B763">
        <v>2030</v>
      </c>
      <c r="C763">
        <v>2030</v>
      </c>
      <c r="D763" t="s">
        <v>23</v>
      </c>
      <c r="E763" s="22">
        <v>44036</v>
      </c>
      <c r="F763" s="22">
        <v>44036</v>
      </c>
      <c r="G763" t="s">
        <v>965</v>
      </c>
      <c r="H763" t="s">
        <v>35</v>
      </c>
      <c r="I763" t="s">
        <v>23</v>
      </c>
      <c r="J763" t="s">
        <v>62</v>
      </c>
      <c r="K763" t="s">
        <v>111</v>
      </c>
      <c r="L763" t="s">
        <v>787</v>
      </c>
      <c r="M763">
        <v>2024</v>
      </c>
      <c r="N763" t="s">
        <v>864</v>
      </c>
      <c r="O763" t="s">
        <v>866</v>
      </c>
      <c r="P763" t="s">
        <v>21</v>
      </c>
      <c r="Q763" t="s">
        <v>21</v>
      </c>
      <c r="R763" t="s">
        <v>943</v>
      </c>
      <c r="S763" t="s">
        <v>943</v>
      </c>
      <c r="T763" t="s">
        <v>956</v>
      </c>
      <c r="U763" t="s">
        <v>961</v>
      </c>
      <c r="V763" s="28" t="s">
        <v>1480</v>
      </c>
      <c r="W763" s="28" t="s">
        <v>1481</v>
      </c>
      <c r="X763" s="28" t="s">
        <v>3480</v>
      </c>
      <c r="Y763" s="28" t="s">
        <v>3481</v>
      </c>
      <c r="Z763" s="28" t="s">
        <v>3482</v>
      </c>
      <c r="AA763" s="28" t="s">
        <v>3483</v>
      </c>
      <c r="AB763" s="28" t="s">
        <v>3484</v>
      </c>
      <c r="AC763" s="28" t="s">
        <v>3485</v>
      </c>
    </row>
    <row r="764" spans="1:29">
      <c r="A764">
        <v>3</v>
      </c>
      <c r="B764">
        <v>2032</v>
      </c>
      <c r="C764">
        <v>2032</v>
      </c>
      <c r="D764" t="s">
        <v>23</v>
      </c>
      <c r="E764" s="22">
        <v>44047</v>
      </c>
      <c r="F764" s="22">
        <v>44047</v>
      </c>
      <c r="G764" t="s">
        <v>965</v>
      </c>
      <c r="H764" t="s">
        <v>35</v>
      </c>
      <c r="I764" t="s">
        <v>23</v>
      </c>
      <c r="J764" t="s">
        <v>62</v>
      </c>
      <c r="K764" t="s">
        <v>111</v>
      </c>
      <c r="L764" t="s">
        <v>788</v>
      </c>
      <c r="M764">
        <v>2028</v>
      </c>
      <c r="N764" t="s">
        <v>864</v>
      </c>
      <c r="O764" t="s">
        <v>866</v>
      </c>
      <c r="P764" t="s">
        <v>21</v>
      </c>
      <c r="Q764" t="s">
        <v>21</v>
      </c>
      <c r="R764" t="s">
        <v>881</v>
      </c>
      <c r="S764" t="s">
        <v>881</v>
      </c>
      <c r="T764" t="s">
        <v>949</v>
      </c>
      <c r="U764" t="s">
        <v>961</v>
      </c>
      <c r="V764" s="28" t="s">
        <v>1347</v>
      </c>
      <c r="W764" s="28" t="s">
        <v>1348</v>
      </c>
      <c r="X764" s="28" t="s">
        <v>2782</v>
      </c>
      <c r="Y764" s="28" t="s">
        <v>2783</v>
      </c>
      <c r="Z764" s="28" t="s">
        <v>3486</v>
      </c>
      <c r="AA764" s="28" t="s">
        <v>3487</v>
      </c>
      <c r="AB764" s="28" t="s">
        <v>3488</v>
      </c>
      <c r="AC764" s="28" t="s">
        <v>3489</v>
      </c>
    </row>
    <row r="765" spans="1:29">
      <c r="A765">
        <v>4</v>
      </c>
      <c r="B765">
        <v>2032</v>
      </c>
      <c r="C765">
        <v>2032</v>
      </c>
      <c r="D765" t="s">
        <v>23</v>
      </c>
      <c r="E765" s="22">
        <v>44047</v>
      </c>
      <c r="F765" s="22">
        <v>44047</v>
      </c>
      <c r="G765" t="s">
        <v>965</v>
      </c>
      <c r="H765" t="s">
        <v>35</v>
      </c>
      <c r="I765" t="s">
        <v>23</v>
      </c>
      <c r="J765" t="s">
        <v>62</v>
      </c>
      <c r="K765" t="s">
        <v>111</v>
      </c>
      <c r="L765" t="s">
        <v>789</v>
      </c>
      <c r="M765">
        <v>2028</v>
      </c>
      <c r="N765" t="s">
        <v>864</v>
      </c>
      <c r="O765" t="s">
        <v>866</v>
      </c>
      <c r="P765" t="s">
        <v>21</v>
      </c>
      <c r="Q765" t="s">
        <v>21</v>
      </c>
      <c r="R765" t="s">
        <v>920</v>
      </c>
      <c r="S765" t="s">
        <v>921</v>
      </c>
      <c r="T765" t="s">
        <v>959</v>
      </c>
      <c r="U765" t="s">
        <v>961</v>
      </c>
      <c r="V765" s="28" t="s">
        <v>1482</v>
      </c>
      <c r="W765" s="28" t="s">
        <v>1299</v>
      </c>
      <c r="X765" s="28" t="s">
        <v>3490</v>
      </c>
      <c r="Y765" s="28" t="s">
        <v>2609</v>
      </c>
      <c r="Z765" s="28" t="s">
        <v>3491</v>
      </c>
      <c r="AA765" s="28" t="s">
        <v>3492</v>
      </c>
      <c r="AB765" s="28" t="s">
        <v>3493</v>
      </c>
      <c r="AC765" s="28" t="s">
        <v>3494</v>
      </c>
    </row>
    <row r="766" spans="1:29">
      <c r="A766">
        <v>5</v>
      </c>
      <c r="B766">
        <v>2033</v>
      </c>
      <c r="C766">
        <v>2033</v>
      </c>
      <c r="D766" t="s">
        <v>23</v>
      </c>
      <c r="E766" s="22">
        <v>44054</v>
      </c>
      <c r="F766" s="22">
        <v>44054</v>
      </c>
      <c r="G766" t="s">
        <v>965</v>
      </c>
      <c r="H766" t="s">
        <v>35</v>
      </c>
      <c r="I766" t="s">
        <v>23</v>
      </c>
      <c r="J766" t="s">
        <v>62</v>
      </c>
      <c r="K766" t="s">
        <v>111</v>
      </c>
      <c r="L766" t="s">
        <v>790</v>
      </c>
      <c r="M766">
        <v>2028</v>
      </c>
      <c r="N766" t="s">
        <v>864</v>
      </c>
      <c r="O766" t="s">
        <v>866</v>
      </c>
      <c r="P766" t="s">
        <v>21</v>
      </c>
      <c r="Q766" t="s">
        <v>21</v>
      </c>
      <c r="R766" t="s">
        <v>925</v>
      </c>
      <c r="S766" t="s">
        <v>925</v>
      </c>
      <c r="T766" t="s">
        <v>28</v>
      </c>
      <c r="U766" t="s">
        <v>961</v>
      </c>
      <c r="V766" s="28" t="s">
        <v>1296</v>
      </c>
      <c r="W766" s="28" t="s">
        <v>1297</v>
      </c>
      <c r="X766" s="28" t="s">
        <v>2602</v>
      </c>
      <c r="Y766" s="28" t="s">
        <v>2603</v>
      </c>
      <c r="Z766" s="28" t="s">
        <v>3495</v>
      </c>
      <c r="AA766" s="28" t="s">
        <v>3496</v>
      </c>
      <c r="AB766" s="28" t="s">
        <v>3497</v>
      </c>
      <c r="AC766" s="28" t="s">
        <v>3498</v>
      </c>
    </row>
    <row r="767" spans="1:29">
      <c r="A767">
        <v>6</v>
      </c>
      <c r="B767">
        <v>2034</v>
      </c>
      <c r="C767">
        <v>2034</v>
      </c>
      <c r="D767" t="s">
        <v>23</v>
      </c>
      <c r="E767" s="22">
        <v>44064</v>
      </c>
      <c r="F767" s="22">
        <v>44064</v>
      </c>
      <c r="G767" t="s">
        <v>965</v>
      </c>
      <c r="H767" t="s">
        <v>35</v>
      </c>
      <c r="I767" t="s">
        <v>23</v>
      </c>
      <c r="J767" t="s">
        <v>62</v>
      </c>
      <c r="K767" t="s">
        <v>111</v>
      </c>
      <c r="L767" t="s">
        <v>791</v>
      </c>
      <c r="M767">
        <v>2028</v>
      </c>
      <c r="N767" t="s">
        <v>864</v>
      </c>
      <c r="O767" t="s">
        <v>866</v>
      </c>
      <c r="P767" t="s">
        <v>21</v>
      </c>
      <c r="Q767" t="s">
        <v>21</v>
      </c>
      <c r="R767" t="s">
        <v>944</v>
      </c>
      <c r="S767" t="s">
        <v>944</v>
      </c>
      <c r="T767" t="s">
        <v>954</v>
      </c>
      <c r="U767" t="s">
        <v>961</v>
      </c>
      <c r="V767" s="28" t="s">
        <v>1365</v>
      </c>
      <c r="W767" s="28" t="s">
        <v>1366</v>
      </c>
      <c r="X767" s="28" t="s">
        <v>2868</v>
      </c>
      <c r="Y767" s="28" t="s">
        <v>2869</v>
      </c>
      <c r="Z767" s="28" t="s">
        <v>3499</v>
      </c>
      <c r="AA767" s="28" t="s">
        <v>3500</v>
      </c>
      <c r="AB767" s="28" t="s">
        <v>3501</v>
      </c>
      <c r="AC767" s="28" t="s">
        <v>3502</v>
      </c>
    </row>
    <row r="768" spans="1:29">
      <c r="A768">
        <v>7</v>
      </c>
      <c r="B768">
        <v>2035</v>
      </c>
      <c r="C768">
        <v>2035</v>
      </c>
      <c r="D768" t="s">
        <v>23</v>
      </c>
      <c r="E768" s="22">
        <v>44067</v>
      </c>
      <c r="F768" s="22">
        <v>44067</v>
      </c>
      <c r="G768" t="s">
        <v>965</v>
      </c>
      <c r="H768" t="s">
        <v>35</v>
      </c>
      <c r="I768" t="s">
        <v>23</v>
      </c>
      <c r="J768" t="s">
        <v>62</v>
      </c>
      <c r="K768" t="s">
        <v>111</v>
      </c>
      <c r="L768" t="s">
        <v>792</v>
      </c>
      <c r="M768">
        <v>2031</v>
      </c>
      <c r="N768" t="s">
        <v>864</v>
      </c>
      <c r="O768" t="s">
        <v>866</v>
      </c>
      <c r="P768" t="s">
        <v>21</v>
      </c>
      <c r="Q768" t="s">
        <v>21</v>
      </c>
      <c r="R768" t="s">
        <v>938</v>
      </c>
      <c r="S768" t="s">
        <v>938</v>
      </c>
      <c r="T768" t="s">
        <v>951</v>
      </c>
      <c r="U768" t="s">
        <v>961</v>
      </c>
      <c r="V768" s="28" t="s">
        <v>1483</v>
      </c>
      <c r="W768" s="28" t="s">
        <v>1350</v>
      </c>
      <c r="X768" s="28" t="s">
        <v>3503</v>
      </c>
      <c r="Y768" s="28" t="s">
        <v>2789</v>
      </c>
      <c r="Z768" s="28" t="s">
        <v>3504</v>
      </c>
      <c r="AA768" s="28" t="s">
        <v>3505</v>
      </c>
      <c r="AB768" s="28" t="s">
        <v>3506</v>
      </c>
      <c r="AC768" s="28" t="s">
        <v>3507</v>
      </c>
    </row>
    <row r="769" spans="1:29">
      <c r="A769">
        <v>8</v>
      </c>
      <c r="B769">
        <v>2035</v>
      </c>
      <c r="C769">
        <v>2035</v>
      </c>
      <c r="D769" t="s">
        <v>23</v>
      </c>
      <c r="E769" s="22">
        <v>44067</v>
      </c>
      <c r="F769" s="22">
        <v>44067</v>
      </c>
      <c r="G769" t="s">
        <v>965</v>
      </c>
      <c r="H769" t="s">
        <v>35</v>
      </c>
      <c r="I769" t="s">
        <v>23</v>
      </c>
      <c r="J769" t="s">
        <v>62</v>
      </c>
      <c r="K769" t="s">
        <v>111</v>
      </c>
      <c r="L769" t="s">
        <v>793</v>
      </c>
      <c r="M769">
        <v>2031</v>
      </c>
      <c r="N769" t="s">
        <v>864</v>
      </c>
      <c r="O769" t="s">
        <v>866</v>
      </c>
      <c r="P769" t="s">
        <v>21</v>
      </c>
      <c r="Q769" t="s">
        <v>21</v>
      </c>
      <c r="R769" t="s">
        <v>931</v>
      </c>
      <c r="S769" t="s">
        <v>931</v>
      </c>
      <c r="T769" t="s">
        <v>954</v>
      </c>
      <c r="U769" t="s">
        <v>961</v>
      </c>
      <c r="V769" s="28" t="s">
        <v>1484</v>
      </c>
      <c r="W769" s="28" t="s">
        <v>1366</v>
      </c>
      <c r="X769" s="28" t="s">
        <v>3508</v>
      </c>
      <c r="Y769" s="28" t="s">
        <v>2869</v>
      </c>
      <c r="Z769" s="28" t="s">
        <v>3509</v>
      </c>
      <c r="AA769" s="28" t="s">
        <v>3500</v>
      </c>
      <c r="AB769" s="28" t="s">
        <v>3510</v>
      </c>
      <c r="AC769" s="28" t="s">
        <v>3502</v>
      </c>
    </row>
    <row r="770" spans="1:29">
      <c r="A770">
        <v>9</v>
      </c>
      <c r="B770">
        <v>2037</v>
      </c>
      <c r="C770">
        <v>2037</v>
      </c>
      <c r="D770" t="s">
        <v>23</v>
      </c>
      <c r="E770" s="22">
        <v>44084</v>
      </c>
      <c r="F770" s="22">
        <v>44084</v>
      </c>
      <c r="G770" t="s">
        <v>965</v>
      </c>
      <c r="H770" t="s">
        <v>35</v>
      </c>
      <c r="I770" t="s">
        <v>23</v>
      </c>
      <c r="J770" t="s">
        <v>62</v>
      </c>
      <c r="K770" t="s">
        <v>111</v>
      </c>
      <c r="L770" t="s">
        <v>794</v>
      </c>
      <c r="M770">
        <v>2033</v>
      </c>
      <c r="N770" t="s">
        <v>864</v>
      </c>
      <c r="O770" t="s">
        <v>866</v>
      </c>
      <c r="P770" t="s">
        <v>21</v>
      </c>
      <c r="Q770" t="s">
        <v>21</v>
      </c>
      <c r="R770" t="s">
        <v>911</v>
      </c>
      <c r="S770" t="s">
        <v>911</v>
      </c>
      <c r="T770" t="s">
        <v>28</v>
      </c>
      <c r="U770" t="s">
        <v>961</v>
      </c>
      <c r="V770" s="28" t="s">
        <v>1398</v>
      </c>
      <c r="W770" s="28" t="s">
        <v>1301</v>
      </c>
      <c r="X770" s="28" t="s">
        <v>3056</v>
      </c>
      <c r="Y770" s="28" t="s">
        <v>2615</v>
      </c>
      <c r="Z770" s="28" t="s">
        <v>3511</v>
      </c>
      <c r="AA770" s="28" t="s">
        <v>3512</v>
      </c>
      <c r="AB770" s="28" t="s">
        <v>3513</v>
      </c>
      <c r="AC770" s="28" t="s">
        <v>3514</v>
      </c>
    </row>
    <row r="771" spans="1:29">
      <c r="A771">
        <v>10</v>
      </c>
      <c r="B771">
        <v>2042</v>
      </c>
      <c r="C771">
        <v>2042</v>
      </c>
      <c r="D771" t="s">
        <v>23</v>
      </c>
      <c r="E771" s="22">
        <v>44119</v>
      </c>
      <c r="F771" s="22">
        <v>44119</v>
      </c>
      <c r="G771" t="s">
        <v>965</v>
      </c>
      <c r="H771" t="s">
        <v>35</v>
      </c>
      <c r="I771" t="s">
        <v>23</v>
      </c>
      <c r="J771" t="s">
        <v>62</v>
      </c>
      <c r="K771" t="s">
        <v>111</v>
      </c>
      <c r="L771" t="s">
        <v>795</v>
      </c>
      <c r="M771">
        <v>2038</v>
      </c>
      <c r="N771" t="s">
        <v>864</v>
      </c>
      <c r="O771" t="s">
        <v>866</v>
      </c>
      <c r="P771" t="s">
        <v>21</v>
      </c>
      <c r="Q771" t="s">
        <v>21</v>
      </c>
      <c r="R771" t="s">
        <v>915</v>
      </c>
      <c r="S771" t="s">
        <v>915</v>
      </c>
      <c r="T771" t="s">
        <v>950</v>
      </c>
      <c r="U771" t="s">
        <v>961</v>
      </c>
      <c r="V771" s="28" t="s">
        <v>1485</v>
      </c>
      <c r="W771" s="28" t="s">
        <v>1310</v>
      </c>
      <c r="X771" s="28" t="s">
        <v>3515</v>
      </c>
      <c r="Y771" s="28" t="s">
        <v>2642</v>
      </c>
      <c r="Z771" s="28" t="s">
        <v>3516</v>
      </c>
      <c r="AA771" s="28" t="s">
        <v>3517</v>
      </c>
      <c r="AB771" s="28" t="s">
        <v>3518</v>
      </c>
      <c r="AC771" s="28" t="s">
        <v>3519</v>
      </c>
    </row>
    <row r="772" spans="1:29">
      <c r="A772">
        <v>11</v>
      </c>
      <c r="B772">
        <v>2043</v>
      </c>
      <c r="C772">
        <v>2043</v>
      </c>
      <c r="D772" t="s">
        <v>23</v>
      </c>
      <c r="E772" s="22">
        <v>44126</v>
      </c>
      <c r="F772" s="22">
        <v>44126</v>
      </c>
      <c r="G772" t="s">
        <v>965</v>
      </c>
      <c r="H772" t="s">
        <v>35</v>
      </c>
      <c r="I772" t="s">
        <v>23</v>
      </c>
      <c r="J772" t="s">
        <v>62</v>
      </c>
      <c r="K772" t="s">
        <v>111</v>
      </c>
      <c r="L772" t="s">
        <v>796</v>
      </c>
      <c r="M772">
        <v>2039</v>
      </c>
      <c r="N772" t="s">
        <v>864</v>
      </c>
      <c r="O772" t="s">
        <v>866</v>
      </c>
      <c r="P772" t="s">
        <v>21</v>
      </c>
      <c r="Q772" t="s">
        <v>21</v>
      </c>
      <c r="R772" t="s">
        <v>924</v>
      </c>
      <c r="S772" t="s">
        <v>924</v>
      </c>
      <c r="T772" t="s">
        <v>951</v>
      </c>
      <c r="U772" t="s">
        <v>961</v>
      </c>
      <c r="V772" s="28" t="s">
        <v>1486</v>
      </c>
      <c r="W772" s="28" t="s">
        <v>1487</v>
      </c>
      <c r="X772" s="28" t="s">
        <v>3520</v>
      </c>
      <c r="Y772" s="28" t="s">
        <v>3521</v>
      </c>
      <c r="Z772" s="28" t="s">
        <v>3522</v>
      </c>
      <c r="AA772" s="28" t="s">
        <v>3523</v>
      </c>
      <c r="AB772" s="28" t="s">
        <v>3524</v>
      </c>
      <c r="AC772" s="28" t="s">
        <v>3525</v>
      </c>
    </row>
    <row r="773" spans="1:29">
      <c r="A773">
        <v>12</v>
      </c>
      <c r="B773">
        <v>2043</v>
      </c>
      <c r="C773">
        <v>2043</v>
      </c>
      <c r="D773" t="s">
        <v>23</v>
      </c>
      <c r="E773" s="22">
        <v>44126</v>
      </c>
      <c r="F773" s="22">
        <v>44126</v>
      </c>
      <c r="G773" t="s">
        <v>965</v>
      </c>
      <c r="H773" t="s">
        <v>35</v>
      </c>
      <c r="I773" t="s">
        <v>23</v>
      </c>
      <c r="J773" t="s">
        <v>62</v>
      </c>
      <c r="K773" t="s">
        <v>111</v>
      </c>
      <c r="L773" t="s">
        <v>797</v>
      </c>
      <c r="M773">
        <v>2039</v>
      </c>
      <c r="N773" t="s">
        <v>864</v>
      </c>
      <c r="O773" t="s">
        <v>866</v>
      </c>
      <c r="P773" t="s">
        <v>21</v>
      </c>
      <c r="Q773" t="s">
        <v>21</v>
      </c>
      <c r="R773" t="s">
        <v>904</v>
      </c>
      <c r="S773" t="s">
        <v>904</v>
      </c>
      <c r="T773" t="s">
        <v>28</v>
      </c>
      <c r="U773" t="s">
        <v>961</v>
      </c>
      <c r="V773" s="28" t="s">
        <v>1488</v>
      </c>
      <c r="W773" s="28" t="s">
        <v>1314</v>
      </c>
      <c r="X773" s="28" t="s">
        <v>3526</v>
      </c>
      <c r="Y773" s="28" t="s">
        <v>2654</v>
      </c>
      <c r="Z773" s="28" t="s">
        <v>3527</v>
      </c>
      <c r="AA773" s="28" t="s">
        <v>3528</v>
      </c>
      <c r="AB773" s="28" t="s">
        <v>3529</v>
      </c>
      <c r="AC773" s="28" t="s">
        <v>3530</v>
      </c>
    </row>
    <row r="774" spans="1:29">
      <c r="A774">
        <v>13</v>
      </c>
      <c r="B774">
        <v>2101</v>
      </c>
      <c r="C774">
        <v>2101</v>
      </c>
      <c r="D774" t="s">
        <v>23</v>
      </c>
      <c r="E774" s="22">
        <v>44201</v>
      </c>
      <c r="F774" s="22">
        <v>44201</v>
      </c>
      <c r="G774" t="s">
        <v>965</v>
      </c>
      <c r="H774" t="s">
        <v>35</v>
      </c>
      <c r="I774" t="s">
        <v>23</v>
      </c>
      <c r="J774" t="s">
        <v>62</v>
      </c>
      <c r="K774" t="s">
        <v>111</v>
      </c>
      <c r="L774" t="s">
        <v>798</v>
      </c>
      <c r="M774">
        <v>2044</v>
      </c>
      <c r="N774" t="s">
        <v>864</v>
      </c>
      <c r="O774" t="s">
        <v>866</v>
      </c>
      <c r="P774" t="s">
        <v>21</v>
      </c>
      <c r="Q774" t="s">
        <v>21</v>
      </c>
      <c r="R774" t="s">
        <v>915</v>
      </c>
      <c r="S774" t="s">
        <v>915</v>
      </c>
      <c r="T774" t="s">
        <v>950</v>
      </c>
      <c r="U774" t="s">
        <v>961</v>
      </c>
      <c r="V774" s="28" t="s">
        <v>1323</v>
      </c>
      <c r="W774" s="28" t="s">
        <v>1089</v>
      </c>
      <c r="X774" s="28" t="s">
        <v>2685</v>
      </c>
      <c r="Y774" s="28" t="s">
        <v>2686</v>
      </c>
      <c r="Z774" s="28" t="s">
        <v>3531</v>
      </c>
      <c r="AA774" s="28" t="s">
        <v>3532</v>
      </c>
      <c r="AB774" s="28" t="s">
        <v>3533</v>
      </c>
      <c r="AC774" s="28" t="s">
        <v>1786</v>
      </c>
    </row>
    <row r="775" spans="1:29">
      <c r="A775">
        <v>14</v>
      </c>
      <c r="B775">
        <v>2103</v>
      </c>
      <c r="C775">
        <v>2103</v>
      </c>
      <c r="D775" t="s">
        <v>23</v>
      </c>
      <c r="E775" s="22">
        <v>44214</v>
      </c>
      <c r="F775" s="22">
        <v>44214</v>
      </c>
      <c r="G775" t="s">
        <v>965</v>
      </c>
      <c r="H775" t="s">
        <v>35</v>
      </c>
      <c r="I775" t="s">
        <v>23</v>
      </c>
      <c r="J775" t="s">
        <v>62</v>
      </c>
      <c r="K775" t="s">
        <v>111</v>
      </c>
      <c r="L775" t="s">
        <v>799</v>
      </c>
      <c r="M775">
        <v>2046</v>
      </c>
      <c r="N775" t="s">
        <v>864</v>
      </c>
      <c r="O775" t="s">
        <v>866</v>
      </c>
      <c r="P775" t="s">
        <v>21</v>
      </c>
      <c r="Q775" t="s">
        <v>21</v>
      </c>
      <c r="R775" t="s">
        <v>868</v>
      </c>
      <c r="S775" t="s">
        <v>868</v>
      </c>
      <c r="T775" t="s">
        <v>891</v>
      </c>
      <c r="U775" t="s">
        <v>961</v>
      </c>
      <c r="V775" s="28" t="s">
        <v>1489</v>
      </c>
      <c r="W775" s="28" t="s">
        <v>1325</v>
      </c>
      <c r="X775" s="28" t="s">
        <v>3534</v>
      </c>
      <c r="Y775" s="28" t="s">
        <v>2693</v>
      </c>
      <c r="Z775" s="28" t="s">
        <v>3535</v>
      </c>
      <c r="AA775" s="28" t="s">
        <v>3536</v>
      </c>
      <c r="AB775" s="28" t="s">
        <v>3537</v>
      </c>
      <c r="AC775" s="28" t="s">
        <v>3538</v>
      </c>
    </row>
    <row r="776" spans="1:29">
      <c r="A776">
        <v>15</v>
      </c>
      <c r="B776">
        <v>2105</v>
      </c>
      <c r="C776">
        <v>2105</v>
      </c>
      <c r="D776" t="s">
        <v>23</v>
      </c>
      <c r="E776" s="22">
        <v>44229</v>
      </c>
      <c r="F776" s="22">
        <v>44229</v>
      </c>
      <c r="G776" t="s">
        <v>965</v>
      </c>
      <c r="H776" t="s">
        <v>35</v>
      </c>
      <c r="I776" t="s">
        <v>23</v>
      </c>
      <c r="J776" t="s">
        <v>62</v>
      </c>
      <c r="K776" t="s">
        <v>111</v>
      </c>
      <c r="L776" t="s">
        <v>800</v>
      </c>
      <c r="M776">
        <v>2052</v>
      </c>
      <c r="N776" t="s">
        <v>864</v>
      </c>
      <c r="O776" t="s">
        <v>866</v>
      </c>
      <c r="P776" t="s">
        <v>21</v>
      </c>
      <c r="Q776" t="s">
        <v>21</v>
      </c>
      <c r="R776" t="s">
        <v>921</v>
      </c>
      <c r="S776" t="s">
        <v>921</v>
      </c>
      <c r="T776" t="s">
        <v>959</v>
      </c>
      <c r="U776" t="s">
        <v>961</v>
      </c>
      <c r="V776" s="28" t="s">
        <v>1490</v>
      </c>
      <c r="W776" s="28" t="s">
        <v>1263</v>
      </c>
      <c r="X776" s="28" t="s">
        <v>3539</v>
      </c>
      <c r="Y776" s="28" t="s">
        <v>2716</v>
      </c>
      <c r="Z776" s="28" t="s">
        <v>3540</v>
      </c>
      <c r="AA776" s="28" t="s">
        <v>3541</v>
      </c>
      <c r="AB776" s="28" t="s">
        <v>3542</v>
      </c>
      <c r="AC776" s="28" t="s">
        <v>3543</v>
      </c>
    </row>
    <row r="777" spans="1:29">
      <c r="A777">
        <v>16</v>
      </c>
      <c r="B777">
        <v>2112</v>
      </c>
      <c r="C777">
        <v>2112</v>
      </c>
      <c r="D777" t="s">
        <v>23</v>
      </c>
      <c r="E777" s="22">
        <v>44278</v>
      </c>
      <c r="F777" s="22">
        <v>44278</v>
      </c>
      <c r="G777" t="s">
        <v>965</v>
      </c>
      <c r="H777" t="s">
        <v>35</v>
      </c>
      <c r="I777" t="s">
        <v>23</v>
      </c>
      <c r="J777" t="s">
        <v>62</v>
      </c>
      <c r="K777" t="s">
        <v>111</v>
      </c>
      <c r="L777" t="s">
        <v>801</v>
      </c>
      <c r="M777">
        <v>2104</v>
      </c>
      <c r="N777" t="s">
        <v>864</v>
      </c>
      <c r="O777" t="s">
        <v>866</v>
      </c>
      <c r="P777" t="s">
        <v>21</v>
      </c>
      <c r="Q777" t="s">
        <v>21</v>
      </c>
      <c r="R777" t="s">
        <v>922</v>
      </c>
      <c r="S777" t="s">
        <v>922</v>
      </c>
      <c r="T777" t="s">
        <v>28</v>
      </c>
      <c r="U777" t="s">
        <v>961</v>
      </c>
      <c r="V777" s="28" t="s">
        <v>1491</v>
      </c>
      <c r="W777" s="28" t="s">
        <v>1145</v>
      </c>
      <c r="X777" s="28" t="s">
        <v>3544</v>
      </c>
      <c r="Y777" s="28" t="s">
        <v>3134</v>
      </c>
      <c r="Z777" s="28" t="s">
        <v>3545</v>
      </c>
      <c r="AA777" s="28" t="s">
        <v>3546</v>
      </c>
      <c r="AB777" s="28" t="s">
        <v>3547</v>
      </c>
      <c r="AC777" s="28" t="s">
        <v>3548</v>
      </c>
    </row>
    <row r="778" spans="1:29">
      <c r="A778">
        <v>17</v>
      </c>
      <c r="B778">
        <v>2112</v>
      </c>
      <c r="C778">
        <v>2112</v>
      </c>
      <c r="D778" t="s">
        <v>23</v>
      </c>
      <c r="E778" s="22">
        <v>44279</v>
      </c>
      <c r="F778" s="22">
        <v>44279</v>
      </c>
      <c r="G778" t="s">
        <v>965</v>
      </c>
      <c r="H778" t="s">
        <v>35</v>
      </c>
      <c r="I778" t="s">
        <v>23</v>
      </c>
      <c r="J778" t="s">
        <v>62</v>
      </c>
      <c r="K778" t="s">
        <v>111</v>
      </c>
      <c r="L778" t="s">
        <v>802</v>
      </c>
      <c r="M778">
        <v>2105</v>
      </c>
      <c r="N778" t="s">
        <v>864</v>
      </c>
      <c r="O778" t="s">
        <v>866</v>
      </c>
      <c r="P778" t="s">
        <v>21</v>
      </c>
      <c r="Q778" t="s">
        <v>21</v>
      </c>
      <c r="R778" t="s">
        <v>945</v>
      </c>
      <c r="S778" t="s">
        <v>945</v>
      </c>
      <c r="T778" t="s">
        <v>955</v>
      </c>
      <c r="U778" t="s">
        <v>961</v>
      </c>
      <c r="V778" s="28" t="s">
        <v>1492</v>
      </c>
      <c r="W778" s="28" t="s">
        <v>1377</v>
      </c>
      <c r="X778" s="28" t="s">
        <v>3549</v>
      </c>
      <c r="Y778" s="28" t="s">
        <v>2933</v>
      </c>
      <c r="Z778" s="28" t="s">
        <v>3550</v>
      </c>
      <c r="AA778" s="28" t="s">
        <v>3551</v>
      </c>
      <c r="AB778" s="28" t="s">
        <v>3552</v>
      </c>
      <c r="AC778" s="28" t="s">
        <v>3553</v>
      </c>
    </row>
    <row r="779" spans="1:29">
      <c r="A779">
        <v>18</v>
      </c>
      <c r="B779">
        <v>2115</v>
      </c>
      <c r="C779">
        <v>2115</v>
      </c>
      <c r="D779" t="s">
        <v>23</v>
      </c>
      <c r="E779" s="22">
        <v>44299</v>
      </c>
      <c r="F779" s="22">
        <v>44299</v>
      </c>
      <c r="G779" t="s">
        <v>965</v>
      </c>
      <c r="H779" t="s">
        <v>35</v>
      </c>
      <c r="I779" t="s">
        <v>23</v>
      </c>
      <c r="J779" t="s">
        <v>62</v>
      </c>
      <c r="K779" t="s">
        <v>111</v>
      </c>
      <c r="L779" t="s">
        <v>803</v>
      </c>
      <c r="M779">
        <v>2110</v>
      </c>
      <c r="N779" t="s">
        <v>864</v>
      </c>
      <c r="O779" t="s">
        <v>866</v>
      </c>
      <c r="P779" t="s">
        <v>21</v>
      </c>
      <c r="Q779" t="s">
        <v>21</v>
      </c>
      <c r="R779" t="s">
        <v>936</v>
      </c>
      <c r="S779" t="s">
        <v>936</v>
      </c>
      <c r="T779" t="s">
        <v>948</v>
      </c>
      <c r="U779" t="s">
        <v>961</v>
      </c>
      <c r="V779" s="28" t="s">
        <v>1493</v>
      </c>
      <c r="W779" s="28" t="s">
        <v>1477</v>
      </c>
      <c r="X779" s="28" t="s">
        <v>3554</v>
      </c>
      <c r="Y779" s="28" t="s">
        <v>3465</v>
      </c>
      <c r="Z779" s="28" t="s">
        <v>3555</v>
      </c>
      <c r="AA779" s="28" t="s">
        <v>3556</v>
      </c>
      <c r="AB779" s="28" t="s">
        <v>3557</v>
      </c>
      <c r="AC779" s="28" t="s">
        <v>3558</v>
      </c>
    </row>
    <row r="780" spans="1:29">
      <c r="A780">
        <v>19</v>
      </c>
      <c r="B780">
        <v>2122</v>
      </c>
      <c r="C780">
        <v>2122</v>
      </c>
      <c r="D780" t="s">
        <v>23</v>
      </c>
      <c r="E780" s="22">
        <v>44347</v>
      </c>
      <c r="F780" s="22">
        <v>44348</v>
      </c>
      <c r="G780" t="s">
        <v>965</v>
      </c>
      <c r="H780" t="s">
        <v>35</v>
      </c>
      <c r="I780" t="s">
        <v>23</v>
      </c>
      <c r="J780" t="s">
        <v>62</v>
      </c>
      <c r="K780" t="s">
        <v>111</v>
      </c>
      <c r="L780" t="s">
        <v>804</v>
      </c>
      <c r="M780">
        <v>2110</v>
      </c>
      <c r="N780" t="s">
        <v>864</v>
      </c>
      <c r="O780" t="s">
        <v>866</v>
      </c>
      <c r="P780" t="s">
        <v>21</v>
      </c>
      <c r="Q780" t="s">
        <v>21</v>
      </c>
      <c r="R780" t="s">
        <v>923</v>
      </c>
      <c r="S780" t="s">
        <v>923</v>
      </c>
      <c r="T780" t="s">
        <v>951</v>
      </c>
      <c r="U780" t="s">
        <v>961</v>
      </c>
      <c r="V780" s="28" t="s">
        <v>1494</v>
      </c>
      <c r="W780" s="28" t="s">
        <v>1495</v>
      </c>
      <c r="X780" s="28" t="s">
        <v>3559</v>
      </c>
      <c r="Y780" s="28" t="s">
        <v>3560</v>
      </c>
      <c r="Z780" s="28" t="s">
        <v>3561</v>
      </c>
      <c r="AA780" s="28" t="s">
        <v>3562</v>
      </c>
      <c r="AB780" s="28" t="s">
        <v>3563</v>
      </c>
      <c r="AC780" s="28" t="s">
        <v>3564</v>
      </c>
    </row>
    <row r="781" spans="1:29">
      <c r="A781">
        <v>1</v>
      </c>
      <c r="B781">
        <v>2137</v>
      </c>
      <c r="C781">
        <v>2137</v>
      </c>
      <c r="D781" t="s">
        <v>22</v>
      </c>
      <c r="E781" s="22">
        <v>44454</v>
      </c>
      <c r="F781" s="22">
        <v>44454</v>
      </c>
      <c r="G781" t="s">
        <v>25</v>
      </c>
      <c r="H781" t="s">
        <v>6488</v>
      </c>
      <c r="I781" t="s">
        <v>28</v>
      </c>
      <c r="J781" t="s">
        <v>69</v>
      </c>
      <c r="K781" t="s">
        <v>6489</v>
      </c>
      <c r="L781" t="s">
        <v>6490</v>
      </c>
      <c r="M781">
        <v>2129</v>
      </c>
      <c r="N781" t="s">
        <v>6491</v>
      </c>
      <c r="O781" t="s">
        <v>865</v>
      </c>
      <c r="P781" t="s">
        <v>6492</v>
      </c>
      <c r="Q781" t="s">
        <v>6493</v>
      </c>
      <c r="R781" t="s">
        <v>872</v>
      </c>
      <c r="S781" t="s">
        <v>872</v>
      </c>
      <c r="T781" t="s">
        <v>950</v>
      </c>
      <c r="U781" t="s">
        <v>960</v>
      </c>
      <c r="V781" s="28" t="s">
        <v>6377</v>
      </c>
      <c r="W781" s="28" t="s">
        <v>6214</v>
      </c>
      <c r="X781" s="28" t="s">
        <v>6494</v>
      </c>
      <c r="Y781" s="28" t="s">
        <v>6495</v>
      </c>
      <c r="Z781" s="28" t="s">
        <v>6496</v>
      </c>
      <c r="AA781" s="28" t="s">
        <v>6497</v>
      </c>
      <c r="AB781" s="28" t="s">
        <v>6498</v>
      </c>
      <c r="AC781" s="28" t="s">
        <v>6499</v>
      </c>
    </row>
    <row r="782" spans="1:29">
      <c r="A782">
        <v>14</v>
      </c>
      <c r="B782">
        <v>2133</v>
      </c>
      <c r="C782">
        <v>2133</v>
      </c>
      <c r="D782" t="s">
        <v>21</v>
      </c>
      <c r="E782" s="22">
        <v>44427</v>
      </c>
      <c r="F782" s="22">
        <v>44427</v>
      </c>
      <c r="G782" t="s">
        <v>27</v>
      </c>
      <c r="H782" t="s">
        <v>31</v>
      </c>
      <c r="I782" t="s">
        <v>21</v>
      </c>
      <c r="J782" t="s">
        <v>55</v>
      </c>
      <c r="K782" t="s">
        <v>74</v>
      </c>
      <c r="L782" t="s">
        <v>6518</v>
      </c>
      <c r="M782">
        <v>2123</v>
      </c>
      <c r="N782" t="s">
        <v>847</v>
      </c>
      <c r="O782" t="s">
        <v>865</v>
      </c>
      <c r="P782" t="s">
        <v>21</v>
      </c>
      <c r="Q782" t="s">
        <v>21</v>
      </c>
      <c r="R782" t="s">
        <v>21</v>
      </c>
      <c r="S782" t="s">
        <v>21</v>
      </c>
      <c r="T782" t="s">
        <v>958</v>
      </c>
      <c r="U782" t="s">
        <v>960</v>
      </c>
      <c r="V782" s="28" t="s">
        <v>1264</v>
      </c>
      <c r="W782" s="28" t="s">
        <v>1265</v>
      </c>
      <c r="X782" s="28" t="s">
        <v>2461</v>
      </c>
      <c r="Y782" s="28" t="s">
        <v>2462</v>
      </c>
      <c r="Z782" s="28" t="s">
        <v>2463</v>
      </c>
      <c r="AA782" s="28" t="s">
        <v>2464</v>
      </c>
      <c r="AB782" s="28" t="s">
        <v>2465</v>
      </c>
      <c r="AC782" s="28" t="s">
        <v>2466</v>
      </c>
    </row>
    <row r="783" spans="1:29">
      <c r="A783">
        <v>196</v>
      </c>
      <c r="B783">
        <v>2138</v>
      </c>
      <c r="C783">
        <v>2138</v>
      </c>
      <c r="D783" t="s">
        <v>21</v>
      </c>
      <c r="E783" s="22">
        <v>44459</v>
      </c>
      <c r="F783" t="s">
        <v>6055</v>
      </c>
      <c r="G783" t="s">
        <v>26</v>
      </c>
      <c r="H783">
        <v>3</v>
      </c>
      <c r="I783" t="s">
        <v>41</v>
      </c>
      <c r="J783" t="s">
        <v>68</v>
      </c>
      <c r="K783" t="s">
        <v>94</v>
      </c>
      <c r="L783" t="s">
        <v>6519</v>
      </c>
      <c r="M783">
        <v>2131</v>
      </c>
      <c r="N783" t="s">
        <v>831</v>
      </c>
      <c r="O783" t="s">
        <v>21</v>
      </c>
      <c r="P783" t="s">
        <v>21</v>
      </c>
      <c r="Q783" t="s">
        <v>21</v>
      </c>
      <c r="R783" t="s">
        <v>890</v>
      </c>
      <c r="S783" t="s">
        <v>890</v>
      </c>
      <c r="T783" t="s">
        <v>908</v>
      </c>
      <c r="U783" t="s">
        <v>960</v>
      </c>
      <c r="V783" s="28" t="s">
        <v>6520</v>
      </c>
      <c r="W783" s="28" t="s">
        <v>6238</v>
      </c>
      <c r="X783" s="28" t="s">
        <v>6521</v>
      </c>
      <c r="Y783" s="28" t="s">
        <v>6240</v>
      </c>
      <c r="Z783" s="28" t="s">
        <v>6522</v>
      </c>
      <c r="AA783" s="28" t="s">
        <v>6352</v>
      </c>
      <c r="AB783" s="28" t="s">
        <v>6523</v>
      </c>
      <c r="AC783" s="28" t="s">
        <v>6354</v>
      </c>
    </row>
    <row r="784" spans="1:29">
      <c r="A784">
        <v>197</v>
      </c>
      <c r="B784">
        <v>2138</v>
      </c>
      <c r="C784">
        <v>2138</v>
      </c>
      <c r="D784" t="s">
        <v>21</v>
      </c>
      <c r="E784" s="22">
        <v>44459</v>
      </c>
      <c r="F784" t="s">
        <v>6055</v>
      </c>
      <c r="G784" t="s">
        <v>26</v>
      </c>
      <c r="H784">
        <v>3</v>
      </c>
      <c r="I784" t="s">
        <v>39</v>
      </c>
      <c r="J784" t="s">
        <v>68</v>
      </c>
      <c r="K784" t="s">
        <v>94</v>
      </c>
      <c r="L784" t="s">
        <v>6524</v>
      </c>
      <c r="M784">
        <v>2131</v>
      </c>
      <c r="N784" t="s">
        <v>831</v>
      </c>
      <c r="O784" t="s">
        <v>21</v>
      </c>
      <c r="P784" t="s">
        <v>21</v>
      </c>
      <c r="Q784" t="s">
        <v>21</v>
      </c>
      <c r="R784" t="s">
        <v>6525</v>
      </c>
      <c r="S784" t="s">
        <v>6525</v>
      </c>
      <c r="T784" t="s">
        <v>957</v>
      </c>
      <c r="U784" t="s">
        <v>960</v>
      </c>
      <c r="V784" s="28" t="s">
        <v>6526</v>
      </c>
      <c r="W784" s="28" t="s">
        <v>6527</v>
      </c>
      <c r="X784" s="28" t="s">
        <v>6528</v>
      </c>
      <c r="Y784" s="28" t="s">
        <v>6529</v>
      </c>
      <c r="Z784" s="28" t="s">
        <v>6530</v>
      </c>
      <c r="AA784" s="28" t="s">
        <v>6531</v>
      </c>
      <c r="AB784" s="28" t="s">
        <v>6532</v>
      </c>
      <c r="AC784" s="28" t="s">
        <v>6533</v>
      </c>
    </row>
    <row r="785" spans="1:29">
      <c r="A785">
        <v>198</v>
      </c>
      <c r="B785">
        <v>2138</v>
      </c>
      <c r="C785">
        <v>2138</v>
      </c>
      <c r="D785" t="s">
        <v>21</v>
      </c>
      <c r="E785" s="22">
        <v>44460</v>
      </c>
      <c r="F785" t="s">
        <v>6055</v>
      </c>
      <c r="G785" t="s">
        <v>26</v>
      </c>
      <c r="H785">
        <v>16</v>
      </c>
      <c r="I785" t="s">
        <v>37</v>
      </c>
      <c r="J785" t="s">
        <v>69</v>
      </c>
      <c r="K785" t="s">
        <v>99</v>
      </c>
      <c r="L785" t="s">
        <v>6534</v>
      </c>
      <c r="M785">
        <v>2129</v>
      </c>
      <c r="N785" t="s">
        <v>841</v>
      </c>
      <c r="O785" t="s">
        <v>21</v>
      </c>
      <c r="P785" t="s">
        <v>21</v>
      </c>
      <c r="Q785" t="s">
        <v>21</v>
      </c>
      <c r="R785" t="s">
        <v>874</v>
      </c>
      <c r="S785" t="s">
        <v>874</v>
      </c>
      <c r="T785" t="s">
        <v>28</v>
      </c>
      <c r="U785" t="s">
        <v>960</v>
      </c>
      <c r="V785" s="28" t="s">
        <v>6535</v>
      </c>
      <c r="W785" s="28" t="s">
        <v>6247</v>
      </c>
      <c r="X785" s="28" t="s">
        <v>6536</v>
      </c>
      <c r="Y785" s="28" t="s">
        <v>6358</v>
      </c>
      <c r="Z785" s="28" t="s">
        <v>6537</v>
      </c>
      <c r="AA785" s="28" t="s">
        <v>6538</v>
      </c>
      <c r="AB785" s="28" t="s">
        <v>6539</v>
      </c>
      <c r="AC785" s="28" t="s">
        <v>6540</v>
      </c>
    </row>
    <row r="786" spans="1:29">
      <c r="A786">
        <v>199</v>
      </c>
      <c r="B786">
        <v>2138</v>
      </c>
      <c r="C786">
        <v>2138</v>
      </c>
      <c r="D786" t="s">
        <v>21</v>
      </c>
      <c r="E786" s="22">
        <v>44460</v>
      </c>
      <c r="F786" t="s">
        <v>6055</v>
      </c>
      <c r="G786" t="s">
        <v>26</v>
      </c>
      <c r="H786">
        <v>16</v>
      </c>
      <c r="I786" t="s">
        <v>42</v>
      </c>
      <c r="J786" t="s">
        <v>69</v>
      </c>
      <c r="K786" t="s">
        <v>99</v>
      </c>
      <c r="L786" t="s">
        <v>6541</v>
      </c>
      <c r="M786">
        <v>2129</v>
      </c>
      <c r="N786" t="s">
        <v>841</v>
      </c>
      <c r="O786" t="s">
        <v>21</v>
      </c>
      <c r="P786" t="s">
        <v>21</v>
      </c>
      <c r="Q786" t="s">
        <v>21</v>
      </c>
      <c r="R786" t="s">
        <v>6542</v>
      </c>
      <c r="S786" t="s">
        <v>6542</v>
      </c>
      <c r="T786" t="s">
        <v>956</v>
      </c>
      <c r="U786" t="s">
        <v>960</v>
      </c>
      <c r="V786" s="28" t="s">
        <v>6543</v>
      </c>
      <c r="W786" s="28" t="s">
        <v>6544</v>
      </c>
      <c r="X786" s="28" t="s">
        <v>6545</v>
      </c>
      <c r="Y786" s="28" t="s">
        <v>6546</v>
      </c>
      <c r="Z786" s="28" t="s">
        <v>6547</v>
      </c>
      <c r="AA786" s="28" t="s">
        <v>6548</v>
      </c>
      <c r="AB786" s="28" t="s">
        <v>6549</v>
      </c>
      <c r="AC786" s="28" t="s">
        <v>6550</v>
      </c>
    </row>
    <row r="787" spans="1:29">
      <c r="A787">
        <v>200</v>
      </c>
      <c r="B787">
        <v>2138</v>
      </c>
      <c r="C787">
        <v>2138</v>
      </c>
      <c r="D787" t="s">
        <v>21</v>
      </c>
      <c r="E787" s="22">
        <v>44461</v>
      </c>
      <c r="F787" t="s">
        <v>6055</v>
      </c>
      <c r="G787" t="s">
        <v>26</v>
      </c>
      <c r="H787">
        <v>2</v>
      </c>
      <c r="I787" t="s">
        <v>38</v>
      </c>
      <c r="J787" t="s">
        <v>65</v>
      </c>
      <c r="K787" t="s">
        <v>87</v>
      </c>
      <c r="L787" t="s">
        <v>6551</v>
      </c>
      <c r="M787">
        <v>2130</v>
      </c>
      <c r="N787" t="s">
        <v>824</v>
      </c>
      <c r="O787" t="s">
        <v>21</v>
      </c>
      <c r="P787" t="s">
        <v>21</v>
      </c>
      <c r="Q787" t="s">
        <v>21</v>
      </c>
      <c r="R787" t="s">
        <v>880</v>
      </c>
      <c r="S787" t="s">
        <v>880</v>
      </c>
      <c r="T787" t="s">
        <v>908</v>
      </c>
      <c r="U787" t="s">
        <v>961</v>
      </c>
      <c r="V787" s="28" t="s">
        <v>6552</v>
      </c>
      <c r="W787" s="28" t="s">
        <v>6553</v>
      </c>
      <c r="X787" s="28" t="s">
        <v>6554</v>
      </c>
      <c r="Y787" s="28" t="s">
        <v>6555</v>
      </c>
      <c r="Z787" s="28" t="s">
        <v>6556</v>
      </c>
      <c r="AA787" s="28" t="s">
        <v>6557</v>
      </c>
      <c r="AB787" s="28" t="s">
        <v>6558</v>
      </c>
      <c r="AC787" s="28" t="s">
        <v>6559</v>
      </c>
    </row>
    <row r="788" spans="1:29">
      <c r="A788">
        <v>201</v>
      </c>
      <c r="B788">
        <v>2138</v>
      </c>
      <c r="C788">
        <v>2138</v>
      </c>
      <c r="D788" t="s">
        <v>21</v>
      </c>
      <c r="E788" s="22">
        <v>44461</v>
      </c>
      <c r="F788" t="s">
        <v>6055</v>
      </c>
      <c r="G788" t="s">
        <v>26</v>
      </c>
      <c r="H788">
        <v>4</v>
      </c>
      <c r="I788" t="s">
        <v>36</v>
      </c>
      <c r="J788" t="s">
        <v>53</v>
      </c>
      <c r="K788" t="s">
        <v>90</v>
      </c>
      <c r="L788" t="s">
        <v>6560</v>
      </c>
      <c r="M788">
        <v>2130</v>
      </c>
      <c r="N788" t="s">
        <v>6561</v>
      </c>
      <c r="O788" t="s">
        <v>21</v>
      </c>
      <c r="P788" t="s">
        <v>21</v>
      </c>
      <c r="Q788" t="s">
        <v>21</v>
      </c>
      <c r="R788" t="s">
        <v>899</v>
      </c>
      <c r="S788" t="s">
        <v>899</v>
      </c>
      <c r="T788" t="s">
        <v>956</v>
      </c>
      <c r="U788" t="s">
        <v>960</v>
      </c>
      <c r="V788" s="28" t="s">
        <v>6543</v>
      </c>
      <c r="W788" s="28" t="s">
        <v>6544</v>
      </c>
      <c r="X788" s="28" t="s">
        <v>6545</v>
      </c>
      <c r="Y788" s="28" t="s">
        <v>6546</v>
      </c>
      <c r="Z788" s="28" t="s">
        <v>6562</v>
      </c>
      <c r="AA788" s="28" t="s">
        <v>6563</v>
      </c>
      <c r="AB788" s="28" t="s">
        <v>6564</v>
      </c>
      <c r="AC788" s="28" t="s">
        <v>6565</v>
      </c>
    </row>
    <row r="789" spans="1:29">
      <c r="A789">
        <v>202</v>
      </c>
      <c r="B789">
        <v>2138</v>
      </c>
      <c r="C789">
        <v>2138</v>
      </c>
      <c r="D789" t="s">
        <v>21</v>
      </c>
      <c r="E789" s="22">
        <v>44461</v>
      </c>
      <c r="F789" t="s">
        <v>6055</v>
      </c>
      <c r="G789" t="s">
        <v>26</v>
      </c>
      <c r="H789">
        <v>3</v>
      </c>
      <c r="I789" t="s">
        <v>41</v>
      </c>
      <c r="J789" t="s">
        <v>66</v>
      </c>
      <c r="K789" t="s">
        <v>91</v>
      </c>
      <c r="L789" t="s">
        <v>6566</v>
      </c>
      <c r="M789">
        <v>2129</v>
      </c>
      <c r="N789" t="s">
        <v>6567</v>
      </c>
      <c r="O789" t="s">
        <v>21</v>
      </c>
      <c r="P789" t="s">
        <v>21</v>
      </c>
      <c r="Q789" t="s">
        <v>21</v>
      </c>
      <c r="R789" t="s">
        <v>881</v>
      </c>
      <c r="S789" t="s">
        <v>881</v>
      </c>
      <c r="T789" t="s">
        <v>949</v>
      </c>
      <c r="U789" t="s">
        <v>960</v>
      </c>
      <c r="V789" s="28" t="s">
        <v>6568</v>
      </c>
      <c r="W789" s="28" t="s">
        <v>6223</v>
      </c>
      <c r="X789" s="28" t="s">
        <v>6569</v>
      </c>
      <c r="Y789" s="28" t="s">
        <v>6225</v>
      </c>
      <c r="Z789" s="28" t="s">
        <v>6570</v>
      </c>
      <c r="AA789" s="28" t="s">
        <v>6571</v>
      </c>
      <c r="AB789" s="28" t="s">
        <v>6572</v>
      </c>
      <c r="AC789" s="28" t="s">
        <v>6573</v>
      </c>
    </row>
    <row r="790" spans="1:29">
      <c r="A790">
        <v>203</v>
      </c>
      <c r="B790">
        <v>2138</v>
      </c>
      <c r="C790">
        <v>2138</v>
      </c>
      <c r="D790" t="s">
        <v>21</v>
      </c>
      <c r="E790" s="22">
        <v>44462</v>
      </c>
      <c r="F790" t="s">
        <v>6055</v>
      </c>
      <c r="G790" t="s">
        <v>26</v>
      </c>
      <c r="H790">
        <v>3</v>
      </c>
      <c r="I790" t="s">
        <v>6574</v>
      </c>
      <c r="J790" t="s">
        <v>66</v>
      </c>
      <c r="K790" t="s">
        <v>91</v>
      </c>
      <c r="L790" t="s">
        <v>6575</v>
      </c>
      <c r="M790">
        <v>2131</v>
      </c>
      <c r="N790" t="s">
        <v>6567</v>
      </c>
      <c r="O790" t="s">
        <v>21</v>
      </c>
      <c r="P790" t="s">
        <v>21</v>
      </c>
      <c r="Q790" t="s">
        <v>21</v>
      </c>
      <c r="R790" t="s">
        <v>6576</v>
      </c>
      <c r="S790" t="s">
        <v>6576</v>
      </c>
      <c r="T790" t="s">
        <v>955</v>
      </c>
      <c r="U790" t="s">
        <v>960</v>
      </c>
      <c r="V790" s="28" t="s">
        <v>6577</v>
      </c>
      <c r="W790" s="28" t="s">
        <v>6369</v>
      </c>
      <c r="X790" s="28" t="s">
        <v>6578</v>
      </c>
      <c r="Y790" s="28" t="s">
        <v>6579</v>
      </c>
      <c r="Z790" s="28" t="s">
        <v>6580</v>
      </c>
      <c r="AA790" s="28" t="s">
        <v>6581</v>
      </c>
      <c r="AB790" s="28" t="s">
        <v>6582</v>
      </c>
      <c r="AC790" s="28" t="s">
        <v>6583</v>
      </c>
    </row>
    <row r="791" spans="1:29">
      <c r="A791">
        <v>204</v>
      </c>
      <c r="B791">
        <v>2138</v>
      </c>
      <c r="C791">
        <v>2138</v>
      </c>
      <c r="D791" t="s">
        <v>21</v>
      </c>
      <c r="E791" s="22">
        <v>44462</v>
      </c>
      <c r="F791" t="s">
        <v>6055</v>
      </c>
      <c r="G791" t="s">
        <v>26</v>
      </c>
      <c r="H791">
        <v>3</v>
      </c>
      <c r="I791" t="s">
        <v>36</v>
      </c>
      <c r="J791" t="s">
        <v>66</v>
      </c>
      <c r="K791" s="39" t="s">
        <v>92</v>
      </c>
      <c r="L791" s="39" t="s">
        <v>6584</v>
      </c>
      <c r="M791">
        <v>2129</v>
      </c>
      <c r="N791" t="s">
        <v>6585</v>
      </c>
      <c r="O791" t="s">
        <v>21</v>
      </c>
      <c r="P791" t="s">
        <v>21</v>
      </c>
      <c r="Q791" t="s">
        <v>21</v>
      </c>
      <c r="R791" t="s">
        <v>877</v>
      </c>
      <c r="S791" t="s">
        <v>877</v>
      </c>
      <c r="T791" t="s">
        <v>28</v>
      </c>
      <c r="U791" t="s">
        <v>960</v>
      </c>
      <c r="V791" s="28" t="s">
        <v>6535</v>
      </c>
      <c r="W791" s="28" t="s">
        <v>6247</v>
      </c>
      <c r="X791" s="28" t="s">
        <v>6536</v>
      </c>
      <c r="Y791" s="28" t="s">
        <v>6358</v>
      </c>
      <c r="Z791" s="28" t="s">
        <v>6586</v>
      </c>
      <c r="AA791" s="28" t="s">
        <v>6587</v>
      </c>
      <c r="AB791" s="28" t="s">
        <v>6588</v>
      </c>
      <c r="AC791" s="28" t="s">
        <v>6418</v>
      </c>
    </row>
    <row r="792" spans="1:29">
      <c r="A792">
        <v>205</v>
      </c>
      <c r="B792">
        <v>2138</v>
      </c>
      <c r="C792">
        <v>2138</v>
      </c>
      <c r="D792" t="s">
        <v>21</v>
      </c>
      <c r="E792" s="22">
        <v>44462</v>
      </c>
      <c r="F792" t="s">
        <v>6055</v>
      </c>
      <c r="G792" t="s">
        <v>26</v>
      </c>
      <c r="H792">
        <v>4</v>
      </c>
      <c r="I792" t="s">
        <v>40</v>
      </c>
      <c r="J792" t="s">
        <v>53</v>
      </c>
      <c r="K792" t="s">
        <v>90</v>
      </c>
      <c r="L792" t="s">
        <v>6589</v>
      </c>
      <c r="M792">
        <v>2129</v>
      </c>
      <c r="N792" t="s">
        <v>6561</v>
      </c>
      <c r="O792" t="s">
        <v>21</v>
      </c>
      <c r="P792" t="s">
        <v>21</v>
      </c>
      <c r="Q792" t="s">
        <v>21</v>
      </c>
      <c r="R792" t="s">
        <v>890</v>
      </c>
      <c r="S792" t="s">
        <v>890</v>
      </c>
      <c r="T792" t="s">
        <v>908</v>
      </c>
      <c r="U792" t="s">
        <v>960</v>
      </c>
      <c r="V792" s="28" t="s">
        <v>6520</v>
      </c>
      <c r="W792" s="28" t="s">
        <v>6238</v>
      </c>
      <c r="X792" s="28" t="s">
        <v>6521</v>
      </c>
      <c r="Y792" s="28" t="s">
        <v>6240</v>
      </c>
      <c r="Z792" s="28" t="s">
        <v>6590</v>
      </c>
      <c r="AA792" s="28" t="s">
        <v>6591</v>
      </c>
      <c r="AB792" s="28" t="s">
        <v>6592</v>
      </c>
      <c r="AC792" s="28" t="s">
        <v>6593</v>
      </c>
    </row>
    <row r="793" spans="1:29">
      <c r="A793">
        <v>206</v>
      </c>
      <c r="B793">
        <v>2138</v>
      </c>
      <c r="C793">
        <v>2138</v>
      </c>
      <c r="D793" t="s">
        <v>21</v>
      </c>
      <c r="E793" s="22">
        <v>44462</v>
      </c>
      <c r="F793" t="s">
        <v>6055</v>
      </c>
      <c r="G793" t="s">
        <v>26</v>
      </c>
      <c r="H793">
        <v>4</v>
      </c>
      <c r="I793" t="s">
        <v>40</v>
      </c>
      <c r="J793" t="s">
        <v>53</v>
      </c>
      <c r="K793" t="s">
        <v>90</v>
      </c>
      <c r="L793" t="s">
        <v>6594</v>
      </c>
      <c r="M793">
        <v>2129</v>
      </c>
      <c r="N793" t="s">
        <v>6561</v>
      </c>
      <c r="O793" t="s">
        <v>21</v>
      </c>
      <c r="P793" t="s">
        <v>21</v>
      </c>
      <c r="Q793" t="s">
        <v>21</v>
      </c>
      <c r="R793" t="s">
        <v>890</v>
      </c>
      <c r="S793" t="s">
        <v>890</v>
      </c>
      <c r="T793" t="s">
        <v>908</v>
      </c>
      <c r="U793" t="s">
        <v>960</v>
      </c>
      <c r="V793" s="28" t="s">
        <v>6520</v>
      </c>
      <c r="W793" s="28" t="s">
        <v>6238</v>
      </c>
      <c r="X793" s="28" t="s">
        <v>6521</v>
      </c>
      <c r="Y793" s="28" t="s">
        <v>6240</v>
      </c>
      <c r="Z793" s="28" t="s">
        <v>6590</v>
      </c>
      <c r="AA793" s="28" t="s">
        <v>6591</v>
      </c>
      <c r="AB793" s="28" t="s">
        <v>6592</v>
      </c>
      <c r="AC793" s="28" t="s">
        <v>6593</v>
      </c>
    </row>
    <row r="794" spans="1:29">
      <c r="A794">
        <v>207</v>
      </c>
      <c r="B794">
        <v>2138</v>
      </c>
      <c r="C794">
        <v>2138</v>
      </c>
      <c r="D794" t="s">
        <v>21</v>
      </c>
      <c r="E794" s="22">
        <v>44463</v>
      </c>
      <c r="F794" t="s">
        <v>6055</v>
      </c>
      <c r="G794" t="s">
        <v>26</v>
      </c>
      <c r="H794">
        <v>4</v>
      </c>
      <c r="I794" t="s">
        <v>36</v>
      </c>
      <c r="J794" t="s">
        <v>53</v>
      </c>
      <c r="K794" s="39" t="s">
        <v>90</v>
      </c>
      <c r="L794" s="39" t="s">
        <v>6595</v>
      </c>
      <c r="M794">
        <v>2129</v>
      </c>
      <c r="N794" t="s">
        <v>6561</v>
      </c>
      <c r="O794" t="s">
        <v>21</v>
      </c>
      <c r="P794" t="s">
        <v>21</v>
      </c>
      <c r="Q794" t="s">
        <v>21</v>
      </c>
      <c r="R794" t="s">
        <v>874</v>
      </c>
      <c r="S794" t="s">
        <v>874</v>
      </c>
      <c r="T794" t="s">
        <v>28</v>
      </c>
      <c r="U794" t="s">
        <v>960</v>
      </c>
      <c r="V794" s="28" t="s">
        <v>6535</v>
      </c>
      <c r="W794" s="28" t="s">
        <v>6247</v>
      </c>
      <c r="X794" s="28" t="s">
        <v>6536</v>
      </c>
      <c r="Y794" s="28" t="s">
        <v>6358</v>
      </c>
      <c r="Z794" s="28" t="s">
        <v>6596</v>
      </c>
      <c r="AA794" s="28" t="s">
        <v>6597</v>
      </c>
      <c r="AB794" s="28" t="s">
        <v>6598</v>
      </c>
      <c r="AC794" s="28" t="s">
        <v>6396</v>
      </c>
    </row>
    <row r="795" spans="1:29">
      <c r="A795">
        <v>208</v>
      </c>
      <c r="B795">
        <v>2138</v>
      </c>
      <c r="C795">
        <v>2138</v>
      </c>
      <c r="D795" t="s">
        <v>21</v>
      </c>
      <c r="E795" s="22">
        <v>44463</v>
      </c>
      <c r="F795" t="s">
        <v>6055</v>
      </c>
      <c r="G795" t="s">
        <v>26</v>
      </c>
      <c r="H795">
        <v>4</v>
      </c>
      <c r="I795" t="s">
        <v>38</v>
      </c>
      <c r="J795" t="s">
        <v>53</v>
      </c>
      <c r="K795" s="39" t="s">
        <v>90</v>
      </c>
      <c r="L795" s="39" t="s">
        <v>6599</v>
      </c>
      <c r="M795">
        <v>2130</v>
      </c>
      <c r="N795" t="s">
        <v>6561</v>
      </c>
      <c r="O795" t="s">
        <v>21</v>
      </c>
      <c r="P795" t="s">
        <v>21</v>
      </c>
      <c r="Q795" t="s">
        <v>21</v>
      </c>
      <c r="R795" t="s">
        <v>874</v>
      </c>
      <c r="S795" t="s">
        <v>874</v>
      </c>
      <c r="T795" t="s">
        <v>28</v>
      </c>
      <c r="U795" t="s">
        <v>960</v>
      </c>
      <c r="V795" s="28" t="s">
        <v>6535</v>
      </c>
      <c r="W795" s="28" t="s">
        <v>6247</v>
      </c>
      <c r="X795" s="28" t="s">
        <v>6536</v>
      </c>
      <c r="Y795" s="28" t="s">
        <v>6358</v>
      </c>
      <c r="Z795" s="28" t="s">
        <v>6596</v>
      </c>
      <c r="AA795" s="28" t="s">
        <v>6597</v>
      </c>
      <c r="AB795" s="28" t="s">
        <v>6598</v>
      </c>
      <c r="AC795" s="28" t="s">
        <v>6396</v>
      </c>
    </row>
    <row r="796" spans="1:29">
      <c r="A796">
        <v>209</v>
      </c>
      <c r="B796">
        <v>2138</v>
      </c>
      <c r="C796">
        <v>2138</v>
      </c>
      <c r="D796" t="s">
        <v>21</v>
      </c>
      <c r="E796" s="22">
        <v>44463</v>
      </c>
      <c r="F796" t="s">
        <v>6055</v>
      </c>
      <c r="G796" t="s">
        <v>26</v>
      </c>
      <c r="H796">
        <v>3</v>
      </c>
      <c r="I796" t="s">
        <v>41</v>
      </c>
      <c r="J796" t="s">
        <v>66</v>
      </c>
      <c r="K796" t="s">
        <v>91</v>
      </c>
      <c r="L796" t="s">
        <v>6600</v>
      </c>
      <c r="M796">
        <v>2131</v>
      </c>
      <c r="N796" t="s">
        <v>6567</v>
      </c>
      <c r="O796" t="s">
        <v>21</v>
      </c>
      <c r="P796" t="s">
        <v>21</v>
      </c>
      <c r="Q796" t="s">
        <v>21</v>
      </c>
      <c r="R796" t="s">
        <v>881</v>
      </c>
      <c r="S796" t="s">
        <v>881</v>
      </c>
      <c r="T796" t="s">
        <v>949</v>
      </c>
      <c r="U796" t="s">
        <v>960</v>
      </c>
      <c r="V796" s="28" t="s">
        <v>6568</v>
      </c>
      <c r="W796" s="28" t="s">
        <v>6223</v>
      </c>
      <c r="X796" s="28" t="s">
        <v>6569</v>
      </c>
      <c r="Y796" s="28" t="s">
        <v>6225</v>
      </c>
      <c r="Z796" s="28" t="s">
        <v>6570</v>
      </c>
      <c r="AA796" s="28" t="s">
        <v>6571</v>
      </c>
      <c r="AB796" s="28" t="s">
        <v>6572</v>
      </c>
      <c r="AC796" s="28" t="s">
        <v>6573</v>
      </c>
    </row>
    <row r="797" spans="1:29">
      <c r="A797">
        <v>210</v>
      </c>
      <c r="B797">
        <v>2138</v>
      </c>
      <c r="C797">
        <v>2138</v>
      </c>
      <c r="D797" t="s">
        <v>21</v>
      </c>
      <c r="E797" s="22">
        <v>44463</v>
      </c>
      <c r="F797" t="s">
        <v>6055</v>
      </c>
      <c r="G797" t="s">
        <v>26</v>
      </c>
      <c r="H797">
        <v>4</v>
      </c>
      <c r="I797" t="s">
        <v>40</v>
      </c>
      <c r="J797" t="s">
        <v>53</v>
      </c>
      <c r="K797" s="39" t="s">
        <v>90</v>
      </c>
      <c r="L797" s="39" t="s">
        <v>6601</v>
      </c>
      <c r="M797">
        <v>2132</v>
      </c>
      <c r="N797" t="s">
        <v>6561</v>
      </c>
      <c r="O797" t="s">
        <v>21</v>
      </c>
      <c r="P797" t="s">
        <v>21</v>
      </c>
      <c r="Q797" t="s">
        <v>21</v>
      </c>
      <c r="R797" t="s">
        <v>874</v>
      </c>
      <c r="S797" t="s">
        <v>874</v>
      </c>
      <c r="T797" t="s">
        <v>28</v>
      </c>
      <c r="U797" t="s">
        <v>960</v>
      </c>
      <c r="V797" s="28" t="s">
        <v>6535</v>
      </c>
      <c r="W797" s="28" t="s">
        <v>6247</v>
      </c>
      <c r="X797" s="28" t="s">
        <v>6536</v>
      </c>
      <c r="Y797" s="28" t="s">
        <v>6358</v>
      </c>
      <c r="Z797" s="28" t="s">
        <v>6596</v>
      </c>
      <c r="AA797" s="28" t="s">
        <v>6597</v>
      </c>
      <c r="AB797" s="28" t="s">
        <v>6598</v>
      </c>
      <c r="AC797" s="28" t="s">
        <v>6396</v>
      </c>
    </row>
    <row r="798" spans="1:29">
      <c r="A798">
        <v>211</v>
      </c>
      <c r="B798">
        <v>2138</v>
      </c>
      <c r="C798">
        <v>2138</v>
      </c>
      <c r="D798" t="s">
        <v>21</v>
      </c>
      <c r="E798" s="22">
        <v>44463</v>
      </c>
      <c r="F798" t="s">
        <v>6055</v>
      </c>
      <c r="G798" t="s">
        <v>26</v>
      </c>
      <c r="H798">
        <v>2</v>
      </c>
      <c r="I798" t="s">
        <v>36</v>
      </c>
      <c r="J798" t="s">
        <v>63</v>
      </c>
      <c r="K798" t="s">
        <v>85</v>
      </c>
      <c r="L798" t="s">
        <v>6602</v>
      </c>
      <c r="M798">
        <v>2131</v>
      </c>
      <c r="N798" t="s">
        <v>6603</v>
      </c>
      <c r="O798" t="s">
        <v>21</v>
      </c>
      <c r="P798" t="s">
        <v>21</v>
      </c>
      <c r="Q798" t="s">
        <v>21</v>
      </c>
      <c r="R798" t="s">
        <v>877</v>
      </c>
      <c r="S798" t="s">
        <v>877</v>
      </c>
      <c r="T798" t="s">
        <v>28</v>
      </c>
      <c r="U798" t="s">
        <v>961</v>
      </c>
      <c r="V798" s="28" t="s">
        <v>6604</v>
      </c>
      <c r="W798" s="28" t="s">
        <v>6605</v>
      </c>
      <c r="X798" s="28" t="s">
        <v>6606</v>
      </c>
      <c r="Y798" s="28" t="s">
        <v>6607</v>
      </c>
      <c r="Z798" s="28" t="s">
        <v>6608</v>
      </c>
      <c r="AA798" s="28" t="s">
        <v>6609</v>
      </c>
      <c r="AB798" s="28" t="s">
        <v>6610</v>
      </c>
      <c r="AC798" s="28" t="s">
        <v>6611</v>
      </c>
    </row>
    <row r="799" spans="1:29">
      <c r="A799">
        <v>15</v>
      </c>
      <c r="B799">
        <v>2138</v>
      </c>
      <c r="C799">
        <v>2138</v>
      </c>
      <c r="D799" t="s">
        <v>23</v>
      </c>
      <c r="E799" s="22">
        <v>44462</v>
      </c>
      <c r="F799" s="22">
        <v>44462</v>
      </c>
      <c r="G799" t="s">
        <v>965</v>
      </c>
      <c r="H799" t="s">
        <v>28</v>
      </c>
      <c r="I799" t="s">
        <v>23</v>
      </c>
      <c r="J799" t="s">
        <v>68</v>
      </c>
      <c r="K799" t="s">
        <v>107</v>
      </c>
      <c r="L799" t="s">
        <v>6638</v>
      </c>
      <c r="M799">
        <v>2131</v>
      </c>
      <c r="N799" t="s">
        <v>858</v>
      </c>
      <c r="O799" t="s">
        <v>866</v>
      </c>
      <c r="P799" t="s">
        <v>21</v>
      </c>
      <c r="Q799" t="s">
        <v>21</v>
      </c>
      <c r="R799" t="s">
        <v>918</v>
      </c>
      <c r="S799" t="s">
        <v>918</v>
      </c>
      <c r="T799" t="s">
        <v>28</v>
      </c>
      <c r="U799" t="s">
        <v>960</v>
      </c>
      <c r="V799" s="28" t="s">
        <v>6535</v>
      </c>
      <c r="W799" s="28" t="s">
        <v>6247</v>
      </c>
      <c r="X799" s="28" t="s">
        <v>6639</v>
      </c>
      <c r="Y799" s="28" t="s">
        <v>6249</v>
      </c>
      <c r="Z799" s="28" t="s">
        <v>6640</v>
      </c>
      <c r="AA799" s="28" t="s">
        <v>6641</v>
      </c>
      <c r="AB799" s="28" t="s">
        <v>6642</v>
      </c>
      <c r="AC799" s="28" t="s">
        <v>6643</v>
      </c>
    </row>
    <row r="800" spans="1:29">
      <c r="A800">
        <v>16</v>
      </c>
      <c r="B800">
        <v>2138</v>
      </c>
      <c r="C800">
        <v>2138</v>
      </c>
      <c r="D800" t="s">
        <v>23</v>
      </c>
      <c r="E800" s="22">
        <v>44462</v>
      </c>
      <c r="F800" s="22">
        <v>44462</v>
      </c>
      <c r="G800" t="s">
        <v>965</v>
      </c>
      <c r="H800" t="s">
        <v>28</v>
      </c>
      <c r="I800" t="s">
        <v>23</v>
      </c>
      <c r="J800" t="s">
        <v>68</v>
      </c>
      <c r="K800" t="s">
        <v>107</v>
      </c>
      <c r="L800" t="s">
        <v>6644</v>
      </c>
      <c r="M800">
        <v>2131</v>
      </c>
      <c r="N800" t="s">
        <v>858</v>
      </c>
      <c r="O800" t="s">
        <v>866</v>
      </c>
      <c r="P800" t="s">
        <v>21</v>
      </c>
      <c r="Q800" t="s">
        <v>21</v>
      </c>
      <c r="R800" t="s">
        <v>931</v>
      </c>
      <c r="S800" t="s">
        <v>931</v>
      </c>
      <c r="T800" t="s">
        <v>954</v>
      </c>
      <c r="U800" t="s">
        <v>960</v>
      </c>
      <c r="V800" s="28" t="s">
        <v>6645</v>
      </c>
      <c r="W800" s="28" t="s">
        <v>6428</v>
      </c>
      <c r="X800" s="28" t="s">
        <v>6646</v>
      </c>
      <c r="Y800" s="28" t="s">
        <v>6430</v>
      </c>
      <c r="Z800" s="28" t="s">
        <v>6647</v>
      </c>
      <c r="AA800" s="28" t="s">
        <v>6648</v>
      </c>
      <c r="AB800" s="28" t="s">
        <v>6649</v>
      </c>
      <c r="AC800" s="28" t="s">
        <v>6650</v>
      </c>
    </row>
    <row r="801" spans="1:29">
      <c r="A801">
        <v>17</v>
      </c>
      <c r="B801">
        <v>2138</v>
      </c>
      <c r="C801">
        <v>2138</v>
      </c>
      <c r="D801" t="s">
        <v>23</v>
      </c>
      <c r="E801" s="22">
        <v>44463</v>
      </c>
      <c r="F801" s="22">
        <v>44463</v>
      </c>
      <c r="G801" t="s">
        <v>965</v>
      </c>
      <c r="H801" t="s">
        <v>28</v>
      </c>
      <c r="I801" t="s">
        <v>23</v>
      </c>
      <c r="J801" t="s">
        <v>68</v>
      </c>
      <c r="K801" t="s">
        <v>107</v>
      </c>
      <c r="L801" t="s">
        <v>6651</v>
      </c>
      <c r="M801">
        <v>2131</v>
      </c>
      <c r="N801" t="s">
        <v>858</v>
      </c>
      <c r="O801" t="s">
        <v>866</v>
      </c>
      <c r="P801" t="s">
        <v>21</v>
      </c>
      <c r="Q801" t="s">
        <v>21</v>
      </c>
      <c r="R801" t="s">
        <v>931</v>
      </c>
      <c r="S801" t="s">
        <v>931</v>
      </c>
      <c r="T801" t="s">
        <v>954</v>
      </c>
      <c r="U801" t="s">
        <v>960</v>
      </c>
      <c r="V801" s="28" t="s">
        <v>6645</v>
      </c>
      <c r="W801" s="28" t="s">
        <v>6428</v>
      </c>
      <c r="X801" s="28" t="s">
        <v>6646</v>
      </c>
      <c r="Y801" s="28" t="s">
        <v>6430</v>
      </c>
      <c r="Z801" s="28" t="s">
        <v>6647</v>
      </c>
      <c r="AA801" s="28" t="s">
        <v>6648</v>
      </c>
      <c r="AB801" s="28" t="s">
        <v>6649</v>
      </c>
      <c r="AC801" s="28" t="s">
        <v>6650</v>
      </c>
    </row>
    <row r="802" spans="1:29">
      <c r="A802">
        <v>18</v>
      </c>
      <c r="B802">
        <v>2138</v>
      </c>
      <c r="C802">
        <v>2138</v>
      </c>
      <c r="D802" t="s">
        <v>23</v>
      </c>
      <c r="E802" s="22">
        <v>44463</v>
      </c>
      <c r="F802" s="22">
        <v>44463</v>
      </c>
      <c r="G802" t="s">
        <v>965</v>
      </c>
      <c r="H802" t="s">
        <v>28</v>
      </c>
      <c r="I802" t="s">
        <v>23</v>
      </c>
      <c r="J802" t="s">
        <v>68</v>
      </c>
      <c r="K802" t="s">
        <v>107</v>
      </c>
      <c r="L802" t="s">
        <v>6652</v>
      </c>
      <c r="M802">
        <v>2131</v>
      </c>
      <c r="N802" t="s">
        <v>858</v>
      </c>
      <c r="O802" t="s">
        <v>866</v>
      </c>
      <c r="P802" t="s">
        <v>21</v>
      </c>
      <c r="Q802" t="s">
        <v>21</v>
      </c>
      <c r="R802" t="s">
        <v>931</v>
      </c>
      <c r="S802" t="s">
        <v>931</v>
      </c>
      <c r="T802" t="s">
        <v>954</v>
      </c>
      <c r="U802" t="s">
        <v>960</v>
      </c>
      <c r="V802" s="28" t="s">
        <v>6645</v>
      </c>
      <c r="W802" s="28" t="s">
        <v>6428</v>
      </c>
      <c r="X802" s="28" t="s">
        <v>6646</v>
      </c>
      <c r="Y802" s="28" t="s">
        <v>6430</v>
      </c>
      <c r="Z802" s="28" t="s">
        <v>6647</v>
      </c>
      <c r="AA802" s="28" t="s">
        <v>6648</v>
      </c>
      <c r="AB802" s="28" t="s">
        <v>6649</v>
      </c>
      <c r="AC802" s="28" t="s">
        <v>6650</v>
      </c>
    </row>
    <row r="803" spans="1:29">
      <c r="A803">
        <v>32</v>
      </c>
      <c r="B803">
        <v>2138</v>
      </c>
      <c r="C803">
        <v>2138</v>
      </c>
      <c r="D803" t="s">
        <v>23</v>
      </c>
      <c r="E803" s="22">
        <v>44464</v>
      </c>
      <c r="F803" s="22">
        <v>44464</v>
      </c>
      <c r="G803" t="s">
        <v>965</v>
      </c>
      <c r="H803" t="s">
        <v>28</v>
      </c>
      <c r="I803" t="s">
        <v>23</v>
      </c>
      <c r="J803" t="s">
        <v>52</v>
      </c>
      <c r="K803" t="s">
        <v>71</v>
      </c>
      <c r="L803" t="s">
        <v>6653</v>
      </c>
      <c r="M803">
        <v>2127</v>
      </c>
      <c r="N803" t="s">
        <v>860</v>
      </c>
      <c r="O803" t="s">
        <v>866</v>
      </c>
      <c r="P803" t="s">
        <v>21</v>
      </c>
      <c r="Q803" t="s">
        <v>21</v>
      </c>
      <c r="R803" t="s">
        <v>891</v>
      </c>
      <c r="S803" t="s">
        <v>891</v>
      </c>
      <c r="T803" t="s">
        <v>891</v>
      </c>
      <c r="U803" t="s">
        <v>960</v>
      </c>
      <c r="V803" s="28" t="s">
        <v>6654</v>
      </c>
      <c r="W803" s="28" t="s">
        <v>6256</v>
      </c>
      <c r="X803" s="28" t="s">
        <v>6655</v>
      </c>
      <c r="Y803" s="28" t="s">
        <v>6258</v>
      </c>
      <c r="Z803" s="28" t="s">
        <v>6656</v>
      </c>
      <c r="AA803" s="28" t="s">
        <v>6260</v>
      </c>
      <c r="AB803" s="28" t="s">
        <v>6657</v>
      </c>
      <c r="AC803" s="28" t="s">
        <v>6262</v>
      </c>
    </row>
    <row r="804" spans="1:29">
      <c r="A804">
        <v>212</v>
      </c>
      <c r="B804">
        <v>2139</v>
      </c>
      <c r="C804">
        <v>2139</v>
      </c>
      <c r="D804" t="s">
        <v>21</v>
      </c>
      <c r="E804" s="22">
        <v>44466</v>
      </c>
      <c r="F804" t="s">
        <v>6055</v>
      </c>
      <c r="G804" t="s">
        <v>26</v>
      </c>
      <c r="H804">
        <v>4</v>
      </c>
      <c r="I804" t="s">
        <v>40</v>
      </c>
      <c r="J804" t="s">
        <v>53</v>
      </c>
      <c r="K804" t="s">
        <v>90</v>
      </c>
      <c r="L804" t="s">
        <v>6676</v>
      </c>
      <c r="M804">
        <v>2132</v>
      </c>
      <c r="N804" t="s">
        <v>6561</v>
      </c>
      <c r="O804" t="s">
        <v>21</v>
      </c>
      <c r="P804" t="s">
        <v>21</v>
      </c>
      <c r="Q804" t="s">
        <v>21</v>
      </c>
      <c r="R804" t="s">
        <v>874</v>
      </c>
      <c r="S804" t="s">
        <v>874</v>
      </c>
      <c r="T804" t="s">
        <v>28</v>
      </c>
      <c r="U804" t="s">
        <v>960</v>
      </c>
      <c r="V804" s="28" t="s">
        <v>6677</v>
      </c>
      <c r="W804" s="28" t="s">
        <v>6247</v>
      </c>
      <c r="X804" s="28" t="s">
        <v>6678</v>
      </c>
      <c r="Y804" s="28" t="s">
        <v>6358</v>
      </c>
      <c r="Z804" s="28" t="s">
        <v>6679</v>
      </c>
      <c r="AA804" s="28" t="s">
        <v>6597</v>
      </c>
      <c r="AB804" s="28" t="s">
        <v>6680</v>
      </c>
      <c r="AC804" s="28" t="s">
        <v>6396</v>
      </c>
    </row>
    <row r="805" spans="1:29">
      <c r="A805">
        <v>213</v>
      </c>
      <c r="B805">
        <v>2139</v>
      </c>
      <c r="C805">
        <v>2139</v>
      </c>
      <c r="D805" t="s">
        <v>21</v>
      </c>
      <c r="E805" s="22">
        <v>44466</v>
      </c>
      <c r="F805" t="s">
        <v>6055</v>
      </c>
      <c r="G805" t="s">
        <v>26</v>
      </c>
      <c r="H805">
        <v>4</v>
      </c>
      <c r="I805" t="s">
        <v>36</v>
      </c>
      <c r="J805" t="s">
        <v>53</v>
      </c>
      <c r="K805" t="s">
        <v>90</v>
      </c>
      <c r="L805" t="s">
        <v>6681</v>
      </c>
      <c r="M805">
        <v>2130</v>
      </c>
      <c r="N805" t="s">
        <v>6561</v>
      </c>
      <c r="O805" t="s">
        <v>21</v>
      </c>
      <c r="P805" t="s">
        <v>21</v>
      </c>
      <c r="Q805" t="s">
        <v>21</v>
      </c>
      <c r="R805" t="s">
        <v>874</v>
      </c>
      <c r="S805" t="s">
        <v>874</v>
      </c>
      <c r="T805" t="s">
        <v>28</v>
      </c>
      <c r="U805" t="s">
        <v>960</v>
      </c>
      <c r="V805" s="28" t="s">
        <v>6677</v>
      </c>
      <c r="W805" s="28" t="s">
        <v>6247</v>
      </c>
      <c r="X805" s="28" t="s">
        <v>6678</v>
      </c>
      <c r="Y805" s="28" t="s">
        <v>6358</v>
      </c>
      <c r="Z805" s="28" t="s">
        <v>6679</v>
      </c>
      <c r="AA805" s="28" t="s">
        <v>6597</v>
      </c>
      <c r="AB805" s="28" t="s">
        <v>6680</v>
      </c>
      <c r="AC805" s="28" t="s">
        <v>6396</v>
      </c>
    </row>
    <row r="806" spans="1:29">
      <c r="A806">
        <v>214</v>
      </c>
      <c r="B806">
        <v>2139</v>
      </c>
      <c r="C806">
        <v>2139</v>
      </c>
      <c r="D806" t="s">
        <v>21</v>
      </c>
      <c r="E806" s="22">
        <v>44466</v>
      </c>
      <c r="F806" t="s">
        <v>6055</v>
      </c>
      <c r="G806" t="s">
        <v>26</v>
      </c>
      <c r="H806">
        <v>3</v>
      </c>
      <c r="I806" t="s">
        <v>41</v>
      </c>
      <c r="J806" t="s">
        <v>66</v>
      </c>
      <c r="K806" t="s">
        <v>91</v>
      </c>
      <c r="L806" t="s">
        <v>6682</v>
      </c>
      <c r="M806">
        <v>2129</v>
      </c>
      <c r="N806" t="s">
        <v>6567</v>
      </c>
      <c r="O806" t="s">
        <v>21</v>
      </c>
      <c r="P806" t="s">
        <v>21</v>
      </c>
      <c r="Q806" t="s">
        <v>21</v>
      </c>
      <c r="R806" t="s">
        <v>881</v>
      </c>
      <c r="S806" t="s">
        <v>881</v>
      </c>
      <c r="T806" t="s">
        <v>949</v>
      </c>
      <c r="U806" t="s">
        <v>960</v>
      </c>
      <c r="V806" s="28" t="s">
        <v>6683</v>
      </c>
      <c r="W806" s="28" t="s">
        <v>6223</v>
      </c>
      <c r="X806" s="28" t="s">
        <v>6684</v>
      </c>
      <c r="Y806" s="28" t="s">
        <v>6225</v>
      </c>
      <c r="Z806" s="28" t="s">
        <v>6685</v>
      </c>
      <c r="AA806" s="28" t="s">
        <v>6571</v>
      </c>
      <c r="AB806" s="28" t="s">
        <v>6686</v>
      </c>
      <c r="AC806" s="28" t="s">
        <v>6573</v>
      </c>
    </row>
    <row r="807" spans="1:29">
      <c r="A807">
        <v>215</v>
      </c>
      <c r="B807">
        <v>2139</v>
      </c>
      <c r="C807">
        <v>2139</v>
      </c>
      <c r="D807" t="s">
        <v>21</v>
      </c>
      <c r="E807" s="22">
        <v>44467</v>
      </c>
      <c r="F807" t="s">
        <v>6055</v>
      </c>
      <c r="G807" t="s">
        <v>26</v>
      </c>
      <c r="H807">
        <v>4</v>
      </c>
      <c r="I807" t="s">
        <v>39</v>
      </c>
      <c r="J807" t="s">
        <v>53</v>
      </c>
      <c r="K807" t="s">
        <v>90</v>
      </c>
      <c r="L807" t="s">
        <v>6687</v>
      </c>
      <c r="M807">
        <v>2132</v>
      </c>
      <c r="N807" t="s">
        <v>6561</v>
      </c>
      <c r="O807" t="s">
        <v>21</v>
      </c>
      <c r="P807" t="s">
        <v>21</v>
      </c>
      <c r="Q807" t="s">
        <v>21</v>
      </c>
      <c r="R807" t="s">
        <v>1030</v>
      </c>
      <c r="S807" t="s">
        <v>1030</v>
      </c>
      <c r="T807" t="s">
        <v>995</v>
      </c>
      <c r="U807" t="s">
        <v>960</v>
      </c>
      <c r="V807" s="28" t="s">
        <v>6688</v>
      </c>
      <c r="W807" s="28" t="s">
        <v>6689</v>
      </c>
      <c r="X807" s="28" t="s">
        <v>6690</v>
      </c>
      <c r="Y807" s="28" t="s">
        <v>6691</v>
      </c>
      <c r="Z807" s="28" t="s">
        <v>6692</v>
      </c>
      <c r="AA807" s="28" t="s">
        <v>6693</v>
      </c>
      <c r="AB807" s="28" t="s">
        <v>6694</v>
      </c>
      <c r="AC807" s="28" t="s">
        <v>6695</v>
      </c>
    </row>
    <row r="808" spans="1:29">
      <c r="A808">
        <v>216</v>
      </c>
      <c r="B808">
        <v>2139</v>
      </c>
      <c r="C808">
        <v>2139</v>
      </c>
      <c r="D808" t="s">
        <v>21</v>
      </c>
      <c r="E808" s="22">
        <v>44467</v>
      </c>
      <c r="F808" t="s">
        <v>6055</v>
      </c>
      <c r="G808" t="s">
        <v>26</v>
      </c>
      <c r="H808">
        <v>3</v>
      </c>
      <c r="I808" t="s">
        <v>36</v>
      </c>
      <c r="J808" t="s">
        <v>66</v>
      </c>
      <c r="K808" t="s">
        <v>92</v>
      </c>
      <c r="L808" t="s">
        <v>6696</v>
      </c>
      <c r="M808">
        <v>2131</v>
      </c>
      <c r="N808" t="s">
        <v>6585</v>
      </c>
      <c r="O808" t="s">
        <v>21</v>
      </c>
      <c r="P808" t="s">
        <v>21</v>
      </c>
      <c r="Q808" t="s">
        <v>21</v>
      </c>
      <c r="R808" t="s">
        <v>874</v>
      </c>
      <c r="S808" t="s">
        <v>874</v>
      </c>
      <c r="T808" t="s">
        <v>28</v>
      </c>
      <c r="U808" t="s">
        <v>960</v>
      </c>
      <c r="V808" s="28" t="s">
        <v>6677</v>
      </c>
      <c r="W808" s="28" t="s">
        <v>6247</v>
      </c>
      <c r="X808" s="28" t="s">
        <v>6678</v>
      </c>
      <c r="Y808" s="28" t="s">
        <v>6358</v>
      </c>
      <c r="Z808" s="28" t="s">
        <v>6697</v>
      </c>
      <c r="AA808" s="28" t="s">
        <v>6587</v>
      </c>
      <c r="AB808" s="28" t="s">
        <v>6698</v>
      </c>
      <c r="AC808" s="28" t="s">
        <v>6418</v>
      </c>
    </row>
    <row r="809" spans="1:29">
      <c r="A809">
        <v>217</v>
      </c>
      <c r="B809">
        <v>2139</v>
      </c>
      <c r="C809">
        <v>2139</v>
      </c>
      <c r="D809" t="s">
        <v>21</v>
      </c>
      <c r="E809" s="22">
        <v>44467</v>
      </c>
      <c r="F809" t="s">
        <v>6055</v>
      </c>
      <c r="G809" t="s">
        <v>26</v>
      </c>
      <c r="H809">
        <v>4</v>
      </c>
      <c r="I809" t="s">
        <v>36</v>
      </c>
      <c r="J809" t="s">
        <v>53</v>
      </c>
      <c r="K809" t="s">
        <v>90</v>
      </c>
      <c r="L809" t="s">
        <v>6699</v>
      </c>
      <c r="M809">
        <v>2132</v>
      </c>
      <c r="N809" t="s">
        <v>6561</v>
      </c>
      <c r="O809" t="s">
        <v>21</v>
      </c>
      <c r="P809" t="s">
        <v>21</v>
      </c>
      <c r="Q809" t="s">
        <v>21</v>
      </c>
      <c r="R809" t="s">
        <v>874</v>
      </c>
      <c r="S809" t="s">
        <v>874</v>
      </c>
      <c r="T809" t="s">
        <v>28</v>
      </c>
      <c r="U809" t="s">
        <v>960</v>
      </c>
      <c r="V809" s="28" t="s">
        <v>6677</v>
      </c>
      <c r="W809" s="28" t="s">
        <v>6247</v>
      </c>
      <c r="X809" s="28" t="s">
        <v>6678</v>
      </c>
      <c r="Y809" s="28" t="s">
        <v>6358</v>
      </c>
      <c r="Z809" s="28" t="s">
        <v>6679</v>
      </c>
      <c r="AA809" s="28" t="s">
        <v>6597</v>
      </c>
      <c r="AB809" s="28" t="s">
        <v>6680</v>
      </c>
      <c r="AC809" s="28" t="s">
        <v>6396</v>
      </c>
    </row>
    <row r="810" spans="1:29">
      <c r="A810">
        <v>218</v>
      </c>
      <c r="B810">
        <v>2139</v>
      </c>
      <c r="C810">
        <v>2139</v>
      </c>
      <c r="D810" t="s">
        <v>21</v>
      </c>
      <c r="E810" s="22">
        <v>44467</v>
      </c>
      <c r="F810" t="s">
        <v>6055</v>
      </c>
      <c r="G810" t="s">
        <v>26</v>
      </c>
      <c r="H810">
        <v>4</v>
      </c>
      <c r="I810" t="s">
        <v>36</v>
      </c>
      <c r="J810" t="s">
        <v>53</v>
      </c>
      <c r="K810" t="s">
        <v>90</v>
      </c>
      <c r="L810" t="s">
        <v>6700</v>
      </c>
      <c r="M810">
        <v>2131</v>
      </c>
      <c r="N810" t="s">
        <v>6561</v>
      </c>
      <c r="O810" t="s">
        <v>21</v>
      </c>
      <c r="P810" t="s">
        <v>21</v>
      </c>
      <c r="Q810" t="s">
        <v>21</v>
      </c>
      <c r="R810" t="s">
        <v>892</v>
      </c>
      <c r="S810" t="s">
        <v>892</v>
      </c>
      <c r="T810" t="s">
        <v>908</v>
      </c>
      <c r="U810" t="s">
        <v>960</v>
      </c>
      <c r="V810" s="28" t="s">
        <v>6701</v>
      </c>
      <c r="W810" s="28" t="s">
        <v>6238</v>
      </c>
      <c r="X810" s="28" t="s">
        <v>6702</v>
      </c>
      <c r="Y810" s="28" t="s">
        <v>6240</v>
      </c>
      <c r="Z810" s="28" t="s">
        <v>6703</v>
      </c>
      <c r="AA810" s="28" t="s">
        <v>6591</v>
      </c>
      <c r="AB810" s="28" t="s">
        <v>6704</v>
      </c>
      <c r="AC810" s="28" t="s">
        <v>6593</v>
      </c>
    </row>
    <row r="811" spans="1:29">
      <c r="A811">
        <v>219</v>
      </c>
      <c r="B811">
        <v>2139</v>
      </c>
      <c r="C811">
        <v>2139</v>
      </c>
      <c r="D811" t="s">
        <v>21</v>
      </c>
      <c r="E811" s="22">
        <v>44468</v>
      </c>
      <c r="F811" t="s">
        <v>6055</v>
      </c>
      <c r="G811" t="s">
        <v>26</v>
      </c>
      <c r="H811">
        <v>4</v>
      </c>
      <c r="I811" t="s">
        <v>39</v>
      </c>
      <c r="J811" t="s">
        <v>53</v>
      </c>
      <c r="K811" t="s">
        <v>90</v>
      </c>
      <c r="L811" t="s">
        <v>6705</v>
      </c>
      <c r="M811">
        <v>2132</v>
      </c>
      <c r="N811" t="s">
        <v>6561</v>
      </c>
      <c r="O811" t="s">
        <v>21</v>
      </c>
      <c r="P811" t="s">
        <v>21</v>
      </c>
      <c r="Q811" t="s">
        <v>21</v>
      </c>
      <c r="R811" t="s">
        <v>1030</v>
      </c>
      <c r="S811" t="s">
        <v>1030</v>
      </c>
      <c r="T811" t="s">
        <v>995</v>
      </c>
      <c r="U811" t="s">
        <v>960</v>
      </c>
      <c r="V811" s="28" t="s">
        <v>6688</v>
      </c>
      <c r="W811" s="28" t="s">
        <v>6689</v>
      </c>
      <c r="X811" s="28" t="s">
        <v>6690</v>
      </c>
      <c r="Y811" s="28" t="s">
        <v>6691</v>
      </c>
      <c r="Z811" s="28" t="s">
        <v>6692</v>
      </c>
      <c r="AA811" s="28" t="s">
        <v>6693</v>
      </c>
      <c r="AB811" s="28" t="s">
        <v>6694</v>
      </c>
      <c r="AC811" s="28" t="s">
        <v>6695</v>
      </c>
    </row>
    <row r="812" spans="1:29">
      <c r="A812">
        <v>220</v>
      </c>
      <c r="B812">
        <v>2139</v>
      </c>
      <c r="C812">
        <v>2139</v>
      </c>
      <c r="D812" t="s">
        <v>21</v>
      </c>
      <c r="E812" s="22">
        <v>44468</v>
      </c>
      <c r="F812" t="s">
        <v>6055</v>
      </c>
      <c r="G812" t="s">
        <v>26</v>
      </c>
      <c r="H812">
        <v>4</v>
      </c>
      <c r="I812" t="s">
        <v>39</v>
      </c>
      <c r="J812" t="s">
        <v>53</v>
      </c>
      <c r="K812" t="s">
        <v>90</v>
      </c>
      <c r="L812" t="s">
        <v>6706</v>
      </c>
      <c r="M812">
        <v>2131</v>
      </c>
      <c r="N812" t="s">
        <v>6561</v>
      </c>
      <c r="O812" t="s">
        <v>21</v>
      </c>
      <c r="P812" t="s">
        <v>21</v>
      </c>
      <c r="Q812" t="s">
        <v>21</v>
      </c>
      <c r="R812" t="s">
        <v>1030</v>
      </c>
      <c r="S812" t="s">
        <v>1030</v>
      </c>
      <c r="T812" t="s">
        <v>995</v>
      </c>
      <c r="U812" t="s">
        <v>960</v>
      </c>
      <c r="V812" s="28" t="s">
        <v>6688</v>
      </c>
      <c r="W812" s="28" t="s">
        <v>6689</v>
      </c>
      <c r="X812" s="28" t="s">
        <v>6690</v>
      </c>
      <c r="Y812" s="28" t="s">
        <v>6691</v>
      </c>
      <c r="Z812" s="28" t="s">
        <v>6692</v>
      </c>
      <c r="AA812" s="28" t="s">
        <v>6693</v>
      </c>
      <c r="AB812" s="28" t="s">
        <v>6694</v>
      </c>
      <c r="AC812" s="28" t="s">
        <v>6695</v>
      </c>
    </row>
    <row r="813" spans="1:29">
      <c r="A813">
        <v>221</v>
      </c>
      <c r="B813">
        <v>2139</v>
      </c>
      <c r="C813">
        <v>2139</v>
      </c>
      <c r="D813" t="s">
        <v>21</v>
      </c>
      <c r="E813" s="22">
        <v>44468</v>
      </c>
      <c r="F813" t="s">
        <v>6055</v>
      </c>
      <c r="G813" t="s">
        <v>26</v>
      </c>
      <c r="H813">
        <v>4</v>
      </c>
      <c r="I813" t="s">
        <v>39</v>
      </c>
      <c r="J813" t="s">
        <v>53</v>
      </c>
      <c r="K813" t="s">
        <v>90</v>
      </c>
      <c r="L813" t="s">
        <v>6707</v>
      </c>
      <c r="M813">
        <v>2131</v>
      </c>
      <c r="N813" t="s">
        <v>6561</v>
      </c>
      <c r="O813" t="s">
        <v>21</v>
      </c>
      <c r="P813" t="s">
        <v>21</v>
      </c>
      <c r="Q813" t="s">
        <v>21</v>
      </c>
      <c r="R813" t="s">
        <v>1030</v>
      </c>
      <c r="S813" t="s">
        <v>1030</v>
      </c>
      <c r="T813" t="s">
        <v>995</v>
      </c>
      <c r="U813" t="s">
        <v>960</v>
      </c>
      <c r="V813" s="28" t="s">
        <v>6688</v>
      </c>
      <c r="W813" s="28" t="s">
        <v>6689</v>
      </c>
      <c r="X813" s="28" t="s">
        <v>6690</v>
      </c>
      <c r="Y813" s="28" t="s">
        <v>6691</v>
      </c>
      <c r="Z813" s="28" t="s">
        <v>6692</v>
      </c>
      <c r="AA813" s="28" t="s">
        <v>6693</v>
      </c>
      <c r="AB813" s="28" t="s">
        <v>6694</v>
      </c>
      <c r="AC813" s="28" t="s">
        <v>6695</v>
      </c>
    </row>
    <row r="814" spans="1:29">
      <c r="A814">
        <v>222</v>
      </c>
      <c r="B814">
        <v>2139</v>
      </c>
      <c r="C814">
        <v>2139</v>
      </c>
      <c r="D814" t="s">
        <v>21</v>
      </c>
      <c r="E814" s="22">
        <v>44468</v>
      </c>
      <c r="F814" t="s">
        <v>6055</v>
      </c>
      <c r="G814" t="s">
        <v>26</v>
      </c>
      <c r="H814">
        <v>4</v>
      </c>
      <c r="I814" t="s">
        <v>39</v>
      </c>
      <c r="J814" t="s">
        <v>53</v>
      </c>
      <c r="K814" t="s">
        <v>90</v>
      </c>
      <c r="L814" t="s">
        <v>6708</v>
      </c>
      <c r="M814">
        <v>2131</v>
      </c>
      <c r="N814" t="s">
        <v>6561</v>
      </c>
      <c r="O814" t="s">
        <v>21</v>
      </c>
      <c r="P814" t="s">
        <v>21</v>
      </c>
      <c r="Q814" t="s">
        <v>21</v>
      </c>
      <c r="R814" t="s">
        <v>1030</v>
      </c>
      <c r="S814" t="s">
        <v>1030</v>
      </c>
      <c r="T814" t="s">
        <v>995</v>
      </c>
      <c r="U814" t="s">
        <v>960</v>
      </c>
      <c r="V814" s="28" t="s">
        <v>6688</v>
      </c>
      <c r="W814" s="28" t="s">
        <v>6689</v>
      </c>
      <c r="X814" s="28" t="s">
        <v>6690</v>
      </c>
      <c r="Y814" s="28" t="s">
        <v>6691</v>
      </c>
      <c r="Z814" s="28" t="s">
        <v>6692</v>
      </c>
      <c r="AA814" s="28" t="s">
        <v>6693</v>
      </c>
      <c r="AB814" s="28" t="s">
        <v>6694</v>
      </c>
      <c r="AC814" s="28" t="s">
        <v>6695</v>
      </c>
    </row>
    <row r="815" spans="1:29">
      <c r="A815">
        <v>223</v>
      </c>
      <c r="B815">
        <v>2139</v>
      </c>
      <c r="C815">
        <v>2139</v>
      </c>
      <c r="D815" t="s">
        <v>21</v>
      </c>
      <c r="E815" s="22">
        <v>44468</v>
      </c>
      <c r="F815" t="s">
        <v>6055</v>
      </c>
      <c r="G815" t="s">
        <v>26</v>
      </c>
      <c r="H815">
        <v>3</v>
      </c>
      <c r="I815" t="s">
        <v>36</v>
      </c>
      <c r="J815" t="s">
        <v>68</v>
      </c>
      <c r="K815" t="s">
        <v>94</v>
      </c>
      <c r="L815" t="s">
        <v>6709</v>
      </c>
      <c r="M815">
        <v>2132</v>
      </c>
      <c r="N815" t="s">
        <v>831</v>
      </c>
      <c r="O815" t="s">
        <v>21</v>
      </c>
      <c r="P815" t="s">
        <v>21</v>
      </c>
      <c r="Q815" t="s">
        <v>21</v>
      </c>
      <c r="R815" t="s">
        <v>877</v>
      </c>
      <c r="S815" t="s">
        <v>877</v>
      </c>
      <c r="T815" t="s">
        <v>28</v>
      </c>
      <c r="U815" t="s">
        <v>960</v>
      </c>
      <c r="V815" s="28" t="s">
        <v>6677</v>
      </c>
      <c r="W815" s="28" t="s">
        <v>6247</v>
      </c>
      <c r="X815" s="28" t="s">
        <v>6678</v>
      </c>
      <c r="Y815" s="28" t="s">
        <v>6358</v>
      </c>
      <c r="Z815" s="28" t="s">
        <v>6710</v>
      </c>
      <c r="AA815" s="28" t="s">
        <v>6711</v>
      </c>
      <c r="AB815" s="28" t="s">
        <v>6712</v>
      </c>
      <c r="AC815" s="28" t="s">
        <v>6643</v>
      </c>
    </row>
    <row r="816" spans="1:29">
      <c r="A816">
        <v>224</v>
      </c>
      <c r="B816">
        <v>2139</v>
      </c>
      <c r="C816">
        <v>2139</v>
      </c>
      <c r="D816" t="s">
        <v>21</v>
      </c>
      <c r="E816" s="22">
        <v>44469</v>
      </c>
      <c r="F816" t="s">
        <v>6055</v>
      </c>
      <c r="G816" t="s">
        <v>26</v>
      </c>
      <c r="H816">
        <v>4</v>
      </c>
      <c r="I816" t="s">
        <v>50</v>
      </c>
      <c r="J816" t="s">
        <v>53</v>
      </c>
      <c r="K816" t="s">
        <v>95</v>
      </c>
      <c r="L816" t="s">
        <v>6713</v>
      </c>
      <c r="M816">
        <v>2131</v>
      </c>
      <c r="N816" t="s">
        <v>6714</v>
      </c>
      <c r="O816" t="s">
        <v>21</v>
      </c>
      <c r="P816" t="s">
        <v>21</v>
      </c>
      <c r="Q816" t="s">
        <v>21</v>
      </c>
      <c r="R816" t="s">
        <v>893</v>
      </c>
      <c r="S816" t="s">
        <v>893</v>
      </c>
      <c r="T816" t="s">
        <v>908</v>
      </c>
      <c r="U816" t="s">
        <v>960</v>
      </c>
      <c r="V816" s="28" t="s">
        <v>6701</v>
      </c>
      <c r="W816" s="28" t="s">
        <v>6238</v>
      </c>
      <c r="X816" s="28" t="s">
        <v>6702</v>
      </c>
      <c r="Y816" s="28" t="s">
        <v>6240</v>
      </c>
      <c r="Z816" s="28" t="s">
        <v>6703</v>
      </c>
      <c r="AA816" s="28" t="s">
        <v>6591</v>
      </c>
      <c r="AB816" s="28" t="s">
        <v>6704</v>
      </c>
      <c r="AC816" s="28" t="s">
        <v>6593</v>
      </c>
    </row>
    <row r="817" spans="1:29">
      <c r="A817">
        <v>225</v>
      </c>
      <c r="B817">
        <v>2139</v>
      </c>
      <c r="C817">
        <v>2139</v>
      </c>
      <c r="D817" t="s">
        <v>21</v>
      </c>
      <c r="E817" s="22">
        <v>44469</v>
      </c>
      <c r="F817" t="s">
        <v>6055</v>
      </c>
      <c r="G817" t="s">
        <v>26</v>
      </c>
      <c r="H817">
        <v>4</v>
      </c>
      <c r="I817" t="s">
        <v>50</v>
      </c>
      <c r="J817" t="s">
        <v>53</v>
      </c>
      <c r="K817" t="s">
        <v>95</v>
      </c>
      <c r="L817" t="s">
        <v>6715</v>
      </c>
      <c r="M817">
        <v>2131</v>
      </c>
      <c r="N817" t="s">
        <v>6714</v>
      </c>
      <c r="O817" t="s">
        <v>21</v>
      </c>
      <c r="P817" t="s">
        <v>21</v>
      </c>
      <c r="Q817" t="s">
        <v>21</v>
      </c>
      <c r="R817" t="s">
        <v>874</v>
      </c>
      <c r="S817" t="s">
        <v>874</v>
      </c>
      <c r="T817" t="s">
        <v>28</v>
      </c>
      <c r="U817" t="s">
        <v>960</v>
      </c>
      <c r="V817" s="28" t="s">
        <v>6677</v>
      </c>
      <c r="W817" s="28" t="s">
        <v>6247</v>
      </c>
      <c r="X817" s="28" t="s">
        <v>6678</v>
      </c>
      <c r="Y817" s="28" t="s">
        <v>6358</v>
      </c>
      <c r="Z817" s="28" t="s">
        <v>6679</v>
      </c>
      <c r="AA817" s="28" t="s">
        <v>6597</v>
      </c>
      <c r="AB817" s="28" t="s">
        <v>6680</v>
      </c>
      <c r="AC817" s="28" t="s">
        <v>6396</v>
      </c>
    </row>
    <row r="818" spans="1:29">
      <c r="A818">
        <v>226</v>
      </c>
      <c r="B818">
        <v>2139</v>
      </c>
      <c r="C818">
        <v>2139</v>
      </c>
      <c r="D818" t="s">
        <v>21</v>
      </c>
      <c r="E818" s="22">
        <v>44470</v>
      </c>
      <c r="F818" t="s">
        <v>6055</v>
      </c>
      <c r="G818" t="s">
        <v>26</v>
      </c>
      <c r="H818">
        <v>2</v>
      </c>
      <c r="I818" t="s">
        <v>40</v>
      </c>
      <c r="J818" t="s">
        <v>52</v>
      </c>
      <c r="K818" t="s">
        <v>88</v>
      </c>
      <c r="L818" t="s">
        <v>6716</v>
      </c>
      <c r="M818">
        <v>2132</v>
      </c>
      <c r="N818" t="s">
        <v>825</v>
      </c>
      <c r="O818" t="s">
        <v>21</v>
      </c>
      <c r="P818" t="s">
        <v>21</v>
      </c>
      <c r="Q818" t="s">
        <v>21</v>
      </c>
      <c r="R818" t="s">
        <v>900</v>
      </c>
      <c r="S818" t="s">
        <v>900</v>
      </c>
      <c r="T818" t="s">
        <v>955</v>
      </c>
      <c r="U818" t="s">
        <v>960</v>
      </c>
      <c r="V818" s="28" t="s">
        <v>6717</v>
      </c>
      <c r="W818" s="28" t="s">
        <v>6369</v>
      </c>
      <c r="X818" s="28" t="s">
        <v>6718</v>
      </c>
      <c r="Y818" s="28" t="s">
        <v>6579</v>
      </c>
      <c r="Z818" s="28" t="s">
        <v>6719</v>
      </c>
      <c r="AA818" s="28" t="s">
        <v>6720</v>
      </c>
      <c r="AB818" s="28" t="s">
        <v>6721</v>
      </c>
      <c r="AC818" s="28" t="s">
        <v>6722</v>
      </c>
    </row>
    <row r="819" spans="1:29">
      <c r="A819">
        <v>227</v>
      </c>
      <c r="B819">
        <v>2139</v>
      </c>
      <c r="C819">
        <v>2139</v>
      </c>
      <c r="D819" t="s">
        <v>21</v>
      </c>
      <c r="E819" s="22">
        <v>44470</v>
      </c>
      <c r="F819" t="s">
        <v>6055</v>
      </c>
      <c r="G819" t="s">
        <v>26</v>
      </c>
      <c r="H819">
        <v>3</v>
      </c>
      <c r="I819" t="s">
        <v>36</v>
      </c>
      <c r="J819" t="s">
        <v>52</v>
      </c>
      <c r="K819" t="s">
        <v>88</v>
      </c>
      <c r="L819" t="s">
        <v>6723</v>
      </c>
      <c r="M819">
        <v>2130</v>
      </c>
      <c r="N819" t="s">
        <v>825</v>
      </c>
      <c r="O819" t="s">
        <v>21</v>
      </c>
      <c r="P819" t="s">
        <v>21</v>
      </c>
      <c r="Q819" t="s">
        <v>21</v>
      </c>
      <c r="R819" t="s">
        <v>877</v>
      </c>
      <c r="S819" t="s">
        <v>877</v>
      </c>
      <c r="T819" t="s">
        <v>28</v>
      </c>
      <c r="U819" t="s">
        <v>960</v>
      </c>
      <c r="V819" s="28" t="s">
        <v>6677</v>
      </c>
      <c r="W819" s="28" t="s">
        <v>6247</v>
      </c>
      <c r="X819" s="28" t="s">
        <v>6678</v>
      </c>
      <c r="Y819" s="28" t="s">
        <v>6358</v>
      </c>
      <c r="Z819" s="28" t="s">
        <v>6724</v>
      </c>
      <c r="AA819" s="28" t="s">
        <v>6360</v>
      </c>
      <c r="AB819" s="28" t="s">
        <v>6725</v>
      </c>
      <c r="AC819" s="28" t="s">
        <v>6253</v>
      </c>
    </row>
    <row r="820" spans="1:29">
      <c r="A820">
        <v>228</v>
      </c>
      <c r="B820">
        <v>2139</v>
      </c>
      <c r="C820">
        <v>2139</v>
      </c>
      <c r="D820" t="s">
        <v>21</v>
      </c>
      <c r="E820" s="22">
        <v>44470</v>
      </c>
      <c r="F820" t="s">
        <v>6055</v>
      </c>
      <c r="G820" t="s">
        <v>26</v>
      </c>
      <c r="H820">
        <v>3</v>
      </c>
      <c r="I820" t="s">
        <v>38</v>
      </c>
      <c r="J820" t="s">
        <v>52</v>
      </c>
      <c r="K820" t="s">
        <v>88</v>
      </c>
      <c r="L820" t="s">
        <v>6726</v>
      </c>
      <c r="M820">
        <v>2133</v>
      </c>
      <c r="N820" t="s">
        <v>825</v>
      </c>
      <c r="O820" t="s">
        <v>21</v>
      </c>
      <c r="P820" t="s">
        <v>21</v>
      </c>
      <c r="Q820" t="s">
        <v>21</v>
      </c>
      <c r="R820" t="s">
        <v>880</v>
      </c>
      <c r="S820" t="s">
        <v>880</v>
      </c>
      <c r="T820" t="s">
        <v>908</v>
      </c>
      <c r="U820" t="s">
        <v>960</v>
      </c>
      <c r="V820" s="28" t="s">
        <v>6701</v>
      </c>
      <c r="W820" s="28" t="s">
        <v>6238</v>
      </c>
      <c r="X820" s="28" t="s">
        <v>6702</v>
      </c>
      <c r="Y820" s="28" t="s">
        <v>6240</v>
      </c>
      <c r="Z820" s="28" t="s">
        <v>6727</v>
      </c>
      <c r="AA820" s="28" t="s">
        <v>6728</v>
      </c>
      <c r="AB820" s="28" t="s">
        <v>6729</v>
      </c>
      <c r="AC820" s="28" t="s">
        <v>6730</v>
      </c>
    </row>
    <row r="821" spans="1:29">
      <c r="A821">
        <v>229</v>
      </c>
      <c r="B821">
        <v>2140</v>
      </c>
      <c r="C821">
        <v>2140</v>
      </c>
      <c r="D821" t="s">
        <v>21</v>
      </c>
      <c r="E821" s="22">
        <v>44473</v>
      </c>
      <c r="F821" t="s">
        <v>6055</v>
      </c>
      <c r="G821" t="s">
        <v>26</v>
      </c>
      <c r="H821">
        <v>3</v>
      </c>
      <c r="I821" t="s">
        <v>36</v>
      </c>
      <c r="J821" t="s">
        <v>52</v>
      </c>
      <c r="K821" t="s">
        <v>88</v>
      </c>
      <c r="L821" t="s">
        <v>6731</v>
      </c>
      <c r="M821">
        <v>2131</v>
      </c>
      <c r="N821" t="s">
        <v>825</v>
      </c>
      <c r="O821" t="s">
        <v>21</v>
      </c>
      <c r="P821" t="s">
        <v>21</v>
      </c>
      <c r="Q821" t="s">
        <v>21</v>
      </c>
      <c r="R821" t="s">
        <v>874</v>
      </c>
      <c r="S821" t="s">
        <v>874</v>
      </c>
      <c r="T821" t="s">
        <v>28</v>
      </c>
      <c r="U821" t="s">
        <v>960</v>
      </c>
      <c r="V821" s="28" t="s">
        <v>6732</v>
      </c>
      <c r="W821" s="28" t="s">
        <v>6733</v>
      </c>
      <c r="X821" s="28" t="s">
        <v>6734</v>
      </c>
      <c r="Y821" s="28" t="s">
        <v>6735</v>
      </c>
      <c r="Z821" s="28" t="s">
        <v>6736</v>
      </c>
      <c r="AA821" s="28" t="s">
        <v>6737</v>
      </c>
      <c r="AB821" s="28" t="s">
        <v>6738</v>
      </c>
      <c r="AC821" s="28" t="s">
        <v>6739</v>
      </c>
    </row>
    <row r="822" spans="1:29">
      <c r="A822">
        <v>230</v>
      </c>
      <c r="B822">
        <v>2140</v>
      </c>
      <c r="C822">
        <v>2140</v>
      </c>
      <c r="D822" t="s">
        <v>21</v>
      </c>
      <c r="E822" s="22">
        <v>44474</v>
      </c>
      <c r="F822" t="s">
        <v>6055</v>
      </c>
      <c r="G822" t="s">
        <v>26</v>
      </c>
      <c r="H822">
        <v>3</v>
      </c>
      <c r="I822" t="s">
        <v>36</v>
      </c>
      <c r="J822" t="s">
        <v>66</v>
      </c>
      <c r="K822" t="s">
        <v>92</v>
      </c>
      <c r="L822" t="s">
        <v>6740</v>
      </c>
      <c r="M822">
        <v>2132</v>
      </c>
      <c r="N822" t="s">
        <v>6585</v>
      </c>
      <c r="O822" t="s">
        <v>21</v>
      </c>
      <c r="P822" t="s">
        <v>21</v>
      </c>
      <c r="Q822" t="s">
        <v>21</v>
      </c>
      <c r="R822" t="s">
        <v>874</v>
      </c>
      <c r="S822" t="s">
        <v>874</v>
      </c>
      <c r="T822" t="s">
        <v>28</v>
      </c>
      <c r="U822" t="s">
        <v>960</v>
      </c>
      <c r="V822" s="28" t="s">
        <v>6732</v>
      </c>
      <c r="W822" s="28" t="s">
        <v>6733</v>
      </c>
      <c r="X822" s="28" t="s">
        <v>6734</v>
      </c>
      <c r="Y822" s="28" t="s">
        <v>6735</v>
      </c>
      <c r="Z822" s="28" t="s">
        <v>6741</v>
      </c>
      <c r="AA822" s="28" t="s">
        <v>6742</v>
      </c>
      <c r="AB822" s="28" t="s">
        <v>6743</v>
      </c>
      <c r="AC822" s="28" t="s">
        <v>6744</v>
      </c>
    </row>
    <row r="823" spans="1:29">
      <c r="A823">
        <v>231</v>
      </c>
      <c r="B823">
        <v>2140</v>
      </c>
      <c r="C823">
        <v>2140</v>
      </c>
      <c r="D823" t="s">
        <v>21</v>
      </c>
      <c r="E823" s="22">
        <v>44474</v>
      </c>
      <c r="F823" t="s">
        <v>6055</v>
      </c>
      <c r="G823" t="s">
        <v>26</v>
      </c>
      <c r="H823">
        <v>3</v>
      </c>
      <c r="I823" t="s">
        <v>36</v>
      </c>
      <c r="J823" t="s">
        <v>66</v>
      </c>
      <c r="K823" t="s">
        <v>92</v>
      </c>
      <c r="L823" t="s">
        <v>6745</v>
      </c>
      <c r="M823">
        <v>2132</v>
      </c>
      <c r="N823" t="s">
        <v>6585</v>
      </c>
      <c r="O823" t="s">
        <v>21</v>
      </c>
      <c r="P823" t="s">
        <v>21</v>
      </c>
      <c r="Q823" t="s">
        <v>21</v>
      </c>
      <c r="R823" t="s">
        <v>874</v>
      </c>
      <c r="S823" t="s">
        <v>874</v>
      </c>
      <c r="T823" t="s">
        <v>28</v>
      </c>
      <c r="U823" t="s">
        <v>960</v>
      </c>
      <c r="V823" s="28" t="s">
        <v>6732</v>
      </c>
      <c r="W823" s="28" t="s">
        <v>6733</v>
      </c>
      <c r="X823" s="28" t="s">
        <v>6734</v>
      </c>
      <c r="Y823" s="28" t="s">
        <v>6735</v>
      </c>
      <c r="Z823" s="28" t="s">
        <v>6741</v>
      </c>
      <c r="AA823" s="28" t="s">
        <v>6742</v>
      </c>
      <c r="AB823" s="28" t="s">
        <v>6743</v>
      </c>
      <c r="AC823" s="28" t="s">
        <v>6744</v>
      </c>
    </row>
    <row r="824" spans="1:29">
      <c r="A824">
        <v>232</v>
      </c>
      <c r="B824">
        <v>2140</v>
      </c>
      <c r="C824">
        <v>2140</v>
      </c>
      <c r="D824" t="s">
        <v>21</v>
      </c>
      <c r="E824" s="22">
        <v>44476</v>
      </c>
      <c r="F824" t="s">
        <v>6055</v>
      </c>
      <c r="G824" t="s">
        <v>26</v>
      </c>
      <c r="H824">
        <v>2</v>
      </c>
      <c r="I824" t="s">
        <v>36</v>
      </c>
      <c r="J824" t="s">
        <v>53</v>
      </c>
      <c r="K824" t="s">
        <v>95</v>
      </c>
      <c r="L824" t="s">
        <v>6746</v>
      </c>
      <c r="M824">
        <v>2133</v>
      </c>
      <c r="N824" t="s">
        <v>6714</v>
      </c>
      <c r="O824" t="s">
        <v>21</v>
      </c>
      <c r="P824" t="s">
        <v>21</v>
      </c>
      <c r="Q824" t="s">
        <v>21</v>
      </c>
      <c r="R824" t="s">
        <v>874</v>
      </c>
      <c r="S824" t="s">
        <v>874</v>
      </c>
      <c r="T824" t="s">
        <v>28</v>
      </c>
      <c r="U824" t="s">
        <v>960</v>
      </c>
      <c r="V824" s="28" t="s">
        <v>6732</v>
      </c>
      <c r="W824" s="28" t="s">
        <v>6733</v>
      </c>
      <c r="X824" s="28" t="s">
        <v>6734</v>
      </c>
      <c r="Y824" s="28" t="s">
        <v>6735</v>
      </c>
      <c r="Z824" s="28" t="s">
        <v>6747</v>
      </c>
      <c r="AA824" s="28" t="s">
        <v>6748</v>
      </c>
      <c r="AB824" s="28" t="s">
        <v>6749</v>
      </c>
      <c r="AC824" s="28" t="s">
        <v>6750</v>
      </c>
    </row>
    <row r="825" spans="1:29">
      <c r="A825">
        <v>233</v>
      </c>
      <c r="B825">
        <v>2140</v>
      </c>
      <c r="C825">
        <v>2140</v>
      </c>
      <c r="D825" t="s">
        <v>21</v>
      </c>
      <c r="E825" s="22">
        <v>44477</v>
      </c>
      <c r="F825" t="s">
        <v>6055</v>
      </c>
      <c r="G825" t="s">
        <v>26</v>
      </c>
      <c r="H825">
        <v>2</v>
      </c>
      <c r="I825" t="s">
        <v>36</v>
      </c>
      <c r="J825" t="s">
        <v>53</v>
      </c>
      <c r="K825" t="s">
        <v>95</v>
      </c>
      <c r="L825" t="s">
        <v>6751</v>
      </c>
      <c r="M825">
        <v>2133</v>
      </c>
      <c r="N825" t="s">
        <v>6714</v>
      </c>
      <c r="O825" t="s">
        <v>21</v>
      </c>
      <c r="P825" t="s">
        <v>21</v>
      </c>
      <c r="Q825" t="s">
        <v>21</v>
      </c>
      <c r="R825" t="s">
        <v>874</v>
      </c>
      <c r="S825" t="s">
        <v>874</v>
      </c>
      <c r="T825" t="s">
        <v>28</v>
      </c>
      <c r="U825" t="s">
        <v>960</v>
      </c>
      <c r="V825" s="28" t="s">
        <v>6732</v>
      </c>
      <c r="W825" s="28" t="s">
        <v>6733</v>
      </c>
      <c r="X825" s="28" t="s">
        <v>6734</v>
      </c>
      <c r="Y825" s="28" t="s">
        <v>6735</v>
      </c>
      <c r="Z825" s="28" t="s">
        <v>6747</v>
      </c>
      <c r="AA825" s="28" t="s">
        <v>6748</v>
      </c>
      <c r="AB825" s="28" t="s">
        <v>6749</v>
      </c>
      <c r="AC825" s="28" t="s">
        <v>6750</v>
      </c>
    </row>
    <row r="826" spans="1:29">
      <c r="A826">
        <v>33</v>
      </c>
      <c r="B826">
        <v>2139</v>
      </c>
      <c r="C826">
        <v>2139</v>
      </c>
      <c r="D826" t="s">
        <v>23</v>
      </c>
      <c r="E826" s="22">
        <v>44466</v>
      </c>
      <c r="F826" s="22">
        <v>44466</v>
      </c>
      <c r="G826" t="s">
        <v>965</v>
      </c>
      <c r="H826" t="s">
        <v>28</v>
      </c>
      <c r="I826" t="s">
        <v>23</v>
      </c>
      <c r="J826" t="s">
        <v>52</v>
      </c>
      <c r="K826" t="s">
        <v>71</v>
      </c>
      <c r="L826" t="s">
        <v>6752</v>
      </c>
      <c r="M826">
        <v>2126</v>
      </c>
      <c r="N826" t="s">
        <v>860</v>
      </c>
      <c r="O826" t="s">
        <v>866</v>
      </c>
      <c r="P826" t="s">
        <v>21</v>
      </c>
      <c r="Q826" t="s">
        <v>21</v>
      </c>
      <c r="R826" t="s">
        <v>936</v>
      </c>
      <c r="S826" t="s">
        <v>944</v>
      </c>
      <c r="T826" t="s">
        <v>954</v>
      </c>
      <c r="U826" t="s">
        <v>960</v>
      </c>
      <c r="V826" s="28" t="s">
        <v>6753</v>
      </c>
      <c r="W826" s="28" t="s">
        <v>6428</v>
      </c>
      <c r="X826" s="28" t="s">
        <v>6754</v>
      </c>
      <c r="Y826" s="28" t="s">
        <v>6430</v>
      </c>
      <c r="Z826" s="28" t="s">
        <v>6755</v>
      </c>
      <c r="AA826" s="28" t="s">
        <v>6756</v>
      </c>
      <c r="AB826" s="28" t="s">
        <v>6757</v>
      </c>
      <c r="AC826" s="28" t="s">
        <v>6758</v>
      </c>
    </row>
    <row r="827" spans="1:29">
      <c r="A827">
        <v>34</v>
      </c>
      <c r="B827">
        <v>2139</v>
      </c>
      <c r="C827">
        <v>2139</v>
      </c>
      <c r="D827" t="s">
        <v>23</v>
      </c>
      <c r="E827" s="22">
        <v>44466</v>
      </c>
      <c r="F827" s="22">
        <v>44466</v>
      </c>
      <c r="G827" t="s">
        <v>965</v>
      </c>
      <c r="H827" t="s">
        <v>28</v>
      </c>
      <c r="I827" t="s">
        <v>23</v>
      </c>
      <c r="J827" t="s">
        <v>52</v>
      </c>
      <c r="K827" t="s">
        <v>71</v>
      </c>
      <c r="L827" t="s">
        <v>6759</v>
      </c>
      <c r="M827">
        <v>2126</v>
      </c>
      <c r="N827" t="s">
        <v>860</v>
      </c>
      <c r="O827" t="s">
        <v>866</v>
      </c>
      <c r="P827" t="s">
        <v>21</v>
      </c>
      <c r="Q827" t="s">
        <v>21</v>
      </c>
      <c r="R827" t="s">
        <v>911</v>
      </c>
      <c r="S827" t="s">
        <v>911</v>
      </c>
      <c r="T827" t="s">
        <v>28</v>
      </c>
      <c r="U827" t="s">
        <v>960</v>
      </c>
      <c r="V827" s="28" t="s">
        <v>6677</v>
      </c>
      <c r="W827" s="28" t="s">
        <v>6247</v>
      </c>
      <c r="X827" s="28" t="s">
        <v>6760</v>
      </c>
      <c r="Y827" s="28" t="s">
        <v>6249</v>
      </c>
      <c r="Z827" s="28" t="s">
        <v>6761</v>
      </c>
      <c r="AA827" s="28" t="s">
        <v>6251</v>
      </c>
      <c r="AB827" s="28" t="s">
        <v>6725</v>
      </c>
      <c r="AC827" s="28" t="s">
        <v>6253</v>
      </c>
    </row>
    <row r="828" spans="1:29">
      <c r="A828">
        <v>2</v>
      </c>
      <c r="B828">
        <v>2139</v>
      </c>
      <c r="C828">
        <v>2139</v>
      </c>
      <c r="D828" t="s">
        <v>23</v>
      </c>
      <c r="E828" s="22">
        <v>44471</v>
      </c>
      <c r="F828" s="22">
        <v>44471</v>
      </c>
      <c r="G828" t="s">
        <v>965</v>
      </c>
      <c r="H828" t="s">
        <v>35</v>
      </c>
      <c r="I828" t="s">
        <v>23</v>
      </c>
      <c r="J828" t="s">
        <v>62</v>
      </c>
      <c r="K828" t="s">
        <v>111</v>
      </c>
      <c r="L828" t="s">
        <v>6762</v>
      </c>
      <c r="M828">
        <v>2130</v>
      </c>
      <c r="N828" t="s">
        <v>864</v>
      </c>
      <c r="O828" t="s">
        <v>866</v>
      </c>
      <c r="P828" t="s">
        <v>21</v>
      </c>
      <c r="Q828" t="s">
        <v>21</v>
      </c>
      <c r="R828" t="s">
        <v>925</v>
      </c>
      <c r="S828" t="s">
        <v>925</v>
      </c>
      <c r="T828" t="s">
        <v>28</v>
      </c>
      <c r="U828" t="s">
        <v>961</v>
      </c>
      <c r="V828" s="28" t="s">
        <v>6763</v>
      </c>
      <c r="W828" s="28" t="s">
        <v>6605</v>
      </c>
      <c r="X828" s="28" t="s">
        <v>6764</v>
      </c>
      <c r="Y828" s="28" t="s">
        <v>6765</v>
      </c>
      <c r="Z828" s="28" t="s">
        <v>6766</v>
      </c>
      <c r="AA828" s="28" t="s">
        <v>6767</v>
      </c>
      <c r="AB828" s="28" t="s">
        <v>6768</v>
      </c>
      <c r="AC828" s="28" t="s">
        <v>6769</v>
      </c>
    </row>
    <row r="829" spans="1:29">
      <c r="A829">
        <v>16</v>
      </c>
      <c r="B829">
        <v>2139</v>
      </c>
      <c r="C829">
        <v>2139</v>
      </c>
      <c r="D829" t="s">
        <v>21</v>
      </c>
      <c r="E829" s="22">
        <v>44471</v>
      </c>
      <c r="F829" s="22">
        <v>44471</v>
      </c>
      <c r="G829" t="s">
        <v>965</v>
      </c>
      <c r="H829" t="s">
        <v>28</v>
      </c>
      <c r="I829" t="s">
        <v>21</v>
      </c>
      <c r="J829" t="s">
        <v>66</v>
      </c>
      <c r="K829" t="s">
        <v>109</v>
      </c>
      <c r="L829" t="s">
        <v>6770</v>
      </c>
      <c r="M829">
        <v>2131</v>
      </c>
      <c r="N829" t="s">
        <v>863</v>
      </c>
      <c r="O829" t="s">
        <v>866</v>
      </c>
      <c r="P829" t="s">
        <v>21</v>
      </c>
      <c r="Q829" t="s">
        <v>21</v>
      </c>
      <c r="R829" t="s">
        <v>6771</v>
      </c>
      <c r="S829" t="s">
        <v>6771</v>
      </c>
      <c r="T829" t="s">
        <v>955</v>
      </c>
      <c r="U829" t="s">
        <v>960</v>
      </c>
      <c r="V829" s="28" t="s">
        <v>6717</v>
      </c>
      <c r="W829" s="28" t="s">
        <v>6369</v>
      </c>
      <c r="X829" s="28" t="s">
        <v>6772</v>
      </c>
      <c r="Y829" s="28" t="s">
        <v>6371</v>
      </c>
      <c r="Z829" s="28" t="s">
        <v>6773</v>
      </c>
      <c r="AA829" s="28" t="s">
        <v>6774</v>
      </c>
      <c r="AB829" s="28" t="s">
        <v>6775</v>
      </c>
      <c r="AC829" s="28" t="s">
        <v>6583</v>
      </c>
    </row>
    <row r="830" spans="1:29">
      <c r="A830">
        <v>11</v>
      </c>
      <c r="B830">
        <v>2137</v>
      </c>
      <c r="C830">
        <v>2137</v>
      </c>
      <c r="D830" t="s">
        <v>21</v>
      </c>
      <c r="E830" s="22">
        <v>44453</v>
      </c>
      <c r="F830" s="22">
        <v>44453</v>
      </c>
      <c r="G830" t="s">
        <v>24</v>
      </c>
      <c r="H830" t="s">
        <v>28</v>
      </c>
      <c r="I830" t="s">
        <v>21</v>
      </c>
      <c r="J830" t="s">
        <v>52</v>
      </c>
      <c r="K830" t="s">
        <v>71</v>
      </c>
      <c r="L830" t="s">
        <v>6858</v>
      </c>
      <c r="M830">
        <v>2131</v>
      </c>
      <c r="N830" t="s">
        <v>805</v>
      </c>
      <c r="O830" t="s">
        <v>865</v>
      </c>
      <c r="P830" t="s">
        <v>21</v>
      </c>
      <c r="Q830" t="s">
        <v>21</v>
      </c>
      <c r="R830" t="s">
        <v>867</v>
      </c>
      <c r="S830" t="s">
        <v>867</v>
      </c>
      <c r="T830" t="s">
        <v>948</v>
      </c>
      <c r="U830" t="s">
        <v>960</v>
      </c>
      <c r="V830" s="28" t="s">
        <v>6859</v>
      </c>
      <c r="W830" s="28" t="s">
        <v>6860</v>
      </c>
      <c r="X830" s="28" t="s">
        <v>6861</v>
      </c>
      <c r="Y830" s="28" t="s">
        <v>6862</v>
      </c>
      <c r="Z830" s="28" t="s">
        <v>6863</v>
      </c>
      <c r="AA830" s="28" t="s">
        <v>6864</v>
      </c>
      <c r="AB830" s="28" t="s">
        <v>6865</v>
      </c>
      <c r="AC830" s="28" t="s">
        <v>6866</v>
      </c>
    </row>
    <row r="831" spans="1:29">
      <c r="A831">
        <v>12</v>
      </c>
      <c r="B831">
        <v>2137</v>
      </c>
      <c r="C831">
        <v>2137</v>
      </c>
      <c r="D831" t="s">
        <v>21</v>
      </c>
      <c r="E831" s="22">
        <v>44454</v>
      </c>
      <c r="F831" s="22">
        <v>44454</v>
      </c>
      <c r="G831" t="s">
        <v>24</v>
      </c>
      <c r="H831" t="s">
        <v>28</v>
      </c>
      <c r="I831" t="s">
        <v>21</v>
      </c>
      <c r="J831" t="s">
        <v>52</v>
      </c>
      <c r="K831" t="s">
        <v>71</v>
      </c>
      <c r="L831" t="s">
        <v>6867</v>
      </c>
      <c r="M831">
        <v>2131</v>
      </c>
      <c r="N831" t="s">
        <v>805</v>
      </c>
      <c r="O831" t="s">
        <v>865</v>
      </c>
      <c r="P831" t="s">
        <v>21</v>
      </c>
      <c r="Q831" t="s">
        <v>21</v>
      </c>
      <c r="R831" t="s">
        <v>867</v>
      </c>
      <c r="S831" t="s">
        <v>867</v>
      </c>
      <c r="T831" t="s">
        <v>948</v>
      </c>
      <c r="U831" t="s">
        <v>960</v>
      </c>
      <c r="V831" s="28" t="s">
        <v>6859</v>
      </c>
      <c r="W831" s="28" t="s">
        <v>6860</v>
      </c>
      <c r="X831" s="28" t="s">
        <v>6861</v>
      </c>
      <c r="Y831" s="28" t="s">
        <v>6862</v>
      </c>
      <c r="Z831" s="28" t="s">
        <v>6863</v>
      </c>
      <c r="AA831" s="28" t="s">
        <v>6864</v>
      </c>
      <c r="AB831" s="28" t="s">
        <v>6865</v>
      </c>
      <c r="AC831" s="28" t="s">
        <v>6866</v>
      </c>
    </row>
    <row r="832" spans="1:29">
      <c r="A832">
        <v>13</v>
      </c>
      <c r="B832">
        <v>2137</v>
      </c>
      <c r="C832">
        <v>2137</v>
      </c>
      <c r="D832" t="s">
        <v>21</v>
      </c>
      <c r="E832" s="22">
        <v>44455</v>
      </c>
      <c r="F832" s="22">
        <v>44455</v>
      </c>
      <c r="G832" t="s">
        <v>24</v>
      </c>
      <c r="H832" t="s">
        <v>28</v>
      </c>
      <c r="I832" t="s">
        <v>21</v>
      </c>
      <c r="J832" t="s">
        <v>52</v>
      </c>
      <c r="K832" t="s">
        <v>71</v>
      </c>
      <c r="L832" t="s">
        <v>6868</v>
      </c>
      <c r="M832">
        <v>2131</v>
      </c>
      <c r="N832" t="s">
        <v>805</v>
      </c>
      <c r="O832" t="s">
        <v>865</v>
      </c>
      <c r="P832" t="s">
        <v>21</v>
      </c>
      <c r="Q832" t="s">
        <v>21</v>
      </c>
      <c r="R832" t="s">
        <v>912</v>
      </c>
      <c r="S832" t="s">
        <v>912</v>
      </c>
      <c r="T832" t="s">
        <v>951</v>
      </c>
      <c r="U832" t="s">
        <v>960</v>
      </c>
      <c r="V832" s="28" t="s">
        <v>6869</v>
      </c>
      <c r="W832" s="28" t="s">
        <v>6870</v>
      </c>
      <c r="X832" s="28" t="s">
        <v>6871</v>
      </c>
      <c r="Y832" s="28" t="s">
        <v>6872</v>
      </c>
      <c r="Z832" s="28" t="s">
        <v>6873</v>
      </c>
      <c r="AA832" s="28" t="s">
        <v>6874</v>
      </c>
      <c r="AB832" s="28" t="s">
        <v>6875</v>
      </c>
      <c r="AC832" s="28" t="s">
        <v>6876</v>
      </c>
    </row>
    <row r="833" spans="1:29">
      <c r="A833">
        <v>14</v>
      </c>
      <c r="B833">
        <v>2137</v>
      </c>
      <c r="C833">
        <v>2137</v>
      </c>
      <c r="D833" t="s">
        <v>21</v>
      </c>
      <c r="E833" s="22">
        <v>44453</v>
      </c>
      <c r="F833" s="22">
        <v>44453</v>
      </c>
      <c r="G833" t="s">
        <v>24</v>
      </c>
      <c r="H833" t="s">
        <v>28</v>
      </c>
      <c r="I833" t="s">
        <v>21</v>
      </c>
      <c r="J833" t="s">
        <v>52</v>
      </c>
      <c r="K833" t="s">
        <v>71</v>
      </c>
      <c r="L833" t="s">
        <v>6877</v>
      </c>
      <c r="M833">
        <v>2129</v>
      </c>
      <c r="N833" t="s">
        <v>805</v>
      </c>
      <c r="O833" t="s">
        <v>865</v>
      </c>
      <c r="P833" t="s">
        <v>21</v>
      </c>
      <c r="Q833" t="s">
        <v>21</v>
      </c>
      <c r="R833" t="s">
        <v>936</v>
      </c>
      <c r="S833" t="s">
        <v>936</v>
      </c>
      <c r="T833" t="s">
        <v>948</v>
      </c>
      <c r="U833" t="s">
        <v>960</v>
      </c>
      <c r="V833" s="28" t="s">
        <v>6859</v>
      </c>
      <c r="W833" s="28" t="s">
        <v>6860</v>
      </c>
      <c r="X833" s="28" t="s">
        <v>6861</v>
      </c>
      <c r="Y833" s="28" t="s">
        <v>6862</v>
      </c>
      <c r="Z833" s="28" t="s">
        <v>6863</v>
      </c>
      <c r="AA833" s="28" t="s">
        <v>6864</v>
      </c>
      <c r="AB833" s="28" t="s">
        <v>6865</v>
      </c>
      <c r="AC833" s="28" t="s">
        <v>6866</v>
      </c>
    </row>
    <row r="834" spans="1:29">
      <c r="A834">
        <v>15</v>
      </c>
      <c r="B834">
        <v>2137</v>
      </c>
      <c r="C834">
        <v>2137</v>
      </c>
      <c r="D834" t="s">
        <v>21</v>
      </c>
      <c r="E834" s="22">
        <v>44454</v>
      </c>
      <c r="F834" s="22">
        <v>44454</v>
      </c>
      <c r="G834" t="s">
        <v>24</v>
      </c>
      <c r="H834" t="s">
        <v>28</v>
      </c>
      <c r="I834" t="s">
        <v>21</v>
      </c>
      <c r="J834" t="s">
        <v>52</v>
      </c>
      <c r="K834" t="s">
        <v>71</v>
      </c>
      <c r="L834" t="s">
        <v>6878</v>
      </c>
      <c r="M834">
        <v>2131</v>
      </c>
      <c r="N834" t="s">
        <v>805</v>
      </c>
      <c r="O834" t="s">
        <v>865</v>
      </c>
      <c r="P834" t="s">
        <v>21</v>
      </c>
      <c r="Q834" t="s">
        <v>21</v>
      </c>
      <c r="R834" t="s">
        <v>936</v>
      </c>
      <c r="S834" t="s">
        <v>936</v>
      </c>
      <c r="T834" t="s">
        <v>948</v>
      </c>
      <c r="U834" t="s">
        <v>960</v>
      </c>
      <c r="V834" s="28" t="s">
        <v>6859</v>
      </c>
      <c r="W834" s="28" t="s">
        <v>6860</v>
      </c>
      <c r="X834" s="28" t="s">
        <v>6861</v>
      </c>
      <c r="Y834" s="28" t="s">
        <v>6862</v>
      </c>
      <c r="Z834" s="28" t="s">
        <v>6863</v>
      </c>
      <c r="AA834" s="28" t="s">
        <v>6864</v>
      </c>
      <c r="AB834" s="28" t="s">
        <v>6865</v>
      </c>
      <c r="AC834" s="28" t="s">
        <v>6866</v>
      </c>
    </row>
    <row r="835" spans="1:29">
      <c r="A835">
        <v>16</v>
      </c>
      <c r="B835">
        <v>2137</v>
      </c>
      <c r="C835">
        <v>2137</v>
      </c>
      <c r="D835" t="s">
        <v>21</v>
      </c>
      <c r="E835" s="22">
        <v>44455</v>
      </c>
      <c r="F835" s="22">
        <v>44455</v>
      </c>
      <c r="G835" t="s">
        <v>24</v>
      </c>
      <c r="H835" t="s">
        <v>28</v>
      </c>
      <c r="I835" t="s">
        <v>21</v>
      </c>
      <c r="J835" t="s">
        <v>52</v>
      </c>
      <c r="K835" t="s">
        <v>71</v>
      </c>
      <c r="L835" t="s">
        <v>6879</v>
      </c>
      <c r="M835">
        <v>2131</v>
      </c>
      <c r="N835" t="s">
        <v>805</v>
      </c>
      <c r="O835" t="s">
        <v>865</v>
      </c>
      <c r="P835" t="s">
        <v>21</v>
      </c>
      <c r="Q835" t="s">
        <v>21</v>
      </c>
      <c r="R835" t="s">
        <v>867</v>
      </c>
      <c r="S835" t="s">
        <v>867</v>
      </c>
      <c r="T835" t="s">
        <v>948</v>
      </c>
      <c r="U835" t="s">
        <v>960</v>
      </c>
      <c r="V835" s="28" t="s">
        <v>6859</v>
      </c>
      <c r="W835" s="28" t="s">
        <v>6860</v>
      </c>
      <c r="X835" s="28" t="s">
        <v>6861</v>
      </c>
      <c r="Y835" s="28" t="s">
        <v>6862</v>
      </c>
      <c r="Z835" s="28" t="s">
        <v>6863</v>
      </c>
      <c r="AA835" s="28" t="s">
        <v>6864</v>
      </c>
      <c r="AB835" s="28" t="s">
        <v>6865</v>
      </c>
      <c r="AC835" s="28" t="s">
        <v>6866</v>
      </c>
    </row>
    <row r="836" spans="1:29">
      <c r="A836">
        <v>17</v>
      </c>
      <c r="B836">
        <v>2138</v>
      </c>
      <c r="C836">
        <v>2138</v>
      </c>
      <c r="D836" t="s">
        <v>21</v>
      </c>
      <c r="E836" s="22">
        <v>44460</v>
      </c>
      <c r="F836" s="22">
        <v>44460</v>
      </c>
      <c r="G836" t="s">
        <v>24</v>
      </c>
      <c r="H836" t="s">
        <v>28</v>
      </c>
      <c r="I836" t="s">
        <v>21</v>
      </c>
      <c r="J836" t="s">
        <v>52</v>
      </c>
      <c r="K836" t="s">
        <v>71</v>
      </c>
      <c r="L836" t="s">
        <v>6880</v>
      </c>
      <c r="M836">
        <v>2131</v>
      </c>
      <c r="N836" t="s">
        <v>805</v>
      </c>
      <c r="O836" t="s">
        <v>865</v>
      </c>
      <c r="P836" t="s">
        <v>21</v>
      </c>
      <c r="Q836" t="s">
        <v>21</v>
      </c>
      <c r="R836" t="s">
        <v>867</v>
      </c>
      <c r="S836" t="s">
        <v>867</v>
      </c>
      <c r="T836" t="s">
        <v>948</v>
      </c>
      <c r="U836" t="s">
        <v>960</v>
      </c>
      <c r="V836" s="28" t="s">
        <v>6881</v>
      </c>
      <c r="W836" s="28" t="s">
        <v>6860</v>
      </c>
      <c r="X836" s="28" t="s">
        <v>6882</v>
      </c>
      <c r="Y836" s="28" t="s">
        <v>6862</v>
      </c>
      <c r="Z836" s="28" t="s">
        <v>6883</v>
      </c>
      <c r="AA836" s="28" t="s">
        <v>6864</v>
      </c>
      <c r="AB836" s="28" t="s">
        <v>6884</v>
      </c>
      <c r="AC836" s="28" t="s">
        <v>6866</v>
      </c>
    </row>
    <row r="837" spans="1:29">
      <c r="A837">
        <v>18</v>
      </c>
      <c r="B837">
        <v>2138</v>
      </c>
      <c r="C837">
        <v>2138</v>
      </c>
      <c r="D837" t="s">
        <v>21</v>
      </c>
      <c r="E837" s="22">
        <v>44461</v>
      </c>
      <c r="F837" s="22">
        <v>44461</v>
      </c>
      <c r="G837" t="s">
        <v>24</v>
      </c>
      <c r="H837" t="s">
        <v>28</v>
      </c>
      <c r="I837" t="s">
        <v>21</v>
      </c>
      <c r="J837" t="s">
        <v>52</v>
      </c>
      <c r="K837" t="s">
        <v>71</v>
      </c>
      <c r="L837" t="s">
        <v>6885</v>
      </c>
      <c r="M837">
        <v>2131</v>
      </c>
      <c r="N837" t="s">
        <v>805</v>
      </c>
      <c r="O837" t="s">
        <v>865</v>
      </c>
      <c r="P837" t="s">
        <v>21</v>
      </c>
      <c r="Q837" t="s">
        <v>21</v>
      </c>
      <c r="R837" t="s">
        <v>6886</v>
      </c>
      <c r="S837" t="s">
        <v>6886</v>
      </c>
      <c r="T837" t="s">
        <v>948</v>
      </c>
      <c r="U837" t="s">
        <v>960</v>
      </c>
      <c r="V837" s="28" t="s">
        <v>6881</v>
      </c>
      <c r="W837" s="28" t="s">
        <v>6860</v>
      </c>
      <c r="X837" s="28" t="s">
        <v>6882</v>
      </c>
      <c r="Y837" s="28" t="s">
        <v>6862</v>
      </c>
      <c r="Z837" s="28" t="s">
        <v>6883</v>
      </c>
      <c r="AA837" s="28" t="s">
        <v>6864</v>
      </c>
      <c r="AB837" s="28" t="s">
        <v>6884</v>
      </c>
      <c r="AC837" s="28" t="s">
        <v>6866</v>
      </c>
    </row>
    <row r="838" spans="1:29">
      <c r="A838">
        <v>19</v>
      </c>
      <c r="B838">
        <v>2138</v>
      </c>
      <c r="C838">
        <v>2138</v>
      </c>
      <c r="D838" t="s">
        <v>21</v>
      </c>
      <c r="E838" s="22">
        <v>44462</v>
      </c>
      <c r="F838" s="22">
        <v>44462</v>
      </c>
      <c r="G838" t="s">
        <v>24</v>
      </c>
      <c r="H838" t="s">
        <v>28</v>
      </c>
      <c r="I838" t="s">
        <v>21</v>
      </c>
      <c r="J838" t="s">
        <v>52</v>
      </c>
      <c r="K838" t="s">
        <v>71</v>
      </c>
      <c r="L838" t="s">
        <v>6887</v>
      </c>
      <c r="M838">
        <v>2131</v>
      </c>
      <c r="N838" t="s">
        <v>805</v>
      </c>
      <c r="O838" t="s">
        <v>865</v>
      </c>
      <c r="P838" t="s">
        <v>21</v>
      </c>
      <c r="Q838" t="s">
        <v>21</v>
      </c>
      <c r="R838" t="s">
        <v>6886</v>
      </c>
      <c r="S838" t="s">
        <v>6886</v>
      </c>
      <c r="T838" t="s">
        <v>948</v>
      </c>
      <c r="U838" t="s">
        <v>960</v>
      </c>
      <c r="V838" s="28" t="s">
        <v>6881</v>
      </c>
      <c r="W838" s="28" t="s">
        <v>6860</v>
      </c>
      <c r="X838" s="28" t="s">
        <v>6882</v>
      </c>
      <c r="Y838" s="28" t="s">
        <v>6862</v>
      </c>
      <c r="Z838" s="28" t="s">
        <v>6883</v>
      </c>
      <c r="AA838" s="28" t="s">
        <v>6864</v>
      </c>
      <c r="AB838" s="28" t="s">
        <v>6884</v>
      </c>
      <c r="AC838" s="28" t="s">
        <v>6866</v>
      </c>
    </row>
    <row r="839" spans="1:29">
      <c r="A839">
        <v>20</v>
      </c>
      <c r="B839">
        <v>2138</v>
      </c>
      <c r="C839">
        <v>2138</v>
      </c>
      <c r="D839" t="s">
        <v>21</v>
      </c>
      <c r="E839" s="22">
        <v>44463</v>
      </c>
      <c r="F839" s="22">
        <v>44463</v>
      </c>
      <c r="G839" t="s">
        <v>24</v>
      </c>
      <c r="H839" t="s">
        <v>28</v>
      </c>
      <c r="I839" t="s">
        <v>21</v>
      </c>
      <c r="J839" t="s">
        <v>52</v>
      </c>
      <c r="K839" t="s">
        <v>71</v>
      </c>
      <c r="L839" t="s">
        <v>6888</v>
      </c>
      <c r="M839">
        <v>2131</v>
      </c>
      <c r="N839" t="s">
        <v>805</v>
      </c>
      <c r="O839" t="s">
        <v>865</v>
      </c>
      <c r="P839" t="s">
        <v>21</v>
      </c>
      <c r="Q839" t="s">
        <v>21</v>
      </c>
      <c r="R839" t="s">
        <v>868</v>
      </c>
      <c r="S839" t="s">
        <v>868</v>
      </c>
      <c r="T839" t="s">
        <v>891</v>
      </c>
      <c r="U839" t="s">
        <v>960</v>
      </c>
      <c r="V839" s="28" t="s">
        <v>6654</v>
      </c>
      <c r="W839" s="28" t="s">
        <v>6256</v>
      </c>
      <c r="X839" s="28" t="s">
        <v>6889</v>
      </c>
      <c r="Y839" s="28" t="s">
        <v>6890</v>
      </c>
      <c r="Z839" s="28" t="s">
        <v>6891</v>
      </c>
      <c r="AA839" s="28" t="s">
        <v>6892</v>
      </c>
      <c r="AB839" s="28" t="s">
        <v>6657</v>
      </c>
      <c r="AC839" s="28" t="s">
        <v>6262</v>
      </c>
    </row>
    <row r="840" spans="1:29">
      <c r="A840">
        <v>21</v>
      </c>
      <c r="B840">
        <v>2138</v>
      </c>
      <c r="C840">
        <v>2138</v>
      </c>
      <c r="D840" t="s">
        <v>21</v>
      </c>
      <c r="E840" s="22">
        <v>44460</v>
      </c>
      <c r="F840" s="22">
        <v>44460</v>
      </c>
      <c r="G840" t="s">
        <v>24</v>
      </c>
      <c r="H840" t="s">
        <v>28</v>
      </c>
      <c r="I840" t="s">
        <v>21</v>
      </c>
      <c r="J840" t="s">
        <v>52</v>
      </c>
      <c r="K840" t="s">
        <v>71</v>
      </c>
      <c r="L840" t="s">
        <v>6893</v>
      </c>
      <c r="M840">
        <v>2131</v>
      </c>
      <c r="N840" t="s">
        <v>805</v>
      </c>
      <c r="O840" t="s">
        <v>865</v>
      </c>
      <c r="P840" t="s">
        <v>21</v>
      </c>
      <c r="Q840" t="s">
        <v>21</v>
      </c>
      <c r="R840" t="s">
        <v>6542</v>
      </c>
      <c r="S840" t="s">
        <v>6542</v>
      </c>
      <c r="T840" t="s">
        <v>956</v>
      </c>
      <c r="U840" t="s">
        <v>960</v>
      </c>
      <c r="V840" s="28" t="s">
        <v>6543</v>
      </c>
      <c r="W840" s="28" t="s">
        <v>6544</v>
      </c>
      <c r="X840" s="28" t="s">
        <v>6894</v>
      </c>
      <c r="Y840" s="28" t="s">
        <v>6895</v>
      </c>
      <c r="Z840" s="28" t="s">
        <v>6896</v>
      </c>
      <c r="AA840" s="28" t="s">
        <v>6897</v>
      </c>
      <c r="AB840" s="28" t="s">
        <v>6898</v>
      </c>
      <c r="AC840" s="28" t="s">
        <v>6899</v>
      </c>
    </row>
    <row r="841" spans="1:29">
      <c r="A841">
        <v>22</v>
      </c>
      <c r="B841">
        <v>2138</v>
      </c>
      <c r="C841">
        <v>2138</v>
      </c>
      <c r="D841" t="s">
        <v>21</v>
      </c>
      <c r="E841" s="22">
        <v>44461</v>
      </c>
      <c r="F841" s="22">
        <v>44461</v>
      </c>
      <c r="G841" t="s">
        <v>24</v>
      </c>
      <c r="H841" t="s">
        <v>28</v>
      </c>
      <c r="I841" t="s">
        <v>21</v>
      </c>
      <c r="J841" t="s">
        <v>52</v>
      </c>
      <c r="K841" t="s">
        <v>71</v>
      </c>
      <c r="L841" t="s">
        <v>6900</v>
      </c>
      <c r="M841">
        <v>2131</v>
      </c>
      <c r="N841" t="s">
        <v>805</v>
      </c>
      <c r="O841" t="s">
        <v>865</v>
      </c>
      <c r="P841" t="s">
        <v>21</v>
      </c>
      <c r="Q841" t="s">
        <v>21</v>
      </c>
      <c r="R841" t="s">
        <v>924</v>
      </c>
      <c r="S841" t="s">
        <v>924</v>
      </c>
      <c r="T841" t="s">
        <v>951</v>
      </c>
      <c r="U841" t="s">
        <v>960</v>
      </c>
      <c r="V841" s="28" t="s">
        <v>6901</v>
      </c>
      <c r="W841" s="28" t="s">
        <v>6870</v>
      </c>
      <c r="X841" s="28" t="s">
        <v>6902</v>
      </c>
      <c r="Y841" s="28" t="s">
        <v>6872</v>
      </c>
      <c r="Z841" s="28" t="s">
        <v>6903</v>
      </c>
      <c r="AA841" s="28" t="s">
        <v>6874</v>
      </c>
      <c r="AB841" s="28" t="s">
        <v>6904</v>
      </c>
      <c r="AC841" s="28" t="s">
        <v>6876</v>
      </c>
    </row>
    <row r="842" spans="1:29">
      <c r="A842">
        <v>23</v>
      </c>
      <c r="B842">
        <v>2138</v>
      </c>
      <c r="C842">
        <v>2138</v>
      </c>
      <c r="D842" t="s">
        <v>21</v>
      </c>
      <c r="E842" s="22">
        <v>44462</v>
      </c>
      <c r="F842" s="22">
        <v>44462</v>
      </c>
      <c r="G842" t="s">
        <v>24</v>
      </c>
      <c r="H842" t="s">
        <v>28</v>
      </c>
      <c r="I842" t="s">
        <v>21</v>
      </c>
      <c r="J842" t="s">
        <v>52</v>
      </c>
      <c r="K842" t="s">
        <v>71</v>
      </c>
      <c r="L842" t="s">
        <v>6905</v>
      </c>
      <c r="M842">
        <v>2129</v>
      </c>
      <c r="N842" t="s">
        <v>805</v>
      </c>
      <c r="O842" t="s">
        <v>865</v>
      </c>
      <c r="P842" t="s">
        <v>21</v>
      </c>
      <c r="Q842" t="s">
        <v>21</v>
      </c>
      <c r="R842" t="s">
        <v>867</v>
      </c>
      <c r="S842" t="s">
        <v>867</v>
      </c>
      <c r="T842" t="s">
        <v>948</v>
      </c>
      <c r="U842" t="s">
        <v>960</v>
      </c>
      <c r="V842" s="28" t="s">
        <v>6881</v>
      </c>
      <c r="W842" s="28" t="s">
        <v>6860</v>
      </c>
      <c r="X842" s="28" t="s">
        <v>6882</v>
      </c>
      <c r="Y842" s="28" t="s">
        <v>6862</v>
      </c>
      <c r="Z842" s="28" t="s">
        <v>6883</v>
      </c>
      <c r="AA842" s="28" t="s">
        <v>6864</v>
      </c>
      <c r="AB842" s="28" t="s">
        <v>6884</v>
      </c>
      <c r="AC842" s="28" t="s">
        <v>6866</v>
      </c>
    </row>
    <row r="843" spans="1:29">
      <c r="A843">
        <v>24</v>
      </c>
      <c r="B843">
        <v>2138</v>
      </c>
      <c r="C843">
        <v>2138</v>
      </c>
      <c r="D843" t="s">
        <v>21</v>
      </c>
      <c r="E843" s="22">
        <v>44463</v>
      </c>
      <c r="F843" s="22">
        <v>44463</v>
      </c>
      <c r="G843" t="s">
        <v>24</v>
      </c>
      <c r="H843" t="s">
        <v>28</v>
      </c>
      <c r="I843" t="s">
        <v>21</v>
      </c>
      <c r="J843" t="s">
        <v>52</v>
      </c>
      <c r="K843" t="s">
        <v>71</v>
      </c>
      <c r="L843" t="s">
        <v>6906</v>
      </c>
      <c r="M843">
        <v>2131</v>
      </c>
      <c r="N843" t="s">
        <v>805</v>
      </c>
      <c r="O843" t="s">
        <v>865</v>
      </c>
      <c r="P843" t="s">
        <v>21</v>
      </c>
      <c r="Q843" t="s">
        <v>21</v>
      </c>
      <c r="R843" t="s">
        <v>867</v>
      </c>
      <c r="S843" t="s">
        <v>867</v>
      </c>
      <c r="T843" t="s">
        <v>948</v>
      </c>
      <c r="U843" t="s">
        <v>960</v>
      </c>
      <c r="V843" s="28" t="s">
        <v>6881</v>
      </c>
      <c r="W843" s="28" t="s">
        <v>6860</v>
      </c>
      <c r="X843" s="28" t="s">
        <v>6882</v>
      </c>
      <c r="Y843" s="28" t="s">
        <v>6862</v>
      </c>
      <c r="Z843" s="28" t="s">
        <v>6883</v>
      </c>
      <c r="AA843" s="28" t="s">
        <v>6864</v>
      </c>
      <c r="AB843" s="28" t="s">
        <v>6884</v>
      </c>
      <c r="AC843" s="28" t="s">
        <v>6866</v>
      </c>
    </row>
    <row r="844" spans="1:29">
      <c r="A844">
        <v>25</v>
      </c>
      <c r="B844">
        <v>2139</v>
      </c>
      <c r="C844">
        <v>2139</v>
      </c>
      <c r="D844" t="s">
        <v>21</v>
      </c>
      <c r="E844" s="22">
        <v>44466</v>
      </c>
      <c r="F844" s="22">
        <v>44466</v>
      </c>
      <c r="G844" t="s">
        <v>24</v>
      </c>
      <c r="H844" t="s">
        <v>28</v>
      </c>
      <c r="I844" t="s">
        <v>21</v>
      </c>
      <c r="J844" t="s">
        <v>52</v>
      </c>
      <c r="K844" t="s">
        <v>71</v>
      </c>
      <c r="L844" t="s">
        <v>6907</v>
      </c>
      <c r="M844">
        <v>2130</v>
      </c>
      <c r="N844" t="s">
        <v>805</v>
      </c>
      <c r="O844" t="s">
        <v>865</v>
      </c>
      <c r="P844" t="s">
        <v>21</v>
      </c>
      <c r="Q844" t="s">
        <v>21</v>
      </c>
      <c r="R844" t="s">
        <v>867</v>
      </c>
      <c r="S844" t="s">
        <v>867</v>
      </c>
      <c r="T844" t="s">
        <v>948</v>
      </c>
      <c r="U844" t="s">
        <v>960</v>
      </c>
      <c r="V844" s="28" t="s">
        <v>6908</v>
      </c>
      <c r="W844" s="28" t="s">
        <v>6860</v>
      </c>
      <c r="X844" s="28" t="s">
        <v>6909</v>
      </c>
      <c r="Y844" s="28" t="s">
        <v>6862</v>
      </c>
      <c r="Z844" s="28" t="s">
        <v>6910</v>
      </c>
      <c r="AA844" s="28" t="s">
        <v>6864</v>
      </c>
      <c r="AB844" s="28" t="s">
        <v>6911</v>
      </c>
      <c r="AC844" s="28" t="s">
        <v>6866</v>
      </c>
    </row>
    <row r="845" spans="1:29">
      <c r="A845">
        <v>12</v>
      </c>
      <c r="B845">
        <v>2139</v>
      </c>
      <c r="C845">
        <v>2139</v>
      </c>
      <c r="D845" t="s">
        <v>21</v>
      </c>
      <c r="E845" s="22">
        <v>44470</v>
      </c>
      <c r="F845" s="22">
        <v>44470</v>
      </c>
      <c r="G845" t="s">
        <v>27</v>
      </c>
      <c r="H845" t="s">
        <v>28</v>
      </c>
      <c r="I845" t="s">
        <v>21</v>
      </c>
      <c r="J845" t="s">
        <v>53</v>
      </c>
      <c r="K845" t="s">
        <v>72</v>
      </c>
      <c r="L845" t="s">
        <v>6912</v>
      </c>
      <c r="M845">
        <v>2133</v>
      </c>
      <c r="N845" t="s">
        <v>6131</v>
      </c>
      <c r="O845" t="s">
        <v>865</v>
      </c>
      <c r="P845" t="s">
        <v>21</v>
      </c>
      <c r="Q845" t="s">
        <v>21</v>
      </c>
      <c r="R845" t="s">
        <v>918</v>
      </c>
      <c r="S845" t="s">
        <v>918</v>
      </c>
      <c r="T845" t="s">
        <v>28</v>
      </c>
      <c r="U845" t="s">
        <v>960</v>
      </c>
      <c r="V845" s="28" t="s">
        <v>6677</v>
      </c>
      <c r="W845" s="28" t="s">
        <v>6247</v>
      </c>
      <c r="X845" s="28" t="s">
        <v>6913</v>
      </c>
      <c r="Y845" s="28" t="s">
        <v>6914</v>
      </c>
      <c r="Z845" s="28" t="s">
        <v>6915</v>
      </c>
      <c r="AA845" s="28" t="s">
        <v>6916</v>
      </c>
      <c r="AB845" s="28" t="s">
        <v>6680</v>
      </c>
      <c r="AC845" s="28" t="s">
        <v>6396</v>
      </c>
    </row>
    <row r="846" spans="1:29">
      <c r="A846">
        <v>19</v>
      </c>
      <c r="B846">
        <v>2135</v>
      </c>
      <c r="C846">
        <v>2140</v>
      </c>
      <c r="D846" t="s">
        <v>23</v>
      </c>
      <c r="E846" s="22">
        <v>44477</v>
      </c>
      <c r="F846" s="22">
        <v>44442</v>
      </c>
      <c r="G846" t="s">
        <v>965</v>
      </c>
      <c r="H846" t="s">
        <v>28</v>
      </c>
      <c r="I846" t="s">
        <v>23</v>
      </c>
      <c r="J846" t="s">
        <v>68</v>
      </c>
      <c r="K846" t="s">
        <v>107</v>
      </c>
      <c r="L846" t="s">
        <v>6952</v>
      </c>
      <c r="M846">
        <v>2126</v>
      </c>
      <c r="N846" t="s">
        <v>858</v>
      </c>
      <c r="O846" t="s">
        <v>866</v>
      </c>
      <c r="P846" t="s">
        <v>21</v>
      </c>
      <c r="Q846" t="s">
        <v>21</v>
      </c>
      <c r="R846" t="s">
        <v>931</v>
      </c>
      <c r="S846" t="s">
        <v>931</v>
      </c>
      <c r="T846" t="s">
        <v>954</v>
      </c>
      <c r="U846" t="s">
        <v>960</v>
      </c>
      <c r="V846" s="28" t="s">
        <v>6072</v>
      </c>
      <c r="W846" s="28" t="s">
        <v>1444</v>
      </c>
      <c r="X846" s="28" t="s">
        <v>6953</v>
      </c>
      <c r="Y846" s="28" t="s">
        <v>3311</v>
      </c>
      <c r="Z846" s="28" t="s">
        <v>6954</v>
      </c>
      <c r="AA846" s="28" t="s">
        <v>6955</v>
      </c>
      <c r="AB846" s="28" t="s">
        <v>6956</v>
      </c>
      <c r="AC846" s="28" t="s">
        <v>6957</v>
      </c>
    </row>
    <row r="847" spans="1:29">
      <c r="A847">
        <v>20</v>
      </c>
      <c r="B847">
        <v>2135</v>
      </c>
      <c r="C847">
        <v>2140</v>
      </c>
      <c r="D847" t="s">
        <v>23</v>
      </c>
      <c r="E847" s="22">
        <v>44477</v>
      </c>
      <c r="F847" s="22">
        <v>44442</v>
      </c>
      <c r="G847" t="s">
        <v>965</v>
      </c>
      <c r="H847" t="s">
        <v>28</v>
      </c>
      <c r="I847" t="s">
        <v>23</v>
      </c>
      <c r="J847" t="s">
        <v>68</v>
      </c>
      <c r="K847" t="s">
        <v>107</v>
      </c>
      <c r="L847" t="s">
        <v>6958</v>
      </c>
      <c r="M847">
        <v>2132</v>
      </c>
      <c r="N847" t="s">
        <v>858</v>
      </c>
      <c r="O847" t="s">
        <v>866</v>
      </c>
      <c r="P847" t="s">
        <v>21</v>
      </c>
      <c r="Q847" t="s">
        <v>21</v>
      </c>
      <c r="R847" t="s">
        <v>931</v>
      </c>
      <c r="S847" t="s">
        <v>931</v>
      </c>
      <c r="T847" t="s">
        <v>954</v>
      </c>
      <c r="U847" t="s">
        <v>960</v>
      </c>
      <c r="V847" s="28" t="s">
        <v>6072</v>
      </c>
      <c r="W847" s="28" t="s">
        <v>1444</v>
      </c>
      <c r="X847" s="28" t="s">
        <v>6953</v>
      </c>
      <c r="Y847" s="28" t="s">
        <v>3311</v>
      </c>
      <c r="Z847" s="28" t="s">
        <v>6954</v>
      </c>
      <c r="AA847" s="28" t="s">
        <v>6955</v>
      </c>
      <c r="AB847" s="28" t="s">
        <v>6956</v>
      </c>
      <c r="AC847" s="28" t="s">
        <v>6957</v>
      </c>
    </row>
    <row r="848" spans="1:29">
      <c r="A848">
        <v>21</v>
      </c>
      <c r="B848">
        <v>2135</v>
      </c>
      <c r="C848">
        <v>2140</v>
      </c>
      <c r="D848" t="s">
        <v>23</v>
      </c>
      <c r="E848" s="22">
        <v>44477</v>
      </c>
      <c r="F848" s="22">
        <v>44442</v>
      </c>
      <c r="G848" t="s">
        <v>965</v>
      </c>
      <c r="H848" t="s">
        <v>28</v>
      </c>
      <c r="I848" t="s">
        <v>23</v>
      </c>
      <c r="J848" t="s">
        <v>68</v>
      </c>
      <c r="K848" t="s">
        <v>107</v>
      </c>
      <c r="L848" t="s">
        <v>6959</v>
      </c>
      <c r="M848">
        <v>2132</v>
      </c>
      <c r="N848" t="s">
        <v>858</v>
      </c>
      <c r="O848" t="s">
        <v>866</v>
      </c>
      <c r="P848" t="s">
        <v>21</v>
      </c>
      <c r="Q848" t="s">
        <v>21</v>
      </c>
      <c r="R848" t="s">
        <v>931</v>
      </c>
      <c r="S848" t="s">
        <v>931</v>
      </c>
      <c r="T848" t="s">
        <v>954</v>
      </c>
      <c r="U848" t="s">
        <v>960</v>
      </c>
      <c r="V848" s="28" t="s">
        <v>6072</v>
      </c>
      <c r="W848" s="28" t="s">
        <v>1444</v>
      </c>
      <c r="X848" s="28" t="s">
        <v>6953</v>
      </c>
      <c r="Y848" s="28" t="s">
        <v>3311</v>
      </c>
      <c r="Z848" s="28" t="s">
        <v>6954</v>
      </c>
      <c r="AA848" s="28" t="s">
        <v>6955</v>
      </c>
      <c r="AB848" s="28" t="s">
        <v>6956</v>
      </c>
      <c r="AC848" s="28" t="s">
        <v>6957</v>
      </c>
    </row>
    <row r="849" spans="1:29">
      <c r="A849">
        <v>22</v>
      </c>
      <c r="B849">
        <v>2135</v>
      </c>
      <c r="C849">
        <v>2140</v>
      </c>
      <c r="D849" t="s">
        <v>23</v>
      </c>
      <c r="E849" s="22">
        <v>44477</v>
      </c>
      <c r="F849" s="22">
        <v>44442</v>
      </c>
      <c r="G849" t="s">
        <v>965</v>
      </c>
      <c r="H849" t="s">
        <v>28</v>
      </c>
      <c r="I849" t="s">
        <v>23</v>
      </c>
      <c r="J849" t="s">
        <v>68</v>
      </c>
      <c r="K849" t="s">
        <v>107</v>
      </c>
      <c r="L849" t="s">
        <v>6960</v>
      </c>
      <c r="M849">
        <v>2132</v>
      </c>
      <c r="N849" t="s">
        <v>858</v>
      </c>
      <c r="O849" t="s">
        <v>866</v>
      </c>
      <c r="P849" t="s">
        <v>21</v>
      </c>
      <c r="Q849" t="s">
        <v>21</v>
      </c>
      <c r="R849" t="s">
        <v>931</v>
      </c>
      <c r="S849" t="s">
        <v>931</v>
      </c>
      <c r="T849" t="s">
        <v>954</v>
      </c>
      <c r="U849" t="s">
        <v>960</v>
      </c>
      <c r="V849" s="28" t="s">
        <v>6072</v>
      </c>
      <c r="W849" s="28" t="s">
        <v>1444</v>
      </c>
      <c r="X849" s="28" t="s">
        <v>6953</v>
      </c>
      <c r="Y849" s="28" t="s">
        <v>3311</v>
      </c>
      <c r="Z849" s="28" t="s">
        <v>6954</v>
      </c>
      <c r="AA849" s="28" t="s">
        <v>6955</v>
      </c>
      <c r="AB849" s="28" t="s">
        <v>6956</v>
      </c>
      <c r="AC849" s="28" t="s">
        <v>6957</v>
      </c>
    </row>
    <row r="850" spans="1:29">
      <c r="A850">
        <v>23</v>
      </c>
      <c r="B850">
        <v>2135</v>
      </c>
      <c r="C850">
        <v>2140</v>
      </c>
      <c r="D850" t="s">
        <v>23</v>
      </c>
      <c r="E850" s="22">
        <v>44477</v>
      </c>
      <c r="F850" s="22">
        <v>44442</v>
      </c>
      <c r="G850" t="s">
        <v>965</v>
      </c>
      <c r="H850" t="s">
        <v>28</v>
      </c>
      <c r="I850" t="s">
        <v>23</v>
      </c>
      <c r="J850" t="s">
        <v>68</v>
      </c>
      <c r="K850" t="s">
        <v>107</v>
      </c>
      <c r="L850" t="s">
        <v>6961</v>
      </c>
      <c r="M850">
        <v>2130</v>
      </c>
      <c r="N850" t="s">
        <v>858</v>
      </c>
      <c r="O850" t="s">
        <v>866</v>
      </c>
      <c r="P850" t="s">
        <v>21</v>
      </c>
      <c r="Q850" t="s">
        <v>21</v>
      </c>
      <c r="R850" t="s">
        <v>931</v>
      </c>
      <c r="S850" t="s">
        <v>931</v>
      </c>
      <c r="T850" t="s">
        <v>954</v>
      </c>
      <c r="U850" t="s">
        <v>960</v>
      </c>
      <c r="V850" s="28" t="s">
        <v>6072</v>
      </c>
      <c r="W850" s="28" t="s">
        <v>1444</v>
      </c>
      <c r="X850" s="28" t="s">
        <v>6953</v>
      </c>
      <c r="Y850" s="28" t="s">
        <v>3311</v>
      </c>
      <c r="Z850" s="28" t="s">
        <v>6954</v>
      </c>
      <c r="AA850" s="28" t="s">
        <v>6955</v>
      </c>
      <c r="AB850" s="28" t="s">
        <v>6956</v>
      </c>
      <c r="AC850" s="28" t="s">
        <v>6957</v>
      </c>
    </row>
    <row r="851" spans="1:29">
      <c r="A851">
        <v>24</v>
      </c>
      <c r="B851">
        <v>2135</v>
      </c>
      <c r="C851">
        <v>2140</v>
      </c>
      <c r="D851" t="s">
        <v>23</v>
      </c>
      <c r="E851" s="22">
        <v>44477</v>
      </c>
      <c r="F851" s="22">
        <v>44442</v>
      </c>
      <c r="G851" t="s">
        <v>965</v>
      </c>
      <c r="H851" t="s">
        <v>28</v>
      </c>
      <c r="I851" t="s">
        <v>23</v>
      </c>
      <c r="J851" t="s">
        <v>68</v>
      </c>
      <c r="K851" t="s">
        <v>107</v>
      </c>
      <c r="L851" t="s">
        <v>6962</v>
      </c>
      <c r="M851">
        <v>2132</v>
      </c>
      <c r="N851" t="s">
        <v>858</v>
      </c>
      <c r="O851" t="s">
        <v>866</v>
      </c>
      <c r="P851" t="s">
        <v>21</v>
      </c>
      <c r="Q851" t="s">
        <v>21</v>
      </c>
      <c r="R851" t="s">
        <v>931</v>
      </c>
      <c r="S851" t="s">
        <v>931</v>
      </c>
      <c r="T851" t="s">
        <v>954</v>
      </c>
      <c r="U851" t="s">
        <v>960</v>
      </c>
      <c r="V851" s="28" t="s">
        <v>6072</v>
      </c>
      <c r="W851" s="28" t="s">
        <v>1444</v>
      </c>
      <c r="X851" s="28" t="s">
        <v>6953</v>
      </c>
      <c r="Y851" s="28" t="s">
        <v>3311</v>
      </c>
      <c r="Z851" s="28" t="s">
        <v>6954</v>
      </c>
      <c r="AA851" s="28" t="s">
        <v>6955</v>
      </c>
      <c r="AB851" s="28" t="s">
        <v>6956</v>
      </c>
      <c r="AC851" s="28" t="s">
        <v>6957</v>
      </c>
    </row>
    <row r="852" spans="1:29">
      <c r="A852">
        <v>25</v>
      </c>
      <c r="B852">
        <v>2135</v>
      </c>
      <c r="C852">
        <v>2140</v>
      </c>
      <c r="D852" t="s">
        <v>23</v>
      </c>
      <c r="E852" s="22">
        <v>44477</v>
      </c>
      <c r="F852" s="22">
        <v>44442</v>
      </c>
      <c r="G852" t="s">
        <v>965</v>
      </c>
      <c r="H852" t="s">
        <v>28</v>
      </c>
      <c r="I852" t="s">
        <v>23</v>
      </c>
      <c r="J852" t="s">
        <v>68</v>
      </c>
      <c r="K852" t="s">
        <v>107</v>
      </c>
      <c r="L852" t="s">
        <v>6963</v>
      </c>
      <c r="M852">
        <v>2130</v>
      </c>
      <c r="N852" t="s">
        <v>858</v>
      </c>
      <c r="O852" t="s">
        <v>866</v>
      </c>
      <c r="P852" t="s">
        <v>21</v>
      </c>
      <c r="Q852" t="s">
        <v>21</v>
      </c>
      <c r="R852" t="s">
        <v>931</v>
      </c>
      <c r="S852" t="s">
        <v>931</v>
      </c>
      <c r="T852" t="s">
        <v>954</v>
      </c>
      <c r="U852" t="s">
        <v>960</v>
      </c>
      <c r="V852" s="28" t="s">
        <v>6072</v>
      </c>
      <c r="W852" s="28" t="s">
        <v>1444</v>
      </c>
      <c r="X852" s="28" t="s">
        <v>6953</v>
      </c>
      <c r="Y852" s="28" t="s">
        <v>3311</v>
      </c>
      <c r="Z852" s="28" t="s">
        <v>6954</v>
      </c>
      <c r="AA852" s="28" t="s">
        <v>6955</v>
      </c>
      <c r="AB852" s="28" t="s">
        <v>6956</v>
      </c>
      <c r="AC852" s="28" t="s">
        <v>6957</v>
      </c>
    </row>
    <row r="853" spans="1:29">
      <c r="A853">
        <v>26</v>
      </c>
      <c r="B853">
        <v>2135</v>
      </c>
      <c r="C853">
        <v>2140</v>
      </c>
      <c r="D853" t="s">
        <v>23</v>
      </c>
      <c r="E853" s="22">
        <v>44477</v>
      </c>
      <c r="F853" s="22">
        <v>44442</v>
      </c>
      <c r="G853" t="s">
        <v>965</v>
      </c>
      <c r="H853" t="s">
        <v>28</v>
      </c>
      <c r="I853" t="s">
        <v>23</v>
      </c>
      <c r="J853" t="s">
        <v>68</v>
      </c>
      <c r="K853" t="s">
        <v>107</v>
      </c>
      <c r="L853" t="s">
        <v>6964</v>
      </c>
      <c r="M853">
        <v>2132</v>
      </c>
      <c r="N853" t="s">
        <v>858</v>
      </c>
      <c r="O853" t="s">
        <v>866</v>
      </c>
      <c r="P853" t="s">
        <v>21</v>
      </c>
      <c r="Q853" t="s">
        <v>21</v>
      </c>
      <c r="R853" t="s">
        <v>931</v>
      </c>
      <c r="S853" t="s">
        <v>931</v>
      </c>
      <c r="T853" t="s">
        <v>954</v>
      </c>
      <c r="U853" t="s">
        <v>960</v>
      </c>
      <c r="V853" s="28" t="s">
        <v>6072</v>
      </c>
      <c r="W853" s="28" t="s">
        <v>1444</v>
      </c>
      <c r="X853" s="28" t="s">
        <v>6953</v>
      </c>
      <c r="Y853" s="28" t="s">
        <v>3311</v>
      </c>
      <c r="Z853" s="28" t="s">
        <v>6954</v>
      </c>
      <c r="AA853" s="28" t="s">
        <v>6955</v>
      </c>
      <c r="AB853" s="28" t="s">
        <v>6956</v>
      </c>
      <c r="AC853" s="28" t="s">
        <v>6957</v>
      </c>
    </row>
    <row r="854" spans="1:29">
      <c r="A854">
        <v>27</v>
      </c>
      <c r="B854">
        <v>2135</v>
      </c>
      <c r="C854">
        <v>2140</v>
      </c>
      <c r="D854" t="s">
        <v>23</v>
      </c>
      <c r="E854" s="22">
        <v>44477</v>
      </c>
      <c r="F854" s="22">
        <v>44442</v>
      </c>
      <c r="G854" t="s">
        <v>965</v>
      </c>
      <c r="H854" t="s">
        <v>28</v>
      </c>
      <c r="I854" t="s">
        <v>23</v>
      </c>
      <c r="J854" t="s">
        <v>68</v>
      </c>
      <c r="K854" t="s">
        <v>107</v>
      </c>
      <c r="L854" t="s">
        <v>6965</v>
      </c>
      <c r="M854">
        <v>2132</v>
      </c>
      <c r="N854" t="s">
        <v>858</v>
      </c>
      <c r="O854" t="s">
        <v>866</v>
      </c>
      <c r="P854" t="s">
        <v>21</v>
      </c>
      <c r="Q854" t="s">
        <v>21</v>
      </c>
      <c r="R854" t="s">
        <v>931</v>
      </c>
      <c r="S854" t="s">
        <v>931</v>
      </c>
      <c r="T854" t="s">
        <v>954</v>
      </c>
      <c r="U854" t="s">
        <v>960</v>
      </c>
      <c r="V854" s="28" t="s">
        <v>6072</v>
      </c>
      <c r="W854" s="28" t="s">
        <v>1444</v>
      </c>
      <c r="X854" s="28" t="s">
        <v>6953</v>
      </c>
      <c r="Y854" s="28" t="s">
        <v>3311</v>
      </c>
      <c r="Z854" s="28" t="s">
        <v>6954</v>
      </c>
      <c r="AA854" s="28" t="s">
        <v>6955</v>
      </c>
      <c r="AB854" s="28" t="s">
        <v>6956</v>
      </c>
      <c r="AC854" s="28" t="s">
        <v>6957</v>
      </c>
    </row>
    <row r="855" spans="1:29">
      <c r="A855">
        <v>28</v>
      </c>
      <c r="B855">
        <v>2135</v>
      </c>
      <c r="C855">
        <v>2140</v>
      </c>
      <c r="D855" t="s">
        <v>23</v>
      </c>
      <c r="E855" s="22">
        <v>44477</v>
      </c>
      <c r="F855" s="22">
        <v>44442</v>
      </c>
      <c r="G855" t="s">
        <v>965</v>
      </c>
      <c r="H855" t="s">
        <v>28</v>
      </c>
      <c r="I855" t="s">
        <v>23</v>
      </c>
      <c r="J855" t="s">
        <v>68</v>
      </c>
      <c r="K855" t="s">
        <v>107</v>
      </c>
      <c r="L855" t="s">
        <v>6966</v>
      </c>
      <c r="M855">
        <v>2132</v>
      </c>
      <c r="N855" t="s">
        <v>858</v>
      </c>
      <c r="O855" t="s">
        <v>866</v>
      </c>
      <c r="P855" t="s">
        <v>21</v>
      </c>
      <c r="Q855" t="s">
        <v>21</v>
      </c>
      <c r="R855" t="s">
        <v>931</v>
      </c>
      <c r="S855" t="s">
        <v>931</v>
      </c>
      <c r="T855" t="s">
        <v>954</v>
      </c>
      <c r="U855" t="s">
        <v>960</v>
      </c>
      <c r="V855" s="28" t="s">
        <v>6072</v>
      </c>
      <c r="W855" s="28" t="s">
        <v>1444</v>
      </c>
      <c r="X855" s="28" t="s">
        <v>6953</v>
      </c>
      <c r="Y855" s="28" t="s">
        <v>3311</v>
      </c>
      <c r="Z855" s="28" t="s">
        <v>6954</v>
      </c>
      <c r="AA855" s="28" t="s">
        <v>6955</v>
      </c>
      <c r="AB855" s="28" t="s">
        <v>6956</v>
      </c>
      <c r="AC855" s="28" t="s">
        <v>6957</v>
      </c>
    </row>
    <row r="856" spans="1:29">
      <c r="A856">
        <v>29</v>
      </c>
      <c r="B856">
        <v>2135</v>
      </c>
      <c r="C856">
        <v>2140</v>
      </c>
      <c r="D856" t="s">
        <v>23</v>
      </c>
      <c r="E856" s="22">
        <v>44477</v>
      </c>
      <c r="F856" s="22">
        <v>44442</v>
      </c>
      <c r="G856" t="s">
        <v>965</v>
      </c>
      <c r="H856" t="s">
        <v>28</v>
      </c>
      <c r="I856" t="s">
        <v>23</v>
      </c>
      <c r="J856" t="s">
        <v>68</v>
      </c>
      <c r="K856" t="s">
        <v>107</v>
      </c>
      <c r="L856" t="s">
        <v>6967</v>
      </c>
      <c r="M856">
        <v>2132</v>
      </c>
      <c r="N856" t="s">
        <v>858</v>
      </c>
      <c r="O856" t="s">
        <v>866</v>
      </c>
      <c r="P856" t="s">
        <v>21</v>
      </c>
      <c r="Q856" t="s">
        <v>21</v>
      </c>
      <c r="R856" t="s">
        <v>931</v>
      </c>
      <c r="S856" t="s">
        <v>931</v>
      </c>
      <c r="T856" t="s">
        <v>954</v>
      </c>
      <c r="U856" t="s">
        <v>960</v>
      </c>
      <c r="V856" s="28" t="s">
        <v>6072</v>
      </c>
      <c r="W856" s="28" t="s">
        <v>1444</v>
      </c>
      <c r="X856" s="28" t="s">
        <v>6953</v>
      </c>
      <c r="Y856" s="28" t="s">
        <v>3311</v>
      </c>
      <c r="Z856" s="28" t="s">
        <v>6954</v>
      </c>
      <c r="AA856" s="28" t="s">
        <v>6955</v>
      </c>
      <c r="AB856" s="28" t="s">
        <v>6956</v>
      </c>
      <c r="AC856" s="28" t="s">
        <v>6957</v>
      </c>
    </row>
    <row r="857" spans="1:29">
      <c r="A857">
        <v>30</v>
      </c>
      <c r="B857">
        <v>2135</v>
      </c>
      <c r="C857">
        <v>2140</v>
      </c>
      <c r="D857" t="s">
        <v>23</v>
      </c>
      <c r="E857" s="22">
        <v>44477</v>
      </c>
      <c r="F857" s="22">
        <v>44442</v>
      </c>
      <c r="G857" t="s">
        <v>965</v>
      </c>
      <c r="H857" t="s">
        <v>28</v>
      </c>
      <c r="I857" t="s">
        <v>23</v>
      </c>
      <c r="J857" t="s">
        <v>68</v>
      </c>
      <c r="K857" t="s">
        <v>107</v>
      </c>
      <c r="L857" t="s">
        <v>6968</v>
      </c>
      <c r="M857">
        <v>2132</v>
      </c>
      <c r="N857" t="s">
        <v>858</v>
      </c>
      <c r="O857" t="s">
        <v>866</v>
      </c>
      <c r="P857" t="s">
        <v>21</v>
      </c>
      <c r="Q857" t="s">
        <v>21</v>
      </c>
      <c r="R857" t="s">
        <v>931</v>
      </c>
      <c r="S857" t="s">
        <v>931</v>
      </c>
      <c r="T857" t="s">
        <v>954</v>
      </c>
      <c r="U857" t="s">
        <v>960</v>
      </c>
      <c r="V857" s="28" t="s">
        <v>6072</v>
      </c>
      <c r="W857" s="28" t="s">
        <v>1444</v>
      </c>
      <c r="X857" s="28" t="s">
        <v>6953</v>
      </c>
      <c r="Y857" s="28" t="s">
        <v>3311</v>
      </c>
      <c r="Z857" s="28" t="s">
        <v>6954</v>
      </c>
      <c r="AA857" s="28" t="s">
        <v>6955</v>
      </c>
      <c r="AB857" s="28" t="s">
        <v>6956</v>
      </c>
      <c r="AC857" s="28" t="s">
        <v>6957</v>
      </c>
    </row>
    <row r="858" spans="1:29">
      <c r="A858">
        <v>31</v>
      </c>
      <c r="B858">
        <v>2135</v>
      </c>
      <c r="C858">
        <v>2140</v>
      </c>
      <c r="D858" t="s">
        <v>23</v>
      </c>
      <c r="E858" s="22">
        <v>44477</v>
      </c>
      <c r="F858" s="22">
        <v>44442</v>
      </c>
      <c r="G858" t="s">
        <v>965</v>
      </c>
      <c r="H858" t="s">
        <v>28</v>
      </c>
      <c r="I858" t="s">
        <v>23</v>
      </c>
      <c r="J858" t="s">
        <v>68</v>
      </c>
      <c r="K858" t="s">
        <v>107</v>
      </c>
      <c r="L858" t="s">
        <v>6969</v>
      </c>
      <c r="M858">
        <v>2132</v>
      </c>
      <c r="N858" t="s">
        <v>858</v>
      </c>
      <c r="O858" t="s">
        <v>866</v>
      </c>
      <c r="P858" t="s">
        <v>21</v>
      </c>
      <c r="Q858" t="s">
        <v>21</v>
      </c>
      <c r="R858" t="s">
        <v>931</v>
      </c>
      <c r="S858" t="s">
        <v>931</v>
      </c>
      <c r="T858" t="s">
        <v>954</v>
      </c>
      <c r="U858" t="s">
        <v>960</v>
      </c>
      <c r="V858" s="28" t="s">
        <v>6072</v>
      </c>
      <c r="W858" s="28" t="s">
        <v>1444</v>
      </c>
      <c r="X858" s="28" t="s">
        <v>6953</v>
      </c>
      <c r="Y858" s="28" t="s">
        <v>3311</v>
      </c>
      <c r="Z858" s="28" t="s">
        <v>6954</v>
      </c>
      <c r="AA858" s="28" t="s">
        <v>6955</v>
      </c>
      <c r="AB858" s="28" t="s">
        <v>6956</v>
      </c>
      <c r="AC858" s="28" t="s">
        <v>6957</v>
      </c>
    </row>
    <row r="859" spans="1:29">
      <c r="A859">
        <v>32</v>
      </c>
      <c r="B859">
        <v>2135</v>
      </c>
      <c r="C859">
        <v>2140</v>
      </c>
      <c r="D859" t="s">
        <v>23</v>
      </c>
      <c r="E859" s="22">
        <v>44477</v>
      </c>
      <c r="F859" s="22">
        <v>44442</v>
      </c>
      <c r="G859" t="s">
        <v>965</v>
      </c>
      <c r="H859" t="s">
        <v>28</v>
      </c>
      <c r="I859" t="s">
        <v>23</v>
      </c>
      <c r="J859" t="s">
        <v>68</v>
      </c>
      <c r="K859" t="s">
        <v>107</v>
      </c>
      <c r="L859" t="s">
        <v>6970</v>
      </c>
      <c r="M859">
        <v>2132</v>
      </c>
      <c r="N859" t="s">
        <v>858</v>
      </c>
      <c r="O859" t="s">
        <v>866</v>
      </c>
      <c r="P859" t="s">
        <v>21</v>
      </c>
      <c r="Q859" t="s">
        <v>21</v>
      </c>
      <c r="R859" t="s">
        <v>931</v>
      </c>
      <c r="S859" t="s">
        <v>931</v>
      </c>
      <c r="T859" t="s">
        <v>954</v>
      </c>
      <c r="U859" t="s">
        <v>960</v>
      </c>
      <c r="V859" s="28" t="s">
        <v>6072</v>
      </c>
      <c r="W859" s="28" t="s">
        <v>1444</v>
      </c>
      <c r="X859" s="28" t="s">
        <v>6953</v>
      </c>
      <c r="Y859" s="28" t="s">
        <v>3311</v>
      </c>
      <c r="Z859" s="28" t="s">
        <v>6954</v>
      </c>
      <c r="AA859" s="28" t="s">
        <v>6955</v>
      </c>
      <c r="AB859" s="28" t="s">
        <v>6956</v>
      </c>
      <c r="AC859" s="28" t="s">
        <v>6957</v>
      </c>
    </row>
    <row r="860" spans="1:29">
      <c r="A860">
        <v>33</v>
      </c>
      <c r="B860">
        <v>2135</v>
      </c>
      <c r="C860">
        <v>2140</v>
      </c>
      <c r="D860" t="s">
        <v>23</v>
      </c>
      <c r="E860" s="22">
        <v>44477</v>
      </c>
      <c r="F860" s="22">
        <v>44442</v>
      </c>
      <c r="G860" t="s">
        <v>965</v>
      </c>
      <c r="H860" t="s">
        <v>28</v>
      </c>
      <c r="I860" t="s">
        <v>23</v>
      </c>
      <c r="J860" t="s">
        <v>68</v>
      </c>
      <c r="K860" t="s">
        <v>107</v>
      </c>
      <c r="L860" t="s">
        <v>6971</v>
      </c>
      <c r="M860">
        <v>2132</v>
      </c>
      <c r="N860" t="s">
        <v>858</v>
      </c>
      <c r="O860" t="s">
        <v>866</v>
      </c>
      <c r="P860" t="s">
        <v>21</v>
      </c>
      <c r="Q860" t="s">
        <v>21</v>
      </c>
      <c r="R860" t="s">
        <v>931</v>
      </c>
      <c r="S860" t="s">
        <v>931</v>
      </c>
      <c r="T860" t="s">
        <v>954</v>
      </c>
      <c r="U860" t="s">
        <v>960</v>
      </c>
      <c r="V860" s="28" t="s">
        <v>6072</v>
      </c>
      <c r="W860" s="28" t="s">
        <v>1444</v>
      </c>
      <c r="X860" s="28" t="s">
        <v>6953</v>
      </c>
      <c r="Y860" s="28" t="s">
        <v>3311</v>
      </c>
      <c r="Z860" s="28" t="s">
        <v>6954</v>
      </c>
      <c r="AA860" s="28" t="s">
        <v>6955</v>
      </c>
      <c r="AB860" s="28" t="s">
        <v>6956</v>
      </c>
      <c r="AC860" s="28" t="s">
        <v>6957</v>
      </c>
    </row>
    <row r="861" spans="1:29">
      <c r="A861">
        <v>34</v>
      </c>
      <c r="B861">
        <v>2135</v>
      </c>
      <c r="C861">
        <v>2140</v>
      </c>
      <c r="D861" t="s">
        <v>23</v>
      </c>
      <c r="E861" s="22">
        <v>44477</v>
      </c>
      <c r="F861" s="22">
        <v>44442</v>
      </c>
      <c r="G861" t="s">
        <v>965</v>
      </c>
      <c r="H861" t="s">
        <v>28</v>
      </c>
      <c r="I861" t="s">
        <v>23</v>
      </c>
      <c r="J861" t="s">
        <v>68</v>
      </c>
      <c r="K861" t="s">
        <v>107</v>
      </c>
      <c r="L861" t="s">
        <v>6972</v>
      </c>
      <c r="M861">
        <v>2132</v>
      </c>
      <c r="N861" t="s">
        <v>858</v>
      </c>
      <c r="O861" t="s">
        <v>866</v>
      </c>
      <c r="P861" t="s">
        <v>21</v>
      </c>
      <c r="Q861" t="s">
        <v>21</v>
      </c>
      <c r="R861" t="s">
        <v>931</v>
      </c>
      <c r="S861" t="s">
        <v>931</v>
      </c>
      <c r="T861" t="s">
        <v>954</v>
      </c>
      <c r="U861" t="s">
        <v>960</v>
      </c>
      <c r="V861" s="28" t="s">
        <v>6072</v>
      </c>
      <c r="W861" s="28" t="s">
        <v>1444</v>
      </c>
      <c r="X861" s="28" t="s">
        <v>6953</v>
      </c>
      <c r="Y861" s="28" t="s">
        <v>3311</v>
      </c>
      <c r="Z861" s="28" t="s">
        <v>6954</v>
      </c>
      <c r="AA861" s="28" t="s">
        <v>6955</v>
      </c>
      <c r="AB861" s="28" t="s">
        <v>6956</v>
      </c>
      <c r="AC861" s="28" t="s">
        <v>6957</v>
      </c>
    </row>
    <row r="862" spans="1:29">
      <c r="A862">
        <v>35</v>
      </c>
      <c r="B862">
        <v>2135</v>
      </c>
      <c r="C862">
        <v>2140</v>
      </c>
      <c r="D862" t="s">
        <v>23</v>
      </c>
      <c r="E862" s="22">
        <v>44477</v>
      </c>
      <c r="F862" s="22">
        <v>44442</v>
      </c>
      <c r="G862" t="s">
        <v>965</v>
      </c>
      <c r="H862" t="s">
        <v>28</v>
      </c>
      <c r="I862" t="s">
        <v>23</v>
      </c>
      <c r="J862" t="s">
        <v>68</v>
      </c>
      <c r="K862" t="s">
        <v>107</v>
      </c>
      <c r="L862" t="s">
        <v>6973</v>
      </c>
      <c r="M862">
        <v>2132</v>
      </c>
      <c r="N862" t="s">
        <v>858</v>
      </c>
      <c r="O862" t="s">
        <v>866</v>
      </c>
      <c r="P862" t="s">
        <v>21</v>
      </c>
      <c r="Q862" t="s">
        <v>21</v>
      </c>
      <c r="R862" t="s">
        <v>931</v>
      </c>
      <c r="S862" t="s">
        <v>931</v>
      </c>
      <c r="T862" t="s">
        <v>954</v>
      </c>
      <c r="U862" t="s">
        <v>960</v>
      </c>
      <c r="V862" s="28" t="s">
        <v>6072</v>
      </c>
      <c r="W862" s="28" t="s">
        <v>1444</v>
      </c>
      <c r="X862" s="28" t="s">
        <v>6953</v>
      </c>
      <c r="Y862" s="28" t="s">
        <v>3311</v>
      </c>
      <c r="Z862" s="28" t="s">
        <v>6954</v>
      </c>
      <c r="AA862" s="28" t="s">
        <v>6955</v>
      </c>
      <c r="AB862" s="28" t="s">
        <v>6956</v>
      </c>
      <c r="AC862" s="28" t="s">
        <v>6957</v>
      </c>
    </row>
    <row r="863" spans="1:29">
      <c r="A863">
        <v>36</v>
      </c>
      <c r="B863">
        <v>2135</v>
      </c>
      <c r="C863">
        <v>2140</v>
      </c>
      <c r="D863" t="s">
        <v>23</v>
      </c>
      <c r="E863" s="22">
        <v>44477</v>
      </c>
      <c r="F863" s="22">
        <v>44442</v>
      </c>
      <c r="G863" t="s">
        <v>965</v>
      </c>
      <c r="H863" t="s">
        <v>28</v>
      </c>
      <c r="I863" t="s">
        <v>23</v>
      </c>
      <c r="J863" t="s">
        <v>68</v>
      </c>
      <c r="K863" t="s">
        <v>107</v>
      </c>
      <c r="L863" t="s">
        <v>6974</v>
      </c>
      <c r="M863">
        <v>2129</v>
      </c>
      <c r="N863" t="s">
        <v>858</v>
      </c>
      <c r="O863" t="s">
        <v>866</v>
      </c>
      <c r="P863" t="s">
        <v>21</v>
      </c>
      <c r="Q863" t="s">
        <v>21</v>
      </c>
      <c r="R863" t="s">
        <v>931</v>
      </c>
      <c r="S863" t="s">
        <v>931</v>
      </c>
      <c r="T863" t="s">
        <v>954</v>
      </c>
      <c r="U863" t="s">
        <v>960</v>
      </c>
      <c r="V863" s="28" t="s">
        <v>6072</v>
      </c>
      <c r="W863" s="28" t="s">
        <v>1444</v>
      </c>
      <c r="X863" s="28" t="s">
        <v>6953</v>
      </c>
      <c r="Y863" s="28" t="s">
        <v>3311</v>
      </c>
      <c r="Z863" s="28" t="s">
        <v>6954</v>
      </c>
      <c r="AA863" s="28" t="s">
        <v>6955</v>
      </c>
      <c r="AB863" s="28" t="s">
        <v>6956</v>
      </c>
      <c r="AC863" s="28" t="s">
        <v>6957</v>
      </c>
    </row>
    <row r="864" spans="1:29">
      <c r="A864">
        <v>37</v>
      </c>
      <c r="B864">
        <v>2135</v>
      </c>
      <c r="C864">
        <v>2140</v>
      </c>
      <c r="D864" t="s">
        <v>23</v>
      </c>
      <c r="E864" s="22">
        <v>44477</v>
      </c>
      <c r="F864" s="22">
        <v>44442</v>
      </c>
      <c r="G864" t="s">
        <v>965</v>
      </c>
      <c r="H864" t="s">
        <v>28</v>
      </c>
      <c r="I864" t="s">
        <v>23</v>
      </c>
      <c r="J864" t="s">
        <v>68</v>
      </c>
      <c r="K864" t="s">
        <v>107</v>
      </c>
      <c r="L864" t="s">
        <v>6975</v>
      </c>
      <c r="M864">
        <v>2129</v>
      </c>
      <c r="N864" t="s">
        <v>858</v>
      </c>
      <c r="O864" t="s">
        <v>866</v>
      </c>
      <c r="P864" t="s">
        <v>21</v>
      </c>
      <c r="Q864" t="s">
        <v>21</v>
      </c>
      <c r="R864" t="s">
        <v>931</v>
      </c>
      <c r="S864" t="s">
        <v>931</v>
      </c>
      <c r="T864" t="s">
        <v>954</v>
      </c>
      <c r="U864" t="s">
        <v>960</v>
      </c>
      <c r="V864" s="28" t="s">
        <v>6072</v>
      </c>
      <c r="W864" s="28" t="s">
        <v>1444</v>
      </c>
      <c r="X864" s="28" t="s">
        <v>6953</v>
      </c>
      <c r="Y864" s="28" t="s">
        <v>3311</v>
      </c>
      <c r="Z864" s="28" t="s">
        <v>6954</v>
      </c>
      <c r="AA864" s="28" t="s">
        <v>6955</v>
      </c>
      <c r="AB864" s="28" t="s">
        <v>6956</v>
      </c>
      <c r="AC864" s="28" t="s">
        <v>6957</v>
      </c>
    </row>
    <row r="865" spans="1:29">
      <c r="A865">
        <v>38</v>
      </c>
      <c r="B865">
        <v>2135</v>
      </c>
      <c r="C865">
        <v>2140</v>
      </c>
      <c r="D865" t="s">
        <v>23</v>
      </c>
      <c r="E865" s="22">
        <v>44477</v>
      </c>
      <c r="F865" s="22">
        <v>44442</v>
      </c>
      <c r="G865" t="s">
        <v>965</v>
      </c>
      <c r="H865" t="s">
        <v>28</v>
      </c>
      <c r="I865" t="s">
        <v>23</v>
      </c>
      <c r="J865" t="s">
        <v>68</v>
      </c>
      <c r="K865" t="s">
        <v>107</v>
      </c>
      <c r="L865" t="s">
        <v>6976</v>
      </c>
      <c r="M865">
        <v>2128</v>
      </c>
      <c r="N865" t="s">
        <v>858</v>
      </c>
      <c r="O865" t="s">
        <v>866</v>
      </c>
      <c r="P865" t="s">
        <v>21</v>
      </c>
      <c r="Q865" t="s">
        <v>21</v>
      </c>
      <c r="R865" t="s">
        <v>931</v>
      </c>
      <c r="S865" t="s">
        <v>931</v>
      </c>
      <c r="T865" t="s">
        <v>954</v>
      </c>
      <c r="U865" t="s">
        <v>960</v>
      </c>
      <c r="V865" s="28" t="s">
        <v>6072</v>
      </c>
      <c r="W865" s="28" t="s">
        <v>1444</v>
      </c>
      <c r="X865" s="28" t="s">
        <v>6953</v>
      </c>
      <c r="Y865" s="28" t="s">
        <v>3311</v>
      </c>
      <c r="Z865" s="28" t="s">
        <v>6954</v>
      </c>
      <c r="AA865" s="28" t="s">
        <v>6955</v>
      </c>
      <c r="AB865" s="28" t="s">
        <v>6956</v>
      </c>
      <c r="AC865" s="28" t="s">
        <v>6957</v>
      </c>
    </row>
    <row r="866" spans="1:29">
      <c r="A866">
        <v>39</v>
      </c>
      <c r="B866">
        <v>2135</v>
      </c>
      <c r="C866">
        <v>2140</v>
      </c>
      <c r="D866" t="s">
        <v>23</v>
      </c>
      <c r="E866" s="22">
        <v>44477</v>
      </c>
      <c r="F866" s="22">
        <v>44442</v>
      </c>
      <c r="G866" t="s">
        <v>965</v>
      </c>
      <c r="H866" t="s">
        <v>28</v>
      </c>
      <c r="I866" t="s">
        <v>23</v>
      </c>
      <c r="J866" t="s">
        <v>68</v>
      </c>
      <c r="K866" t="s">
        <v>107</v>
      </c>
      <c r="L866" t="s">
        <v>6977</v>
      </c>
      <c r="M866">
        <v>2129</v>
      </c>
      <c r="N866" t="s">
        <v>858</v>
      </c>
      <c r="O866" t="s">
        <v>866</v>
      </c>
      <c r="P866" t="s">
        <v>21</v>
      </c>
      <c r="Q866" t="s">
        <v>21</v>
      </c>
      <c r="R866" t="s">
        <v>931</v>
      </c>
      <c r="S866" t="s">
        <v>931</v>
      </c>
      <c r="T866" t="s">
        <v>954</v>
      </c>
      <c r="U866" t="s">
        <v>960</v>
      </c>
      <c r="V866" s="28" t="s">
        <v>6072</v>
      </c>
      <c r="W866" s="28" t="s">
        <v>1444</v>
      </c>
      <c r="X866" s="28" t="s">
        <v>6953</v>
      </c>
      <c r="Y866" s="28" t="s">
        <v>3311</v>
      </c>
      <c r="Z866" s="28" t="s">
        <v>6954</v>
      </c>
      <c r="AA866" s="28" t="s">
        <v>6955</v>
      </c>
      <c r="AB866" s="28" t="s">
        <v>6956</v>
      </c>
      <c r="AC866" s="28" t="s">
        <v>6957</v>
      </c>
    </row>
    <row r="867" spans="1:29">
      <c r="A867">
        <v>40</v>
      </c>
      <c r="B867">
        <v>2135</v>
      </c>
      <c r="C867">
        <v>2140</v>
      </c>
      <c r="D867" t="s">
        <v>23</v>
      </c>
      <c r="E867" s="22">
        <v>44477</v>
      </c>
      <c r="F867" s="22">
        <v>44442</v>
      </c>
      <c r="G867" t="s">
        <v>965</v>
      </c>
      <c r="H867" t="s">
        <v>28</v>
      </c>
      <c r="I867" t="s">
        <v>23</v>
      </c>
      <c r="J867" t="s">
        <v>68</v>
      </c>
      <c r="K867" t="s">
        <v>107</v>
      </c>
      <c r="L867" t="s">
        <v>6978</v>
      </c>
      <c r="M867">
        <v>2129</v>
      </c>
      <c r="N867" t="s">
        <v>858</v>
      </c>
      <c r="O867" t="s">
        <v>866</v>
      </c>
      <c r="P867" t="s">
        <v>21</v>
      </c>
      <c r="Q867" t="s">
        <v>21</v>
      </c>
      <c r="R867" t="s">
        <v>931</v>
      </c>
      <c r="S867" t="s">
        <v>931</v>
      </c>
      <c r="T867" t="s">
        <v>954</v>
      </c>
      <c r="U867" t="s">
        <v>960</v>
      </c>
      <c r="V867" s="28" t="s">
        <v>6072</v>
      </c>
      <c r="W867" s="28" t="s">
        <v>1444</v>
      </c>
      <c r="X867" s="28" t="s">
        <v>6953</v>
      </c>
      <c r="Y867" s="28" t="s">
        <v>3311</v>
      </c>
      <c r="Z867" s="28" t="s">
        <v>6954</v>
      </c>
      <c r="AA867" s="28" t="s">
        <v>6955</v>
      </c>
      <c r="AB867" s="28" t="s">
        <v>6956</v>
      </c>
      <c r="AC867" s="28" t="s">
        <v>6957</v>
      </c>
    </row>
    <row r="868" spans="1:29">
      <c r="A868">
        <v>35</v>
      </c>
      <c r="B868">
        <v>2139</v>
      </c>
      <c r="C868">
        <v>2140</v>
      </c>
      <c r="D868" t="s">
        <v>23</v>
      </c>
      <c r="E868" s="22">
        <v>44475</v>
      </c>
      <c r="F868" s="22">
        <v>44466</v>
      </c>
      <c r="G868" t="s">
        <v>965</v>
      </c>
      <c r="H868" t="s">
        <v>28</v>
      </c>
      <c r="I868" t="s">
        <v>23</v>
      </c>
      <c r="J868" t="s">
        <v>52</v>
      </c>
      <c r="K868" t="s">
        <v>71</v>
      </c>
      <c r="L868" t="s">
        <v>6979</v>
      </c>
      <c r="M868">
        <v>2132</v>
      </c>
      <c r="N868" t="s">
        <v>860</v>
      </c>
      <c r="O868" t="s">
        <v>866</v>
      </c>
      <c r="P868" t="s">
        <v>21</v>
      </c>
      <c r="Q868" t="s">
        <v>21</v>
      </c>
      <c r="R868" t="s">
        <v>936</v>
      </c>
      <c r="S868" t="s">
        <v>944</v>
      </c>
      <c r="T868" t="s">
        <v>954</v>
      </c>
      <c r="U868" t="s">
        <v>960</v>
      </c>
      <c r="V868" s="28" t="s">
        <v>6753</v>
      </c>
      <c r="W868" s="28" t="s">
        <v>6428</v>
      </c>
      <c r="X868" s="28" t="s">
        <v>6754</v>
      </c>
      <c r="Y868" s="28" t="s">
        <v>6430</v>
      </c>
      <c r="Z868" s="28" t="s">
        <v>6755</v>
      </c>
      <c r="AA868" s="28" t="s">
        <v>6756</v>
      </c>
      <c r="AB868" s="28" t="s">
        <v>6757</v>
      </c>
      <c r="AC868" s="28" t="s">
        <v>6758</v>
      </c>
    </row>
    <row r="869" spans="1:29">
      <c r="A869">
        <v>200</v>
      </c>
      <c r="B869">
        <v>2141</v>
      </c>
      <c r="C869">
        <v>2141</v>
      </c>
      <c r="D869" t="s">
        <v>21</v>
      </c>
      <c r="E869" s="22">
        <v>44480</v>
      </c>
      <c r="F869" t="s">
        <v>6055</v>
      </c>
      <c r="G869" t="s">
        <v>26</v>
      </c>
      <c r="H869">
        <v>2</v>
      </c>
      <c r="I869" t="s">
        <v>38</v>
      </c>
      <c r="J869" t="s">
        <v>62</v>
      </c>
      <c r="K869" t="s">
        <v>82</v>
      </c>
      <c r="L869" t="s">
        <v>7002</v>
      </c>
      <c r="M869">
        <v>2131</v>
      </c>
      <c r="N869" t="s">
        <v>816</v>
      </c>
      <c r="O869" t="s">
        <v>21</v>
      </c>
      <c r="P869" t="s">
        <v>21</v>
      </c>
      <c r="Q869" t="s">
        <v>21</v>
      </c>
      <c r="R869" t="s">
        <v>880</v>
      </c>
      <c r="S869" t="s">
        <v>880</v>
      </c>
      <c r="T869" t="s">
        <v>908</v>
      </c>
      <c r="U869" t="s">
        <v>961</v>
      </c>
      <c r="V869" s="28" t="s">
        <v>7003</v>
      </c>
      <c r="W869" s="28" t="s">
        <v>7004</v>
      </c>
      <c r="X869" s="28" t="s">
        <v>7005</v>
      </c>
      <c r="Y869" s="28" t="s">
        <v>7006</v>
      </c>
      <c r="Z869" s="28" t="s">
        <v>7007</v>
      </c>
      <c r="AA869" s="28" t="s">
        <v>7008</v>
      </c>
      <c r="AB869" s="28" t="s">
        <v>7009</v>
      </c>
      <c r="AC869" s="28" t="s">
        <v>7010</v>
      </c>
    </row>
    <row r="870" spans="1:29">
      <c r="A870">
        <v>201</v>
      </c>
      <c r="B870">
        <v>2141</v>
      </c>
      <c r="C870">
        <v>2141</v>
      </c>
      <c r="D870" t="s">
        <v>21</v>
      </c>
      <c r="E870" s="22">
        <v>44481</v>
      </c>
      <c r="F870" t="s">
        <v>6055</v>
      </c>
      <c r="G870" t="s">
        <v>26</v>
      </c>
      <c r="H870">
        <v>3</v>
      </c>
      <c r="I870" t="s">
        <v>38</v>
      </c>
      <c r="J870" t="s">
        <v>66</v>
      </c>
      <c r="K870" t="s">
        <v>91</v>
      </c>
      <c r="L870" t="s">
        <v>7011</v>
      </c>
      <c r="M870">
        <v>2133</v>
      </c>
      <c r="N870" t="s">
        <v>6567</v>
      </c>
      <c r="O870" t="s">
        <v>21</v>
      </c>
      <c r="P870" t="s">
        <v>21</v>
      </c>
      <c r="Q870" t="s">
        <v>21</v>
      </c>
      <c r="R870" t="s">
        <v>890</v>
      </c>
      <c r="S870" t="s">
        <v>890</v>
      </c>
      <c r="T870" t="s">
        <v>908</v>
      </c>
      <c r="U870" t="s">
        <v>960</v>
      </c>
      <c r="V870" s="28" t="s">
        <v>7012</v>
      </c>
      <c r="W870" s="28" t="s">
        <v>7013</v>
      </c>
      <c r="X870" s="28" t="s">
        <v>7014</v>
      </c>
      <c r="Y870" s="28" t="s">
        <v>7015</v>
      </c>
      <c r="Z870" s="28" t="s">
        <v>7016</v>
      </c>
      <c r="AA870" s="28" t="s">
        <v>7017</v>
      </c>
      <c r="AB870" s="28" t="s">
        <v>7018</v>
      </c>
      <c r="AC870" s="28" t="s">
        <v>7019</v>
      </c>
    </row>
    <row r="871" spans="1:29">
      <c r="A871">
        <v>202</v>
      </c>
      <c r="B871">
        <v>2141</v>
      </c>
      <c r="C871">
        <v>2141</v>
      </c>
      <c r="D871" t="s">
        <v>21</v>
      </c>
      <c r="E871" s="22">
        <v>44482</v>
      </c>
      <c r="F871" t="s">
        <v>6055</v>
      </c>
      <c r="G871" t="s">
        <v>26</v>
      </c>
      <c r="H871">
        <v>4</v>
      </c>
      <c r="I871" t="s">
        <v>40</v>
      </c>
      <c r="J871" t="s">
        <v>53</v>
      </c>
      <c r="K871" t="s">
        <v>95</v>
      </c>
      <c r="L871" t="s">
        <v>7020</v>
      </c>
      <c r="M871">
        <v>2133</v>
      </c>
      <c r="N871" t="s">
        <v>6714</v>
      </c>
      <c r="O871" t="s">
        <v>21</v>
      </c>
      <c r="P871" t="s">
        <v>21</v>
      </c>
      <c r="Q871" t="s">
        <v>21</v>
      </c>
      <c r="R871" t="s">
        <v>874</v>
      </c>
      <c r="S871" t="s">
        <v>874</v>
      </c>
      <c r="T871" t="s">
        <v>28</v>
      </c>
      <c r="U871" t="s">
        <v>960</v>
      </c>
      <c r="V871" s="28" t="s">
        <v>7021</v>
      </c>
      <c r="W871" s="28" t="s">
        <v>6733</v>
      </c>
      <c r="X871" s="28" t="s">
        <v>7022</v>
      </c>
      <c r="Y871" s="28" t="s">
        <v>6735</v>
      </c>
      <c r="Z871" s="28" t="s">
        <v>7023</v>
      </c>
      <c r="AA871" s="28" t="s">
        <v>6748</v>
      </c>
      <c r="AB871" s="28" t="s">
        <v>7024</v>
      </c>
      <c r="AC871" s="28" t="s">
        <v>6750</v>
      </c>
    </row>
    <row r="872" spans="1:29">
      <c r="A872">
        <v>203</v>
      </c>
      <c r="B872">
        <v>2141</v>
      </c>
      <c r="C872">
        <v>2141</v>
      </c>
      <c r="D872" t="s">
        <v>21</v>
      </c>
      <c r="E872" s="22">
        <v>44483</v>
      </c>
      <c r="F872" t="s">
        <v>6055</v>
      </c>
      <c r="G872" t="s">
        <v>26</v>
      </c>
      <c r="H872">
        <v>5</v>
      </c>
      <c r="I872" t="s">
        <v>36</v>
      </c>
      <c r="J872" t="s">
        <v>53</v>
      </c>
      <c r="K872" t="s">
        <v>90</v>
      </c>
      <c r="L872" t="s">
        <v>7025</v>
      </c>
      <c r="M872">
        <v>2134</v>
      </c>
      <c r="N872" t="s">
        <v>6561</v>
      </c>
      <c r="O872" t="s">
        <v>21</v>
      </c>
      <c r="P872" t="s">
        <v>21</v>
      </c>
      <c r="Q872" t="s">
        <v>21</v>
      </c>
      <c r="R872" t="s">
        <v>874</v>
      </c>
      <c r="S872" t="s">
        <v>874</v>
      </c>
      <c r="T872" t="s">
        <v>28</v>
      </c>
      <c r="U872" t="s">
        <v>960</v>
      </c>
      <c r="V872" s="28" t="s">
        <v>7021</v>
      </c>
      <c r="W872" s="28" t="s">
        <v>6733</v>
      </c>
      <c r="X872" s="28" t="s">
        <v>7022</v>
      </c>
      <c r="Y872" s="28" t="s">
        <v>6735</v>
      </c>
      <c r="Z872" s="28" t="s">
        <v>7023</v>
      </c>
      <c r="AA872" s="28" t="s">
        <v>6748</v>
      </c>
      <c r="AB872" s="28" t="s">
        <v>7024</v>
      </c>
      <c r="AC872" s="28" t="s">
        <v>6750</v>
      </c>
    </row>
    <row r="873" spans="1:29">
      <c r="A873">
        <v>204</v>
      </c>
      <c r="B873">
        <v>2141</v>
      </c>
      <c r="C873">
        <v>2141</v>
      </c>
      <c r="D873" t="s">
        <v>21</v>
      </c>
      <c r="E873" s="22">
        <v>44484</v>
      </c>
      <c r="F873" t="s">
        <v>6055</v>
      </c>
      <c r="G873" t="s">
        <v>26</v>
      </c>
      <c r="H873">
        <v>4</v>
      </c>
      <c r="I873" t="s">
        <v>40</v>
      </c>
      <c r="J873" t="s">
        <v>53</v>
      </c>
      <c r="K873" t="s">
        <v>95</v>
      </c>
      <c r="L873" t="s">
        <v>7026</v>
      </c>
      <c r="M873">
        <v>2133</v>
      </c>
      <c r="N873" t="s">
        <v>6714</v>
      </c>
      <c r="O873" t="s">
        <v>21</v>
      </c>
      <c r="P873" t="s">
        <v>21</v>
      </c>
      <c r="Q873" t="s">
        <v>21</v>
      </c>
      <c r="R873" t="s">
        <v>874</v>
      </c>
      <c r="S873" t="s">
        <v>874</v>
      </c>
      <c r="T873" t="s">
        <v>28</v>
      </c>
      <c r="U873" t="s">
        <v>960</v>
      </c>
      <c r="V873" s="28" t="s">
        <v>7021</v>
      </c>
      <c r="W873" s="28" t="s">
        <v>6733</v>
      </c>
      <c r="X873" s="28" t="s">
        <v>7022</v>
      </c>
      <c r="Y873" s="28" t="s">
        <v>6735</v>
      </c>
      <c r="Z873" s="28" t="s">
        <v>7023</v>
      </c>
      <c r="AA873" s="28" t="s">
        <v>6748</v>
      </c>
      <c r="AB873" s="28" t="s">
        <v>7024</v>
      </c>
      <c r="AC873" s="28" t="s">
        <v>6750</v>
      </c>
    </row>
    <row r="874" spans="1:29">
      <c r="A874">
        <v>205</v>
      </c>
      <c r="B874">
        <v>2141</v>
      </c>
      <c r="C874">
        <v>2141</v>
      </c>
      <c r="D874" t="s">
        <v>21</v>
      </c>
      <c r="E874" s="22">
        <v>44484</v>
      </c>
      <c r="F874" t="s">
        <v>6055</v>
      </c>
      <c r="G874" t="s">
        <v>26</v>
      </c>
      <c r="H874">
        <v>4</v>
      </c>
      <c r="I874" t="s">
        <v>38</v>
      </c>
      <c r="J874" t="s">
        <v>53</v>
      </c>
      <c r="K874" t="s">
        <v>95</v>
      </c>
      <c r="L874" t="s">
        <v>7027</v>
      </c>
      <c r="M874">
        <v>2134</v>
      </c>
      <c r="N874" t="s">
        <v>6714</v>
      </c>
      <c r="O874" t="s">
        <v>21</v>
      </c>
      <c r="P874" t="s">
        <v>21</v>
      </c>
      <c r="Q874" t="s">
        <v>21</v>
      </c>
      <c r="R874" t="s">
        <v>891</v>
      </c>
      <c r="S874" t="s">
        <v>891</v>
      </c>
      <c r="T874" t="s">
        <v>891</v>
      </c>
      <c r="U874" t="s">
        <v>960</v>
      </c>
      <c r="V874" s="28" t="s">
        <v>7028</v>
      </c>
      <c r="W874" s="28" t="s">
        <v>7029</v>
      </c>
      <c r="X874" s="28" t="s">
        <v>7030</v>
      </c>
      <c r="Y874" s="28" t="s">
        <v>7031</v>
      </c>
      <c r="Z874" s="28" t="s">
        <v>7032</v>
      </c>
      <c r="AA874" s="28" t="s">
        <v>7033</v>
      </c>
      <c r="AB874" s="28" t="s">
        <v>7034</v>
      </c>
      <c r="AC874" s="28" t="s">
        <v>7035</v>
      </c>
    </row>
    <row r="875" spans="1:29">
      <c r="A875">
        <v>206</v>
      </c>
      <c r="B875">
        <v>2141</v>
      </c>
      <c r="C875">
        <v>2141</v>
      </c>
      <c r="D875" t="s">
        <v>21</v>
      </c>
      <c r="E875" s="22">
        <v>44484</v>
      </c>
      <c r="F875" t="s">
        <v>6055</v>
      </c>
      <c r="G875" t="s">
        <v>26</v>
      </c>
      <c r="H875">
        <v>4</v>
      </c>
      <c r="I875" t="s">
        <v>41</v>
      </c>
      <c r="J875" t="s">
        <v>53</v>
      </c>
      <c r="K875" t="s">
        <v>95</v>
      </c>
      <c r="L875" t="s">
        <v>7036</v>
      </c>
      <c r="M875">
        <v>2133</v>
      </c>
      <c r="N875" t="s">
        <v>6714</v>
      </c>
      <c r="O875" t="s">
        <v>21</v>
      </c>
      <c r="P875" t="s">
        <v>21</v>
      </c>
      <c r="Q875" t="s">
        <v>21</v>
      </c>
      <c r="R875" t="s">
        <v>881</v>
      </c>
      <c r="S875" t="s">
        <v>881</v>
      </c>
      <c r="T875" t="s">
        <v>949</v>
      </c>
      <c r="U875" t="s">
        <v>960</v>
      </c>
      <c r="V875" s="28" t="s">
        <v>7037</v>
      </c>
      <c r="W875" s="28" t="s">
        <v>7038</v>
      </c>
      <c r="X875" s="28" t="s">
        <v>7039</v>
      </c>
      <c r="Y875" s="28" t="s">
        <v>7040</v>
      </c>
      <c r="Z875" s="28" t="s">
        <v>7041</v>
      </c>
      <c r="AA875" s="28" t="s">
        <v>7042</v>
      </c>
      <c r="AB875" s="28" t="s">
        <v>7043</v>
      </c>
      <c r="AC875" s="28" t="s">
        <v>7044</v>
      </c>
    </row>
    <row r="876" spans="1:29">
      <c r="A876">
        <v>207</v>
      </c>
      <c r="B876">
        <v>2141</v>
      </c>
      <c r="C876">
        <v>2141</v>
      </c>
      <c r="D876" t="s">
        <v>21</v>
      </c>
      <c r="E876" s="22">
        <v>44484</v>
      </c>
      <c r="F876" t="s">
        <v>6055</v>
      </c>
      <c r="G876" t="s">
        <v>26</v>
      </c>
      <c r="H876">
        <v>4</v>
      </c>
      <c r="I876" t="s">
        <v>36</v>
      </c>
      <c r="J876" t="s">
        <v>53</v>
      </c>
      <c r="K876" t="s">
        <v>95</v>
      </c>
      <c r="L876" t="s">
        <v>7045</v>
      </c>
      <c r="M876">
        <v>2133</v>
      </c>
      <c r="N876" t="s">
        <v>6714</v>
      </c>
      <c r="O876" t="s">
        <v>21</v>
      </c>
      <c r="P876" t="s">
        <v>21</v>
      </c>
      <c r="Q876" t="s">
        <v>21</v>
      </c>
      <c r="R876" t="s">
        <v>874</v>
      </c>
      <c r="S876" t="s">
        <v>874</v>
      </c>
      <c r="T876" t="s">
        <v>28</v>
      </c>
      <c r="U876" t="s">
        <v>960</v>
      </c>
      <c r="V876" s="28" t="s">
        <v>7021</v>
      </c>
      <c r="W876" s="28" t="s">
        <v>6733</v>
      </c>
      <c r="X876" s="28" t="s">
        <v>7022</v>
      </c>
      <c r="Y876" s="28" t="s">
        <v>6735</v>
      </c>
      <c r="Z876" s="28" t="s">
        <v>7023</v>
      </c>
      <c r="AA876" s="28" t="s">
        <v>6748</v>
      </c>
      <c r="AB876" s="28" t="s">
        <v>7024</v>
      </c>
      <c r="AC876" s="28" t="s">
        <v>6750</v>
      </c>
    </row>
    <row r="877" spans="1:29">
      <c r="A877">
        <v>73</v>
      </c>
      <c r="B877">
        <v>2141</v>
      </c>
      <c r="C877">
        <v>2141</v>
      </c>
      <c r="D877" t="s">
        <v>23</v>
      </c>
      <c r="E877" s="22">
        <v>44480</v>
      </c>
      <c r="F877" s="22">
        <v>44480</v>
      </c>
      <c r="G877" t="s">
        <v>965</v>
      </c>
      <c r="H877" t="s">
        <v>28</v>
      </c>
      <c r="I877" t="s">
        <v>23</v>
      </c>
      <c r="J877" t="s">
        <v>61</v>
      </c>
      <c r="K877" t="s">
        <v>101</v>
      </c>
      <c r="L877" t="s">
        <v>7046</v>
      </c>
      <c r="M877">
        <v>2114</v>
      </c>
      <c r="N877" t="s">
        <v>850</v>
      </c>
      <c r="O877" t="s">
        <v>866</v>
      </c>
      <c r="P877" t="s">
        <v>21</v>
      </c>
      <c r="Q877" t="s">
        <v>21</v>
      </c>
      <c r="R877" t="s">
        <v>944</v>
      </c>
      <c r="S877" t="s">
        <v>944</v>
      </c>
      <c r="T877" t="s">
        <v>954</v>
      </c>
      <c r="U877" t="s">
        <v>961</v>
      </c>
      <c r="V877" s="28" t="s">
        <v>7047</v>
      </c>
      <c r="W877" s="28" t="s">
        <v>7048</v>
      </c>
      <c r="X877" s="28" t="s">
        <v>7049</v>
      </c>
      <c r="Y877" s="28" t="s">
        <v>7050</v>
      </c>
      <c r="Z877" s="28" t="s">
        <v>7051</v>
      </c>
      <c r="AA877" s="28" t="s">
        <v>7052</v>
      </c>
      <c r="AB877" s="28" t="s">
        <v>7053</v>
      </c>
      <c r="AC877" s="28" t="s">
        <v>7054</v>
      </c>
    </row>
    <row r="878" spans="1:29">
      <c r="A878">
        <v>74</v>
      </c>
      <c r="B878">
        <v>2141</v>
      </c>
      <c r="C878">
        <v>2141</v>
      </c>
      <c r="D878" t="s">
        <v>23</v>
      </c>
      <c r="E878" s="22">
        <v>44481</v>
      </c>
      <c r="F878" s="22">
        <v>44481</v>
      </c>
      <c r="G878" t="s">
        <v>965</v>
      </c>
      <c r="H878" t="s">
        <v>28</v>
      </c>
      <c r="I878" t="s">
        <v>23</v>
      </c>
      <c r="J878" t="s">
        <v>61</v>
      </c>
      <c r="K878" t="s">
        <v>7055</v>
      </c>
      <c r="L878" t="s">
        <v>7056</v>
      </c>
      <c r="M878">
        <v>2114</v>
      </c>
      <c r="N878" t="s">
        <v>21</v>
      </c>
      <c r="O878" t="s">
        <v>21</v>
      </c>
      <c r="P878" t="s">
        <v>21</v>
      </c>
      <c r="Q878" t="s">
        <v>21</v>
      </c>
      <c r="R878" t="s">
        <v>913</v>
      </c>
      <c r="S878" t="s">
        <v>913</v>
      </c>
      <c r="T878" t="s">
        <v>957</v>
      </c>
      <c r="U878" t="s">
        <v>961</v>
      </c>
      <c r="V878" s="28" t="s">
        <v>7057</v>
      </c>
      <c r="W878" s="28" t="s">
        <v>7058</v>
      </c>
      <c r="X878" s="28" t="s">
        <v>7059</v>
      </c>
      <c r="Y878" s="28" t="s">
        <v>7060</v>
      </c>
      <c r="Z878" s="28" t="s">
        <v>7061</v>
      </c>
      <c r="AA878" s="28" t="s">
        <v>7062</v>
      </c>
      <c r="AB878" s="28" t="s">
        <v>7063</v>
      </c>
      <c r="AC878" s="28" t="s">
        <v>7064</v>
      </c>
    </row>
    <row r="879" spans="1:29">
      <c r="A879">
        <v>75</v>
      </c>
      <c r="B879">
        <v>2141</v>
      </c>
      <c r="C879">
        <v>2141</v>
      </c>
      <c r="D879" t="s">
        <v>23</v>
      </c>
      <c r="E879" s="22">
        <v>44481</v>
      </c>
      <c r="F879" s="22">
        <v>44481</v>
      </c>
      <c r="G879" t="s">
        <v>965</v>
      </c>
      <c r="H879" t="s">
        <v>28</v>
      </c>
      <c r="I879" t="s">
        <v>23</v>
      </c>
      <c r="J879" t="s">
        <v>61</v>
      </c>
      <c r="K879" t="s">
        <v>7065</v>
      </c>
      <c r="L879" t="s">
        <v>7066</v>
      </c>
      <c r="M879">
        <v>2112</v>
      </c>
      <c r="N879" t="s">
        <v>21</v>
      </c>
      <c r="O879" t="s">
        <v>21</v>
      </c>
      <c r="P879" t="s">
        <v>21</v>
      </c>
      <c r="Q879" t="s">
        <v>21</v>
      </c>
      <c r="R879" t="s">
        <v>913</v>
      </c>
      <c r="S879" t="s">
        <v>913</v>
      </c>
      <c r="T879" t="s">
        <v>957</v>
      </c>
      <c r="U879" t="s">
        <v>961</v>
      </c>
      <c r="V879" s="28" t="s">
        <v>7057</v>
      </c>
      <c r="W879" s="28" t="s">
        <v>7058</v>
      </c>
      <c r="X879" s="28" t="s">
        <v>7059</v>
      </c>
      <c r="Y879" s="28" t="s">
        <v>7060</v>
      </c>
      <c r="Z879" s="28" t="s">
        <v>7061</v>
      </c>
      <c r="AA879" s="28" t="s">
        <v>7062</v>
      </c>
      <c r="AB879" s="28" t="s">
        <v>7063</v>
      </c>
      <c r="AC879" s="28" t="s">
        <v>7064</v>
      </c>
    </row>
    <row r="880" spans="1:29">
      <c r="A880">
        <v>19</v>
      </c>
      <c r="B880">
        <v>2140</v>
      </c>
      <c r="C880">
        <v>2140</v>
      </c>
      <c r="D880" t="s">
        <v>23</v>
      </c>
      <c r="E880" s="22">
        <v>44477</v>
      </c>
      <c r="F880" s="22">
        <v>44477</v>
      </c>
      <c r="G880" t="s">
        <v>965</v>
      </c>
      <c r="H880" t="s">
        <v>28</v>
      </c>
      <c r="I880" t="s">
        <v>23</v>
      </c>
      <c r="J880" t="s">
        <v>68</v>
      </c>
      <c r="K880" t="s">
        <v>107</v>
      </c>
      <c r="L880" t="s">
        <v>6952</v>
      </c>
      <c r="M880">
        <v>2126</v>
      </c>
      <c r="N880" t="s">
        <v>858</v>
      </c>
      <c r="O880" t="s">
        <v>866</v>
      </c>
      <c r="P880" t="s">
        <v>21</v>
      </c>
      <c r="Q880" t="s">
        <v>21</v>
      </c>
      <c r="R880" t="s">
        <v>931</v>
      </c>
      <c r="S880" t="s">
        <v>931</v>
      </c>
      <c r="T880" t="s">
        <v>954</v>
      </c>
      <c r="U880" t="s">
        <v>960</v>
      </c>
      <c r="V880" s="28" t="s">
        <v>7067</v>
      </c>
      <c r="W880" s="28" t="s">
        <v>7068</v>
      </c>
      <c r="X880" s="28" t="s">
        <v>7069</v>
      </c>
      <c r="Y880" s="28" t="s">
        <v>7070</v>
      </c>
      <c r="Z880" s="28" t="s">
        <v>7071</v>
      </c>
      <c r="AA880" s="28" t="s">
        <v>7072</v>
      </c>
      <c r="AB880" s="28" t="s">
        <v>7073</v>
      </c>
      <c r="AC880" s="28" t="s">
        <v>7074</v>
      </c>
    </row>
    <row r="881" spans="1:29">
      <c r="A881">
        <v>20</v>
      </c>
      <c r="B881">
        <v>2140</v>
      </c>
      <c r="C881">
        <v>2140</v>
      </c>
      <c r="D881" t="s">
        <v>23</v>
      </c>
      <c r="E881" s="22">
        <v>44477</v>
      </c>
      <c r="F881" s="22">
        <v>44477</v>
      </c>
      <c r="G881" t="s">
        <v>965</v>
      </c>
      <c r="H881" t="s">
        <v>28</v>
      </c>
      <c r="I881" t="s">
        <v>23</v>
      </c>
      <c r="J881" t="s">
        <v>68</v>
      </c>
      <c r="K881" t="s">
        <v>107</v>
      </c>
      <c r="L881" t="s">
        <v>6958</v>
      </c>
      <c r="M881">
        <v>2132</v>
      </c>
      <c r="N881" t="s">
        <v>858</v>
      </c>
      <c r="O881" t="s">
        <v>866</v>
      </c>
      <c r="P881" t="s">
        <v>21</v>
      </c>
      <c r="Q881" t="s">
        <v>21</v>
      </c>
      <c r="R881" t="s">
        <v>931</v>
      </c>
      <c r="S881" t="s">
        <v>931</v>
      </c>
      <c r="T881" t="s">
        <v>954</v>
      </c>
      <c r="U881" t="s">
        <v>960</v>
      </c>
      <c r="V881" s="28" t="s">
        <v>7067</v>
      </c>
      <c r="W881" s="28" t="s">
        <v>7068</v>
      </c>
      <c r="X881" s="28" t="s">
        <v>7069</v>
      </c>
      <c r="Y881" s="28" t="s">
        <v>7070</v>
      </c>
      <c r="Z881" s="28" t="s">
        <v>7071</v>
      </c>
      <c r="AA881" s="28" t="s">
        <v>7072</v>
      </c>
      <c r="AB881" s="28" t="s">
        <v>7073</v>
      </c>
      <c r="AC881" s="28" t="s">
        <v>7074</v>
      </c>
    </row>
    <row r="882" spans="1:29">
      <c r="A882">
        <v>21</v>
      </c>
      <c r="B882">
        <v>2140</v>
      </c>
      <c r="C882">
        <v>2140</v>
      </c>
      <c r="D882" t="s">
        <v>23</v>
      </c>
      <c r="E882" s="22">
        <v>44477</v>
      </c>
      <c r="F882" s="22">
        <v>44477</v>
      </c>
      <c r="G882" t="s">
        <v>965</v>
      </c>
      <c r="H882" t="s">
        <v>28</v>
      </c>
      <c r="I882" t="s">
        <v>23</v>
      </c>
      <c r="J882" t="s">
        <v>68</v>
      </c>
      <c r="K882" t="s">
        <v>107</v>
      </c>
      <c r="L882" t="s">
        <v>6959</v>
      </c>
      <c r="M882">
        <v>2132</v>
      </c>
      <c r="N882" t="s">
        <v>858</v>
      </c>
      <c r="O882" t="s">
        <v>866</v>
      </c>
      <c r="P882" t="s">
        <v>21</v>
      </c>
      <c r="Q882" t="s">
        <v>21</v>
      </c>
      <c r="R882" t="s">
        <v>931</v>
      </c>
      <c r="S882" t="s">
        <v>931</v>
      </c>
      <c r="T882" t="s">
        <v>954</v>
      </c>
      <c r="U882" t="s">
        <v>960</v>
      </c>
      <c r="V882" s="28" t="s">
        <v>7067</v>
      </c>
      <c r="W882" s="28" t="s">
        <v>7068</v>
      </c>
      <c r="X882" s="28" t="s">
        <v>7069</v>
      </c>
      <c r="Y882" s="28" t="s">
        <v>7070</v>
      </c>
      <c r="Z882" s="28" t="s">
        <v>7071</v>
      </c>
      <c r="AA882" s="28" t="s">
        <v>7072</v>
      </c>
      <c r="AB882" s="28" t="s">
        <v>7073</v>
      </c>
      <c r="AC882" s="28" t="s">
        <v>7074</v>
      </c>
    </row>
    <row r="883" spans="1:29">
      <c r="A883">
        <v>22</v>
      </c>
      <c r="B883">
        <v>2140</v>
      </c>
      <c r="C883">
        <v>2140</v>
      </c>
      <c r="D883" t="s">
        <v>23</v>
      </c>
      <c r="E883" s="22">
        <v>44477</v>
      </c>
      <c r="F883" s="22">
        <v>44477</v>
      </c>
      <c r="G883" t="s">
        <v>965</v>
      </c>
      <c r="H883" t="s">
        <v>28</v>
      </c>
      <c r="I883" t="s">
        <v>23</v>
      </c>
      <c r="J883" t="s">
        <v>68</v>
      </c>
      <c r="K883" t="s">
        <v>107</v>
      </c>
      <c r="L883" t="s">
        <v>6960</v>
      </c>
      <c r="M883">
        <v>2132</v>
      </c>
      <c r="N883" t="s">
        <v>858</v>
      </c>
      <c r="O883" t="s">
        <v>866</v>
      </c>
      <c r="P883" t="s">
        <v>21</v>
      </c>
      <c r="Q883" t="s">
        <v>21</v>
      </c>
      <c r="R883" t="s">
        <v>931</v>
      </c>
      <c r="S883" t="s">
        <v>931</v>
      </c>
      <c r="T883" t="s">
        <v>954</v>
      </c>
      <c r="U883" t="s">
        <v>960</v>
      </c>
      <c r="V883" s="28" t="s">
        <v>7067</v>
      </c>
      <c r="W883" s="28" t="s">
        <v>7068</v>
      </c>
      <c r="X883" s="28" t="s">
        <v>7069</v>
      </c>
      <c r="Y883" s="28" t="s">
        <v>7070</v>
      </c>
      <c r="Z883" s="28" t="s">
        <v>7071</v>
      </c>
      <c r="AA883" s="28" t="s">
        <v>7072</v>
      </c>
      <c r="AB883" s="28" t="s">
        <v>7073</v>
      </c>
      <c r="AC883" s="28" t="s">
        <v>7074</v>
      </c>
    </row>
    <row r="884" spans="1:29">
      <c r="A884">
        <v>23</v>
      </c>
      <c r="B884">
        <v>2140</v>
      </c>
      <c r="C884">
        <v>2140</v>
      </c>
      <c r="D884" t="s">
        <v>23</v>
      </c>
      <c r="E884" s="22">
        <v>44477</v>
      </c>
      <c r="F884" s="22">
        <v>44477</v>
      </c>
      <c r="G884" t="s">
        <v>965</v>
      </c>
      <c r="H884" t="s">
        <v>28</v>
      </c>
      <c r="I884" t="s">
        <v>23</v>
      </c>
      <c r="J884" t="s">
        <v>68</v>
      </c>
      <c r="K884" t="s">
        <v>107</v>
      </c>
      <c r="L884" t="s">
        <v>6961</v>
      </c>
      <c r="M884">
        <v>2130</v>
      </c>
      <c r="N884" t="s">
        <v>858</v>
      </c>
      <c r="O884" t="s">
        <v>866</v>
      </c>
      <c r="P884" t="s">
        <v>21</v>
      </c>
      <c r="Q884" t="s">
        <v>21</v>
      </c>
      <c r="R884" t="s">
        <v>931</v>
      </c>
      <c r="S884" t="s">
        <v>931</v>
      </c>
      <c r="T884" t="s">
        <v>954</v>
      </c>
      <c r="U884" t="s">
        <v>960</v>
      </c>
      <c r="V884" s="28" t="s">
        <v>7067</v>
      </c>
      <c r="W884" s="28" t="s">
        <v>7068</v>
      </c>
      <c r="X884" s="28" t="s">
        <v>7069</v>
      </c>
      <c r="Y884" s="28" t="s">
        <v>7070</v>
      </c>
      <c r="Z884" s="28" t="s">
        <v>7071</v>
      </c>
      <c r="AA884" s="28" t="s">
        <v>7072</v>
      </c>
      <c r="AB884" s="28" t="s">
        <v>7073</v>
      </c>
      <c r="AC884" s="28" t="s">
        <v>7074</v>
      </c>
    </row>
    <row r="885" spans="1:29">
      <c r="A885">
        <v>24</v>
      </c>
      <c r="B885">
        <v>2140</v>
      </c>
      <c r="C885">
        <v>2140</v>
      </c>
      <c r="D885" t="s">
        <v>23</v>
      </c>
      <c r="E885" s="22">
        <v>44477</v>
      </c>
      <c r="F885" s="22">
        <v>44477</v>
      </c>
      <c r="G885" t="s">
        <v>965</v>
      </c>
      <c r="H885" t="s">
        <v>28</v>
      </c>
      <c r="I885" t="s">
        <v>23</v>
      </c>
      <c r="J885" t="s">
        <v>68</v>
      </c>
      <c r="K885" t="s">
        <v>107</v>
      </c>
      <c r="L885" t="s">
        <v>6962</v>
      </c>
      <c r="M885">
        <v>2132</v>
      </c>
      <c r="N885" t="s">
        <v>858</v>
      </c>
      <c r="O885" t="s">
        <v>866</v>
      </c>
      <c r="P885" t="s">
        <v>21</v>
      </c>
      <c r="Q885" t="s">
        <v>21</v>
      </c>
      <c r="R885" t="s">
        <v>931</v>
      </c>
      <c r="S885" t="s">
        <v>931</v>
      </c>
      <c r="T885" t="s">
        <v>954</v>
      </c>
      <c r="U885" t="s">
        <v>960</v>
      </c>
      <c r="V885" s="28" t="s">
        <v>7067</v>
      </c>
      <c r="W885" s="28" t="s">
        <v>7068</v>
      </c>
      <c r="X885" s="28" t="s">
        <v>7069</v>
      </c>
      <c r="Y885" s="28" t="s">
        <v>7070</v>
      </c>
      <c r="Z885" s="28" t="s">
        <v>7071</v>
      </c>
      <c r="AA885" s="28" t="s">
        <v>7072</v>
      </c>
      <c r="AB885" s="28" t="s">
        <v>7073</v>
      </c>
      <c r="AC885" s="28" t="s">
        <v>7074</v>
      </c>
    </row>
    <row r="886" spans="1:29">
      <c r="A886">
        <v>25</v>
      </c>
      <c r="B886">
        <v>2140</v>
      </c>
      <c r="C886">
        <v>2140</v>
      </c>
      <c r="D886" t="s">
        <v>23</v>
      </c>
      <c r="E886" s="22">
        <v>44477</v>
      </c>
      <c r="F886" s="22">
        <v>44477</v>
      </c>
      <c r="G886" t="s">
        <v>965</v>
      </c>
      <c r="H886" t="s">
        <v>28</v>
      </c>
      <c r="I886" t="s">
        <v>23</v>
      </c>
      <c r="J886" t="s">
        <v>68</v>
      </c>
      <c r="K886" t="s">
        <v>107</v>
      </c>
      <c r="L886" t="s">
        <v>6963</v>
      </c>
      <c r="M886">
        <v>2130</v>
      </c>
      <c r="N886" t="s">
        <v>858</v>
      </c>
      <c r="O886" t="s">
        <v>866</v>
      </c>
      <c r="P886" t="s">
        <v>21</v>
      </c>
      <c r="Q886" t="s">
        <v>21</v>
      </c>
      <c r="R886" t="s">
        <v>931</v>
      </c>
      <c r="S886" t="s">
        <v>931</v>
      </c>
      <c r="T886" t="s">
        <v>954</v>
      </c>
      <c r="U886" t="s">
        <v>960</v>
      </c>
      <c r="V886" s="28" t="s">
        <v>7067</v>
      </c>
      <c r="W886" s="28" t="s">
        <v>7068</v>
      </c>
      <c r="X886" s="28" t="s">
        <v>7069</v>
      </c>
      <c r="Y886" s="28" t="s">
        <v>7070</v>
      </c>
      <c r="Z886" s="28" t="s">
        <v>7071</v>
      </c>
      <c r="AA886" s="28" t="s">
        <v>7072</v>
      </c>
      <c r="AB886" s="28" t="s">
        <v>7073</v>
      </c>
      <c r="AC886" s="28" t="s">
        <v>7074</v>
      </c>
    </row>
    <row r="887" spans="1:29">
      <c r="A887">
        <v>26</v>
      </c>
      <c r="B887">
        <v>2140</v>
      </c>
      <c r="C887">
        <v>2140</v>
      </c>
      <c r="D887" t="s">
        <v>23</v>
      </c>
      <c r="E887" s="22">
        <v>44477</v>
      </c>
      <c r="F887" s="22">
        <v>44477</v>
      </c>
      <c r="G887" t="s">
        <v>965</v>
      </c>
      <c r="H887" t="s">
        <v>28</v>
      </c>
      <c r="I887" t="s">
        <v>23</v>
      </c>
      <c r="J887" t="s">
        <v>68</v>
      </c>
      <c r="K887" t="s">
        <v>107</v>
      </c>
      <c r="L887" t="s">
        <v>6964</v>
      </c>
      <c r="M887">
        <v>2132</v>
      </c>
      <c r="N887" t="s">
        <v>858</v>
      </c>
      <c r="O887" t="s">
        <v>866</v>
      </c>
      <c r="P887" t="s">
        <v>21</v>
      </c>
      <c r="Q887" t="s">
        <v>21</v>
      </c>
      <c r="R887" t="s">
        <v>931</v>
      </c>
      <c r="S887" t="s">
        <v>931</v>
      </c>
      <c r="T887" t="s">
        <v>954</v>
      </c>
      <c r="U887" t="s">
        <v>960</v>
      </c>
      <c r="V887" s="28" t="s">
        <v>7067</v>
      </c>
      <c r="W887" s="28" t="s">
        <v>7068</v>
      </c>
      <c r="X887" s="28" t="s">
        <v>7069</v>
      </c>
      <c r="Y887" s="28" t="s">
        <v>7070</v>
      </c>
      <c r="Z887" s="28" t="s">
        <v>7071</v>
      </c>
      <c r="AA887" s="28" t="s">
        <v>7072</v>
      </c>
      <c r="AB887" s="28" t="s">
        <v>7073</v>
      </c>
      <c r="AC887" s="28" t="s">
        <v>7074</v>
      </c>
    </row>
    <row r="888" spans="1:29">
      <c r="A888">
        <v>27</v>
      </c>
      <c r="B888">
        <v>2140</v>
      </c>
      <c r="C888">
        <v>2140</v>
      </c>
      <c r="D888" t="s">
        <v>23</v>
      </c>
      <c r="E888" s="22">
        <v>44477</v>
      </c>
      <c r="F888" s="22">
        <v>44477</v>
      </c>
      <c r="G888" t="s">
        <v>965</v>
      </c>
      <c r="H888" t="s">
        <v>28</v>
      </c>
      <c r="I888" t="s">
        <v>23</v>
      </c>
      <c r="J888" t="s">
        <v>68</v>
      </c>
      <c r="K888" t="s">
        <v>107</v>
      </c>
      <c r="L888" t="s">
        <v>6965</v>
      </c>
      <c r="M888">
        <v>2132</v>
      </c>
      <c r="N888" t="s">
        <v>858</v>
      </c>
      <c r="O888" t="s">
        <v>866</v>
      </c>
      <c r="P888" t="s">
        <v>21</v>
      </c>
      <c r="Q888" t="s">
        <v>21</v>
      </c>
      <c r="R888" t="s">
        <v>931</v>
      </c>
      <c r="S888" t="s">
        <v>931</v>
      </c>
      <c r="T888" t="s">
        <v>954</v>
      </c>
      <c r="U888" t="s">
        <v>960</v>
      </c>
      <c r="V888" s="28" t="s">
        <v>7067</v>
      </c>
      <c r="W888" s="28" t="s">
        <v>7068</v>
      </c>
      <c r="X888" s="28" t="s">
        <v>7069</v>
      </c>
      <c r="Y888" s="28" t="s">
        <v>7070</v>
      </c>
      <c r="Z888" s="28" t="s">
        <v>7071</v>
      </c>
      <c r="AA888" s="28" t="s">
        <v>7072</v>
      </c>
      <c r="AB888" s="28" t="s">
        <v>7073</v>
      </c>
      <c r="AC888" s="28" t="s">
        <v>7074</v>
      </c>
    </row>
    <row r="889" spans="1:29">
      <c r="A889">
        <v>28</v>
      </c>
      <c r="B889">
        <v>2140</v>
      </c>
      <c r="C889">
        <v>2140</v>
      </c>
      <c r="D889" t="s">
        <v>23</v>
      </c>
      <c r="E889" s="22">
        <v>44477</v>
      </c>
      <c r="F889" s="22">
        <v>44477</v>
      </c>
      <c r="G889" t="s">
        <v>965</v>
      </c>
      <c r="H889" t="s">
        <v>28</v>
      </c>
      <c r="I889" t="s">
        <v>23</v>
      </c>
      <c r="J889" t="s">
        <v>68</v>
      </c>
      <c r="K889" t="s">
        <v>107</v>
      </c>
      <c r="L889" t="s">
        <v>6966</v>
      </c>
      <c r="M889">
        <v>2132</v>
      </c>
      <c r="N889" t="s">
        <v>858</v>
      </c>
      <c r="O889" t="s">
        <v>866</v>
      </c>
      <c r="P889" t="s">
        <v>21</v>
      </c>
      <c r="Q889" t="s">
        <v>21</v>
      </c>
      <c r="R889" t="s">
        <v>931</v>
      </c>
      <c r="S889" t="s">
        <v>931</v>
      </c>
      <c r="T889" t="s">
        <v>954</v>
      </c>
      <c r="U889" t="s">
        <v>960</v>
      </c>
      <c r="V889" s="28" t="s">
        <v>7067</v>
      </c>
      <c r="W889" s="28" t="s">
        <v>7068</v>
      </c>
      <c r="X889" s="28" t="s">
        <v>7069</v>
      </c>
      <c r="Y889" s="28" t="s">
        <v>7070</v>
      </c>
      <c r="Z889" s="28" t="s">
        <v>7071</v>
      </c>
      <c r="AA889" s="28" t="s">
        <v>7072</v>
      </c>
      <c r="AB889" s="28" t="s">
        <v>7073</v>
      </c>
      <c r="AC889" s="28" t="s">
        <v>7074</v>
      </c>
    </row>
    <row r="890" spans="1:29">
      <c r="A890">
        <v>29</v>
      </c>
      <c r="B890">
        <v>2140</v>
      </c>
      <c r="C890">
        <v>2140</v>
      </c>
      <c r="D890" t="s">
        <v>23</v>
      </c>
      <c r="E890" s="22">
        <v>44477</v>
      </c>
      <c r="F890" s="22">
        <v>44477</v>
      </c>
      <c r="G890" t="s">
        <v>965</v>
      </c>
      <c r="H890" t="s">
        <v>28</v>
      </c>
      <c r="I890" t="s">
        <v>23</v>
      </c>
      <c r="J890" t="s">
        <v>68</v>
      </c>
      <c r="K890" t="s">
        <v>107</v>
      </c>
      <c r="L890" t="s">
        <v>6967</v>
      </c>
      <c r="M890">
        <v>2132</v>
      </c>
      <c r="N890" t="s">
        <v>858</v>
      </c>
      <c r="O890" t="s">
        <v>866</v>
      </c>
      <c r="P890" t="s">
        <v>21</v>
      </c>
      <c r="Q890" t="s">
        <v>21</v>
      </c>
      <c r="R890" t="s">
        <v>931</v>
      </c>
      <c r="S890" t="s">
        <v>931</v>
      </c>
      <c r="T890" t="s">
        <v>954</v>
      </c>
      <c r="U890" t="s">
        <v>960</v>
      </c>
      <c r="V890" s="28" t="s">
        <v>7067</v>
      </c>
      <c r="W890" s="28" t="s">
        <v>7068</v>
      </c>
      <c r="X890" s="28" t="s">
        <v>7069</v>
      </c>
      <c r="Y890" s="28" t="s">
        <v>7070</v>
      </c>
      <c r="Z890" s="28" t="s">
        <v>7071</v>
      </c>
      <c r="AA890" s="28" t="s">
        <v>7072</v>
      </c>
      <c r="AB890" s="28" t="s">
        <v>7073</v>
      </c>
      <c r="AC890" s="28" t="s">
        <v>7074</v>
      </c>
    </row>
    <row r="891" spans="1:29">
      <c r="A891">
        <v>30</v>
      </c>
      <c r="B891">
        <v>2140</v>
      </c>
      <c r="C891">
        <v>2140</v>
      </c>
      <c r="D891" t="s">
        <v>23</v>
      </c>
      <c r="E891" s="22">
        <v>44477</v>
      </c>
      <c r="F891" s="22">
        <v>44477</v>
      </c>
      <c r="G891" t="s">
        <v>965</v>
      </c>
      <c r="H891" t="s">
        <v>28</v>
      </c>
      <c r="I891" t="s">
        <v>23</v>
      </c>
      <c r="J891" t="s">
        <v>68</v>
      </c>
      <c r="K891" t="s">
        <v>107</v>
      </c>
      <c r="L891" t="s">
        <v>6968</v>
      </c>
      <c r="M891">
        <v>2132</v>
      </c>
      <c r="N891" t="s">
        <v>858</v>
      </c>
      <c r="O891" t="s">
        <v>866</v>
      </c>
      <c r="P891" t="s">
        <v>21</v>
      </c>
      <c r="Q891" t="s">
        <v>21</v>
      </c>
      <c r="R891" t="s">
        <v>931</v>
      </c>
      <c r="S891" t="s">
        <v>931</v>
      </c>
      <c r="T891" t="s">
        <v>954</v>
      </c>
      <c r="U891" t="s">
        <v>960</v>
      </c>
      <c r="V891" s="28" t="s">
        <v>7067</v>
      </c>
      <c r="W891" s="28" t="s">
        <v>7068</v>
      </c>
      <c r="X891" s="28" t="s">
        <v>7069</v>
      </c>
      <c r="Y891" s="28" t="s">
        <v>7070</v>
      </c>
      <c r="Z891" s="28" t="s">
        <v>7071</v>
      </c>
      <c r="AA891" s="28" t="s">
        <v>7072</v>
      </c>
      <c r="AB891" s="28" t="s">
        <v>7073</v>
      </c>
      <c r="AC891" s="28" t="s">
        <v>7074</v>
      </c>
    </row>
    <row r="892" spans="1:29">
      <c r="A892">
        <v>31</v>
      </c>
      <c r="B892">
        <v>2140</v>
      </c>
      <c r="C892">
        <v>2140</v>
      </c>
      <c r="D892" t="s">
        <v>23</v>
      </c>
      <c r="E892" s="22">
        <v>44477</v>
      </c>
      <c r="F892" s="22">
        <v>44477</v>
      </c>
      <c r="G892" t="s">
        <v>965</v>
      </c>
      <c r="H892" t="s">
        <v>28</v>
      </c>
      <c r="I892" t="s">
        <v>23</v>
      </c>
      <c r="J892" t="s">
        <v>68</v>
      </c>
      <c r="K892" t="s">
        <v>107</v>
      </c>
      <c r="L892" t="s">
        <v>6969</v>
      </c>
      <c r="M892">
        <v>2132</v>
      </c>
      <c r="N892" t="s">
        <v>858</v>
      </c>
      <c r="O892" t="s">
        <v>866</v>
      </c>
      <c r="P892" t="s">
        <v>21</v>
      </c>
      <c r="Q892" t="s">
        <v>21</v>
      </c>
      <c r="R892" t="s">
        <v>931</v>
      </c>
      <c r="S892" t="s">
        <v>931</v>
      </c>
      <c r="T892" t="s">
        <v>954</v>
      </c>
      <c r="U892" t="s">
        <v>960</v>
      </c>
      <c r="V892" s="28" t="s">
        <v>7067</v>
      </c>
      <c r="W892" s="28" t="s">
        <v>7068</v>
      </c>
      <c r="X892" s="28" t="s">
        <v>7069</v>
      </c>
      <c r="Y892" s="28" t="s">
        <v>7070</v>
      </c>
      <c r="Z892" s="28" t="s">
        <v>7071</v>
      </c>
      <c r="AA892" s="28" t="s">
        <v>7072</v>
      </c>
      <c r="AB892" s="28" t="s">
        <v>7073</v>
      </c>
      <c r="AC892" s="28" t="s">
        <v>7074</v>
      </c>
    </row>
    <row r="893" spans="1:29">
      <c r="A893">
        <v>32</v>
      </c>
      <c r="B893">
        <v>2140</v>
      </c>
      <c r="C893">
        <v>2140</v>
      </c>
      <c r="D893" t="s">
        <v>23</v>
      </c>
      <c r="E893" s="22">
        <v>44477</v>
      </c>
      <c r="F893" s="22">
        <v>44477</v>
      </c>
      <c r="G893" t="s">
        <v>965</v>
      </c>
      <c r="H893" t="s">
        <v>28</v>
      </c>
      <c r="I893" t="s">
        <v>23</v>
      </c>
      <c r="J893" t="s">
        <v>68</v>
      </c>
      <c r="K893" t="s">
        <v>107</v>
      </c>
      <c r="L893" t="s">
        <v>6970</v>
      </c>
      <c r="M893">
        <v>2132</v>
      </c>
      <c r="N893" t="s">
        <v>858</v>
      </c>
      <c r="O893" t="s">
        <v>866</v>
      </c>
      <c r="P893" t="s">
        <v>21</v>
      </c>
      <c r="Q893" t="s">
        <v>21</v>
      </c>
      <c r="R893" t="s">
        <v>931</v>
      </c>
      <c r="S893" t="s">
        <v>931</v>
      </c>
      <c r="T893" t="s">
        <v>954</v>
      </c>
      <c r="U893" t="s">
        <v>960</v>
      </c>
      <c r="V893" s="28" t="s">
        <v>7067</v>
      </c>
      <c r="W893" s="28" t="s">
        <v>7068</v>
      </c>
      <c r="X893" s="28" t="s">
        <v>7069</v>
      </c>
      <c r="Y893" s="28" t="s">
        <v>7070</v>
      </c>
      <c r="Z893" s="28" t="s">
        <v>7071</v>
      </c>
      <c r="AA893" s="28" t="s">
        <v>7072</v>
      </c>
      <c r="AB893" s="28" t="s">
        <v>7073</v>
      </c>
      <c r="AC893" s="28" t="s">
        <v>7074</v>
      </c>
    </row>
    <row r="894" spans="1:29">
      <c r="A894">
        <v>33</v>
      </c>
      <c r="B894">
        <v>2140</v>
      </c>
      <c r="C894">
        <v>2140</v>
      </c>
      <c r="D894" t="s">
        <v>23</v>
      </c>
      <c r="E894" s="22">
        <v>44477</v>
      </c>
      <c r="F894" s="22">
        <v>44477</v>
      </c>
      <c r="G894" t="s">
        <v>965</v>
      </c>
      <c r="H894" t="s">
        <v>28</v>
      </c>
      <c r="I894" t="s">
        <v>23</v>
      </c>
      <c r="J894" t="s">
        <v>68</v>
      </c>
      <c r="K894" t="s">
        <v>107</v>
      </c>
      <c r="L894" t="s">
        <v>6971</v>
      </c>
      <c r="M894">
        <v>2132</v>
      </c>
      <c r="N894" t="s">
        <v>858</v>
      </c>
      <c r="O894" t="s">
        <v>866</v>
      </c>
      <c r="P894" t="s">
        <v>21</v>
      </c>
      <c r="Q894" t="s">
        <v>21</v>
      </c>
      <c r="R894" t="s">
        <v>931</v>
      </c>
      <c r="S894" t="s">
        <v>931</v>
      </c>
      <c r="T894" t="s">
        <v>954</v>
      </c>
      <c r="U894" t="s">
        <v>960</v>
      </c>
      <c r="V894" s="28" t="s">
        <v>7067</v>
      </c>
      <c r="W894" s="28" t="s">
        <v>7068</v>
      </c>
      <c r="X894" s="28" t="s">
        <v>7069</v>
      </c>
      <c r="Y894" s="28" t="s">
        <v>7070</v>
      </c>
      <c r="Z894" s="28" t="s">
        <v>7071</v>
      </c>
      <c r="AA894" s="28" t="s">
        <v>7072</v>
      </c>
      <c r="AB894" s="28" t="s">
        <v>7073</v>
      </c>
      <c r="AC894" s="28" t="s">
        <v>7074</v>
      </c>
    </row>
    <row r="895" spans="1:29">
      <c r="A895">
        <v>34</v>
      </c>
      <c r="B895">
        <v>2140</v>
      </c>
      <c r="C895">
        <v>2140</v>
      </c>
      <c r="D895" t="s">
        <v>23</v>
      </c>
      <c r="E895" s="22">
        <v>44477</v>
      </c>
      <c r="F895" s="22">
        <v>44477</v>
      </c>
      <c r="G895" t="s">
        <v>965</v>
      </c>
      <c r="H895" t="s">
        <v>28</v>
      </c>
      <c r="I895" t="s">
        <v>23</v>
      </c>
      <c r="J895" t="s">
        <v>68</v>
      </c>
      <c r="K895" t="s">
        <v>107</v>
      </c>
      <c r="L895" t="s">
        <v>6972</v>
      </c>
      <c r="M895">
        <v>2132</v>
      </c>
      <c r="N895" t="s">
        <v>858</v>
      </c>
      <c r="O895" t="s">
        <v>866</v>
      </c>
      <c r="P895" t="s">
        <v>21</v>
      </c>
      <c r="Q895" t="s">
        <v>21</v>
      </c>
      <c r="R895" t="s">
        <v>931</v>
      </c>
      <c r="S895" t="s">
        <v>931</v>
      </c>
      <c r="T895" t="s">
        <v>954</v>
      </c>
      <c r="U895" t="s">
        <v>960</v>
      </c>
      <c r="V895" s="28" t="s">
        <v>7067</v>
      </c>
      <c r="W895" s="28" t="s">
        <v>7068</v>
      </c>
      <c r="X895" s="28" t="s">
        <v>7069</v>
      </c>
      <c r="Y895" s="28" t="s">
        <v>7070</v>
      </c>
      <c r="Z895" s="28" t="s">
        <v>7071</v>
      </c>
      <c r="AA895" s="28" t="s">
        <v>7072</v>
      </c>
      <c r="AB895" s="28" t="s">
        <v>7073</v>
      </c>
      <c r="AC895" s="28" t="s">
        <v>7074</v>
      </c>
    </row>
    <row r="896" spans="1:29">
      <c r="A896">
        <v>35</v>
      </c>
      <c r="B896">
        <v>2140</v>
      </c>
      <c r="C896">
        <v>2140</v>
      </c>
      <c r="D896" t="s">
        <v>23</v>
      </c>
      <c r="E896" s="22">
        <v>44477</v>
      </c>
      <c r="F896" s="22">
        <v>44477</v>
      </c>
      <c r="G896" t="s">
        <v>965</v>
      </c>
      <c r="H896" t="s">
        <v>28</v>
      </c>
      <c r="I896" t="s">
        <v>23</v>
      </c>
      <c r="J896" t="s">
        <v>68</v>
      </c>
      <c r="K896" t="s">
        <v>107</v>
      </c>
      <c r="L896" t="s">
        <v>6973</v>
      </c>
      <c r="M896">
        <v>2132</v>
      </c>
      <c r="N896" t="s">
        <v>858</v>
      </c>
      <c r="O896" t="s">
        <v>866</v>
      </c>
      <c r="P896" t="s">
        <v>21</v>
      </c>
      <c r="Q896" t="s">
        <v>21</v>
      </c>
      <c r="R896" t="s">
        <v>931</v>
      </c>
      <c r="S896" t="s">
        <v>931</v>
      </c>
      <c r="T896" t="s">
        <v>954</v>
      </c>
      <c r="U896" t="s">
        <v>960</v>
      </c>
      <c r="V896" s="28" t="s">
        <v>7067</v>
      </c>
      <c r="W896" s="28" t="s">
        <v>7068</v>
      </c>
      <c r="X896" s="28" t="s">
        <v>7069</v>
      </c>
      <c r="Y896" s="28" t="s">
        <v>7070</v>
      </c>
      <c r="Z896" s="28" t="s">
        <v>7071</v>
      </c>
      <c r="AA896" s="28" t="s">
        <v>7072</v>
      </c>
      <c r="AB896" s="28" t="s">
        <v>7073</v>
      </c>
      <c r="AC896" s="28" t="s">
        <v>7074</v>
      </c>
    </row>
    <row r="897" spans="1:29">
      <c r="A897">
        <v>36</v>
      </c>
      <c r="B897">
        <v>2140</v>
      </c>
      <c r="C897">
        <v>2140</v>
      </c>
      <c r="D897" t="s">
        <v>23</v>
      </c>
      <c r="E897" s="22">
        <v>44477</v>
      </c>
      <c r="F897" s="22">
        <v>44477</v>
      </c>
      <c r="G897" t="s">
        <v>965</v>
      </c>
      <c r="H897" t="s">
        <v>28</v>
      </c>
      <c r="I897" t="s">
        <v>23</v>
      </c>
      <c r="J897" t="s">
        <v>68</v>
      </c>
      <c r="K897" t="s">
        <v>107</v>
      </c>
      <c r="L897" t="s">
        <v>6974</v>
      </c>
      <c r="M897">
        <v>2129</v>
      </c>
      <c r="N897" t="s">
        <v>858</v>
      </c>
      <c r="O897" t="s">
        <v>866</v>
      </c>
      <c r="P897" t="s">
        <v>21</v>
      </c>
      <c r="Q897" t="s">
        <v>21</v>
      </c>
      <c r="R897" t="s">
        <v>931</v>
      </c>
      <c r="S897" t="s">
        <v>931</v>
      </c>
      <c r="T897" t="s">
        <v>954</v>
      </c>
      <c r="U897" t="s">
        <v>960</v>
      </c>
      <c r="V897" s="28" t="s">
        <v>7067</v>
      </c>
      <c r="W897" s="28" t="s">
        <v>7068</v>
      </c>
      <c r="X897" s="28" t="s">
        <v>7069</v>
      </c>
      <c r="Y897" s="28" t="s">
        <v>7070</v>
      </c>
      <c r="Z897" s="28" t="s">
        <v>7071</v>
      </c>
      <c r="AA897" s="28" t="s">
        <v>7072</v>
      </c>
      <c r="AB897" s="28" t="s">
        <v>7073</v>
      </c>
      <c r="AC897" s="28" t="s">
        <v>7074</v>
      </c>
    </row>
    <row r="898" spans="1:29">
      <c r="A898">
        <v>37</v>
      </c>
      <c r="B898">
        <v>2140</v>
      </c>
      <c r="C898">
        <v>2140</v>
      </c>
      <c r="D898" t="s">
        <v>23</v>
      </c>
      <c r="E898" s="22">
        <v>44477</v>
      </c>
      <c r="F898" s="22">
        <v>44477</v>
      </c>
      <c r="G898" t="s">
        <v>965</v>
      </c>
      <c r="H898" t="s">
        <v>28</v>
      </c>
      <c r="I898" t="s">
        <v>23</v>
      </c>
      <c r="J898" t="s">
        <v>68</v>
      </c>
      <c r="K898" t="s">
        <v>107</v>
      </c>
      <c r="L898" t="s">
        <v>6975</v>
      </c>
      <c r="M898">
        <v>2129</v>
      </c>
      <c r="N898" t="s">
        <v>858</v>
      </c>
      <c r="O898" t="s">
        <v>866</v>
      </c>
      <c r="P898" t="s">
        <v>21</v>
      </c>
      <c r="Q898" t="s">
        <v>21</v>
      </c>
      <c r="R898" t="s">
        <v>931</v>
      </c>
      <c r="S898" t="s">
        <v>931</v>
      </c>
      <c r="T898" t="s">
        <v>954</v>
      </c>
      <c r="U898" t="s">
        <v>960</v>
      </c>
      <c r="V898" s="28" t="s">
        <v>7067</v>
      </c>
      <c r="W898" s="28" t="s">
        <v>7068</v>
      </c>
      <c r="X898" s="28" t="s">
        <v>7069</v>
      </c>
      <c r="Y898" s="28" t="s">
        <v>7070</v>
      </c>
      <c r="Z898" s="28" t="s">
        <v>7071</v>
      </c>
      <c r="AA898" s="28" t="s">
        <v>7072</v>
      </c>
      <c r="AB898" s="28" t="s">
        <v>7073</v>
      </c>
      <c r="AC898" s="28" t="s">
        <v>7074</v>
      </c>
    </row>
    <row r="899" spans="1:29">
      <c r="A899">
        <v>38</v>
      </c>
      <c r="B899">
        <v>2140</v>
      </c>
      <c r="C899">
        <v>2140</v>
      </c>
      <c r="D899" t="s">
        <v>23</v>
      </c>
      <c r="E899" s="22">
        <v>44477</v>
      </c>
      <c r="F899" s="22">
        <v>44477</v>
      </c>
      <c r="G899" t="s">
        <v>965</v>
      </c>
      <c r="H899" t="s">
        <v>28</v>
      </c>
      <c r="I899" t="s">
        <v>23</v>
      </c>
      <c r="J899" t="s">
        <v>68</v>
      </c>
      <c r="K899" t="s">
        <v>107</v>
      </c>
      <c r="L899" t="s">
        <v>6976</v>
      </c>
      <c r="M899">
        <v>2128</v>
      </c>
      <c r="N899" t="s">
        <v>858</v>
      </c>
      <c r="O899" t="s">
        <v>866</v>
      </c>
      <c r="P899" t="s">
        <v>21</v>
      </c>
      <c r="Q899" t="s">
        <v>21</v>
      </c>
      <c r="R899" t="s">
        <v>931</v>
      </c>
      <c r="S899" t="s">
        <v>931</v>
      </c>
      <c r="T899" t="s">
        <v>954</v>
      </c>
      <c r="U899" t="s">
        <v>960</v>
      </c>
      <c r="V899" s="28" t="s">
        <v>7067</v>
      </c>
      <c r="W899" s="28" t="s">
        <v>7068</v>
      </c>
      <c r="X899" s="28" t="s">
        <v>7069</v>
      </c>
      <c r="Y899" s="28" t="s">
        <v>7070</v>
      </c>
      <c r="Z899" s="28" t="s">
        <v>7071</v>
      </c>
      <c r="AA899" s="28" t="s">
        <v>7072</v>
      </c>
      <c r="AB899" s="28" t="s">
        <v>7073</v>
      </c>
      <c r="AC899" s="28" t="s">
        <v>7074</v>
      </c>
    </row>
    <row r="900" spans="1:29">
      <c r="A900">
        <v>39</v>
      </c>
      <c r="B900">
        <v>2140</v>
      </c>
      <c r="C900">
        <v>2140</v>
      </c>
      <c r="D900" t="s">
        <v>23</v>
      </c>
      <c r="E900" s="22">
        <v>44477</v>
      </c>
      <c r="F900" s="22">
        <v>44477</v>
      </c>
      <c r="G900" t="s">
        <v>965</v>
      </c>
      <c r="H900" t="s">
        <v>28</v>
      </c>
      <c r="I900" t="s">
        <v>23</v>
      </c>
      <c r="J900" t="s">
        <v>68</v>
      </c>
      <c r="K900" t="s">
        <v>107</v>
      </c>
      <c r="L900" t="s">
        <v>6977</v>
      </c>
      <c r="M900">
        <v>2129</v>
      </c>
      <c r="N900" t="s">
        <v>858</v>
      </c>
      <c r="O900" t="s">
        <v>866</v>
      </c>
      <c r="P900" t="s">
        <v>21</v>
      </c>
      <c r="Q900" t="s">
        <v>21</v>
      </c>
      <c r="R900" t="s">
        <v>931</v>
      </c>
      <c r="S900" t="s">
        <v>931</v>
      </c>
      <c r="T900" t="s">
        <v>954</v>
      </c>
      <c r="U900" t="s">
        <v>960</v>
      </c>
      <c r="V900" s="28" t="s">
        <v>7067</v>
      </c>
      <c r="W900" s="28" t="s">
        <v>7068</v>
      </c>
      <c r="X900" s="28" t="s">
        <v>7069</v>
      </c>
      <c r="Y900" s="28" t="s">
        <v>7070</v>
      </c>
      <c r="Z900" s="28" t="s">
        <v>7071</v>
      </c>
      <c r="AA900" s="28" t="s">
        <v>7072</v>
      </c>
      <c r="AB900" s="28" t="s">
        <v>7073</v>
      </c>
      <c r="AC900" s="28" t="s">
        <v>7074</v>
      </c>
    </row>
    <row r="901" spans="1:29">
      <c r="A901">
        <v>40</v>
      </c>
      <c r="B901">
        <v>2140</v>
      </c>
      <c r="C901">
        <v>2140</v>
      </c>
      <c r="D901" t="s">
        <v>23</v>
      </c>
      <c r="E901" s="22">
        <v>44477</v>
      </c>
      <c r="F901" s="22">
        <v>44477</v>
      </c>
      <c r="G901" t="s">
        <v>965</v>
      </c>
      <c r="H901" t="s">
        <v>28</v>
      </c>
      <c r="I901" t="s">
        <v>23</v>
      </c>
      <c r="J901" t="s">
        <v>68</v>
      </c>
      <c r="K901" t="s">
        <v>107</v>
      </c>
      <c r="L901" t="s">
        <v>6978</v>
      </c>
      <c r="M901">
        <v>2129</v>
      </c>
      <c r="N901" t="s">
        <v>858</v>
      </c>
      <c r="O901" t="s">
        <v>866</v>
      </c>
      <c r="P901" t="s">
        <v>21</v>
      </c>
      <c r="Q901" t="s">
        <v>21</v>
      </c>
      <c r="R901" t="s">
        <v>931</v>
      </c>
      <c r="S901" t="s">
        <v>931</v>
      </c>
      <c r="T901" t="s">
        <v>954</v>
      </c>
      <c r="U901" t="s">
        <v>960</v>
      </c>
      <c r="V901" s="28" t="s">
        <v>7067</v>
      </c>
      <c r="W901" s="28" t="s">
        <v>7068</v>
      </c>
      <c r="X901" s="28" t="s">
        <v>7069</v>
      </c>
      <c r="Y901" s="28" t="s">
        <v>7070</v>
      </c>
      <c r="Z901" s="28" t="s">
        <v>7071</v>
      </c>
      <c r="AA901" s="28" t="s">
        <v>7072</v>
      </c>
      <c r="AB901" s="28" t="s">
        <v>7073</v>
      </c>
      <c r="AC901" s="28" t="s">
        <v>7074</v>
      </c>
    </row>
    <row r="902" spans="1:29">
      <c r="A902">
        <v>21</v>
      </c>
      <c r="B902">
        <v>2141</v>
      </c>
      <c r="C902">
        <v>2141</v>
      </c>
      <c r="D902" t="s">
        <v>21</v>
      </c>
      <c r="E902" s="22">
        <v>44480</v>
      </c>
      <c r="F902" s="22">
        <v>44480</v>
      </c>
      <c r="G902" t="s">
        <v>965</v>
      </c>
      <c r="H902" t="s">
        <v>28</v>
      </c>
      <c r="I902" t="s">
        <v>21</v>
      </c>
      <c r="J902" t="s">
        <v>53</v>
      </c>
      <c r="K902" t="s">
        <v>72</v>
      </c>
      <c r="L902" t="s">
        <v>7075</v>
      </c>
      <c r="M902">
        <v>2134</v>
      </c>
      <c r="N902" t="s">
        <v>862</v>
      </c>
      <c r="O902" t="s">
        <v>866</v>
      </c>
      <c r="P902" t="s">
        <v>21</v>
      </c>
      <c r="Q902" t="s">
        <v>21</v>
      </c>
      <c r="R902" t="s">
        <v>924</v>
      </c>
      <c r="S902" t="s">
        <v>931</v>
      </c>
      <c r="T902" t="s">
        <v>954</v>
      </c>
      <c r="U902" t="s">
        <v>960</v>
      </c>
      <c r="V902" s="28" t="s">
        <v>7076</v>
      </c>
      <c r="W902" s="28" t="s">
        <v>7068</v>
      </c>
      <c r="X902" s="28" t="s">
        <v>7077</v>
      </c>
      <c r="Y902" s="28" t="s">
        <v>7070</v>
      </c>
      <c r="Z902" s="28" t="s">
        <v>7078</v>
      </c>
      <c r="AA902" s="28" t="s">
        <v>7079</v>
      </c>
      <c r="AB902" s="28" t="s">
        <v>7080</v>
      </c>
      <c r="AC902" s="28" t="s">
        <v>7081</v>
      </c>
    </row>
    <row r="903" spans="1:29">
      <c r="A903">
        <v>22</v>
      </c>
      <c r="B903">
        <v>2141</v>
      </c>
      <c r="C903">
        <v>2141</v>
      </c>
      <c r="D903" t="s">
        <v>21</v>
      </c>
      <c r="E903" s="22">
        <v>44480</v>
      </c>
      <c r="F903" s="22">
        <v>44480</v>
      </c>
      <c r="G903" t="s">
        <v>965</v>
      </c>
      <c r="H903" t="s">
        <v>28</v>
      </c>
      <c r="I903" t="s">
        <v>21</v>
      </c>
      <c r="J903" t="s">
        <v>53</v>
      </c>
      <c r="K903" t="s">
        <v>72</v>
      </c>
      <c r="L903" t="s">
        <v>7082</v>
      </c>
      <c r="M903">
        <v>2134</v>
      </c>
      <c r="N903" t="s">
        <v>862</v>
      </c>
      <c r="O903" t="s">
        <v>866</v>
      </c>
      <c r="P903" t="s">
        <v>21</v>
      </c>
      <c r="Q903" t="s">
        <v>21</v>
      </c>
      <c r="R903" t="s">
        <v>922</v>
      </c>
      <c r="S903" t="s">
        <v>922</v>
      </c>
      <c r="T903" t="s">
        <v>28</v>
      </c>
      <c r="U903" t="s">
        <v>960</v>
      </c>
      <c r="V903" s="28" t="s">
        <v>7021</v>
      </c>
      <c r="W903" s="28" t="s">
        <v>6733</v>
      </c>
      <c r="X903" s="28" t="s">
        <v>7083</v>
      </c>
      <c r="Y903" s="28" t="s">
        <v>7084</v>
      </c>
      <c r="Z903" s="28" t="s">
        <v>7085</v>
      </c>
      <c r="AA903" s="28" t="s">
        <v>7086</v>
      </c>
      <c r="AB903" s="28" t="s">
        <v>7024</v>
      </c>
      <c r="AC903" s="28" t="s">
        <v>6750</v>
      </c>
    </row>
    <row r="904" spans="1:29">
      <c r="A904">
        <v>23</v>
      </c>
      <c r="B904">
        <v>2141</v>
      </c>
      <c r="C904">
        <v>2141</v>
      </c>
      <c r="D904" t="s">
        <v>21</v>
      </c>
      <c r="E904" s="22">
        <v>44481</v>
      </c>
      <c r="F904" s="22">
        <v>44481</v>
      </c>
      <c r="G904" t="s">
        <v>965</v>
      </c>
      <c r="H904" t="s">
        <v>28</v>
      </c>
      <c r="I904" t="s">
        <v>21</v>
      </c>
      <c r="J904" t="s">
        <v>53</v>
      </c>
      <c r="K904" t="s">
        <v>72</v>
      </c>
      <c r="L904" t="s">
        <v>7087</v>
      </c>
      <c r="M904">
        <v>2133</v>
      </c>
      <c r="N904" t="s">
        <v>862</v>
      </c>
      <c r="O904" t="s">
        <v>866</v>
      </c>
      <c r="P904" t="s">
        <v>21</v>
      </c>
      <c r="Q904" t="s">
        <v>21</v>
      </c>
      <c r="R904" t="s">
        <v>7088</v>
      </c>
      <c r="S904" t="s">
        <v>7088</v>
      </c>
      <c r="T904" t="s">
        <v>951</v>
      </c>
      <c r="U904" t="s">
        <v>960</v>
      </c>
      <c r="V904" s="28" t="s">
        <v>7089</v>
      </c>
      <c r="W904" s="28" t="s">
        <v>7090</v>
      </c>
      <c r="X904" s="28" t="s">
        <v>7091</v>
      </c>
      <c r="Y904" s="28" t="s">
        <v>7092</v>
      </c>
      <c r="Z904" s="28" t="s">
        <v>7093</v>
      </c>
      <c r="AA904" s="28" t="s">
        <v>7094</v>
      </c>
      <c r="AB904" s="28" t="s">
        <v>7095</v>
      </c>
      <c r="AC904" s="28" t="s">
        <v>7096</v>
      </c>
    </row>
    <row r="905" spans="1:29">
      <c r="A905">
        <v>24</v>
      </c>
      <c r="B905">
        <v>2141</v>
      </c>
      <c r="C905">
        <v>2141</v>
      </c>
      <c r="D905" t="s">
        <v>21</v>
      </c>
      <c r="E905" s="22">
        <v>44481</v>
      </c>
      <c r="F905" s="22">
        <v>44481</v>
      </c>
      <c r="G905" t="s">
        <v>965</v>
      </c>
      <c r="H905" t="s">
        <v>28</v>
      </c>
      <c r="I905" t="s">
        <v>21</v>
      </c>
      <c r="J905" t="s">
        <v>53</v>
      </c>
      <c r="K905" t="s">
        <v>72</v>
      </c>
      <c r="L905" t="s">
        <v>7097</v>
      </c>
      <c r="M905">
        <v>2133</v>
      </c>
      <c r="N905" t="s">
        <v>862</v>
      </c>
      <c r="O905" t="s">
        <v>866</v>
      </c>
      <c r="P905" t="s">
        <v>21</v>
      </c>
      <c r="Q905" t="s">
        <v>21</v>
      </c>
      <c r="R905" t="s">
        <v>922</v>
      </c>
      <c r="S905" t="s">
        <v>922</v>
      </c>
      <c r="T905" t="s">
        <v>28</v>
      </c>
      <c r="U905" t="s">
        <v>960</v>
      </c>
      <c r="V905" s="28" t="s">
        <v>7021</v>
      </c>
      <c r="W905" s="28" t="s">
        <v>6733</v>
      </c>
      <c r="X905" s="28" t="s">
        <v>7083</v>
      </c>
      <c r="Y905" s="28" t="s">
        <v>7084</v>
      </c>
      <c r="Z905" s="28" t="s">
        <v>7085</v>
      </c>
      <c r="AA905" s="28" t="s">
        <v>7086</v>
      </c>
      <c r="AB905" s="28" t="s">
        <v>7024</v>
      </c>
      <c r="AC905" s="28" t="s">
        <v>6750</v>
      </c>
    </row>
    <row r="906" spans="1:29">
      <c r="A906">
        <v>25</v>
      </c>
      <c r="B906">
        <v>2141</v>
      </c>
      <c r="C906">
        <v>2141</v>
      </c>
      <c r="D906" t="s">
        <v>21</v>
      </c>
      <c r="E906" s="22">
        <v>44482</v>
      </c>
      <c r="F906" s="22">
        <v>44482</v>
      </c>
      <c r="G906" t="s">
        <v>965</v>
      </c>
      <c r="H906" t="s">
        <v>28</v>
      </c>
      <c r="I906" t="s">
        <v>21</v>
      </c>
      <c r="J906" t="s">
        <v>53</v>
      </c>
      <c r="K906" t="s">
        <v>72</v>
      </c>
      <c r="L906" t="s">
        <v>7098</v>
      </c>
      <c r="M906">
        <v>2134</v>
      </c>
      <c r="N906" t="s">
        <v>862</v>
      </c>
      <c r="O906" t="s">
        <v>866</v>
      </c>
      <c r="P906" t="s">
        <v>21</v>
      </c>
      <c r="Q906" t="s">
        <v>21</v>
      </c>
      <c r="R906" t="s">
        <v>922</v>
      </c>
      <c r="S906" t="s">
        <v>922</v>
      </c>
      <c r="T906" t="s">
        <v>28</v>
      </c>
      <c r="U906" t="s">
        <v>960</v>
      </c>
      <c r="V906" s="28" t="s">
        <v>7021</v>
      </c>
      <c r="W906" s="28" t="s">
        <v>6733</v>
      </c>
      <c r="X906" s="28" t="s">
        <v>7083</v>
      </c>
      <c r="Y906" s="28" t="s">
        <v>7084</v>
      </c>
      <c r="Z906" s="28" t="s">
        <v>7085</v>
      </c>
      <c r="AA906" s="28" t="s">
        <v>7086</v>
      </c>
      <c r="AB906" s="28" t="s">
        <v>7024</v>
      </c>
      <c r="AC906" s="28" t="s">
        <v>6750</v>
      </c>
    </row>
    <row r="907" spans="1:29">
      <c r="A907">
        <v>204</v>
      </c>
      <c r="B907">
        <v>2141</v>
      </c>
      <c r="C907">
        <v>2141</v>
      </c>
      <c r="D907" t="s">
        <v>21</v>
      </c>
      <c r="E907" s="22">
        <v>44483</v>
      </c>
      <c r="F907" t="s">
        <v>6055</v>
      </c>
      <c r="G907" t="s">
        <v>26</v>
      </c>
      <c r="H907">
        <v>5</v>
      </c>
      <c r="I907" t="s">
        <v>40</v>
      </c>
      <c r="J907" t="s">
        <v>53</v>
      </c>
      <c r="K907" t="s">
        <v>90</v>
      </c>
      <c r="L907" t="s">
        <v>7135</v>
      </c>
      <c r="M907">
        <v>2133</v>
      </c>
      <c r="N907" t="s">
        <v>6561</v>
      </c>
      <c r="O907" t="s">
        <v>21</v>
      </c>
      <c r="P907" t="s">
        <v>21</v>
      </c>
      <c r="Q907" t="s">
        <v>21</v>
      </c>
      <c r="R907" t="s">
        <v>874</v>
      </c>
      <c r="S907" t="s">
        <v>874</v>
      </c>
      <c r="T907" t="s">
        <v>28</v>
      </c>
      <c r="U907" t="s">
        <v>960</v>
      </c>
      <c r="V907" s="28" t="s">
        <v>7021</v>
      </c>
      <c r="W907" s="28" t="s">
        <v>6733</v>
      </c>
      <c r="X907" s="28" t="s">
        <v>7022</v>
      </c>
      <c r="Y907" s="28" t="s">
        <v>6735</v>
      </c>
      <c r="Z907" s="28" t="s">
        <v>7023</v>
      </c>
      <c r="AA907" s="28" t="s">
        <v>6748</v>
      </c>
      <c r="AB907" s="28" t="s">
        <v>7024</v>
      </c>
      <c r="AC907" s="28" t="s">
        <v>6750</v>
      </c>
    </row>
    <row r="908" spans="1:29">
      <c r="A908">
        <v>209</v>
      </c>
      <c r="B908">
        <v>2142</v>
      </c>
      <c r="C908">
        <v>2142</v>
      </c>
      <c r="D908" t="s">
        <v>21</v>
      </c>
      <c r="E908" s="22">
        <v>44487</v>
      </c>
      <c r="F908" t="s">
        <v>6055</v>
      </c>
      <c r="G908" t="s">
        <v>26</v>
      </c>
      <c r="H908">
        <v>2</v>
      </c>
      <c r="I908" t="s">
        <v>49</v>
      </c>
      <c r="J908" t="s">
        <v>52</v>
      </c>
      <c r="K908" t="s">
        <v>88</v>
      </c>
      <c r="L908" t="s">
        <v>7136</v>
      </c>
      <c r="M908">
        <v>2133</v>
      </c>
      <c r="N908" t="s">
        <v>825</v>
      </c>
      <c r="O908" t="s">
        <v>21</v>
      </c>
      <c r="P908" t="s">
        <v>21</v>
      </c>
      <c r="Q908" t="s">
        <v>21</v>
      </c>
      <c r="R908" t="s">
        <v>898</v>
      </c>
      <c r="S908" t="s">
        <v>898</v>
      </c>
      <c r="T908" t="s">
        <v>955</v>
      </c>
      <c r="U908" t="s">
        <v>960</v>
      </c>
      <c r="V908" s="28" t="s">
        <v>7137</v>
      </c>
      <c r="W908" s="28" t="s">
        <v>7138</v>
      </c>
      <c r="X908" s="28" t="s">
        <v>7139</v>
      </c>
      <c r="Y908" s="28" t="s">
        <v>7140</v>
      </c>
      <c r="Z908" s="28" t="s">
        <v>7141</v>
      </c>
      <c r="AA908" s="28" t="s">
        <v>7142</v>
      </c>
      <c r="AB908" s="28" t="s">
        <v>7143</v>
      </c>
      <c r="AC908" s="28" t="s">
        <v>7144</v>
      </c>
    </row>
    <row r="909" spans="1:29">
      <c r="A909">
        <v>210</v>
      </c>
      <c r="B909">
        <v>2142</v>
      </c>
      <c r="C909">
        <v>2142</v>
      </c>
      <c r="D909" t="s">
        <v>21</v>
      </c>
      <c r="E909" s="22">
        <v>44487</v>
      </c>
      <c r="F909" t="s">
        <v>6055</v>
      </c>
      <c r="G909" t="s">
        <v>26</v>
      </c>
      <c r="H909">
        <v>3</v>
      </c>
      <c r="I909" t="s">
        <v>41</v>
      </c>
      <c r="J909" t="s">
        <v>66</v>
      </c>
      <c r="K909" t="s">
        <v>91</v>
      </c>
      <c r="L909" t="s">
        <v>7145</v>
      </c>
      <c r="M909">
        <v>2135</v>
      </c>
      <c r="N909" t="s">
        <v>6567</v>
      </c>
      <c r="O909" t="s">
        <v>21</v>
      </c>
      <c r="P909" t="s">
        <v>21</v>
      </c>
      <c r="Q909" t="s">
        <v>21</v>
      </c>
      <c r="R909" t="s">
        <v>881</v>
      </c>
      <c r="S909" t="s">
        <v>881</v>
      </c>
      <c r="T909" t="s">
        <v>949</v>
      </c>
      <c r="U909" t="s">
        <v>960</v>
      </c>
      <c r="V909" s="28" t="s">
        <v>7146</v>
      </c>
      <c r="W909" s="28" t="s">
        <v>7038</v>
      </c>
      <c r="X909" s="28" t="s">
        <v>7147</v>
      </c>
      <c r="Y909" s="28" t="s">
        <v>7040</v>
      </c>
      <c r="Z909" s="28" t="s">
        <v>7148</v>
      </c>
      <c r="AA909" s="28" t="s">
        <v>7149</v>
      </c>
      <c r="AB909" s="28" t="s">
        <v>7150</v>
      </c>
      <c r="AC909" s="28" t="s">
        <v>7151</v>
      </c>
    </row>
    <row r="910" spans="1:29">
      <c r="A910">
        <v>211</v>
      </c>
      <c r="B910">
        <v>2142</v>
      </c>
      <c r="C910">
        <v>2142</v>
      </c>
      <c r="D910" t="s">
        <v>21</v>
      </c>
      <c r="E910" s="22">
        <v>44488</v>
      </c>
      <c r="F910" t="s">
        <v>6055</v>
      </c>
      <c r="G910" t="s">
        <v>26</v>
      </c>
      <c r="H910">
        <v>4</v>
      </c>
      <c r="I910" t="s">
        <v>36</v>
      </c>
      <c r="J910" t="s">
        <v>52</v>
      </c>
      <c r="K910" t="s">
        <v>88</v>
      </c>
      <c r="L910" t="s">
        <v>7152</v>
      </c>
      <c r="M910">
        <v>2134</v>
      </c>
      <c r="N910" t="s">
        <v>825</v>
      </c>
      <c r="O910" t="s">
        <v>21</v>
      </c>
      <c r="P910" t="s">
        <v>21</v>
      </c>
      <c r="Q910" t="s">
        <v>21</v>
      </c>
      <c r="R910" t="s">
        <v>7153</v>
      </c>
      <c r="S910" t="s">
        <v>7153</v>
      </c>
      <c r="T910" t="s">
        <v>954</v>
      </c>
      <c r="U910" t="s">
        <v>960</v>
      </c>
      <c r="V910" s="28" t="s">
        <v>7154</v>
      </c>
      <c r="W910" s="28" t="s">
        <v>7068</v>
      </c>
      <c r="X910" s="28" t="s">
        <v>7155</v>
      </c>
      <c r="Y910" s="28" t="s">
        <v>7156</v>
      </c>
      <c r="Z910" s="28" t="s">
        <v>7157</v>
      </c>
      <c r="AA910" s="28" t="s">
        <v>7158</v>
      </c>
      <c r="AB910" s="28" t="s">
        <v>7159</v>
      </c>
      <c r="AC910" s="28" t="s">
        <v>7160</v>
      </c>
    </row>
    <row r="911" spans="1:29">
      <c r="A911">
        <v>212</v>
      </c>
      <c r="B911">
        <v>2142</v>
      </c>
      <c r="C911">
        <v>2142</v>
      </c>
      <c r="D911" t="s">
        <v>21</v>
      </c>
      <c r="E911" s="22">
        <v>44489</v>
      </c>
      <c r="F911" t="s">
        <v>6055</v>
      </c>
      <c r="G911" t="s">
        <v>26</v>
      </c>
      <c r="H911">
        <v>3</v>
      </c>
      <c r="I911" t="s">
        <v>36</v>
      </c>
      <c r="J911" t="s">
        <v>66</v>
      </c>
      <c r="K911" t="s">
        <v>92</v>
      </c>
      <c r="L911" t="s">
        <v>7161</v>
      </c>
      <c r="M911">
        <v>2133</v>
      </c>
      <c r="N911" t="s">
        <v>6585</v>
      </c>
      <c r="O911" t="s">
        <v>21</v>
      </c>
      <c r="P911" t="s">
        <v>21</v>
      </c>
      <c r="Q911" t="s">
        <v>21</v>
      </c>
      <c r="R911" t="s">
        <v>908</v>
      </c>
      <c r="S911" t="s">
        <v>908</v>
      </c>
      <c r="T911" t="s">
        <v>908</v>
      </c>
      <c r="U911" t="s">
        <v>960</v>
      </c>
      <c r="V911" s="28" t="s">
        <v>7162</v>
      </c>
      <c r="W911" s="28" t="s">
        <v>7013</v>
      </c>
      <c r="X911" s="28" t="s">
        <v>7163</v>
      </c>
      <c r="Y911" s="28" t="s">
        <v>7015</v>
      </c>
      <c r="Z911" s="28" t="s">
        <v>7164</v>
      </c>
      <c r="AA911" s="28" t="s">
        <v>7017</v>
      </c>
      <c r="AB911" s="28" t="s">
        <v>7165</v>
      </c>
      <c r="AC911" s="28" t="s">
        <v>7019</v>
      </c>
    </row>
    <row r="912" spans="1:29">
      <c r="A912">
        <v>213</v>
      </c>
      <c r="B912">
        <v>2142</v>
      </c>
      <c r="C912">
        <v>2142</v>
      </c>
      <c r="D912" t="s">
        <v>21</v>
      </c>
      <c r="E912" s="22">
        <v>44489</v>
      </c>
      <c r="F912" t="s">
        <v>6055</v>
      </c>
      <c r="G912" t="s">
        <v>26</v>
      </c>
      <c r="H912">
        <v>5</v>
      </c>
      <c r="I912" t="s">
        <v>36</v>
      </c>
      <c r="J912" t="s">
        <v>53</v>
      </c>
      <c r="K912" t="s">
        <v>90</v>
      </c>
      <c r="L912" t="s">
        <v>7166</v>
      </c>
      <c r="M912">
        <v>2134</v>
      </c>
      <c r="N912" t="s">
        <v>6561</v>
      </c>
      <c r="O912" t="s">
        <v>21</v>
      </c>
      <c r="P912" t="s">
        <v>21</v>
      </c>
      <c r="Q912" t="s">
        <v>21</v>
      </c>
      <c r="R912" t="s">
        <v>874</v>
      </c>
      <c r="S912" t="s">
        <v>874</v>
      </c>
      <c r="T912" t="s">
        <v>28</v>
      </c>
      <c r="U912" t="s">
        <v>960</v>
      </c>
      <c r="V912" s="28" t="s">
        <v>7167</v>
      </c>
      <c r="W912" s="28" t="s">
        <v>6733</v>
      </c>
      <c r="X912" s="28" t="s">
        <v>7168</v>
      </c>
      <c r="Y912" s="28" t="s">
        <v>6735</v>
      </c>
      <c r="Z912" s="28" t="s">
        <v>7169</v>
      </c>
      <c r="AA912" s="28" t="s">
        <v>6748</v>
      </c>
      <c r="AB912" s="28" t="s">
        <v>7170</v>
      </c>
      <c r="AC912" s="28" t="s">
        <v>6750</v>
      </c>
    </row>
    <row r="913" spans="1:29">
      <c r="A913">
        <v>214</v>
      </c>
      <c r="B913">
        <v>2142</v>
      </c>
      <c r="C913">
        <v>2142</v>
      </c>
      <c r="D913" t="s">
        <v>21</v>
      </c>
      <c r="E913" s="22">
        <v>44489</v>
      </c>
      <c r="F913" t="s">
        <v>6055</v>
      </c>
      <c r="G913" t="s">
        <v>26</v>
      </c>
      <c r="H913">
        <v>5</v>
      </c>
      <c r="I913" t="s">
        <v>36</v>
      </c>
      <c r="J913" t="s">
        <v>53</v>
      </c>
      <c r="K913" t="s">
        <v>90</v>
      </c>
      <c r="L913" t="s">
        <v>7171</v>
      </c>
      <c r="M913">
        <v>2134</v>
      </c>
      <c r="N913" t="s">
        <v>6561</v>
      </c>
      <c r="O913" t="s">
        <v>21</v>
      </c>
      <c r="P913" t="s">
        <v>21</v>
      </c>
      <c r="Q913" t="s">
        <v>21</v>
      </c>
      <c r="R913" t="s">
        <v>874</v>
      </c>
      <c r="S913" t="s">
        <v>874</v>
      </c>
      <c r="T913" t="s">
        <v>28</v>
      </c>
      <c r="U913" t="s">
        <v>960</v>
      </c>
      <c r="V913" s="28" t="s">
        <v>7167</v>
      </c>
      <c r="W913" s="28" t="s">
        <v>6733</v>
      </c>
      <c r="X913" s="28" t="s">
        <v>7168</v>
      </c>
      <c r="Y913" s="28" t="s">
        <v>6735</v>
      </c>
      <c r="Z913" s="28" t="s">
        <v>7169</v>
      </c>
      <c r="AA913" s="28" t="s">
        <v>6748</v>
      </c>
      <c r="AB913" s="28" t="s">
        <v>7170</v>
      </c>
      <c r="AC913" s="28" t="s">
        <v>6750</v>
      </c>
    </row>
    <row r="914" spans="1:29">
      <c r="A914">
        <v>215</v>
      </c>
      <c r="B914">
        <v>2142</v>
      </c>
      <c r="C914">
        <v>2142</v>
      </c>
      <c r="D914" t="s">
        <v>21</v>
      </c>
      <c r="E914" s="22">
        <v>44489</v>
      </c>
      <c r="F914" t="s">
        <v>6055</v>
      </c>
      <c r="G914" t="s">
        <v>26</v>
      </c>
      <c r="H914">
        <v>2</v>
      </c>
      <c r="I914" t="s">
        <v>36</v>
      </c>
      <c r="J914" t="s">
        <v>62</v>
      </c>
      <c r="K914" t="s">
        <v>82</v>
      </c>
      <c r="L914" t="s">
        <v>7172</v>
      </c>
      <c r="M914">
        <v>2134</v>
      </c>
      <c r="N914" t="s">
        <v>816</v>
      </c>
      <c r="O914" t="s">
        <v>21</v>
      </c>
      <c r="P914" t="s">
        <v>21</v>
      </c>
      <c r="Q914" t="s">
        <v>21</v>
      </c>
      <c r="R914" t="s">
        <v>874</v>
      </c>
      <c r="S914" t="s">
        <v>874</v>
      </c>
      <c r="T914" t="s">
        <v>28</v>
      </c>
      <c r="U914" t="s">
        <v>961</v>
      </c>
      <c r="V914" s="28" t="s">
        <v>7173</v>
      </c>
      <c r="W914" s="28" t="s">
        <v>7174</v>
      </c>
      <c r="X914" s="28" t="s">
        <v>7175</v>
      </c>
      <c r="Y914" s="28" t="s">
        <v>7176</v>
      </c>
      <c r="Z914" s="28" t="s">
        <v>7177</v>
      </c>
      <c r="AA914" s="28" t="s">
        <v>7178</v>
      </c>
      <c r="AB914" s="28" t="s">
        <v>7179</v>
      </c>
      <c r="AC914" s="28" t="s">
        <v>7180</v>
      </c>
    </row>
    <row r="915" spans="1:29">
      <c r="A915">
        <v>216</v>
      </c>
      <c r="B915">
        <v>2142</v>
      </c>
      <c r="C915">
        <v>2142</v>
      </c>
      <c r="D915" t="s">
        <v>21</v>
      </c>
      <c r="E915" s="22">
        <v>44490</v>
      </c>
      <c r="F915" t="s">
        <v>6055</v>
      </c>
      <c r="G915" t="s">
        <v>26</v>
      </c>
      <c r="H915">
        <v>4</v>
      </c>
      <c r="I915" t="s">
        <v>50</v>
      </c>
      <c r="J915" t="s">
        <v>53</v>
      </c>
      <c r="K915" t="s">
        <v>90</v>
      </c>
      <c r="L915" t="s">
        <v>7181</v>
      </c>
      <c r="M915">
        <v>2134</v>
      </c>
      <c r="N915" t="s">
        <v>827</v>
      </c>
      <c r="O915" t="s">
        <v>21</v>
      </c>
      <c r="P915" t="s">
        <v>21</v>
      </c>
      <c r="Q915" t="s">
        <v>21</v>
      </c>
      <c r="R915" t="s">
        <v>880</v>
      </c>
      <c r="S915" t="s">
        <v>880</v>
      </c>
      <c r="T915" t="s">
        <v>908</v>
      </c>
      <c r="U915" t="s">
        <v>960</v>
      </c>
      <c r="V915" s="28" t="s">
        <v>7162</v>
      </c>
      <c r="W915" s="28" t="s">
        <v>7013</v>
      </c>
      <c r="X915" s="28" t="s">
        <v>7163</v>
      </c>
      <c r="Y915" s="28" t="s">
        <v>7015</v>
      </c>
      <c r="Z915" s="28" t="s">
        <v>7182</v>
      </c>
      <c r="AA915" s="28" t="s">
        <v>7183</v>
      </c>
      <c r="AB915" s="28" t="s">
        <v>7184</v>
      </c>
      <c r="AC915" s="28" t="s">
        <v>7185</v>
      </c>
    </row>
    <row r="916" spans="1:29">
      <c r="A916">
        <v>217</v>
      </c>
      <c r="B916">
        <v>2142</v>
      </c>
      <c r="C916">
        <v>2142</v>
      </c>
      <c r="D916" t="s">
        <v>21</v>
      </c>
      <c r="E916" s="22">
        <v>44491</v>
      </c>
      <c r="F916" t="s">
        <v>6055</v>
      </c>
      <c r="G916" t="s">
        <v>26</v>
      </c>
      <c r="H916">
        <v>4</v>
      </c>
      <c r="I916" t="s">
        <v>50</v>
      </c>
      <c r="J916" t="s">
        <v>53</v>
      </c>
      <c r="K916" t="s">
        <v>90</v>
      </c>
      <c r="L916" t="s">
        <v>7186</v>
      </c>
      <c r="M916">
        <v>2135</v>
      </c>
      <c r="N916" t="s">
        <v>827</v>
      </c>
      <c r="O916" t="s">
        <v>21</v>
      </c>
      <c r="P916" t="s">
        <v>21</v>
      </c>
      <c r="Q916" t="s">
        <v>21</v>
      </c>
      <c r="R916" t="s">
        <v>874</v>
      </c>
      <c r="S916" t="s">
        <v>874</v>
      </c>
      <c r="T916" t="s">
        <v>28</v>
      </c>
      <c r="U916" t="s">
        <v>960</v>
      </c>
      <c r="V916" s="28" t="s">
        <v>7167</v>
      </c>
      <c r="W916" s="28" t="s">
        <v>6733</v>
      </c>
      <c r="X916" s="28" t="s">
        <v>7168</v>
      </c>
      <c r="Y916" s="28" t="s">
        <v>6735</v>
      </c>
      <c r="Z916" s="28" t="s">
        <v>7169</v>
      </c>
      <c r="AA916" s="28" t="s">
        <v>6748</v>
      </c>
      <c r="AB916" s="28" t="s">
        <v>7170</v>
      </c>
      <c r="AC916" s="28" t="s">
        <v>6750</v>
      </c>
    </row>
    <row r="917" spans="1:29">
      <c r="A917">
        <v>2</v>
      </c>
      <c r="B917">
        <v>2135</v>
      </c>
      <c r="C917">
        <v>2135</v>
      </c>
      <c r="D917" t="s">
        <v>21</v>
      </c>
      <c r="E917" s="22">
        <v>44442</v>
      </c>
      <c r="F917" s="22">
        <v>44442</v>
      </c>
      <c r="G917" t="s">
        <v>24</v>
      </c>
      <c r="H917" t="s">
        <v>28</v>
      </c>
      <c r="I917" t="s">
        <v>21</v>
      </c>
      <c r="J917" t="s">
        <v>53</v>
      </c>
      <c r="K917" t="s">
        <v>72</v>
      </c>
      <c r="L917" t="s">
        <v>7229</v>
      </c>
      <c r="M917">
        <v>2128</v>
      </c>
      <c r="N917" t="s">
        <v>806</v>
      </c>
      <c r="O917" t="s">
        <v>865</v>
      </c>
      <c r="P917" t="s">
        <v>21</v>
      </c>
      <c r="Q917" t="s">
        <v>21</v>
      </c>
      <c r="R917" t="s">
        <v>867</v>
      </c>
      <c r="S917" t="s">
        <v>867</v>
      </c>
      <c r="T917" t="s">
        <v>948</v>
      </c>
      <c r="U917" t="s">
        <v>960</v>
      </c>
      <c r="V917" s="28" t="s">
        <v>6085</v>
      </c>
      <c r="W917" s="28" t="s">
        <v>1075</v>
      </c>
      <c r="X917" s="28" t="s">
        <v>7230</v>
      </c>
      <c r="Y917" s="28" t="s">
        <v>1691</v>
      </c>
      <c r="Z917" s="28" t="s">
        <v>7231</v>
      </c>
      <c r="AA917" s="28" t="s">
        <v>7232</v>
      </c>
      <c r="AB917" s="28" t="s">
        <v>7233</v>
      </c>
      <c r="AC917" s="28" t="s">
        <v>7234</v>
      </c>
    </row>
    <row r="918" spans="1:29">
      <c r="A918">
        <v>3</v>
      </c>
      <c r="B918" t="s">
        <v>21</v>
      </c>
      <c r="C918">
        <v>2138</v>
      </c>
      <c r="D918" t="s">
        <v>21</v>
      </c>
      <c r="E918" s="22">
        <v>44462</v>
      </c>
      <c r="F918" t="s">
        <v>6055</v>
      </c>
      <c r="G918" t="s">
        <v>24</v>
      </c>
      <c r="H918" t="s">
        <v>28</v>
      </c>
      <c r="I918" t="s">
        <v>21</v>
      </c>
      <c r="J918" t="s">
        <v>53</v>
      </c>
      <c r="K918" t="s">
        <v>72</v>
      </c>
      <c r="L918" t="s">
        <v>7235</v>
      </c>
      <c r="M918">
        <v>2128</v>
      </c>
      <c r="N918" t="s">
        <v>806</v>
      </c>
      <c r="O918" t="s">
        <v>865</v>
      </c>
      <c r="P918" t="s">
        <v>21</v>
      </c>
      <c r="Q918" t="s">
        <v>21</v>
      </c>
      <c r="R918" t="s">
        <v>868</v>
      </c>
      <c r="S918" t="s">
        <v>868</v>
      </c>
      <c r="T918" t="s">
        <v>891</v>
      </c>
      <c r="U918" t="s">
        <v>960</v>
      </c>
      <c r="V918" s="28" t="s">
        <v>7236</v>
      </c>
      <c r="W918" s="28" t="s">
        <v>7237</v>
      </c>
      <c r="X918" s="28" t="s">
        <v>7238</v>
      </c>
      <c r="Y918" s="28" t="s">
        <v>7239</v>
      </c>
      <c r="Z918" s="28" t="s">
        <v>7240</v>
      </c>
      <c r="AA918" s="28" t="s">
        <v>7241</v>
      </c>
      <c r="AB918" s="28" t="s">
        <v>7242</v>
      </c>
      <c r="AC918" s="28" t="s">
        <v>7243</v>
      </c>
    </row>
    <row r="919" spans="1:29">
      <c r="A919">
        <v>2</v>
      </c>
      <c r="B919">
        <v>2126</v>
      </c>
      <c r="C919">
        <v>2126</v>
      </c>
      <c r="D919" t="s">
        <v>21</v>
      </c>
      <c r="E919" s="22">
        <v>44376</v>
      </c>
      <c r="F919" s="22">
        <v>44376</v>
      </c>
      <c r="G919" t="s">
        <v>27</v>
      </c>
      <c r="H919" t="s">
        <v>34</v>
      </c>
      <c r="I919" t="s">
        <v>21</v>
      </c>
      <c r="J919" t="s">
        <v>55</v>
      </c>
      <c r="K919" t="s">
        <v>74</v>
      </c>
      <c r="L919" t="s">
        <v>7244</v>
      </c>
      <c r="M919">
        <v>2123</v>
      </c>
      <c r="N919" t="s">
        <v>7245</v>
      </c>
      <c r="O919" t="s">
        <v>865</v>
      </c>
      <c r="P919" t="s">
        <v>21</v>
      </c>
      <c r="Q919" t="s">
        <v>21</v>
      </c>
      <c r="R919" t="s">
        <v>911</v>
      </c>
      <c r="S919" t="s">
        <v>911</v>
      </c>
      <c r="T919" t="s">
        <v>28</v>
      </c>
      <c r="U919" t="s">
        <v>960</v>
      </c>
      <c r="V919" s="28" t="s">
        <v>1200</v>
      </c>
      <c r="W919" s="28" t="s">
        <v>1068</v>
      </c>
      <c r="X919" s="28" t="s">
        <v>2457</v>
      </c>
      <c r="Y919" s="28" t="s">
        <v>2458</v>
      </c>
      <c r="Z919" s="28" t="s">
        <v>2459</v>
      </c>
      <c r="AA919" s="28" t="s">
        <v>2460</v>
      </c>
      <c r="AB919" s="28" t="s">
        <v>2185</v>
      </c>
      <c r="AC919" s="28" t="s">
        <v>2186</v>
      </c>
    </row>
    <row r="920" spans="1:29">
      <c r="A920">
        <v>3</v>
      </c>
      <c r="B920">
        <v>2133</v>
      </c>
      <c r="C920">
        <v>2126</v>
      </c>
      <c r="D920" t="s">
        <v>21</v>
      </c>
      <c r="E920" s="22">
        <v>44375</v>
      </c>
      <c r="F920" s="22">
        <v>44425</v>
      </c>
      <c r="G920" t="s">
        <v>27</v>
      </c>
      <c r="H920" t="s">
        <v>31</v>
      </c>
      <c r="I920" t="s">
        <v>21</v>
      </c>
      <c r="J920" t="s">
        <v>55</v>
      </c>
      <c r="K920" t="s">
        <v>74</v>
      </c>
      <c r="L920" t="s">
        <v>7246</v>
      </c>
      <c r="M920">
        <v>2120</v>
      </c>
      <c r="N920" t="s">
        <v>7245</v>
      </c>
      <c r="O920" t="s">
        <v>865</v>
      </c>
      <c r="P920" t="s">
        <v>21</v>
      </c>
      <c r="Q920" t="s">
        <v>21</v>
      </c>
      <c r="R920" t="s">
        <v>1030</v>
      </c>
      <c r="S920" t="s">
        <v>21</v>
      </c>
      <c r="T920" t="s">
        <v>958</v>
      </c>
      <c r="U920" t="s">
        <v>960</v>
      </c>
      <c r="V920" s="28" t="s">
        <v>1264</v>
      </c>
      <c r="W920" s="28" t="s">
        <v>1265</v>
      </c>
      <c r="X920" s="28" t="s">
        <v>2461</v>
      </c>
      <c r="Y920" s="28" t="s">
        <v>2462</v>
      </c>
      <c r="Z920" s="28" t="s">
        <v>2463</v>
      </c>
      <c r="AA920" s="28" t="s">
        <v>2464</v>
      </c>
      <c r="AB920" s="28" t="s">
        <v>2465</v>
      </c>
      <c r="AC920" s="28" t="s">
        <v>2466</v>
      </c>
    </row>
    <row r="921" spans="1:29">
      <c r="A921">
        <v>19</v>
      </c>
      <c r="B921">
        <v>2134</v>
      </c>
      <c r="C921">
        <v>2133</v>
      </c>
      <c r="D921" t="s">
        <v>21</v>
      </c>
      <c r="E921" s="22">
        <v>44427</v>
      </c>
      <c r="F921" s="22">
        <v>44431</v>
      </c>
      <c r="G921" t="s">
        <v>27</v>
      </c>
      <c r="H921" t="s">
        <v>31</v>
      </c>
      <c r="I921" t="s">
        <v>21</v>
      </c>
      <c r="J921" t="s">
        <v>55</v>
      </c>
      <c r="K921" t="s">
        <v>74</v>
      </c>
      <c r="L921" t="s">
        <v>7247</v>
      </c>
      <c r="M921">
        <v>2123</v>
      </c>
      <c r="N921" t="s">
        <v>7245</v>
      </c>
      <c r="O921" t="s">
        <v>865</v>
      </c>
      <c r="P921" t="s">
        <v>21</v>
      </c>
      <c r="Q921" t="s">
        <v>21</v>
      </c>
      <c r="R921" t="s">
        <v>21</v>
      </c>
      <c r="S921" t="s">
        <v>21</v>
      </c>
      <c r="T921" t="s">
        <v>958</v>
      </c>
      <c r="U921" t="s">
        <v>960</v>
      </c>
      <c r="V921" s="28" t="s">
        <v>6117</v>
      </c>
      <c r="W921" s="28" t="s">
        <v>1265</v>
      </c>
      <c r="X921" s="28" t="s">
        <v>6118</v>
      </c>
      <c r="Y921" s="28" t="s">
        <v>2462</v>
      </c>
      <c r="Z921" s="28" t="s">
        <v>6119</v>
      </c>
      <c r="AA921" s="28" t="s">
        <v>2464</v>
      </c>
      <c r="AB921" s="28" t="s">
        <v>6120</v>
      </c>
      <c r="AC921" s="28" t="s">
        <v>2466</v>
      </c>
    </row>
    <row r="922" spans="1:29">
      <c r="A922">
        <v>218</v>
      </c>
      <c r="B922">
        <v>2143</v>
      </c>
      <c r="C922">
        <v>2143</v>
      </c>
      <c r="D922" t="s">
        <v>21</v>
      </c>
      <c r="E922" s="22">
        <v>44494</v>
      </c>
      <c r="F922" t="s">
        <v>7269</v>
      </c>
      <c r="G922" t="s">
        <v>26</v>
      </c>
      <c r="H922">
        <v>4</v>
      </c>
      <c r="I922" t="s">
        <v>36</v>
      </c>
      <c r="J922" t="s">
        <v>53</v>
      </c>
      <c r="K922" t="s">
        <v>90</v>
      </c>
      <c r="L922" t="s">
        <v>7270</v>
      </c>
      <c r="M922">
        <v>2133</v>
      </c>
      <c r="N922" t="s">
        <v>6561</v>
      </c>
      <c r="O922" t="s">
        <v>21</v>
      </c>
      <c r="P922" t="s">
        <v>21</v>
      </c>
      <c r="Q922" t="s">
        <v>21</v>
      </c>
      <c r="R922" t="s">
        <v>891</v>
      </c>
      <c r="S922" t="s">
        <v>891</v>
      </c>
      <c r="T922" t="s">
        <v>891</v>
      </c>
      <c r="U922" t="s">
        <v>960</v>
      </c>
      <c r="V922" s="28" t="s">
        <v>7271</v>
      </c>
      <c r="W922" s="28" t="s">
        <v>7029</v>
      </c>
      <c r="X922" s="28" t="s">
        <v>7272</v>
      </c>
      <c r="Y922" s="28" t="s">
        <v>7031</v>
      </c>
      <c r="Z922" s="28" t="s">
        <v>7273</v>
      </c>
      <c r="AA922" s="28" t="s">
        <v>7033</v>
      </c>
      <c r="AB922" s="28" t="s">
        <v>7274</v>
      </c>
      <c r="AC922" s="28" t="s">
        <v>7035</v>
      </c>
    </row>
    <row r="923" spans="1:29">
      <c r="A923">
        <v>219</v>
      </c>
      <c r="B923">
        <v>2143</v>
      </c>
      <c r="C923">
        <v>2143</v>
      </c>
      <c r="D923" t="s">
        <v>21</v>
      </c>
      <c r="E923" s="22">
        <v>44494</v>
      </c>
      <c r="F923" t="s">
        <v>7269</v>
      </c>
      <c r="G923" t="s">
        <v>26</v>
      </c>
      <c r="H923">
        <v>4</v>
      </c>
      <c r="I923" t="s">
        <v>36</v>
      </c>
      <c r="J923" t="s">
        <v>53</v>
      </c>
      <c r="K923" t="s">
        <v>90</v>
      </c>
      <c r="L923" t="s">
        <v>7275</v>
      </c>
      <c r="M923">
        <v>2133</v>
      </c>
      <c r="N923" t="s">
        <v>6561</v>
      </c>
      <c r="O923" t="s">
        <v>21</v>
      </c>
      <c r="P923" t="s">
        <v>21</v>
      </c>
      <c r="Q923" t="s">
        <v>21</v>
      </c>
      <c r="R923" t="s">
        <v>874</v>
      </c>
      <c r="S923" t="s">
        <v>874</v>
      </c>
      <c r="T923" t="s">
        <v>28</v>
      </c>
      <c r="U923" t="s">
        <v>960</v>
      </c>
      <c r="V923" s="28" t="s">
        <v>7276</v>
      </c>
      <c r="W923" s="28" t="s">
        <v>6733</v>
      </c>
      <c r="X923" s="28" t="s">
        <v>7277</v>
      </c>
      <c r="Y923" s="28" t="s">
        <v>6735</v>
      </c>
      <c r="Z923" s="28" t="s">
        <v>7278</v>
      </c>
      <c r="AA923" s="28" t="s">
        <v>6748</v>
      </c>
      <c r="AB923" s="28" t="s">
        <v>7279</v>
      </c>
      <c r="AC923" s="28" t="s">
        <v>6750</v>
      </c>
    </row>
    <row r="924" spans="1:29">
      <c r="A924">
        <v>220</v>
      </c>
      <c r="B924">
        <v>2143</v>
      </c>
      <c r="C924">
        <v>2143</v>
      </c>
      <c r="D924" t="s">
        <v>21</v>
      </c>
      <c r="E924" s="22">
        <v>44494</v>
      </c>
      <c r="F924" t="s">
        <v>7269</v>
      </c>
      <c r="G924" t="s">
        <v>26</v>
      </c>
      <c r="H924">
        <v>4</v>
      </c>
      <c r="I924" t="s">
        <v>48</v>
      </c>
      <c r="J924" t="s">
        <v>53</v>
      </c>
      <c r="K924" t="s">
        <v>90</v>
      </c>
      <c r="L924" t="s">
        <v>7280</v>
      </c>
      <c r="M924">
        <v>2133</v>
      </c>
      <c r="N924" t="s">
        <v>6561</v>
      </c>
      <c r="O924" t="s">
        <v>21</v>
      </c>
      <c r="P924" t="s">
        <v>21</v>
      </c>
      <c r="Q924" t="s">
        <v>21</v>
      </c>
      <c r="R924" t="s">
        <v>880</v>
      </c>
      <c r="S924" t="s">
        <v>880</v>
      </c>
      <c r="T924" t="s">
        <v>908</v>
      </c>
      <c r="U924" t="s">
        <v>960</v>
      </c>
      <c r="V924" s="28" t="s">
        <v>7281</v>
      </c>
      <c r="W924" s="28" t="s">
        <v>7013</v>
      </c>
      <c r="X924" s="28" t="s">
        <v>7282</v>
      </c>
      <c r="Y924" s="28" t="s">
        <v>7015</v>
      </c>
      <c r="Z924" s="28" t="s">
        <v>7283</v>
      </c>
      <c r="AA924" s="28" t="s">
        <v>7183</v>
      </c>
      <c r="AB924" s="28" t="s">
        <v>7284</v>
      </c>
      <c r="AC924" s="28" t="s">
        <v>7185</v>
      </c>
    </row>
    <row r="925" spans="1:29">
      <c r="A925">
        <v>221</v>
      </c>
      <c r="B925">
        <v>2143</v>
      </c>
      <c r="C925">
        <v>2143</v>
      </c>
      <c r="D925" t="s">
        <v>21</v>
      </c>
      <c r="E925" s="22">
        <v>44494</v>
      </c>
      <c r="F925" t="s">
        <v>7269</v>
      </c>
      <c r="G925" t="s">
        <v>26</v>
      </c>
      <c r="H925">
        <v>3</v>
      </c>
      <c r="I925" t="s">
        <v>41</v>
      </c>
      <c r="J925" t="s">
        <v>66</v>
      </c>
      <c r="K925" t="s">
        <v>91</v>
      </c>
      <c r="L925" t="s">
        <v>7285</v>
      </c>
      <c r="M925">
        <v>2136</v>
      </c>
      <c r="N925" t="s">
        <v>6567</v>
      </c>
      <c r="O925" t="s">
        <v>21</v>
      </c>
      <c r="P925" t="s">
        <v>21</v>
      </c>
      <c r="Q925" t="s">
        <v>21</v>
      </c>
      <c r="R925" t="s">
        <v>880</v>
      </c>
      <c r="S925" t="s">
        <v>880</v>
      </c>
      <c r="T925" t="s">
        <v>908</v>
      </c>
      <c r="U925" t="s">
        <v>960</v>
      </c>
      <c r="V925" s="28" t="s">
        <v>7281</v>
      </c>
      <c r="W925" s="28" t="s">
        <v>7013</v>
      </c>
      <c r="X925" s="28" t="s">
        <v>7282</v>
      </c>
      <c r="Y925" s="28" t="s">
        <v>7015</v>
      </c>
      <c r="Z925" s="28" t="s">
        <v>7286</v>
      </c>
      <c r="AA925" s="28" t="s">
        <v>7017</v>
      </c>
      <c r="AB925" s="28" t="s">
        <v>7287</v>
      </c>
      <c r="AC925" s="28" t="s">
        <v>7019</v>
      </c>
    </row>
    <row r="926" spans="1:29">
      <c r="A926">
        <v>222</v>
      </c>
      <c r="B926">
        <v>2143</v>
      </c>
      <c r="C926">
        <v>2143</v>
      </c>
      <c r="D926" t="s">
        <v>21</v>
      </c>
      <c r="E926" s="22">
        <v>44495</v>
      </c>
      <c r="F926" t="s">
        <v>7269</v>
      </c>
      <c r="G926" t="s">
        <v>26</v>
      </c>
      <c r="H926">
        <v>4</v>
      </c>
      <c r="I926" t="s">
        <v>38</v>
      </c>
      <c r="J926" t="s">
        <v>52</v>
      </c>
      <c r="K926" t="s">
        <v>88</v>
      </c>
      <c r="L926" t="s">
        <v>7288</v>
      </c>
      <c r="M926">
        <v>2135</v>
      </c>
      <c r="N926" t="s">
        <v>825</v>
      </c>
      <c r="O926" t="s">
        <v>21</v>
      </c>
      <c r="P926" t="s">
        <v>21</v>
      </c>
      <c r="Q926" t="s">
        <v>21</v>
      </c>
      <c r="R926" t="s">
        <v>880</v>
      </c>
      <c r="S926" t="s">
        <v>880</v>
      </c>
      <c r="T926" t="s">
        <v>908</v>
      </c>
      <c r="U926" t="s">
        <v>960</v>
      </c>
      <c r="V926" s="28" t="s">
        <v>7281</v>
      </c>
      <c r="W926" s="28" t="s">
        <v>7013</v>
      </c>
      <c r="X926" s="28" t="s">
        <v>7282</v>
      </c>
      <c r="Y926" s="28" t="s">
        <v>7015</v>
      </c>
      <c r="Z926" s="28" t="s">
        <v>7289</v>
      </c>
      <c r="AA926" s="28" t="s">
        <v>7290</v>
      </c>
      <c r="AB926" s="28" t="s">
        <v>7291</v>
      </c>
      <c r="AC926" s="28" t="s">
        <v>7292</v>
      </c>
    </row>
    <row r="927" spans="1:29">
      <c r="A927">
        <v>223</v>
      </c>
      <c r="B927">
        <v>2143</v>
      </c>
      <c r="C927">
        <v>2143</v>
      </c>
      <c r="D927" t="s">
        <v>21</v>
      </c>
      <c r="E927" s="22">
        <v>44496</v>
      </c>
      <c r="F927" t="s">
        <v>7269</v>
      </c>
      <c r="G927" t="s">
        <v>26</v>
      </c>
      <c r="H927">
        <v>2</v>
      </c>
      <c r="I927" t="s">
        <v>40</v>
      </c>
      <c r="J927" t="s">
        <v>64</v>
      </c>
      <c r="K927" t="s">
        <v>86</v>
      </c>
      <c r="L927" t="s">
        <v>7293</v>
      </c>
      <c r="M927">
        <v>2132</v>
      </c>
      <c r="N927" t="s">
        <v>832</v>
      </c>
      <c r="O927" t="s">
        <v>21</v>
      </c>
      <c r="P927" t="s">
        <v>21</v>
      </c>
      <c r="Q927" t="s">
        <v>21</v>
      </c>
      <c r="R927" t="s">
        <v>874</v>
      </c>
      <c r="S927" t="s">
        <v>874</v>
      </c>
      <c r="T927" t="s">
        <v>28</v>
      </c>
      <c r="U927" t="s">
        <v>961</v>
      </c>
      <c r="V927" s="28" t="s">
        <v>7294</v>
      </c>
      <c r="W927" s="28" t="s">
        <v>7174</v>
      </c>
      <c r="X927" s="28" t="s">
        <v>7295</v>
      </c>
      <c r="Y927" s="28" t="s">
        <v>7176</v>
      </c>
      <c r="Z927" s="28" t="s">
        <v>7296</v>
      </c>
      <c r="AA927" s="28" t="s">
        <v>7297</v>
      </c>
      <c r="AB927" s="28" t="s">
        <v>7298</v>
      </c>
      <c r="AC927" s="28" t="s">
        <v>7299</v>
      </c>
    </row>
    <row r="928" spans="1:29">
      <c r="A928">
        <v>224</v>
      </c>
      <c r="B928">
        <v>2143</v>
      </c>
      <c r="C928">
        <v>2143</v>
      </c>
      <c r="D928" t="s">
        <v>21</v>
      </c>
      <c r="E928" s="22">
        <v>44496</v>
      </c>
      <c r="F928" t="s">
        <v>7269</v>
      </c>
      <c r="G928" t="s">
        <v>26</v>
      </c>
      <c r="H928">
        <v>2</v>
      </c>
      <c r="I928" t="s">
        <v>41</v>
      </c>
      <c r="J928" t="s">
        <v>64</v>
      </c>
      <c r="K928" t="s">
        <v>86</v>
      </c>
      <c r="L928" t="s">
        <v>7300</v>
      </c>
      <c r="M928">
        <v>2128</v>
      </c>
      <c r="N928" t="s">
        <v>832</v>
      </c>
      <c r="O928" t="s">
        <v>21</v>
      </c>
      <c r="P928" t="s">
        <v>21</v>
      </c>
      <c r="Q928" t="s">
        <v>21</v>
      </c>
      <c r="R928" t="s">
        <v>881</v>
      </c>
      <c r="S928" t="s">
        <v>881</v>
      </c>
      <c r="T928" t="s">
        <v>949</v>
      </c>
      <c r="U928" t="s">
        <v>961</v>
      </c>
      <c r="V928" s="28" t="s">
        <v>7301</v>
      </c>
      <c r="W928" s="28" t="s">
        <v>7302</v>
      </c>
      <c r="X928" s="28" t="s">
        <v>7303</v>
      </c>
      <c r="Y928" s="28" t="s">
        <v>7304</v>
      </c>
      <c r="Z928" s="28" t="s">
        <v>7305</v>
      </c>
      <c r="AA928" s="28" t="s">
        <v>7306</v>
      </c>
      <c r="AB928" s="28" t="s">
        <v>7307</v>
      </c>
      <c r="AC928" s="28" t="s">
        <v>7308</v>
      </c>
    </row>
    <row r="929" spans="1:29">
      <c r="A929">
        <v>225</v>
      </c>
      <c r="B929">
        <v>2143</v>
      </c>
      <c r="C929">
        <v>2143</v>
      </c>
      <c r="D929" t="s">
        <v>21</v>
      </c>
      <c r="E929" s="22">
        <v>44497</v>
      </c>
      <c r="F929" t="s">
        <v>7269</v>
      </c>
      <c r="G929" t="s">
        <v>26</v>
      </c>
      <c r="H929">
        <v>3</v>
      </c>
      <c r="I929" t="s">
        <v>36</v>
      </c>
      <c r="J929" t="s">
        <v>68</v>
      </c>
      <c r="K929" t="s">
        <v>94</v>
      </c>
      <c r="L929" t="s">
        <v>7309</v>
      </c>
      <c r="M929">
        <v>2135</v>
      </c>
      <c r="N929" t="s">
        <v>831</v>
      </c>
      <c r="O929" t="s">
        <v>21</v>
      </c>
      <c r="P929" t="s">
        <v>21</v>
      </c>
      <c r="Q929" t="s">
        <v>21</v>
      </c>
      <c r="R929" t="s">
        <v>876</v>
      </c>
      <c r="S929" t="s">
        <v>876</v>
      </c>
      <c r="T929" t="s">
        <v>951</v>
      </c>
      <c r="U929" t="s">
        <v>960</v>
      </c>
      <c r="V929" s="28" t="s">
        <v>7310</v>
      </c>
      <c r="W929" s="28" t="s">
        <v>7090</v>
      </c>
      <c r="X929" s="28" t="s">
        <v>7311</v>
      </c>
      <c r="Y929" s="28" t="s">
        <v>7312</v>
      </c>
      <c r="Z929" s="28" t="s">
        <v>7313</v>
      </c>
      <c r="AA929" s="28" t="s">
        <v>7314</v>
      </c>
      <c r="AB929" s="28" t="s">
        <v>7315</v>
      </c>
      <c r="AC929" s="28" t="s">
        <v>7316</v>
      </c>
    </row>
    <row r="930" spans="1:29">
      <c r="A930">
        <v>226</v>
      </c>
      <c r="B930">
        <v>2143</v>
      </c>
      <c r="C930">
        <v>2143</v>
      </c>
      <c r="D930" t="s">
        <v>21</v>
      </c>
      <c r="E930" s="22">
        <v>44497</v>
      </c>
      <c r="F930" t="s">
        <v>7269</v>
      </c>
      <c r="G930" t="s">
        <v>26</v>
      </c>
      <c r="H930">
        <v>3</v>
      </c>
      <c r="I930" t="s">
        <v>36</v>
      </c>
      <c r="J930" t="s">
        <v>68</v>
      </c>
      <c r="K930" t="s">
        <v>94</v>
      </c>
      <c r="L930" t="s">
        <v>7317</v>
      </c>
      <c r="M930">
        <v>2135</v>
      </c>
      <c r="N930" t="s">
        <v>831</v>
      </c>
      <c r="O930" t="s">
        <v>21</v>
      </c>
      <c r="P930" t="s">
        <v>21</v>
      </c>
      <c r="Q930" t="s">
        <v>21</v>
      </c>
      <c r="R930" t="s">
        <v>876</v>
      </c>
      <c r="S930" t="s">
        <v>876</v>
      </c>
      <c r="T930" t="s">
        <v>951</v>
      </c>
      <c r="U930" t="s">
        <v>960</v>
      </c>
      <c r="V930" s="28" t="s">
        <v>7310</v>
      </c>
      <c r="W930" s="28" t="s">
        <v>7090</v>
      </c>
      <c r="X930" s="28" t="s">
        <v>7311</v>
      </c>
      <c r="Y930" s="28" t="s">
        <v>7312</v>
      </c>
      <c r="Z930" s="28" t="s">
        <v>7313</v>
      </c>
      <c r="AA930" s="28" t="s">
        <v>7314</v>
      </c>
      <c r="AB930" s="28" t="s">
        <v>7315</v>
      </c>
      <c r="AC930" s="28" t="s">
        <v>7316</v>
      </c>
    </row>
    <row r="931" spans="1:29">
      <c r="A931">
        <v>227</v>
      </c>
      <c r="B931">
        <v>2143</v>
      </c>
      <c r="C931">
        <v>2143</v>
      </c>
      <c r="D931" t="s">
        <v>21</v>
      </c>
      <c r="E931" s="22">
        <v>44497</v>
      </c>
      <c r="F931" t="s">
        <v>7269</v>
      </c>
      <c r="G931" t="s">
        <v>26</v>
      </c>
      <c r="H931">
        <v>3</v>
      </c>
      <c r="I931" t="s">
        <v>36</v>
      </c>
      <c r="J931" t="s">
        <v>68</v>
      </c>
      <c r="K931" t="s">
        <v>94</v>
      </c>
      <c r="L931" t="s">
        <v>7318</v>
      </c>
      <c r="M931">
        <v>2135</v>
      </c>
      <c r="N931" t="s">
        <v>831</v>
      </c>
      <c r="O931" t="s">
        <v>21</v>
      </c>
      <c r="P931" t="s">
        <v>21</v>
      </c>
      <c r="Q931" t="s">
        <v>21</v>
      </c>
      <c r="R931" t="s">
        <v>876</v>
      </c>
      <c r="S931" t="s">
        <v>876</v>
      </c>
      <c r="T931" t="s">
        <v>951</v>
      </c>
      <c r="U931" t="s">
        <v>960</v>
      </c>
      <c r="V931" s="28" t="s">
        <v>7310</v>
      </c>
      <c r="W931" s="28" t="s">
        <v>7090</v>
      </c>
      <c r="X931" s="28" t="s">
        <v>7311</v>
      </c>
      <c r="Y931" s="28" t="s">
        <v>7312</v>
      </c>
      <c r="Z931" s="28" t="s">
        <v>7313</v>
      </c>
      <c r="AA931" s="28" t="s">
        <v>7314</v>
      </c>
      <c r="AB931" s="28" t="s">
        <v>7315</v>
      </c>
      <c r="AC931" s="28" t="s">
        <v>7316</v>
      </c>
    </row>
    <row r="932" spans="1:29">
      <c r="A932">
        <v>228</v>
      </c>
      <c r="B932">
        <v>2143</v>
      </c>
      <c r="C932">
        <v>2143</v>
      </c>
      <c r="D932" t="s">
        <v>21</v>
      </c>
      <c r="E932" s="22">
        <v>44497</v>
      </c>
      <c r="F932" t="s">
        <v>7269</v>
      </c>
      <c r="G932" t="s">
        <v>26</v>
      </c>
      <c r="H932">
        <v>3</v>
      </c>
      <c r="I932" t="s">
        <v>36</v>
      </c>
      <c r="J932" t="s">
        <v>68</v>
      </c>
      <c r="K932" t="s">
        <v>94</v>
      </c>
      <c r="L932" t="s">
        <v>7319</v>
      </c>
      <c r="M932">
        <v>2135</v>
      </c>
      <c r="N932" t="s">
        <v>831</v>
      </c>
      <c r="O932" t="s">
        <v>21</v>
      </c>
      <c r="P932" t="s">
        <v>21</v>
      </c>
      <c r="Q932" t="s">
        <v>21</v>
      </c>
      <c r="R932" t="s">
        <v>876</v>
      </c>
      <c r="S932" t="s">
        <v>876</v>
      </c>
      <c r="T932" t="s">
        <v>951</v>
      </c>
      <c r="U932" t="s">
        <v>960</v>
      </c>
      <c r="V932" s="28" t="s">
        <v>7310</v>
      </c>
      <c r="W932" s="28" t="s">
        <v>7090</v>
      </c>
      <c r="X932" s="28" t="s">
        <v>7311</v>
      </c>
      <c r="Y932" s="28" t="s">
        <v>7312</v>
      </c>
      <c r="Z932" s="28" t="s">
        <v>7313</v>
      </c>
      <c r="AA932" s="28" t="s">
        <v>7314</v>
      </c>
      <c r="AB932" s="28" t="s">
        <v>7315</v>
      </c>
      <c r="AC932" s="28" t="s">
        <v>7316</v>
      </c>
    </row>
    <row r="933" spans="1:29">
      <c r="A933">
        <v>229</v>
      </c>
      <c r="B933">
        <v>2143</v>
      </c>
      <c r="C933">
        <v>2143</v>
      </c>
      <c r="D933" t="s">
        <v>21</v>
      </c>
      <c r="E933" s="22">
        <v>44497</v>
      </c>
      <c r="F933" t="s">
        <v>7269</v>
      </c>
      <c r="G933" t="s">
        <v>26</v>
      </c>
      <c r="H933">
        <v>3</v>
      </c>
      <c r="I933" t="s">
        <v>36</v>
      </c>
      <c r="J933" t="s">
        <v>68</v>
      </c>
      <c r="K933" t="s">
        <v>94</v>
      </c>
      <c r="L933" t="s">
        <v>7320</v>
      </c>
      <c r="M933">
        <v>2135</v>
      </c>
      <c r="N933" t="s">
        <v>831</v>
      </c>
      <c r="O933" t="s">
        <v>21</v>
      </c>
      <c r="P933" t="s">
        <v>21</v>
      </c>
      <c r="Q933" t="s">
        <v>21</v>
      </c>
      <c r="R933" t="s">
        <v>876</v>
      </c>
      <c r="S933" t="s">
        <v>876</v>
      </c>
      <c r="T933" t="s">
        <v>951</v>
      </c>
      <c r="U933" t="s">
        <v>960</v>
      </c>
      <c r="V933" s="28" t="s">
        <v>7310</v>
      </c>
      <c r="W933" s="28" t="s">
        <v>7090</v>
      </c>
      <c r="X933" s="28" t="s">
        <v>7311</v>
      </c>
      <c r="Y933" s="28" t="s">
        <v>7312</v>
      </c>
      <c r="Z933" s="28" t="s">
        <v>7313</v>
      </c>
      <c r="AA933" s="28" t="s">
        <v>7314</v>
      </c>
      <c r="AB933" s="28" t="s">
        <v>7315</v>
      </c>
      <c r="AC933" s="28" t="s">
        <v>7316</v>
      </c>
    </row>
    <row r="934" spans="1:29">
      <c r="A934">
        <v>230</v>
      </c>
      <c r="B934">
        <v>2143</v>
      </c>
      <c r="C934">
        <v>2143</v>
      </c>
      <c r="D934" t="s">
        <v>21</v>
      </c>
      <c r="E934" s="22">
        <v>44497</v>
      </c>
      <c r="F934" t="s">
        <v>7269</v>
      </c>
      <c r="G934" t="s">
        <v>26</v>
      </c>
      <c r="H934">
        <v>3</v>
      </c>
      <c r="I934" t="s">
        <v>36</v>
      </c>
      <c r="J934" t="s">
        <v>68</v>
      </c>
      <c r="K934" t="s">
        <v>94</v>
      </c>
      <c r="L934" t="s">
        <v>7321</v>
      </c>
      <c r="M934">
        <v>2135</v>
      </c>
      <c r="N934" t="s">
        <v>831</v>
      </c>
      <c r="O934" t="s">
        <v>21</v>
      </c>
      <c r="P934" t="s">
        <v>21</v>
      </c>
      <c r="Q934" t="s">
        <v>21</v>
      </c>
      <c r="R934" t="s">
        <v>876</v>
      </c>
      <c r="S934" t="s">
        <v>876</v>
      </c>
      <c r="T934" t="s">
        <v>951</v>
      </c>
      <c r="U934" t="s">
        <v>960</v>
      </c>
      <c r="V934" s="28" t="s">
        <v>7310</v>
      </c>
      <c r="W934" s="28" t="s">
        <v>7090</v>
      </c>
      <c r="X934" s="28" t="s">
        <v>7311</v>
      </c>
      <c r="Y934" s="28" t="s">
        <v>7312</v>
      </c>
      <c r="Z934" s="28" t="s">
        <v>7313</v>
      </c>
      <c r="AA934" s="28" t="s">
        <v>7314</v>
      </c>
      <c r="AB934" s="28" t="s">
        <v>7315</v>
      </c>
      <c r="AC934" s="28" t="s">
        <v>7316</v>
      </c>
    </row>
    <row r="935" spans="1:29">
      <c r="A935">
        <v>231</v>
      </c>
      <c r="B935">
        <v>2143</v>
      </c>
      <c r="C935">
        <v>2143</v>
      </c>
      <c r="D935" t="s">
        <v>21</v>
      </c>
      <c r="E935" s="22">
        <v>44497</v>
      </c>
      <c r="F935" t="s">
        <v>7269</v>
      </c>
      <c r="G935" t="s">
        <v>26</v>
      </c>
      <c r="H935">
        <v>3</v>
      </c>
      <c r="I935" t="s">
        <v>36</v>
      </c>
      <c r="J935" t="s">
        <v>68</v>
      </c>
      <c r="K935" t="s">
        <v>94</v>
      </c>
      <c r="L935" t="s">
        <v>7322</v>
      </c>
      <c r="M935">
        <v>2135</v>
      </c>
      <c r="N935" t="s">
        <v>831</v>
      </c>
      <c r="O935" t="s">
        <v>21</v>
      </c>
      <c r="P935" t="s">
        <v>21</v>
      </c>
      <c r="Q935" t="s">
        <v>21</v>
      </c>
      <c r="R935" t="s">
        <v>876</v>
      </c>
      <c r="S935" t="s">
        <v>876</v>
      </c>
      <c r="T935" t="s">
        <v>951</v>
      </c>
      <c r="U935" t="s">
        <v>960</v>
      </c>
      <c r="V935" s="28" t="s">
        <v>7310</v>
      </c>
      <c r="W935" s="28" t="s">
        <v>7090</v>
      </c>
      <c r="X935" s="28" t="s">
        <v>7311</v>
      </c>
      <c r="Y935" s="28" t="s">
        <v>7312</v>
      </c>
      <c r="Z935" s="28" t="s">
        <v>7313</v>
      </c>
      <c r="AA935" s="28" t="s">
        <v>7314</v>
      </c>
      <c r="AB935" s="28" t="s">
        <v>7315</v>
      </c>
      <c r="AC935" s="28" t="s">
        <v>7316</v>
      </c>
    </row>
    <row r="936" spans="1:29">
      <c r="A936">
        <v>232</v>
      </c>
      <c r="B936">
        <v>2143</v>
      </c>
      <c r="C936">
        <v>2143</v>
      </c>
      <c r="D936" t="s">
        <v>21</v>
      </c>
      <c r="E936" s="22">
        <v>44497</v>
      </c>
      <c r="F936" t="s">
        <v>7269</v>
      </c>
      <c r="G936" t="s">
        <v>26</v>
      </c>
      <c r="H936">
        <v>3</v>
      </c>
      <c r="I936" t="s">
        <v>36</v>
      </c>
      <c r="J936" t="s">
        <v>68</v>
      </c>
      <c r="K936" t="s">
        <v>94</v>
      </c>
      <c r="L936" t="s">
        <v>7323</v>
      </c>
      <c r="M936">
        <v>2135</v>
      </c>
      <c r="N936" t="s">
        <v>831</v>
      </c>
      <c r="O936" t="s">
        <v>21</v>
      </c>
      <c r="P936" t="s">
        <v>21</v>
      </c>
      <c r="Q936" t="s">
        <v>21</v>
      </c>
      <c r="R936" t="s">
        <v>876</v>
      </c>
      <c r="S936" t="s">
        <v>876</v>
      </c>
      <c r="T936" t="s">
        <v>951</v>
      </c>
      <c r="U936" t="s">
        <v>960</v>
      </c>
      <c r="V936" s="28" t="s">
        <v>7310</v>
      </c>
      <c r="W936" s="28" t="s">
        <v>7090</v>
      </c>
      <c r="X936" s="28" t="s">
        <v>7311</v>
      </c>
      <c r="Y936" s="28" t="s">
        <v>7312</v>
      </c>
      <c r="Z936" s="28" t="s">
        <v>7313</v>
      </c>
      <c r="AA936" s="28" t="s">
        <v>7314</v>
      </c>
      <c r="AB936" s="28" t="s">
        <v>7315</v>
      </c>
      <c r="AC936" s="28" t="s">
        <v>7316</v>
      </c>
    </row>
    <row r="937" spans="1:29">
      <c r="A937">
        <v>233</v>
      </c>
      <c r="B937">
        <v>2143</v>
      </c>
      <c r="C937">
        <v>2143</v>
      </c>
      <c r="D937" t="s">
        <v>21</v>
      </c>
      <c r="E937" s="22">
        <v>44497</v>
      </c>
      <c r="F937" t="s">
        <v>7269</v>
      </c>
      <c r="G937" t="s">
        <v>26</v>
      </c>
      <c r="H937">
        <v>3</v>
      </c>
      <c r="I937" t="s">
        <v>36</v>
      </c>
      <c r="J937" t="s">
        <v>68</v>
      </c>
      <c r="K937" t="s">
        <v>94</v>
      </c>
      <c r="L937" t="s">
        <v>7324</v>
      </c>
      <c r="M937">
        <v>2135</v>
      </c>
      <c r="N937" t="s">
        <v>831</v>
      </c>
      <c r="O937" t="s">
        <v>21</v>
      </c>
      <c r="P937" t="s">
        <v>21</v>
      </c>
      <c r="Q937" t="s">
        <v>21</v>
      </c>
      <c r="R937" t="s">
        <v>876</v>
      </c>
      <c r="S937" t="s">
        <v>876</v>
      </c>
      <c r="T937" t="s">
        <v>951</v>
      </c>
      <c r="U937" t="s">
        <v>960</v>
      </c>
      <c r="V937" s="28" t="s">
        <v>7310</v>
      </c>
      <c r="W937" s="28" t="s">
        <v>7090</v>
      </c>
      <c r="X937" s="28" t="s">
        <v>7311</v>
      </c>
      <c r="Y937" s="28" t="s">
        <v>7312</v>
      </c>
      <c r="Z937" s="28" t="s">
        <v>7313</v>
      </c>
      <c r="AA937" s="28" t="s">
        <v>7314</v>
      </c>
      <c r="AB937" s="28" t="s">
        <v>7315</v>
      </c>
      <c r="AC937" s="28" t="s">
        <v>7316</v>
      </c>
    </row>
    <row r="938" spans="1:29">
      <c r="A938">
        <v>234</v>
      </c>
      <c r="B938">
        <v>2143</v>
      </c>
      <c r="C938">
        <v>2143</v>
      </c>
      <c r="D938" t="s">
        <v>21</v>
      </c>
      <c r="E938" s="22">
        <v>44497</v>
      </c>
      <c r="F938" t="s">
        <v>7269</v>
      </c>
      <c r="G938" t="s">
        <v>26</v>
      </c>
      <c r="H938">
        <v>3</v>
      </c>
      <c r="I938" t="s">
        <v>36</v>
      </c>
      <c r="J938" t="s">
        <v>68</v>
      </c>
      <c r="K938" t="s">
        <v>94</v>
      </c>
      <c r="L938" t="s">
        <v>7325</v>
      </c>
      <c r="M938">
        <v>2135</v>
      </c>
      <c r="N938" t="s">
        <v>831</v>
      </c>
      <c r="O938" t="s">
        <v>21</v>
      </c>
      <c r="P938" t="s">
        <v>21</v>
      </c>
      <c r="Q938" t="s">
        <v>21</v>
      </c>
      <c r="R938" t="s">
        <v>876</v>
      </c>
      <c r="S938" t="s">
        <v>876</v>
      </c>
      <c r="T938" t="s">
        <v>951</v>
      </c>
      <c r="U938" t="s">
        <v>960</v>
      </c>
      <c r="V938" s="28" t="s">
        <v>7310</v>
      </c>
      <c r="W938" s="28" t="s">
        <v>7090</v>
      </c>
      <c r="X938" s="28" t="s">
        <v>7311</v>
      </c>
      <c r="Y938" s="28" t="s">
        <v>7312</v>
      </c>
      <c r="Z938" s="28" t="s">
        <v>7313</v>
      </c>
      <c r="AA938" s="28" t="s">
        <v>7314</v>
      </c>
      <c r="AB938" s="28" t="s">
        <v>7315</v>
      </c>
      <c r="AC938" s="28" t="s">
        <v>7316</v>
      </c>
    </row>
    <row r="939" spans="1:29">
      <c r="A939">
        <v>235</v>
      </c>
      <c r="B939">
        <v>2143</v>
      </c>
      <c r="C939">
        <v>2143</v>
      </c>
      <c r="D939" t="s">
        <v>21</v>
      </c>
      <c r="E939" s="22">
        <v>44497</v>
      </c>
      <c r="F939" t="s">
        <v>7269</v>
      </c>
      <c r="G939" t="s">
        <v>26</v>
      </c>
      <c r="H939">
        <v>3</v>
      </c>
      <c r="I939" t="s">
        <v>36</v>
      </c>
      <c r="J939" t="s">
        <v>68</v>
      </c>
      <c r="K939" t="s">
        <v>94</v>
      </c>
      <c r="L939" t="s">
        <v>7326</v>
      </c>
      <c r="M939">
        <v>2135</v>
      </c>
      <c r="N939" t="s">
        <v>831</v>
      </c>
      <c r="O939" t="s">
        <v>21</v>
      </c>
      <c r="P939" t="s">
        <v>21</v>
      </c>
      <c r="Q939" t="s">
        <v>21</v>
      </c>
      <c r="R939" t="s">
        <v>876</v>
      </c>
      <c r="S939" t="s">
        <v>876</v>
      </c>
      <c r="T939" t="s">
        <v>951</v>
      </c>
      <c r="U939" t="s">
        <v>960</v>
      </c>
      <c r="V939" s="28" t="s">
        <v>7310</v>
      </c>
      <c r="W939" s="28" t="s">
        <v>7090</v>
      </c>
      <c r="X939" s="28" t="s">
        <v>7311</v>
      </c>
      <c r="Y939" s="28" t="s">
        <v>7312</v>
      </c>
      <c r="Z939" s="28" t="s">
        <v>7313</v>
      </c>
      <c r="AA939" s="28" t="s">
        <v>7314</v>
      </c>
      <c r="AB939" s="28" t="s">
        <v>7315</v>
      </c>
      <c r="AC939" s="28" t="s">
        <v>7316</v>
      </c>
    </row>
    <row r="940" spans="1:29">
      <c r="A940">
        <v>236</v>
      </c>
      <c r="B940">
        <v>2143</v>
      </c>
      <c r="C940">
        <v>2143</v>
      </c>
      <c r="D940" t="s">
        <v>21</v>
      </c>
      <c r="E940" s="22">
        <v>44497</v>
      </c>
      <c r="F940" t="s">
        <v>7269</v>
      </c>
      <c r="G940" t="s">
        <v>26</v>
      </c>
      <c r="H940">
        <v>3</v>
      </c>
      <c r="I940" t="s">
        <v>36</v>
      </c>
      <c r="J940" t="s">
        <v>68</v>
      </c>
      <c r="K940" t="s">
        <v>94</v>
      </c>
      <c r="L940" t="s">
        <v>7327</v>
      </c>
      <c r="M940">
        <v>2135</v>
      </c>
      <c r="N940" t="s">
        <v>831</v>
      </c>
      <c r="O940" t="s">
        <v>21</v>
      </c>
      <c r="P940" t="s">
        <v>21</v>
      </c>
      <c r="Q940" t="s">
        <v>21</v>
      </c>
      <c r="R940" t="s">
        <v>876</v>
      </c>
      <c r="S940" t="s">
        <v>876</v>
      </c>
      <c r="T940" t="s">
        <v>951</v>
      </c>
      <c r="U940" t="s">
        <v>960</v>
      </c>
      <c r="V940" s="28" t="s">
        <v>7310</v>
      </c>
      <c r="W940" s="28" t="s">
        <v>7090</v>
      </c>
      <c r="X940" s="28" t="s">
        <v>7311</v>
      </c>
      <c r="Y940" s="28" t="s">
        <v>7312</v>
      </c>
      <c r="Z940" s="28" t="s">
        <v>7313</v>
      </c>
      <c r="AA940" s="28" t="s">
        <v>7314</v>
      </c>
      <c r="AB940" s="28" t="s">
        <v>7315</v>
      </c>
      <c r="AC940" s="28" t="s">
        <v>7316</v>
      </c>
    </row>
    <row r="941" spans="1:29">
      <c r="A941">
        <v>237</v>
      </c>
      <c r="B941">
        <v>2143</v>
      </c>
      <c r="C941">
        <v>2143</v>
      </c>
      <c r="D941" t="s">
        <v>21</v>
      </c>
      <c r="E941" s="22">
        <v>44497</v>
      </c>
      <c r="F941" t="s">
        <v>7269</v>
      </c>
      <c r="G941" t="s">
        <v>26</v>
      </c>
      <c r="H941">
        <v>3</v>
      </c>
      <c r="I941" t="s">
        <v>36</v>
      </c>
      <c r="J941" t="s">
        <v>68</v>
      </c>
      <c r="K941" t="s">
        <v>94</v>
      </c>
      <c r="L941" t="s">
        <v>7328</v>
      </c>
      <c r="M941">
        <v>2135</v>
      </c>
      <c r="N941" t="s">
        <v>831</v>
      </c>
      <c r="O941" t="s">
        <v>21</v>
      </c>
      <c r="P941" t="s">
        <v>21</v>
      </c>
      <c r="Q941" t="s">
        <v>21</v>
      </c>
      <c r="R941" t="s">
        <v>876</v>
      </c>
      <c r="S941" t="s">
        <v>876</v>
      </c>
      <c r="T941" t="s">
        <v>951</v>
      </c>
      <c r="U941" t="s">
        <v>960</v>
      </c>
      <c r="V941" s="28" t="s">
        <v>7310</v>
      </c>
      <c r="W941" s="28" t="s">
        <v>7090</v>
      </c>
      <c r="X941" s="28" t="s">
        <v>7311</v>
      </c>
      <c r="Y941" s="28" t="s">
        <v>7312</v>
      </c>
      <c r="Z941" s="28" t="s">
        <v>7313</v>
      </c>
      <c r="AA941" s="28" t="s">
        <v>7314</v>
      </c>
      <c r="AB941" s="28" t="s">
        <v>7315</v>
      </c>
      <c r="AC941" s="28" t="s">
        <v>7316</v>
      </c>
    </row>
    <row r="942" spans="1:29">
      <c r="A942">
        <v>238</v>
      </c>
      <c r="B942">
        <v>2143</v>
      </c>
      <c r="C942">
        <v>2143</v>
      </c>
      <c r="D942" t="s">
        <v>21</v>
      </c>
      <c r="E942" s="22">
        <v>44497</v>
      </c>
      <c r="F942" t="s">
        <v>7269</v>
      </c>
      <c r="G942" t="s">
        <v>26</v>
      </c>
      <c r="H942">
        <v>3</v>
      </c>
      <c r="I942" t="s">
        <v>36</v>
      </c>
      <c r="J942" t="s">
        <v>68</v>
      </c>
      <c r="K942" t="s">
        <v>94</v>
      </c>
      <c r="L942" t="s">
        <v>7329</v>
      </c>
      <c r="M942">
        <v>2135</v>
      </c>
      <c r="N942" t="s">
        <v>831</v>
      </c>
      <c r="O942" t="s">
        <v>21</v>
      </c>
      <c r="P942" t="s">
        <v>21</v>
      </c>
      <c r="Q942" t="s">
        <v>21</v>
      </c>
      <c r="R942" t="s">
        <v>876</v>
      </c>
      <c r="S942" t="s">
        <v>876</v>
      </c>
      <c r="T942" t="s">
        <v>951</v>
      </c>
      <c r="U942" t="s">
        <v>960</v>
      </c>
      <c r="V942" s="28" t="s">
        <v>7310</v>
      </c>
      <c r="W942" s="28" t="s">
        <v>7090</v>
      </c>
      <c r="X942" s="28" t="s">
        <v>7311</v>
      </c>
      <c r="Y942" s="28" t="s">
        <v>7312</v>
      </c>
      <c r="Z942" s="28" t="s">
        <v>7313</v>
      </c>
      <c r="AA942" s="28" t="s">
        <v>7314</v>
      </c>
      <c r="AB942" s="28" t="s">
        <v>7315</v>
      </c>
      <c r="AC942" s="28" t="s">
        <v>7316</v>
      </c>
    </row>
    <row r="943" spans="1:29">
      <c r="A943">
        <v>239</v>
      </c>
      <c r="B943">
        <v>2143</v>
      </c>
      <c r="C943">
        <v>2143</v>
      </c>
      <c r="D943" t="s">
        <v>21</v>
      </c>
      <c r="E943" s="22">
        <v>44497</v>
      </c>
      <c r="F943" t="s">
        <v>7269</v>
      </c>
      <c r="G943" t="s">
        <v>26</v>
      </c>
      <c r="H943">
        <v>3</v>
      </c>
      <c r="I943" t="s">
        <v>36</v>
      </c>
      <c r="J943" t="s">
        <v>68</v>
      </c>
      <c r="K943" t="s">
        <v>94</v>
      </c>
      <c r="L943" t="s">
        <v>7330</v>
      </c>
      <c r="M943">
        <v>2135</v>
      </c>
      <c r="N943" t="s">
        <v>831</v>
      </c>
      <c r="O943" t="s">
        <v>21</v>
      </c>
      <c r="P943" t="s">
        <v>21</v>
      </c>
      <c r="Q943" t="s">
        <v>21</v>
      </c>
      <c r="R943" t="s">
        <v>876</v>
      </c>
      <c r="S943" t="s">
        <v>876</v>
      </c>
      <c r="T943" t="s">
        <v>951</v>
      </c>
      <c r="U943" t="s">
        <v>960</v>
      </c>
      <c r="V943" s="28" t="s">
        <v>7310</v>
      </c>
      <c r="W943" s="28" t="s">
        <v>7090</v>
      </c>
      <c r="X943" s="28" t="s">
        <v>7311</v>
      </c>
      <c r="Y943" s="28" t="s">
        <v>7312</v>
      </c>
      <c r="Z943" s="28" t="s">
        <v>7313</v>
      </c>
      <c r="AA943" s="28" t="s">
        <v>7314</v>
      </c>
      <c r="AB943" s="28" t="s">
        <v>7315</v>
      </c>
      <c r="AC943" s="28" t="s">
        <v>7316</v>
      </c>
    </row>
    <row r="944" spans="1:29">
      <c r="A944">
        <v>240</v>
      </c>
      <c r="B944">
        <v>2143</v>
      </c>
      <c r="C944">
        <v>2143</v>
      </c>
      <c r="D944" t="s">
        <v>21</v>
      </c>
      <c r="E944" s="22">
        <v>44497</v>
      </c>
      <c r="F944" t="s">
        <v>7269</v>
      </c>
      <c r="G944" t="s">
        <v>26</v>
      </c>
      <c r="H944">
        <v>3</v>
      </c>
      <c r="I944" t="s">
        <v>36</v>
      </c>
      <c r="J944" t="s">
        <v>68</v>
      </c>
      <c r="K944" t="s">
        <v>94</v>
      </c>
      <c r="L944" t="s">
        <v>7331</v>
      </c>
      <c r="M944">
        <v>2135</v>
      </c>
      <c r="N944" t="s">
        <v>831</v>
      </c>
      <c r="O944" t="s">
        <v>21</v>
      </c>
      <c r="P944" t="s">
        <v>21</v>
      </c>
      <c r="Q944" t="s">
        <v>21</v>
      </c>
      <c r="R944" t="s">
        <v>876</v>
      </c>
      <c r="S944" t="s">
        <v>876</v>
      </c>
      <c r="T944" t="s">
        <v>951</v>
      </c>
      <c r="U944" t="s">
        <v>960</v>
      </c>
      <c r="V944" s="28" t="s">
        <v>7310</v>
      </c>
      <c r="W944" s="28" t="s">
        <v>7090</v>
      </c>
      <c r="X944" s="28" t="s">
        <v>7311</v>
      </c>
      <c r="Y944" s="28" t="s">
        <v>7312</v>
      </c>
      <c r="Z944" s="28" t="s">
        <v>7313</v>
      </c>
      <c r="AA944" s="28" t="s">
        <v>7314</v>
      </c>
      <c r="AB944" s="28" t="s">
        <v>7315</v>
      </c>
      <c r="AC944" s="28" t="s">
        <v>7316</v>
      </c>
    </row>
    <row r="945" spans="1:29">
      <c r="A945">
        <v>241</v>
      </c>
      <c r="B945">
        <v>2143</v>
      </c>
      <c r="C945">
        <v>2143</v>
      </c>
      <c r="D945" t="s">
        <v>21</v>
      </c>
      <c r="E945" s="22">
        <v>44497</v>
      </c>
      <c r="F945" t="s">
        <v>7269</v>
      </c>
      <c r="G945" t="s">
        <v>26</v>
      </c>
      <c r="H945">
        <v>3</v>
      </c>
      <c r="I945" t="s">
        <v>36</v>
      </c>
      <c r="J945" t="s">
        <v>68</v>
      </c>
      <c r="K945" t="s">
        <v>94</v>
      </c>
      <c r="L945" t="s">
        <v>7332</v>
      </c>
      <c r="M945">
        <v>2135</v>
      </c>
      <c r="N945" t="s">
        <v>831</v>
      </c>
      <c r="O945" t="s">
        <v>21</v>
      </c>
      <c r="P945" t="s">
        <v>21</v>
      </c>
      <c r="Q945" t="s">
        <v>21</v>
      </c>
      <c r="R945" t="s">
        <v>876</v>
      </c>
      <c r="S945" t="s">
        <v>876</v>
      </c>
      <c r="T945" t="s">
        <v>951</v>
      </c>
      <c r="U945" t="s">
        <v>960</v>
      </c>
      <c r="V945" s="28" t="s">
        <v>7310</v>
      </c>
      <c r="W945" s="28" t="s">
        <v>7090</v>
      </c>
      <c r="X945" s="28" t="s">
        <v>7311</v>
      </c>
      <c r="Y945" s="28" t="s">
        <v>7312</v>
      </c>
      <c r="Z945" s="28" t="s">
        <v>7313</v>
      </c>
      <c r="AA945" s="28" t="s">
        <v>7314</v>
      </c>
      <c r="AB945" s="28" t="s">
        <v>7315</v>
      </c>
      <c r="AC945" s="28" t="s">
        <v>7316</v>
      </c>
    </row>
    <row r="946" spans="1:29">
      <c r="A946">
        <v>242</v>
      </c>
      <c r="B946">
        <v>2143</v>
      </c>
      <c r="C946">
        <v>2143</v>
      </c>
      <c r="D946" t="s">
        <v>21</v>
      </c>
      <c r="E946" s="22">
        <v>44497</v>
      </c>
      <c r="F946" t="s">
        <v>7269</v>
      </c>
      <c r="G946" t="s">
        <v>26</v>
      </c>
      <c r="H946">
        <v>3</v>
      </c>
      <c r="I946" t="s">
        <v>36</v>
      </c>
      <c r="J946" t="s">
        <v>68</v>
      </c>
      <c r="K946" t="s">
        <v>94</v>
      </c>
      <c r="L946" t="s">
        <v>7333</v>
      </c>
      <c r="M946">
        <v>2135</v>
      </c>
      <c r="N946" t="s">
        <v>831</v>
      </c>
      <c r="O946" t="s">
        <v>21</v>
      </c>
      <c r="P946" t="s">
        <v>21</v>
      </c>
      <c r="Q946" t="s">
        <v>21</v>
      </c>
      <c r="R946" t="s">
        <v>876</v>
      </c>
      <c r="S946" t="s">
        <v>876</v>
      </c>
      <c r="T946" t="s">
        <v>951</v>
      </c>
      <c r="U946" t="s">
        <v>960</v>
      </c>
      <c r="V946" s="28" t="s">
        <v>7310</v>
      </c>
      <c r="W946" s="28" t="s">
        <v>7090</v>
      </c>
      <c r="X946" s="28" t="s">
        <v>7311</v>
      </c>
      <c r="Y946" s="28" t="s">
        <v>7312</v>
      </c>
      <c r="Z946" s="28" t="s">
        <v>7313</v>
      </c>
      <c r="AA946" s="28" t="s">
        <v>7314</v>
      </c>
      <c r="AB946" s="28" t="s">
        <v>7315</v>
      </c>
      <c r="AC946" s="28" t="s">
        <v>7316</v>
      </c>
    </row>
    <row r="947" spans="1:29">
      <c r="A947">
        <v>243</v>
      </c>
      <c r="B947">
        <v>2143</v>
      </c>
      <c r="C947">
        <v>2143</v>
      </c>
      <c r="D947" t="s">
        <v>21</v>
      </c>
      <c r="E947" s="22">
        <v>44497</v>
      </c>
      <c r="F947" t="s">
        <v>7269</v>
      </c>
      <c r="G947" t="s">
        <v>26</v>
      </c>
      <c r="H947">
        <v>3</v>
      </c>
      <c r="I947" t="s">
        <v>36</v>
      </c>
      <c r="J947" t="s">
        <v>68</v>
      </c>
      <c r="K947" t="s">
        <v>94</v>
      </c>
      <c r="L947" t="s">
        <v>7334</v>
      </c>
      <c r="M947">
        <v>2135</v>
      </c>
      <c r="N947" t="s">
        <v>831</v>
      </c>
      <c r="O947" t="s">
        <v>21</v>
      </c>
      <c r="P947" t="s">
        <v>21</v>
      </c>
      <c r="Q947" t="s">
        <v>21</v>
      </c>
      <c r="R947" t="s">
        <v>876</v>
      </c>
      <c r="S947" t="s">
        <v>876</v>
      </c>
      <c r="T947" t="s">
        <v>951</v>
      </c>
      <c r="U947" t="s">
        <v>960</v>
      </c>
      <c r="V947" s="28" t="s">
        <v>7310</v>
      </c>
      <c r="W947" s="28" t="s">
        <v>7090</v>
      </c>
      <c r="X947" s="28" t="s">
        <v>7311</v>
      </c>
      <c r="Y947" s="28" t="s">
        <v>7312</v>
      </c>
      <c r="Z947" s="28" t="s">
        <v>7313</v>
      </c>
      <c r="AA947" s="28" t="s">
        <v>7314</v>
      </c>
      <c r="AB947" s="28" t="s">
        <v>7315</v>
      </c>
      <c r="AC947" s="28" t="s">
        <v>7316</v>
      </c>
    </row>
    <row r="948" spans="1:29">
      <c r="A948">
        <v>244</v>
      </c>
      <c r="B948">
        <v>2143</v>
      </c>
      <c r="C948">
        <v>2143</v>
      </c>
      <c r="D948" t="s">
        <v>21</v>
      </c>
      <c r="E948" s="22">
        <v>44497</v>
      </c>
      <c r="F948" t="s">
        <v>7269</v>
      </c>
      <c r="G948" t="s">
        <v>26</v>
      </c>
      <c r="H948">
        <v>3</v>
      </c>
      <c r="I948" t="s">
        <v>36</v>
      </c>
      <c r="J948" t="s">
        <v>68</v>
      </c>
      <c r="K948" t="s">
        <v>94</v>
      </c>
      <c r="L948" t="s">
        <v>7335</v>
      </c>
      <c r="M948">
        <v>2135</v>
      </c>
      <c r="N948" t="s">
        <v>831</v>
      </c>
      <c r="O948" t="s">
        <v>21</v>
      </c>
      <c r="P948" t="s">
        <v>21</v>
      </c>
      <c r="Q948" t="s">
        <v>21</v>
      </c>
      <c r="R948" t="s">
        <v>876</v>
      </c>
      <c r="S948" t="s">
        <v>876</v>
      </c>
      <c r="T948" t="s">
        <v>951</v>
      </c>
      <c r="U948" t="s">
        <v>960</v>
      </c>
      <c r="V948" s="28" t="s">
        <v>7310</v>
      </c>
      <c r="W948" s="28" t="s">
        <v>7090</v>
      </c>
      <c r="X948" s="28" t="s">
        <v>7311</v>
      </c>
      <c r="Y948" s="28" t="s">
        <v>7312</v>
      </c>
      <c r="Z948" s="28" t="s">
        <v>7313</v>
      </c>
      <c r="AA948" s="28" t="s">
        <v>7314</v>
      </c>
      <c r="AB948" s="28" t="s">
        <v>7315</v>
      </c>
      <c r="AC948" s="28" t="s">
        <v>7316</v>
      </c>
    </row>
    <row r="949" spans="1:29">
      <c r="A949">
        <v>245</v>
      </c>
      <c r="B949">
        <v>2143</v>
      </c>
      <c r="C949">
        <v>2143</v>
      </c>
      <c r="D949" t="s">
        <v>21</v>
      </c>
      <c r="E949" s="22">
        <v>44498</v>
      </c>
      <c r="F949" t="s">
        <v>7269</v>
      </c>
      <c r="G949" t="s">
        <v>26</v>
      </c>
      <c r="H949">
        <v>3</v>
      </c>
      <c r="I949" t="s">
        <v>36</v>
      </c>
      <c r="J949" t="s">
        <v>68</v>
      </c>
      <c r="K949" t="s">
        <v>94</v>
      </c>
      <c r="L949" t="s">
        <v>7336</v>
      </c>
      <c r="M949">
        <v>2136</v>
      </c>
      <c r="N949" t="s">
        <v>831</v>
      </c>
      <c r="O949" t="s">
        <v>21</v>
      </c>
      <c r="P949" t="s">
        <v>21</v>
      </c>
      <c r="Q949" t="s">
        <v>21</v>
      </c>
      <c r="R949" t="s">
        <v>890</v>
      </c>
      <c r="S949" t="s">
        <v>890</v>
      </c>
      <c r="T949" t="s">
        <v>908</v>
      </c>
      <c r="U949" t="s">
        <v>960</v>
      </c>
      <c r="V949" s="28" t="s">
        <v>7281</v>
      </c>
      <c r="W949" s="28" t="s">
        <v>7013</v>
      </c>
      <c r="X949" s="28" t="s">
        <v>7282</v>
      </c>
      <c r="Y949" s="28" t="s">
        <v>7015</v>
      </c>
      <c r="Z949" s="28" t="s">
        <v>7337</v>
      </c>
      <c r="AA949" s="28" t="s">
        <v>7338</v>
      </c>
      <c r="AB949" s="28" t="s">
        <v>7339</v>
      </c>
      <c r="AC949" s="28" t="s">
        <v>7340</v>
      </c>
    </row>
    <row r="950" spans="1:29">
      <c r="A950">
        <v>246</v>
      </c>
      <c r="B950">
        <v>2143</v>
      </c>
      <c r="C950">
        <v>2143</v>
      </c>
      <c r="D950" t="s">
        <v>21</v>
      </c>
      <c r="E950" s="22">
        <v>44498</v>
      </c>
      <c r="F950" t="s">
        <v>7269</v>
      </c>
      <c r="G950" t="s">
        <v>26</v>
      </c>
      <c r="H950">
        <v>3</v>
      </c>
      <c r="I950" t="s">
        <v>36</v>
      </c>
      <c r="J950" t="s">
        <v>68</v>
      </c>
      <c r="K950" t="s">
        <v>94</v>
      </c>
      <c r="L950" t="s">
        <v>7341</v>
      </c>
      <c r="M950">
        <v>2136</v>
      </c>
      <c r="N950" t="s">
        <v>831</v>
      </c>
      <c r="O950" t="s">
        <v>21</v>
      </c>
      <c r="P950" t="s">
        <v>21</v>
      </c>
      <c r="Q950" t="s">
        <v>21</v>
      </c>
      <c r="R950" t="s">
        <v>876</v>
      </c>
      <c r="S950" t="s">
        <v>876</v>
      </c>
      <c r="T950" t="s">
        <v>951</v>
      </c>
      <c r="U950" t="s">
        <v>960</v>
      </c>
      <c r="V950" s="28" t="s">
        <v>7310</v>
      </c>
      <c r="W950" s="28" t="s">
        <v>7090</v>
      </c>
      <c r="X950" s="28" t="s">
        <v>7311</v>
      </c>
      <c r="Y950" s="28" t="s">
        <v>7312</v>
      </c>
      <c r="Z950" s="28" t="s">
        <v>7313</v>
      </c>
      <c r="AA950" s="28" t="s">
        <v>7314</v>
      </c>
      <c r="AB950" s="28" t="s">
        <v>7315</v>
      </c>
      <c r="AC950" s="28" t="s">
        <v>7316</v>
      </c>
    </row>
    <row r="951" spans="1:29">
      <c r="A951">
        <v>247</v>
      </c>
      <c r="B951">
        <v>2143</v>
      </c>
      <c r="C951">
        <v>2143</v>
      </c>
      <c r="D951" t="s">
        <v>21</v>
      </c>
      <c r="E951" s="22">
        <v>44498</v>
      </c>
      <c r="F951" t="s">
        <v>7269</v>
      </c>
      <c r="G951" t="s">
        <v>26</v>
      </c>
      <c r="H951">
        <v>3</v>
      </c>
      <c r="I951" t="s">
        <v>36</v>
      </c>
      <c r="J951" t="s">
        <v>68</v>
      </c>
      <c r="K951" t="s">
        <v>94</v>
      </c>
      <c r="L951" t="s">
        <v>7342</v>
      </c>
      <c r="M951">
        <v>2136</v>
      </c>
      <c r="N951" t="s">
        <v>831</v>
      </c>
      <c r="O951" t="s">
        <v>21</v>
      </c>
      <c r="P951" t="s">
        <v>21</v>
      </c>
      <c r="Q951" t="s">
        <v>21</v>
      </c>
      <c r="R951" t="s">
        <v>876</v>
      </c>
      <c r="S951" t="s">
        <v>876</v>
      </c>
      <c r="T951" t="s">
        <v>951</v>
      </c>
      <c r="U951" t="s">
        <v>960</v>
      </c>
      <c r="V951" s="28" t="s">
        <v>7310</v>
      </c>
      <c r="W951" s="28" t="s">
        <v>7090</v>
      </c>
      <c r="X951" s="28" t="s">
        <v>7311</v>
      </c>
      <c r="Y951" s="28" t="s">
        <v>7312</v>
      </c>
      <c r="Z951" s="28" t="s">
        <v>7313</v>
      </c>
      <c r="AA951" s="28" t="s">
        <v>7314</v>
      </c>
      <c r="AB951" s="28" t="s">
        <v>7315</v>
      </c>
      <c r="AC951" s="28" t="s">
        <v>7316</v>
      </c>
    </row>
    <row r="952" spans="1:29">
      <c r="A952">
        <v>248</v>
      </c>
      <c r="B952">
        <v>2143</v>
      </c>
      <c r="C952">
        <v>2143</v>
      </c>
      <c r="D952" t="s">
        <v>21</v>
      </c>
      <c r="E952" s="22">
        <v>44498</v>
      </c>
      <c r="F952" t="s">
        <v>7269</v>
      </c>
      <c r="G952" t="s">
        <v>26</v>
      </c>
      <c r="H952">
        <v>3</v>
      </c>
      <c r="I952" t="s">
        <v>36</v>
      </c>
      <c r="J952" t="s">
        <v>68</v>
      </c>
      <c r="K952" t="s">
        <v>94</v>
      </c>
      <c r="L952" t="s">
        <v>7343</v>
      </c>
      <c r="M952">
        <v>2136</v>
      </c>
      <c r="N952" t="s">
        <v>831</v>
      </c>
      <c r="O952" t="s">
        <v>21</v>
      </c>
      <c r="P952" t="s">
        <v>21</v>
      </c>
      <c r="Q952" t="s">
        <v>21</v>
      </c>
      <c r="R952" t="s">
        <v>7344</v>
      </c>
      <c r="S952" t="s">
        <v>7344</v>
      </c>
      <c r="T952" t="s">
        <v>951</v>
      </c>
      <c r="U952" t="s">
        <v>960</v>
      </c>
      <c r="V952" s="28" t="s">
        <v>7310</v>
      </c>
      <c r="W952" s="28" t="s">
        <v>7090</v>
      </c>
      <c r="X952" s="28" t="s">
        <v>7311</v>
      </c>
      <c r="Y952" s="28" t="s">
        <v>7312</v>
      </c>
      <c r="Z952" s="28" t="s">
        <v>7313</v>
      </c>
      <c r="AA952" s="28" t="s">
        <v>7314</v>
      </c>
      <c r="AB952" s="28" t="s">
        <v>7315</v>
      </c>
      <c r="AC952" s="28" t="s">
        <v>7316</v>
      </c>
    </row>
    <row r="953" spans="1:29">
      <c r="A953">
        <v>249</v>
      </c>
      <c r="B953">
        <v>2143</v>
      </c>
      <c r="C953">
        <v>2143</v>
      </c>
      <c r="D953" t="s">
        <v>21</v>
      </c>
      <c r="E953" s="22">
        <v>44498</v>
      </c>
      <c r="F953" t="s">
        <v>7269</v>
      </c>
      <c r="G953" t="s">
        <v>26</v>
      </c>
      <c r="H953">
        <v>3</v>
      </c>
      <c r="I953" t="s">
        <v>36</v>
      </c>
      <c r="J953" t="s">
        <v>68</v>
      </c>
      <c r="K953" t="s">
        <v>94</v>
      </c>
      <c r="L953" t="s">
        <v>7345</v>
      </c>
      <c r="M953">
        <v>2136</v>
      </c>
      <c r="N953" t="s">
        <v>831</v>
      </c>
      <c r="O953" t="s">
        <v>21</v>
      </c>
      <c r="P953" t="s">
        <v>21</v>
      </c>
      <c r="Q953" t="s">
        <v>21</v>
      </c>
      <c r="R953" t="s">
        <v>876</v>
      </c>
      <c r="S953" t="s">
        <v>876</v>
      </c>
      <c r="T953" t="s">
        <v>951</v>
      </c>
      <c r="U953" t="s">
        <v>960</v>
      </c>
      <c r="V953" s="28" t="s">
        <v>7310</v>
      </c>
      <c r="W953" s="28" t="s">
        <v>7090</v>
      </c>
      <c r="X953" s="28" t="s">
        <v>7311</v>
      </c>
      <c r="Y953" s="28" t="s">
        <v>7312</v>
      </c>
      <c r="Z953" s="28" t="s">
        <v>7313</v>
      </c>
      <c r="AA953" s="28" t="s">
        <v>7314</v>
      </c>
      <c r="AB953" s="28" t="s">
        <v>7315</v>
      </c>
      <c r="AC953" s="28" t="s">
        <v>7316</v>
      </c>
    </row>
    <row r="954" spans="1:29">
      <c r="A954">
        <v>250</v>
      </c>
      <c r="B954">
        <v>2143</v>
      </c>
      <c r="C954">
        <v>2143</v>
      </c>
      <c r="D954" t="s">
        <v>21</v>
      </c>
      <c r="E954" s="22">
        <v>44498</v>
      </c>
      <c r="F954" t="s">
        <v>7269</v>
      </c>
      <c r="G954" t="s">
        <v>26</v>
      </c>
      <c r="H954">
        <v>3</v>
      </c>
      <c r="I954" t="s">
        <v>36</v>
      </c>
      <c r="J954" t="s">
        <v>68</v>
      </c>
      <c r="K954" t="s">
        <v>94</v>
      </c>
      <c r="L954" t="s">
        <v>7346</v>
      </c>
      <c r="M954">
        <v>2136</v>
      </c>
      <c r="N954" t="s">
        <v>831</v>
      </c>
      <c r="O954" t="s">
        <v>21</v>
      </c>
      <c r="P954" t="s">
        <v>21</v>
      </c>
      <c r="Q954" t="s">
        <v>21</v>
      </c>
      <c r="R954" t="s">
        <v>876</v>
      </c>
      <c r="S954" t="s">
        <v>876</v>
      </c>
      <c r="T954" t="s">
        <v>951</v>
      </c>
      <c r="U954" t="s">
        <v>960</v>
      </c>
      <c r="V954" s="28" t="s">
        <v>7310</v>
      </c>
      <c r="W954" s="28" t="s">
        <v>7090</v>
      </c>
      <c r="X954" s="28" t="s">
        <v>7311</v>
      </c>
      <c r="Y954" s="28" t="s">
        <v>7312</v>
      </c>
      <c r="Z954" s="28" t="s">
        <v>7313</v>
      </c>
      <c r="AA954" s="28" t="s">
        <v>7314</v>
      </c>
      <c r="AB954" s="28" t="s">
        <v>7315</v>
      </c>
      <c r="AC954" s="28" t="s">
        <v>7316</v>
      </c>
    </row>
    <row r="955" spans="1:29">
      <c r="A955">
        <v>251</v>
      </c>
      <c r="B955">
        <v>2143</v>
      </c>
      <c r="C955">
        <v>2143</v>
      </c>
      <c r="D955" t="s">
        <v>21</v>
      </c>
      <c r="E955" s="22">
        <v>44498</v>
      </c>
      <c r="F955" t="s">
        <v>7269</v>
      </c>
      <c r="G955" t="s">
        <v>26</v>
      </c>
      <c r="H955">
        <v>3</v>
      </c>
      <c r="I955" t="s">
        <v>36</v>
      </c>
      <c r="J955" t="s">
        <v>68</v>
      </c>
      <c r="K955" t="s">
        <v>94</v>
      </c>
      <c r="L955" t="s">
        <v>7347</v>
      </c>
      <c r="M955">
        <v>2136</v>
      </c>
      <c r="N955" t="s">
        <v>831</v>
      </c>
      <c r="O955" t="s">
        <v>21</v>
      </c>
      <c r="P955" t="s">
        <v>21</v>
      </c>
      <c r="Q955" t="s">
        <v>21</v>
      </c>
      <c r="R955" t="s">
        <v>876</v>
      </c>
      <c r="S955" t="s">
        <v>876</v>
      </c>
      <c r="T955" t="s">
        <v>951</v>
      </c>
      <c r="U955" t="s">
        <v>960</v>
      </c>
      <c r="V955" s="28" t="s">
        <v>7310</v>
      </c>
      <c r="W955" s="28" t="s">
        <v>7090</v>
      </c>
      <c r="X955" s="28" t="s">
        <v>7311</v>
      </c>
      <c r="Y955" s="28" t="s">
        <v>7312</v>
      </c>
      <c r="Z955" s="28" t="s">
        <v>7313</v>
      </c>
      <c r="AA955" s="28" t="s">
        <v>7314</v>
      </c>
      <c r="AB955" s="28" t="s">
        <v>7315</v>
      </c>
      <c r="AC955" s="28" t="s">
        <v>7316</v>
      </c>
    </row>
    <row r="956" spans="1:29">
      <c r="A956">
        <v>252</v>
      </c>
      <c r="B956">
        <v>2143</v>
      </c>
      <c r="C956">
        <v>2143</v>
      </c>
      <c r="D956" t="s">
        <v>21</v>
      </c>
      <c r="E956" s="22">
        <v>44498</v>
      </c>
      <c r="F956" t="s">
        <v>7269</v>
      </c>
      <c r="G956" t="s">
        <v>26</v>
      </c>
      <c r="H956">
        <v>3</v>
      </c>
      <c r="I956" t="s">
        <v>36</v>
      </c>
      <c r="J956" t="s">
        <v>68</v>
      </c>
      <c r="K956" t="s">
        <v>94</v>
      </c>
      <c r="L956" t="s">
        <v>7348</v>
      </c>
      <c r="M956">
        <v>2136</v>
      </c>
      <c r="N956" t="s">
        <v>831</v>
      </c>
      <c r="O956" t="s">
        <v>21</v>
      </c>
      <c r="P956" t="s">
        <v>21</v>
      </c>
      <c r="Q956" t="s">
        <v>21</v>
      </c>
      <c r="R956" t="s">
        <v>876</v>
      </c>
      <c r="S956" t="s">
        <v>876</v>
      </c>
      <c r="T956" t="s">
        <v>951</v>
      </c>
      <c r="U956" t="s">
        <v>960</v>
      </c>
      <c r="V956" s="28" t="s">
        <v>7310</v>
      </c>
      <c r="W956" s="28" t="s">
        <v>7090</v>
      </c>
      <c r="X956" s="28" t="s">
        <v>7311</v>
      </c>
      <c r="Y956" s="28" t="s">
        <v>7312</v>
      </c>
      <c r="Z956" s="28" t="s">
        <v>7313</v>
      </c>
      <c r="AA956" s="28" t="s">
        <v>7314</v>
      </c>
      <c r="AB956" s="28" t="s">
        <v>7315</v>
      </c>
      <c r="AC956" s="28" t="s">
        <v>7316</v>
      </c>
    </row>
    <row r="957" spans="1:29">
      <c r="A957">
        <v>253</v>
      </c>
      <c r="B957">
        <v>2143</v>
      </c>
      <c r="C957">
        <v>2143</v>
      </c>
      <c r="D957" t="s">
        <v>21</v>
      </c>
      <c r="E957" s="22">
        <v>44498</v>
      </c>
      <c r="F957" t="s">
        <v>7269</v>
      </c>
      <c r="G957" t="s">
        <v>26</v>
      </c>
      <c r="H957">
        <v>3</v>
      </c>
      <c r="I957" t="s">
        <v>36</v>
      </c>
      <c r="J957" t="s">
        <v>68</v>
      </c>
      <c r="K957" t="s">
        <v>94</v>
      </c>
      <c r="L957" t="s">
        <v>7349</v>
      </c>
      <c r="M957">
        <v>2136</v>
      </c>
      <c r="N957" t="s">
        <v>831</v>
      </c>
      <c r="O957" t="s">
        <v>21</v>
      </c>
      <c r="P957" t="s">
        <v>21</v>
      </c>
      <c r="Q957" t="s">
        <v>21</v>
      </c>
      <c r="R957" t="s">
        <v>876</v>
      </c>
      <c r="S957" t="s">
        <v>876</v>
      </c>
      <c r="T957" t="s">
        <v>951</v>
      </c>
      <c r="U957" t="s">
        <v>960</v>
      </c>
      <c r="V957" s="28" t="s">
        <v>7310</v>
      </c>
      <c r="W957" s="28" t="s">
        <v>7090</v>
      </c>
      <c r="X957" s="28" t="s">
        <v>7311</v>
      </c>
      <c r="Y957" s="28" t="s">
        <v>7312</v>
      </c>
      <c r="Z957" s="28" t="s">
        <v>7313</v>
      </c>
      <c r="AA957" s="28" t="s">
        <v>7314</v>
      </c>
      <c r="AB957" s="28" t="s">
        <v>7315</v>
      </c>
      <c r="AC957" s="28" t="s">
        <v>7316</v>
      </c>
    </row>
    <row r="958" spans="1:29">
      <c r="A958">
        <v>254</v>
      </c>
      <c r="B958">
        <v>2143</v>
      </c>
      <c r="C958">
        <v>2143</v>
      </c>
      <c r="D958" t="s">
        <v>21</v>
      </c>
      <c r="E958" s="22">
        <v>44498</v>
      </c>
      <c r="F958" t="s">
        <v>7269</v>
      </c>
      <c r="G958" t="s">
        <v>26</v>
      </c>
      <c r="H958">
        <v>3</v>
      </c>
      <c r="I958" t="s">
        <v>36</v>
      </c>
      <c r="J958" t="s">
        <v>68</v>
      </c>
      <c r="K958" t="s">
        <v>94</v>
      </c>
      <c r="L958" t="s">
        <v>7350</v>
      </c>
      <c r="M958">
        <v>2136</v>
      </c>
      <c r="N958" t="s">
        <v>831</v>
      </c>
      <c r="O958" t="s">
        <v>21</v>
      </c>
      <c r="P958" t="s">
        <v>21</v>
      </c>
      <c r="Q958" t="s">
        <v>21</v>
      </c>
      <c r="R958" t="s">
        <v>876</v>
      </c>
      <c r="S958" t="s">
        <v>876</v>
      </c>
      <c r="T958" t="s">
        <v>951</v>
      </c>
      <c r="U958" t="s">
        <v>960</v>
      </c>
      <c r="V958" s="28" t="s">
        <v>7310</v>
      </c>
      <c r="W958" s="28" t="s">
        <v>7090</v>
      </c>
      <c r="X958" s="28" t="s">
        <v>7311</v>
      </c>
      <c r="Y958" s="28" t="s">
        <v>7312</v>
      </c>
      <c r="Z958" s="28" t="s">
        <v>7313</v>
      </c>
      <c r="AA958" s="28" t="s">
        <v>7314</v>
      </c>
      <c r="AB958" s="28" t="s">
        <v>7315</v>
      </c>
      <c r="AC958" s="28" t="s">
        <v>7316</v>
      </c>
    </row>
    <row r="959" spans="1:29">
      <c r="A959">
        <v>255</v>
      </c>
      <c r="B959">
        <v>2143</v>
      </c>
      <c r="C959">
        <v>2143</v>
      </c>
      <c r="D959" t="s">
        <v>21</v>
      </c>
      <c r="E959" s="22">
        <v>44498</v>
      </c>
      <c r="F959" t="s">
        <v>7269</v>
      </c>
      <c r="G959" t="s">
        <v>26</v>
      </c>
      <c r="H959">
        <v>3</v>
      </c>
      <c r="I959" t="s">
        <v>36</v>
      </c>
      <c r="J959" t="s">
        <v>68</v>
      </c>
      <c r="K959" t="s">
        <v>94</v>
      </c>
      <c r="L959" t="s">
        <v>7351</v>
      </c>
      <c r="M959">
        <v>2136</v>
      </c>
      <c r="N959" t="s">
        <v>831</v>
      </c>
      <c r="O959" t="s">
        <v>21</v>
      </c>
      <c r="P959" t="s">
        <v>21</v>
      </c>
      <c r="Q959" t="s">
        <v>21</v>
      </c>
      <c r="R959" t="s">
        <v>876</v>
      </c>
      <c r="S959" t="s">
        <v>876</v>
      </c>
      <c r="T959" t="s">
        <v>951</v>
      </c>
      <c r="U959" t="s">
        <v>960</v>
      </c>
      <c r="V959" s="28" t="s">
        <v>7310</v>
      </c>
      <c r="W959" s="28" t="s">
        <v>7090</v>
      </c>
      <c r="X959" s="28" t="s">
        <v>7311</v>
      </c>
      <c r="Y959" s="28" t="s">
        <v>7312</v>
      </c>
      <c r="Z959" s="28" t="s">
        <v>7313</v>
      </c>
      <c r="AA959" s="28" t="s">
        <v>7314</v>
      </c>
      <c r="AB959" s="28" t="s">
        <v>7315</v>
      </c>
      <c r="AC959" s="28" t="s">
        <v>7316</v>
      </c>
    </row>
    <row r="960" spans="1:29">
      <c r="A960">
        <v>256</v>
      </c>
      <c r="B960">
        <v>2143</v>
      </c>
      <c r="C960">
        <v>2143</v>
      </c>
      <c r="D960" t="s">
        <v>21</v>
      </c>
      <c r="E960" s="22">
        <v>44498</v>
      </c>
      <c r="F960" t="s">
        <v>7269</v>
      </c>
      <c r="G960" t="s">
        <v>26</v>
      </c>
      <c r="H960">
        <v>3</v>
      </c>
      <c r="I960" t="s">
        <v>36</v>
      </c>
      <c r="J960" t="s">
        <v>68</v>
      </c>
      <c r="K960" t="s">
        <v>94</v>
      </c>
      <c r="L960" t="s">
        <v>7352</v>
      </c>
      <c r="M960">
        <v>2136</v>
      </c>
      <c r="N960" t="s">
        <v>831</v>
      </c>
      <c r="O960" t="s">
        <v>21</v>
      </c>
      <c r="P960" t="s">
        <v>21</v>
      </c>
      <c r="Q960" t="s">
        <v>21</v>
      </c>
      <c r="R960" t="s">
        <v>876</v>
      </c>
      <c r="S960" t="s">
        <v>876</v>
      </c>
      <c r="T960" t="s">
        <v>951</v>
      </c>
      <c r="U960" t="s">
        <v>960</v>
      </c>
      <c r="V960" s="28" t="s">
        <v>7310</v>
      </c>
      <c r="W960" s="28" t="s">
        <v>7090</v>
      </c>
      <c r="X960" s="28" t="s">
        <v>7311</v>
      </c>
      <c r="Y960" s="28" t="s">
        <v>7312</v>
      </c>
      <c r="Z960" s="28" t="s">
        <v>7313</v>
      </c>
      <c r="AA960" s="28" t="s">
        <v>7314</v>
      </c>
      <c r="AB960" s="28" t="s">
        <v>7315</v>
      </c>
      <c r="AC960" s="28" t="s">
        <v>7316</v>
      </c>
    </row>
    <row r="961" spans="1:29">
      <c r="A961">
        <v>257</v>
      </c>
      <c r="B961">
        <v>2143</v>
      </c>
      <c r="C961">
        <v>2143</v>
      </c>
      <c r="D961" t="s">
        <v>21</v>
      </c>
      <c r="E961" s="22">
        <v>44498</v>
      </c>
      <c r="F961" t="s">
        <v>7269</v>
      </c>
      <c r="G961" t="s">
        <v>26</v>
      </c>
      <c r="H961">
        <v>3</v>
      </c>
      <c r="I961" t="s">
        <v>36</v>
      </c>
      <c r="J961" t="s">
        <v>68</v>
      </c>
      <c r="K961" t="s">
        <v>94</v>
      </c>
      <c r="L961" t="s">
        <v>7353</v>
      </c>
      <c r="M961">
        <v>2136</v>
      </c>
      <c r="N961" t="s">
        <v>831</v>
      </c>
      <c r="O961" t="s">
        <v>21</v>
      </c>
      <c r="P961" t="s">
        <v>21</v>
      </c>
      <c r="Q961" t="s">
        <v>21</v>
      </c>
      <c r="R961" t="s">
        <v>876</v>
      </c>
      <c r="S961" t="s">
        <v>876</v>
      </c>
      <c r="T961" t="s">
        <v>951</v>
      </c>
      <c r="U961" t="s">
        <v>960</v>
      </c>
      <c r="V961" s="28" t="s">
        <v>7310</v>
      </c>
      <c r="W961" s="28" t="s">
        <v>7090</v>
      </c>
      <c r="X961" s="28" t="s">
        <v>7311</v>
      </c>
      <c r="Y961" s="28" t="s">
        <v>7312</v>
      </c>
      <c r="Z961" s="28" t="s">
        <v>7313</v>
      </c>
      <c r="AA961" s="28" t="s">
        <v>7314</v>
      </c>
      <c r="AB961" s="28" t="s">
        <v>7315</v>
      </c>
      <c r="AC961" s="28" t="s">
        <v>7316</v>
      </c>
    </row>
    <row r="962" spans="1:29">
      <c r="A962">
        <v>258</v>
      </c>
      <c r="B962">
        <v>2143</v>
      </c>
      <c r="C962">
        <v>2143</v>
      </c>
      <c r="D962" t="s">
        <v>21</v>
      </c>
      <c r="E962" s="22">
        <v>44498</v>
      </c>
      <c r="F962" t="s">
        <v>7269</v>
      </c>
      <c r="G962" t="s">
        <v>26</v>
      </c>
      <c r="H962">
        <v>3</v>
      </c>
      <c r="I962" t="s">
        <v>36</v>
      </c>
      <c r="J962" t="s">
        <v>68</v>
      </c>
      <c r="K962" t="s">
        <v>94</v>
      </c>
      <c r="L962" t="s">
        <v>7354</v>
      </c>
      <c r="M962">
        <v>2136</v>
      </c>
      <c r="N962" t="s">
        <v>831</v>
      </c>
      <c r="O962" t="s">
        <v>21</v>
      </c>
      <c r="P962" t="s">
        <v>21</v>
      </c>
      <c r="Q962" t="s">
        <v>21</v>
      </c>
      <c r="R962" t="s">
        <v>876</v>
      </c>
      <c r="S962" t="s">
        <v>876</v>
      </c>
      <c r="T962" t="s">
        <v>951</v>
      </c>
      <c r="U962" t="s">
        <v>960</v>
      </c>
      <c r="V962" s="28" t="s">
        <v>7310</v>
      </c>
      <c r="W962" s="28" t="s">
        <v>7090</v>
      </c>
      <c r="X962" s="28" t="s">
        <v>7311</v>
      </c>
      <c r="Y962" s="28" t="s">
        <v>7312</v>
      </c>
      <c r="Z962" s="28" t="s">
        <v>7313</v>
      </c>
      <c r="AA962" s="28" t="s">
        <v>7314</v>
      </c>
      <c r="AB962" s="28" t="s">
        <v>7315</v>
      </c>
      <c r="AC962" s="28" t="s">
        <v>7316</v>
      </c>
    </row>
    <row r="963" spans="1:29">
      <c r="A963">
        <v>259</v>
      </c>
      <c r="B963">
        <v>2143</v>
      </c>
      <c r="C963">
        <v>2143</v>
      </c>
      <c r="D963" t="s">
        <v>21</v>
      </c>
      <c r="E963" s="22">
        <v>44498</v>
      </c>
      <c r="F963" t="s">
        <v>7269</v>
      </c>
      <c r="G963" t="s">
        <v>26</v>
      </c>
      <c r="H963">
        <v>3</v>
      </c>
      <c r="I963" t="s">
        <v>36</v>
      </c>
      <c r="J963" t="s">
        <v>68</v>
      </c>
      <c r="K963" t="s">
        <v>94</v>
      </c>
      <c r="L963" t="s">
        <v>7355</v>
      </c>
      <c r="M963">
        <v>2136</v>
      </c>
      <c r="N963" t="s">
        <v>831</v>
      </c>
      <c r="O963" t="s">
        <v>21</v>
      </c>
      <c r="P963" t="s">
        <v>21</v>
      </c>
      <c r="Q963" t="s">
        <v>21</v>
      </c>
      <c r="R963" t="s">
        <v>876</v>
      </c>
      <c r="S963" t="s">
        <v>876</v>
      </c>
      <c r="T963" t="s">
        <v>951</v>
      </c>
      <c r="U963" t="s">
        <v>960</v>
      </c>
      <c r="V963" s="28" t="s">
        <v>7310</v>
      </c>
      <c r="W963" s="28" t="s">
        <v>7090</v>
      </c>
      <c r="X963" s="28" t="s">
        <v>7311</v>
      </c>
      <c r="Y963" s="28" t="s">
        <v>7312</v>
      </c>
      <c r="Z963" s="28" t="s">
        <v>7313</v>
      </c>
      <c r="AA963" s="28" t="s">
        <v>7314</v>
      </c>
      <c r="AB963" s="28" t="s">
        <v>7315</v>
      </c>
      <c r="AC963" s="28" t="s">
        <v>7316</v>
      </c>
    </row>
    <row r="964" spans="1:29">
      <c r="A964">
        <v>260</v>
      </c>
      <c r="B964">
        <v>2143</v>
      </c>
      <c r="C964">
        <v>2143</v>
      </c>
      <c r="D964" t="s">
        <v>21</v>
      </c>
      <c r="E964" s="22">
        <v>44498</v>
      </c>
      <c r="F964" t="s">
        <v>7269</v>
      </c>
      <c r="G964" t="s">
        <v>26</v>
      </c>
      <c r="H964">
        <v>3</v>
      </c>
      <c r="I964" t="s">
        <v>36</v>
      </c>
      <c r="J964" t="s">
        <v>68</v>
      </c>
      <c r="K964" t="s">
        <v>94</v>
      </c>
      <c r="L964" t="s">
        <v>7356</v>
      </c>
      <c r="M964">
        <v>2136</v>
      </c>
      <c r="N964" t="s">
        <v>831</v>
      </c>
      <c r="O964" t="s">
        <v>21</v>
      </c>
      <c r="P964" t="s">
        <v>21</v>
      </c>
      <c r="Q964" t="s">
        <v>21</v>
      </c>
      <c r="R964" t="s">
        <v>876</v>
      </c>
      <c r="S964" t="s">
        <v>876</v>
      </c>
      <c r="T964" t="s">
        <v>951</v>
      </c>
      <c r="U964" t="s">
        <v>960</v>
      </c>
      <c r="V964" s="28" t="s">
        <v>7310</v>
      </c>
      <c r="W964" s="28" t="s">
        <v>7090</v>
      </c>
      <c r="X964" s="28" t="s">
        <v>7311</v>
      </c>
      <c r="Y964" s="28" t="s">
        <v>7312</v>
      </c>
      <c r="Z964" s="28" t="s">
        <v>7313</v>
      </c>
      <c r="AA964" s="28" t="s">
        <v>7314</v>
      </c>
      <c r="AB964" s="28" t="s">
        <v>7315</v>
      </c>
      <c r="AC964" s="28" t="s">
        <v>7316</v>
      </c>
    </row>
    <row r="965" spans="1:29">
      <c r="A965">
        <v>261</v>
      </c>
      <c r="B965">
        <v>2143</v>
      </c>
      <c r="C965">
        <v>2143</v>
      </c>
      <c r="D965" t="s">
        <v>21</v>
      </c>
      <c r="E965" s="22">
        <v>44498</v>
      </c>
      <c r="F965" t="s">
        <v>7269</v>
      </c>
      <c r="G965" t="s">
        <v>26</v>
      </c>
      <c r="H965">
        <v>3</v>
      </c>
      <c r="I965" t="s">
        <v>36</v>
      </c>
      <c r="J965" t="s">
        <v>68</v>
      </c>
      <c r="K965" t="s">
        <v>94</v>
      </c>
      <c r="L965" t="s">
        <v>7357</v>
      </c>
      <c r="M965">
        <v>2136</v>
      </c>
      <c r="N965" t="s">
        <v>831</v>
      </c>
      <c r="O965" t="s">
        <v>21</v>
      </c>
      <c r="P965" t="s">
        <v>21</v>
      </c>
      <c r="Q965" t="s">
        <v>21</v>
      </c>
      <c r="R965" t="s">
        <v>876</v>
      </c>
      <c r="S965" t="s">
        <v>876</v>
      </c>
      <c r="T965" t="s">
        <v>951</v>
      </c>
      <c r="U965" t="s">
        <v>960</v>
      </c>
      <c r="V965" s="28" t="s">
        <v>7310</v>
      </c>
      <c r="W965" s="28" t="s">
        <v>7090</v>
      </c>
      <c r="X965" s="28" t="s">
        <v>7311</v>
      </c>
      <c r="Y965" s="28" t="s">
        <v>7312</v>
      </c>
      <c r="Z965" s="28" t="s">
        <v>7313</v>
      </c>
      <c r="AA965" s="28" t="s">
        <v>7314</v>
      </c>
      <c r="AB965" s="28" t="s">
        <v>7315</v>
      </c>
      <c r="AC965" s="28" t="s">
        <v>7316</v>
      </c>
    </row>
    <row r="966" spans="1:29">
      <c r="A966">
        <v>262</v>
      </c>
      <c r="B966">
        <v>2143</v>
      </c>
      <c r="C966">
        <v>2143</v>
      </c>
      <c r="D966" t="s">
        <v>21</v>
      </c>
      <c r="E966" s="22">
        <v>44498</v>
      </c>
      <c r="F966" t="s">
        <v>7269</v>
      </c>
      <c r="G966" t="s">
        <v>26</v>
      </c>
      <c r="H966">
        <v>3</v>
      </c>
      <c r="I966" t="s">
        <v>36</v>
      </c>
      <c r="J966" t="s">
        <v>68</v>
      </c>
      <c r="K966" t="s">
        <v>94</v>
      </c>
      <c r="L966" t="s">
        <v>7358</v>
      </c>
      <c r="M966">
        <v>2136</v>
      </c>
      <c r="N966" t="s">
        <v>831</v>
      </c>
      <c r="O966" t="s">
        <v>21</v>
      </c>
      <c r="P966" t="s">
        <v>21</v>
      </c>
      <c r="Q966" t="s">
        <v>21</v>
      </c>
      <c r="R966" t="s">
        <v>876</v>
      </c>
      <c r="S966" t="s">
        <v>876</v>
      </c>
      <c r="T966" t="s">
        <v>951</v>
      </c>
      <c r="U966" t="s">
        <v>960</v>
      </c>
      <c r="V966" s="28" t="s">
        <v>7310</v>
      </c>
      <c r="W966" s="28" t="s">
        <v>7090</v>
      </c>
      <c r="X966" s="28" t="s">
        <v>7311</v>
      </c>
      <c r="Y966" s="28" t="s">
        <v>7312</v>
      </c>
      <c r="Z966" s="28" t="s">
        <v>7313</v>
      </c>
      <c r="AA966" s="28" t="s">
        <v>7314</v>
      </c>
      <c r="AB966" s="28" t="s">
        <v>7315</v>
      </c>
      <c r="AC966" s="28" t="s">
        <v>7316</v>
      </c>
    </row>
    <row r="967" spans="1:29">
      <c r="A967">
        <v>263</v>
      </c>
      <c r="B967">
        <v>2143</v>
      </c>
      <c r="C967" t="s">
        <v>21</v>
      </c>
      <c r="D967" t="s">
        <v>21</v>
      </c>
      <c r="E967" s="22">
        <v>44498</v>
      </c>
      <c r="F967" t="s">
        <v>7269</v>
      </c>
      <c r="G967" t="s">
        <v>26</v>
      </c>
      <c r="H967">
        <v>1</v>
      </c>
      <c r="I967" t="s">
        <v>41</v>
      </c>
      <c r="J967" t="s">
        <v>21</v>
      </c>
      <c r="K967" t="s">
        <v>86</v>
      </c>
      <c r="L967" t="s">
        <v>7359</v>
      </c>
      <c r="M967">
        <v>2136</v>
      </c>
      <c r="N967" t="s">
        <v>832</v>
      </c>
      <c r="O967" t="s">
        <v>21</v>
      </c>
      <c r="P967" t="s">
        <v>21</v>
      </c>
      <c r="Q967" t="s">
        <v>21</v>
      </c>
      <c r="R967" t="s">
        <v>21</v>
      </c>
      <c r="S967" t="s">
        <v>881</v>
      </c>
      <c r="T967" t="s">
        <v>949</v>
      </c>
    </row>
    <row r="968" spans="1:29">
      <c r="A968">
        <v>74</v>
      </c>
      <c r="B968">
        <v>2141</v>
      </c>
      <c r="C968">
        <v>2141</v>
      </c>
      <c r="D968" t="s">
        <v>23</v>
      </c>
      <c r="E968" s="22">
        <v>44481</v>
      </c>
      <c r="F968" s="23">
        <v>44481</v>
      </c>
      <c r="G968" t="s">
        <v>965</v>
      </c>
      <c r="H968" t="s">
        <v>28</v>
      </c>
      <c r="I968" t="s">
        <v>23</v>
      </c>
      <c r="J968" t="s">
        <v>61</v>
      </c>
      <c r="K968" t="s">
        <v>101</v>
      </c>
      <c r="L968" t="s">
        <v>7056</v>
      </c>
      <c r="M968">
        <v>2114</v>
      </c>
      <c r="N968" t="s">
        <v>850</v>
      </c>
      <c r="O968" t="s">
        <v>866</v>
      </c>
      <c r="P968" t="s">
        <v>21</v>
      </c>
      <c r="Q968" t="s">
        <v>21</v>
      </c>
      <c r="R968" t="s">
        <v>913</v>
      </c>
      <c r="S968" t="s">
        <v>913</v>
      </c>
      <c r="T968" t="s">
        <v>957</v>
      </c>
      <c r="U968" t="s">
        <v>961</v>
      </c>
      <c r="V968" s="28" t="s">
        <v>7057</v>
      </c>
      <c r="W968" s="28" t="s">
        <v>7058</v>
      </c>
      <c r="X968" s="28" t="s">
        <v>7059</v>
      </c>
      <c r="Y968" s="28" t="s">
        <v>7060</v>
      </c>
      <c r="Z968" s="28" t="s">
        <v>7061</v>
      </c>
      <c r="AA968" s="28" t="s">
        <v>7062</v>
      </c>
      <c r="AB968" s="28" t="s">
        <v>7063</v>
      </c>
      <c r="AC968" s="28" t="s">
        <v>7064</v>
      </c>
    </row>
    <row r="969" spans="1:29">
      <c r="A969">
        <v>75</v>
      </c>
      <c r="B969">
        <v>2141</v>
      </c>
      <c r="C969">
        <v>2141</v>
      </c>
      <c r="D969" t="s">
        <v>23</v>
      </c>
      <c r="E969" s="22">
        <v>44481</v>
      </c>
      <c r="F969" s="23">
        <v>44481</v>
      </c>
      <c r="G969" t="s">
        <v>965</v>
      </c>
      <c r="H969" t="s">
        <v>28</v>
      </c>
      <c r="I969" t="s">
        <v>23</v>
      </c>
      <c r="J969" t="s">
        <v>61</v>
      </c>
      <c r="K969" t="s">
        <v>101</v>
      </c>
      <c r="L969" t="s">
        <v>7066</v>
      </c>
      <c r="M969">
        <v>2112</v>
      </c>
      <c r="N969" t="s">
        <v>850</v>
      </c>
      <c r="O969" t="s">
        <v>866</v>
      </c>
      <c r="P969" t="s">
        <v>21</v>
      </c>
      <c r="Q969" t="s">
        <v>21</v>
      </c>
      <c r="R969" t="s">
        <v>913</v>
      </c>
      <c r="S969" t="s">
        <v>913</v>
      </c>
      <c r="T969" t="s">
        <v>957</v>
      </c>
      <c r="U969" t="s">
        <v>961</v>
      </c>
      <c r="V969" s="28" t="s">
        <v>7057</v>
      </c>
      <c r="W969" s="28" t="s">
        <v>7058</v>
      </c>
      <c r="X969" s="28" t="s">
        <v>7059</v>
      </c>
      <c r="Y969" s="28" t="s">
        <v>7060</v>
      </c>
      <c r="Z969" s="28" t="s">
        <v>7061</v>
      </c>
      <c r="AA969" s="28" t="s">
        <v>7062</v>
      </c>
      <c r="AB969" s="28" t="s">
        <v>7063</v>
      </c>
      <c r="AC969" s="28" t="s">
        <v>7064</v>
      </c>
    </row>
    <row r="970" spans="1:29">
      <c r="A970">
        <v>76</v>
      </c>
      <c r="B970">
        <v>2143</v>
      </c>
      <c r="C970">
        <v>2143</v>
      </c>
      <c r="D970" t="s">
        <v>23</v>
      </c>
      <c r="E970" s="22">
        <v>44498</v>
      </c>
      <c r="F970" s="23">
        <v>44498</v>
      </c>
      <c r="G970" t="s">
        <v>965</v>
      </c>
      <c r="H970" t="s">
        <v>28</v>
      </c>
      <c r="I970" t="s">
        <v>23</v>
      </c>
      <c r="J970" t="s">
        <v>61</v>
      </c>
      <c r="K970" t="s">
        <v>101</v>
      </c>
      <c r="L970" t="s">
        <v>7360</v>
      </c>
      <c r="M970">
        <v>2114</v>
      </c>
      <c r="N970" t="s">
        <v>850</v>
      </c>
      <c r="O970" t="s">
        <v>866</v>
      </c>
      <c r="P970" t="s">
        <v>21</v>
      </c>
      <c r="Q970" t="s">
        <v>21</v>
      </c>
      <c r="R970" t="s">
        <v>913</v>
      </c>
      <c r="S970" t="s">
        <v>913</v>
      </c>
      <c r="T970" t="s">
        <v>957</v>
      </c>
      <c r="U970" t="s">
        <v>961</v>
      </c>
      <c r="V970" s="28" t="s">
        <v>7361</v>
      </c>
      <c r="W970" s="28" t="s">
        <v>7058</v>
      </c>
      <c r="X970" s="28" t="s">
        <v>7362</v>
      </c>
      <c r="Y970" s="28" t="s">
        <v>7060</v>
      </c>
      <c r="Z970" s="28" t="s">
        <v>7363</v>
      </c>
      <c r="AA970" s="28" t="s">
        <v>7062</v>
      </c>
      <c r="AB970" s="28" t="s">
        <v>7364</v>
      </c>
      <c r="AC970" s="28" t="s">
        <v>7064</v>
      </c>
    </row>
    <row r="971" spans="1:29">
      <c r="A971">
        <v>41</v>
      </c>
      <c r="B971">
        <v>2143</v>
      </c>
      <c r="C971">
        <v>2143</v>
      </c>
      <c r="D971" t="s">
        <v>23</v>
      </c>
      <c r="E971" s="22">
        <v>44497</v>
      </c>
      <c r="F971" s="23">
        <v>44497</v>
      </c>
      <c r="G971" t="s">
        <v>965</v>
      </c>
      <c r="H971" t="s">
        <v>28</v>
      </c>
      <c r="I971" t="s">
        <v>23</v>
      </c>
      <c r="J971" t="s">
        <v>68</v>
      </c>
      <c r="K971" t="s">
        <v>107</v>
      </c>
      <c r="L971" t="s">
        <v>7365</v>
      </c>
      <c r="M971">
        <v>2131</v>
      </c>
      <c r="N971" t="s">
        <v>858</v>
      </c>
      <c r="O971" t="s">
        <v>866</v>
      </c>
      <c r="P971" t="s">
        <v>21</v>
      </c>
      <c r="Q971" t="s">
        <v>21</v>
      </c>
      <c r="R971" t="s">
        <v>922</v>
      </c>
      <c r="S971" t="s">
        <v>922</v>
      </c>
      <c r="T971" t="s">
        <v>28</v>
      </c>
      <c r="U971" t="s">
        <v>960</v>
      </c>
      <c r="V971" s="28" t="s">
        <v>7276</v>
      </c>
      <c r="W971" s="28" t="s">
        <v>6733</v>
      </c>
      <c r="X971" s="28" t="s">
        <v>7366</v>
      </c>
      <c r="Y971" s="28" t="s">
        <v>7084</v>
      </c>
      <c r="Z971" s="28" t="s">
        <v>7367</v>
      </c>
      <c r="AA971" s="28" t="s">
        <v>7368</v>
      </c>
      <c r="AB971" s="28" t="s">
        <v>7369</v>
      </c>
      <c r="AC971" s="28" t="s">
        <v>7370</v>
      </c>
    </row>
    <row r="972" spans="1:29">
      <c r="A972">
        <v>42</v>
      </c>
      <c r="B972">
        <v>2143</v>
      </c>
      <c r="C972">
        <v>2143</v>
      </c>
      <c r="D972" t="s">
        <v>23</v>
      </c>
      <c r="E972" s="22">
        <v>44498</v>
      </c>
      <c r="F972" s="23">
        <v>44498</v>
      </c>
      <c r="G972" t="s">
        <v>965</v>
      </c>
      <c r="H972" t="s">
        <v>28</v>
      </c>
      <c r="I972" t="s">
        <v>23</v>
      </c>
      <c r="J972" t="s">
        <v>68</v>
      </c>
      <c r="K972" t="s">
        <v>107</v>
      </c>
      <c r="L972" t="s">
        <v>7371</v>
      </c>
      <c r="M972">
        <v>2128</v>
      </c>
      <c r="N972" t="s">
        <v>858</v>
      </c>
      <c r="O972" t="s">
        <v>866</v>
      </c>
      <c r="P972" t="s">
        <v>21</v>
      </c>
      <c r="Q972" t="s">
        <v>21</v>
      </c>
      <c r="R972" t="s">
        <v>7372</v>
      </c>
      <c r="S972" t="s">
        <v>7372</v>
      </c>
      <c r="T972" t="s">
        <v>954</v>
      </c>
      <c r="U972" t="s">
        <v>960</v>
      </c>
      <c r="V972" s="28" t="s">
        <v>7373</v>
      </c>
      <c r="W972" s="28" t="s">
        <v>7068</v>
      </c>
      <c r="X972" s="28" t="s">
        <v>7374</v>
      </c>
      <c r="Y972" s="28" t="s">
        <v>7070</v>
      </c>
      <c r="Z972" s="28" t="s">
        <v>7375</v>
      </c>
      <c r="AA972" s="28" t="s">
        <v>7072</v>
      </c>
      <c r="AB972" s="28" t="s">
        <v>7376</v>
      </c>
      <c r="AC972" s="28" t="s">
        <v>7074</v>
      </c>
    </row>
    <row r="973" spans="1:29">
      <c r="A973">
        <v>36</v>
      </c>
      <c r="B973">
        <v>2143</v>
      </c>
      <c r="C973">
        <v>2143</v>
      </c>
      <c r="D973" t="s">
        <v>23</v>
      </c>
      <c r="E973" s="22">
        <v>44497</v>
      </c>
      <c r="F973" s="23">
        <v>44497</v>
      </c>
      <c r="G973" t="s">
        <v>965</v>
      </c>
      <c r="H973" t="s">
        <v>28</v>
      </c>
      <c r="I973" t="s">
        <v>23</v>
      </c>
      <c r="J973" t="s">
        <v>52</v>
      </c>
      <c r="K973" t="s">
        <v>71</v>
      </c>
      <c r="L973" t="s">
        <v>7377</v>
      </c>
      <c r="M973">
        <v>2134</v>
      </c>
      <c r="N973" t="s">
        <v>860</v>
      </c>
      <c r="O973" t="s">
        <v>866</v>
      </c>
      <c r="P973" t="s">
        <v>21</v>
      </c>
      <c r="Q973" t="s">
        <v>21</v>
      </c>
      <c r="R973" t="s">
        <v>881</v>
      </c>
      <c r="S973" t="s">
        <v>881</v>
      </c>
      <c r="T973" t="s">
        <v>949</v>
      </c>
      <c r="U973" t="s">
        <v>960</v>
      </c>
      <c r="V973" s="28" t="s">
        <v>7378</v>
      </c>
      <c r="W973" s="28" t="s">
        <v>7038</v>
      </c>
      <c r="X973" s="28" t="s">
        <v>7379</v>
      </c>
      <c r="Y973" s="28" t="s">
        <v>7380</v>
      </c>
      <c r="Z973" s="28" t="s">
        <v>7381</v>
      </c>
      <c r="AA973" s="28" t="s">
        <v>7382</v>
      </c>
      <c r="AB973" s="28" t="s">
        <v>7383</v>
      </c>
      <c r="AC973" s="28" t="s">
        <v>7384</v>
      </c>
    </row>
    <row r="974" spans="1:29">
      <c r="A974">
        <v>37</v>
      </c>
      <c r="B974">
        <v>2143</v>
      </c>
      <c r="C974">
        <v>2143</v>
      </c>
      <c r="D974" t="s">
        <v>23</v>
      </c>
      <c r="E974" s="22">
        <v>44497</v>
      </c>
      <c r="F974" s="23">
        <v>44497</v>
      </c>
      <c r="G974" t="s">
        <v>965</v>
      </c>
      <c r="H974" t="s">
        <v>28</v>
      </c>
      <c r="I974" t="s">
        <v>23</v>
      </c>
      <c r="J974" t="s">
        <v>52</v>
      </c>
      <c r="K974" t="s">
        <v>71</v>
      </c>
      <c r="L974" t="s">
        <v>7385</v>
      </c>
      <c r="M974">
        <v>2137</v>
      </c>
      <c r="N974" t="s">
        <v>860</v>
      </c>
      <c r="O974" t="s">
        <v>866</v>
      </c>
      <c r="P974" t="s">
        <v>21</v>
      </c>
      <c r="Q974" t="s">
        <v>21</v>
      </c>
      <c r="R974" t="s">
        <v>881</v>
      </c>
      <c r="S974" t="s">
        <v>881</v>
      </c>
      <c r="T974" t="s">
        <v>949</v>
      </c>
      <c r="U974" t="s">
        <v>960</v>
      </c>
      <c r="V974" s="28" t="s">
        <v>7378</v>
      </c>
      <c r="W974" s="28" t="s">
        <v>7038</v>
      </c>
      <c r="X974" s="28" t="s">
        <v>7379</v>
      </c>
      <c r="Y974" s="28" t="s">
        <v>7380</v>
      </c>
      <c r="Z974" s="28" t="s">
        <v>7381</v>
      </c>
      <c r="AA974" s="28" t="s">
        <v>7382</v>
      </c>
      <c r="AB974" s="28" t="s">
        <v>7383</v>
      </c>
      <c r="AC974" s="28" t="s">
        <v>7384</v>
      </c>
    </row>
    <row r="975" spans="1:29">
      <c r="A975">
        <v>38</v>
      </c>
      <c r="B975">
        <v>2143</v>
      </c>
      <c r="C975">
        <v>2143</v>
      </c>
      <c r="D975" t="s">
        <v>23</v>
      </c>
      <c r="E975" s="22">
        <v>44497</v>
      </c>
      <c r="F975" s="23">
        <v>44497</v>
      </c>
      <c r="G975" t="s">
        <v>965</v>
      </c>
      <c r="H975" t="s">
        <v>28</v>
      </c>
      <c r="I975" t="s">
        <v>23</v>
      </c>
      <c r="J975" t="s">
        <v>52</v>
      </c>
      <c r="K975" t="s">
        <v>71</v>
      </c>
      <c r="L975" t="s">
        <v>7386</v>
      </c>
      <c r="M975">
        <v>2137</v>
      </c>
      <c r="N975" t="s">
        <v>860</v>
      </c>
      <c r="O975" t="s">
        <v>866</v>
      </c>
      <c r="P975" t="s">
        <v>21</v>
      </c>
      <c r="Q975" t="s">
        <v>21</v>
      </c>
      <c r="R975" t="s">
        <v>881</v>
      </c>
      <c r="S975" t="s">
        <v>881</v>
      </c>
      <c r="T975" t="s">
        <v>949</v>
      </c>
      <c r="U975" t="s">
        <v>960</v>
      </c>
      <c r="V975" s="28" t="s">
        <v>7378</v>
      </c>
      <c r="W975" s="28" t="s">
        <v>7038</v>
      </c>
      <c r="X975" s="28" t="s">
        <v>7379</v>
      </c>
      <c r="Y975" s="28" t="s">
        <v>7380</v>
      </c>
      <c r="Z975" s="28" t="s">
        <v>7381</v>
      </c>
      <c r="AA975" s="28" t="s">
        <v>7382</v>
      </c>
      <c r="AB975" s="28" t="s">
        <v>7383</v>
      </c>
      <c r="AC975" s="28" t="s">
        <v>7384</v>
      </c>
    </row>
    <row r="976" spans="1:29">
      <c r="A976">
        <v>39</v>
      </c>
      <c r="B976">
        <v>2143</v>
      </c>
      <c r="C976">
        <v>2143</v>
      </c>
      <c r="D976" t="s">
        <v>23</v>
      </c>
      <c r="E976" s="22">
        <v>44497</v>
      </c>
      <c r="F976" s="23">
        <v>44497</v>
      </c>
      <c r="G976" t="s">
        <v>965</v>
      </c>
      <c r="H976" t="s">
        <v>28</v>
      </c>
      <c r="I976" t="s">
        <v>23</v>
      </c>
      <c r="J976" t="s">
        <v>52</v>
      </c>
      <c r="K976" t="s">
        <v>71</v>
      </c>
      <c r="L976" t="s">
        <v>7387</v>
      </c>
      <c r="M976">
        <v>2137</v>
      </c>
      <c r="N976" t="s">
        <v>860</v>
      </c>
      <c r="O976" t="s">
        <v>866</v>
      </c>
      <c r="P976" t="s">
        <v>21</v>
      </c>
      <c r="Q976" t="s">
        <v>21</v>
      </c>
      <c r="R976" t="s">
        <v>896</v>
      </c>
      <c r="S976" t="s">
        <v>896</v>
      </c>
      <c r="T976" t="s">
        <v>959</v>
      </c>
      <c r="U976" t="s">
        <v>960</v>
      </c>
      <c r="V976" s="28" t="s">
        <v>7388</v>
      </c>
      <c r="W976" s="28" t="s">
        <v>7389</v>
      </c>
      <c r="X976" s="28" t="s">
        <v>7390</v>
      </c>
      <c r="Y976" s="28" t="s">
        <v>7391</v>
      </c>
      <c r="Z976" s="28" t="s">
        <v>7392</v>
      </c>
      <c r="AA976" s="28" t="s">
        <v>7393</v>
      </c>
      <c r="AB976" s="28" t="s">
        <v>7394</v>
      </c>
      <c r="AC976" s="28" t="s">
        <v>7395</v>
      </c>
    </row>
    <row r="977" spans="1:29">
      <c r="A977">
        <v>40</v>
      </c>
      <c r="B977">
        <v>2143</v>
      </c>
      <c r="C977">
        <v>2143</v>
      </c>
      <c r="D977" t="s">
        <v>23</v>
      </c>
      <c r="E977" s="22">
        <v>44498</v>
      </c>
      <c r="F977" s="23">
        <v>44498</v>
      </c>
      <c r="G977" t="s">
        <v>965</v>
      </c>
      <c r="H977" t="s">
        <v>28</v>
      </c>
      <c r="I977" t="s">
        <v>23</v>
      </c>
      <c r="J977" t="s">
        <v>52</v>
      </c>
      <c r="K977" t="s">
        <v>71</v>
      </c>
      <c r="L977" t="s">
        <v>7396</v>
      </c>
      <c r="M977">
        <v>2135</v>
      </c>
      <c r="N977" t="s">
        <v>860</v>
      </c>
      <c r="O977" t="s">
        <v>866</v>
      </c>
      <c r="P977" t="s">
        <v>21</v>
      </c>
      <c r="Q977" t="s">
        <v>21</v>
      </c>
      <c r="R977" t="s">
        <v>7397</v>
      </c>
      <c r="S977" t="s">
        <v>7398</v>
      </c>
      <c r="T977" t="s">
        <v>956</v>
      </c>
      <c r="U977" t="s">
        <v>960</v>
      </c>
      <c r="V977" s="28" t="s">
        <v>7399</v>
      </c>
      <c r="W977" s="28" t="s">
        <v>7400</v>
      </c>
      <c r="X977" s="28" t="s">
        <v>7401</v>
      </c>
      <c r="Y977" s="28" t="s">
        <v>7402</v>
      </c>
      <c r="Z977" s="28" t="s">
        <v>7403</v>
      </c>
      <c r="AA977" s="28" t="s">
        <v>7404</v>
      </c>
      <c r="AB977" s="28" t="s">
        <v>7405</v>
      </c>
      <c r="AC977" s="28" t="s">
        <v>7406</v>
      </c>
    </row>
    <row r="978" spans="1:29">
      <c r="A978">
        <v>17</v>
      </c>
      <c r="B978">
        <v>2143</v>
      </c>
      <c r="C978">
        <v>2143</v>
      </c>
      <c r="D978" t="s">
        <v>21</v>
      </c>
      <c r="E978" s="22">
        <v>44496</v>
      </c>
      <c r="F978" s="23">
        <v>44496</v>
      </c>
      <c r="G978" t="s">
        <v>965</v>
      </c>
      <c r="H978" t="s">
        <v>28</v>
      </c>
      <c r="I978" t="s">
        <v>21</v>
      </c>
      <c r="J978" t="s">
        <v>66</v>
      </c>
      <c r="K978" t="s">
        <v>109</v>
      </c>
      <c r="L978" t="s">
        <v>7407</v>
      </c>
      <c r="M978">
        <v>2133</v>
      </c>
      <c r="N978" t="s">
        <v>863</v>
      </c>
      <c r="O978" t="s">
        <v>866</v>
      </c>
      <c r="P978" t="s">
        <v>21</v>
      </c>
      <c r="Q978" t="s">
        <v>21</v>
      </c>
      <c r="R978" t="s">
        <v>922</v>
      </c>
      <c r="S978" t="s">
        <v>922</v>
      </c>
      <c r="T978" t="s">
        <v>28</v>
      </c>
      <c r="U978" t="s">
        <v>960</v>
      </c>
      <c r="V978" s="28" t="s">
        <v>7276</v>
      </c>
      <c r="W978" s="28" t="s">
        <v>6733</v>
      </c>
      <c r="X978" s="28" t="s">
        <v>7366</v>
      </c>
      <c r="Y978" s="28" t="s">
        <v>7084</v>
      </c>
      <c r="Z978" s="28" t="s">
        <v>7408</v>
      </c>
      <c r="AA978" s="28" t="s">
        <v>7409</v>
      </c>
      <c r="AB978" s="28" t="s">
        <v>7410</v>
      </c>
      <c r="AC978" s="28" t="s">
        <v>6744</v>
      </c>
    </row>
    <row r="979" spans="1:29">
      <c r="A979">
        <v>18</v>
      </c>
      <c r="B979">
        <v>2143</v>
      </c>
      <c r="C979">
        <v>2143</v>
      </c>
      <c r="D979" t="s">
        <v>21</v>
      </c>
      <c r="E979" s="22">
        <v>44496</v>
      </c>
      <c r="F979" s="23">
        <v>44496</v>
      </c>
      <c r="G979" t="s">
        <v>965</v>
      </c>
      <c r="H979" t="s">
        <v>28</v>
      </c>
      <c r="I979" t="s">
        <v>21</v>
      </c>
      <c r="J979" t="s">
        <v>66</v>
      </c>
      <c r="K979" t="s">
        <v>109</v>
      </c>
      <c r="L979" t="s">
        <v>7411</v>
      </c>
      <c r="M979">
        <v>2133</v>
      </c>
      <c r="N979" t="s">
        <v>863</v>
      </c>
      <c r="O979" t="s">
        <v>866</v>
      </c>
      <c r="P979" t="s">
        <v>21</v>
      </c>
      <c r="Q979" t="s">
        <v>21</v>
      </c>
      <c r="R979" t="s">
        <v>922</v>
      </c>
      <c r="S979" t="s">
        <v>922</v>
      </c>
      <c r="T979" t="s">
        <v>28</v>
      </c>
      <c r="U979" t="s">
        <v>960</v>
      </c>
      <c r="V979" s="28" t="s">
        <v>7276</v>
      </c>
      <c r="W979" s="28" t="s">
        <v>6733</v>
      </c>
      <c r="X979" s="28" t="s">
        <v>7366</v>
      </c>
      <c r="Y979" s="28" t="s">
        <v>7084</v>
      </c>
      <c r="Z979" s="28" t="s">
        <v>7408</v>
      </c>
      <c r="AA979" s="28" t="s">
        <v>7409</v>
      </c>
      <c r="AB979" s="28" t="s">
        <v>7410</v>
      </c>
      <c r="AC979" s="28" t="s">
        <v>6744</v>
      </c>
    </row>
    <row r="980" spans="1:29">
      <c r="A980">
        <v>263</v>
      </c>
      <c r="B980">
        <v>2143</v>
      </c>
      <c r="C980">
        <v>2143</v>
      </c>
      <c r="D980" t="s">
        <v>21</v>
      </c>
      <c r="E980" s="22">
        <v>44498</v>
      </c>
      <c r="F980" t="s">
        <v>6055</v>
      </c>
      <c r="G980" t="s">
        <v>26</v>
      </c>
      <c r="H980">
        <v>1</v>
      </c>
      <c r="I980" t="s">
        <v>41</v>
      </c>
      <c r="J980" t="s">
        <v>64</v>
      </c>
      <c r="K980" t="s">
        <v>86</v>
      </c>
      <c r="L980" t="s">
        <v>7359</v>
      </c>
      <c r="M980">
        <v>2136</v>
      </c>
      <c r="N980" t="s">
        <v>832</v>
      </c>
      <c r="O980" t="s">
        <v>21</v>
      </c>
      <c r="P980" t="s">
        <v>21</v>
      </c>
      <c r="Q980" t="s">
        <v>21</v>
      </c>
      <c r="R980" t="s">
        <v>881</v>
      </c>
      <c r="S980" t="s">
        <v>881</v>
      </c>
      <c r="T980" t="s">
        <v>949</v>
      </c>
      <c r="U980" t="s">
        <v>961</v>
      </c>
      <c r="V980" s="28" t="s">
        <v>7301</v>
      </c>
      <c r="W980" s="28" t="s">
        <v>7302</v>
      </c>
      <c r="X980" s="28" t="s">
        <v>7303</v>
      </c>
      <c r="Y980" s="28" t="s">
        <v>7304</v>
      </c>
      <c r="Z980" s="28" t="s">
        <v>7305</v>
      </c>
      <c r="AA980" s="28" t="s">
        <v>7306</v>
      </c>
      <c r="AB980" s="28" t="s">
        <v>7307</v>
      </c>
      <c r="AC980" s="28" t="s">
        <v>7308</v>
      </c>
    </row>
    <row r="981" spans="1:29">
      <c r="A981">
        <v>264</v>
      </c>
      <c r="B981">
        <v>2144</v>
      </c>
      <c r="C981">
        <v>2144</v>
      </c>
      <c r="D981" t="s">
        <v>21</v>
      </c>
      <c r="E981" s="22">
        <v>44502</v>
      </c>
      <c r="F981" t="s">
        <v>6055</v>
      </c>
      <c r="G981" t="s">
        <v>26</v>
      </c>
      <c r="H981">
        <v>3</v>
      </c>
      <c r="I981" t="s">
        <v>36</v>
      </c>
      <c r="J981" t="s">
        <v>68</v>
      </c>
      <c r="K981" t="s">
        <v>94</v>
      </c>
      <c r="L981" t="s">
        <v>7455</v>
      </c>
      <c r="M981">
        <v>2136</v>
      </c>
      <c r="N981" t="s">
        <v>831</v>
      </c>
      <c r="O981" t="s">
        <v>21</v>
      </c>
      <c r="P981" t="s">
        <v>21</v>
      </c>
      <c r="Q981" t="s">
        <v>21</v>
      </c>
      <c r="R981" t="s">
        <v>876</v>
      </c>
      <c r="S981" t="s">
        <v>876</v>
      </c>
      <c r="T981" t="s">
        <v>951</v>
      </c>
      <c r="U981" t="s">
        <v>960</v>
      </c>
      <c r="V981" s="28" t="s">
        <v>7456</v>
      </c>
      <c r="W981" s="28" t="s">
        <v>7457</v>
      </c>
      <c r="X981" s="28" t="s">
        <v>7458</v>
      </c>
      <c r="Y981" s="28" t="s">
        <v>7459</v>
      </c>
      <c r="Z981" s="28" t="s">
        <v>7460</v>
      </c>
      <c r="AA981" s="28" t="s">
        <v>7461</v>
      </c>
      <c r="AB981" s="28" t="s">
        <v>7462</v>
      </c>
      <c r="AC981" s="28" t="s">
        <v>7463</v>
      </c>
    </row>
    <row r="982" spans="1:29">
      <c r="A982">
        <v>265</v>
      </c>
      <c r="B982">
        <v>2144</v>
      </c>
      <c r="C982">
        <v>2144</v>
      </c>
      <c r="D982" t="s">
        <v>21</v>
      </c>
      <c r="E982" s="22">
        <v>44502</v>
      </c>
      <c r="F982" t="s">
        <v>6055</v>
      </c>
      <c r="G982" t="s">
        <v>26</v>
      </c>
      <c r="H982">
        <v>3</v>
      </c>
      <c r="I982" t="s">
        <v>36</v>
      </c>
      <c r="J982" t="s">
        <v>68</v>
      </c>
      <c r="K982" t="s">
        <v>94</v>
      </c>
      <c r="L982" t="s">
        <v>7464</v>
      </c>
      <c r="M982">
        <v>2136</v>
      </c>
      <c r="N982" t="s">
        <v>831</v>
      </c>
      <c r="O982" t="s">
        <v>21</v>
      </c>
      <c r="P982" t="s">
        <v>21</v>
      </c>
      <c r="Q982" t="s">
        <v>21</v>
      </c>
      <c r="R982" t="s">
        <v>876</v>
      </c>
      <c r="S982" t="s">
        <v>876</v>
      </c>
      <c r="T982" t="s">
        <v>951</v>
      </c>
      <c r="U982" t="s">
        <v>960</v>
      </c>
      <c r="V982" s="28" t="s">
        <v>7456</v>
      </c>
      <c r="W982" s="28" t="s">
        <v>7457</v>
      </c>
      <c r="X982" s="28" t="s">
        <v>7458</v>
      </c>
      <c r="Y982" s="28" t="s">
        <v>7459</v>
      </c>
      <c r="Z982" s="28" t="s">
        <v>7460</v>
      </c>
      <c r="AA982" s="28" t="s">
        <v>7461</v>
      </c>
      <c r="AB982" s="28" t="s">
        <v>7462</v>
      </c>
      <c r="AC982" s="28" t="s">
        <v>7463</v>
      </c>
    </row>
    <row r="983" spans="1:29">
      <c r="A983">
        <v>266</v>
      </c>
      <c r="B983">
        <v>2144</v>
      </c>
      <c r="C983">
        <v>2144</v>
      </c>
      <c r="D983" t="s">
        <v>21</v>
      </c>
      <c r="E983" s="22">
        <v>44502</v>
      </c>
      <c r="F983" t="s">
        <v>6055</v>
      </c>
      <c r="G983" t="s">
        <v>26</v>
      </c>
      <c r="H983">
        <v>3</v>
      </c>
      <c r="I983" t="s">
        <v>36</v>
      </c>
      <c r="J983" t="s">
        <v>68</v>
      </c>
      <c r="K983" t="s">
        <v>94</v>
      </c>
      <c r="L983" t="s">
        <v>7465</v>
      </c>
      <c r="M983">
        <v>2136</v>
      </c>
      <c r="N983" t="s">
        <v>831</v>
      </c>
      <c r="O983" t="s">
        <v>21</v>
      </c>
      <c r="P983" t="s">
        <v>21</v>
      </c>
      <c r="Q983" t="s">
        <v>21</v>
      </c>
      <c r="R983" t="s">
        <v>876</v>
      </c>
      <c r="S983" t="s">
        <v>876</v>
      </c>
      <c r="T983" t="s">
        <v>951</v>
      </c>
      <c r="U983" t="s">
        <v>960</v>
      </c>
      <c r="V983" s="28" t="s">
        <v>7456</v>
      </c>
      <c r="W983" s="28" t="s">
        <v>7457</v>
      </c>
      <c r="X983" s="28" t="s">
        <v>7458</v>
      </c>
      <c r="Y983" s="28" t="s">
        <v>7459</v>
      </c>
      <c r="Z983" s="28" t="s">
        <v>7460</v>
      </c>
      <c r="AA983" s="28" t="s">
        <v>7461</v>
      </c>
      <c r="AB983" s="28" t="s">
        <v>7462</v>
      </c>
      <c r="AC983" s="28" t="s">
        <v>7463</v>
      </c>
    </row>
    <row r="984" spans="1:29">
      <c r="A984">
        <v>267</v>
      </c>
      <c r="B984">
        <v>2144</v>
      </c>
      <c r="C984">
        <v>2144</v>
      </c>
      <c r="D984" t="s">
        <v>21</v>
      </c>
      <c r="E984" s="22">
        <v>44502</v>
      </c>
      <c r="F984" t="s">
        <v>6055</v>
      </c>
      <c r="G984" t="s">
        <v>26</v>
      </c>
      <c r="H984">
        <v>3</v>
      </c>
      <c r="I984" t="s">
        <v>36</v>
      </c>
      <c r="J984" t="s">
        <v>68</v>
      </c>
      <c r="K984" t="s">
        <v>94</v>
      </c>
      <c r="L984" t="s">
        <v>7466</v>
      </c>
      <c r="M984">
        <v>2136</v>
      </c>
      <c r="N984" t="s">
        <v>831</v>
      </c>
      <c r="O984" t="s">
        <v>21</v>
      </c>
      <c r="P984" t="s">
        <v>21</v>
      </c>
      <c r="Q984" t="s">
        <v>21</v>
      </c>
      <c r="R984" t="s">
        <v>876</v>
      </c>
      <c r="S984" t="s">
        <v>876</v>
      </c>
      <c r="T984" t="s">
        <v>951</v>
      </c>
      <c r="U984" t="s">
        <v>960</v>
      </c>
      <c r="V984" s="28" t="s">
        <v>7456</v>
      </c>
      <c r="W984" s="28" t="s">
        <v>7457</v>
      </c>
      <c r="X984" s="28" t="s">
        <v>7458</v>
      </c>
      <c r="Y984" s="28" t="s">
        <v>7459</v>
      </c>
      <c r="Z984" s="28" t="s">
        <v>7460</v>
      </c>
      <c r="AA984" s="28" t="s">
        <v>7461</v>
      </c>
      <c r="AB984" s="28" t="s">
        <v>7462</v>
      </c>
      <c r="AC984" s="28" t="s">
        <v>7463</v>
      </c>
    </row>
    <row r="985" spans="1:29">
      <c r="A985">
        <v>268</v>
      </c>
      <c r="B985">
        <v>2144</v>
      </c>
      <c r="C985">
        <v>2144</v>
      </c>
      <c r="D985" t="s">
        <v>21</v>
      </c>
      <c r="E985" s="22">
        <v>44502</v>
      </c>
      <c r="F985" t="s">
        <v>6055</v>
      </c>
      <c r="G985" t="s">
        <v>26</v>
      </c>
      <c r="H985">
        <v>3</v>
      </c>
      <c r="I985" t="s">
        <v>36</v>
      </c>
      <c r="J985" t="s">
        <v>68</v>
      </c>
      <c r="K985" t="s">
        <v>94</v>
      </c>
      <c r="L985" t="s">
        <v>7467</v>
      </c>
      <c r="M985">
        <v>2136</v>
      </c>
      <c r="N985" t="s">
        <v>831</v>
      </c>
      <c r="O985" t="s">
        <v>21</v>
      </c>
      <c r="P985" t="s">
        <v>21</v>
      </c>
      <c r="Q985" t="s">
        <v>21</v>
      </c>
      <c r="R985" t="s">
        <v>876</v>
      </c>
      <c r="S985" t="s">
        <v>876</v>
      </c>
      <c r="T985" t="s">
        <v>951</v>
      </c>
      <c r="U985" t="s">
        <v>960</v>
      </c>
      <c r="V985" s="28" t="s">
        <v>7456</v>
      </c>
      <c r="W985" s="28" t="s">
        <v>7457</v>
      </c>
      <c r="X985" s="28" t="s">
        <v>7458</v>
      </c>
      <c r="Y985" s="28" t="s">
        <v>7459</v>
      </c>
      <c r="Z985" s="28" t="s">
        <v>7460</v>
      </c>
      <c r="AA985" s="28" t="s">
        <v>7461</v>
      </c>
      <c r="AB985" s="28" t="s">
        <v>7462</v>
      </c>
      <c r="AC985" s="28" t="s">
        <v>7463</v>
      </c>
    </row>
    <row r="986" spans="1:29">
      <c r="A986">
        <v>269</v>
      </c>
      <c r="B986">
        <v>2144</v>
      </c>
      <c r="C986">
        <v>2144</v>
      </c>
      <c r="D986" t="s">
        <v>21</v>
      </c>
      <c r="E986" s="22">
        <v>44502</v>
      </c>
      <c r="F986" t="s">
        <v>6055</v>
      </c>
      <c r="G986" t="s">
        <v>26</v>
      </c>
      <c r="H986">
        <v>3</v>
      </c>
      <c r="I986" t="s">
        <v>36</v>
      </c>
      <c r="J986" t="s">
        <v>68</v>
      </c>
      <c r="K986" t="s">
        <v>94</v>
      </c>
      <c r="L986" t="s">
        <v>7468</v>
      </c>
      <c r="M986">
        <v>2136</v>
      </c>
      <c r="N986" t="s">
        <v>831</v>
      </c>
      <c r="O986" t="s">
        <v>21</v>
      </c>
      <c r="P986" t="s">
        <v>21</v>
      </c>
      <c r="Q986" t="s">
        <v>21</v>
      </c>
      <c r="R986" t="s">
        <v>876</v>
      </c>
      <c r="S986" t="s">
        <v>876</v>
      </c>
      <c r="T986" t="s">
        <v>951</v>
      </c>
      <c r="U986" t="s">
        <v>960</v>
      </c>
      <c r="V986" s="28" t="s">
        <v>7456</v>
      </c>
      <c r="W986" s="28" t="s">
        <v>7457</v>
      </c>
      <c r="X986" s="28" t="s">
        <v>7458</v>
      </c>
      <c r="Y986" s="28" t="s">
        <v>7459</v>
      </c>
      <c r="Z986" s="28" t="s">
        <v>7460</v>
      </c>
      <c r="AA986" s="28" t="s">
        <v>7461</v>
      </c>
      <c r="AB986" s="28" t="s">
        <v>7462</v>
      </c>
      <c r="AC986" s="28" t="s">
        <v>7463</v>
      </c>
    </row>
    <row r="987" spans="1:29">
      <c r="A987">
        <v>270</v>
      </c>
      <c r="B987">
        <v>2144</v>
      </c>
      <c r="C987">
        <v>2144</v>
      </c>
      <c r="D987" t="s">
        <v>21</v>
      </c>
      <c r="E987" s="22">
        <v>44502</v>
      </c>
      <c r="F987" t="s">
        <v>6055</v>
      </c>
      <c r="G987" t="s">
        <v>26</v>
      </c>
      <c r="H987">
        <v>3</v>
      </c>
      <c r="I987" t="s">
        <v>36</v>
      </c>
      <c r="J987" t="s">
        <v>68</v>
      </c>
      <c r="K987" t="s">
        <v>94</v>
      </c>
      <c r="L987" t="s">
        <v>7469</v>
      </c>
      <c r="M987">
        <v>2136</v>
      </c>
      <c r="N987" t="s">
        <v>831</v>
      </c>
      <c r="O987" t="s">
        <v>21</v>
      </c>
      <c r="P987" t="s">
        <v>21</v>
      </c>
      <c r="Q987" t="s">
        <v>21</v>
      </c>
      <c r="R987" t="s">
        <v>876</v>
      </c>
      <c r="S987" t="s">
        <v>876</v>
      </c>
      <c r="T987" t="s">
        <v>951</v>
      </c>
      <c r="U987" t="s">
        <v>960</v>
      </c>
      <c r="V987" s="28" t="s">
        <v>7456</v>
      </c>
      <c r="W987" s="28" t="s">
        <v>7457</v>
      </c>
      <c r="X987" s="28" t="s">
        <v>7458</v>
      </c>
      <c r="Y987" s="28" t="s">
        <v>7459</v>
      </c>
      <c r="Z987" s="28" t="s">
        <v>7460</v>
      </c>
      <c r="AA987" s="28" t="s">
        <v>7461</v>
      </c>
      <c r="AB987" s="28" t="s">
        <v>7462</v>
      </c>
      <c r="AC987" s="28" t="s">
        <v>7463</v>
      </c>
    </row>
    <row r="988" spans="1:29">
      <c r="A988">
        <v>271</v>
      </c>
      <c r="B988">
        <v>2144</v>
      </c>
      <c r="C988">
        <v>2144</v>
      </c>
      <c r="D988" t="s">
        <v>21</v>
      </c>
      <c r="E988" s="22">
        <v>44502</v>
      </c>
      <c r="F988" t="s">
        <v>6055</v>
      </c>
      <c r="G988" t="s">
        <v>26</v>
      </c>
      <c r="H988">
        <v>3</v>
      </c>
      <c r="I988" t="s">
        <v>36</v>
      </c>
      <c r="J988" t="s">
        <v>68</v>
      </c>
      <c r="K988" t="s">
        <v>94</v>
      </c>
      <c r="L988" t="s">
        <v>7470</v>
      </c>
      <c r="M988">
        <v>2136</v>
      </c>
      <c r="N988" t="s">
        <v>831</v>
      </c>
      <c r="O988" t="s">
        <v>21</v>
      </c>
      <c r="P988" t="s">
        <v>21</v>
      </c>
      <c r="Q988" t="s">
        <v>21</v>
      </c>
      <c r="R988" t="s">
        <v>876</v>
      </c>
      <c r="S988" t="s">
        <v>876</v>
      </c>
      <c r="T988" t="s">
        <v>951</v>
      </c>
      <c r="U988" t="s">
        <v>960</v>
      </c>
      <c r="V988" s="28" t="s">
        <v>7456</v>
      </c>
      <c r="W988" s="28" t="s">
        <v>7457</v>
      </c>
      <c r="X988" s="28" t="s">
        <v>7458</v>
      </c>
      <c r="Y988" s="28" t="s">
        <v>7459</v>
      </c>
      <c r="Z988" s="28" t="s">
        <v>7460</v>
      </c>
      <c r="AA988" s="28" t="s">
        <v>7461</v>
      </c>
      <c r="AB988" s="28" t="s">
        <v>7462</v>
      </c>
      <c r="AC988" s="28" t="s">
        <v>7463</v>
      </c>
    </row>
    <row r="989" spans="1:29">
      <c r="A989">
        <v>272</v>
      </c>
      <c r="B989">
        <v>2144</v>
      </c>
      <c r="C989">
        <v>2144</v>
      </c>
      <c r="D989" t="s">
        <v>21</v>
      </c>
      <c r="E989" s="22">
        <v>44502</v>
      </c>
      <c r="F989" t="s">
        <v>6055</v>
      </c>
      <c r="G989" t="s">
        <v>26</v>
      </c>
      <c r="H989">
        <v>3</v>
      </c>
      <c r="I989" t="s">
        <v>36</v>
      </c>
      <c r="J989" t="s">
        <v>68</v>
      </c>
      <c r="K989" t="s">
        <v>94</v>
      </c>
      <c r="L989" t="s">
        <v>7471</v>
      </c>
      <c r="M989">
        <v>2134</v>
      </c>
      <c r="N989" t="s">
        <v>831</v>
      </c>
      <c r="O989" t="s">
        <v>21</v>
      </c>
      <c r="P989" t="s">
        <v>21</v>
      </c>
      <c r="Q989" t="s">
        <v>21</v>
      </c>
      <c r="R989" t="s">
        <v>876</v>
      </c>
      <c r="S989" t="s">
        <v>876</v>
      </c>
      <c r="T989" t="s">
        <v>951</v>
      </c>
      <c r="U989" t="s">
        <v>960</v>
      </c>
      <c r="V989" s="28" t="s">
        <v>7456</v>
      </c>
      <c r="W989" s="28" t="s">
        <v>7457</v>
      </c>
      <c r="X989" s="28" t="s">
        <v>7458</v>
      </c>
      <c r="Y989" s="28" t="s">
        <v>7459</v>
      </c>
      <c r="Z989" s="28" t="s">
        <v>7460</v>
      </c>
      <c r="AA989" s="28" t="s">
        <v>7461</v>
      </c>
      <c r="AB989" s="28" t="s">
        <v>7462</v>
      </c>
      <c r="AC989" s="28" t="s">
        <v>7463</v>
      </c>
    </row>
    <row r="990" spans="1:29">
      <c r="A990">
        <v>273</v>
      </c>
      <c r="B990">
        <v>2144</v>
      </c>
      <c r="C990">
        <v>2144</v>
      </c>
      <c r="D990" t="s">
        <v>21</v>
      </c>
      <c r="E990" s="22">
        <v>44502</v>
      </c>
      <c r="F990" t="s">
        <v>6055</v>
      </c>
      <c r="G990" t="s">
        <v>26</v>
      </c>
      <c r="H990">
        <v>3</v>
      </c>
      <c r="I990" t="s">
        <v>36</v>
      </c>
      <c r="J990" t="s">
        <v>68</v>
      </c>
      <c r="K990" t="s">
        <v>94</v>
      </c>
      <c r="L990" t="s">
        <v>7472</v>
      </c>
      <c r="M990">
        <v>2134</v>
      </c>
      <c r="N990" t="s">
        <v>831</v>
      </c>
      <c r="O990" t="s">
        <v>21</v>
      </c>
      <c r="P990" t="s">
        <v>21</v>
      </c>
      <c r="Q990" t="s">
        <v>21</v>
      </c>
      <c r="R990" t="s">
        <v>876</v>
      </c>
      <c r="S990" t="s">
        <v>876</v>
      </c>
      <c r="T990" t="s">
        <v>951</v>
      </c>
      <c r="U990" t="s">
        <v>960</v>
      </c>
      <c r="V990" s="28" t="s">
        <v>7456</v>
      </c>
      <c r="W990" s="28" t="s">
        <v>7457</v>
      </c>
      <c r="X990" s="28" t="s">
        <v>7458</v>
      </c>
      <c r="Y990" s="28" t="s">
        <v>7459</v>
      </c>
      <c r="Z990" s="28" t="s">
        <v>7460</v>
      </c>
      <c r="AA990" s="28" t="s">
        <v>7461</v>
      </c>
      <c r="AB990" s="28" t="s">
        <v>7462</v>
      </c>
      <c r="AC990" s="28" t="s">
        <v>7463</v>
      </c>
    </row>
    <row r="991" spans="1:29">
      <c r="A991">
        <v>274</v>
      </c>
      <c r="B991">
        <v>2144</v>
      </c>
      <c r="C991">
        <v>2144</v>
      </c>
      <c r="D991" t="s">
        <v>21</v>
      </c>
      <c r="E991" s="22">
        <v>44502</v>
      </c>
      <c r="F991" t="s">
        <v>6055</v>
      </c>
      <c r="G991" t="s">
        <v>26</v>
      </c>
      <c r="H991">
        <v>3</v>
      </c>
      <c r="I991" t="s">
        <v>36</v>
      </c>
      <c r="J991" t="s">
        <v>68</v>
      </c>
      <c r="K991" t="s">
        <v>94</v>
      </c>
      <c r="L991" t="s">
        <v>7473</v>
      </c>
      <c r="M991">
        <v>2134</v>
      </c>
      <c r="N991" t="s">
        <v>831</v>
      </c>
      <c r="O991" t="s">
        <v>21</v>
      </c>
      <c r="P991" t="s">
        <v>21</v>
      </c>
      <c r="Q991" t="s">
        <v>21</v>
      </c>
      <c r="R991" t="s">
        <v>876</v>
      </c>
      <c r="S991" t="s">
        <v>876</v>
      </c>
      <c r="T991" t="s">
        <v>951</v>
      </c>
      <c r="U991" t="s">
        <v>960</v>
      </c>
      <c r="V991" s="28" t="s">
        <v>7456</v>
      </c>
      <c r="W991" s="28" t="s">
        <v>7457</v>
      </c>
      <c r="X991" s="28" t="s">
        <v>7458</v>
      </c>
      <c r="Y991" s="28" t="s">
        <v>7459</v>
      </c>
      <c r="Z991" s="28" t="s">
        <v>7460</v>
      </c>
      <c r="AA991" s="28" t="s">
        <v>7461</v>
      </c>
      <c r="AB991" s="28" t="s">
        <v>7462</v>
      </c>
      <c r="AC991" s="28" t="s">
        <v>7463</v>
      </c>
    </row>
    <row r="992" spans="1:29">
      <c r="A992">
        <v>275</v>
      </c>
      <c r="B992">
        <v>2144</v>
      </c>
      <c r="C992">
        <v>2144</v>
      </c>
      <c r="D992" t="s">
        <v>21</v>
      </c>
      <c r="E992" s="22">
        <v>44502</v>
      </c>
      <c r="F992" t="s">
        <v>6055</v>
      </c>
      <c r="G992" t="s">
        <v>26</v>
      </c>
      <c r="H992">
        <v>3</v>
      </c>
      <c r="I992" t="s">
        <v>36</v>
      </c>
      <c r="J992" t="s">
        <v>68</v>
      </c>
      <c r="K992" t="s">
        <v>94</v>
      </c>
      <c r="L992" t="s">
        <v>7474</v>
      </c>
      <c r="M992">
        <v>2134</v>
      </c>
      <c r="N992" t="s">
        <v>831</v>
      </c>
      <c r="O992" t="s">
        <v>21</v>
      </c>
      <c r="P992" t="s">
        <v>21</v>
      </c>
      <c r="Q992" t="s">
        <v>21</v>
      </c>
      <c r="R992" t="s">
        <v>876</v>
      </c>
      <c r="S992" t="s">
        <v>876</v>
      </c>
      <c r="T992" t="s">
        <v>951</v>
      </c>
      <c r="U992" t="s">
        <v>960</v>
      </c>
      <c r="V992" s="28" t="s">
        <v>7456</v>
      </c>
      <c r="W992" s="28" t="s">
        <v>7457</v>
      </c>
      <c r="X992" s="28" t="s">
        <v>7458</v>
      </c>
      <c r="Y992" s="28" t="s">
        <v>7459</v>
      </c>
      <c r="Z992" s="28" t="s">
        <v>7460</v>
      </c>
      <c r="AA992" s="28" t="s">
        <v>7461</v>
      </c>
      <c r="AB992" s="28" t="s">
        <v>7462</v>
      </c>
      <c r="AC992" s="28" t="s">
        <v>7463</v>
      </c>
    </row>
    <row r="993" spans="1:29">
      <c r="A993">
        <v>276</v>
      </c>
      <c r="B993">
        <v>2144</v>
      </c>
      <c r="C993">
        <v>2144</v>
      </c>
      <c r="D993" t="s">
        <v>21</v>
      </c>
      <c r="E993" s="22">
        <v>44502</v>
      </c>
      <c r="F993" t="s">
        <v>6055</v>
      </c>
      <c r="G993" t="s">
        <v>26</v>
      </c>
      <c r="H993">
        <v>3</v>
      </c>
      <c r="I993" t="s">
        <v>36</v>
      </c>
      <c r="J993" t="s">
        <v>68</v>
      </c>
      <c r="K993" t="s">
        <v>94</v>
      </c>
      <c r="L993" t="s">
        <v>7475</v>
      </c>
      <c r="M993">
        <v>2134</v>
      </c>
      <c r="N993" t="s">
        <v>831</v>
      </c>
      <c r="O993" t="s">
        <v>21</v>
      </c>
      <c r="P993" t="s">
        <v>21</v>
      </c>
      <c r="Q993" t="s">
        <v>21</v>
      </c>
      <c r="R993" t="s">
        <v>876</v>
      </c>
      <c r="S993" t="s">
        <v>876</v>
      </c>
      <c r="T993" t="s">
        <v>951</v>
      </c>
      <c r="U993" t="s">
        <v>960</v>
      </c>
      <c r="V993" s="28" t="s">
        <v>7456</v>
      </c>
      <c r="W993" s="28" t="s">
        <v>7457</v>
      </c>
      <c r="X993" s="28" t="s">
        <v>7458</v>
      </c>
      <c r="Y993" s="28" t="s">
        <v>7459</v>
      </c>
      <c r="Z993" s="28" t="s">
        <v>7460</v>
      </c>
      <c r="AA993" s="28" t="s">
        <v>7461</v>
      </c>
      <c r="AB993" s="28" t="s">
        <v>7462</v>
      </c>
      <c r="AC993" s="28" t="s">
        <v>7463</v>
      </c>
    </row>
    <row r="994" spans="1:29">
      <c r="A994">
        <v>277</v>
      </c>
      <c r="B994">
        <v>2144</v>
      </c>
      <c r="C994">
        <v>2144</v>
      </c>
      <c r="D994" t="s">
        <v>21</v>
      </c>
      <c r="E994" s="22">
        <v>44502</v>
      </c>
      <c r="F994" t="s">
        <v>6055</v>
      </c>
      <c r="G994" t="s">
        <v>26</v>
      </c>
      <c r="H994">
        <v>3</v>
      </c>
      <c r="I994" t="s">
        <v>36</v>
      </c>
      <c r="J994" t="s">
        <v>68</v>
      </c>
      <c r="K994" t="s">
        <v>94</v>
      </c>
      <c r="L994" t="s">
        <v>7476</v>
      </c>
      <c r="M994">
        <v>2134</v>
      </c>
      <c r="N994" t="s">
        <v>831</v>
      </c>
      <c r="O994" t="s">
        <v>21</v>
      </c>
      <c r="P994" t="s">
        <v>21</v>
      </c>
      <c r="Q994" t="s">
        <v>21</v>
      </c>
      <c r="R994" t="s">
        <v>876</v>
      </c>
      <c r="S994" t="s">
        <v>876</v>
      </c>
      <c r="T994" t="s">
        <v>951</v>
      </c>
      <c r="U994" t="s">
        <v>960</v>
      </c>
      <c r="V994" s="28" t="s">
        <v>7456</v>
      </c>
      <c r="W994" s="28" t="s">
        <v>7457</v>
      </c>
      <c r="X994" s="28" t="s">
        <v>7458</v>
      </c>
      <c r="Y994" s="28" t="s">
        <v>7459</v>
      </c>
      <c r="Z994" s="28" t="s">
        <v>7460</v>
      </c>
      <c r="AA994" s="28" t="s">
        <v>7461</v>
      </c>
      <c r="AB994" s="28" t="s">
        <v>7462</v>
      </c>
      <c r="AC994" s="28" t="s">
        <v>7463</v>
      </c>
    </row>
    <row r="995" spans="1:29">
      <c r="A995">
        <v>278</v>
      </c>
      <c r="B995">
        <v>2144</v>
      </c>
      <c r="C995">
        <v>2144</v>
      </c>
      <c r="D995" t="s">
        <v>21</v>
      </c>
      <c r="E995" s="22">
        <v>44502</v>
      </c>
      <c r="F995" t="s">
        <v>6055</v>
      </c>
      <c r="G995" t="s">
        <v>26</v>
      </c>
      <c r="H995">
        <v>3</v>
      </c>
      <c r="I995" t="s">
        <v>36</v>
      </c>
      <c r="J995" t="s">
        <v>68</v>
      </c>
      <c r="K995" t="s">
        <v>94</v>
      </c>
      <c r="L995" t="s">
        <v>7477</v>
      </c>
      <c r="M995">
        <v>2134</v>
      </c>
      <c r="N995" t="s">
        <v>831</v>
      </c>
      <c r="O995" t="s">
        <v>21</v>
      </c>
      <c r="P995" t="s">
        <v>21</v>
      </c>
      <c r="Q995" t="s">
        <v>21</v>
      </c>
      <c r="R995" t="s">
        <v>876</v>
      </c>
      <c r="S995" t="s">
        <v>876</v>
      </c>
      <c r="T995" t="s">
        <v>951</v>
      </c>
      <c r="U995" t="s">
        <v>960</v>
      </c>
      <c r="V995" s="28" t="s">
        <v>7456</v>
      </c>
      <c r="W995" s="28" t="s">
        <v>7457</v>
      </c>
      <c r="X995" s="28" t="s">
        <v>7458</v>
      </c>
      <c r="Y995" s="28" t="s">
        <v>7459</v>
      </c>
      <c r="Z995" s="28" t="s">
        <v>7460</v>
      </c>
      <c r="AA995" s="28" t="s">
        <v>7461</v>
      </c>
      <c r="AB995" s="28" t="s">
        <v>7462</v>
      </c>
      <c r="AC995" s="28" t="s">
        <v>7463</v>
      </c>
    </row>
    <row r="996" spans="1:29">
      <c r="A996">
        <v>279</v>
      </c>
      <c r="B996">
        <v>2144</v>
      </c>
      <c r="C996">
        <v>2144</v>
      </c>
      <c r="D996" t="s">
        <v>21</v>
      </c>
      <c r="E996" s="22">
        <v>44502</v>
      </c>
      <c r="F996" t="s">
        <v>6055</v>
      </c>
      <c r="G996" t="s">
        <v>26</v>
      </c>
      <c r="H996">
        <v>3</v>
      </c>
      <c r="I996" t="s">
        <v>36</v>
      </c>
      <c r="J996" t="s">
        <v>66</v>
      </c>
      <c r="K996" t="s">
        <v>91</v>
      </c>
      <c r="L996" t="s">
        <v>7478</v>
      </c>
      <c r="M996">
        <v>2136</v>
      </c>
      <c r="N996" t="s">
        <v>6567</v>
      </c>
      <c r="O996" t="s">
        <v>21</v>
      </c>
      <c r="P996" t="s">
        <v>21</v>
      </c>
      <c r="Q996" t="s">
        <v>21</v>
      </c>
      <c r="R996" t="s">
        <v>874</v>
      </c>
      <c r="S996" t="s">
        <v>874</v>
      </c>
      <c r="T996" t="s">
        <v>28</v>
      </c>
      <c r="U996" t="s">
        <v>960</v>
      </c>
      <c r="V996" s="28" t="s">
        <v>7479</v>
      </c>
      <c r="W996" s="28" t="s">
        <v>7480</v>
      </c>
      <c r="X996" s="28" t="s">
        <v>7481</v>
      </c>
      <c r="Y996" s="28" t="s">
        <v>7482</v>
      </c>
      <c r="Z996" s="28" t="s">
        <v>7483</v>
      </c>
      <c r="AA996" s="28" t="s">
        <v>7484</v>
      </c>
      <c r="AB996" s="28" t="s">
        <v>7485</v>
      </c>
      <c r="AC996" s="28" t="s">
        <v>7486</v>
      </c>
    </row>
    <row r="997" spans="1:29">
      <c r="A997">
        <v>2</v>
      </c>
      <c r="B997">
        <v>2140</v>
      </c>
      <c r="C997">
        <v>2138</v>
      </c>
      <c r="D997" t="s">
        <v>22</v>
      </c>
      <c r="E997" s="23">
        <v>44463</v>
      </c>
      <c r="F997" s="22">
        <v>44476</v>
      </c>
      <c r="G997" t="s">
        <v>25</v>
      </c>
      <c r="H997" t="s">
        <v>6488</v>
      </c>
      <c r="I997" t="s">
        <v>28</v>
      </c>
      <c r="J997" t="s">
        <v>69</v>
      </c>
      <c r="K997" t="s">
        <v>6489</v>
      </c>
      <c r="L997" t="s">
        <v>7537</v>
      </c>
      <c r="M997">
        <v>2130</v>
      </c>
      <c r="N997" t="s">
        <v>6491</v>
      </c>
      <c r="O997" t="s">
        <v>865</v>
      </c>
      <c r="P997" t="s">
        <v>6492</v>
      </c>
      <c r="Q997" t="s">
        <v>7538</v>
      </c>
      <c r="R997" t="s">
        <v>872</v>
      </c>
      <c r="S997" t="s">
        <v>872</v>
      </c>
      <c r="T997" t="s">
        <v>950</v>
      </c>
      <c r="U997" t="s">
        <v>960</v>
      </c>
      <c r="V997" s="28" t="s">
        <v>7539</v>
      </c>
      <c r="W997" s="28" t="s">
        <v>7540</v>
      </c>
      <c r="X997" s="28" t="s">
        <v>7541</v>
      </c>
      <c r="Y997" s="28" t="s">
        <v>7542</v>
      </c>
      <c r="Z997" s="28" t="s">
        <v>7543</v>
      </c>
      <c r="AA997" s="28" t="s">
        <v>7544</v>
      </c>
      <c r="AB997" s="28" t="s">
        <v>7545</v>
      </c>
      <c r="AC997" s="28" t="s">
        <v>7546</v>
      </c>
    </row>
    <row r="998" spans="1:29">
      <c r="A998">
        <v>3</v>
      </c>
      <c r="B998">
        <v>2140</v>
      </c>
      <c r="C998">
        <v>2138</v>
      </c>
      <c r="D998" t="s">
        <v>22</v>
      </c>
      <c r="E998" s="23">
        <v>44463</v>
      </c>
      <c r="F998" s="22">
        <v>44476</v>
      </c>
      <c r="G998" t="s">
        <v>25</v>
      </c>
      <c r="H998" t="s">
        <v>6488</v>
      </c>
      <c r="I998" t="s">
        <v>28</v>
      </c>
      <c r="J998" t="s">
        <v>69</v>
      </c>
      <c r="K998" t="s">
        <v>6489</v>
      </c>
      <c r="L998" t="s">
        <v>7547</v>
      </c>
      <c r="M998">
        <v>2131</v>
      </c>
      <c r="N998" t="s">
        <v>6491</v>
      </c>
      <c r="O998" t="s">
        <v>865</v>
      </c>
      <c r="P998" t="s">
        <v>6492</v>
      </c>
      <c r="Q998" t="s">
        <v>7548</v>
      </c>
      <c r="R998" t="s">
        <v>7549</v>
      </c>
      <c r="S998" t="s">
        <v>874</v>
      </c>
      <c r="T998" t="s">
        <v>28</v>
      </c>
      <c r="U998" t="s">
        <v>960</v>
      </c>
      <c r="V998" s="28" t="s">
        <v>6732</v>
      </c>
      <c r="W998" s="28" t="s">
        <v>6733</v>
      </c>
      <c r="X998" s="28" t="s">
        <v>7550</v>
      </c>
      <c r="Y998" s="28" t="s">
        <v>7551</v>
      </c>
      <c r="Z998" s="28" t="s">
        <v>7552</v>
      </c>
      <c r="AA998" s="28" t="s">
        <v>7553</v>
      </c>
      <c r="AB998" s="28" t="s">
        <v>7554</v>
      </c>
      <c r="AC998" s="28" t="s">
        <v>7555</v>
      </c>
    </row>
    <row r="999" spans="1:29">
      <c r="A999">
        <v>4</v>
      </c>
      <c r="B999">
        <v>2142</v>
      </c>
      <c r="C999">
        <v>2141</v>
      </c>
      <c r="D999" t="s">
        <v>22</v>
      </c>
      <c r="E999" s="23">
        <v>44482</v>
      </c>
      <c r="F999" s="22">
        <v>44487</v>
      </c>
      <c r="G999" t="s">
        <v>25</v>
      </c>
      <c r="H999" t="s">
        <v>6488</v>
      </c>
      <c r="I999" t="s">
        <v>28</v>
      </c>
      <c r="J999" t="s">
        <v>67</v>
      </c>
      <c r="K999" t="s">
        <v>103</v>
      </c>
      <c r="L999" t="s">
        <v>7556</v>
      </c>
      <c r="M999">
        <v>2134</v>
      </c>
      <c r="N999" t="s">
        <v>7557</v>
      </c>
      <c r="O999" t="s">
        <v>865</v>
      </c>
      <c r="P999" t="s">
        <v>7558</v>
      </c>
      <c r="Q999" t="s">
        <v>7559</v>
      </c>
      <c r="R999" t="s">
        <v>7560</v>
      </c>
      <c r="S999" t="s">
        <v>7561</v>
      </c>
      <c r="T999" t="s">
        <v>891</v>
      </c>
      <c r="U999" t="s">
        <v>960</v>
      </c>
      <c r="V999" s="28" t="s">
        <v>7562</v>
      </c>
      <c r="W999" s="28" t="s">
        <v>7029</v>
      </c>
      <c r="X999" s="28" t="s">
        <v>7563</v>
      </c>
      <c r="Y999" s="28" t="s">
        <v>7564</v>
      </c>
      <c r="Z999" s="28" t="s">
        <v>7565</v>
      </c>
      <c r="AA999" s="28" t="s">
        <v>7566</v>
      </c>
      <c r="AB999" s="28" t="s">
        <v>7567</v>
      </c>
      <c r="AC999" s="28" t="s">
        <v>7568</v>
      </c>
    </row>
    <row r="1000" spans="1:29">
      <c r="A1000">
        <v>12</v>
      </c>
      <c r="B1000">
        <v>2140</v>
      </c>
      <c r="C1000" t="s">
        <v>21</v>
      </c>
      <c r="D1000" t="s">
        <v>22</v>
      </c>
      <c r="E1000" t="s">
        <v>7569</v>
      </c>
      <c r="F1000" s="22">
        <v>44476</v>
      </c>
      <c r="G1000" t="s">
        <v>25</v>
      </c>
      <c r="H1000" t="s">
        <v>30</v>
      </c>
      <c r="I1000" t="s">
        <v>28</v>
      </c>
      <c r="J1000" t="s">
        <v>56</v>
      </c>
      <c r="K1000" t="s">
        <v>75</v>
      </c>
      <c r="L1000" t="s">
        <v>7570</v>
      </c>
      <c r="M1000">
        <v>2130</v>
      </c>
      <c r="N1000" t="s">
        <v>809</v>
      </c>
      <c r="O1000" t="s">
        <v>865</v>
      </c>
      <c r="P1000" t="s">
        <v>21</v>
      </c>
      <c r="Q1000" t="s">
        <v>21</v>
      </c>
      <c r="R1000" t="s">
        <v>868</v>
      </c>
      <c r="S1000" t="s">
        <v>868</v>
      </c>
      <c r="T1000" t="s">
        <v>891</v>
      </c>
      <c r="U1000" t="s">
        <v>960</v>
      </c>
      <c r="V1000" s="28" t="s">
        <v>7571</v>
      </c>
      <c r="W1000" s="28" t="s">
        <v>7029</v>
      </c>
      <c r="X1000" s="28" t="s">
        <v>7572</v>
      </c>
      <c r="Y1000" s="28" t="s">
        <v>7564</v>
      </c>
      <c r="Z1000" s="28" t="s">
        <v>7573</v>
      </c>
      <c r="AA1000" s="28" t="s">
        <v>7574</v>
      </c>
      <c r="AB1000" s="28" t="s">
        <v>7575</v>
      </c>
      <c r="AC1000" s="28" t="s">
        <v>7576</v>
      </c>
    </row>
    <row r="1001" spans="1:29">
      <c r="A1001">
        <v>13</v>
      </c>
      <c r="B1001">
        <v>2145</v>
      </c>
      <c r="C1001">
        <v>2144</v>
      </c>
      <c r="D1001" t="s">
        <v>21</v>
      </c>
      <c r="E1001" s="23">
        <v>44502</v>
      </c>
      <c r="F1001" s="22">
        <v>44508</v>
      </c>
      <c r="G1001" t="s">
        <v>27</v>
      </c>
      <c r="H1001" t="s">
        <v>28</v>
      </c>
      <c r="I1001" t="s">
        <v>21</v>
      </c>
      <c r="J1001" t="s">
        <v>53</v>
      </c>
      <c r="K1001" t="s">
        <v>72</v>
      </c>
      <c r="L1001" t="s">
        <v>7577</v>
      </c>
      <c r="M1001">
        <v>2138</v>
      </c>
      <c r="N1001" t="s">
        <v>849</v>
      </c>
      <c r="O1001" t="s">
        <v>865</v>
      </c>
      <c r="P1001" t="s">
        <v>21</v>
      </c>
      <c r="Q1001" t="s">
        <v>21</v>
      </c>
      <c r="R1001" t="s">
        <v>921</v>
      </c>
      <c r="S1001" t="s">
        <v>921</v>
      </c>
      <c r="T1001" t="s">
        <v>959</v>
      </c>
      <c r="U1001" t="s">
        <v>960</v>
      </c>
      <c r="V1001" s="28" t="s">
        <v>7578</v>
      </c>
      <c r="W1001" s="28" t="s">
        <v>7579</v>
      </c>
      <c r="X1001" s="28" t="s">
        <v>7580</v>
      </c>
      <c r="Y1001" s="28" t="s">
        <v>7581</v>
      </c>
      <c r="Z1001" s="28" t="s">
        <v>7582</v>
      </c>
      <c r="AA1001" s="28" t="s">
        <v>7583</v>
      </c>
      <c r="AB1001" s="28" t="s">
        <v>7584</v>
      </c>
      <c r="AC1001" s="28" t="s">
        <v>7585</v>
      </c>
    </row>
    <row r="1002" spans="1:29">
      <c r="A1002">
        <v>275</v>
      </c>
      <c r="B1002">
        <v>2145</v>
      </c>
      <c r="C1002">
        <v>2145</v>
      </c>
      <c r="D1002" t="s">
        <v>21</v>
      </c>
      <c r="E1002" s="23">
        <v>44508</v>
      </c>
      <c r="F1002" t="s">
        <v>6055</v>
      </c>
      <c r="G1002" t="s">
        <v>26</v>
      </c>
      <c r="H1002">
        <v>3</v>
      </c>
      <c r="I1002" t="s">
        <v>41</v>
      </c>
      <c r="J1002" t="s">
        <v>63</v>
      </c>
      <c r="K1002" t="s">
        <v>85</v>
      </c>
      <c r="L1002" t="s">
        <v>7629</v>
      </c>
      <c r="M1002">
        <v>2137</v>
      </c>
      <c r="N1002" t="s">
        <v>6603</v>
      </c>
      <c r="O1002" t="s">
        <v>21</v>
      </c>
      <c r="P1002" t="s">
        <v>21</v>
      </c>
      <c r="Q1002" t="s">
        <v>21</v>
      </c>
      <c r="R1002" t="s">
        <v>881</v>
      </c>
      <c r="S1002" t="s">
        <v>881</v>
      </c>
      <c r="T1002" t="s">
        <v>949</v>
      </c>
      <c r="U1002" t="s">
        <v>961</v>
      </c>
      <c r="V1002" s="28" t="s">
        <v>7630</v>
      </c>
      <c r="W1002" s="28" t="s">
        <v>7631</v>
      </c>
      <c r="X1002" s="28" t="s">
        <v>7632</v>
      </c>
      <c r="Y1002" s="28" t="s">
        <v>7633</v>
      </c>
      <c r="Z1002" s="28" t="s">
        <v>7634</v>
      </c>
      <c r="AA1002" s="28" t="s">
        <v>7635</v>
      </c>
      <c r="AB1002" s="28" t="s">
        <v>7636</v>
      </c>
      <c r="AC1002" s="28" t="s">
        <v>7637</v>
      </c>
    </row>
    <row r="1003" spans="1:29">
      <c r="A1003">
        <v>276</v>
      </c>
      <c r="B1003">
        <v>2145</v>
      </c>
      <c r="C1003">
        <v>2145</v>
      </c>
      <c r="D1003" t="s">
        <v>21</v>
      </c>
      <c r="E1003" s="23">
        <v>44510</v>
      </c>
      <c r="F1003" t="s">
        <v>6055</v>
      </c>
      <c r="G1003" t="s">
        <v>26</v>
      </c>
      <c r="H1003">
        <v>3</v>
      </c>
      <c r="I1003" t="s">
        <v>36</v>
      </c>
      <c r="J1003" t="s">
        <v>64</v>
      </c>
      <c r="K1003" t="s">
        <v>86</v>
      </c>
      <c r="L1003" t="s">
        <v>7638</v>
      </c>
      <c r="M1003">
        <v>2138</v>
      </c>
      <c r="N1003" t="s">
        <v>832</v>
      </c>
      <c r="O1003" t="s">
        <v>21</v>
      </c>
      <c r="P1003" t="s">
        <v>21</v>
      </c>
      <c r="Q1003" t="s">
        <v>21</v>
      </c>
      <c r="R1003" t="s">
        <v>874</v>
      </c>
      <c r="S1003" t="s">
        <v>874</v>
      </c>
      <c r="T1003" t="s">
        <v>28</v>
      </c>
      <c r="U1003" t="s">
        <v>961</v>
      </c>
      <c r="V1003" s="28" t="s">
        <v>7639</v>
      </c>
      <c r="W1003" s="28" t="s">
        <v>7640</v>
      </c>
      <c r="X1003" s="28" t="s">
        <v>7641</v>
      </c>
      <c r="Y1003" s="28" t="s">
        <v>7642</v>
      </c>
      <c r="Z1003" s="28" t="s">
        <v>7643</v>
      </c>
      <c r="AA1003" s="28" t="s">
        <v>7644</v>
      </c>
      <c r="AB1003" s="28" t="s">
        <v>7645</v>
      </c>
      <c r="AC1003" s="28" t="s">
        <v>7646</v>
      </c>
    </row>
    <row r="1004" spans="1:29">
      <c r="A1004">
        <v>43</v>
      </c>
      <c r="B1004">
        <v>2143</v>
      </c>
      <c r="C1004">
        <v>2145</v>
      </c>
      <c r="D1004" t="s">
        <v>23</v>
      </c>
      <c r="E1004" s="23">
        <v>44511</v>
      </c>
      <c r="F1004" s="22">
        <v>44497</v>
      </c>
      <c r="G1004" t="s">
        <v>965</v>
      </c>
      <c r="H1004" t="s">
        <v>28</v>
      </c>
      <c r="I1004" t="s">
        <v>23</v>
      </c>
      <c r="J1004" t="s">
        <v>68</v>
      </c>
      <c r="K1004" t="s">
        <v>107</v>
      </c>
      <c r="L1004" t="s">
        <v>7647</v>
      </c>
      <c r="M1004">
        <v>2136</v>
      </c>
      <c r="N1004" t="s">
        <v>858</v>
      </c>
      <c r="O1004" t="s">
        <v>866</v>
      </c>
      <c r="P1004" t="s">
        <v>21</v>
      </c>
      <c r="Q1004" t="s">
        <v>21</v>
      </c>
      <c r="R1004" t="s">
        <v>911</v>
      </c>
      <c r="S1004" t="s">
        <v>911</v>
      </c>
      <c r="T1004" t="s">
        <v>28</v>
      </c>
      <c r="U1004" t="s">
        <v>960</v>
      </c>
      <c r="V1004" s="28" t="s">
        <v>7276</v>
      </c>
      <c r="W1004" s="28" t="s">
        <v>6733</v>
      </c>
      <c r="X1004" s="28" t="s">
        <v>7366</v>
      </c>
      <c r="Y1004" s="28" t="s">
        <v>7084</v>
      </c>
      <c r="Z1004" s="28" t="s">
        <v>7367</v>
      </c>
      <c r="AA1004" s="28" t="s">
        <v>7368</v>
      </c>
      <c r="AB1004" s="28" t="s">
        <v>7369</v>
      </c>
      <c r="AC1004" s="28" t="s">
        <v>7370</v>
      </c>
    </row>
    <row r="1005" spans="1:29">
      <c r="A1005">
        <v>41</v>
      </c>
      <c r="B1005">
        <v>2145</v>
      </c>
      <c r="C1005">
        <v>2145</v>
      </c>
      <c r="D1005" t="s">
        <v>23</v>
      </c>
      <c r="E1005" s="23">
        <v>44509</v>
      </c>
      <c r="F1005" s="22">
        <v>44509</v>
      </c>
      <c r="G1005" t="s">
        <v>965</v>
      </c>
      <c r="H1005" t="s">
        <v>28</v>
      </c>
      <c r="I1005" t="s">
        <v>23</v>
      </c>
      <c r="J1005" t="s">
        <v>52</v>
      </c>
      <c r="K1005" t="s">
        <v>71</v>
      </c>
      <c r="L1005" t="s">
        <v>7648</v>
      </c>
      <c r="M1005">
        <v>2138</v>
      </c>
      <c r="N1005" t="s">
        <v>860</v>
      </c>
      <c r="O1005" t="s">
        <v>866</v>
      </c>
      <c r="P1005" t="s">
        <v>21</v>
      </c>
      <c r="Q1005" t="s">
        <v>21</v>
      </c>
      <c r="R1005" t="s">
        <v>924</v>
      </c>
      <c r="S1005" t="s">
        <v>870</v>
      </c>
      <c r="T1005" t="s">
        <v>949</v>
      </c>
      <c r="U1005" t="s">
        <v>960</v>
      </c>
      <c r="V1005" s="28" t="s">
        <v>7649</v>
      </c>
      <c r="W1005" s="28" t="s">
        <v>7650</v>
      </c>
      <c r="X1005" s="28" t="s">
        <v>7651</v>
      </c>
      <c r="Y1005" s="28" t="s">
        <v>7652</v>
      </c>
      <c r="Z1005" s="28" t="s">
        <v>7653</v>
      </c>
      <c r="AA1005" s="28" t="s">
        <v>7654</v>
      </c>
      <c r="AB1005" s="28" t="s">
        <v>7655</v>
      </c>
      <c r="AC1005" s="28" t="s">
        <v>7656</v>
      </c>
    </row>
    <row r="1006" spans="1:29">
      <c r="A1006">
        <v>42</v>
      </c>
      <c r="B1006">
        <v>2145</v>
      </c>
      <c r="C1006">
        <v>2145</v>
      </c>
      <c r="D1006" t="s">
        <v>23</v>
      </c>
      <c r="E1006" s="23">
        <v>44509</v>
      </c>
      <c r="F1006" s="22">
        <v>44509</v>
      </c>
      <c r="G1006" t="s">
        <v>965</v>
      </c>
      <c r="H1006" t="s">
        <v>28</v>
      </c>
      <c r="I1006" t="s">
        <v>23</v>
      </c>
      <c r="J1006" t="s">
        <v>52</v>
      </c>
      <c r="K1006" t="s">
        <v>71</v>
      </c>
      <c r="L1006" t="s">
        <v>7657</v>
      </c>
      <c r="M1006">
        <v>2138</v>
      </c>
      <c r="N1006" t="s">
        <v>860</v>
      </c>
      <c r="O1006" t="s">
        <v>866</v>
      </c>
      <c r="P1006" t="s">
        <v>21</v>
      </c>
      <c r="Q1006" t="s">
        <v>21</v>
      </c>
      <c r="R1006" t="s">
        <v>891</v>
      </c>
      <c r="S1006" t="s">
        <v>891</v>
      </c>
      <c r="T1006" t="s">
        <v>891</v>
      </c>
      <c r="U1006" t="s">
        <v>960</v>
      </c>
      <c r="V1006" s="28" t="s">
        <v>7658</v>
      </c>
      <c r="W1006" s="28" t="s">
        <v>7659</v>
      </c>
      <c r="X1006" s="28" t="s">
        <v>7660</v>
      </c>
      <c r="Y1006" s="28" t="s">
        <v>7661</v>
      </c>
      <c r="Z1006" s="28" t="s">
        <v>7662</v>
      </c>
      <c r="AA1006" s="28" t="s">
        <v>7663</v>
      </c>
      <c r="AB1006" s="28" t="s">
        <v>7664</v>
      </c>
      <c r="AC1006" s="28" t="s">
        <v>7665</v>
      </c>
    </row>
    <row r="1007" spans="1:29">
      <c r="A1007">
        <v>43</v>
      </c>
      <c r="B1007">
        <v>2145</v>
      </c>
      <c r="C1007">
        <v>2145</v>
      </c>
      <c r="D1007" t="s">
        <v>23</v>
      </c>
      <c r="E1007" s="23">
        <v>44511</v>
      </c>
      <c r="F1007" s="22">
        <v>44511</v>
      </c>
      <c r="G1007" t="s">
        <v>965</v>
      </c>
      <c r="H1007" t="s">
        <v>28</v>
      </c>
      <c r="I1007" t="s">
        <v>23</v>
      </c>
      <c r="J1007" t="s">
        <v>52</v>
      </c>
      <c r="K1007" t="s">
        <v>71</v>
      </c>
      <c r="L1007" t="s">
        <v>7666</v>
      </c>
      <c r="M1007">
        <v>2138</v>
      </c>
      <c r="N1007" t="s">
        <v>860</v>
      </c>
      <c r="O1007" t="s">
        <v>866</v>
      </c>
      <c r="P1007" t="s">
        <v>21</v>
      </c>
      <c r="Q1007" t="s">
        <v>21</v>
      </c>
      <c r="R1007" t="s">
        <v>881</v>
      </c>
      <c r="S1007" t="s">
        <v>881</v>
      </c>
      <c r="T1007" t="s">
        <v>949</v>
      </c>
      <c r="U1007" t="s">
        <v>960</v>
      </c>
      <c r="V1007" s="28" t="s">
        <v>7649</v>
      </c>
      <c r="W1007" s="28" t="s">
        <v>7650</v>
      </c>
      <c r="X1007" s="28" t="s">
        <v>7651</v>
      </c>
      <c r="Y1007" s="28" t="s">
        <v>7652</v>
      </c>
      <c r="Z1007" s="28" t="s">
        <v>7653</v>
      </c>
      <c r="AA1007" s="28" t="s">
        <v>7654</v>
      </c>
      <c r="AB1007" s="28" t="s">
        <v>7655</v>
      </c>
      <c r="AC1007" s="28" t="s">
        <v>7656</v>
      </c>
    </row>
    <row r="1008" spans="1:29">
      <c r="A1008">
        <v>26</v>
      </c>
      <c r="B1008">
        <v>2141</v>
      </c>
      <c r="C1008">
        <v>2141</v>
      </c>
      <c r="D1008" t="s">
        <v>21</v>
      </c>
      <c r="E1008" s="23">
        <v>44480</v>
      </c>
      <c r="F1008" s="22">
        <v>44480</v>
      </c>
      <c r="G1008" t="s">
        <v>24</v>
      </c>
      <c r="H1008" t="s">
        <v>28</v>
      </c>
      <c r="I1008" t="s">
        <v>21</v>
      </c>
      <c r="J1008" t="s">
        <v>52</v>
      </c>
      <c r="K1008" t="s">
        <v>71</v>
      </c>
      <c r="L1008" t="s">
        <v>7718</v>
      </c>
      <c r="M1008">
        <v>2132</v>
      </c>
      <c r="N1008" t="s">
        <v>805</v>
      </c>
      <c r="O1008" t="s">
        <v>865</v>
      </c>
      <c r="P1008" t="s">
        <v>21</v>
      </c>
      <c r="Q1008" t="s">
        <v>21</v>
      </c>
      <c r="R1008" t="s">
        <v>869</v>
      </c>
      <c r="S1008" t="s">
        <v>869</v>
      </c>
      <c r="T1008" t="s">
        <v>28</v>
      </c>
      <c r="U1008" t="s">
        <v>960</v>
      </c>
      <c r="V1008" s="28" t="s">
        <v>7021</v>
      </c>
      <c r="W1008" s="28" t="s">
        <v>6733</v>
      </c>
      <c r="X1008" s="28" t="s">
        <v>7719</v>
      </c>
      <c r="Y1008" s="28" t="s">
        <v>7720</v>
      </c>
      <c r="Z1008" s="28" t="s">
        <v>7721</v>
      </c>
      <c r="AA1008" s="28" t="s">
        <v>7722</v>
      </c>
      <c r="AB1008" s="28" t="s">
        <v>7723</v>
      </c>
      <c r="AC1008" s="28" t="s">
        <v>6739</v>
      </c>
    </row>
    <row r="1009" spans="1:29">
      <c r="A1009">
        <v>27</v>
      </c>
      <c r="B1009">
        <v>2141</v>
      </c>
      <c r="C1009">
        <v>2141</v>
      </c>
      <c r="D1009" t="s">
        <v>21</v>
      </c>
      <c r="E1009" s="23">
        <v>44481</v>
      </c>
      <c r="F1009" s="22">
        <v>44481</v>
      </c>
      <c r="G1009" t="s">
        <v>24</v>
      </c>
      <c r="H1009" t="s">
        <v>28</v>
      </c>
      <c r="I1009" t="s">
        <v>21</v>
      </c>
      <c r="J1009" t="s">
        <v>52</v>
      </c>
      <c r="K1009" t="s">
        <v>71</v>
      </c>
      <c r="L1009" t="s">
        <v>7724</v>
      </c>
      <c r="M1009">
        <v>2133</v>
      </c>
      <c r="N1009" t="s">
        <v>805</v>
      </c>
      <c r="O1009" t="s">
        <v>865</v>
      </c>
      <c r="P1009" t="s">
        <v>21</v>
      </c>
      <c r="Q1009" t="s">
        <v>21</v>
      </c>
      <c r="R1009" t="s">
        <v>867</v>
      </c>
      <c r="S1009" t="s">
        <v>867</v>
      </c>
      <c r="T1009" t="s">
        <v>948</v>
      </c>
      <c r="U1009" t="s">
        <v>960</v>
      </c>
      <c r="V1009" s="28" t="s">
        <v>7725</v>
      </c>
      <c r="W1009" s="28" t="s">
        <v>7726</v>
      </c>
      <c r="X1009" s="28" t="s">
        <v>7727</v>
      </c>
      <c r="Y1009" s="28" t="s">
        <v>7728</v>
      </c>
      <c r="Z1009" s="28" t="s">
        <v>7729</v>
      </c>
      <c r="AA1009" s="28" t="s">
        <v>7730</v>
      </c>
      <c r="AB1009" s="28" t="s">
        <v>7731</v>
      </c>
      <c r="AC1009" s="28" t="s">
        <v>7732</v>
      </c>
    </row>
    <row r="1010" spans="1:29">
      <c r="A1010">
        <v>28</v>
      </c>
      <c r="B1010">
        <v>2142</v>
      </c>
      <c r="C1010">
        <v>2142</v>
      </c>
      <c r="D1010" t="s">
        <v>21</v>
      </c>
      <c r="E1010" s="23">
        <v>44487</v>
      </c>
      <c r="F1010" s="22">
        <v>44487</v>
      </c>
      <c r="G1010" t="s">
        <v>24</v>
      </c>
      <c r="H1010" t="s">
        <v>28</v>
      </c>
      <c r="I1010" t="s">
        <v>21</v>
      </c>
      <c r="J1010" t="s">
        <v>52</v>
      </c>
      <c r="K1010" t="s">
        <v>71</v>
      </c>
      <c r="L1010" t="s">
        <v>7733</v>
      </c>
      <c r="M1010">
        <v>2133</v>
      </c>
      <c r="N1010" t="s">
        <v>805</v>
      </c>
      <c r="O1010" t="s">
        <v>865</v>
      </c>
      <c r="P1010" t="s">
        <v>21</v>
      </c>
      <c r="Q1010" t="s">
        <v>21</v>
      </c>
      <c r="R1010" t="s">
        <v>6886</v>
      </c>
      <c r="S1010" t="s">
        <v>6886</v>
      </c>
      <c r="T1010" t="s">
        <v>948</v>
      </c>
      <c r="U1010" t="s">
        <v>960</v>
      </c>
      <c r="V1010" s="28" t="s">
        <v>7734</v>
      </c>
      <c r="W1010" s="28" t="s">
        <v>7726</v>
      </c>
      <c r="X1010" s="28" t="s">
        <v>7735</v>
      </c>
      <c r="Y1010" s="28" t="s">
        <v>7728</v>
      </c>
      <c r="Z1010" s="28" t="s">
        <v>7736</v>
      </c>
      <c r="AA1010" s="28" t="s">
        <v>7730</v>
      </c>
      <c r="AB1010" s="28" t="s">
        <v>7737</v>
      </c>
      <c r="AC1010" s="28" t="s">
        <v>7732</v>
      </c>
    </row>
    <row r="1011" spans="1:29">
      <c r="A1011">
        <v>29</v>
      </c>
      <c r="B1011">
        <v>2142</v>
      </c>
      <c r="C1011">
        <v>2142</v>
      </c>
      <c r="D1011" t="s">
        <v>21</v>
      </c>
      <c r="E1011" s="23">
        <v>44488</v>
      </c>
      <c r="F1011" s="22">
        <v>44488</v>
      </c>
      <c r="G1011" t="s">
        <v>24</v>
      </c>
      <c r="H1011" t="s">
        <v>28</v>
      </c>
      <c r="I1011" t="s">
        <v>21</v>
      </c>
      <c r="J1011" t="s">
        <v>52</v>
      </c>
      <c r="K1011" t="s">
        <v>71</v>
      </c>
      <c r="L1011" t="s">
        <v>7738</v>
      </c>
      <c r="M1011">
        <v>2131</v>
      </c>
      <c r="N1011" t="s">
        <v>805</v>
      </c>
      <c r="O1011" t="s">
        <v>865</v>
      </c>
      <c r="P1011" t="s">
        <v>21</v>
      </c>
      <c r="Q1011" t="s">
        <v>21</v>
      </c>
      <c r="R1011" t="s">
        <v>867</v>
      </c>
      <c r="S1011" t="s">
        <v>867</v>
      </c>
      <c r="T1011" t="s">
        <v>948</v>
      </c>
      <c r="U1011" t="s">
        <v>960</v>
      </c>
      <c r="V1011" s="28" t="s">
        <v>7734</v>
      </c>
      <c r="W1011" s="28" t="s">
        <v>7726</v>
      </c>
      <c r="X1011" s="28" t="s">
        <v>7735</v>
      </c>
      <c r="Y1011" s="28" t="s">
        <v>7728</v>
      </c>
      <c r="Z1011" s="28" t="s">
        <v>7736</v>
      </c>
      <c r="AA1011" s="28" t="s">
        <v>7730</v>
      </c>
      <c r="AB1011" s="28" t="s">
        <v>7737</v>
      </c>
      <c r="AC1011" s="28" t="s">
        <v>7732</v>
      </c>
    </row>
    <row r="1012" spans="1:29">
      <c r="A1012">
        <v>30</v>
      </c>
      <c r="B1012">
        <v>2142</v>
      </c>
      <c r="C1012">
        <v>2142</v>
      </c>
      <c r="D1012" t="s">
        <v>21</v>
      </c>
      <c r="E1012" s="23">
        <v>44488</v>
      </c>
      <c r="F1012" s="22">
        <v>44488</v>
      </c>
      <c r="G1012" t="s">
        <v>24</v>
      </c>
      <c r="H1012" t="s">
        <v>28</v>
      </c>
      <c r="I1012" t="s">
        <v>21</v>
      </c>
      <c r="J1012" t="s">
        <v>52</v>
      </c>
      <c r="K1012" t="s">
        <v>71</v>
      </c>
      <c r="L1012" t="s">
        <v>7739</v>
      </c>
      <c r="M1012">
        <v>2134</v>
      </c>
      <c r="N1012" t="s">
        <v>805</v>
      </c>
      <c r="O1012" t="s">
        <v>865</v>
      </c>
      <c r="P1012" t="s">
        <v>21</v>
      </c>
      <c r="Q1012" t="s">
        <v>21</v>
      </c>
      <c r="R1012" t="s">
        <v>6886</v>
      </c>
      <c r="S1012" t="s">
        <v>6886</v>
      </c>
      <c r="T1012" t="s">
        <v>948</v>
      </c>
      <c r="U1012" t="s">
        <v>960</v>
      </c>
      <c r="V1012" s="28" t="s">
        <v>7734</v>
      </c>
      <c r="W1012" s="28" t="s">
        <v>7726</v>
      </c>
      <c r="X1012" s="28" t="s">
        <v>7735</v>
      </c>
      <c r="Y1012" s="28" t="s">
        <v>7728</v>
      </c>
      <c r="Z1012" s="28" t="s">
        <v>7736</v>
      </c>
      <c r="AA1012" s="28" t="s">
        <v>7730</v>
      </c>
      <c r="AB1012" s="28" t="s">
        <v>7737</v>
      </c>
      <c r="AC1012" s="28" t="s">
        <v>7732</v>
      </c>
    </row>
    <row r="1013" spans="1:29">
      <c r="A1013">
        <v>31</v>
      </c>
      <c r="B1013">
        <v>2143</v>
      </c>
      <c r="C1013">
        <v>2143</v>
      </c>
      <c r="D1013" t="s">
        <v>21</v>
      </c>
      <c r="E1013" s="23">
        <v>44494</v>
      </c>
      <c r="F1013" s="22">
        <v>44494</v>
      </c>
      <c r="G1013" t="s">
        <v>24</v>
      </c>
      <c r="H1013" t="s">
        <v>28</v>
      </c>
      <c r="I1013" t="s">
        <v>21</v>
      </c>
      <c r="J1013" t="s">
        <v>52</v>
      </c>
      <c r="K1013" t="s">
        <v>71</v>
      </c>
      <c r="L1013" t="s">
        <v>7740</v>
      </c>
      <c r="M1013">
        <v>2136</v>
      </c>
      <c r="N1013" t="s">
        <v>805</v>
      </c>
      <c r="O1013" t="s">
        <v>865</v>
      </c>
      <c r="P1013" t="s">
        <v>21</v>
      </c>
      <c r="Q1013" t="s">
        <v>21</v>
      </c>
      <c r="R1013" t="s">
        <v>868</v>
      </c>
      <c r="S1013" t="s">
        <v>868</v>
      </c>
      <c r="T1013" t="s">
        <v>891</v>
      </c>
      <c r="U1013" t="s">
        <v>960</v>
      </c>
      <c r="V1013" s="28" t="s">
        <v>7271</v>
      </c>
      <c r="W1013" s="28" t="s">
        <v>7029</v>
      </c>
      <c r="X1013" s="28" t="s">
        <v>7741</v>
      </c>
      <c r="Y1013" s="28" t="s">
        <v>7742</v>
      </c>
      <c r="Z1013" s="28" t="s">
        <v>7743</v>
      </c>
      <c r="AA1013" s="28" t="s">
        <v>7744</v>
      </c>
      <c r="AB1013" s="28" t="s">
        <v>7745</v>
      </c>
      <c r="AC1013" s="28" t="s">
        <v>7746</v>
      </c>
    </row>
    <row r="1014" spans="1:29">
      <c r="A1014">
        <v>3</v>
      </c>
      <c r="B1014">
        <v>2138</v>
      </c>
      <c r="C1014">
        <v>2138</v>
      </c>
      <c r="D1014" t="s">
        <v>21</v>
      </c>
      <c r="E1014" s="23">
        <v>44462</v>
      </c>
      <c r="F1014" s="22">
        <v>44462</v>
      </c>
      <c r="G1014" t="s">
        <v>24</v>
      </c>
      <c r="H1014" t="s">
        <v>28</v>
      </c>
      <c r="I1014" t="s">
        <v>21</v>
      </c>
      <c r="J1014" t="s">
        <v>53</v>
      </c>
      <c r="K1014" t="s">
        <v>72</v>
      </c>
      <c r="L1014" t="s">
        <v>7235</v>
      </c>
      <c r="M1014">
        <v>2128</v>
      </c>
      <c r="N1014" t="s">
        <v>806</v>
      </c>
      <c r="O1014" t="s">
        <v>865</v>
      </c>
      <c r="P1014" t="s">
        <v>21</v>
      </c>
      <c r="Q1014" t="s">
        <v>21</v>
      </c>
      <c r="R1014" t="s">
        <v>868</v>
      </c>
      <c r="S1014" t="s">
        <v>868</v>
      </c>
      <c r="T1014" t="s">
        <v>891</v>
      </c>
      <c r="U1014" t="s">
        <v>960</v>
      </c>
      <c r="V1014" s="28" t="s">
        <v>6654</v>
      </c>
      <c r="W1014" s="28" t="s">
        <v>6256</v>
      </c>
      <c r="X1014" s="28" t="s">
        <v>6889</v>
      </c>
      <c r="Y1014" s="28" t="s">
        <v>6890</v>
      </c>
      <c r="Z1014" s="28" t="s">
        <v>7747</v>
      </c>
      <c r="AA1014" s="28" t="s">
        <v>7748</v>
      </c>
      <c r="AB1014" s="28" t="s">
        <v>7749</v>
      </c>
      <c r="AC1014" s="28" t="s">
        <v>7750</v>
      </c>
    </row>
    <row r="1015" spans="1:29">
      <c r="A1015">
        <v>4</v>
      </c>
      <c r="B1015">
        <v>2142</v>
      </c>
      <c r="C1015">
        <v>2142</v>
      </c>
      <c r="D1015" t="s">
        <v>21</v>
      </c>
      <c r="E1015" s="23">
        <v>44487</v>
      </c>
      <c r="F1015" s="22">
        <v>44487</v>
      </c>
      <c r="G1015" t="s">
        <v>24</v>
      </c>
      <c r="H1015" t="s">
        <v>28</v>
      </c>
      <c r="I1015" t="s">
        <v>21</v>
      </c>
      <c r="J1015" t="s">
        <v>53</v>
      </c>
      <c r="K1015" t="s">
        <v>72</v>
      </c>
      <c r="L1015" t="s">
        <v>7751</v>
      </c>
      <c r="M1015">
        <v>2129</v>
      </c>
      <c r="N1015" t="s">
        <v>806</v>
      </c>
      <c r="O1015" t="s">
        <v>865</v>
      </c>
      <c r="P1015" t="s">
        <v>21</v>
      </c>
      <c r="Q1015" t="s">
        <v>21</v>
      </c>
      <c r="R1015" t="s">
        <v>867</v>
      </c>
      <c r="S1015" t="s">
        <v>867</v>
      </c>
      <c r="T1015" t="s">
        <v>948</v>
      </c>
      <c r="U1015" t="s">
        <v>960</v>
      </c>
      <c r="V1015" s="28" t="s">
        <v>7734</v>
      </c>
      <c r="W1015" s="28" t="s">
        <v>7726</v>
      </c>
      <c r="X1015" s="28" t="s">
        <v>7735</v>
      </c>
      <c r="Y1015" s="28" t="s">
        <v>7728</v>
      </c>
      <c r="Z1015" s="28" t="s">
        <v>7752</v>
      </c>
      <c r="AA1015" s="28" t="s">
        <v>7753</v>
      </c>
      <c r="AB1015" s="28" t="s">
        <v>7754</v>
      </c>
      <c r="AC1015" s="28" t="s">
        <v>7755</v>
      </c>
    </row>
    <row r="1016" spans="1:29">
      <c r="A1016">
        <v>277</v>
      </c>
      <c r="B1016">
        <v>2146</v>
      </c>
      <c r="C1016">
        <v>2146</v>
      </c>
      <c r="D1016" t="s">
        <v>21</v>
      </c>
      <c r="E1016" s="23">
        <v>44515</v>
      </c>
      <c r="F1016" t="s">
        <v>6055</v>
      </c>
      <c r="G1016" t="s">
        <v>26</v>
      </c>
      <c r="H1016">
        <v>1</v>
      </c>
      <c r="I1016" t="s">
        <v>36</v>
      </c>
      <c r="J1016" t="s">
        <v>64</v>
      </c>
      <c r="K1016" t="s">
        <v>86</v>
      </c>
      <c r="L1016" t="s">
        <v>7756</v>
      </c>
      <c r="M1016">
        <v>2136</v>
      </c>
      <c r="N1016" t="s">
        <v>832</v>
      </c>
      <c r="O1016" t="s">
        <v>21</v>
      </c>
      <c r="P1016" t="s">
        <v>21</v>
      </c>
      <c r="Q1016" t="s">
        <v>21</v>
      </c>
      <c r="R1016" t="s">
        <v>899</v>
      </c>
      <c r="S1016" t="s">
        <v>899</v>
      </c>
      <c r="T1016" t="s">
        <v>956</v>
      </c>
      <c r="U1016" t="s">
        <v>961</v>
      </c>
      <c r="V1016" s="28" t="s">
        <v>7757</v>
      </c>
      <c r="W1016" s="28" t="s">
        <v>7758</v>
      </c>
      <c r="X1016" s="28" t="s">
        <v>7759</v>
      </c>
      <c r="Y1016" s="28" t="s">
        <v>7760</v>
      </c>
      <c r="Z1016" s="28" t="s">
        <v>7761</v>
      </c>
      <c r="AA1016" s="28" t="s">
        <v>7762</v>
      </c>
      <c r="AB1016" s="28" t="s">
        <v>7763</v>
      </c>
      <c r="AC1016" s="28" t="s">
        <v>7764</v>
      </c>
    </row>
    <row r="1017" spans="1:29">
      <c r="A1017">
        <v>278</v>
      </c>
      <c r="B1017">
        <v>2146</v>
      </c>
      <c r="C1017">
        <v>2146</v>
      </c>
      <c r="D1017" t="s">
        <v>21</v>
      </c>
      <c r="E1017" s="23">
        <v>44516</v>
      </c>
      <c r="F1017" t="s">
        <v>6055</v>
      </c>
      <c r="G1017" t="s">
        <v>26</v>
      </c>
      <c r="H1017">
        <v>16</v>
      </c>
      <c r="I1017" t="s">
        <v>7765</v>
      </c>
      <c r="J1017" t="s">
        <v>69</v>
      </c>
      <c r="K1017" t="s">
        <v>99</v>
      </c>
      <c r="L1017" t="s">
        <v>7766</v>
      </c>
      <c r="M1017">
        <v>2127</v>
      </c>
      <c r="N1017" t="s">
        <v>841</v>
      </c>
      <c r="O1017" t="s">
        <v>21</v>
      </c>
      <c r="P1017" t="s">
        <v>21</v>
      </c>
      <c r="Q1017" t="s">
        <v>21</v>
      </c>
      <c r="R1017" t="s">
        <v>872</v>
      </c>
      <c r="S1017" t="s">
        <v>872</v>
      </c>
      <c r="T1017" t="s">
        <v>950</v>
      </c>
      <c r="U1017" t="s">
        <v>960</v>
      </c>
      <c r="V1017" s="28" t="s">
        <v>7767</v>
      </c>
      <c r="W1017" s="28" t="s">
        <v>7768</v>
      </c>
      <c r="X1017" s="28" t="s">
        <v>7769</v>
      </c>
      <c r="Y1017" s="28" t="s">
        <v>7770</v>
      </c>
      <c r="Z1017" s="28" t="s">
        <v>7771</v>
      </c>
      <c r="AA1017" s="28" t="s">
        <v>7772</v>
      </c>
      <c r="AB1017" s="28" t="s">
        <v>7773</v>
      </c>
      <c r="AC1017" s="28" t="s">
        <v>7774</v>
      </c>
    </row>
    <row r="1018" spans="1:29">
      <c r="A1018">
        <v>279</v>
      </c>
      <c r="B1018">
        <v>2146</v>
      </c>
      <c r="C1018">
        <v>2146</v>
      </c>
      <c r="D1018" t="s">
        <v>21</v>
      </c>
      <c r="E1018" s="23">
        <v>44518</v>
      </c>
      <c r="F1018" t="s">
        <v>6055</v>
      </c>
      <c r="G1018" t="s">
        <v>26</v>
      </c>
      <c r="H1018">
        <v>3</v>
      </c>
      <c r="I1018" t="s">
        <v>38</v>
      </c>
      <c r="J1018" t="s">
        <v>53</v>
      </c>
      <c r="K1018" t="s">
        <v>90</v>
      </c>
      <c r="L1018" t="s">
        <v>7775</v>
      </c>
      <c r="M1018">
        <v>2135</v>
      </c>
      <c r="N1018" t="s">
        <v>827</v>
      </c>
      <c r="O1018" t="s">
        <v>21</v>
      </c>
      <c r="P1018" t="s">
        <v>21</v>
      </c>
      <c r="Q1018" t="s">
        <v>21</v>
      </c>
      <c r="R1018" t="s">
        <v>868</v>
      </c>
      <c r="S1018" t="s">
        <v>868</v>
      </c>
      <c r="T1018" t="s">
        <v>891</v>
      </c>
      <c r="U1018" t="s">
        <v>960</v>
      </c>
      <c r="V1018" s="28" t="s">
        <v>7776</v>
      </c>
      <c r="W1018" s="28" t="s">
        <v>7659</v>
      </c>
      <c r="X1018" s="28" t="s">
        <v>7777</v>
      </c>
      <c r="Y1018" s="28" t="s">
        <v>7778</v>
      </c>
      <c r="Z1018" s="28" t="s">
        <v>7779</v>
      </c>
      <c r="AA1018" s="28" t="s">
        <v>7780</v>
      </c>
      <c r="AB1018" s="28" t="s">
        <v>7781</v>
      </c>
      <c r="AC1018" s="28" t="s">
        <v>7782</v>
      </c>
    </row>
    <row r="1019" spans="1:29">
      <c r="A1019">
        <v>19</v>
      </c>
      <c r="B1019">
        <v>2146</v>
      </c>
      <c r="C1019">
        <v>2146</v>
      </c>
      <c r="D1019" t="s">
        <v>21</v>
      </c>
      <c r="E1019" s="23">
        <v>44515</v>
      </c>
      <c r="F1019" s="22">
        <v>44515</v>
      </c>
      <c r="G1019" t="s">
        <v>965</v>
      </c>
      <c r="H1019" t="s">
        <v>28</v>
      </c>
      <c r="I1019" t="s">
        <v>21</v>
      </c>
      <c r="J1019" t="s">
        <v>66</v>
      </c>
      <c r="K1019" t="s">
        <v>109</v>
      </c>
      <c r="L1019" t="s">
        <v>7783</v>
      </c>
      <c r="M1019">
        <v>2134</v>
      </c>
      <c r="N1019" t="s">
        <v>863</v>
      </c>
      <c r="O1019" t="s">
        <v>866</v>
      </c>
      <c r="P1019" t="s">
        <v>21</v>
      </c>
      <c r="Q1019" t="s">
        <v>21</v>
      </c>
      <c r="R1019" t="s">
        <v>922</v>
      </c>
      <c r="S1019" t="s">
        <v>922</v>
      </c>
      <c r="T1019" t="s">
        <v>28</v>
      </c>
      <c r="U1019" t="s">
        <v>960</v>
      </c>
      <c r="V1019" s="28" t="s">
        <v>7784</v>
      </c>
      <c r="W1019" s="28" t="s">
        <v>7480</v>
      </c>
      <c r="X1019" s="28" t="s">
        <v>7785</v>
      </c>
      <c r="Y1019" s="28" t="s">
        <v>7786</v>
      </c>
      <c r="Z1019" s="28" t="s">
        <v>7787</v>
      </c>
      <c r="AA1019" s="28" t="s">
        <v>7788</v>
      </c>
      <c r="AB1019" s="28" t="s">
        <v>7789</v>
      </c>
      <c r="AC1019" s="28" t="s">
        <v>7486</v>
      </c>
    </row>
    <row r="1020" spans="1:29">
      <c r="A1020">
        <v>14</v>
      </c>
      <c r="B1020">
        <v>2147</v>
      </c>
      <c r="C1020">
        <v>2147</v>
      </c>
      <c r="D1020" t="s">
        <v>21</v>
      </c>
      <c r="E1020" s="23">
        <v>44524</v>
      </c>
      <c r="F1020" s="22">
        <v>44524</v>
      </c>
      <c r="G1020" t="s">
        <v>27</v>
      </c>
      <c r="H1020" t="s">
        <v>28</v>
      </c>
      <c r="I1020" t="s">
        <v>21</v>
      </c>
      <c r="J1020" t="s">
        <v>53</v>
      </c>
      <c r="K1020" t="s">
        <v>72</v>
      </c>
      <c r="L1020" t="s">
        <v>7856</v>
      </c>
      <c r="M1020">
        <v>2140</v>
      </c>
      <c r="N1020" t="s">
        <v>849</v>
      </c>
      <c r="O1020" t="s">
        <v>865</v>
      </c>
      <c r="P1020" t="s">
        <v>21</v>
      </c>
      <c r="Q1020" t="s">
        <v>21</v>
      </c>
      <c r="R1020" t="s">
        <v>924</v>
      </c>
      <c r="S1020" t="s">
        <v>924</v>
      </c>
      <c r="T1020" t="s">
        <v>951</v>
      </c>
      <c r="U1020" t="s">
        <v>960</v>
      </c>
      <c r="V1020" s="28" t="s">
        <v>7857</v>
      </c>
      <c r="W1020" s="28" t="s">
        <v>7457</v>
      </c>
      <c r="X1020" s="28" t="s">
        <v>7858</v>
      </c>
      <c r="Y1020" s="28" t="s">
        <v>7859</v>
      </c>
      <c r="Z1020" s="28" t="s">
        <v>7860</v>
      </c>
      <c r="AA1020" s="28" t="s">
        <v>7861</v>
      </c>
      <c r="AB1020" s="28" t="s">
        <v>7862</v>
      </c>
      <c r="AC1020" s="28" t="s">
        <v>7863</v>
      </c>
    </row>
    <row r="1021" spans="1:29">
      <c r="A1021">
        <v>280</v>
      </c>
      <c r="B1021">
        <v>2147</v>
      </c>
      <c r="C1021">
        <v>2147</v>
      </c>
      <c r="D1021" t="s">
        <v>21</v>
      </c>
      <c r="E1021" s="23">
        <v>44523</v>
      </c>
      <c r="F1021" t="s">
        <v>6055</v>
      </c>
      <c r="G1021" t="s">
        <v>26</v>
      </c>
      <c r="H1021">
        <v>2</v>
      </c>
      <c r="I1021" t="s">
        <v>38</v>
      </c>
      <c r="J1021" t="s">
        <v>56</v>
      </c>
      <c r="K1021" t="s">
        <v>96</v>
      </c>
      <c r="L1021" t="s">
        <v>7880</v>
      </c>
      <c r="M1021">
        <v>2130</v>
      </c>
      <c r="N1021" t="s">
        <v>7881</v>
      </c>
      <c r="O1021" t="s">
        <v>21</v>
      </c>
      <c r="P1021" t="s">
        <v>21</v>
      </c>
      <c r="Q1021" t="s">
        <v>21</v>
      </c>
      <c r="R1021" t="s">
        <v>880</v>
      </c>
      <c r="S1021" t="s">
        <v>880</v>
      </c>
      <c r="T1021" t="s">
        <v>908</v>
      </c>
      <c r="U1021" t="s">
        <v>960</v>
      </c>
      <c r="V1021" s="28" t="s">
        <v>7882</v>
      </c>
      <c r="W1021" s="28" t="s">
        <v>7883</v>
      </c>
      <c r="X1021" s="28" t="s">
        <v>7884</v>
      </c>
      <c r="Y1021" s="28" t="s">
        <v>7885</v>
      </c>
      <c r="Z1021" s="28" t="s">
        <v>7886</v>
      </c>
      <c r="AA1021" s="28" t="s">
        <v>7887</v>
      </c>
      <c r="AB1021" s="28" t="s">
        <v>7888</v>
      </c>
      <c r="AC1021" s="28" t="s">
        <v>7889</v>
      </c>
    </row>
    <row r="1022" spans="1:29">
      <c r="A1022">
        <v>281</v>
      </c>
      <c r="B1022">
        <v>2147</v>
      </c>
      <c r="C1022">
        <v>2147</v>
      </c>
      <c r="D1022" t="s">
        <v>21</v>
      </c>
      <c r="E1022" s="23">
        <v>44524</v>
      </c>
      <c r="F1022" t="s">
        <v>6055</v>
      </c>
      <c r="G1022" t="s">
        <v>26</v>
      </c>
      <c r="H1022">
        <v>2</v>
      </c>
      <c r="I1022" t="s">
        <v>36</v>
      </c>
      <c r="J1022" t="s">
        <v>56</v>
      </c>
      <c r="K1022" t="s">
        <v>96</v>
      </c>
      <c r="L1022" t="s">
        <v>7890</v>
      </c>
      <c r="M1022">
        <v>2135</v>
      </c>
      <c r="N1022" t="s">
        <v>7881</v>
      </c>
      <c r="O1022" t="s">
        <v>21</v>
      </c>
      <c r="P1022" t="s">
        <v>21</v>
      </c>
      <c r="Q1022" t="s">
        <v>21</v>
      </c>
      <c r="R1022" t="s">
        <v>876</v>
      </c>
      <c r="S1022" t="s">
        <v>876</v>
      </c>
      <c r="T1022" t="s">
        <v>951</v>
      </c>
      <c r="U1022" t="s">
        <v>960</v>
      </c>
      <c r="V1022" s="28" t="s">
        <v>7857</v>
      </c>
      <c r="W1022" s="28" t="s">
        <v>7457</v>
      </c>
      <c r="X1022" s="28" t="s">
        <v>7891</v>
      </c>
      <c r="Y1022" s="28" t="s">
        <v>7459</v>
      </c>
      <c r="Z1022" s="28" t="s">
        <v>7892</v>
      </c>
      <c r="AA1022" s="28" t="s">
        <v>7893</v>
      </c>
      <c r="AB1022" s="28" t="s">
        <v>7894</v>
      </c>
      <c r="AC1022" s="28" t="s">
        <v>7895</v>
      </c>
    </row>
    <row r="1023" spans="1:29">
      <c r="A1023">
        <v>282</v>
      </c>
      <c r="B1023">
        <v>2147</v>
      </c>
      <c r="C1023">
        <v>2147</v>
      </c>
      <c r="D1023" t="s">
        <v>21</v>
      </c>
      <c r="E1023" s="23">
        <v>44524</v>
      </c>
      <c r="F1023" t="s">
        <v>6055</v>
      </c>
      <c r="G1023" t="s">
        <v>26</v>
      </c>
      <c r="H1023">
        <v>2</v>
      </c>
      <c r="I1023" t="s">
        <v>41</v>
      </c>
      <c r="J1023" t="s">
        <v>56</v>
      </c>
      <c r="K1023" t="s">
        <v>96</v>
      </c>
      <c r="L1023" t="s">
        <v>7896</v>
      </c>
      <c r="M1023">
        <v>2135</v>
      </c>
      <c r="N1023" t="s">
        <v>7881</v>
      </c>
      <c r="O1023" t="s">
        <v>21</v>
      </c>
      <c r="P1023" t="s">
        <v>21</v>
      </c>
      <c r="Q1023" t="s">
        <v>21</v>
      </c>
      <c r="R1023" t="s">
        <v>880</v>
      </c>
      <c r="S1023" t="s">
        <v>880</v>
      </c>
      <c r="T1023" t="s">
        <v>908</v>
      </c>
      <c r="U1023" t="s">
        <v>960</v>
      </c>
      <c r="V1023" s="28" t="s">
        <v>7882</v>
      </c>
      <c r="W1023" s="28" t="s">
        <v>7883</v>
      </c>
      <c r="X1023" s="28" t="s">
        <v>7884</v>
      </c>
      <c r="Y1023" s="28" t="s">
        <v>7885</v>
      </c>
      <c r="Z1023" s="28" t="s">
        <v>7886</v>
      </c>
      <c r="AA1023" s="28" t="s">
        <v>7887</v>
      </c>
      <c r="AB1023" s="28" t="s">
        <v>7888</v>
      </c>
      <c r="AC1023" s="28" t="s">
        <v>7889</v>
      </c>
    </row>
    <row r="1024" spans="1:29">
      <c r="A1024">
        <v>283</v>
      </c>
      <c r="B1024">
        <v>2147</v>
      </c>
      <c r="C1024">
        <v>2147</v>
      </c>
      <c r="D1024" t="s">
        <v>21</v>
      </c>
      <c r="E1024" s="23">
        <v>44526</v>
      </c>
      <c r="F1024" t="s">
        <v>6055</v>
      </c>
      <c r="G1024" t="s">
        <v>26</v>
      </c>
      <c r="H1024">
        <v>4</v>
      </c>
      <c r="I1024" t="s">
        <v>41</v>
      </c>
      <c r="J1024" t="s">
        <v>53</v>
      </c>
      <c r="K1024" t="s">
        <v>90</v>
      </c>
      <c r="L1024" t="s">
        <v>7897</v>
      </c>
      <c r="M1024">
        <v>2135</v>
      </c>
      <c r="N1024" t="s">
        <v>827</v>
      </c>
      <c r="O1024" t="s">
        <v>21</v>
      </c>
      <c r="P1024" t="s">
        <v>21</v>
      </c>
      <c r="Q1024" t="s">
        <v>21</v>
      </c>
      <c r="R1024" t="s">
        <v>880</v>
      </c>
      <c r="S1024" t="s">
        <v>880</v>
      </c>
      <c r="T1024" t="s">
        <v>908</v>
      </c>
      <c r="U1024" t="s">
        <v>960</v>
      </c>
      <c r="V1024" s="28" t="s">
        <v>7882</v>
      </c>
      <c r="W1024" s="28" t="s">
        <v>7883</v>
      </c>
      <c r="X1024" s="28" t="s">
        <v>7884</v>
      </c>
      <c r="Y1024" s="28" t="s">
        <v>7885</v>
      </c>
      <c r="Z1024" s="28" t="s">
        <v>7898</v>
      </c>
      <c r="AA1024" s="28" t="s">
        <v>7899</v>
      </c>
      <c r="AB1024" s="28" t="s">
        <v>7900</v>
      </c>
      <c r="AC1024" s="28" t="s">
        <v>7901</v>
      </c>
    </row>
    <row r="1025" spans="1:29">
      <c r="A1025">
        <v>284</v>
      </c>
      <c r="B1025">
        <v>2147</v>
      </c>
      <c r="C1025">
        <v>2147</v>
      </c>
      <c r="D1025" t="s">
        <v>21</v>
      </c>
      <c r="E1025" s="23">
        <v>44526</v>
      </c>
      <c r="F1025" t="s">
        <v>6055</v>
      </c>
      <c r="G1025" t="s">
        <v>26</v>
      </c>
      <c r="H1025">
        <v>4</v>
      </c>
      <c r="I1025" t="s">
        <v>36</v>
      </c>
      <c r="J1025" t="s">
        <v>53</v>
      </c>
      <c r="K1025" t="s">
        <v>90</v>
      </c>
      <c r="L1025" t="s">
        <v>7902</v>
      </c>
      <c r="M1025">
        <v>2137</v>
      </c>
      <c r="N1025" t="s">
        <v>827</v>
      </c>
      <c r="O1025" t="s">
        <v>21</v>
      </c>
      <c r="P1025" t="s">
        <v>21</v>
      </c>
      <c r="Q1025" t="s">
        <v>21</v>
      </c>
      <c r="R1025" t="s">
        <v>872</v>
      </c>
      <c r="S1025" t="s">
        <v>872</v>
      </c>
      <c r="T1025" t="s">
        <v>950</v>
      </c>
      <c r="U1025" t="s">
        <v>960</v>
      </c>
      <c r="V1025" s="28" t="s">
        <v>7903</v>
      </c>
      <c r="W1025" s="28" t="s">
        <v>7768</v>
      </c>
      <c r="X1025" s="28" t="s">
        <v>7904</v>
      </c>
      <c r="Y1025" s="28" t="s">
        <v>7770</v>
      </c>
      <c r="Z1025" s="28" t="s">
        <v>7905</v>
      </c>
      <c r="AA1025" s="28" t="s">
        <v>7906</v>
      </c>
      <c r="AB1025" s="28" t="s">
        <v>7907</v>
      </c>
      <c r="AC1025" s="28" t="s">
        <v>7908</v>
      </c>
    </row>
    <row r="1026" spans="1:29">
      <c r="A1026">
        <v>44</v>
      </c>
      <c r="B1026">
        <v>2147</v>
      </c>
      <c r="C1026">
        <v>2147</v>
      </c>
      <c r="D1026" t="s">
        <v>23</v>
      </c>
      <c r="E1026" s="23">
        <v>44522</v>
      </c>
      <c r="F1026" s="22">
        <v>44522</v>
      </c>
      <c r="G1026" t="s">
        <v>965</v>
      </c>
      <c r="H1026" t="s">
        <v>28</v>
      </c>
      <c r="I1026" t="s">
        <v>23</v>
      </c>
      <c r="J1026" t="s">
        <v>68</v>
      </c>
      <c r="K1026" t="s">
        <v>107</v>
      </c>
      <c r="L1026" t="s">
        <v>7909</v>
      </c>
      <c r="M1026">
        <v>2136</v>
      </c>
      <c r="N1026" t="s">
        <v>858</v>
      </c>
      <c r="O1026" t="s">
        <v>866</v>
      </c>
      <c r="P1026" t="s">
        <v>21</v>
      </c>
      <c r="Q1026" t="s">
        <v>21</v>
      </c>
      <c r="R1026" t="s">
        <v>915</v>
      </c>
      <c r="S1026" t="s">
        <v>915</v>
      </c>
      <c r="T1026" t="s">
        <v>950</v>
      </c>
      <c r="U1026" t="s">
        <v>960</v>
      </c>
      <c r="V1026" s="28" t="s">
        <v>7903</v>
      </c>
      <c r="W1026" s="28" t="s">
        <v>7768</v>
      </c>
      <c r="X1026" s="28" t="s">
        <v>7910</v>
      </c>
      <c r="Y1026" s="28" t="s">
        <v>7911</v>
      </c>
      <c r="Z1026" s="28" t="s">
        <v>7912</v>
      </c>
      <c r="AA1026" s="28" t="s">
        <v>7913</v>
      </c>
      <c r="AB1026" s="28" t="s">
        <v>7914</v>
      </c>
      <c r="AC1026" s="28" t="s">
        <v>7915</v>
      </c>
    </row>
    <row r="1027" spans="1:29">
      <c r="A1027">
        <v>45</v>
      </c>
      <c r="B1027">
        <v>2147</v>
      </c>
      <c r="C1027">
        <v>2147</v>
      </c>
      <c r="D1027" t="s">
        <v>23</v>
      </c>
      <c r="E1027" s="23">
        <v>44522</v>
      </c>
      <c r="F1027" s="22">
        <v>44522</v>
      </c>
      <c r="G1027" t="s">
        <v>965</v>
      </c>
      <c r="H1027" t="s">
        <v>28</v>
      </c>
      <c r="I1027" t="s">
        <v>23</v>
      </c>
      <c r="J1027" t="s">
        <v>68</v>
      </c>
      <c r="K1027" t="s">
        <v>107</v>
      </c>
      <c r="L1027" t="s">
        <v>7916</v>
      </c>
      <c r="M1027">
        <v>2138</v>
      </c>
      <c r="N1027" t="s">
        <v>858</v>
      </c>
      <c r="O1027" t="s">
        <v>866</v>
      </c>
      <c r="P1027" t="s">
        <v>21</v>
      </c>
      <c r="Q1027" t="s">
        <v>21</v>
      </c>
      <c r="R1027" t="s">
        <v>7372</v>
      </c>
      <c r="S1027" t="s">
        <v>7372</v>
      </c>
      <c r="T1027" t="s">
        <v>954</v>
      </c>
      <c r="U1027" t="s">
        <v>960</v>
      </c>
      <c r="V1027" s="28" t="s">
        <v>7917</v>
      </c>
      <c r="W1027" s="28" t="s">
        <v>7918</v>
      </c>
      <c r="X1027" s="28" t="s">
        <v>7919</v>
      </c>
      <c r="Y1027" s="28" t="s">
        <v>7920</v>
      </c>
      <c r="Z1027" s="28" t="s">
        <v>7921</v>
      </c>
      <c r="AA1027" s="28" t="s">
        <v>7922</v>
      </c>
      <c r="AB1027" s="28" t="s">
        <v>7923</v>
      </c>
      <c r="AC1027" s="28" t="s">
        <v>7924</v>
      </c>
    </row>
    <row r="1028" spans="1:29">
      <c r="A1028">
        <v>46</v>
      </c>
      <c r="B1028">
        <v>2147</v>
      </c>
      <c r="C1028">
        <v>2147</v>
      </c>
      <c r="D1028" t="s">
        <v>23</v>
      </c>
      <c r="E1028" s="23">
        <v>44523</v>
      </c>
      <c r="F1028" s="22">
        <v>44523</v>
      </c>
      <c r="G1028" t="s">
        <v>965</v>
      </c>
      <c r="H1028" t="s">
        <v>28</v>
      </c>
      <c r="I1028" t="s">
        <v>23</v>
      </c>
      <c r="J1028" t="s">
        <v>68</v>
      </c>
      <c r="K1028" t="s">
        <v>107</v>
      </c>
      <c r="L1028" t="s">
        <v>7925</v>
      </c>
      <c r="M1028">
        <v>2136</v>
      </c>
      <c r="N1028" t="s">
        <v>858</v>
      </c>
      <c r="O1028" t="s">
        <v>866</v>
      </c>
      <c r="P1028" t="s">
        <v>21</v>
      </c>
      <c r="Q1028" t="s">
        <v>21</v>
      </c>
      <c r="R1028" t="s">
        <v>928</v>
      </c>
      <c r="S1028" t="s">
        <v>928</v>
      </c>
      <c r="T1028" t="s">
        <v>28</v>
      </c>
      <c r="U1028" t="s">
        <v>960</v>
      </c>
      <c r="V1028" s="28" t="s">
        <v>7926</v>
      </c>
      <c r="W1028" s="28" t="s">
        <v>7480</v>
      </c>
      <c r="X1028" s="28" t="s">
        <v>7927</v>
      </c>
      <c r="Y1028" s="28" t="s">
        <v>7786</v>
      </c>
      <c r="Z1028" s="28" t="s">
        <v>7928</v>
      </c>
      <c r="AA1028" s="28" t="s">
        <v>7929</v>
      </c>
      <c r="AB1028" s="28" t="s">
        <v>7930</v>
      </c>
      <c r="AC1028" s="28" t="s">
        <v>7931</v>
      </c>
    </row>
    <row r="1029" spans="1:29">
      <c r="A1029">
        <v>26</v>
      </c>
      <c r="B1029">
        <v>2147</v>
      </c>
      <c r="C1029">
        <v>2147</v>
      </c>
      <c r="D1029" t="s">
        <v>21</v>
      </c>
      <c r="E1029" s="23">
        <v>44523</v>
      </c>
      <c r="F1029" s="22">
        <v>44523</v>
      </c>
      <c r="G1029" t="s">
        <v>965</v>
      </c>
      <c r="H1029" t="s">
        <v>28</v>
      </c>
      <c r="I1029" t="s">
        <v>21</v>
      </c>
      <c r="J1029" t="s">
        <v>53</v>
      </c>
      <c r="K1029" t="s">
        <v>72</v>
      </c>
      <c r="L1029" t="s">
        <v>7932</v>
      </c>
      <c r="M1029">
        <v>2135</v>
      </c>
      <c r="N1029" t="s">
        <v>862</v>
      </c>
      <c r="O1029" t="s">
        <v>866</v>
      </c>
      <c r="P1029" t="s">
        <v>21</v>
      </c>
      <c r="Q1029" t="s">
        <v>21</v>
      </c>
      <c r="R1029" t="s">
        <v>921</v>
      </c>
      <c r="S1029" t="s">
        <v>921</v>
      </c>
      <c r="T1029" t="s">
        <v>959</v>
      </c>
      <c r="U1029" t="s">
        <v>960</v>
      </c>
      <c r="V1029" s="28" t="s">
        <v>7933</v>
      </c>
      <c r="W1029" s="28" t="s">
        <v>7579</v>
      </c>
      <c r="X1029" s="28" t="s">
        <v>7934</v>
      </c>
      <c r="Y1029" s="28" t="s">
        <v>7935</v>
      </c>
      <c r="Z1029" s="28" t="s">
        <v>7936</v>
      </c>
      <c r="AA1029" s="28" t="s">
        <v>7937</v>
      </c>
      <c r="AB1029" s="28" t="s">
        <v>7938</v>
      </c>
      <c r="AC1029" s="28" t="s">
        <v>7585</v>
      </c>
    </row>
    <row r="1030" spans="1:29">
      <c r="A1030">
        <v>285</v>
      </c>
      <c r="B1030">
        <v>2148</v>
      </c>
      <c r="C1030">
        <v>2148</v>
      </c>
      <c r="D1030" t="s">
        <v>21</v>
      </c>
      <c r="E1030" s="23">
        <v>44529</v>
      </c>
      <c r="F1030" t="s">
        <v>6055</v>
      </c>
      <c r="G1030" t="s">
        <v>26</v>
      </c>
      <c r="H1030">
        <v>2</v>
      </c>
      <c r="I1030" t="s">
        <v>36</v>
      </c>
      <c r="J1030" t="s">
        <v>52</v>
      </c>
      <c r="K1030" t="s">
        <v>88</v>
      </c>
      <c r="L1030" t="s">
        <v>7978</v>
      </c>
      <c r="M1030">
        <v>2137</v>
      </c>
      <c r="N1030" t="s">
        <v>825</v>
      </c>
      <c r="O1030" t="s">
        <v>21</v>
      </c>
      <c r="P1030" t="s">
        <v>21</v>
      </c>
      <c r="Q1030" t="s">
        <v>21</v>
      </c>
      <c r="R1030" t="s">
        <v>872</v>
      </c>
      <c r="S1030" t="s">
        <v>872</v>
      </c>
      <c r="T1030" t="s">
        <v>950</v>
      </c>
      <c r="U1030" t="s">
        <v>960</v>
      </c>
      <c r="V1030" s="28" t="s">
        <v>7979</v>
      </c>
      <c r="W1030" s="28" t="s">
        <v>7768</v>
      </c>
      <c r="X1030" s="28" t="s">
        <v>7980</v>
      </c>
      <c r="Y1030" s="28" t="s">
        <v>7770</v>
      </c>
      <c r="Z1030" s="28" t="s">
        <v>7981</v>
      </c>
      <c r="AA1030" s="28" t="s">
        <v>7982</v>
      </c>
      <c r="AB1030" s="28" t="s">
        <v>7983</v>
      </c>
      <c r="AC1030" s="28" t="s">
        <v>7984</v>
      </c>
    </row>
    <row r="1031" spans="1:29">
      <c r="A1031">
        <v>286</v>
      </c>
      <c r="B1031">
        <v>2148</v>
      </c>
      <c r="C1031">
        <v>2148</v>
      </c>
      <c r="D1031" t="s">
        <v>21</v>
      </c>
      <c r="E1031" s="23">
        <v>44529</v>
      </c>
      <c r="F1031" t="s">
        <v>6055</v>
      </c>
      <c r="G1031" t="s">
        <v>26</v>
      </c>
      <c r="H1031">
        <v>2</v>
      </c>
      <c r="I1031" t="s">
        <v>41</v>
      </c>
      <c r="J1031" t="s">
        <v>52</v>
      </c>
      <c r="K1031" t="s">
        <v>88</v>
      </c>
      <c r="L1031" t="s">
        <v>7985</v>
      </c>
      <c r="M1031">
        <v>2137</v>
      </c>
      <c r="N1031" t="s">
        <v>825</v>
      </c>
      <c r="O1031" t="s">
        <v>21</v>
      </c>
      <c r="P1031" t="s">
        <v>21</v>
      </c>
      <c r="Q1031" t="s">
        <v>21</v>
      </c>
      <c r="R1031" t="s">
        <v>870</v>
      </c>
      <c r="S1031" t="s">
        <v>870</v>
      </c>
      <c r="T1031" t="s">
        <v>949</v>
      </c>
      <c r="U1031" t="s">
        <v>960</v>
      </c>
      <c r="V1031" s="28" t="s">
        <v>7986</v>
      </c>
      <c r="W1031" s="28" t="s">
        <v>7650</v>
      </c>
      <c r="X1031" s="28" t="s">
        <v>7987</v>
      </c>
      <c r="Y1031" s="28" t="s">
        <v>7988</v>
      </c>
      <c r="Z1031" s="28" t="s">
        <v>7989</v>
      </c>
      <c r="AA1031" s="28" t="s">
        <v>7990</v>
      </c>
      <c r="AB1031" s="28" t="s">
        <v>7991</v>
      </c>
      <c r="AC1031" s="28" t="s">
        <v>7656</v>
      </c>
    </row>
    <row r="1032" spans="1:29">
      <c r="A1032">
        <v>287</v>
      </c>
      <c r="B1032">
        <v>2148</v>
      </c>
      <c r="C1032">
        <v>2148</v>
      </c>
      <c r="D1032" t="s">
        <v>21</v>
      </c>
      <c r="E1032" s="23">
        <v>44529</v>
      </c>
      <c r="F1032" t="s">
        <v>6055</v>
      </c>
      <c r="G1032" t="s">
        <v>26</v>
      </c>
      <c r="H1032">
        <v>2</v>
      </c>
      <c r="I1032" t="s">
        <v>41</v>
      </c>
      <c r="J1032" t="s">
        <v>52</v>
      </c>
      <c r="K1032" t="s">
        <v>88</v>
      </c>
      <c r="L1032" t="s">
        <v>7992</v>
      </c>
      <c r="M1032">
        <v>2137</v>
      </c>
      <c r="N1032" t="s">
        <v>825</v>
      </c>
      <c r="O1032" t="s">
        <v>21</v>
      </c>
      <c r="P1032" t="s">
        <v>21</v>
      </c>
      <c r="Q1032" t="s">
        <v>21</v>
      </c>
      <c r="R1032" t="s">
        <v>881</v>
      </c>
      <c r="S1032" t="s">
        <v>881</v>
      </c>
      <c r="T1032" t="s">
        <v>949</v>
      </c>
      <c r="U1032" t="s">
        <v>960</v>
      </c>
      <c r="V1032" s="28" t="s">
        <v>7986</v>
      </c>
      <c r="W1032" s="28" t="s">
        <v>7650</v>
      </c>
      <c r="X1032" s="28" t="s">
        <v>7987</v>
      </c>
      <c r="Y1032" s="28" t="s">
        <v>7988</v>
      </c>
      <c r="Z1032" s="28" t="s">
        <v>7989</v>
      </c>
      <c r="AA1032" s="28" t="s">
        <v>7990</v>
      </c>
      <c r="AB1032" s="28" t="s">
        <v>7991</v>
      </c>
      <c r="AC1032" s="28" t="s">
        <v>7656</v>
      </c>
    </row>
    <row r="1033" spans="1:29">
      <c r="A1033">
        <v>288</v>
      </c>
      <c r="B1033">
        <v>2148</v>
      </c>
      <c r="C1033">
        <v>2148</v>
      </c>
      <c r="D1033" t="s">
        <v>21</v>
      </c>
      <c r="E1033" s="23">
        <v>44529</v>
      </c>
      <c r="F1033" t="s">
        <v>6055</v>
      </c>
      <c r="G1033" t="s">
        <v>26</v>
      </c>
      <c r="H1033">
        <v>3</v>
      </c>
      <c r="I1033" t="s">
        <v>41</v>
      </c>
      <c r="J1033" t="s">
        <v>67</v>
      </c>
      <c r="K1033" t="s">
        <v>93</v>
      </c>
      <c r="L1033" t="s">
        <v>7993</v>
      </c>
      <c r="M1033">
        <v>2134</v>
      </c>
      <c r="N1033" t="s">
        <v>830</v>
      </c>
      <c r="O1033" t="s">
        <v>21</v>
      </c>
      <c r="P1033" t="s">
        <v>21</v>
      </c>
      <c r="Q1033" t="s">
        <v>21</v>
      </c>
      <c r="R1033" t="s">
        <v>881</v>
      </c>
      <c r="S1033" t="s">
        <v>881</v>
      </c>
      <c r="T1033" t="s">
        <v>949</v>
      </c>
      <c r="U1033" t="s">
        <v>960</v>
      </c>
      <c r="V1033" s="28" t="s">
        <v>7986</v>
      </c>
      <c r="W1033" s="28" t="s">
        <v>7650</v>
      </c>
      <c r="X1033" s="28" t="s">
        <v>7987</v>
      </c>
      <c r="Y1033" s="28" t="s">
        <v>7988</v>
      </c>
      <c r="Z1033" s="28" t="s">
        <v>7994</v>
      </c>
      <c r="AA1033" s="28" t="s">
        <v>7995</v>
      </c>
      <c r="AB1033" s="28" t="s">
        <v>7996</v>
      </c>
      <c r="AC1033" s="28" t="s">
        <v>7997</v>
      </c>
    </row>
    <row r="1034" spans="1:29">
      <c r="A1034">
        <v>289</v>
      </c>
      <c r="B1034">
        <v>2148</v>
      </c>
      <c r="C1034">
        <v>2148</v>
      </c>
      <c r="D1034" t="s">
        <v>21</v>
      </c>
      <c r="E1034" s="23">
        <v>44529</v>
      </c>
      <c r="F1034" t="s">
        <v>6055</v>
      </c>
      <c r="G1034" t="s">
        <v>26</v>
      </c>
      <c r="H1034">
        <v>2</v>
      </c>
      <c r="I1034" t="s">
        <v>41</v>
      </c>
      <c r="J1034" t="s">
        <v>52</v>
      </c>
      <c r="K1034" t="s">
        <v>88</v>
      </c>
      <c r="L1034" t="s">
        <v>7998</v>
      </c>
      <c r="M1034">
        <v>2137</v>
      </c>
      <c r="N1034" t="s">
        <v>825</v>
      </c>
      <c r="O1034" t="s">
        <v>21</v>
      </c>
      <c r="P1034" t="s">
        <v>21</v>
      </c>
      <c r="Q1034" t="s">
        <v>21</v>
      </c>
      <c r="R1034" t="s">
        <v>881</v>
      </c>
      <c r="S1034" t="s">
        <v>881</v>
      </c>
      <c r="T1034" t="s">
        <v>949</v>
      </c>
      <c r="U1034" t="s">
        <v>960</v>
      </c>
      <c r="V1034" s="28" t="s">
        <v>7986</v>
      </c>
      <c r="W1034" s="28" t="s">
        <v>7650</v>
      </c>
      <c r="X1034" s="28" t="s">
        <v>7987</v>
      </c>
      <c r="Y1034" s="28" t="s">
        <v>7988</v>
      </c>
      <c r="Z1034" s="28" t="s">
        <v>7989</v>
      </c>
      <c r="AA1034" s="28" t="s">
        <v>7990</v>
      </c>
      <c r="AB1034" s="28" t="s">
        <v>7991</v>
      </c>
      <c r="AC1034" s="28" t="s">
        <v>7656</v>
      </c>
    </row>
    <row r="1035" spans="1:29">
      <c r="A1035">
        <v>290</v>
      </c>
      <c r="B1035">
        <v>2148</v>
      </c>
      <c r="C1035">
        <v>2148</v>
      </c>
      <c r="D1035" t="s">
        <v>21</v>
      </c>
      <c r="E1035" s="23">
        <v>44530</v>
      </c>
      <c r="F1035" t="s">
        <v>6055</v>
      </c>
      <c r="G1035" t="s">
        <v>26</v>
      </c>
      <c r="H1035">
        <v>2</v>
      </c>
      <c r="I1035" t="s">
        <v>36</v>
      </c>
      <c r="J1035" t="s">
        <v>52</v>
      </c>
      <c r="K1035" t="s">
        <v>88</v>
      </c>
      <c r="L1035" t="s">
        <v>7999</v>
      </c>
      <c r="M1035">
        <v>2137</v>
      </c>
      <c r="N1035" t="s">
        <v>825</v>
      </c>
      <c r="O1035" t="s">
        <v>21</v>
      </c>
      <c r="P1035" t="s">
        <v>21</v>
      </c>
      <c r="Q1035" t="s">
        <v>21</v>
      </c>
      <c r="R1035" t="s">
        <v>875</v>
      </c>
      <c r="S1035" t="s">
        <v>875</v>
      </c>
      <c r="T1035" t="s">
        <v>951</v>
      </c>
      <c r="U1035" t="s">
        <v>960</v>
      </c>
      <c r="V1035" s="28" t="s">
        <v>8000</v>
      </c>
      <c r="W1035" s="28" t="s">
        <v>7457</v>
      </c>
      <c r="X1035" s="28" t="s">
        <v>8001</v>
      </c>
      <c r="Y1035" s="28" t="s">
        <v>7459</v>
      </c>
      <c r="Z1035" s="28" t="s">
        <v>8002</v>
      </c>
      <c r="AA1035" s="28" t="s">
        <v>8003</v>
      </c>
      <c r="AB1035" s="28" t="s">
        <v>8004</v>
      </c>
      <c r="AC1035" s="28" t="s">
        <v>8005</v>
      </c>
    </row>
    <row r="1036" spans="1:29">
      <c r="A1036">
        <v>291</v>
      </c>
      <c r="B1036">
        <v>2148</v>
      </c>
      <c r="C1036">
        <v>2148</v>
      </c>
      <c r="D1036" t="s">
        <v>21</v>
      </c>
      <c r="E1036" s="23">
        <v>44530</v>
      </c>
      <c r="F1036" t="s">
        <v>6055</v>
      </c>
      <c r="G1036" t="s">
        <v>26</v>
      </c>
      <c r="H1036">
        <v>2</v>
      </c>
      <c r="I1036" t="s">
        <v>38</v>
      </c>
      <c r="J1036" t="s">
        <v>52</v>
      </c>
      <c r="K1036" t="s">
        <v>88</v>
      </c>
      <c r="L1036" t="s">
        <v>8006</v>
      </c>
      <c r="M1036">
        <v>2137</v>
      </c>
      <c r="N1036" t="s">
        <v>825</v>
      </c>
      <c r="O1036" t="s">
        <v>21</v>
      </c>
      <c r="P1036" t="s">
        <v>21</v>
      </c>
      <c r="Q1036" t="s">
        <v>21</v>
      </c>
      <c r="R1036" t="s">
        <v>880</v>
      </c>
      <c r="S1036" t="s">
        <v>880</v>
      </c>
      <c r="T1036" t="s">
        <v>908</v>
      </c>
      <c r="U1036" t="s">
        <v>960</v>
      </c>
      <c r="V1036" s="28" t="s">
        <v>8007</v>
      </c>
      <c r="W1036" s="28" t="s">
        <v>7883</v>
      </c>
      <c r="X1036" s="28" t="s">
        <v>8008</v>
      </c>
      <c r="Y1036" s="28" t="s">
        <v>7885</v>
      </c>
      <c r="Z1036" s="28" t="s">
        <v>8009</v>
      </c>
      <c r="AA1036" s="28" t="s">
        <v>8010</v>
      </c>
      <c r="AB1036" s="28" t="s">
        <v>8011</v>
      </c>
      <c r="AC1036" s="28" t="s">
        <v>8012</v>
      </c>
    </row>
    <row r="1037" spans="1:29">
      <c r="A1037">
        <v>292</v>
      </c>
      <c r="B1037">
        <v>2148</v>
      </c>
      <c r="C1037">
        <v>2148</v>
      </c>
      <c r="D1037" t="s">
        <v>21</v>
      </c>
      <c r="E1037" s="23">
        <v>44531</v>
      </c>
      <c r="F1037" t="s">
        <v>6055</v>
      </c>
      <c r="G1037" t="s">
        <v>26</v>
      </c>
      <c r="H1037">
        <v>2</v>
      </c>
      <c r="I1037" t="s">
        <v>36</v>
      </c>
      <c r="J1037" t="s">
        <v>62</v>
      </c>
      <c r="K1037" t="s">
        <v>82</v>
      </c>
      <c r="L1037" t="s">
        <v>8013</v>
      </c>
      <c r="M1037">
        <v>2139</v>
      </c>
      <c r="N1037" t="s">
        <v>816</v>
      </c>
      <c r="O1037" t="s">
        <v>21</v>
      </c>
      <c r="P1037" t="s">
        <v>21</v>
      </c>
      <c r="Q1037" t="s">
        <v>21</v>
      </c>
      <c r="R1037" t="s">
        <v>7344</v>
      </c>
      <c r="S1037" t="s">
        <v>7344</v>
      </c>
      <c r="T1037" t="s">
        <v>951</v>
      </c>
      <c r="U1037" t="s">
        <v>961</v>
      </c>
      <c r="V1037" s="28" t="s">
        <v>8014</v>
      </c>
      <c r="W1037" s="28" t="s">
        <v>8015</v>
      </c>
      <c r="X1037" s="28" t="s">
        <v>8016</v>
      </c>
      <c r="Y1037" s="28" t="s">
        <v>8017</v>
      </c>
      <c r="Z1037" s="28" t="s">
        <v>8018</v>
      </c>
      <c r="AA1037" s="28" t="s">
        <v>8019</v>
      </c>
      <c r="AB1037" s="28" t="s">
        <v>8020</v>
      </c>
      <c r="AC1037" s="28" t="s">
        <v>8021</v>
      </c>
    </row>
    <row r="1038" spans="1:29">
      <c r="A1038">
        <v>293</v>
      </c>
      <c r="B1038">
        <v>2148</v>
      </c>
      <c r="C1038">
        <v>2148</v>
      </c>
      <c r="D1038" t="s">
        <v>21</v>
      </c>
      <c r="E1038" s="23">
        <v>44531</v>
      </c>
      <c r="F1038" t="s">
        <v>6055</v>
      </c>
      <c r="G1038" t="s">
        <v>26</v>
      </c>
      <c r="H1038">
        <v>1</v>
      </c>
      <c r="I1038" t="s">
        <v>36</v>
      </c>
      <c r="J1038" t="s">
        <v>64</v>
      </c>
      <c r="K1038" t="s">
        <v>86</v>
      </c>
      <c r="L1038" t="s">
        <v>8022</v>
      </c>
      <c r="M1038">
        <v>2137</v>
      </c>
      <c r="N1038" t="s">
        <v>832</v>
      </c>
      <c r="O1038" t="s">
        <v>21</v>
      </c>
      <c r="P1038" t="s">
        <v>21</v>
      </c>
      <c r="Q1038" t="s">
        <v>21</v>
      </c>
      <c r="R1038" t="s">
        <v>872</v>
      </c>
      <c r="S1038" t="s">
        <v>872</v>
      </c>
      <c r="T1038" t="s">
        <v>950</v>
      </c>
      <c r="U1038" t="s">
        <v>961</v>
      </c>
      <c r="V1038" s="28" t="s">
        <v>8023</v>
      </c>
      <c r="W1038" s="28" t="s">
        <v>8024</v>
      </c>
      <c r="X1038" s="28" t="s">
        <v>8025</v>
      </c>
      <c r="Y1038" s="28" t="s">
        <v>8026</v>
      </c>
      <c r="Z1038" s="28" t="s">
        <v>8027</v>
      </c>
      <c r="AA1038" s="28" t="s">
        <v>8028</v>
      </c>
      <c r="AB1038" s="28" t="s">
        <v>8029</v>
      </c>
      <c r="AC1038" s="28" t="s">
        <v>8030</v>
      </c>
    </row>
    <row r="1039" spans="1:29">
      <c r="A1039">
        <v>294</v>
      </c>
      <c r="B1039">
        <v>2148</v>
      </c>
      <c r="C1039">
        <v>2148</v>
      </c>
      <c r="D1039" t="s">
        <v>21</v>
      </c>
      <c r="E1039" s="23">
        <v>44531</v>
      </c>
      <c r="F1039" t="s">
        <v>6055</v>
      </c>
      <c r="G1039" t="s">
        <v>26</v>
      </c>
      <c r="H1039">
        <v>2</v>
      </c>
      <c r="I1039" t="s">
        <v>38</v>
      </c>
      <c r="J1039" t="s">
        <v>65</v>
      </c>
      <c r="K1039" t="s">
        <v>87</v>
      </c>
      <c r="L1039" t="s">
        <v>8031</v>
      </c>
      <c r="M1039">
        <v>2138</v>
      </c>
      <c r="N1039" t="s">
        <v>824</v>
      </c>
      <c r="O1039" t="s">
        <v>21</v>
      </c>
      <c r="P1039" t="s">
        <v>21</v>
      </c>
      <c r="Q1039" t="s">
        <v>21</v>
      </c>
      <c r="R1039" t="s">
        <v>892</v>
      </c>
      <c r="S1039" t="s">
        <v>892</v>
      </c>
      <c r="T1039" t="s">
        <v>908</v>
      </c>
      <c r="U1039" t="s">
        <v>961</v>
      </c>
      <c r="V1039" s="28" t="s">
        <v>8032</v>
      </c>
      <c r="W1039" s="28" t="s">
        <v>8033</v>
      </c>
      <c r="X1039" s="28" t="s">
        <v>8034</v>
      </c>
      <c r="Y1039" s="28" t="s">
        <v>8035</v>
      </c>
      <c r="Z1039" s="28" t="s">
        <v>8036</v>
      </c>
      <c r="AA1039" s="28" t="s">
        <v>8037</v>
      </c>
      <c r="AB1039" s="28" t="s">
        <v>8038</v>
      </c>
      <c r="AC1039" s="28" t="s">
        <v>8039</v>
      </c>
    </row>
    <row r="1040" spans="1:29">
      <c r="A1040">
        <v>295</v>
      </c>
      <c r="B1040">
        <v>2148</v>
      </c>
      <c r="C1040">
        <v>2148</v>
      </c>
      <c r="D1040" t="s">
        <v>21</v>
      </c>
      <c r="E1040" s="23">
        <v>44532</v>
      </c>
      <c r="F1040" t="s">
        <v>6055</v>
      </c>
      <c r="G1040" t="s">
        <v>26</v>
      </c>
      <c r="H1040">
        <v>3</v>
      </c>
      <c r="I1040" t="s">
        <v>38</v>
      </c>
      <c r="J1040" t="s">
        <v>68</v>
      </c>
      <c r="K1040" t="s">
        <v>94</v>
      </c>
      <c r="L1040" t="s">
        <v>8040</v>
      </c>
      <c r="M1040">
        <v>2135</v>
      </c>
      <c r="N1040" t="s">
        <v>831</v>
      </c>
      <c r="O1040" t="s">
        <v>21</v>
      </c>
      <c r="P1040" t="s">
        <v>21</v>
      </c>
      <c r="Q1040" t="s">
        <v>21</v>
      </c>
      <c r="R1040" t="s">
        <v>8041</v>
      </c>
      <c r="S1040" t="s">
        <v>8041</v>
      </c>
      <c r="T1040" t="s">
        <v>8042</v>
      </c>
      <c r="U1040" t="s">
        <v>960</v>
      </c>
      <c r="V1040" s="28" t="s">
        <v>8043</v>
      </c>
      <c r="W1040" s="28" t="s">
        <v>8044</v>
      </c>
      <c r="X1040" s="28" t="s">
        <v>8045</v>
      </c>
      <c r="Y1040" s="28" t="s">
        <v>8046</v>
      </c>
      <c r="Z1040" s="28" t="s">
        <v>8047</v>
      </c>
      <c r="AA1040" s="28" t="s">
        <v>8048</v>
      </c>
      <c r="AB1040" s="28" t="s">
        <v>8049</v>
      </c>
      <c r="AC1040" s="28" t="s">
        <v>8050</v>
      </c>
    </row>
    <row r="1041" spans="1:29">
      <c r="A1041">
        <v>296</v>
      </c>
      <c r="B1041">
        <v>2148</v>
      </c>
      <c r="C1041">
        <v>2148</v>
      </c>
      <c r="D1041" t="s">
        <v>21</v>
      </c>
      <c r="E1041" s="23">
        <v>44532</v>
      </c>
      <c r="F1041" t="s">
        <v>6055</v>
      </c>
      <c r="G1041" t="s">
        <v>26</v>
      </c>
      <c r="H1041">
        <v>16</v>
      </c>
      <c r="I1041" t="s">
        <v>37</v>
      </c>
      <c r="J1041" t="s">
        <v>69</v>
      </c>
      <c r="K1041" t="s">
        <v>99</v>
      </c>
      <c r="L1041" t="s">
        <v>8051</v>
      </c>
      <c r="M1041">
        <v>2135</v>
      </c>
      <c r="N1041" t="s">
        <v>841</v>
      </c>
      <c r="O1041" t="s">
        <v>21</v>
      </c>
      <c r="P1041" t="s">
        <v>21</v>
      </c>
      <c r="Q1041" t="s">
        <v>21</v>
      </c>
      <c r="R1041" t="s">
        <v>872</v>
      </c>
      <c r="S1041" t="s">
        <v>872</v>
      </c>
      <c r="T1041" t="s">
        <v>950</v>
      </c>
      <c r="U1041" t="s">
        <v>960</v>
      </c>
      <c r="V1041" s="28" t="s">
        <v>7979</v>
      </c>
      <c r="W1041" s="28" t="s">
        <v>7768</v>
      </c>
      <c r="X1041" s="28" t="s">
        <v>7980</v>
      </c>
      <c r="Y1041" s="28" t="s">
        <v>7770</v>
      </c>
      <c r="Z1041" s="28" t="s">
        <v>8052</v>
      </c>
      <c r="AA1041" s="28" t="s">
        <v>7772</v>
      </c>
      <c r="AB1041" s="28" t="s">
        <v>8053</v>
      </c>
      <c r="AC1041" s="28" t="s">
        <v>7774</v>
      </c>
    </row>
    <row r="1042" spans="1:29">
      <c r="A1042">
        <v>47</v>
      </c>
      <c r="B1042">
        <v>2148</v>
      </c>
      <c r="C1042">
        <v>2148</v>
      </c>
      <c r="D1042" t="s">
        <v>23</v>
      </c>
      <c r="E1042" s="23">
        <v>44530</v>
      </c>
      <c r="F1042" s="22">
        <v>44530</v>
      </c>
      <c r="G1042" t="s">
        <v>965</v>
      </c>
      <c r="H1042" t="s">
        <v>28</v>
      </c>
      <c r="I1042" t="s">
        <v>23</v>
      </c>
      <c r="J1042" t="s">
        <v>68</v>
      </c>
      <c r="K1042" t="s">
        <v>107</v>
      </c>
      <c r="L1042" t="s">
        <v>8054</v>
      </c>
      <c r="M1042">
        <v>2142</v>
      </c>
      <c r="N1042" t="s">
        <v>858</v>
      </c>
      <c r="O1042" t="s">
        <v>866</v>
      </c>
      <c r="P1042" t="s">
        <v>21</v>
      </c>
      <c r="Q1042" t="s">
        <v>21</v>
      </c>
      <c r="R1042" t="s">
        <v>921</v>
      </c>
      <c r="S1042" t="s">
        <v>921</v>
      </c>
      <c r="T1042" t="s">
        <v>959</v>
      </c>
      <c r="U1042" t="s">
        <v>960</v>
      </c>
      <c r="V1042" s="28" t="s">
        <v>8055</v>
      </c>
      <c r="W1042" s="28" t="s">
        <v>7579</v>
      </c>
      <c r="X1042" s="28" t="s">
        <v>8056</v>
      </c>
      <c r="Y1042" s="28" t="s">
        <v>7935</v>
      </c>
      <c r="Z1042" s="28" t="s">
        <v>8057</v>
      </c>
      <c r="AA1042" s="28" t="s">
        <v>8058</v>
      </c>
      <c r="AB1042" s="28" t="s">
        <v>8059</v>
      </c>
      <c r="AC1042" s="28" t="s">
        <v>8060</v>
      </c>
    </row>
    <row r="1043" spans="1:29">
      <c r="A1043">
        <v>48</v>
      </c>
      <c r="B1043">
        <v>2148</v>
      </c>
      <c r="C1043">
        <v>2148</v>
      </c>
      <c r="D1043" t="s">
        <v>23</v>
      </c>
      <c r="E1043" s="23">
        <v>44533</v>
      </c>
      <c r="F1043" s="22">
        <v>44533</v>
      </c>
      <c r="G1043" t="s">
        <v>965</v>
      </c>
      <c r="H1043" t="s">
        <v>28</v>
      </c>
      <c r="I1043" t="s">
        <v>23</v>
      </c>
      <c r="J1043" t="s">
        <v>68</v>
      </c>
      <c r="K1043" t="s">
        <v>107</v>
      </c>
      <c r="L1043" t="s">
        <v>8061</v>
      </c>
      <c r="M1043">
        <v>2142</v>
      </c>
      <c r="N1043" t="s">
        <v>858</v>
      </c>
      <c r="O1043" t="s">
        <v>866</v>
      </c>
      <c r="P1043" t="s">
        <v>21</v>
      </c>
      <c r="Q1043" t="s">
        <v>21</v>
      </c>
      <c r="R1043" t="s">
        <v>8062</v>
      </c>
      <c r="S1043" t="s">
        <v>8062</v>
      </c>
      <c r="T1043" t="s">
        <v>957</v>
      </c>
      <c r="U1043" t="s">
        <v>960</v>
      </c>
      <c r="V1043" s="28" t="s">
        <v>8063</v>
      </c>
      <c r="W1043" s="28" t="s">
        <v>8064</v>
      </c>
      <c r="X1043" s="28" t="s">
        <v>8065</v>
      </c>
      <c r="Y1043" s="28" t="s">
        <v>8066</v>
      </c>
      <c r="Z1043" s="28" t="s">
        <v>8067</v>
      </c>
      <c r="AA1043" s="28" t="s">
        <v>8068</v>
      </c>
      <c r="AB1043" s="28" t="s">
        <v>8069</v>
      </c>
      <c r="AC1043" s="28" t="s">
        <v>8070</v>
      </c>
    </row>
    <row r="1044" spans="1:29">
      <c r="A1044">
        <v>44</v>
      </c>
      <c r="B1044">
        <v>2148</v>
      </c>
      <c r="C1044">
        <v>2148</v>
      </c>
      <c r="D1044" t="s">
        <v>23</v>
      </c>
      <c r="E1044" s="23">
        <v>44529</v>
      </c>
      <c r="F1044" s="22">
        <v>44529</v>
      </c>
      <c r="G1044" t="s">
        <v>965</v>
      </c>
      <c r="H1044" t="s">
        <v>28</v>
      </c>
      <c r="I1044" t="s">
        <v>23</v>
      </c>
      <c r="J1044" t="s">
        <v>52</v>
      </c>
      <c r="K1044" t="s">
        <v>71</v>
      </c>
      <c r="L1044" t="s">
        <v>8071</v>
      </c>
      <c r="M1044">
        <v>2137</v>
      </c>
      <c r="N1044" t="s">
        <v>860</v>
      </c>
      <c r="O1044" t="s">
        <v>866</v>
      </c>
      <c r="P1044" t="s">
        <v>21</v>
      </c>
      <c r="Q1044" t="s">
        <v>21</v>
      </c>
      <c r="R1044" t="s">
        <v>881</v>
      </c>
      <c r="S1044" t="s">
        <v>881</v>
      </c>
      <c r="T1044" t="s">
        <v>949</v>
      </c>
      <c r="U1044" t="s">
        <v>960</v>
      </c>
      <c r="V1044" s="28" t="s">
        <v>7986</v>
      </c>
      <c r="W1044" s="28" t="s">
        <v>7650</v>
      </c>
      <c r="X1044" s="28" t="s">
        <v>8072</v>
      </c>
      <c r="Y1044" s="28" t="s">
        <v>7652</v>
      </c>
      <c r="Z1044" s="28" t="s">
        <v>8073</v>
      </c>
      <c r="AA1044" s="28" t="s">
        <v>7654</v>
      </c>
      <c r="AB1044" s="28" t="s">
        <v>7991</v>
      </c>
      <c r="AC1044" s="28" t="s">
        <v>7656</v>
      </c>
    </row>
    <row r="1045" spans="1:29">
      <c r="A1045">
        <v>45</v>
      </c>
      <c r="B1045">
        <v>2148</v>
      </c>
      <c r="C1045">
        <v>2148</v>
      </c>
      <c r="D1045" t="s">
        <v>23</v>
      </c>
      <c r="E1045" s="23">
        <v>44530</v>
      </c>
      <c r="F1045" s="22">
        <v>44530</v>
      </c>
      <c r="G1045" t="s">
        <v>965</v>
      </c>
      <c r="H1045" t="s">
        <v>28</v>
      </c>
      <c r="I1045" t="s">
        <v>23</v>
      </c>
      <c r="J1045" t="s">
        <v>52</v>
      </c>
      <c r="K1045" t="s">
        <v>71</v>
      </c>
      <c r="L1045" t="s">
        <v>8074</v>
      </c>
      <c r="M1045">
        <v>2142</v>
      </c>
      <c r="N1045" t="s">
        <v>860</v>
      </c>
      <c r="O1045" t="s">
        <v>866</v>
      </c>
      <c r="P1045" t="s">
        <v>21</v>
      </c>
      <c r="Q1045" t="s">
        <v>21</v>
      </c>
      <c r="R1045" t="s">
        <v>918</v>
      </c>
      <c r="S1045" t="s">
        <v>918</v>
      </c>
      <c r="T1045" t="s">
        <v>28</v>
      </c>
      <c r="U1045" t="s">
        <v>960</v>
      </c>
      <c r="V1045" s="28" t="s">
        <v>8075</v>
      </c>
      <c r="W1045" s="28" t="s">
        <v>7480</v>
      </c>
      <c r="X1045" s="28" t="s">
        <v>8076</v>
      </c>
      <c r="Y1045" s="28" t="s">
        <v>7786</v>
      </c>
      <c r="Z1045" s="28" t="s">
        <v>8077</v>
      </c>
      <c r="AA1045" s="28" t="s">
        <v>8078</v>
      </c>
      <c r="AB1045" s="28" t="s">
        <v>8079</v>
      </c>
      <c r="AC1045" s="28" t="s">
        <v>8080</v>
      </c>
    </row>
    <row r="1046" spans="1:29">
      <c r="A1046">
        <v>297</v>
      </c>
      <c r="B1046">
        <v>2149</v>
      </c>
      <c r="C1046">
        <v>2149</v>
      </c>
      <c r="D1046" t="s">
        <v>21</v>
      </c>
      <c r="E1046" s="23">
        <v>44536</v>
      </c>
      <c r="F1046" t="s">
        <v>6055</v>
      </c>
      <c r="G1046" t="s">
        <v>26</v>
      </c>
      <c r="H1046">
        <v>2</v>
      </c>
      <c r="I1046" t="s">
        <v>38</v>
      </c>
      <c r="J1046" t="s">
        <v>63</v>
      </c>
      <c r="K1046" t="s">
        <v>85</v>
      </c>
      <c r="L1046" t="s">
        <v>8124</v>
      </c>
      <c r="M1046">
        <v>2141</v>
      </c>
      <c r="N1046" t="s">
        <v>8125</v>
      </c>
      <c r="O1046" t="s">
        <v>21</v>
      </c>
      <c r="P1046" t="s">
        <v>21</v>
      </c>
      <c r="Q1046" t="s">
        <v>21</v>
      </c>
      <c r="R1046" t="s">
        <v>892</v>
      </c>
      <c r="S1046" t="s">
        <v>892</v>
      </c>
      <c r="T1046" t="s">
        <v>908</v>
      </c>
      <c r="U1046" t="s">
        <v>961</v>
      </c>
      <c r="V1046" s="28" t="s">
        <v>8126</v>
      </c>
      <c r="W1046" s="28" t="s">
        <v>8127</v>
      </c>
      <c r="X1046" s="28" t="s">
        <v>8128</v>
      </c>
      <c r="Y1046" s="28" t="s">
        <v>8129</v>
      </c>
      <c r="Z1046" s="28" t="s">
        <v>8130</v>
      </c>
      <c r="AA1046" s="28" t="s">
        <v>8131</v>
      </c>
      <c r="AB1046" s="28" t="s">
        <v>8132</v>
      </c>
      <c r="AC1046" s="28" t="s">
        <v>8133</v>
      </c>
    </row>
    <row r="1047" spans="1:29">
      <c r="A1047">
        <v>298</v>
      </c>
      <c r="B1047">
        <v>2149</v>
      </c>
      <c r="C1047">
        <v>2149</v>
      </c>
      <c r="D1047" t="s">
        <v>21</v>
      </c>
      <c r="E1047" s="23">
        <v>44536</v>
      </c>
      <c r="F1047" t="s">
        <v>6055</v>
      </c>
      <c r="G1047" t="s">
        <v>26</v>
      </c>
      <c r="H1047">
        <v>16</v>
      </c>
      <c r="I1047" t="s">
        <v>39</v>
      </c>
      <c r="J1047" t="s">
        <v>69</v>
      </c>
      <c r="K1047" t="s">
        <v>99</v>
      </c>
      <c r="L1047" t="s">
        <v>8134</v>
      </c>
      <c r="M1047">
        <v>2139</v>
      </c>
      <c r="N1047" t="s">
        <v>841</v>
      </c>
      <c r="O1047" t="s">
        <v>21</v>
      </c>
      <c r="P1047" t="s">
        <v>21</v>
      </c>
      <c r="Q1047" t="s">
        <v>21</v>
      </c>
      <c r="R1047" t="s">
        <v>888</v>
      </c>
      <c r="S1047" t="s">
        <v>888</v>
      </c>
      <c r="T1047" t="s">
        <v>952</v>
      </c>
      <c r="U1047" t="s">
        <v>960</v>
      </c>
      <c r="V1047" s="28" t="s">
        <v>8135</v>
      </c>
      <c r="W1047" s="28" t="s">
        <v>8136</v>
      </c>
      <c r="X1047" s="28" t="s">
        <v>8137</v>
      </c>
      <c r="Y1047" s="28" t="s">
        <v>8138</v>
      </c>
      <c r="Z1047" s="28" t="s">
        <v>8139</v>
      </c>
      <c r="AA1047" s="28" t="s">
        <v>8140</v>
      </c>
      <c r="AB1047" s="28" t="s">
        <v>8141</v>
      </c>
      <c r="AC1047" s="28" t="s">
        <v>8142</v>
      </c>
    </row>
    <row r="1048" spans="1:29">
      <c r="A1048">
        <v>299</v>
      </c>
      <c r="B1048">
        <v>2149</v>
      </c>
      <c r="C1048">
        <v>2149</v>
      </c>
      <c r="D1048" t="s">
        <v>21</v>
      </c>
      <c r="E1048" s="23">
        <v>44537</v>
      </c>
      <c r="F1048" t="s">
        <v>6055</v>
      </c>
      <c r="G1048" t="s">
        <v>26</v>
      </c>
      <c r="H1048">
        <v>2</v>
      </c>
      <c r="I1048" t="s">
        <v>36</v>
      </c>
      <c r="J1048" t="s">
        <v>65</v>
      </c>
      <c r="K1048" t="s">
        <v>87</v>
      </c>
      <c r="L1048" t="s">
        <v>8143</v>
      </c>
      <c r="M1048">
        <v>2142</v>
      </c>
      <c r="N1048" t="s">
        <v>824</v>
      </c>
      <c r="O1048" t="s">
        <v>21</v>
      </c>
      <c r="P1048" t="s">
        <v>21</v>
      </c>
      <c r="Q1048" t="s">
        <v>21</v>
      </c>
      <c r="R1048" t="s">
        <v>890</v>
      </c>
      <c r="S1048" t="s">
        <v>890</v>
      </c>
      <c r="T1048" t="s">
        <v>908</v>
      </c>
      <c r="U1048" t="s">
        <v>961</v>
      </c>
      <c r="V1048" s="28" t="s">
        <v>8126</v>
      </c>
      <c r="W1048" s="28" t="s">
        <v>8127</v>
      </c>
      <c r="X1048" s="28" t="s">
        <v>8128</v>
      </c>
      <c r="Y1048" s="28" t="s">
        <v>8129</v>
      </c>
      <c r="Z1048" s="28" t="s">
        <v>8144</v>
      </c>
      <c r="AA1048" s="28" t="s">
        <v>8145</v>
      </c>
      <c r="AB1048" s="28" t="s">
        <v>8146</v>
      </c>
      <c r="AC1048" s="28" t="s">
        <v>8147</v>
      </c>
    </row>
    <row r="1049" spans="1:29">
      <c r="A1049">
        <v>300</v>
      </c>
      <c r="B1049">
        <v>2149</v>
      </c>
      <c r="C1049">
        <v>2149</v>
      </c>
      <c r="D1049" t="s">
        <v>21</v>
      </c>
      <c r="E1049" s="23">
        <v>44537</v>
      </c>
      <c r="F1049" t="s">
        <v>6055</v>
      </c>
      <c r="G1049" t="s">
        <v>26</v>
      </c>
      <c r="H1049">
        <v>2</v>
      </c>
      <c r="I1049" t="s">
        <v>38</v>
      </c>
      <c r="J1049" t="s">
        <v>65</v>
      </c>
      <c r="K1049" t="s">
        <v>87</v>
      </c>
      <c r="L1049" t="s">
        <v>8148</v>
      </c>
      <c r="M1049">
        <v>2142</v>
      </c>
      <c r="N1049" t="s">
        <v>824</v>
      </c>
      <c r="O1049" t="s">
        <v>21</v>
      </c>
      <c r="P1049" t="s">
        <v>21</v>
      </c>
      <c r="Q1049" t="s">
        <v>21</v>
      </c>
      <c r="R1049" t="s">
        <v>880</v>
      </c>
      <c r="S1049" t="s">
        <v>880</v>
      </c>
      <c r="T1049" t="s">
        <v>908</v>
      </c>
      <c r="U1049" t="s">
        <v>961</v>
      </c>
      <c r="V1049" s="28" t="s">
        <v>8126</v>
      </c>
      <c r="W1049" s="28" t="s">
        <v>8127</v>
      </c>
      <c r="X1049" s="28" t="s">
        <v>8128</v>
      </c>
      <c r="Y1049" s="28" t="s">
        <v>8129</v>
      </c>
      <c r="Z1049" s="28" t="s">
        <v>8144</v>
      </c>
      <c r="AA1049" s="28" t="s">
        <v>8145</v>
      </c>
      <c r="AB1049" s="28" t="s">
        <v>8146</v>
      </c>
      <c r="AC1049" s="28" t="s">
        <v>8147</v>
      </c>
    </row>
    <row r="1050" spans="1:29">
      <c r="A1050">
        <v>49</v>
      </c>
      <c r="B1050">
        <v>2148</v>
      </c>
      <c r="C1050">
        <v>2149</v>
      </c>
      <c r="D1050" t="s">
        <v>23</v>
      </c>
      <c r="E1050" s="23">
        <v>44536</v>
      </c>
      <c r="F1050" s="22">
        <v>44533</v>
      </c>
      <c r="G1050" t="s">
        <v>965</v>
      </c>
      <c r="H1050" t="s">
        <v>28</v>
      </c>
      <c r="I1050" t="s">
        <v>23</v>
      </c>
      <c r="J1050" t="s">
        <v>68</v>
      </c>
      <c r="K1050" t="s">
        <v>107</v>
      </c>
      <c r="L1050" t="s">
        <v>8149</v>
      </c>
      <c r="M1050">
        <v>2142</v>
      </c>
      <c r="N1050" t="s">
        <v>858</v>
      </c>
      <c r="O1050" t="s">
        <v>866</v>
      </c>
      <c r="P1050" t="s">
        <v>21</v>
      </c>
      <c r="Q1050" t="s">
        <v>21</v>
      </c>
      <c r="R1050" t="s">
        <v>911</v>
      </c>
      <c r="S1050" t="s">
        <v>911</v>
      </c>
      <c r="T1050" t="s">
        <v>28</v>
      </c>
      <c r="U1050" t="s">
        <v>960</v>
      </c>
      <c r="V1050" s="28" t="s">
        <v>8075</v>
      </c>
      <c r="W1050" s="28" t="s">
        <v>7480</v>
      </c>
      <c r="X1050" s="28" t="s">
        <v>8076</v>
      </c>
      <c r="Y1050" s="28" t="s">
        <v>7786</v>
      </c>
      <c r="Z1050" s="28" t="s">
        <v>8150</v>
      </c>
      <c r="AA1050" s="28" t="s">
        <v>7929</v>
      </c>
      <c r="AB1050" s="28" t="s">
        <v>8151</v>
      </c>
      <c r="AC1050" s="28" t="s">
        <v>7931</v>
      </c>
    </row>
    <row r="1051" spans="1:29">
      <c r="A1051">
        <v>5</v>
      </c>
      <c r="B1051">
        <v>2149</v>
      </c>
      <c r="C1051">
        <v>2148</v>
      </c>
      <c r="D1051" t="s">
        <v>22</v>
      </c>
      <c r="E1051" s="23">
        <v>44532</v>
      </c>
      <c r="F1051" s="22">
        <v>44537</v>
      </c>
      <c r="G1051" t="s">
        <v>25</v>
      </c>
      <c r="H1051" t="s">
        <v>8226</v>
      </c>
      <c r="I1051" t="s">
        <v>28</v>
      </c>
      <c r="J1051" t="s">
        <v>69</v>
      </c>
      <c r="K1051" t="s">
        <v>6489</v>
      </c>
      <c r="L1051" t="s">
        <v>8227</v>
      </c>
      <c r="M1051">
        <v>2134</v>
      </c>
      <c r="N1051" t="s">
        <v>6491</v>
      </c>
      <c r="O1051" t="s">
        <v>865</v>
      </c>
      <c r="P1051" t="s">
        <v>6492</v>
      </c>
      <c r="Q1051" t="s">
        <v>8228</v>
      </c>
      <c r="R1051" t="s">
        <v>872</v>
      </c>
      <c r="S1051" t="s">
        <v>872</v>
      </c>
      <c r="T1051" t="s">
        <v>950</v>
      </c>
      <c r="U1051" t="s">
        <v>960</v>
      </c>
      <c r="V1051" s="28" t="s">
        <v>8229</v>
      </c>
      <c r="W1051" s="28" t="s">
        <v>8230</v>
      </c>
      <c r="X1051" s="28" t="s">
        <v>8231</v>
      </c>
      <c r="Y1051" s="28" t="s">
        <v>8232</v>
      </c>
      <c r="Z1051" s="28" t="s">
        <v>8233</v>
      </c>
      <c r="AA1051" s="28" t="s">
        <v>8234</v>
      </c>
      <c r="AB1051" s="28" t="s">
        <v>8235</v>
      </c>
      <c r="AC1051" s="28" t="s">
        <v>8236</v>
      </c>
    </row>
    <row r="1052" spans="1:29">
      <c r="A1052">
        <v>218</v>
      </c>
      <c r="B1052">
        <v>2148</v>
      </c>
      <c r="C1052">
        <v>2144</v>
      </c>
      <c r="D1052" t="s">
        <v>22</v>
      </c>
      <c r="E1052" s="23">
        <v>44501</v>
      </c>
      <c r="F1052" s="22">
        <v>44532</v>
      </c>
      <c r="G1052" t="s">
        <v>25</v>
      </c>
      <c r="H1052" t="s">
        <v>8237</v>
      </c>
      <c r="I1052" t="s">
        <v>28</v>
      </c>
      <c r="J1052" t="s">
        <v>55</v>
      </c>
      <c r="K1052" t="s">
        <v>74</v>
      </c>
      <c r="L1052" t="s">
        <v>8238</v>
      </c>
      <c r="M1052">
        <v>2137</v>
      </c>
      <c r="N1052" t="s">
        <v>808</v>
      </c>
      <c r="O1052" t="s">
        <v>865</v>
      </c>
      <c r="P1052" t="s">
        <v>21</v>
      </c>
      <c r="Q1052" t="s">
        <v>21</v>
      </c>
      <c r="R1052" t="s">
        <v>8239</v>
      </c>
      <c r="S1052" t="s">
        <v>947</v>
      </c>
      <c r="T1052" t="s">
        <v>954</v>
      </c>
      <c r="U1052" t="s">
        <v>960</v>
      </c>
      <c r="V1052" s="28" t="s">
        <v>8240</v>
      </c>
      <c r="W1052" s="28" t="s">
        <v>7918</v>
      </c>
      <c r="X1052" s="28" t="s">
        <v>8241</v>
      </c>
      <c r="Y1052" s="28" t="s">
        <v>8242</v>
      </c>
      <c r="Z1052" s="28" t="s">
        <v>8243</v>
      </c>
      <c r="AA1052" s="28" t="s">
        <v>8244</v>
      </c>
      <c r="AB1052" s="28" t="s">
        <v>8245</v>
      </c>
      <c r="AC1052" s="28" t="s">
        <v>8246</v>
      </c>
    </row>
    <row r="1053" spans="1:29">
      <c r="A1053">
        <v>219</v>
      </c>
      <c r="B1053">
        <v>2148</v>
      </c>
      <c r="C1053">
        <v>2144</v>
      </c>
      <c r="D1053" t="s">
        <v>22</v>
      </c>
      <c r="E1053" s="23">
        <v>44501</v>
      </c>
      <c r="F1053" s="22">
        <v>44532</v>
      </c>
      <c r="G1053" t="s">
        <v>25</v>
      </c>
      <c r="H1053" t="s">
        <v>8237</v>
      </c>
      <c r="I1053" t="s">
        <v>28</v>
      </c>
      <c r="J1053" t="s">
        <v>55</v>
      </c>
      <c r="K1053" t="s">
        <v>74</v>
      </c>
      <c r="L1053" t="s">
        <v>8247</v>
      </c>
      <c r="M1053">
        <v>2136</v>
      </c>
      <c r="N1053" t="s">
        <v>808</v>
      </c>
      <c r="O1053" t="s">
        <v>865</v>
      </c>
      <c r="P1053" t="s">
        <v>21</v>
      </c>
      <c r="Q1053" t="s">
        <v>21</v>
      </c>
      <c r="R1053" t="s">
        <v>8248</v>
      </c>
      <c r="S1053" t="s">
        <v>8249</v>
      </c>
      <c r="T1053" t="s">
        <v>959</v>
      </c>
      <c r="U1053" t="s">
        <v>960</v>
      </c>
      <c r="V1053" s="28" t="s">
        <v>8055</v>
      </c>
      <c r="W1053" s="28" t="s">
        <v>7579</v>
      </c>
      <c r="X1053" s="28" t="s">
        <v>8250</v>
      </c>
      <c r="Y1053" s="28" t="s">
        <v>8251</v>
      </c>
      <c r="Z1053" s="28" t="s">
        <v>8252</v>
      </c>
      <c r="AA1053" s="28" t="s">
        <v>8253</v>
      </c>
      <c r="AB1053" s="28" t="s">
        <v>8254</v>
      </c>
      <c r="AC1053" s="28" t="s">
        <v>8255</v>
      </c>
    </row>
    <row r="1054" spans="1:29">
      <c r="A1054">
        <v>13</v>
      </c>
      <c r="B1054">
        <v>2146</v>
      </c>
      <c r="C1054">
        <v>2143</v>
      </c>
      <c r="D1054" t="s">
        <v>22</v>
      </c>
      <c r="E1054" s="23">
        <v>44497</v>
      </c>
      <c r="F1054" s="22">
        <v>44518</v>
      </c>
      <c r="G1054" t="s">
        <v>25</v>
      </c>
      <c r="H1054" t="s">
        <v>30</v>
      </c>
      <c r="I1054" t="s">
        <v>28</v>
      </c>
      <c r="J1054" t="s">
        <v>56</v>
      </c>
      <c r="K1054" t="s">
        <v>75</v>
      </c>
      <c r="L1054" t="s">
        <v>8256</v>
      </c>
      <c r="M1054">
        <v>2135</v>
      </c>
      <c r="N1054" t="s">
        <v>809</v>
      </c>
      <c r="O1054" t="s">
        <v>865</v>
      </c>
      <c r="P1054" t="s">
        <v>21</v>
      </c>
      <c r="Q1054" t="s">
        <v>21</v>
      </c>
      <c r="R1054" t="s">
        <v>868</v>
      </c>
      <c r="S1054" t="s">
        <v>868</v>
      </c>
      <c r="T1054" t="s">
        <v>891</v>
      </c>
      <c r="U1054" t="s">
        <v>960</v>
      </c>
      <c r="V1054" s="28" t="s">
        <v>7776</v>
      </c>
      <c r="W1054" s="28" t="s">
        <v>7659</v>
      </c>
      <c r="X1054" s="28" t="s">
        <v>8257</v>
      </c>
      <c r="Y1054" s="28" t="s">
        <v>8258</v>
      </c>
      <c r="Z1054" s="28" t="s">
        <v>8259</v>
      </c>
      <c r="AA1054" s="28" t="s">
        <v>8260</v>
      </c>
      <c r="AB1054" s="28" t="s">
        <v>8261</v>
      </c>
      <c r="AC1054" s="28" t="s">
        <v>8262</v>
      </c>
    </row>
    <row r="1055" spans="1:29">
      <c r="A1055">
        <v>301</v>
      </c>
      <c r="B1055">
        <v>2150</v>
      </c>
      <c r="C1055">
        <v>2150</v>
      </c>
      <c r="D1055" t="s">
        <v>21</v>
      </c>
      <c r="E1055" s="23">
        <v>44545</v>
      </c>
      <c r="F1055" t="s">
        <v>6055</v>
      </c>
      <c r="G1055" t="s">
        <v>26</v>
      </c>
      <c r="H1055">
        <v>2</v>
      </c>
      <c r="I1055" t="s">
        <v>38</v>
      </c>
      <c r="J1055" t="s">
        <v>62</v>
      </c>
      <c r="K1055" t="s">
        <v>82</v>
      </c>
      <c r="L1055" t="s">
        <v>8263</v>
      </c>
      <c r="M1055">
        <v>2139</v>
      </c>
      <c r="N1055" t="s">
        <v>816</v>
      </c>
      <c r="O1055" t="s">
        <v>21</v>
      </c>
      <c r="P1055" t="s">
        <v>21</v>
      </c>
      <c r="Q1055" t="s">
        <v>21</v>
      </c>
      <c r="R1055" t="s">
        <v>880</v>
      </c>
      <c r="S1055" t="s">
        <v>880</v>
      </c>
      <c r="T1055" t="s">
        <v>908</v>
      </c>
      <c r="U1055" t="s">
        <v>961</v>
      </c>
      <c r="V1055" s="28" t="s">
        <v>8264</v>
      </c>
      <c r="W1055" s="28" t="s">
        <v>8127</v>
      </c>
      <c r="X1055" s="28" t="s">
        <v>8265</v>
      </c>
      <c r="Y1055" s="28" t="s">
        <v>8129</v>
      </c>
      <c r="Z1055" s="28" t="s">
        <v>8266</v>
      </c>
      <c r="AA1055" s="28" t="s">
        <v>8267</v>
      </c>
      <c r="AB1055" s="28" t="s">
        <v>8268</v>
      </c>
      <c r="AC1055" s="28" t="s">
        <v>8269</v>
      </c>
    </row>
    <row r="1056" spans="1:29">
      <c r="A1056">
        <v>46</v>
      </c>
      <c r="B1056">
        <v>2150</v>
      </c>
      <c r="C1056">
        <v>2150</v>
      </c>
      <c r="D1056" t="s">
        <v>23</v>
      </c>
      <c r="E1056" s="23">
        <v>44547</v>
      </c>
      <c r="F1056" s="22">
        <v>44547</v>
      </c>
      <c r="G1056" t="s">
        <v>965</v>
      </c>
      <c r="H1056" t="s">
        <v>28</v>
      </c>
      <c r="I1056" t="s">
        <v>23</v>
      </c>
      <c r="J1056" t="s">
        <v>52</v>
      </c>
      <c r="K1056" t="s">
        <v>71</v>
      </c>
      <c r="L1056" t="s">
        <v>8270</v>
      </c>
      <c r="M1056">
        <v>2142</v>
      </c>
      <c r="N1056" t="s">
        <v>860</v>
      </c>
      <c r="O1056" t="s">
        <v>866</v>
      </c>
      <c r="P1056" t="s">
        <v>21</v>
      </c>
      <c r="Q1056" t="s">
        <v>21</v>
      </c>
      <c r="R1056" t="s">
        <v>923</v>
      </c>
      <c r="S1056" t="s">
        <v>915</v>
      </c>
      <c r="T1056" t="s">
        <v>950</v>
      </c>
      <c r="U1056" t="s">
        <v>960</v>
      </c>
      <c r="V1056" s="28" t="s">
        <v>8271</v>
      </c>
      <c r="W1056" s="28" t="s">
        <v>8230</v>
      </c>
      <c r="X1056" s="28" t="s">
        <v>8272</v>
      </c>
      <c r="Y1056" s="28" t="s">
        <v>8273</v>
      </c>
      <c r="Z1056" s="28" t="s">
        <v>8274</v>
      </c>
      <c r="AA1056" s="28" t="s">
        <v>8275</v>
      </c>
      <c r="AB1056" s="28" t="s">
        <v>8276</v>
      </c>
      <c r="AC1056" s="28" t="s">
        <v>8277</v>
      </c>
    </row>
    <row r="1057" spans="1:29">
      <c r="A1057">
        <v>27</v>
      </c>
      <c r="B1057">
        <v>2150</v>
      </c>
      <c r="C1057">
        <v>2150</v>
      </c>
      <c r="D1057" t="s">
        <v>21</v>
      </c>
      <c r="E1057" s="23">
        <v>44546</v>
      </c>
      <c r="F1057" s="22">
        <v>44546</v>
      </c>
      <c r="G1057" t="s">
        <v>965</v>
      </c>
      <c r="H1057" t="s">
        <v>28</v>
      </c>
      <c r="I1057" t="s">
        <v>21</v>
      </c>
      <c r="J1057" t="s">
        <v>53</v>
      </c>
      <c r="K1057" t="s">
        <v>72</v>
      </c>
      <c r="L1057" t="s">
        <v>8278</v>
      </c>
      <c r="M1057">
        <v>2144</v>
      </c>
      <c r="N1057" t="s">
        <v>862</v>
      </c>
      <c r="O1057" t="s">
        <v>866</v>
      </c>
      <c r="P1057" t="s">
        <v>21</v>
      </c>
      <c r="Q1057" t="s">
        <v>21</v>
      </c>
      <c r="R1057" t="s">
        <v>931</v>
      </c>
      <c r="S1057" t="s">
        <v>931</v>
      </c>
      <c r="T1057" t="s">
        <v>954</v>
      </c>
      <c r="U1057" t="s">
        <v>960</v>
      </c>
      <c r="V1057" s="28" t="s">
        <v>8279</v>
      </c>
      <c r="W1057" s="28" t="s">
        <v>8280</v>
      </c>
      <c r="X1057" s="28" t="s">
        <v>8281</v>
      </c>
      <c r="Y1057" s="28" t="s">
        <v>8282</v>
      </c>
      <c r="Z1057" s="28" t="s">
        <v>8283</v>
      </c>
      <c r="AA1057" s="28" t="s">
        <v>8284</v>
      </c>
      <c r="AB1057" s="28" t="s">
        <v>8285</v>
      </c>
      <c r="AC1057" s="28" t="s">
        <v>8286</v>
      </c>
    </row>
    <row r="1058" spans="1:29">
      <c r="A1058">
        <v>47</v>
      </c>
      <c r="B1058">
        <v>2151</v>
      </c>
      <c r="C1058">
        <v>2151</v>
      </c>
      <c r="D1058" t="s">
        <v>23</v>
      </c>
      <c r="E1058" s="23">
        <v>44551</v>
      </c>
      <c r="F1058" s="22">
        <v>44551</v>
      </c>
      <c r="G1058" t="s">
        <v>965</v>
      </c>
      <c r="H1058" t="s">
        <v>28</v>
      </c>
      <c r="I1058" t="s">
        <v>23</v>
      </c>
      <c r="J1058" t="s">
        <v>52</v>
      </c>
      <c r="K1058" t="s">
        <v>71</v>
      </c>
      <c r="L1058" t="s">
        <v>8333</v>
      </c>
      <c r="M1058">
        <v>2142</v>
      </c>
      <c r="N1058" t="s">
        <v>860</v>
      </c>
      <c r="O1058" t="s">
        <v>866</v>
      </c>
      <c r="P1058" t="s">
        <v>21</v>
      </c>
      <c r="Q1058" t="s">
        <v>21</v>
      </c>
      <c r="R1058" t="s">
        <v>923</v>
      </c>
      <c r="S1058" t="s">
        <v>915</v>
      </c>
      <c r="T1058" t="s">
        <v>950</v>
      </c>
      <c r="U1058" t="s">
        <v>960</v>
      </c>
      <c r="V1058" s="28" t="s">
        <v>8334</v>
      </c>
      <c r="W1058" s="28" t="s">
        <v>8230</v>
      </c>
      <c r="X1058" s="28" t="s">
        <v>8335</v>
      </c>
      <c r="Y1058" s="28" t="s">
        <v>8273</v>
      </c>
      <c r="Z1058" s="28" t="s">
        <v>8336</v>
      </c>
      <c r="AA1058" s="28" t="s">
        <v>8275</v>
      </c>
      <c r="AB1058" s="28" t="s">
        <v>8337</v>
      </c>
      <c r="AC1058" s="28" t="s">
        <v>8277</v>
      </c>
    </row>
    <row r="1059" spans="1:29">
      <c r="A1059">
        <v>50</v>
      </c>
      <c r="B1059">
        <v>2152</v>
      </c>
      <c r="C1059">
        <v>2152</v>
      </c>
      <c r="D1059" t="s">
        <v>23</v>
      </c>
      <c r="E1059" s="23">
        <v>44561</v>
      </c>
      <c r="F1059" s="22">
        <v>44561</v>
      </c>
      <c r="G1059" t="s">
        <v>965</v>
      </c>
      <c r="H1059" t="s">
        <v>28</v>
      </c>
      <c r="I1059" t="s">
        <v>23</v>
      </c>
      <c r="J1059" t="s">
        <v>68</v>
      </c>
      <c r="K1059" t="s">
        <v>107</v>
      </c>
      <c r="L1059" t="s">
        <v>8351</v>
      </c>
      <c r="M1059">
        <v>2143</v>
      </c>
      <c r="N1059" t="s">
        <v>858</v>
      </c>
      <c r="O1059" t="s">
        <v>866</v>
      </c>
      <c r="P1059" t="s">
        <v>21</v>
      </c>
      <c r="Q1059" t="s">
        <v>21</v>
      </c>
      <c r="R1059" t="s">
        <v>911</v>
      </c>
      <c r="S1059" t="s">
        <v>911</v>
      </c>
      <c r="T1059" t="s">
        <v>28</v>
      </c>
      <c r="U1059" t="s">
        <v>960</v>
      </c>
      <c r="V1059" s="28" t="s">
        <v>8352</v>
      </c>
      <c r="W1059" s="28" t="s">
        <v>8353</v>
      </c>
      <c r="X1059" s="28" t="s">
        <v>8354</v>
      </c>
      <c r="Y1059" s="28" t="s">
        <v>8355</v>
      </c>
      <c r="Z1059" s="28" t="s">
        <v>8356</v>
      </c>
      <c r="AA1059" s="28" t="s">
        <v>8357</v>
      </c>
      <c r="AB1059" s="28" t="s">
        <v>8358</v>
      </c>
      <c r="AC1059" s="28" t="s">
        <v>8359</v>
      </c>
    </row>
    <row r="1060" spans="1:29">
      <c r="A1060">
        <v>48</v>
      </c>
      <c r="B1060">
        <v>2152</v>
      </c>
      <c r="C1060">
        <v>2152</v>
      </c>
      <c r="D1060" t="s">
        <v>23</v>
      </c>
      <c r="E1060" s="23">
        <v>44559</v>
      </c>
      <c r="F1060" s="22">
        <v>44559</v>
      </c>
      <c r="G1060" t="s">
        <v>965</v>
      </c>
      <c r="H1060" t="s">
        <v>28</v>
      </c>
      <c r="I1060" t="s">
        <v>23</v>
      </c>
      <c r="J1060" t="s">
        <v>52</v>
      </c>
      <c r="K1060" t="s">
        <v>71</v>
      </c>
      <c r="L1060" t="s">
        <v>8360</v>
      </c>
      <c r="M1060">
        <v>2146</v>
      </c>
      <c r="N1060" t="s">
        <v>860</v>
      </c>
      <c r="O1060" t="s">
        <v>866</v>
      </c>
      <c r="P1060" t="s">
        <v>21</v>
      </c>
      <c r="Q1060" t="s">
        <v>21</v>
      </c>
      <c r="R1060" t="s">
        <v>921</v>
      </c>
      <c r="S1060" t="s">
        <v>921</v>
      </c>
      <c r="T1060" t="s">
        <v>959</v>
      </c>
      <c r="U1060" t="s">
        <v>960</v>
      </c>
      <c r="V1060" s="28" t="s">
        <v>8361</v>
      </c>
      <c r="W1060" s="28" t="s">
        <v>8362</v>
      </c>
      <c r="X1060" s="28" t="s">
        <v>8363</v>
      </c>
      <c r="Y1060" s="28" t="s">
        <v>8364</v>
      </c>
      <c r="Z1060" s="28" t="s">
        <v>8365</v>
      </c>
      <c r="AA1060" s="28" t="s">
        <v>8366</v>
      </c>
      <c r="AB1060" s="28" t="s">
        <v>8367</v>
      </c>
      <c r="AC1060" s="28" t="s">
        <v>8368</v>
      </c>
    </row>
    <row r="1061" spans="1:29">
      <c r="A1061">
        <v>49</v>
      </c>
      <c r="B1061">
        <v>2152</v>
      </c>
      <c r="C1061">
        <v>2152</v>
      </c>
      <c r="D1061" t="s">
        <v>23</v>
      </c>
      <c r="E1061" s="23">
        <v>44559</v>
      </c>
      <c r="F1061" s="22">
        <v>44559</v>
      </c>
      <c r="G1061" t="s">
        <v>965</v>
      </c>
      <c r="H1061" t="s">
        <v>28</v>
      </c>
      <c r="I1061" t="s">
        <v>23</v>
      </c>
      <c r="J1061" t="s">
        <v>52</v>
      </c>
      <c r="K1061" t="s">
        <v>71</v>
      </c>
      <c r="L1061" t="s">
        <v>8369</v>
      </c>
      <c r="M1061">
        <v>2145</v>
      </c>
      <c r="N1061" t="s">
        <v>860</v>
      </c>
      <c r="O1061" t="s">
        <v>866</v>
      </c>
      <c r="P1061" t="s">
        <v>21</v>
      </c>
      <c r="Q1061" t="s">
        <v>21</v>
      </c>
      <c r="R1061" t="s">
        <v>881</v>
      </c>
      <c r="S1061" t="s">
        <v>881</v>
      </c>
      <c r="T1061" t="s">
        <v>949</v>
      </c>
      <c r="U1061" t="s">
        <v>960</v>
      </c>
      <c r="V1061" s="28" t="s">
        <v>8370</v>
      </c>
      <c r="W1061" s="28" t="s">
        <v>8371</v>
      </c>
      <c r="X1061" s="28" t="s">
        <v>8372</v>
      </c>
      <c r="Y1061" s="28" t="s">
        <v>8373</v>
      </c>
      <c r="Z1061" s="28" t="s">
        <v>8374</v>
      </c>
      <c r="AA1061" s="28" t="s">
        <v>8375</v>
      </c>
      <c r="AB1061" s="28" t="s">
        <v>8376</v>
      </c>
      <c r="AC1061" s="28" t="s">
        <v>8377</v>
      </c>
    </row>
    <row r="1062" spans="1:29">
      <c r="A1062">
        <v>50</v>
      </c>
      <c r="B1062">
        <v>2152</v>
      </c>
      <c r="C1062">
        <v>2152</v>
      </c>
      <c r="D1062" t="s">
        <v>23</v>
      </c>
      <c r="E1062" s="23">
        <v>44559</v>
      </c>
      <c r="F1062" s="22">
        <v>44559</v>
      </c>
      <c r="G1062" t="s">
        <v>965</v>
      </c>
      <c r="H1062" t="s">
        <v>28</v>
      </c>
      <c r="I1062" t="s">
        <v>23</v>
      </c>
      <c r="J1062" t="s">
        <v>52</v>
      </c>
      <c r="K1062" t="s">
        <v>71</v>
      </c>
      <c r="L1062" t="s">
        <v>8378</v>
      </c>
      <c r="M1062">
        <v>2146</v>
      </c>
      <c r="N1062" t="s">
        <v>860</v>
      </c>
      <c r="O1062" t="s">
        <v>866</v>
      </c>
      <c r="P1062" t="s">
        <v>21</v>
      </c>
      <c r="Q1062" t="s">
        <v>21</v>
      </c>
      <c r="R1062" t="s">
        <v>924</v>
      </c>
      <c r="S1062" t="s">
        <v>931</v>
      </c>
      <c r="T1062" t="s">
        <v>954</v>
      </c>
      <c r="U1062" t="s">
        <v>960</v>
      </c>
      <c r="V1062" s="28" t="s">
        <v>8379</v>
      </c>
      <c r="W1062" s="28" t="s">
        <v>8280</v>
      </c>
      <c r="X1062" s="28" t="s">
        <v>8380</v>
      </c>
      <c r="Y1062" s="28" t="s">
        <v>8282</v>
      </c>
      <c r="Z1062" s="28" t="s">
        <v>8381</v>
      </c>
      <c r="AA1062" s="28" t="s">
        <v>8382</v>
      </c>
      <c r="AB1062" s="28" t="s">
        <v>8383</v>
      </c>
      <c r="AC1062" s="28" t="s">
        <v>8384</v>
      </c>
    </row>
    <row r="1063" spans="1:29">
      <c r="A1063">
        <v>51</v>
      </c>
      <c r="B1063">
        <v>2152</v>
      </c>
      <c r="C1063">
        <v>2152</v>
      </c>
      <c r="D1063" t="s">
        <v>23</v>
      </c>
      <c r="E1063" s="23">
        <v>44560</v>
      </c>
      <c r="F1063" s="22">
        <v>44560</v>
      </c>
      <c r="G1063" t="s">
        <v>965</v>
      </c>
      <c r="H1063" t="s">
        <v>28</v>
      </c>
      <c r="I1063" t="s">
        <v>23</v>
      </c>
      <c r="J1063" t="s">
        <v>52</v>
      </c>
      <c r="K1063" t="s">
        <v>71</v>
      </c>
      <c r="L1063" t="s">
        <v>8385</v>
      </c>
      <c r="M1063">
        <v>2147</v>
      </c>
      <c r="N1063" t="s">
        <v>860</v>
      </c>
      <c r="O1063" t="s">
        <v>866</v>
      </c>
      <c r="P1063" t="s">
        <v>21</v>
      </c>
      <c r="Q1063" t="s">
        <v>21</v>
      </c>
      <c r="R1063" t="s">
        <v>925</v>
      </c>
      <c r="S1063" t="s">
        <v>925</v>
      </c>
      <c r="T1063" t="s">
        <v>28</v>
      </c>
      <c r="U1063" t="s">
        <v>960</v>
      </c>
      <c r="V1063" s="28" t="s">
        <v>8352</v>
      </c>
      <c r="W1063" s="28" t="s">
        <v>8353</v>
      </c>
      <c r="X1063" s="28" t="s">
        <v>8354</v>
      </c>
      <c r="Y1063" s="28" t="s">
        <v>8355</v>
      </c>
      <c r="Z1063" s="28" t="s">
        <v>8386</v>
      </c>
      <c r="AA1063" s="28" t="s">
        <v>8387</v>
      </c>
      <c r="AB1063" s="28" t="s">
        <v>8388</v>
      </c>
      <c r="AC1063" s="28" t="s">
        <v>8389</v>
      </c>
    </row>
    <row r="1064" spans="1:29">
      <c r="A1064">
        <v>28</v>
      </c>
      <c r="B1064">
        <v>2152</v>
      </c>
      <c r="C1064">
        <v>2152</v>
      </c>
      <c r="D1064" t="s">
        <v>21</v>
      </c>
      <c r="E1064" s="23">
        <v>44559</v>
      </c>
      <c r="F1064" s="22">
        <v>44559</v>
      </c>
      <c r="G1064" t="s">
        <v>965</v>
      </c>
      <c r="H1064" t="s">
        <v>28</v>
      </c>
      <c r="I1064" t="s">
        <v>21</v>
      </c>
      <c r="J1064" t="s">
        <v>53</v>
      </c>
      <c r="K1064" t="s">
        <v>72</v>
      </c>
      <c r="L1064" t="s">
        <v>8390</v>
      </c>
      <c r="M1064">
        <v>2145</v>
      </c>
      <c r="N1064" t="s">
        <v>862</v>
      </c>
      <c r="O1064" t="s">
        <v>866</v>
      </c>
      <c r="P1064" t="s">
        <v>21</v>
      </c>
      <c r="Q1064" t="s">
        <v>21</v>
      </c>
      <c r="R1064" t="s">
        <v>926</v>
      </c>
      <c r="S1064" t="s">
        <v>926</v>
      </c>
      <c r="T1064" t="s">
        <v>952</v>
      </c>
      <c r="U1064" t="s">
        <v>960</v>
      </c>
      <c r="V1064" s="28" t="s">
        <v>8391</v>
      </c>
      <c r="W1064" s="28" t="s">
        <v>8136</v>
      </c>
      <c r="X1064" s="28" t="s">
        <v>8392</v>
      </c>
      <c r="Y1064" s="28" t="s">
        <v>8393</v>
      </c>
      <c r="Z1064" s="28" t="s">
        <v>8394</v>
      </c>
      <c r="AA1064" s="28" t="s">
        <v>8395</v>
      </c>
      <c r="AB1064" s="28" t="s">
        <v>8396</v>
      </c>
      <c r="AC1064" s="28" t="s">
        <v>8397</v>
      </c>
    </row>
    <row r="1065" spans="1:29">
      <c r="A1065">
        <v>20</v>
      </c>
      <c r="B1065">
        <v>2151</v>
      </c>
      <c r="C1065">
        <v>2151</v>
      </c>
      <c r="D1065" t="s">
        <v>21</v>
      </c>
      <c r="E1065" s="23">
        <v>44550</v>
      </c>
      <c r="F1065" s="22">
        <v>44550</v>
      </c>
      <c r="G1065" t="s">
        <v>965</v>
      </c>
      <c r="H1065" t="s">
        <v>28</v>
      </c>
      <c r="I1065" t="s">
        <v>21</v>
      </c>
      <c r="J1065" t="s">
        <v>66</v>
      </c>
      <c r="K1065" t="s">
        <v>109</v>
      </c>
      <c r="L1065" t="s">
        <v>8398</v>
      </c>
      <c r="M1065">
        <v>2143</v>
      </c>
      <c r="N1065" t="s">
        <v>863</v>
      </c>
      <c r="O1065" t="s">
        <v>866</v>
      </c>
      <c r="P1065" t="s">
        <v>21</v>
      </c>
      <c r="Q1065" t="s">
        <v>21</v>
      </c>
      <c r="R1065" t="s">
        <v>921</v>
      </c>
      <c r="S1065" t="s">
        <v>921</v>
      </c>
      <c r="T1065" t="s">
        <v>959</v>
      </c>
      <c r="U1065" t="s">
        <v>960</v>
      </c>
      <c r="V1065" s="28" t="s">
        <v>8399</v>
      </c>
      <c r="W1065" s="28" t="s">
        <v>8362</v>
      </c>
      <c r="X1065" s="28" t="s">
        <v>8400</v>
      </c>
      <c r="Y1065" s="28" t="s">
        <v>8364</v>
      </c>
      <c r="Z1065" s="28" t="s">
        <v>8401</v>
      </c>
      <c r="AA1065" s="28" t="s">
        <v>8402</v>
      </c>
      <c r="AB1065" s="28" t="s">
        <v>8403</v>
      </c>
      <c r="AC1065" s="28" t="s">
        <v>8404</v>
      </c>
    </row>
    <row r="1066" spans="1:29">
      <c r="A1066">
        <v>21</v>
      </c>
      <c r="B1066">
        <v>2152</v>
      </c>
      <c r="C1066">
        <v>2152</v>
      </c>
      <c r="D1066" t="s">
        <v>21</v>
      </c>
      <c r="E1066" s="23">
        <v>44560</v>
      </c>
      <c r="F1066" s="22">
        <v>44560</v>
      </c>
      <c r="G1066" t="s">
        <v>965</v>
      </c>
      <c r="H1066" t="s">
        <v>28</v>
      </c>
      <c r="I1066" t="s">
        <v>21</v>
      </c>
      <c r="J1066" t="s">
        <v>66</v>
      </c>
      <c r="K1066" t="s">
        <v>109</v>
      </c>
      <c r="L1066" t="s">
        <v>8405</v>
      </c>
      <c r="M1066">
        <v>2145</v>
      </c>
      <c r="N1066" t="s">
        <v>863</v>
      </c>
      <c r="O1066" t="s">
        <v>866</v>
      </c>
      <c r="P1066" t="s">
        <v>21</v>
      </c>
      <c r="Q1066" t="s">
        <v>21</v>
      </c>
      <c r="R1066" t="s">
        <v>881</v>
      </c>
      <c r="S1066" t="s">
        <v>881</v>
      </c>
      <c r="T1066" t="s">
        <v>949</v>
      </c>
      <c r="U1066" t="s">
        <v>960</v>
      </c>
      <c r="V1066" s="28" t="s">
        <v>8370</v>
      </c>
      <c r="W1066" s="28" t="s">
        <v>8371</v>
      </c>
      <c r="X1066" s="28" t="s">
        <v>8372</v>
      </c>
      <c r="Y1066" s="28" t="s">
        <v>8373</v>
      </c>
      <c r="Z1066" s="28" t="s">
        <v>8406</v>
      </c>
      <c r="AA1066" s="28" t="s">
        <v>8407</v>
      </c>
      <c r="AB1066" s="28" t="s">
        <v>8408</v>
      </c>
      <c r="AC1066" s="28" t="s">
        <v>8409</v>
      </c>
    </row>
    <row r="1067" spans="1:29">
      <c r="A1067">
        <v>22</v>
      </c>
      <c r="B1067">
        <v>2152</v>
      </c>
      <c r="C1067">
        <v>2152</v>
      </c>
      <c r="D1067" t="s">
        <v>21</v>
      </c>
      <c r="E1067" s="23">
        <v>44560</v>
      </c>
      <c r="F1067" s="22">
        <v>44560</v>
      </c>
      <c r="G1067" t="s">
        <v>965</v>
      </c>
      <c r="H1067" t="s">
        <v>28</v>
      </c>
      <c r="I1067" t="s">
        <v>21</v>
      </c>
      <c r="J1067" t="s">
        <v>66</v>
      </c>
      <c r="K1067" t="s">
        <v>109</v>
      </c>
      <c r="L1067" t="s">
        <v>8410</v>
      </c>
      <c r="M1067">
        <v>2145</v>
      </c>
      <c r="N1067" t="s">
        <v>863</v>
      </c>
      <c r="O1067" t="s">
        <v>866</v>
      </c>
      <c r="P1067" t="s">
        <v>21</v>
      </c>
      <c r="Q1067" t="s">
        <v>21</v>
      </c>
      <c r="R1067" t="s">
        <v>881</v>
      </c>
      <c r="S1067" t="s">
        <v>881</v>
      </c>
      <c r="T1067" t="s">
        <v>949</v>
      </c>
      <c r="U1067" t="s">
        <v>960</v>
      </c>
      <c r="V1067" s="28" t="s">
        <v>8370</v>
      </c>
      <c r="W1067" s="28" t="s">
        <v>8371</v>
      </c>
      <c r="X1067" s="28" t="s">
        <v>8372</v>
      </c>
      <c r="Y1067" s="28" t="s">
        <v>8373</v>
      </c>
      <c r="Z1067" s="28" t="s">
        <v>8406</v>
      </c>
      <c r="AA1067" s="28" t="s">
        <v>8407</v>
      </c>
      <c r="AB1067" s="28" t="s">
        <v>8408</v>
      </c>
      <c r="AC1067" s="28" t="s">
        <v>8409</v>
      </c>
    </row>
  </sheetData>
  <phoneticPr fontId="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394"/>
  <sheetViews>
    <sheetView topLeftCell="A22" zoomScaleNormal="100" workbookViewId="0">
      <selection sqref="A1:XFD1"/>
    </sheetView>
  </sheetViews>
  <sheetFormatPr defaultRowHeight="14.5"/>
  <cols>
    <col min="1" max="1" width="7.90625" bestFit="1" customWidth="1"/>
    <col min="2" max="2" width="12.08984375" bestFit="1" customWidth="1"/>
    <col min="3" max="3" width="10.90625" bestFit="1" customWidth="1"/>
    <col min="4" max="4" width="5" bestFit="1" customWidth="1"/>
    <col min="5" max="5" width="8.08984375" bestFit="1" customWidth="1"/>
    <col min="6" max="6" width="7.90625" style="35" bestFit="1" customWidth="1"/>
    <col min="7" max="14" width="10.90625" style="28" hidden="1" customWidth="1"/>
    <col min="15" max="15" width="0" hidden="1" customWidth="1"/>
  </cols>
  <sheetData>
    <row r="1" spans="1:14">
      <c r="A1" s="1" t="s">
        <v>6</v>
      </c>
      <c r="B1" s="1" t="s">
        <v>10</v>
      </c>
      <c r="C1" s="1" t="s">
        <v>12</v>
      </c>
      <c r="D1" s="1" t="s">
        <v>963</v>
      </c>
      <c r="E1" s="1" t="s">
        <v>20</v>
      </c>
      <c r="F1" s="34" t="s">
        <v>964</v>
      </c>
      <c r="G1" s="27" t="s">
        <v>1016</v>
      </c>
      <c r="H1" s="27" t="s">
        <v>1021</v>
      </c>
      <c r="I1" s="27" t="s">
        <v>1642</v>
      </c>
      <c r="J1" s="27" t="s">
        <v>1643</v>
      </c>
      <c r="K1" s="27" t="s">
        <v>1644</v>
      </c>
      <c r="L1" s="27" t="s">
        <v>1645</v>
      </c>
      <c r="M1" s="27" t="s">
        <v>1648</v>
      </c>
      <c r="N1" s="27" t="s">
        <v>1649</v>
      </c>
    </row>
    <row r="2" spans="1:14">
      <c r="A2" t="s">
        <v>24</v>
      </c>
      <c r="B2" t="s">
        <v>52</v>
      </c>
      <c r="C2">
        <v>2112</v>
      </c>
      <c r="D2">
        <v>6</v>
      </c>
      <c r="E2" t="s">
        <v>960</v>
      </c>
      <c r="F2" s="35" t="s">
        <v>969</v>
      </c>
      <c r="G2" s="28" t="s">
        <v>1496</v>
      </c>
      <c r="H2" s="28" t="s">
        <v>1497</v>
      </c>
      <c r="I2" s="28" t="s">
        <v>3565</v>
      </c>
      <c r="J2" s="28" t="s">
        <v>3566</v>
      </c>
      <c r="K2" s="28" t="s">
        <v>3567</v>
      </c>
      <c r="L2" s="28" t="s">
        <v>3568</v>
      </c>
      <c r="M2" s="28" t="s">
        <v>3569</v>
      </c>
      <c r="N2" s="28" t="s">
        <v>3570</v>
      </c>
    </row>
    <row r="3" spans="1:14">
      <c r="A3" t="s">
        <v>24</v>
      </c>
      <c r="B3" t="s">
        <v>52</v>
      </c>
      <c r="C3">
        <v>2113</v>
      </c>
      <c r="D3">
        <v>32</v>
      </c>
      <c r="E3" t="s">
        <v>960</v>
      </c>
      <c r="F3" s="35" t="s">
        <v>969</v>
      </c>
      <c r="G3" s="28" t="s">
        <v>1498</v>
      </c>
      <c r="H3" s="28" t="s">
        <v>1497</v>
      </c>
      <c r="I3" s="28" t="s">
        <v>3571</v>
      </c>
      <c r="J3" s="28" t="s">
        <v>3566</v>
      </c>
      <c r="K3" s="28" t="s">
        <v>3572</v>
      </c>
      <c r="L3" s="28" t="s">
        <v>3568</v>
      </c>
      <c r="M3" s="28" t="s">
        <v>3573</v>
      </c>
      <c r="N3" s="28" t="s">
        <v>3570</v>
      </c>
    </row>
    <row r="4" spans="1:14">
      <c r="A4" t="s">
        <v>24</v>
      </c>
      <c r="B4" t="s">
        <v>52</v>
      </c>
      <c r="C4">
        <v>2114</v>
      </c>
      <c r="D4">
        <v>182</v>
      </c>
      <c r="E4" t="s">
        <v>960</v>
      </c>
      <c r="F4" s="35" t="s">
        <v>970</v>
      </c>
      <c r="G4" s="28" t="s">
        <v>1499</v>
      </c>
      <c r="H4" s="28" t="s">
        <v>1500</v>
      </c>
      <c r="I4" s="28" t="s">
        <v>3574</v>
      </c>
      <c r="J4" s="28" t="s">
        <v>3575</v>
      </c>
      <c r="K4" s="28" t="s">
        <v>3576</v>
      </c>
      <c r="L4" s="28" t="s">
        <v>3577</v>
      </c>
      <c r="M4" s="28" t="s">
        <v>3578</v>
      </c>
      <c r="N4" s="28" t="s">
        <v>3579</v>
      </c>
    </row>
    <row r="5" spans="1:14">
      <c r="A5" t="s">
        <v>24</v>
      </c>
      <c r="B5" t="s">
        <v>52</v>
      </c>
      <c r="C5">
        <v>2116</v>
      </c>
      <c r="D5">
        <v>140</v>
      </c>
      <c r="E5" t="s">
        <v>960</v>
      </c>
      <c r="F5" s="35" t="s">
        <v>970</v>
      </c>
      <c r="G5" s="28" t="s">
        <v>1501</v>
      </c>
      <c r="H5" s="28" t="s">
        <v>1500</v>
      </c>
      <c r="I5" s="28" t="s">
        <v>3580</v>
      </c>
      <c r="J5" s="28" t="s">
        <v>3575</v>
      </c>
      <c r="K5" s="28" t="s">
        <v>3581</v>
      </c>
      <c r="L5" s="28" t="s">
        <v>3577</v>
      </c>
      <c r="M5" s="28" t="s">
        <v>3582</v>
      </c>
      <c r="N5" s="28" t="s">
        <v>3579</v>
      </c>
    </row>
    <row r="6" spans="1:14">
      <c r="A6" t="s">
        <v>24</v>
      </c>
      <c r="B6" t="s">
        <v>52</v>
      </c>
      <c r="C6">
        <v>2118</v>
      </c>
      <c r="D6">
        <v>350</v>
      </c>
      <c r="E6" t="s">
        <v>960</v>
      </c>
      <c r="F6" s="35" t="s">
        <v>971</v>
      </c>
      <c r="G6" s="28" t="s">
        <v>1502</v>
      </c>
      <c r="H6" s="28" t="s">
        <v>1503</v>
      </c>
      <c r="I6" s="28" t="s">
        <v>3583</v>
      </c>
      <c r="J6" s="28" t="s">
        <v>3584</v>
      </c>
      <c r="K6" s="28" t="s">
        <v>3585</v>
      </c>
      <c r="L6" s="28" t="s">
        <v>3586</v>
      </c>
      <c r="M6" s="28" t="s">
        <v>3587</v>
      </c>
      <c r="N6" s="28" t="s">
        <v>3588</v>
      </c>
    </row>
    <row r="7" spans="1:14">
      <c r="A7" t="s">
        <v>24</v>
      </c>
      <c r="B7" t="s">
        <v>52</v>
      </c>
      <c r="C7">
        <v>2120</v>
      </c>
      <c r="D7">
        <v>380</v>
      </c>
      <c r="E7" t="s">
        <v>960</v>
      </c>
      <c r="F7" s="35" t="s">
        <v>971</v>
      </c>
      <c r="G7" s="28" t="s">
        <v>1504</v>
      </c>
      <c r="H7" s="28" t="s">
        <v>1503</v>
      </c>
      <c r="I7" s="28" t="s">
        <v>3589</v>
      </c>
      <c r="J7" s="28" t="s">
        <v>3584</v>
      </c>
      <c r="K7" s="28" t="s">
        <v>3590</v>
      </c>
      <c r="L7" s="28" t="s">
        <v>3586</v>
      </c>
      <c r="M7" s="28" t="s">
        <v>3591</v>
      </c>
      <c r="N7" s="28" t="s">
        <v>3588</v>
      </c>
    </row>
    <row r="8" spans="1:14">
      <c r="A8" t="s">
        <v>24</v>
      </c>
      <c r="B8" t="s">
        <v>52</v>
      </c>
      <c r="C8">
        <v>2123</v>
      </c>
      <c r="D8">
        <v>345</v>
      </c>
      <c r="E8" t="s">
        <v>960</v>
      </c>
      <c r="F8" s="35" t="s">
        <v>972</v>
      </c>
      <c r="G8" s="28" t="s">
        <v>1505</v>
      </c>
      <c r="H8" s="28" t="s">
        <v>1506</v>
      </c>
      <c r="I8" s="28" t="s">
        <v>3592</v>
      </c>
      <c r="J8" s="28" t="s">
        <v>3593</v>
      </c>
      <c r="K8" s="28" t="s">
        <v>3594</v>
      </c>
      <c r="L8" s="28" t="s">
        <v>3595</v>
      </c>
      <c r="M8" s="28" t="s">
        <v>3596</v>
      </c>
      <c r="N8" s="28" t="s">
        <v>3597</v>
      </c>
    </row>
    <row r="9" spans="1:14">
      <c r="A9" t="s">
        <v>24</v>
      </c>
      <c r="B9" t="s">
        <v>52</v>
      </c>
      <c r="C9">
        <v>2127</v>
      </c>
      <c r="D9">
        <v>555</v>
      </c>
      <c r="E9" t="s">
        <v>960</v>
      </c>
      <c r="F9" s="35" t="s">
        <v>973</v>
      </c>
      <c r="G9" s="28" t="s">
        <v>1507</v>
      </c>
      <c r="H9" s="28" t="s">
        <v>1508</v>
      </c>
      <c r="I9" s="28" t="s">
        <v>3598</v>
      </c>
      <c r="J9" s="28" t="s">
        <v>3599</v>
      </c>
      <c r="K9" s="28" t="s">
        <v>3600</v>
      </c>
      <c r="L9" s="28" t="s">
        <v>3601</v>
      </c>
      <c r="M9" s="28" t="s">
        <v>3602</v>
      </c>
      <c r="N9" s="28" t="s">
        <v>3603</v>
      </c>
    </row>
    <row r="10" spans="1:14">
      <c r="A10" t="s">
        <v>24</v>
      </c>
      <c r="B10" t="s">
        <v>52</v>
      </c>
      <c r="C10">
        <v>2128</v>
      </c>
      <c r="D10">
        <v>108</v>
      </c>
      <c r="E10" t="s">
        <v>960</v>
      </c>
      <c r="F10" s="35" t="s">
        <v>973</v>
      </c>
      <c r="G10" s="28" t="s">
        <v>1509</v>
      </c>
      <c r="H10" s="28" t="s">
        <v>1508</v>
      </c>
      <c r="I10" s="28" t="s">
        <v>3604</v>
      </c>
      <c r="J10" s="28" t="s">
        <v>3599</v>
      </c>
      <c r="K10" s="28" t="s">
        <v>3605</v>
      </c>
      <c r="L10" s="28" t="s">
        <v>3601</v>
      </c>
      <c r="M10" s="28" t="s">
        <v>3606</v>
      </c>
      <c r="N10" s="28" t="s">
        <v>3603</v>
      </c>
    </row>
    <row r="11" spans="1:14">
      <c r="A11" t="s">
        <v>24</v>
      </c>
      <c r="B11" t="s">
        <v>52</v>
      </c>
      <c r="C11">
        <v>2129</v>
      </c>
      <c r="D11">
        <v>234</v>
      </c>
      <c r="E11" t="s">
        <v>960</v>
      </c>
      <c r="F11" s="35" t="s">
        <v>973</v>
      </c>
      <c r="G11" s="28" t="s">
        <v>1510</v>
      </c>
      <c r="H11" s="28" t="s">
        <v>1508</v>
      </c>
      <c r="I11" s="28" t="s">
        <v>3607</v>
      </c>
      <c r="J11" s="28" t="s">
        <v>3599</v>
      </c>
      <c r="K11" s="28" t="s">
        <v>3608</v>
      </c>
      <c r="L11" s="28" t="s">
        <v>3601</v>
      </c>
      <c r="M11" s="28" t="s">
        <v>3609</v>
      </c>
      <c r="N11" s="28" t="s">
        <v>3603</v>
      </c>
    </row>
    <row r="12" spans="1:14">
      <c r="A12" t="s">
        <v>24</v>
      </c>
      <c r="B12" t="s">
        <v>52</v>
      </c>
      <c r="C12">
        <v>2130</v>
      </c>
      <c r="D12">
        <v>143</v>
      </c>
      <c r="E12" t="s">
        <v>960</v>
      </c>
      <c r="F12" s="35" t="s">
        <v>973</v>
      </c>
      <c r="G12" s="28" t="s">
        <v>1511</v>
      </c>
      <c r="H12" s="28" t="s">
        <v>1508</v>
      </c>
      <c r="I12" s="28" t="s">
        <v>3610</v>
      </c>
      <c r="J12" s="28" t="s">
        <v>3599</v>
      </c>
      <c r="K12" s="28" t="s">
        <v>3611</v>
      </c>
      <c r="L12" s="28" t="s">
        <v>3601</v>
      </c>
      <c r="M12" s="28" t="s">
        <v>3612</v>
      </c>
      <c r="N12" s="28" t="s">
        <v>3603</v>
      </c>
    </row>
    <row r="13" spans="1:14">
      <c r="A13" t="s">
        <v>24</v>
      </c>
      <c r="B13" t="s">
        <v>52</v>
      </c>
      <c r="C13">
        <v>2133</v>
      </c>
      <c r="D13">
        <v>679</v>
      </c>
      <c r="E13" t="s">
        <v>960</v>
      </c>
      <c r="F13" s="35" t="s">
        <v>974</v>
      </c>
      <c r="G13" s="28" t="s">
        <v>1512</v>
      </c>
      <c r="H13" s="28" t="s">
        <v>1513</v>
      </c>
      <c r="I13" s="28" t="s">
        <v>3613</v>
      </c>
      <c r="J13" s="28" t="s">
        <v>3614</v>
      </c>
      <c r="K13" s="28" t="s">
        <v>3615</v>
      </c>
      <c r="L13" s="28" t="s">
        <v>3616</v>
      </c>
      <c r="M13" s="28" t="s">
        <v>3617</v>
      </c>
      <c r="N13" s="28" t="s">
        <v>3618</v>
      </c>
    </row>
    <row r="14" spans="1:14">
      <c r="A14" t="s">
        <v>24</v>
      </c>
      <c r="B14" t="s">
        <v>53</v>
      </c>
      <c r="C14">
        <v>2116</v>
      </c>
      <c r="D14">
        <v>40</v>
      </c>
      <c r="E14" t="s">
        <v>960</v>
      </c>
      <c r="F14" s="35" t="s">
        <v>970</v>
      </c>
      <c r="G14" s="28" t="s">
        <v>1501</v>
      </c>
      <c r="H14" s="28" t="s">
        <v>1500</v>
      </c>
      <c r="I14" s="28" t="s">
        <v>3580</v>
      </c>
      <c r="J14" s="28" t="s">
        <v>3575</v>
      </c>
      <c r="K14" s="28" t="s">
        <v>3619</v>
      </c>
      <c r="L14" s="28" t="s">
        <v>3620</v>
      </c>
      <c r="M14" s="28" t="s">
        <v>3621</v>
      </c>
      <c r="N14" s="28" t="s">
        <v>3622</v>
      </c>
    </row>
    <row r="15" spans="1:14">
      <c r="A15" t="s">
        <v>24</v>
      </c>
      <c r="B15" t="s">
        <v>53</v>
      </c>
      <c r="C15">
        <v>2126</v>
      </c>
      <c r="D15">
        <v>217</v>
      </c>
      <c r="E15" t="s">
        <v>960</v>
      </c>
      <c r="F15" s="35" t="s">
        <v>972</v>
      </c>
      <c r="G15" s="28" t="s">
        <v>1514</v>
      </c>
      <c r="H15" s="28" t="s">
        <v>1506</v>
      </c>
      <c r="I15" s="28" t="s">
        <v>3623</v>
      </c>
      <c r="J15" s="28" t="s">
        <v>3593</v>
      </c>
      <c r="K15" s="28" t="s">
        <v>3624</v>
      </c>
      <c r="L15" s="28" t="s">
        <v>3625</v>
      </c>
      <c r="M15" s="28" t="s">
        <v>3626</v>
      </c>
      <c r="N15" s="28" t="s">
        <v>3627</v>
      </c>
    </row>
    <row r="16" spans="1:14">
      <c r="A16" t="s">
        <v>24</v>
      </c>
      <c r="B16" t="s">
        <v>53</v>
      </c>
      <c r="C16">
        <v>2127</v>
      </c>
      <c r="D16">
        <v>32</v>
      </c>
      <c r="E16" t="s">
        <v>960</v>
      </c>
      <c r="F16" s="35" t="s">
        <v>973</v>
      </c>
      <c r="G16" s="28" t="s">
        <v>1507</v>
      </c>
      <c r="H16" s="28" t="s">
        <v>1508</v>
      </c>
      <c r="I16" s="28" t="s">
        <v>3598</v>
      </c>
      <c r="J16" s="28" t="s">
        <v>3599</v>
      </c>
      <c r="K16" s="28" t="s">
        <v>3628</v>
      </c>
      <c r="L16" s="28" t="s">
        <v>3629</v>
      </c>
      <c r="M16" s="28" t="s">
        <v>3630</v>
      </c>
      <c r="N16" s="28" t="s">
        <v>3631</v>
      </c>
    </row>
    <row r="17" spans="1:14">
      <c r="A17" t="s">
        <v>25</v>
      </c>
      <c r="B17" t="s">
        <v>69</v>
      </c>
      <c r="C17">
        <v>2129</v>
      </c>
      <c r="D17">
        <v>3</v>
      </c>
      <c r="E17" t="s">
        <v>960</v>
      </c>
      <c r="F17" s="35" t="s">
        <v>973</v>
      </c>
      <c r="G17" s="28" t="s">
        <v>1510</v>
      </c>
      <c r="H17" s="28" t="s">
        <v>1508</v>
      </c>
      <c r="I17" s="28" t="s">
        <v>3632</v>
      </c>
      <c r="J17" s="28" t="s">
        <v>3633</v>
      </c>
      <c r="K17" s="28" t="s">
        <v>3634</v>
      </c>
      <c r="L17" s="28" t="s">
        <v>3635</v>
      </c>
      <c r="M17" s="28" t="s">
        <v>3636</v>
      </c>
      <c r="N17" s="28" t="s">
        <v>3637</v>
      </c>
    </row>
    <row r="18" spans="1:14">
      <c r="A18" t="s">
        <v>25</v>
      </c>
      <c r="B18" t="s">
        <v>69</v>
      </c>
      <c r="C18">
        <v>2131</v>
      </c>
      <c r="D18">
        <v>802</v>
      </c>
      <c r="E18" t="s">
        <v>960</v>
      </c>
      <c r="F18" s="35" t="s">
        <v>974</v>
      </c>
      <c r="G18" s="28" t="s">
        <v>1515</v>
      </c>
      <c r="H18" s="28" t="s">
        <v>1513</v>
      </c>
      <c r="I18" s="28" t="s">
        <v>3638</v>
      </c>
      <c r="J18" s="28" t="s">
        <v>3639</v>
      </c>
      <c r="K18" s="28" t="s">
        <v>3640</v>
      </c>
      <c r="L18" s="28" t="s">
        <v>3641</v>
      </c>
      <c r="M18" s="28" t="s">
        <v>3642</v>
      </c>
      <c r="N18" s="28" t="s">
        <v>3643</v>
      </c>
    </row>
    <row r="19" spans="1:14">
      <c r="A19" t="s">
        <v>25</v>
      </c>
      <c r="B19" t="s">
        <v>69</v>
      </c>
      <c r="C19">
        <v>2132</v>
      </c>
      <c r="D19">
        <v>1778</v>
      </c>
      <c r="E19" t="s">
        <v>960</v>
      </c>
      <c r="F19" s="35" t="s">
        <v>974</v>
      </c>
      <c r="G19" s="28" t="s">
        <v>1516</v>
      </c>
      <c r="H19" s="28" t="s">
        <v>1513</v>
      </c>
      <c r="I19" s="28" t="s">
        <v>3644</v>
      </c>
      <c r="J19" s="28" t="s">
        <v>3639</v>
      </c>
      <c r="K19" s="28" t="s">
        <v>3645</v>
      </c>
      <c r="L19" s="28" t="s">
        <v>3641</v>
      </c>
      <c r="M19" s="28" t="s">
        <v>3646</v>
      </c>
      <c r="N19" s="28" t="s">
        <v>3643</v>
      </c>
    </row>
    <row r="20" spans="1:14">
      <c r="A20" t="s">
        <v>25</v>
      </c>
      <c r="B20" t="s">
        <v>69</v>
      </c>
      <c r="C20">
        <v>2133</v>
      </c>
      <c r="D20">
        <v>119</v>
      </c>
      <c r="E20" t="s">
        <v>960</v>
      </c>
      <c r="F20" s="35" t="s">
        <v>974</v>
      </c>
      <c r="G20" s="28" t="s">
        <v>1512</v>
      </c>
      <c r="H20" s="28" t="s">
        <v>1513</v>
      </c>
      <c r="I20" s="28" t="s">
        <v>3647</v>
      </c>
      <c r="J20" s="28" t="s">
        <v>3639</v>
      </c>
      <c r="K20" s="28" t="s">
        <v>3648</v>
      </c>
      <c r="L20" s="28" t="s">
        <v>3641</v>
      </c>
      <c r="M20" s="28" t="s">
        <v>3649</v>
      </c>
      <c r="N20" s="28" t="s">
        <v>3643</v>
      </c>
    </row>
    <row r="21" spans="1:14">
      <c r="A21" t="s">
        <v>25</v>
      </c>
      <c r="B21" t="s">
        <v>67</v>
      </c>
      <c r="C21">
        <v>2119</v>
      </c>
      <c r="D21">
        <v>40</v>
      </c>
      <c r="E21" t="s">
        <v>960</v>
      </c>
      <c r="F21" s="35" t="s">
        <v>971</v>
      </c>
      <c r="G21" s="28" t="s">
        <v>1517</v>
      </c>
      <c r="H21" s="28" t="s">
        <v>1503</v>
      </c>
      <c r="I21" s="28" t="s">
        <v>3650</v>
      </c>
      <c r="J21" s="28" t="s">
        <v>3651</v>
      </c>
      <c r="K21" s="28" t="s">
        <v>3652</v>
      </c>
      <c r="L21" s="28" t="s">
        <v>3653</v>
      </c>
      <c r="M21" s="28" t="s">
        <v>3654</v>
      </c>
      <c r="N21" s="28" t="s">
        <v>3655</v>
      </c>
    </row>
    <row r="22" spans="1:14">
      <c r="A22" t="s">
        <v>25</v>
      </c>
      <c r="B22" t="s">
        <v>67</v>
      </c>
      <c r="C22">
        <v>2121</v>
      </c>
      <c r="D22">
        <v>330</v>
      </c>
      <c r="E22" t="s">
        <v>960</v>
      </c>
      <c r="F22" s="35" t="s">
        <v>971</v>
      </c>
      <c r="G22" s="28" t="s">
        <v>1518</v>
      </c>
      <c r="H22" s="28" t="s">
        <v>1503</v>
      </c>
      <c r="I22" s="28" t="s">
        <v>3656</v>
      </c>
      <c r="J22" s="28" t="s">
        <v>3651</v>
      </c>
      <c r="K22" s="28" t="s">
        <v>3657</v>
      </c>
      <c r="L22" s="28" t="s">
        <v>3653</v>
      </c>
      <c r="M22" s="28" t="s">
        <v>3658</v>
      </c>
      <c r="N22" s="28" t="s">
        <v>3655</v>
      </c>
    </row>
    <row r="23" spans="1:14">
      <c r="A23" t="s">
        <v>25</v>
      </c>
      <c r="B23" t="s">
        <v>67</v>
      </c>
      <c r="C23">
        <v>2122</v>
      </c>
      <c r="D23">
        <v>370</v>
      </c>
      <c r="E23" t="s">
        <v>960</v>
      </c>
      <c r="F23" s="35" t="s">
        <v>971</v>
      </c>
      <c r="G23" s="28" t="s">
        <v>1519</v>
      </c>
      <c r="H23" s="28" t="s">
        <v>1503</v>
      </c>
      <c r="I23" s="28" t="s">
        <v>3659</v>
      </c>
      <c r="J23" s="28" t="s">
        <v>3651</v>
      </c>
      <c r="K23" s="28" t="s">
        <v>3660</v>
      </c>
      <c r="L23" s="28" t="s">
        <v>3653</v>
      </c>
      <c r="M23" s="28" t="s">
        <v>3661</v>
      </c>
      <c r="N23" s="28" t="s">
        <v>3655</v>
      </c>
    </row>
    <row r="24" spans="1:14">
      <c r="A24" t="s">
        <v>25</v>
      </c>
      <c r="B24" t="s">
        <v>67</v>
      </c>
      <c r="C24">
        <v>2123</v>
      </c>
      <c r="D24">
        <v>261</v>
      </c>
      <c r="E24" t="s">
        <v>960</v>
      </c>
      <c r="F24" s="35" t="s">
        <v>972</v>
      </c>
      <c r="G24" s="28" t="s">
        <v>1505</v>
      </c>
      <c r="H24" s="28" t="s">
        <v>1506</v>
      </c>
      <c r="I24" s="28" t="s">
        <v>3662</v>
      </c>
      <c r="J24" s="28" t="s">
        <v>3663</v>
      </c>
      <c r="K24" s="28" t="s">
        <v>3664</v>
      </c>
      <c r="L24" s="28" t="s">
        <v>3665</v>
      </c>
      <c r="M24" s="28" t="s">
        <v>3666</v>
      </c>
      <c r="N24" s="28" t="s">
        <v>3667</v>
      </c>
    </row>
    <row r="25" spans="1:14">
      <c r="A25" t="s">
        <v>25</v>
      </c>
      <c r="B25" t="s">
        <v>67</v>
      </c>
      <c r="C25">
        <v>2128</v>
      </c>
      <c r="D25">
        <v>1005</v>
      </c>
      <c r="E25" t="s">
        <v>960</v>
      </c>
      <c r="F25" s="35" t="s">
        <v>973</v>
      </c>
      <c r="G25" s="28" t="s">
        <v>1509</v>
      </c>
      <c r="H25" s="28" t="s">
        <v>1508</v>
      </c>
      <c r="I25" s="28" t="s">
        <v>3668</v>
      </c>
      <c r="J25" s="28" t="s">
        <v>3633</v>
      </c>
      <c r="K25" s="28" t="s">
        <v>3669</v>
      </c>
      <c r="L25" s="28" t="s">
        <v>3670</v>
      </c>
      <c r="M25" s="28" t="s">
        <v>3671</v>
      </c>
      <c r="N25" s="28" t="s">
        <v>3672</v>
      </c>
    </row>
    <row r="26" spans="1:14">
      <c r="A26" t="s">
        <v>25</v>
      </c>
      <c r="B26" t="s">
        <v>67</v>
      </c>
      <c r="C26">
        <v>2130</v>
      </c>
      <c r="D26">
        <v>735</v>
      </c>
      <c r="E26" t="s">
        <v>960</v>
      </c>
      <c r="F26" s="35" t="s">
        <v>973</v>
      </c>
      <c r="G26" s="28" t="s">
        <v>1511</v>
      </c>
      <c r="H26" s="28" t="s">
        <v>1508</v>
      </c>
      <c r="I26" s="28" t="s">
        <v>3673</v>
      </c>
      <c r="J26" s="28" t="s">
        <v>3633</v>
      </c>
      <c r="K26" s="28" t="s">
        <v>3674</v>
      </c>
      <c r="L26" s="28" t="s">
        <v>3670</v>
      </c>
      <c r="M26" s="28" t="s">
        <v>3675</v>
      </c>
      <c r="N26" s="28" t="s">
        <v>3672</v>
      </c>
    </row>
    <row r="27" spans="1:14">
      <c r="A27" t="s">
        <v>25</v>
      </c>
      <c r="B27" t="s">
        <v>67</v>
      </c>
      <c r="C27">
        <v>2133</v>
      </c>
      <c r="D27">
        <v>135</v>
      </c>
      <c r="E27" t="s">
        <v>960</v>
      </c>
      <c r="F27" s="35" t="s">
        <v>974</v>
      </c>
      <c r="G27" s="28" t="s">
        <v>1512</v>
      </c>
      <c r="H27" s="28" t="s">
        <v>1513</v>
      </c>
      <c r="I27" s="28" t="s">
        <v>3647</v>
      </c>
      <c r="J27" s="28" t="s">
        <v>3639</v>
      </c>
      <c r="K27" s="28" t="s">
        <v>3676</v>
      </c>
      <c r="L27" s="28" t="s">
        <v>3677</v>
      </c>
      <c r="M27" s="28" t="s">
        <v>3678</v>
      </c>
      <c r="N27" s="28" t="s">
        <v>3679</v>
      </c>
    </row>
    <row r="28" spans="1:14">
      <c r="A28" t="s">
        <v>25</v>
      </c>
      <c r="B28" t="s">
        <v>69</v>
      </c>
      <c r="C28">
        <v>2134</v>
      </c>
      <c r="D28">
        <v>1251</v>
      </c>
      <c r="E28" t="s">
        <v>960</v>
      </c>
      <c r="F28" s="35" t="s">
        <v>974</v>
      </c>
      <c r="G28" s="28" t="s">
        <v>6016</v>
      </c>
      <c r="H28" s="28" t="s">
        <v>1513</v>
      </c>
      <c r="I28" s="28" t="s">
        <v>6204</v>
      </c>
      <c r="J28" s="28" t="s">
        <v>3639</v>
      </c>
      <c r="K28" s="28" t="s">
        <v>6205</v>
      </c>
      <c r="L28" s="28" t="s">
        <v>3641</v>
      </c>
      <c r="M28" s="28" t="s">
        <v>6034</v>
      </c>
      <c r="N28" s="28" t="s">
        <v>3643</v>
      </c>
    </row>
    <row r="29" spans="1:14">
      <c r="A29" t="s">
        <v>25</v>
      </c>
      <c r="B29" t="s">
        <v>67</v>
      </c>
      <c r="C29">
        <v>2134</v>
      </c>
      <c r="D29">
        <v>396</v>
      </c>
      <c r="E29" t="s">
        <v>960</v>
      </c>
      <c r="F29" s="35" t="s">
        <v>974</v>
      </c>
      <c r="G29" s="28" t="s">
        <v>6016</v>
      </c>
      <c r="H29" s="28" t="s">
        <v>1513</v>
      </c>
      <c r="I29" s="28" t="s">
        <v>6204</v>
      </c>
      <c r="J29" s="28" t="s">
        <v>3639</v>
      </c>
      <c r="K29" s="28" t="s">
        <v>6206</v>
      </c>
      <c r="L29" s="28" t="s">
        <v>3677</v>
      </c>
      <c r="M29" s="28" t="s">
        <v>6019</v>
      </c>
      <c r="N29" s="28" t="s">
        <v>3679</v>
      </c>
    </row>
    <row r="30" spans="1:14">
      <c r="A30" t="s">
        <v>25</v>
      </c>
      <c r="B30" t="s">
        <v>54</v>
      </c>
      <c r="C30">
        <v>2115</v>
      </c>
      <c r="D30">
        <v>45</v>
      </c>
      <c r="E30" t="s">
        <v>960</v>
      </c>
      <c r="F30" s="35" t="s">
        <v>970</v>
      </c>
      <c r="G30" s="28" t="s">
        <v>1520</v>
      </c>
      <c r="H30" s="28" t="s">
        <v>1500</v>
      </c>
      <c r="I30" s="28" t="s">
        <v>3680</v>
      </c>
      <c r="J30" s="28" t="s">
        <v>3681</v>
      </c>
      <c r="K30" s="28" t="s">
        <v>3682</v>
      </c>
      <c r="L30" s="28" t="s">
        <v>3683</v>
      </c>
      <c r="M30" s="28" t="s">
        <v>3684</v>
      </c>
      <c r="N30" s="28" t="s">
        <v>3685</v>
      </c>
    </row>
    <row r="31" spans="1:14">
      <c r="A31" t="s">
        <v>25</v>
      </c>
      <c r="B31" t="s">
        <v>54</v>
      </c>
      <c r="C31">
        <v>2122</v>
      </c>
      <c r="D31">
        <v>274</v>
      </c>
      <c r="E31" t="s">
        <v>960</v>
      </c>
      <c r="F31" s="35" t="s">
        <v>971</v>
      </c>
      <c r="G31" s="28" t="s">
        <v>1519</v>
      </c>
      <c r="H31" s="28" t="s">
        <v>1503</v>
      </c>
      <c r="I31" s="28" t="s">
        <v>3659</v>
      </c>
      <c r="J31" s="28" t="s">
        <v>3651</v>
      </c>
      <c r="K31" s="28" t="s">
        <v>3686</v>
      </c>
      <c r="L31" s="28" t="s">
        <v>3687</v>
      </c>
      <c r="M31" s="28" t="s">
        <v>3688</v>
      </c>
      <c r="N31" s="28" t="s">
        <v>3689</v>
      </c>
    </row>
    <row r="32" spans="1:14">
      <c r="A32" t="s">
        <v>25</v>
      </c>
      <c r="B32" t="s">
        <v>54</v>
      </c>
      <c r="C32">
        <v>2129</v>
      </c>
      <c r="D32">
        <v>246</v>
      </c>
      <c r="E32" t="s">
        <v>960</v>
      </c>
      <c r="F32" s="35" t="s">
        <v>973</v>
      </c>
      <c r="G32" s="28" t="s">
        <v>1510</v>
      </c>
      <c r="H32" s="28" t="s">
        <v>1508</v>
      </c>
      <c r="I32" s="28" t="s">
        <v>3632</v>
      </c>
      <c r="J32" s="28" t="s">
        <v>3633</v>
      </c>
      <c r="K32" s="28" t="s">
        <v>3690</v>
      </c>
      <c r="L32" s="28" t="s">
        <v>3691</v>
      </c>
      <c r="M32" s="28" t="s">
        <v>3692</v>
      </c>
      <c r="N32" s="28" t="s">
        <v>3693</v>
      </c>
    </row>
    <row r="33" spans="1:14">
      <c r="A33" t="s">
        <v>25</v>
      </c>
      <c r="B33" t="s">
        <v>54</v>
      </c>
      <c r="C33">
        <v>2130</v>
      </c>
      <c r="D33">
        <v>257</v>
      </c>
      <c r="E33" t="s">
        <v>960</v>
      </c>
      <c r="F33" s="35" t="s">
        <v>973</v>
      </c>
      <c r="G33" s="28" t="s">
        <v>1511</v>
      </c>
      <c r="H33" s="28" t="s">
        <v>1508</v>
      </c>
      <c r="I33" s="28" t="s">
        <v>3673</v>
      </c>
      <c r="J33" s="28" t="s">
        <v>3633</v>
      </c>
      <c r="K33" s="28" t="s">
        <v>3694</v>
      </c>
      <c r="L33" s="28" t="s">
        <v>3691</v>
      </c>
      <c r="M33" s="28" t="s">
        <v>3695</v>
      </c>
      <c r="N33" s="28" t="s">
        <v>3693</v>
      </c>
    </row>
    <row r="34" spans="1:14">
      <c r="A34" t="s">
        <v>25</v>
      </c>
      <c r="B34" t="s">
        <v>54</v>
      </c>
      <c r="C34">
        <v>2133</v>
      </c>
      <c r="D34">
        <v>109</v>
      </c>
      <c r="E34" t="s">
        <v>960</v>
      </c>
      <c r="F34" s="35" t="s">
        <v>974</v>
      </c>
      <c r="G34" s="28" t="s">
        <v>1512</v>
      </c>
      <c r="H34" s="28" t="s">
        <v>1513</v>
      </c>
      <c r="I34" s="28" t="s">
        <v>3647</v>
      </c>
      <c r="J34" s="28" t="s">
        <v>3639</v>
      </c>
      <c r="K34" s="28" t="s">
        <v>3696</v>
      </c>
      <c r="L34" s="28" t="s">
        <v>3697</v>
      </c>
      <c r="M34" s="28" t="s">
        <v>3698</v>
      </c>
      <c r="N34" s="28" t="s">
        <v>3699</v>
      </c>
    </row>
    <row r="35" spans="1:14">
      <c r="A35" t="s">
        <v>25</v>
      </c>
      <c r="B35" t="s">
        <v>55</v>
      </c>
      <c r="C35">
        <v>2115</v>
      </c>
      <c r="D35">
        <v>39</v>
      </c>
      <c r="E35" t="s">
        <v>960</v>
      </c>
      <c r="F35" s="35" t="s">
        <v>970</v>
      </c>
      <c r="G35" s="28" t="s">
        <v>1520</v>
      </c>
      <c r="H35" s="28" t="s">
        <v>1500</v>
      </c>
      <c r="I35" s="28" t="s">
        <v>3680</v>
      </c>
      <c r="J35" s="28" t="s">
        <v>3681</v>
      </c>
      <c r="K35" s="28" t="s">
        <v>3700</v>
      </c>
      <c r="L35" s="28" t="s">
        <v>3701</v>
      </c>
      <c r="M35" s="28" t="s">
        <v>3702</v>
      </c>
      <c r="N35" s="28" t="s">
        <v>3703</v>
      </c>
    </row>
    <row r="36" spans="1:14">
      <c r="A36" t="s">
        <v>25</v>
      </c>
      <c r="B36" t="s">
        <v>55</v>
      </c>
      <c r="C36">
        <v>2130</v>
      </c>
      <c r="D36">
        <v>72</v>
      </c>
      <c r="E36" t="s">
        <v>960</v>
      </c>
      <c r="F36" s="35" t="s">
        <v>973</v>
      </c>
      <c r="G36" s="28" t="s">
        <v>1511</v>
      </c>
      <c r="H36" s="28" t="s">
        <v>1508</v>
      </c>
      <c r="I36" s="28" t="s">
        <v>3673</v>
      </c>
      <c r="J36" s="28" t="s">
        <v>3633</v>
      </c>
      <c r="K36" s="28" t="s">
        <v>3704</v>
      </c>
      <c r="L36" s="28" t="s">
        <v>3705</v>
      </c>
      <c r="M36" s="28" t="s">
        <v>3706</v>
      </c>
      <c r="N36" s="28" t="s">
        <v>3707</v>
      </c>
    </row>
    <row r="37" spans="1:14">
      <c r="A37" t="s">
        <v>25</v>
      </c>
      <c r="B37" t="s">
        <v>55</v>
      </c>
      <c r="C37">
        <v>2131</v>
      </c>
      <c r="D37">
        <v>246</v>
      </c>
      <c r="E37" t="s">
        <v>960</v>
      </c>
      <c r="F37" s="35" t="s">
        <v>974</v>
      </c>
      <c r="G37" s="28" t="s">
        <v>1515</v>
      </c>
      <c r="H37" s="28" t="s">
        <v>1513</v>
      </c>
      <c r="I37" s="28" t="s">
        <v>3638</v>
      </c>
      <c r="J37" s="28" t="s">
        <v>3639</v>
      </c>
      <c r="K37" s="28" t="s">
        <v>3708</v>
      </c>
      <c r="L37" s="28" t="s">
        <v>3709</v>
      </c>
      <c r="M37" s="28" t="s">
        <v>3710</v>
      </c>
      <c r="N37" s="28" t="s">
        <v>3711</v>
      </c>
    </row>
    <row r="38" spans="1:14">
      <c r="A38" t="s">
        <v>25</v>
      </c>
      <c r="B38" t="s">
        <v>55</v>
      </c>
      <c r="C38">
        <v>2132</v>
      </c>
      <c r="D38">
        <v>124</v>
      </c>
      <c r="E38" t="s">
        <v>960</v>
      </c>
      <c r="F38" s="35" t="s">
        <v>974</v>
      </c>
      <c r="G38" s="28" t="s">
        <v>1516</v>
      </c>
      <c r="H38" s="28" t="s">
        <v>1513</v>
      </c>
      <c r="I38" s="28" t="s">
        <v>3644</v>
      </c>
      <c r="J38" s="28" t="s">
        <v>3639</v>
      </c>
      <c r="K38" s="28" t="s">
        <v>3712</v>
      </c>
      <c r="L38" s="28" t="s">
        <v>3709</v>
      </c>
      <c r="M38" s="28" t="s">
        <v>3713</v>
      </c>
      <c r="N38" s="28" t="s">
        <v>3711</v>
      </c>
    </row>
    <row r="39" spans="1:14">
      <c r="A39" t="s">
        <v>25</v>
      </c>
      <c r="B39" t="s">
        <v>55</v>
      </c>
      <c r="C39">
        <v>2133</v>
      </c>
      <c r="D39">
        <v>129</v>
      </c>
      <c r="E39" t="s">
        <v>960</v>
      </c>
      <c r="F39" s="35" t="s">
        <v>974</v>
      </c>
      <c r="G39" s="28" t="s">
        <v>1512</v>
      </c>
      <c r="H39" s="28" t="s">
        <v>1513</v>
      </c>
      <c r="I39" s="28" t="s">
        <v>3647</v>
      </c>
      <c r="J39" s="28" t="s">
        <v>3639</v>
      </c>
      <c r="K39" s="28" t="s">
        <v>3714</v>
      </c>
      <c r="L39" s="28" t="s">
        <v>3709</v>
      </c>
      <c r="M39" s="28" t="s">
        <v>3715</v>
      </c>
      <c r="N39" s="28" t="s">
        <v>3711</v>
      </c>
    </row>
    <row r="40" spans="1:14">
      <c r="A40" t="s">
        <v>25</v>
      </c>
      <c r="B40" t="s">
        <v>56</v>
      </c>
      <c r="C40">
        <v>2119</v>
      </c>
      <c r="D40">
        <v>45</v>
      </c>
      <c r="E40" t="s">
        <v>960</v>
      </c>
      <c r="F40" s="35" t="s">
        <v>971</v>
      </c>
      <c r="G40" s="28" t="s">
        <v>1517</v>
      </c>
      <c r="H40" s="28" t="s">
        <v>1503</v>
      </c>
      <c r="I40" s="28" t="s">
        <v>3650</v>
      </c>
      <c r="J40" s="28" t="s">
        <v>3651</v>
      </c>
      <c r="K40" s="28" t="s">
        <v>3716</v>
      </c>
      <c r="L40" s="28" t="s">
        <v>3717</v>
      </c>
      <c r="M40" s="28" t="s">
        <v>3718</v>
      </c>
      <c r="N40" s="28" t="s">
        <v>3719</v>
      </c>
    </row>
    <row r="41" spans="1:14">
      <c r="A41" t="s">
        <v>25</v>
      </c>
      <c r="B41" t="s">
        <v>56</v>
      </c>
      <c r="C41">
        <v>2121</v>
      </c>
      <c r="D41">
        <v>848</v>
      </c>
      <c r="E41" t="s">
        <v>960</v>
      </c>
      <c r="F41" s="35" t="s">
        <v>971</v>
      </c>
      <c r="G41" s="28" t="s">
        <v>1518</v>
      </c>
      <c r="H41" s="28" t="s">
        <v>1503</v>
      </c>
      <c r="I41" s="28" t="s">
        <v>3656</v>
      </c>
      <c r="J41" s="28" t="s">
        <v>3651</v>
      </c>
      <c r="K41" s="28" t="s">
        <v>3720</v>
      </c>
      <c r="L41" s="28" t="s">
        <v>3717</v>
      </c>
      <c r="M41" s="28" t="s">
        <v>3721</v>
      </c>
      <c r="N41" s="28" t="s">
        <v>3719</v>
      </c>
    </row>
    <row r="42" spans="1:14">
      <c r="A42" t="s">
        <v>25</v>
      </c>
      <c r="B42" t="s">
        <v>56</v>
      </c>
      <c r="C42">
        <v>2122</v>
      </c>
      <c r="D42">
        <v>518</v>
      </c>
      <c r="E42" t="s">
        <v>960</v>
      </c>
      <c r="F42" s="35" t="s">
        <v>971</v>
      </c>
      <c r="G42" s="28" t="s">
        <v>1519</v>
      </c>
      <c r="H42" s="28" t="s">
        <v>1503</v>
      </c>
      <c r="I42" s="28" t="s">
        <v>3659</v>
      </c>
      <c r="J42" s="28" t="s">
        <v>3651</v>
      </c>
      <c r="K42" s="28" t="s">
        <v>3722</v>
      </c>
      <c r="L42" s="28" t="s">
        <v>3717</v>
      </c>
      <c r="M42" s="28" t="s">
        <v>3723</v>
      </c>
      <c r="N42" s="28" t="s">
        <v>3719</v>
      </c>
    </row>
    <row r="43" spans="1:14">
      <c r="A43" t="s">
        <v>25</v>
      </c>
      <c r="B43" t="s">
        <v>56</v>
      </c>
      <c r="C43">
        <v>2123</v>
      </c>
      <c r="D43">
        <v>1443</v>
      </c>
      <c r="E43" t="s">
        <v>960</v>
      </c>
      <c r="F43" s="35" t="s">
        <v>972</v>
      </c>
      <c r="G43" s="28" t="s">
        <v>1505</v>
      </c>
      <c r="H43" s="28" t="s">
        <v>1506</v>
      </c>
      <c r="I43" s="28" t="s">
        <v>3662</v>
      </c>
      <c r="J43" s="28" t="s">
        <v>3663</v>
      </c>
      <c r="K43" s="28" t="s">
        <v>3724</v>
      </c>
      <c r="L43" s="28" t="s">
        <v>3725</v>
      </c>
      <c r="M43" s="28" t="s">
        <v>3726</v>
      </c>
      <c r="N43" s="28" t="s">
        <v>3727</v>
      </c>
    </row>
    <row r="44" spans="1:14">
      <c r="A44" t="s">
        <v>25</v>
      </c>
      <c r="B44" t="s">
        <v>56</v>
      </c>
      <c r="C44">
        <v>2124</v>
      </c>
      <c r="D44">
        <v>300</v>
      </c>
      <c r="E44" t="s">
        <v>960</v>
      </c>
      <c r="F44" s="35" t="s">
        <v>972</v>
      </c>
      <c r="G44" s="28" t="s">
        <v>1521</v>
      </c>
      <c r="H44" s="28" t="s">
        <v>1506</v>
      </c>
      <c r="I44" s="28" t="s">
        <v>3728</v>
      </c>
      <c r="J44" s="28" t="s">
        <v>3663</v>
      </c>
      <c r="K44" s="28" t="s">
        <v>3729</v>
      </c>
      <c r="L44" s="28" t="s">
        <v>3725</v>
      </c>
      <c r="M44" s="28" t="s">
        <v>3730</v>
      </c>
      <c r="N44" s="28" t="s">
        <v>3727</v>
      </c>
    </row>
    <row r="45" spans="1:14">
      <c r="A45" t="s">
        <v>25</v>
      </c>
      <c r="B45" t="s">
        <v>56</v>
      </c>
      <c r="C45">
        <v>2128</v>
      </c>
      <c r="D45">
        <v>368</v>
      </c>
      <c r="E45" t="s">
        <v>960</v>
      </c>
      <c r="F45" s="35" t="s">
        <v>973</v>
      </c>
      <c r="G45" s="28" t="s">
        <v>1509</v>
      </c>
      <c r="H45" s="28" t="s">
        <v>1508</v>
      </c>
      <c r="I45" s="28" t="s">
        <v>3668</v>
      </c>
      <c r="J45" s="28" t="s">
        <v>3633</v>
      </c>
      <c r="K45" s="28" t="s">
        <v>3731</v>
      </c>
      <c r="L45" s="28" t="s">
        <v>3732</v>
      </c>
      <c r="M45" s="28" t="s">
        <v>3733</v>
      </c>
      <c r="N45" s="28" t="s">
        <v>3734</v>
      </c>
    </row>
    <row r="46" spans="1:14">
      <c r="A46" t="s">
        <v>25</v>
      </c>
      <c r="B46" t="s">
        <v>56</v>
      </c>
      <c r="C46">
        <v>2129</v>
      </c>
      <c r="D46">
        <v>608</v>
      </c>
      <c r="E46" t="s">
        <v>960</v>
      </c>
      <c r="F46" s="35" t="s">
        <v>973</v>
      </c>
      <c r="G46" s="28" t="s">
        <v>1510</v>
      </c>
      <c r="H46" s="28" t="s">
        <v>1508</v>
      </c>
      <c r="I46" s="28" t="s">
        <v>3632</v>
      </c>
      <c r="J46" s="28" t="s">
        <v>3633</v>
      </c>
      <c r="K46" s="28" t="s">
        <v>3735</v>
      </c>
      <c r="L46" s="28" t="s">
        <v>3732</v>
      </c>
      <c r="M46" s="28" t="s">
        <v>3736</v>
      </c>
      <c r="N46" s="28" t="s">
        <v>3734</v>
      </c>
    </row>
    <row r="47" spans="1:14">
      <c r="A47" t="s">
        <v>25</v>
      </c>
      <c r="B47" t="s">
        <v>56</v>
      </c>
      <c r="C47">
        <v>2130</v>
      </c>
      <c r="D47">
        <v>796</v>
      </c>
      <c r="E47" t="s">
        <v>960</v>
      </c>
      <c r="F47" s="35" t="s">
        <v>973</v>
      </c>
      <c r="G47" s="28" t="s">
        <v>1511</v>
      </c>
      <c r="H47" s="28" t="s">
        <v>1508</v>
      </c>
      <c r="I47" s="28" t="s">
        <v>3673</v>
      </c>
      <c r="J47" s="28" t="s">
        <v>3633</v>
      </c>
      <c r="K47" s="28" t="s">
        <v>3737</v>
      </c>
      <c r="L47" s="28" t="s">
        <v>3732</v>
      </c>
      <c r="M47" s="28" t="s">
        <v>3738</v>
      </c>
      <c r="N47" s="28" t="s">
        <v>3734</v>
      </c>
    </row>
    <row r="48" spans="1:14">
      <c r="A48" t="s">
        <v>25</v>
      </c>
      <c r="B48" t="s">
        <v>56</v>
      </c>
      <c r="C48">
        <v>2131</v>
      </c>
      <c r="D48">
        <v>122</v>
      </c>
      <c r="E48" t="s">
        <v>960</v>
      </c>
      <c r="F48" s="35" t="s">
        <v>974</v>
      </c>
      <c r="G48" s="28" t="s">
        <v>1515</v>
      </c>
      <c r="H48" s="28" t="s">
        <v>1513</v>
      </c>
      <c r="I48" s="28" t="s">
        <v>3638</v>
      </c>
      <c r="J48" s="28" t="s">
        <v>3639</v>
      </c>
      <c r="K48" s="28" t="s">
        <v>3739</v>
      </c>
      <c r="L48" s="28" t="s">
        <v>3740</v>
      </c>
      <c r="M48" s="28" t="s">
        <v>3741</v>
      </c>
      <c r="N48" s="28" t="s">
        <v>3742</v>
      </c>
    </row>
    <row r="49" spans="1:14">
      <c r="A49" t="s">
        <v>25</v>
      </c>
      <c r="B49" t="s">
        <v>56</v>
      </c>
      <c r="C49">
        <v>2132</v>
      </c>
      <c r="D49">
        <v>222</v>
      </c>
      <c r="E49" t="s">
        <v>960</v>
      </c>
      <c r="F49" s="35" t="s">
        <v>974</v>
      </c>
      <c r="G49" s="28" t="s">
        <v>1516</v>
      </c>
      <c r="H49" s="28" t="s">
        <v>1513</v>
      </c>
      <c r="I49" s="28" t="s">
        <v>3644</v>
      </c>
      <c r="J49" s="28" t="s">
        <v>3639</v>
      </c>
      <c r="K49" s="28" t="s">
        <v>3743</v>
      </c>
      <c r="L49" s="28" t="s">
        <v>3740</v>
      </c>
      <c r="M49" s="28" t="s">
        <v>3744</v>
      </c>
      <c r="N49" s="28" t="s">
        <v>3742</v>
      </c>
    </row>
    <row r="50" spans="1:14">
      <c r="A50" t="s">
        <v>25</v>
      </c>
      <c r="B50" t="s">
        <v>56</v>
      </c>
      <c r="C50">
        <v>2133</v>
      </c>
      <c r="D50">
        <v>1810</v>
      </c>
      <c r="E50" t="s">
        <v>960</v>
      </c>
      <c r="F50" s="35" t="s">
        <v>974</v>
      </c>
      <c r="G50" s="28" t="s">
        <v>1512</v>
      </c>
      <c r="H50" s="28" t="s">
        <v>1513</v>
      </c>
      <c r="I50" s="28" t="s">
        <v>3647</v>
      </c>
      <c r="J50" s="28" t="s">
        <v>3639</v>
      </c>
      <c r="K50" s="28" t="s">
        <v>3745</v>
      </c>
      <c r="L50" s="28" t="s">
        <v>3740</v>
      </c>
      <c r="M50" s="28" t="s">
        <v>3746</v>
      </c>
      <c r="N50" s="28" t="s">
        <v>3742</v>
      </c>
    </row>
    <row r="51" spans="1:14">
      <c r="A51" t="s">
        <v>26</v>
      </c>
      <c r="B51" t="s">
        <v>69</v>
      </c>
      <c r="C51">
        <v>2129</v>
      </c>
      <c r="D51">
        <v>50</v>
      </c>
      <c r="E51" t="s">
        <v>960</v>
      </c>
      <c r="F51" s="35" t="s">
        <v>973</v>
      </c>
      <c r="G51" s="28" t="s">
        <v>1510</v>
      </c>
      <c r="H51" s="28" t="s">
        <v>1508</v>
      </c>
      <c r="I51" s="28" t="s">
        <v>3747</v>
      </c>
      <c r="J51" s="28" t="s">
        <v>3748</v>
      </c>
      <c r="K51" s="28" t="s">
        <v>3749</v>
      </c>
      <c r="L51" s="28" t="s">
        <v>3750</v>
      </c>
      <c r="M51" s="28" t="s">
        <v>3636</v>
      </c>
      <c r="N51" s="28" t="s">
        <v>3637</v>
      </c>
    </row>
    <row r="52" spans="1:14">
      <c r="A52" t="s">
        <v>26</v>
      </c>
      <c r="B52" t="s">
        <v>69</v>
      </c>
      <c r="C52">
        <v>2132</v>
      </c>
      <c r="D52">
        <v>4</v>
      </c>
      <c r="E52" t="s">
        <v>960</v>
      </c>
      <c r="F52" s="35" t="s">
        <v>974</v>
      </c>
      <c r="G52" s="28" t="s">
        <v>1516</v>
      </c>
      <c r="H52" s="28" t="s">
        <v>1513</v>
      </c>
      <c r="I52" s="28" t="s">
        <v>3751</v>
      </c>
      <c r="J52" s="28" t="s">
        <v>3752</v>
      </c>
      <c r="K52" s="28" t="s">
        <v>3753</v>
      </c>
      <c r="L52" s="28" t="s">
        <v>3754</v>
      </c>
      <c r="M52" s="28" t="s">
        <v>3646</v>
      </c>
      <c r="N52" s="28" t="s">
        <v>3643</v>
      </c>
    </row>
    <row r="53" spans="1:14">
      <c r="A53" t="s">
        <v>26</v>
      </c>
      <c r="B53" t="s">
        <v>69</v>
      </c>
      <c r="C53">
        <v>2133</v>
      </c>
      <c r="D53">
        <v>1559</v>
      </c>
      <c r="E53" t="s">
        <v>960</v>
      </c>
      <c r="F53" s="35" t="s">
        <v>974</v>
      </c>
      <c r="G53" s="28" t="s">
        <v>1512</v>
      </c>
      <c r="H53" s="28" t="s">
        <v>1513</v>
      </c>
      <c r="I53" s="28" t="s">
        <v>3755</v>
      </c>
      <c r="J53" s="28" t="s">
        <v>3752</v>
      </c>
      <c r="K53" s="28" t="s">
        <v>3756</v>
      </c>
      <c r="L53" s="28" t="s">
        <v>3754</v>
      </c>
      <c r="M53" s="28" t="s">
        <v>3649</v>
      </c>
      <c r="N53" s="28" t="s">
        <v>3643</v>
      </c>
    </row>
    <row r="54" spans="1:14">
      <c r="A54" t="s">
        <v>26</v>
      </c>
      <c r="B54" t="s">
        <v>69</v>
      </c>
      <c r="C54">
        <v>2134</v>
      </c>
      <c r="D54">
        <v>2185</v>
      </c>
      <c r="E54" t="s">
        <v>960</v>
      </c>
      <c r="F54" s="35" t="s">
        <v>974</v>
      </c>
      <c r="G54" s="28" t="s">
        <v>6016</v>
      </c>
      <c r="H54" s="28" t="s">
        <v>1513</v>
      </c>
      <c r="I54" s="28" t="s">
        <v>6032</v>
      </c>
      <c r="J54" s="28" t="s">
        <v>3752</v>
      </c>
      <c r="K54" s="28" t="s">
        <v>6033</v>
      </c>
      <c r="L54" s="28" t="s">
        <v>3754</v>
      </c>
      <c r="M54" s="28" t="s">
        <v>6034</v>
      </c>
      <c r="N54" s="28" t="s">
        <v>3643</v>
      </c>
    </row>
    <row r="55" spans="1:14">
      <c r="A55" t="s">
        <v>26</v>
      </c>
      <c r="B55" t="s">
        <v>69</v>
      </c>
      <c r="C55">
        <v>2135</v>
      </c>
      <c r="D55">
        <v>1146</v>
      </c>
      <c r="E55" t="s">
        <v>960</v>
      </c>
      <c r="F55" s="35" t="s">
        <v>974</v>
      </c>
      <c r="G55" s="28" t="s">
        <v>6155</v>
      </c>
      <c r="H55" s="28" t="s">
        <v>1513</v>
      </c>
      <c r="I55" s="28" t="s">
        <v>6156</v>
      </c>
      <c r="J55" s="28" t="s">
        <v>3752</v>
      </c>
      <c r="K55" s="28" t="s">
        <v>6157</v>
      </c>
      <c r="L55" s="28" t="s">
        <v>3754</v>
      </c>
      <c r="M55" s="28" t="s">
        <v>6158</v>
      </c>
      <c r="N55" s="28" t="s">
        <v>3643</v>
      </c>
    </row>
    <row r="56" spans="1:14">
      <c r="A56" t="s">
        <v>26</v>
      </c>
      <c r="B56" t="s">
        <v>69</v>
      </c>
      <c r="C56">
        <v>2136</v>
      </c>
      <c r="D56">
        <v>510</v>
      </c>
      <c r="E56" t="s">
        <v>960</v>
      </c>
      <c r="F56" s="35" t="s">
        <v>997</v>
      </c>
      <c r="G56" s="28" t="s">
        <v>6270</v>
      </c>
      <c r="H56" s="28" t="s">
        <v>6271</v>
      </c>
      <c r="I56" s="28" t="s">
        <v>6272</v>
      </c>
      <c r="J56" s="28" t="s">
        <v>6273</v>
      </c>
      <c r="K56" s="28" t="s">
        <v>6274</v>
      </c>
      <c r="L56" s="28" t="s">
        <v>6275</v>
      </c>
      <c r="M56" s="28" t="s">
        <v>6276</v>
      </c>
      <c r="N56" s="28" t="s">
        <v>6277</v>
      </c>
    </row>
    <row r="57" spans="1:14">
      <c r="A57" t="s">
        <v>26</v>
      </c>
      <c r="B57" t="s">
        <v>69</v>
      </c>
      <c r="C57">
        <v>2137</v>
      </c>
      <c r="D57">
        <v>19</v>
      </c>
      <c r="E57" t="s">
        <v>960</v>
      </c>
      <c r="F57" s="35" t="s">
        <v>997</v>
      </c>
      <c r="G57" s="28" t="s">
        <v>6435</v>
      </c>
      <c r="H57" s="28" t="s">
        <v>6271</v>
      </c>
      <c r="I57" s="28" t="s">
        <v>6436</v>
      </c>
      <c r="J57" s="28" t="s">
        <v>6273</v>
      </c>
      <c r="K57" s="28" t="s">
        <v>6437</v>
      </c>
      <c r="L57" s="28" t="s">
        <v>6275</v>
      </c>
      <c r="M57" s="28" t="s">
        <v>6438</v>
      </c>
      <c r="N57" s="28" t="s">
        <v>6277</v>
      </c>
    </row>
    <row r="58" spans="1:14">
      <c r="A58" t="s">
        <v>26</v>
      </c>
      <c r="B58" t="s">
        <v>56</v>
      </c>
      <c r="C58">
        <v>2119</v>
      </c>
      <c r="D58">
        <v>2</v>
      </c>
      <c r="E58" t="s">
        <v>960</v>
      </c>
      <c r="F58" s="35" t="s">
        <v>971</v>
      </c>
      <c r="G58" s="28" t="s">
        <v>1517</v>
      </c>
      <c r="H58" s="28" t="s">
        <v>1503</v>
      </c>
      <c r="I58" s="28" t="s">
        <v>3757</v>
      </c>
      <c r="J58" s="28" t="s">
        <v>3758</v>
      </c>
      <c r="K58" s="28" t="s">
        <v>3759</v>
      </c>
      <c r="L58" s="28" t="s">
        <v>3760</v>
      </c>
      <c r="M58" s="28" t="s">
        <v>3718</v>
      </c>
      <c r="N58" s="28" t="s">
        <v>3719</v>
      </c>
    </row>
    <row r="59" spans="1:14">
      <c r="A59" t="s">
        <v>26</v>
      </c>
      <c r="B59" t="s">
        <v>56</v>
      </c>
      <c r="C59">
        <v>2120</v>
      </c>
      <c r="D59">
        <v>38</v>
      </c>
      <c r="E59" t="s">
        <v>960</v>
      </c>
      <c r="F59" s="35" t="s">
        <v>971</v>
      </c>
      <c r="G59" s="28" t="s">
        <v>1504</v>
      </c>
      <c r="H59" s="28" t="s">
        <v>1503</v>
      </c>
      <c r="I59" s="28" t="s">
        <v>3761</v>
      </c>
      <c r="J59" s="28" t="s">
        <v>3758</v>
      </c>
      <c r="K59" s="28" t="s">
        <v>3762</v>
      </c>
      <c r="L59" s="28" t="s">
        <v>3760</v>
      </c>
      <c r="M59" s="28" t="s">
        <v>3763</v>
      </c>
      <c r="N59" s="28" t="s">
        <v>3719</v>
      </c>
    </row>
    <row r="60" spans="1:14">
      <c r="A60" t="s">
        <v>26</v>
      </c>
      <c r="B60" t="s">
        <v>56</v>
      </c>
      <c r="C60">
        <v>2122</v>
      </c>
      <c r="D60">
        <v>85</v>
      </c>
      <c r="E60" t="s">
        <v>960</v>
      </c>
      <c r="F60" s="35" t="s">
        <v>971</v>
      </c>
      <c r="G60" s="28" t="s">
        <v>1519</v>
      </c>
      <c r="H60" s="28" t="s">
        <v>1503</v>
      </c>
      <c r="I60" s="28" t="s">
        <v>3764</v>
      </c>
      <c r="J60" s="28" t="s">
        <v>3758</v>
      </c>
      <c r="K60" s="28" t="s">
        <v>3765</v>
      </c>
      <c r="L60" s="28" t="s">
        <v>3760</v>
      </c>
      <c r="M60" s="28" t="s">
        <v>3723</v>
      </c>
      <c r="N60" s="28" t="s">
        <v>3719</v>
      </c>
    </row>
    <row r="61" spans="1:14">
      <c r="A61" t="s">
        <v>26</v>
      </c>
      <c r="B61" t="s">
        <v>56</v>
      </c>
      <c r="C61">
        <v>2124</v>
      </c>
      <c r="D61">
        <v>714</v>
      </c>
      <c r="E61" t="s">
        <v>960</v>
      </c>
      <c r="F61" s="35" t="s">
        <v>972</v>
      </c>
      <c r="G61" s="28" t="s">
        <v>1521</v>
      </c>
      <c r="H61" s="28" t="s">
        <v>1506</v>
      </c>
      <c r="I61" s="28" t="s">
        <v>3766</v>
      </c>
      <c r="J61" s="28" t="s">
        <v>3767</v>
      </c>
      <c r="K61" s="28" t="s">
        <v>3768</v>
      </c>
      <c r="L61" s="28" t="s">
        <v>3769</v>
      </c>
      <c r="M61" s="28" t="s">
        <v>3730</v>
      </c>
      <c r="N61" s="28" t="s">
        <v>3727</v>
      </c>
    </row>
    <row r="62" spans="1:14">
      <c r="A62" t="s">
        <v>26</v>
      </c>
      <c r="B62" t="s">
        <v>56</v>
      </c>
      <c r="C62">
        <v>2125</v>
      </c>
      <c r="D62">
        <v>688</v>
      </c>
      <c r="E62" t="s">
        <v>960</v>
      </c>
      <c r="F62" s="35" t="s">
        <v>972</v>
      </c>
      <c r="G62" s="28" t="s">
        <v>1522</v>
      </c>
      <c r="H62" s="28" t="s">
        <v>1506</v>
      </c>
      <c r="I62" s="28" t="s">
        <v>3770</v>
      </c>
      <c r="J62" s="28" t="s">
        <v>3767</v>
      </c>
      <c r="K62" s="28" t="s">
        <v>3771</v>
      </c>
      <c r="L62" s="28" t="s">
        <v>3769</v>
      </c>
      <c r="M62" s="28" t="s">
        <v>3772</v>
      </c>
      <c r="N62" s="28" t="s">
        <v>3727</v>
      </c>
    </row>
    <row r="63" spans="1:14">
      <c r="A63" t="s">
        <v>26</v>
      </c>
      <c r="B63" t="s">
        <v>56</v>
      </c>
      <c r="C63">
        <v>2126</v>
      </c>
      <c r="D63">
        <v>20</v>
      </c>
      <c r="E63" t="s">
        <v>960</v>
      </c>
      <c r="F63" s="35" t="s">
        <v>972</v>
      </c>
      <c r="G63" s="28" t="s">
        <v>1514</v>
      </c>
      <c r="H63" s="28" t="s">
        <v>1506</v>
      </c>
      <c r="I63" s="28" t="s">
        <v>3773</v>
      </c>
      <c r="J63" s="28" t="s">
        <v>3767</v>
      </c>
      <c r="K63" s="28" t="s">
        <v>3774</v>
      </c>
      <c r="L63" s="28" t="s">
        <v>3769</v>
      </c>
      <c r="M63" s="28" t="s">
        <v>3775</v>
      </c>
      <c r="N63" s="28" t="s">
        <v>3727</v>
      </c>
    </row>
    <row r="64" spans="1:14">
      <c r="A64" t="s">
        <v>26</v>
      </c>
      <c r="B64" t="s">
        <v>56</v>
      </c>
      <c r="C64">
        <v>2132</v>
      </c>
      <c r="D64">
        <v>862</v>
      </c>
      <c r="E64" t="s">
        <v>960</v>
      </c>
      <c r="F64" s="35" t="s">
        <v>974</v>
      </c>
      <c r="G64" s="28" t="s">
        <v>1516</v>
      </c>
      <c r="H64" s="28" t="s">
        <v>1513</v>
      </c>
      <c r="I64" s="28" t="s">
        <v>3751</v>
      </c>
      <c r="J64" s="28" t="s">
        <v>3752</v>
      </c>
      <c r="K64" s="28" t="s">
        <v>3776</v>
      </c>
      <c r="L64" s="28" t="s">
        <v>3777</v>
      </c>
      <c r="M64" s="28" t="s">
        <v>3744</v>
      </c>
      <c r="N64" s="28" t="s">
        <v>3742</v>
      </c>
    </row>
    <row r="65" spans="1:14">
      <c r="A65" t="s">
        <v>26</v>
      </c>
      <c r="B65" t="s">
        <v>56</v>
      </c>
      <c r="C65">
        <v>2133</v>
      </c>
      <c r="D65">
        <v>920</v>
      </c>
      <c r="E65" t="s">
        <v>960</v>
      </c>
      <c r="F65" s="35" t="s">
        <v>974</v>
      </c>
      <c r="G65" s="28" t="s">
        <v>1512</v>
      </c>
      <c r="H65" s="28" t="s">
        <v>1513</v>
      </c>
      <c r="I65" s="28" t="s">
        <v>3755</v>
      </c>
      <c r="J65" s="28" t="s">
        <v>3752</v>
      </c>
      <c r="K65" s="28" t="s">
        <v>3778</v>
      </c>
      <c r="L65" s="28" t="s">
        <v>3777</v>
      </c>
      <c r="M65" s="28" t="s">
        <v>3746</v>
      </c>
      <c r="N65" s="28" t="s">
        <v>3742</v>
      </c>
    </row>
    <row r="66" spans="1:14">
      <c r="A66" t="s">
        <v>26</v>
      </c>
      <c r="B66" t="s">
        <v>56</v>
      </c>
      <c r="C66">
        <v>2134</v>
      </c>
      <c r="D66">
        <v>156</v>
      </c>
      <c r="E66" t="s">
        <v>960</v>
      </c>
      <c r="F66" s="35" t="s">
        <v>974</v>
      </c>
      <c r="G66" s="28" t="s">
        <v>6016</v>
      </c>
      <c r="H66" s="28" t="s">
        <v>1513</v>
      </c>
      <c r="I66" s="28" t="s">
        <v>6032</v>
      </c>
      <c r="J66" s="28" t="s">
        <v>3752</v>
      </c>
      <c r="K66" s="28" t="s">
        <v>6035</v>
      </c>
      <c r="L66" s="28" t="s">
        <v>3777</v>
      </c>
      <c r="M66" s="28" t="s">
        <v>6027</v>
      </c>
      <c r="N66" s="28" t="s">
        <v>3742</v>
      </c>
    </row>
    <row r="67" spans="1:14">
      <c r="A67" t="s">
        <v>26</v>
      </c>
      <c r="B67" t="s">
        <v>56</v>
      </c>
      <c r="C67">
        <v>2135</v>
      </c>
      <c r="D67">
        <v>401</v>
      </c>
      <c r="E67" t="s">
        <v>960</v>
      </c>
      <c r="F67" s="35" t="s">
        <v>974</v>
      </c>
      <c r="G67" s="28" t="s">
        <v>6155</v>
      </c>
      <c r="H67" s="28" t="s">
        <v>1513</v>
      </c>
      <c r="I67" s="28" t="s">
        <v>6156</v>
      </c>
      <c r="J67" s="28" t="s">
        <v>3752</v>
      </c>
      <c r="K67" s="28" t="s">
        <v>6159</v>
      </c>
      <c r="L67" s="28" t="s">
        <v>3777</v>
      </c>
      <c r="M67" s="28" t="s">
        <v>6160</v>
      </c>
      <c r="N67" s="28" t="s">
        <v>3742</v>
      </c>
    </row>
    <row r="68" spans="1:14">
      <c r="A68" t="s">
        <v>26</v>
      </c>
      <c r="B68" t="s">
        <v>56</v>
      </c>
      <c r="C68">
        <v>2136</v>
      </c>
      <c r="D68">
        <v>192</v>
      </c>
      <c r="E68" t="s">
        <v>960</v>
      </c>
      <c r="F68" s="35" t="s">
        <v>997</v>
      </c>
      <c r="G68" s="28" t="s">
        <v>6270</v>
      </c>
      <c r="H68" s="28" t="s">
        <v>6271</v>
      </c>
      <c r="I68" s="28" t="s">
        <v>6272</v>
      </c>
      <c r="J68" s="28" t="s">
        <v>6273</v>
      </c>
      <c r="K68" s="28" t="s">
        <v>6278</v>
      </c>
      <c r="L68" s="28" t="s">
        <v>6279</v>
      </c>
      <c r="M68" s="28" t="s">
        <v>6280</v>
      </c>
      <c r="N68" s="28" t="s">
        <v>6281</v>
      </c>
    </row>
    <row r="69" spans="1:14">
      <c r="A69" t="s">
        <v>26</v>
      </c>
      <c r="B69" t="s">
        <v>56</v>
      </c>
      <c r="C69">
        <v>2137</v>
      </c>
      <c r="D69">
        <v>402</v>
      </c>
      <c r="E69" t="s">
        <v>960</v>
      </c>
      <c r="F69" s="35" t="s">
        <v>997</v>
      </c>
      <c r="G69" s="28" t="s">
        <v>6435</v>
      </c>
      <c r="H69" s="28" t="s">
        <v>6271</v>
      </c>
      <c r="I69" s="28" t="s">
        <v>6436</v>
      </c>
      <c r="J69" s="28" t="s">
        <v>6273</v>
      </c>
      <c r="K69" s="28" t="s">
        <v>6439</v>
      </c>
      <c r="L69" s="28" t="s">
        <v>6279</v>
      </c>
      <c r="M69" s="28" t="s">
        <v>6440</v>
      </c>
      <c r="N69" s="28" t="s">
        <v>6281</v>
      </c>
    </row>
    <row r="70" spans="1:14">
      <c r="A70" t="s">
        <v>26</v>
      </c>
      <c r="B70" t="s">
        <v>67</v>
      </c>
      <c r="C70">
        <v>2119</v>
      </c>
      <c r="D70">
        <v>2</v>
      </c>
      <c r="E70" t="s">
        <v>960</v>
      </c>
      <c r="F70" s="35" t="s">
        <v>971</v>
      </c>
      <c r="G70" s="28" t="s">
        <v>1517</v>
      </c>
      <c r="H70" s="28" t="s">
        <v>1503</v>
      </c>
      <c r="I70" s="28" t="s">
        <v>3757</v>
      </c>
      <c r="J70" s="28" t="s">
        <v>3758</v>
      </c>
      <c r="K70" s="28" t="s">
        <v>3779</v>
      </c>
      <c r="L70" s="28" t="s">
        <v>3780</v>
      </c>
      <c r="M70" s="28" t="s">
        <v>3654</v>
      </c>
      <c r="N70" s="28" t="s">
        <v>3655</v>
      </c>
    </row>
    <row r="71" spans="1:14">
      <c r="A71" t="s">
        <v>26</v>
      </c>
      <c r="B71" t="s">
        <v>67</v>
      </c>
      <c r="C71">
        <v>2120</v>
      </c>
      <c r="D71">
        <v>28</v>
      </c>
      <c r="E71" t="s">
        <v>960</v>
      </c>
      <c r="F71" s="35" t="s">
        <v>971</v>
      </c>
      <c r="G71" s="28" t="s">
        <v>1504</v>
      </c>
      <c r="H71" s="28" t="s">
        <v>1503</v>
      </c>
      <c r="I71" s="28" t="s">
        <v>3761</v>
      </c>
      <c r="J71" s="28" t="s">
        <v>3758</v>
      </c>
      <c r="K71" s="28" t="s">
        <v>3781</v>
      </c>
      <c r="L71" s="28" t="s">
        <v>3780</v>
      </c>
      <c r="M71" s="28" t="s">
        <v>3782</v>
      </c>
      <c r="N71" s="28" t="s">
        <v>3655</v>
      </c>
    </row>
    <row r="72" spans="1:14">
      <c r="A72" t="s">
        <v>26</v>
      </c>
      <c r="B72" t="s">
        <v>67</v>
      </c>
      <c r="C72">
        <v>2122</v>
      </c>
      <c r="D72">
        <v>195</v>
      </c>
      <c r="E72" t="s">
        <v>960</v>
      </c>
      <c r="F72" s="35" t="s">
        <v>971</v>
      </c>
      <c r="G72" s="28" t="s">
        <v>1519</v>
      </c>
      <c r="H72" s="28" t="s">
        <v>1503</v>
      </c>
      <c r="I72" s="28" t="s">
        <v>3764</v>
      </c>
      <c r="J72" s="28" t="s">
        <v>3758</v>
      </c>
      <c r="K72" s="28" t="s">
        <v>3783</v>
      </c>
      <c r="L72" s="28" t="s">
        <v>3780</v>
      </c>
      <c r="M72" s="28" t="s">
        <v>3661</v>
      </c>
      <c r="N72" s="28" t="s">
        <v>3655</v>
      </c>
    </row>
    <row r="73" spans="1:14">
      <c r="A73" t="s">
        <v>26</v>
      </c>
      <c r="B73" t="s">
        <v>67</v>
      </c>
      <c r="C73">
        <v>2123</v>
      </c>
      <c r="D73">
        <v>113</v>
      </c>
      <c r="E73" t="s">
        <v>960</v>
      </c>
      <c r="F73" s="35" t="s">
        <v>972</v>
      </c>
      <c r="G73" s="28" t="s">
        <v>1505</v>
      </c>
      <c r="H73" s="28" t="s">
        <v>1506</v>
      </c>
      <c r="I73" s="28" t="s">
        <v>3784</v>
      </c>
      <c r="J73" s="28" t="s">
        <v>3767</v>
      </c>
      <c r="K73" s="28" t="s">
        <v>3785</v>
      </c>
      <c r="L73" s="28" t="s">
        <v>3786</v>
      </c>
      <c r="M73" s="28" t="s">
        <v>3666</v>
      </c>
      <c r="N73" s="28" t="s">
        <v>3667</v>
      </c>
    </row>
    <row r="74" spans="1:14">
      <c r="A74" t="s">
        <v>26</v>
      </c>
      <c r="B74" t="s">
        <v>67</v>
      </c>
      <c r="C74">
        <v>2124</v>
      </c>
      <c r="D74">
        <v>156</v>
      </c>
      <c r="E74" t="s">
        <v>960</v>
      </c>
      <c r="F74" s="35" t="s">
        <v>972</v>
      </c>
      <c r="G74" s="28" t="s">
        <v>1521</v>
      </c>
      <c r="H74" s="28" t="s">
        <v>1506</v>
      </c>
      <c r="I74" s="28" t="s">
        <v>3766</v>
      </c>
      <c r="J74" s="28" t="s">
        <v>3767</v>
      </c>
      <c r="K74" s="28" t="s">
        <v>3787</v>
      </c>
      <c r="L74" s="28" t="s">
        <v>3786</v>
      </c>
      <c r="M74" s="28" t="s">
        <v>3788</v>
      </c>
      <c r="N74" s="28" t="s">
        <v>3667</v>
      </c>
    </row>
    <row r="75" spans="1:14">
      <c r="A75" t="s">
        <v>26</v>
      </c>
      <c r="B75" t="s">
        <v>67</v>
      </c>
      <c r="C75">
        <v>2125</v>
      </c>
      <c r="D75">
        <v>193</v>
      </c>
      <c r="E75" t="s">
        <v>960</v>
      </c>
      <c r="F75" s="35" t="s">
        <v>972</v>
      </c>
      <c r="G75" s="28" t="s">
        <v>1522</v>
      </c>
      <c r="H75" s="28" t="s">
        <v>1506</v>
      </c>
      <c r="I75" s="28" t="s">
        <v>3770</v>
      </c>
      <c r="J75" s="28" t="s">
        <v>3767</v>
      </c>
      <c r="K75" s="28" t="s">
        <v>3789</v>
      </c>
      <c r="L75" s="28" t="s">
        <v>3786</v>
      </c>
      <c r="M75" s="28" t="s">
        <v>3790</v>
      </c>
      <c r="N75" s="28" t="s">
        <v>3667</v>
      </c>
    </row>
    <row r="76" spans="1:14">
      <c r="A76" t="s">
        <v>26</v>
      </c>
      <c r="B76" t="s">
        <v>67</v>
      </c>
      <c r="C76">
        <v>2128</v>
      </c>
      <c r="D76">
        <v>38</v>
      </c>
      <c r="E76" t="s">
        <v>960</v>
      </c>
      <c r="F76" s="35" t="s">
        <v>973</v>
      </c>
      <c r="G76" s="28" t="s">
        <v>1509</v>
      </c>
      <c r="H76" s="28" t="s">
        <v>1508</v>
      </c>
      <c r="I76" s="28" t="s">
        <v>3791</v>
      </c>
      <c r="J76" s="28" t="s">
        <v>3748</v>
      </c>
      <c r="K76" s="28" t="s">
        <v>3792</v>
      </c>
      <c r="L76" s="28" t="s">
        <v>3793</v>
      </c>
      <c r="M76" s="28" t="s">
        <v>3671</v>
      </c>
      <c r="N76" s="28" t="s">
        <v>3672</v>
      </c>
    </row>
    <row r="77" spans="1:14">
      <c r="A77" t="s">
        <v>26</v>
      </c>
      <c r="B77" t="s">
        <v>67</v>
      </c>
      <c r="C77">
        <v>2129</v>
      </c>
      <c r="D77">
        <v>845</v>
      </c>
      <c r="E77" t="s">
        <v>960</v>
      </c>
      <c r="F77" s="35" t="s">
        <v>973</v>
      </c>
      <c r="G77" s="28" t="s">
        <v>1510</v>
      </c>
      <c r="H77" s="28" t="s">
        <v>1508</v>
      </c>
      <c r="I77" s="28" t="s">
        <v>3747</v>
      </c>
      <c r="J77" s="28" t="s">
        <v>3748</v>
      </c>
      <c r="K77" s="28" t="s">
        <v>3794</v>
      </c>
      <c r="L77" s="28" t="s">
        <v>3793</v>
      </c>
      <c r="M77" s="28" t="s">
        <v>3795</v>
      </c>
      <c r="N77" s="28" t="s">
        <v>3672</v>
      </c>
    </row>
    <row r="78" spans="1:14">
      <c r="A78" t="s">
        <v>26</v>
      </c>
      <c r="B78" t="s">
        <v>67</v>
      </c>
      <c r="C78">
        <v>2132</v>
      </c>
      <c r="D78">
        <v>87</v>
      </c>
      <c r="E78" t="s">
        <v>960</v>
      </c>
      <c r="F78" s="35" t="s">
        <v>974</v>
      </c>
      <c r="G78" s="28" t="s">
        <v>1516</v>
      </c>
      <c r="H78" s="28" t="s">
        <v>1513</v>
      </c>
      <c r="I78" s="28" t="s">
        <v>3751</v>
      </c>
      <c r="J78" s="28" t="s">
        <v>3752</v>
      </c>
      <c r="K78" s="28" t="s">
        <v>3796</v>
      </c>
      <c r="L78" s="28" t="s">
        <v>3797</v>
      </c>
      <c r="M78" s="28" t="s">
        <v>3798</v>
      </c>
      <c r="N78" s="28" t="s">
        <v>3679</v>
      </c>
    </row>
    <row r="79" spans="1:14">
      <c r="A79" t="s">
        <v>26</v>
      </c>
      <c r="B79" t="s">
        <v>67</v>
      </c>
      <c r="C79">
        <v>2133</v>
      </c>
      <c r="D79">
        <v>72</v>
      </c>
      <c r="E79" t="s">
        <v>960</v>
      </c>
      <c r="F79" s="35" t="s">
        <v>974</v>
      </c>
      <c r="G79" s="28" t="s">
        <v>1512</v>
      </c>
      <c r="H79" s="28" t="s">
        <v>1513</v>
      </c>
      <c r="I79" s="28" t="s">
        <v>3755</v>
      </c>
      <c r="J79" s="28" t="s">
        <v>3752</v>
      </c>
      <c r="K79" s="28" t="s">
        <v>3799</v>
      </c>
      <c r="L79" s="28" t="s">
        <v>3797</v>
      </c>
      <c r="M79" s="28" t="s">
        <v>3678</v>
      </c>
      <c r="N79" s="28" t="s">
        <v>3679</v>
      </c>
    </row>
    <row r="80" spans="1:14">
      <c r="A80" t="s">
        <v>26</v>
      </c>
      <c r="B80" t="s">
        <v>67</v>
      </c>
      <c r="C80">
        <v>2134</v>
      </c>
      <c r="D80">
        <v>153</v>
      </c>
      <c r="E80" t="s">
        <v>960</v>
      </c>
      <c r="F80" s="35" t="s">
        <v>974</v>
      </c>
      <c r="G80" s="28" t="s">
        <v>6016</v>
      </c>
      <c r="H80" s="28" t="s">
        <v>1513</v>
      </c>
      <c r="I80" s="28" t="s">
        <v>6032</v>
      </c>
      <c r="J80" s="28" t="s">
        <v>3752</v>
      </c>
      <c r="K80" s="28" t="s">
        <v>6036</v>
      </c>
      <c r="L80" s="28" t="s">
        <v>3797</v>
      </c>
      <c r="M80" s="28" t="s">
        <v>6019</v>
      </c>
      <c r="N80" s="28" t="s">
        <v>3679</v>
      </c>
    </row>
    <row r="81" spans="1:14">
      <c r="A81" t="s">
        <v>26</v>
      </c>
      <c r="B81" t="s">
        <v>67</v>
      </c>
      <c r="C81">
        <v>2135</v>
      </c>
      <c r="D81">
        <v>104</v>
      </c>
      <c r="E81" t="s">
        <v>960</v>
      </c>
      <c r="F81" s="35" t="s">
        <v>974</v>
      </c>
      <c r="G81" s="28" t="s">
        <v>6155</v>
      </c>
      <c r="H81" s="28" t="s">
        <v>1513</v>
      </c>
      <c r="I81" s="28" t="s">
        <v>6156</v>
      </c>
      <c r="J81" s="28" t="s">
        <v>3752</v>
      </c>
      <c r="K81" s="28" t="s">
        <v>6161</v>
      </c>
      <c r="L81" s="28" t="s">
        <v>3797</v>
      </c>
      <c r="M81" s="28" t="s">
        <v>6162</v>
      </c>
      <c r="N81" s="28" t="s">
        <v>3679</v>
      </c>
    </row>
    <row r="82" spans="1:14">
      <c r="A82" t="s">
        <v>26</v>
      </c>
      <c r="B82" t="s">
        <v>67</v>
      </c>
      <c r="C82">
        <v>2136</v>
      </c>
      <c r="D82">
        <v>181</v>
      </c>
      <c r="E82" t="s">
        <v>960</v>
      </c>
      <c r="F82" s="35" t="s">
        <v>997</v>
      </c>
      <c r="G82" s="28" t="s">
        <v>6270</v>
      </c>
      <c r="H82" s="28" t="s">
        <v>6271</v>
      </c>
      <c r="I82" s="28" t="s">
        <v>6272</v>
      </c>
      <c r="J82" s="28" t="s">
        <v>6273</v>
      </c>
      <c r="K82" s="28" t="s">
        <v>6282</v>
      </c>
      <c r="L82" s="28" t="s">
        <v>6283</v>
      </c>
      <c r="M82" s="28" t="s">
        <v>6284</v>
      </c>
      <c r="N82" s="28" t="s">
        <v>6285</v>
      </c>
    </row>
    <row r="83" spans="1:14">
      <c r="A83" t="s">
        <v>26</v>
      </c>
      <c r="B83" t="s">
        <v>67</v>
      </c>
      <c r="C83">
        <v>2137</v>
      </c>
      <c r="D83">
        <v>305</v>
      </c>
      <c r="E83" t="s">
        <v>960</v>
      </c>
      <c r="F83" s="35" t="s">
        <v>997</v>
      </c>
      <c r="G83" s="28" t="s">
        <v>6435</v>
      </c>
      <c r="H83" s="28" t="s">
        <v>6271</v>
      </c>
      <c r="I83" s="28" t="s">
        <v>6436</v>
      </c>
      <c r="J83" s="28" t="s">
        <v>6273</v>
      </c>
      <c r="K83" s="28" t="s">
        <v>6441</v>
      </c>
      <c r="L83" s="28" t="s">
        <v>6283</v>
      </c>
      <c r="M83" s="28" t="s">
        <v>6442</v>
      </c>
      <c r="N83" s="28" t="s">
        <v>6285</v>
      </c>
    </row>
    <row r="84" spans="1:14">
      <c r="A84" t="s">
        <v>26</v>
      </c>
      <c r="B84" t="s">
        <v>52</v>
      </c>
      <c r="C84">
        <v>2108</v>
      </c>
      <c r="D84">
        <v>2</v>
      </c>
      <c r="E84" t="s">
        <v>960</v>
      </c>
      <c r="F84" s="35" t="s">
        <v>975</v>
      </c>
      <c r="G84" s="28" t="s">
        <v>1523</v>
      </c>
      <c r="H84" s="28" t="s">
        <v>1524</v>
      </c>
      <c r="I84" s="28" t="s">
        <v>3800</v>
      </c>
      <c r="J84" s="28" t="s">
        <v>3801</v>
      </c>
      <c r="K84" s="28" t="s">
        <v>3802</v>
      </c>
      <c r="L84" s="28" t="s">
        <v>3803</v>
      </c>
      <c r="M84" s="28" t="s">
        <v>3804</v>
      </c>
      <c r="N84" s="28" t="s">
        <v>3805</v>
      </c>
    </row>
    <row r="85" spans="1:14">
      <c r="A85" t="s">
        <v>26</v>
      </c>
      <c r="B85" t="s">
        <v>52</v>
      </c>
      <c r="C85">
        <v>2109</v>
      </c>
      <c r="D85">
        <v>38</v>
      </c>
      <c r="E85" t="s">
        <v>960</v>
      </c>
      <c r="F85" s="35" t="s">
        <v>969</v>
      </c>
      <c r="G85" s="28" t="s">
        <v>1525</v>
      </c>
      <c r="H85" s="28" t="s">
        <v>1497</v>
      </c>
      <c r="I85" s="28" t="s">
        <v>3806</v>
      </c>
      <c r="J85" s="28" t="s">
        <v>3807</v>
      </c>
      <c r="K85" s="28" t="s">
        <v>3808</v>
      </c>
      <c r="L85" s="28" t="s">
        <v>3809</v>
      </c>
      <c r="M85" s="28" t="s">
        <v>3810</v>
      </c>
      <c r="N85" s="28" t="s">
        <v>3570</v>
      </c>
    </row>
    <row r="86" spans="1:14">
      <c r="A86" t="s">
        <v>26</v>
      </c>
      <c r="B86" t="s">
        <v>52</v>
      </c>
      <c r="C86">
        <v>2111</v>
      </c>
      <c r="D86">
        <v>506</v>
      </c>
      <c r="E86" t="s">
        <v>960</v>
      </c>
      <c r="F86" s="35" t="s">
        <v>969</v>
      </c>
      <c r="G86" s="28" t="s">
        <v>1526</v>
      </c>
      <c r="H86" s="28" t="s">
        <v>1497</v>
      </c>
      <c r="I86" s="28" t="s">
        <v>3811</v>
      </c>
      <c r="J86" s="28" t="s">
        <v>3807</v>
      </c>
      <c r="K86" s="28" t="s">
        <v>3812</v>
      </c>
      <c r="L86" s="28" t="s">
        <v>3809</v>
      </c>
      <c r="M86" s="28" t="s">
        <v>3813</v>
      </c>
      <c r="N86" s="28" t="s">
        <v>3570</v>
      </c>
    </row>
    <row r="87" spans="1:14">
      <c r="A87" t="s">
        <v>26</v>
      </c>
      <c r="B87" t="s">
        <v>52</v>
      </c>
      <c r="C87">
        <v>2112</v>
      </c>
      <c r="D87">
        <v>888</v>
      </c>
      <c r="E87" t="s">
        <v>960</v>
      </c>
      <c r="F87" s="35" t="s">
        <v>969</v>
      </c>
      <c r="G87" s="28" t="s">
        <v>1496</v>
      </c>
      <c r="H87" s="28" t="s">
        <v>1497</v>
      </c>
      <c r="I87" s="28" t="s">
        <v>3814</v>
      </c>
      <c r="J87" s="28" t="s">
        <v>3807</v>
      </c>
      <c r="K87" s="28" t="s">
        <v>3815</v>
      </c>
      <c r="L87" s="28" t="s">
        <v>3809</v>
      </c>
      <c r="M87" s="28" t="s">
        <v>3569</v>
      </c>
      <c r="N87" s="28" t="s">
        <v>3570</v>
      </c>
    </row>
    <row r="88" spans="1:14">
      <c r="A88" t="s">
        <v>26</v>
      </c>
      <c r="B88" t="s">
        <v>52</v>
      </c>
      <c r="C88">
        <v>2113</v>
      </c>
      <c r="D88">
        <v>417</v>
      </c>
      <c r="E88" t="s">
        <v>960</v>
      </c>
      <c r="F88" s="35" t="s">
        <v>969</v>
      </c>
      <c r="G88" s="28" t="s">
        <v>1498</v>
      </c>
      <c r="H88" s="28" t="s">
        <v>1497</v>
      </c>
      <c r="I88" s="28" t="s">
        <v>3816</v>
      </c>
      <c r="J88" s="28" t="s">
        <v>3807</v>
      </c>
      <c r="K88" s="28" t="s">
        <v>3817</v>
      </c>
      <c r="L88" s="28" t="s">
        <v>3809</v>
      </c>
      <c r="M88" s="28" t="s">
        <v>3573</v>
      </c>
      <c r="N88" s="28" t="s">
        <v>3570</v>
      </c>
    </row>
    <row r="89" spans="1:14">
      <c r="A89" t="s">
        <v>26</v>
      </c>
      <c r="B89" t="s">
        <v>52</v>
      </c>
      <c r="C89">
        <v>2114</v>
      </c>
      <c r="D89">
        <v>216</v>
      </c>
      <c r="E89" t="s">
        <v>960</v>
      </c>
      <c r="F89" s="35" t="s">
        <v>970</v>
      </c>
      <c r="G89" s="28" t="s">
        <v>1499</v>
      </c>
      <c r="H89" s="28" t="s">
        <v>1500</v>
      </c>
      <c r="I89" s="28" t="s">
        <v>3818</v>
      </c>
      <c r="J89" s="28" t="s">
        <v>3819</v>
      </c>
      <c r="K89" s="28" t="s">
        <v>3820</v>
      </c>
      <c r="L89" s="28" t="s">
        <v>3821</v>
      </c>
      <c r="M89" s="28" t="s">
        <v>3578</v>
      </c>
      <c r="N89" s="28" t="s">
        <v>3579</v>
      </c>
    </row>
    <row r="90" spans="1:14">
      <c r="A90" t="s">
        <v>26</v>
      </c>
      <c r="B90" t="s">
        <v>52</v>
      </c>
      <c r="C90">
        <v>2115</v>
      </c>
      <c r="D90">
        <v>449</v>
      </c>
      <c r="E90" t="s">
        <v>960</v>
      </c>
      <c r="F90" s="35" t="s">
        <v>970</v>
      </c>
      <c r="G90" s="28" t="s">
        <v>1520</v>
      </c>
      <c r="H90" s="28" t="s">
        <v>1500</v>
      </c>
      <c r="I90" s="28" t="s">
        <v>3822</v>
      </c>
      <c r="J90" s="28" t="s">
        <v>3819</v>
      </c>
      <c r="K90" s="28" t="s">
        <v>3823</v>
      </c>
      <c r="L90" s="28" t="s">
        <v>3821</v>
      </c>
      <c r="M90" s="28" t="s">
        <v>3824</v>
      </c>
      <c r="N90" s="28" t="s">
        <v>3579</v>
      </c>
    </row>
    <row r="91" spans="1:14">
      <c r="A91" t="s">
        <v>26</v>
      </c>
      <c r="B91" t="s">
        <v>52</v>
      </c>
      <c r="C91">
        <v>2116</v>
      </c>
      <c r="D91">
        <v>499</v>
      </c>
      <c r="E91" t="s">
        <v>960</v>
      </c>
      <c r="F91" s="35" t="s">
        <v>970</v>
      </c>
      <c r="G91" s="28" t="s">
        <v>1501</v>
      </c>
      <c r="H91" s="28" t="s">
        <v>1500</v>
      </c>
      <c r="I91" s="28" t="s">
        <v>3825</v>
      </c>
      <c r="J91" s="28" t="s">
        <v>3819</v>
      </c>
      <c r="K91" s="28" t="s">
        <v>3826</v>
      </c>
      <c r="L91" s="28" t="s">
        <v>3821</v>
      </c>
      <c r="M91" s="28" t="s">
        <v>3582</v>
      </c>
      <c r="N91" s="28" t="s">
        <v>3579</v>
      </c>
    </row>
    <row r="92" spans="1:14">
      <c r="A92" t="s">
        <v>26</v>
      </c>
      <c r="B92" t="s">
        <v>52</v>
      </c>
      <c r="C92">
        <v>2117</v>
      </c>
      <c r="D92">
        <v>1066</v>
      </c>
      <c r="E92" t="s">
        <v>960</v>
      </c>
      <c r="F92" s="35" t="s">
        <v>970</v>
      </c>
      <c r="G92" s="28" t="s">
        <v>1527</v>
      </c>
      <c r="H92" s="28" t="s">
        <v>1500</v>
      </c>
      <c r="I92" s="28" t="s">
        <v>3827</v>
      </c>
      <c r="J92" s="28" t="s">
        <v>3819</v>
      </c>
      <c r="K92" s="28" t="s">
        <v>3828</v>
      </c>
      <c r="L92" s="28" t="s">
        <v>3821</v>
      </c>
      <c r="M92" s="28" t="s">
        <v>3829</v>
      </c>
      <c r="N92" s="28" t="s">
        <v>3579</v>
      </c>
    </row>
    <row r="93" spans="1:14">
      <c r="A93" t="s">
        <v>26</v>
      </c>
      <c r="B93" t="s">
        <v>52</v>
      </c>
      <c r="C93">
        <v>2118</v>
      </c>
      <c r="D93">
        <v>853</v>
      </c>
      <c r="E93" t="s">
        <v>960</v>
      </c>
      <c r="F93" s="35" t="s">
        <v>971</v>
      </c>
      <c r="G93" s="28" t="s">
        <v>1502</v>
      </c>
      <c r="H93" s="28" t="s">
        <v>1503</v>
      </c>
      <c r="I93" s="28" t="s">
        <v>3830</v>
      </c>
      <c r="J93" s="28" t="s">
        <v>3758</v>
      </c>
      <c r="K93" s="28" t="s">
        <v>3831</v>
      </c>
      <c r="L93" s="28" t="s">
        <v>3832</v>
      </c>
      <c r="M93" s="28" t="s">
        <v>3587</v>
      </c>
      <c r="N93" s="28" t="s">
        <v>3588</v>
      </c>
    </row>
    <row r="94" spans="1:14">
      <c r="A94" t="s">
        <v>26</v>
      </c>
      <c r="B94" t="s">
        <v>52</v>
      </c>
      <c r="C94">
        <v>2119</v>
      </c>
      <c r="D94">
        <v>100</v>
      </c>
      <c r="E94" t="s">
        <v>960</v>
      </c>
      <c r="F94" s="35" t="s">
        <v>971</v>
      </c>
      <c r="G94" s="28" t="s">
        <v>1517</v>
      </c>
      <c r="H94" s="28" t="s">
        <v>1503</v>
      </c>
      <c r="I94" s="28" t="s">
        <v>3757</v>
      </c>
      <c r="J94" s="28" t="s">
        <v>3758</v>
      </c>
      <c r="K94" s="28" t="s">
        <v>3833</v>
      </c>
      <c r="L94" s="28" t="s">
        <v>3832</v>
      </c>
      <c r="M94" s="28" t="s">
        <v>3834</v>
      </c>
      <c r="N94" s="28" t="s">
        <v>3588</v>
      </c>
    </row>
    <row r="95" spans="1:14">
      <c r="A95" t="s">
        <v>26</v>
      </c>
      <c r="B95" t="s">
        <v>52</v>
      </c>
      <c r="C95">
        <v>2120</v>
      </c>
      <c r="D95">
        <v>578</v>
      </c>
      <c r="E95" t="s">
        <v>960</v>
      </c>
      <c r="F95" s="35" t="s">
        <v>971</v>
      </c>
      <c r="G95" s="28" t="s">
        <v>1504</v>
      </c>
      <c r="H95" s="28" t="s">
        <v>1503</v>
      </c>
      <c r="I95" s="28" t="s">
        <v>3761</v>
      </c>
      <c r="J95" s="28" t="s">
        <v>3758</v>
      </c>
      <c r="K95" s="28" t="s">
        <v>3835</v>
      </c>
      <c r="L95" s="28" t="s">
        <v>3832</v>
      </c>
      <c r="M95" s="28" t="s">
        <v>3591</v>
      </c>
      <c r="N95" s="28" t="s">
        <v>3588</v>
      </c>
    </row>
    <row r="96" spans="1:14">
      <c r="A96" t="s">
        <v>26</v>
      </c>
      <c r="B96" t="s">
        <v>52</v>
      </c>
      <c r="C96">
        <v>2121</v>
      </c>
      <c r="D96">
        <v>1072</v>
      </c>
      <c r="E96" t="s">
        <v>960</v>
      </c>
      <c r="F96" s="35" t="s">
        <v>971</v>
      </c>
      <c r="G96" s="28" t="s">
        <v>1518</v>
      </c>
      <c r="H96" s="28" t="s">
        <v>1503</v>
      </c>
      <c r="I96" s="28" t="s">
        <v>3836</v>
      </c>
      <c r="J96" s="28" t="s">
        <v>3758</v>
      </c>
      <c r="K96" s="28" t="s">
        <v>3837</v>
      </c>
      <c r="L96" s="28" t="s">
        <v>3832</v>
      </c>
      <c r="M96" s="28" t="s">
        <v>3838</v>
      </c>
      <c r="N96" s="28" t="s">
        <v>3588</v>
      </c>
    </row>
    <row r="97" spans="1:14">
      <c r="A97" t="s">
        <v>26</v>
      </c>
      <c r="B97" t="s">
        <v>52</v>
      </c>
      <c r="C97">
        <v>2122</v>
      </c>
      <c r="D97">
        <v>183</v>
      </c>
      <c r="E97" t="s">
        <v>960</v>
      </c>
      <c r="F97" s="35" t="s">
        <v>971</v>
      </c>
      <c r="G97" s="28" t="s">
        <v>1519</v>
      </c>
      <c r="H97" s="28" t="s">
        <v>1503</v>
      </c>
      <c r="I97" s="28" t="s">
        <v>3764</v>
      </c>
      <c r="J97" s="28" t="s">
        <v>3758</v>
      </c>
      <c r="K97" s="28" t="s">
        <v>3839</v>
      </c>
      <c r="L97" s="28" t="s">
        <v>3832</v>
      </c>
      <c r="M97" s="28" t="s">
        <v>3840</v>
      </c>
      <c r="N97" s="28" t="s">
        <v>3588</v>
      </c>
    </row>
    <row r="98" spans="1:14">
      <c r="A98" t="s">
        <v>26</v>
      </c>
      <c r="B98" t="s">
        <v>52</v>
      </c>
      <c r="C98">
        <v>2123</v>
      </c>
      <c r="D98">
        <v>1219</v>
      </c>
      <c r="E98" t="s">
        <v>960</v>
      </c>
      <c r="F98" s="35" t="s">
        <v>972</v>
      </c>
      <c r="G98" s="28" t="s">
        <v>1505</v>
      </c>
      <c r="H98" s="28" t="s">
        <v>1506</v>
      </c>
      <c r="I98" s="28" t="s">
        <v>3784</v>
      </c>
      <c r="J98" s="28" t="s">
        <v>3767</v>
      </c>
      <c r="K98" s="28" t="s">
        <v>3841</v>
      </c>
      <c r="L98" s="28" t="s">
        <v>3842</v>
      </c>
      <c r="M98" s="28" t="s">
        <v>3596</v>
      </c>
      <c r="N98" s="28" t="s">
        <v>3597</v>
      </c>
    </row>
    <row r="99" spans="1:14">
      <c r="A99" t="s">
        <v>26</v>
      </c>
      <c r="B99" t="s">
        <v>52</v>
      </c>
      <c r="C99">
        <v>2124</v>
      </c>
      <c r="D99">
        <v>251</v>
      </c>
      <c r="E99" t="s">
        <v>960</v>
      </c>
      <c r="F99" s="35" t="s">
        <v>972</v>
      </c>
      <c r="G99" s="28" t="s">
        <v>1521</v>
      </c>
      <c r="H99" s="28" t="s">
        <v>1506</v>
      </c>
      <c r="I99" s="28" t="s">
        <v>3766</v>
      </c>
      <c r="J99" s="28" t="s">
        <v>3767</v>
      </c>
      <c r="K99" s="28" t="s">
        <v>3843</v>
      </c>
      <c r="L99" s="28" t="s">
        <v>3842</v>
      </c>
      <c r="M99" s="28" t="s">
        <v>3844</v>
      </c>
      <c r="N99" s="28" t="s">
        <v>3597</v>
      </c>
    </row>
    <row r="100" spans="1:14">
      <c r="A100" t="s">
        <v>26</v>
      </c>
      <c r="B100" t="s">
        <v>52</v>
      </c>
      <c r="C100">
        <v>2125</v>
      </c>
      <c r="D100">
        <v>21</v>
      </c>
      <c r="E100" t="s">
        <v>960</v>
      </c>
      <c r="F100" s="35" t="s">
        <v>972</v>
      </c>
      <c r="G100" s="28" t="s">
        <v>1522</v>
      </c>
      <c r="H100" s="28" t="s">
        <v>1506</v>
      </c>
      <c r="I100" s="28" t="s">
        <v>3770</v>
      </c>
      <c r="J100" s="28" t="s">
        <v>3767</v>
      </c>
      <c r="K100" s="28" t="s">
        <v>3845</v>
      </c>
      <c r="L100" s="28" t="s">
        <v>3842</v>
      </c>
      <c r="M100" s="28" t="s">
        <v>3846</v>
      </c>
      <c r="N100" s="28" t="s">
        <v>3597</v>
      </c>
    </row>
    <row r="101" spans="1:14">
      <c r="A101" t="s">
        <v>26</v>
      </c>
      <c r="B101" t="s">
        <v>52</v>
      </c>
      <c r="C101">
        <v>2126</v>
      </c>
      <c r="D101">
        <v>1821</v>
      </c>
      <c r="E101" t="s">
        <v>960</v>
      </c>
      <c r="F101" s="35" t="s">
        <v>972</v>
      </c>
      <c r="G101" s="28" t="s">
        <v>1514</v>
      </c>
      <c r="H101" s="28" t="s">
        <v>1506</v>
      </c>
      <c r="I101" s="28" t="s">
        <v>3773</v>
      </c>
      <c r="J101" s="28" t="s">
        <v>3767</v>
      </c>
      <c r="K101" s="28" t="s">
        <v>3847</v>
      </c>
      <c r="L101" s="28" t="s">
        <v>3842</v>
      </c>
      <c r="M101" s="28" t="s">
        <v>3848</v>
      </c>
      <c r="N101" s="28" t="s">
        <v>3597</v>
      </c>
    </row>
    <row r="102" spans="1:14">
      <c r="A102" t="s">
        <v>26</v>
      </c>
      <c r="B102" t="s">
        <v>52</v>
      </c>
      <c r="C102">
        <v>2127</v>
      </c>
      <c r="D102">
        <v>702</v>
      </c>
      <c r="E102" t="s">
        <v>960</v>
      </c>
      <c r="F102" s="35" t="s">
        <v>973</v>
      </c>
      <c r="G102" s="28" t="s">
        <v>1507</v>
      </c>
      <c r="H102" s="28" t="s">
        <v>1508</v>
      </c>
      <c r="I102" s="28" t="s">
        <v>3849</v>
      </c>
      <c r="J102" s="28" t="s">
        <v>3748</v>
      </c>
      <c r="K102" s="28" t="s">
        <v>3850</v>
      </c>
      <c r="L102" s="28" t="s">
        <v>3851</v>
      </c>
      <c r="M102" s="28" t="s">
        <v>3602</v>
      </c>
      <c r="N102" s="28" t="s">
        <v>3603</v>
      </c>
    </row>
    <row r="103" spans="1:14">
      <c r="A103" t="s">
        <v>26</v>
      </c>
      <c r="B103" t="s">
        <v>52</v>
      </c>
      <c r="C103">
        <v>2128</v>
      </c>
      <c r="D103">
        <v>1828</v>
      </c>
      <c r="E103" t="s">
        <v>960</v>
      </c>
      <c r="F103" s="35" t="s">
        <v>973</v>
      </c>
      <c r="G103" s="28" t="s">
        <v>1509</v>
      </c>
      <c r="H103" s="28" t="s">
        <v>1508</v>
      </c>
      <c r="I103" s="28" t="s">
        <v>3791</v>
      </c>
      <c r="J103" s="28" t="s">
        <v>3748</v>
      </c>
      <c r="K103" s="28" t="s">
        <v>3852</v>
      </c>
      <c r="L103" s="28" t="s">
        <v>3851</v>
      </c>
      <c r="M103" s="28" t="s">
        <v>3606</v>
      </c>
      <c r="N103" s="28" t="s">
        <v>3603</v>
      </c>
    </row>
    <row r="104" spans="1:14">
      <c r="A104" t="s">
        <v>26</v>
      </c>
      <c r="B104" t="s">
        <v>52</v>
      </c>
      <c r="C104">
        <v>2129</v>
      </c>
      <c r="D104">
        <v>1859</v>
      </c>
      <c r="E104" t="s">
        <v>960</v>
      </c>
      <c r="F104" s="35" t="s">
        <v>973</v>
      </c>
      <c r="G104" s="28" t="s">
        <v>1510</v>
      </c>
      <c r="H104" s="28" t="s">
        <v>1508</v>
      </c>
      <c r="I104" s="28" t="s">
        <v>3747</v>
      </c>
      <c r="J104" s="28" t="s">
        <v>3748</v>
      </c>
      <c r="K104" s="28" t="s">
        <v>3853</v>
      </c>
      <c r="L104" s="28" t="s">
        <v>3851</v>
      </c>
      <c r="M104" s="28" t="s">
        <v>3609</v>
      </c>
      <c r="N104" s="28" t="s">
        <v>3603</v>
      </c>
    </row>
    <row r="105" spans="1:14">
      <c r="A105" t="s">
        <v>26</v>
      </c>
      <c r="B105" t="s">
        <v>52</v>
      </c>
      <c r="C105">
        <v>2132</v>
      </c>
      <c r="D105">
        <v>436</v>
      </c>
      <c r="E105" t="s">
        <v>960</v>
      </c>
      <c r="F105" s="35" t="s">
        <v>974</v>
      </c>
      <c r="G105" s="28" t="s">
        <v>1516</v>
      </c>
      <c r="H105" s="28" t="s">
        <v>1513</v>
      </c>
      <c r="I105" s="28" t="s">
        <v>3751</v>
      </c>
      <c r="J105" s="28" t="s">
        <v>3752</v>
      </c>
      <c r="K105" s="28" t="s">
        <v>3854</v>
      </c>
      <c r="L105" s="28" t="s">
        <v>3855</v>
      </c>
      <c r="M105" s="28" t="s">
        <v>3856</v>
      </c>
      <c r="N105" s="28" t="s">
        <v>3618</v>
      </c>
    </row>
    <row r="106" spans="1:14">
      <c r="A106" t="s">
        <v>26</v>
      </c>
      <c r="B106" t="s">
        <v>52</v>
      </c>
      <c r="C106">
        <v>2133</v>
      </c>
      <c r="D106">
        <v>301</v>
      </c>
      <c r="E106" t="s">
        <v>960</v>
      </c>
      <c r="F106" s="35" t="s">
        <v>974</v>
      </c>
      <c r="G106" s="28" t="s">
        <v>1512</v>
      </c>
      <c r="H106" s="28" t="s">
        <v>1513</v>
      </c>
      <c r="I106" s="28" t="s">
        <v>3755</v>
      </c>
      <c r="J106" s="28" t="s">
        <v>3752</v>
      </c>
      <c r="K106" s="28" t="s">
        <v>3857</v>
      </c>
      <c r="L106" s="28" t="s">
        <v>3855</v>
      </c>
      <c r="M106" s="28" t="s">
        <v>3617</v>
      </c>
      <c r="N106" s="28" t="s">
        <v>3618</v>
      </c>
    </row>
    <row r="107" spans="1:14">
      <c r="A107" t="s">
        <v>26</v>
      </c>
      <c r="B107" t="s">
        <v>52</v>
      </c>
      <c r="C107">
        <v>2134</v>
      </c>
      <c r="D107">
        <v>962</v>
      </c>
      <c r="E107" t="s">
        <v>960</v>
      </c>
      <c r="F107" s="35" t="s">
        <v>974</v>
      </c>
      <c r="G107" s="28" t="s">
        <v>6016</v>
      </c>
      <c r="H107" s="28" t="s">
        <v>1513</v>
      </c>
      <c r="I107" s="28" t="s">
        <v>6032</v>
      </c>
      <c r="J107" s="28" t="s">
        <v>3752</v>
      </c>
      <c r="K107" s="28" t="s">
        <v>6037</v>
      </c>
      <c r="L107" s="28" t="s">
        <v>3855</v>
      </c>
      <c r="M107" s="28" t="s">
        <v>6023</v>
      </c>
      <c r="N107" s="28" t="s">
        <v>3618</v>
      </c>
    </row>
    <row r="108" spans="1:14">
      <c r="A108" t="s">
        <v>26</v>
      </c>
      <c r="B108" t="s">
        <v>52</v>
      </c>
      <c r="C108">
        <v>2135</v>
      </c>
      <c r="D108">
        <v>1033</v>
      </c>
      <c r="E108" t="s">
        <v>960</v>
      </c>
      <c r="F108" s="35" t="s">
        <v>974</v>
      </c>
      <c r="G108" s="28" t="s">
        <v>6155</v>
      </c>
      <c r="H108" s="28" t="s">
        <v>1513</v>
      </c>
      <c r="I108" s="28" t="s">
        <v>6156</v>
      </c>
      <c r="J108" s="28" t="s">
        <v>3752</v>
      </c>
      <c r="K108" s="28" t="s">
        <v>6163</v>
      </c>
      <c r="L108" s="28" t="s">
        <v>3855</v>
      </c>
      <c r="M108" s="28" t="s">
        <v>6164</v>
      </c>
      <c r="N108" s="28" t="s">
        <v>3618</v>
      </c>
    </row>
    <row r="109" spans="1:14">
      <c r="A109" t="s">
        <v>26</v>
      </c>
      <c r="B109" t="s">
        <v>52</v>
      </c>
      <c r="C109">
        <v>2136</v>
      </c>
      <c r="D109">
        <v>453</v>
      </c>
      <c r="E109" t="s">
        <v>960</v>
      </c>
      <c r="F109" s="35" t="s">
        <v>997</v>
      </c>
      <c r="G109" s="28" t="s">
        <v>6270</v>
      </c>
      <c r="H109" s="28" t="s">
        <v>6271</v>
      </c>
      <c r="I109" s="28" t="s">
        <v>6272</v>
      </c>
      <c r="J109" s="28" t="s">
        <v>6273</v>
      </c>
      <c r="K109" s="28" t="s">
        <v>6286</v>
      </c>
      <c r="L109" s="28" t="s">
        <v>6287</v>
      </c>
      <c r="M109" s="28" t="s">
        <v>6288</v>
      </c>
      <c r="N109" s="28" t="s">
        <v>6289</v>
      </c>
    </row>
    <row r="110" spans="1:14">
      <c r="A110" t="s">
        <v>26</v>
      </c>
      <c r="B110" t="s">
        <v>52</v>
      </c>
      <c r="C110">
        <v>2137</v>
      </c>
      <c r="D110">
        <v>775</v>
      </c>
      <c r="E110" t="s">
        <v>960</v>
      </c>
      <c r="F110" s="35" t="s">
        <v>997</v>
      </c>
      <c r="G110" s="28" t="s">
        <v>6435</v>
      </c>
      <c r="H110" s="28" t="s">
        <v>6271</v>
      </c>
      <c r="I110" s="28" t="s">
        <v>6436</v>
      </c>
      <c r="J110" s="28" t="s">
        <v>6273</v>
      </c>
      <c r="K110" s="28" t="s">
        <v>6443</v>
      </c>
      <c r="L110" s="28" t="s">
        <v>6287</v>
      </c>
      <c r="M110" s="28" t="s">
        <v>6444</v>
      </c>
      <c r="N110" s="28" t="s">
        <v>6289</v>
      </c>
    </row>
    <row r="111" spans="1:14">
      <c r="A111" t="s">
        <v>26</v>
      </c>
      <c r="B111" t="s">
        <v>54</v>
      </c>
      <c r="C111">
        <v>2115</v>
      </c>
      <c r="D111">
        <v>1</v>
      </c>
      <c r="E111" t="s">
        <v>960</v>
      </c>
      <c r="F111" s="35" t="s">
        <v>970</v>
      </c>
      <c r="G111" s="28" t="s">
        <v>1520</v>
      </c>
      <c r="H111" s="28" t="s">
        <v>1500</v>
      </c>
      <c r="I111" s="28" t="s">
        <v>3822</v>
      </c>
      <c r="J111" s="28" t="s">
        <v>3819</v>
      </c>
      <c r="K111" s="28" t="s">
        <v>3858</v>
      </c>
      <c r="L111" s="28" t="s">
        <v>3859</v>
      </c>
      <c r="M111" s="28" t="s">
        <v>3684</v>
      </c>
      <c r="N111" s="28" t="s">
        <v>3685</v>
      </c>
    </row>
    <row r="112" spans="1:14">
      <c r="A112" t="s">
        <v>26</v>
      </c>
      <c r="B112" t="s">
        <v>54</v>
      </c>
      <c r="C112">
        <v>2116</v>
      </c>
      <c r="D112">
        <v>51</v>
      </c>
      <c r="E112" t="s">
        <v>960</v>
      </c>
      <c r="F112" s="35" t="s">
        <v>970</v>
      </c>
      <c r="G112" s="28" t="s">
        <v>1501</v>
      </c>
      <c r="H112" s="28" t="s">
        <v>1500</v>
      </c>
      <c r="I112" s="28" t="s">
        <v>3825</v>
      </c>
      <c r="J112" s="28" t="s">
        <v>3819</v>
      </c>
      <c r="K112" s="28" t="s">
        <v>3860</v>
      </c>
      <c r="L112" s="28" t="s">
        <v>3859</v>
      </c>
      <c r="M112" s="28" t="s">
        <v>3861</v>
      </c>
      <c r="N112" s="28" t="s">
        <v>3685</v>
      </c>
    </row>
    <row r="113" spans="1:14">
      <c r="A113" t="s">
        <v>26</v>
      </c>
      <c r="B113" t="s">
        <v>54</v>
      </c>
      <c r="C113">
        <v>2124</v>
      </c>
      <c r="D113">
        <v>45</v>
      </c>
      <c r="E113" t="s">
        <v>960</v>
      </c>
      <c r="F113" s="35" t="s">
        <v>972</v>
      </c>
      <c r="G113" s="28" t="s">
        <v>1521</v>
      </c>
      <c r="H113" s="28" t="s">
        <v>1506</v>
      </c>
      <c r="I113" s="28" t="s">
        <v>3766</v>
      </c>
      <c r="J113" s="28" t="s">
        <v>3767</v>
      </c>
      <c r="K113" s="28" t="s">
        <v>3862</v>
      </c>
      <c r="L113" s="28" t="s">
        <v>3863</v>
      </c>
      <c r="M113" s="28" t="s">
        <v>3864</v>
      </c>
      <c r="N113" s="28" t="s">
        <v>3865</v>
      </c>
    </row>
    <row r="114" spans="1:14">
      <c r="A114" t="s">
        <v>26</v>
      </c>
      <c r="B114" t="s">
        <v>54</v>
      </c>
      <c r="C114">
        <v>2126</v>
      </c>
      <c r="D114">
        <v>48</v>
      </c>
      <c r="E114" t="s">
        <v>960</v>
      </c>
      <c r="F114" s="35" t="s">
        <v>972</v>
      </c>
      <c r="G114" s="28" t="s">
        <v>1514</v>
      </c>
      <c r="H114" s="28" t="s">
        <v>1506</v>
      </c>
      <c r="I114" s="28" t="s">
        <v>3773</v>
      </c>
      <c r="J114" s="28" t="s">
        <v>3767</v>
      </c>
      <c r="K114" s="28" t="s">
        <v>3866</v>
      </c>
      <c r="L114" s="28" t="s">
        <v>3863</v>
      </c>
      <c r="M114" s="28" t="s">
        <v>3867</v>
      </c>
      <c r="N114" s="28" t="s">
        <v>3865</v>
      </c>
    </row>
    <row r="115" spans="1:14">
      <c r="A115" t="s">
        <v>26</v>
      </c>
      <c r="B115" t="s">
        <v>54</v>
      </c>
      <c r="C115">
        <v>2127</v>
      </c>
      <c r="D115">
        <v>13</v>
      </c>
      <c r="E115" t="s">
        <v>960</v>
      </c>
      <c r="F115" s="35" t="s">
        <v>973</v>
      </c>
      <c r="G115" s="28" t="s">
        <v>1507</v>
      </c>
      <c r="H115" s="28" t="s">
        <v>1508</v>
      </c>
      <c r="I115" s="28" t="s">
        <v>3849</v>
      </c>
      <c r="J115" s="28" t="s">
        <v>3748</v>
      </c>
      <c r="K115" s="28" t="s">
        <v>3868</v>
      </c>
      <c r="L115" s="28" t="s">
        <v>3869</v>
      </c>
      <c r="M115" s="28" t="s">
        <v>3870</v>
      </c>
      <c r="N115" s="28" t="s">
        <v>3693</v>
      </c>
    </row>
    <row r="116" spans="1:14">
      <c r="A116" t="s">
        <v>26</v>
      </c>
      <c r="B116" t="s">
        <v>54</v>
      </c>
      <c r="C116">
        <v>2129</v>
      </c>
      <c r="D116">
        <v>10</v>
      </c>
      <c r="E116" t="s">
        <v>960</v>
      </c>
      <c r="F116" s="35" t="s">
        <v>973</v>
      </c>
      <c r="G116" s="28" t="s">
        <v>1510</v>
      </c>
      <c r="H116" s="28" t="s">
        <v>1508</v>
      </c>
      <c r="I116" s="28" t="s">
        <v>3747</v>
      </c>
      <c r="J116" s="28" t="s">
        <v>3748</v>
      </c>
      <c r="K116" s="28" t="s">
        <v>3871</v>
      </c>
      <c r="L116" s="28" t="s">
        <v>3869</v>
      </c>
      <c r="M116" s="28" t="s">
        <v>3692</v>
      </c>
      <c r="N116" s="28" t="s">
        <v>3693</v>
      </c>
    </row>
    <row r="117" spans="1:14">
      <c r="A117" t="s">
        <v>26</v>
      </c>
      <c r="B117" t="s">
        <v>54</v>
      </c>
      <c r="C117">
        <v>2132</v>
      </c>
      <c r="D117">
        <v>57</v>
      </c>
      <c r="E117" t="s">
        <v>960</v>
      </c>
      <c r="F117" s="35" t="s">
        <v>974</v>
      </c>
      <c r="G117" s="28" t="s">
        <v>1516</v>
      </c>
      <c r="H117" s="28" t="s">
        <v>1513</v>
      </c>
      <c r="I117" s="28" t="s">
        <v>3751</v>
      </c>
      <c r="J117" s="28" t="s">
        <v>3752</v>
      </c>
      <c r="K117" s="28" t="s">
        <v>3872</v>
      </c>
      <c r="L117" s="28" t="s">
        <v>3873</v>
      </c>
      <c r="M117" s="28" t="s">
        <v>3874</v>
      </c>
      <c r="N117" s="28" t="s">
        <v>3699</v>
      </c>
    </row>
    <row r="118" spans="1:14">
      <c r="A118" t="s">
        <v>26</v>
      </c>
      <c r="B118" t="s">
        <v>54</v>
      </c>
      <c r="C118">
        <v>2133</v>
      </c>
      <c r="D118">
        <v>33</v>
      </c>
      <c r="E118" t="s">
        <v>960</v>
      </c>
      <c r="F118" s="35" t="s">
        <v>974</v>
      </c>
      <c r="G118" s="28" t="s">
        <v>1512</v>
      </c>
      <c r="H118" s="28" t="s">
        <v>1513</v>
      </c>
      <c r="I118" s="28" t="s">
        <v>3755</v>
      </c>
      <c r="J118" s="28" t="s">
        <v>3752</v>
      </c>
      <c r="K118" s="28" t="s">
        <v>3875</v>
      </c>
      <c r="L118" s="28" t="s">
        <v>3873</v>
      </c>
      <c r="M118" s="28" t="s">
        <v>3698</v>
      </c>
      <c r="N118" s="28" t="s">
        <v>3699</v>
      </c>
    </row>
    <row r="119" spans="1:14">
      <c r="A119" t="s">
        <v>26</v>
      </c>
      <c r="B119" t="s">
        <v>54</v>
      </c>
      <c r="C119">
        <v>2134</v>
      </c>
      <c r="D119">
        <v>23</v>
      </c>
      <c r="E119" t="s">
        <v>960</v>
      </c>
      <c r="F119" s="35" t="s">
        <v>974</v>
      </c>
      <c r="G119" s="28" t="s">
        <v>6016</v>
      </c>
      <c r="H119" s="28" t="s">
        <v>1513</v>
      </c>
      <c r="I119" s="28" t="s">
        <v>6032</v>
      </c>
      <c r="J119" s="28" t="s">
        <v>3752</v>
      </c>
      <c r="K119" s="28" t="s">
        <v>6038</v>
      </c>
      <c r="L119" s="28" t="s">
        <v>3873</v>
      </c>
      <c r="M119" s="28" t="s">
        <v>6039</v>
      </c>
      <c r="N119" s="28" t="s">
        <v>3699</v>
      </c>
    </row>
    <row r="120" spans="1:14">
      <c r="A120" t="s">
        <v>26</v>
      </c>
      <c r="B120" t="s">
        <v>54</v>
      </c>
      <c r="C120">
        <v>2135</v>
      </c>
      <c r="D120">
        <v>2</v>
      </c>
      <c r="E120" t="s">
        <v>960</v>
      </c>
      <c r="F120" s="35" t="s">
        <v>974</v>
      </c>
      <c r="G120" s="28" t="s">
        <v>6155</v>
      </c>
      <c r="H120" s="28" t="s">
        <v>1513</v>
      </c>
      <c r="I120" s="28" t="s">
        <v>6156</v>
      </c>
      <c r="J120" s="28" t="s">
        <v>3752</v>
      </c>
      <c r="K120" s="28" t="s">
        <v>6165</v>
      </c>
      <c r="L120" s="28" t="s">
        <v>3873</v>
      </c>
      <c r="M120" s="28" t="s">
        <v>6166</v>
      </c>
      <c r="N120" s="28" t="s">
        <v>3699</v>
      </c>
    </row>
    <row r="121" spans="1:14">
      <c r="A121" t="s">
        <v>26</v>
      </c>
      <c r="B121" t="s">
        <v>54</v>
      </c>
      <c r="C121">
        <v>2136</v>
      </c>
      <c r="D121">
        <v>11</v>
      </c>
      <c r="E121" t="s">
        <v>960</v>
      </c>
      <c r="F121" s="35" t="s">
        <v>997</v>
      </c>
      <c r="G121" s="28" t="s">
        <v>6270</v>
      </c>
      <c r="H121" s="28" t="s">
        <v>6271</v>
      </c>
      <c r="I121" s="28" t="s">
        <v>6272</v>
      </c>
      <c r="J121" s="28" t="s">
        <v>6273</v>
      </c>
      <c r="K121" s="28" t="s">
        <v>6290</v>
      </c>
      <c r="L121" s="28" t="s">
        <v>6291</v>
      </c>
      <c r="M121" s="28" t="s">
        <v>6292</v>
      </c>
      <c r="N121" s="28" t="s">
        <v>6293</v>
      </c>
    </row>
    <row r="122" spans="1:14">
      <c r="A122" t="s">
        <v>26</v>
      </c>
      <c r="B122" t="s">
        <v>54</v>
      </c>
      <c r="C122">
        <v>2137</v>
      </c>
      <c r="D122">
        <v>5</v>
      </c>
      <c r="E122" t="s">
        <v>960</v>
      </c>
      <c r="F122" s="35" t="s">
        <v>997</v>
      </c>
      <c r="G122" s="28" t="s">
        <v>6435</v>
      </c>
      <c r="H122" s="28" t="s">
        <v>6271</v>
      </c>
      <c r="I122" s="28" t="s">
        <v>6436</v>
      </c>
      <c r="J122" s="28" t="s">
        <v>6273</v>
      </c>
      <c r="K122" s="28" t="s">
        <v>6445</v>
      </c>
      <c r="L122" s="28" t="s">
        <v>6291</v>
      </c>
      <c r="M122" s="28" t="s">
        <v>6446</v>
      </c>
      <c r="N122" s="28" t="s">
        <v>6293</v>
      </c>
    </row>
    <row r="123" spans="1:14">
      <c r="A123" t="s">
        <v>26</v>
      </c>
      <c r="B123" t="s">
        <v>55</v>
      </c>
      <c r="C123">
        <v>2116</v>
      </c>
      <c r="D123">
        <v>2</v>
      </c>
      <c r="E123" t="s">
        <v>960</v>
      </c>
      <c r="F123" s="35" t="s">
        <v>970</v>
      </c>
      <c r="G123" s="28" t="s">
        <v>1501</v>
      </c>
      <c r="H123" s="28" t="s">
        <v>1500</v>
      </c>
      <c r="I123" s="28" t="s">
        <v>3825</v>
      </c>
      <c r="J123" s="28" t="s">
        <v>3819</v>
      </c>
      <c r="K123" s="28" t="s">
        <v>3876</v>
      </c>
      <c r="L123" s="28" t="s">
        <v>3877</v>
      </c>
      <c r="M123" s="28" t="s">
        <v>3878</v>
      </c>
      <c r="N123" s="28" t="s">
        <v>3703</v>
      </c>
    </row>
    <row r="124" spans="1:14">
      <c r="A124" t="s">
        <v>26</v>
      </c>
      <c r="B124" t="s">
        <v>55</v>
      </c>
      <c r="C124">
        <v>2117</v>
      </c>
      <c r="D124">
        <v>31</v>
      </c>
      <c r="E124" t="s">
        <v>960</v>
      </c>
      <c r="F124" s="35" t="s">
        <v>970</v>
      </c>
      <c r="G124" s="28" t="s">
        <v>1527</v>
      </c>
      <c r="H124" s="28" t="s">
        <v>1500</v>
      </c>
      <c r="I124" s="28" t="s">
        <v>3827</v>
      </c>
      <c r="J124" s="28" t="s">
        <v>3819</v>
      </c>
      <c r="K124" s="28" t="s">
        <v>3879</v>
      </c>
      <c r="L124" s="28" t="s">
        <v>3877</v>
      </c>
      <c r="M124" s="28" t="s">
        <v>3880</v>
      </c>
      <c r="N124" s="28" t="s">
        <v>3703</v>
      </c>
    </row>
    <row r="125" spans="1:14">
      <c r="A125" t="s">
        <v>26</v>
      </c>
      <c r="B125" t="s">
        <v>55</v>
      </c>
      <c r="C125">
        <v>2124</v>
      </c>
      <c r="D125">
        <v>37</v>
      </c>
      <c r="E125" t="s">
        <v>960</v>
      </c>
      <c r="F125" s="35" t="s">
        <v>972</v>
      </c>
      <c r="G125" s="28" t="s">
        <v>1521</v>
      </c>
      <c r="H125" s="28" t="s">
        <v>1506</v>
      </c>
      <c r="I125" s="28" t="s">
        <v>3766</v>
      </c>
      <c r="J125" s="28" t="s">
        <v>3767</v>
      </c>
      <c r="K125" s="28" t="s">
        <v>3881</v>
      </c>
      <c r="L125" s="28" t="s">
        <v>3882</v>
      </c>
      <c r="M125" s="28" t="s">
        <v>3883</v>
      </c>
      <c r="N125" s="28" t="s">
        <v>3884</v>
      </c>
    </row>
    <row r="126" spans="1:14">
      <c r="A126" t="s">
        <v>26</v>
      </c>
      <c r="B126" t="s">
        <v>55</v>
      </c>
      <c r="C126">
        <v>2125</v>
      </c>
      <c r="D126">
        <v>80</v>
      </c>
      <c r="E126" t="s">
        <v>960</v>
      </c>
      <c r="F126" s="35" t="s">
        <v>972</v>
      </c>
      <c r="G126" s="28" t="s">
        <v>1522</v>
      </c>
      <c r="H126" s="28" t="s">
        <v>1506</v>
      </c>
      <c r="I126" s="28" t="s">
        <v>3770</v>
      </c>
      <c r="J126" s="28" t="s">
        <v>3767</v>
      </c>
      <c r="K126" s="28" t="s">
        <v>3885</v>
      </c>
      <c r="L126" s="28" t="s">
        <v>3882</v>
      </c>
      <c r="M126" s="28" t="s">
        <v>3886</v>
      </c>
      <c r="N126" s="28" t="s">
        <v>3884</v>
      </c>
    </row>
    <row r="127" spans="1:14">
      <c r="A127" t="s">
        <v>26</v>
      </c>
      <c r="B127" t="s">
        <v>55</v>
      </c>
      <c r="C127">
        <v>2126</v>
      </c>
      <c r="D127">
        <v>45</v>
      </c>
      <c r="E127" t="s">
        <v>960</v>
      </c>
      <c r="F127" s="35" t="s">
        <v>972</v>
      </c>
      <c r="G127" s="28" t="s">
        <v>1514</v>
      </c>
      <c r="H127" s="28" t="s">
        <v>1506</v>
      </c>
      <c r="I127" s="28" t="s">
        <v>3773</v>
      </c>
      <c r="J127" s="28" t="s">
        <v>3767</v>
      </c>
      <c r="K127" s="28" t="s">
        <v>3887</v>
      </c>
      <c r="L127" s="28" t="s">
        <v>3882</v>
      </c>
      <c r="M127" s="28" t="s">
        <v>3888</v>
      </c>
      <c r="N127" s="28" t="s">
        <v>3884</v>
      </c>
    </row>
    <row r="128" spans="1:14">
      <c r="A128" t="s">
        <v>26</v>
      </c>
      <c r="B128" t="s">
        <v>55</v>
      </c>
      <c r="C128">
        <v>2129</v>
      </c>
      <c r="D128">
        <v>3</v>
      </c>
      <c r="E128" t="s">
        <v>960</v>
      </c>
      <c r="F128" s="35" t="s">
        <v>973</v>
      </c>
      <c r="G128" s="28" t="s">
        <v>1510</v>
      </c>
      <c r="H128" s="28" t="s">
        <v>1508</v>
      </c>
      <c r="I128" s="28" t="s">
        <v>3747</v>
      </c>
      <c r="J128" s="28" t="s">
        <v>3748</v>
      </c>
      <c r="K128" s="28" t="s">
        <v>3889</v>
      </c>
      <c r="L128" s="28" t="s">
        <v>3890</v>
      </c>
      <c r="M128" s="28" t="s">
        <v>3891</v>
      </c>
      <c r="N128" s="28" t="s">
        <v>3707</v>
      </c>
    </row>
    <row r="129" spans="1:14">
      <c r="A129" t="s">
        <v>26</v>
      </c>
      <c r="B129" t="s">
        <v>55</v>
      </c>
      <c r="C129">
        <v>2132</v>
      </c>
      <c r="D129">
        <v>58</v>
      </c>
      <c r="E129" t="s">
        <v>960</v>
      </c>
      <c r="F129" s="35" t="s">
        <v>974</v>
      </c>
      <c r="G129" s="28" t="s">
        <v>1516</v>
      </c>
      <c r="H129" s="28" t="s">
        <v>1513</v>
      </c>
      <c r="I129" s="28" t="s">
        <v>3751</v>
      </c>
      <c r="J129" s="28" t="s">
        <v>3752</v>
      </c>
      <c r="K129" s="28" t="s">
        <v>3892</v>
      </c>
      <c r="L129" s="28" t="s">
        <v>3893</v>
      </c>
      <c r="M129" s="28" t="s">
        <v>3713</v>
      </c>
      <c r="N129" s="28" t="s">
        <v>3711</v>
      </c>
    </row>
    <row r="130" spans="1:14">
      <c r="A130" t="s">
        <v>26</v>
      </c>
      <c r="B130" t="s">
        <v>55</v>
      </c>
      <c r="C130">
        <v>2133</v>
      </c>
      <c r="D130">
        <v>42</v>
      </c>
      <c r="E130" t="s">
        <v>960</v>
      </c>
      <c r="F130" s="35" t="s">
        <v>974</v>
      </c>
      <c r="G130" s="28" t="s">
        <v>1512</v>
      </c>
      <c r="H130" s="28" t="s">
        <v>1513</v>
      </c>
      <c r="I130" s="28" t="s">
        <v>3755</v>
      </c>
      <c r="J130" s="28" t="s">
        <v>3752</v>
      </c>
      <c r="K130" s="28" t="s">
        <v>3894</v>
      </c>
      <c r="L130" s="28" t="s">
        <v>3893</v>
      </c>
      <c r="M130" s="28" t="s">
        <v>3715</v>
      </c>
      <c r="N130" s="28" t="s">
        <v>3711</v>
      </c>
    </row>
    <row r="131" spans="1:14">
      <c r="A131" t="s">
        <v>26</v>
      </c>
      <c r="B131" t="s">
        <v>55</v>
      </c>
      <c r="C131">
        <v>2134</v>
      </c>
      <c r="D131">
        <v>5</v>
      </c>
      <c r="E131" t="s">
        <v>960</v>
      </c>
      <c r="F131" s="35" t="s">
        <v>974</v>
      </c>
      <c r="G131" s="28" t="s">
        <v>6016</v>
      </c>
      <c r="H131" s="28" t="s">
        <v>1513</v>
      </c>
      <c r="I131" s="28" t="s">
        <v>6032</v>
      </c>
      <c r="J131" s="28" t="s">
        <v>3752</v>
      </c>
      <c r="K131" s="28" t="s">
        <v>6040</v>
      </c>
      <c r="L131" s="28" t="s">
        <v>3893</v>
      </c>
      <c r="M131" s="28" t="s">
        <v>6041</v>
      </c>
      <c r="N131" s="28" t="s">
        <v>3711</v>
      </c>
    </row>
    <row r="132" spans="1:14">
      <c r="A132" t="s">
        <v>26</v>
      </c>
      <c r="B132" t="s">
        <v>55</v>
      </c>
      <c r="C132">
        <v>2136</v>
      </c>
      <c r="D132">
        <v>35</v>
      </c>
      <c r="E132" t="s">
        <v>960</v>
      </c>
      <c r="F132" s="35" t="s">
        <v>997</v>
      </c>
      <c r="G132" s="28" t="s">
        <v>6270</v>
      </c>
      <c r="H132" s="28" t="s">
        <v>6271</v>
      </c>
      <c r="I132" s="28" t="s">
        <v>6272</v>
      </c>
      <c r="J132" s="28" t="s">
        <v>6273</v>
      </c>
      <c r="K132" s="28" t="s">
        <v>6294</v>
      </c>
      <c r="L132" s="28" t="s">
        <v>6295</v>
      </c>
      <c r="M132" s="28" t="s">
        <v>6296</v>
      </c>
      <c r="N132" s="28" t="s">
        <v>6297</v>
      </c>
    </row>
    <row r="133" spans="1:14">
      <c r="A133" t="s">
        <v>26</v>
      </c>
      <c r="B133" t="s">
        <v>55</v>
      </c>
      <c r="C133">
        <v>2137</v>
      </c>
      <c r="D133">
        <v>34</v>
      </c>
      <c r="E133" t="s">
        <v>960</v>
      </c>
      <c r="F133" s="35" t="s">
        <v>997</v>
      </c>
      <c r="G133" s="28" t="s">
        <v>6435</v>
      </c>
      <c r="H133" s="28" t="s">
        <v>6271</v>
      </c>
      <c r="I133" s="28" t="s">
        <v>6436</v>
      </c>
      <c r="J133" s="28" t="s">
        <v>6273</v>
      </c>
      <c r="K133" s="28" t="s">
        <v>6447</v>
      </c>
      <c r="L133" s="28" t="s">
        <v>6295</v>
      </c>
      <c r="M133" s="28" t="s">
        <v>6448</v>
      </c>
      <c r="N133" s="28" t="s">
        <v>6297</v>
      </c>
    </row>
    <row r="134" spans="1:14">
      <c r="A134" t="s">
        <v>26</v>
      </c>
      <c r="B134" t="s">
        <v>53</v>
      </c>
      <c r="C134">
        <v>2118</v>
      </c>
      <c r="D134">
        <v>7</v>
      </c>
      <c r="E134" t="s">
        <v>960</v>
      </c>
      <c r="F134" s="35" t="s">
        <v>971</v>
      </c>
      <c r="G134" s="28" t="s">
        <v>1502</v>
      </c>
      <c r="H134" s="28" t="s">
        <v>1503</v>
      </c>
      <c r="I134" s="28" t="s">
        <v>3830</v>
      </c>
      <c r="J134" s="28" t="s">
        <v>3758</v>
      </c>
      <c r="K134" s="28" t="s">
        <v>3895</v>
      </c>
      <c r="L134" s="28" t="s">
        <v>3896</v>
      </c>
      <c r="M134" s="28" t="s">
        <v>3897</v>
      </c>
      <c r="N134" s="28" t="s">
        <v>3898</v>
      </c>
    </row>
    <row r="135" spans="1:14">
      <c r="A135" t="s">
        <v>26</v>
      </c>
      <c r="B135" t="s">
        <v>53</v>
      </c>
      <c r="C135">
        <v>2120</v>
      </c>
      <c r="D135">
        <v>145</v>
      </c>
      <c r="E135" t="s">
        <v>960</v>
      </c>
      <c r="F135" s="35" t="s">
        <v>971</v>
      </c>
      <c r="G135" s="28" t="s">
        <v>1504</v>
      </c>
      <c r="H135" s="28" t="s">
        <v>1503</v>
      </c>
      <c r="I135" s="28" t="s">
        <v>3761</v>
      </c>
      <c r="J135" s="28" t="s">
        <v>3758</v>
      </c>
      <c r="K135" s="28" t="s">
        <v>3899</v>
      </c>
      <c r="L135" s="28" t="s">
        <v>3896</v>
      </c>
      <c r="M135" s="28" t="s">
        <v>3900</v>
      </c>
      <c r="N135" s="28" t="s">
        <v>3898</v>
      </c>
    </row>
    <row r="136" spans="1:14">
      <c r="A136" t="s">
        <v>26</v>
      </c>
      <c r="B136" t="s">
        <v>53</v>
      </c>
      <c r="C136">
        <v>2121</v>
      </c>
      <c r="D136">
        <v>60</v>
      </c>
      <c r="E136" t="s">
        <v>960</v>
      </c>
      <c r="F136" s="35" t="s">
        <v>971</v>
      </c>
      <c r="G136" s="28" t="s">
        <v>1518</v>
      </c>
      <c r="H136" s="28" t="s">
        <v>1503</v>
      </c>
      <c r="I136" s="28" t="s">
        <v>3836</v>
      </c>
      <c r="J136" s="28" t="s">
        <v>3758</v>
      </c>
      <c r="K136" s="28" t="s">
        <v>3901</v>
      </c>
      <c r="L136" s="28" t="s">
        <v>3896</v>
      </c>
      <c r="M136" s="28" t="s">
        <v>3902</v>
      </c>
      <c r="N136" s="28" t="s">
        <v>3898</v>
      </c>
    </row>
    <row r="137" spans="1:14">
      <c r="A137" t="s">
        <v>26</v>
      </c>
      <c r="B137" t="s">
        <v>53</v>
      </c>
      <c r="C137">
        <v>2123</v>
      </c>
      <c r="D137">
        <v>486</v>
      </c>
      <c r="E137" t="s">
        <v>960</v>
      </c>
      <c r="F137" s="35" t="s">
        <v>972</v>
      </c>
      <c r="G137" s="28" t="s">
        <v>1505</v>
      </c>
      <c r="H137" s="28" t="s">
        <v>1506</v>
      </c>
      <c r="I137" s="28" t="s">
        <v>3784</v>
      </c>
      <c r="J137" s="28" t="s">
        <v>3767</v>
      </c>
      <c r="K137" s="28" t="s">
        <v>3903</v>
      </c>
      <c r="L137" s="28" t="s">
        <v>3904</v>
      </c>
      <c r="M137" s="28" t="s">
        <v>3905</v>
      </c>
      <c r="N137" s="28" t="s">
        <v>3627</v>
      </c>
    </row>
    <row r="138" spans="1:14">
      <c r="A138" t="s">
        <v>26</v>
      </c>
      <c r="B138" t="s">
        <v>53</v>
      </c>
      <c r="C138">
        <v>2124</v>
      </c>
      <c r="D138">
        <v>290</v>
      </c>
      <c r="E138" t="s">
        <v>960</v>
      </c>
      <c r="F138" s="35" t="s">
        <v>972</v>
      </c>
      <c r="G138" s="28" t="s">
        <v>1521</v>
      </c>
      <c r="H138" s="28" t="s">
        <v>1506</v>
      </c>
      <c r="I138" s="28" t="s">
        <v>3766</v>
      </c>
      <c r="J138" s="28" t="s">
        <v>3767</v>
      </c>
      <c r="K138" s="28" t="s">
        <v>3906</v>
      </c>
      <c r="L138" s="28" t="s">
        <v>3904</v>
      </c>
      <c r="M138" s="28" t="s">
        <v>3907</v>
      </c>
      <c r="N138" s="28" t="s">
        <v>3627</v>
      </c>
    </row>
    <row r="139" spans="1:14">
      <c r="A139" t="s">
        <v>26</v>
      </c>
      <c r="B139" t="s">
        <v>53</v>
      </c>
      <c r="C139">
        <v>2125</v>
      </c>
      <c r="D139">
        <v>257</v>
      </c>
      <c r="E139" t="s">
        <v>960</v>
      </c>
      <c r="F139" s="35" t="s">
        <v>972</v>
      </c>
      <c r="G139" s="28" t="s">
        <v>1522</v>
      </c>
      <c r="H139" s="28" t="s">
        <v>1506</v>
      </c>
      <c r="I139" s="28" t="s">
        <v>3770</v>
      </c>
      <c r="J139" s="28" t="s">
        <v>3767</v>
      </c>
      <c r="K139" s="28" t="s">
        <v>3908</v>
      </c>
      <c r="L139" s="28" t="s">
        <v>3904</v>
      </c>
      <c r="M139" s="28" t="s">
        <v>3909</v>
      </c>
      <c r="N139" s="28" t="s">
        <v>3627</v>
      </c>
    </row>
    <row r="140" spans="1:14">
      <c r="A140" t="s">
        <v>26</v>
      </c>
      <c r="B140" t="s">
        <v>53</v>
      </c>
      <c r="C140">
        <v>2126</v>
      </c>
      <c r="D140">
        <v>320</v>
      </c>
      <c r="E140" t="s">
        <v>960</v>
      </c>
      <c r="F140" s="35" t="s">
        <v>972</v>
      </c>
      <c r="G140" s="28" t="s">
        <v>1514</v>
      </c>
      <c r="H140" s="28" t="s">
        <v>1506</v>
      </c>
      <c r="I140" s="28" t="s">
        <v>3773</v>
      </c>
      <c r="J140" s="28" t="s">
        <v>3767</v>
      </c>
      <c r="K140" s="28" t="s">
        <v>3910</v>
      </c>
      <c r="L140" s="28" t="s">
        <v>3904</v>
      </c>
      <c r="M140" s="28" t="s">
        <v>3626</v>
      </c>
      <c r="N140" s="28" t="s">
        <v>3627</v>
      </c>
    </row>
    <row r="141" spans="1:14">
      <c r="A141" t="s">
        <v>26</v>
      </c>
      <c r="B141" t="s">
        <v>53</v>
      </c>
      <c r="C141">
        <v>2127</v>
      </c>
      <c r="D141">
        <v>549</v>
      </c>
      <c r="E141" t="s">
        <v>960</v>
      </c>
      <c r="F141" s="35" t="s">
        <v>973</v>
      </c>
      <c r="G141" s="28" t="s">
        <v>1507</v>
      </c>
      <c r="H141" s="28" t="s">
        <v>1508</v>
      </c>
      <c r="I141" s="28" t="s">
        <v>3849</v>
      </c>
      <c r="J141" s="28" t="s">
        <v>3748</v>
      </c>
      <c r="K141" s="28" t="s">
        <v>3911</v>
      </c>
      <c r="L141" s="28" t="s">
        <v>3912</v>
      </c>
      <c r="M141" s="28" t="s">
        <v>3630</v>
      </c>
      <c r="N141" s="28" t="s">
        <v>3631</v>
      </c>
    </row>
    <row r="142" spans="1:14">
      <c r="A142" t="s">
        <v>26</v>
      </c>
      <c r="B142" t="s">
        <v>53</v>
      </c>
      <c r="C142">
        <v>2128</v>
      </c>
      <c r="D142">
        <v>279</v>
      </c>
      <c r="E142" t="s">
        <v>960</v>
      </c>
      <c r="F142" s="35" t="s">
        <v>973</v>
      </c>
      <c r="G142" s="28" t="s">
        <v>1509</v>
      </c>
      <c r="H142" s="28" t="s">
        <v>1508</v>
      </c>
      <c r="I142" s="28" t="s">
        <v>3791</v>
      </c>
      <c r="J142" s="28" t="s">
        <v>3748</v>
      </c>
      <c r="K142" s="28" t="s">
        <v>3913</v>
      </c>
      <c r="L142" s="28" t="s">
        <v>3912</v>
      </c>
      <c r="M142" s="28" t="s">
        <v>3914</v>
      </c>
      <c r="N142" s="28" t="s">
        <v>3631</v>
      </c>
    </row>
    <row r="143" spans="1:14">
      <c r="A143" t="s">
        <v>26</v>
      </c>
      <c r="B143" t="s">
        <v>53</v>
      </c>
      <c r="C143">
        <v>2129</v>
      </c>
      <c r="D143">
        <v>309</v>
      </c>
      <c r="E143" t="s">
        <v>960</v>
      </c>
      <c r="F143" s="35" t="s">
        <v>973</v>
      </c>
      <c r="G143" s="28" t="s">
        <v>1510</v>
      </c>
      <c r="H143" s="28" t="s">
        <v>1508</v>
      </c>
      <c r="I143" s="28" t="s">
        <v>3747</v>
      </c>
      <c r="J143" s="28" t="s">
        <v>3748</v>
      </c>
      <c r="K143" s="28" t="s">
        <v>3915</v>
      </c>
      <c r="L143" s="28" t="s">
        <v>3912</v>
      </c>
      <c r="M143" s="28" t="s">
        <v>3916</v>
      </c>
      <c r="N143" s="28" t="s">
        <v>3631</v>
      </c>
    </row>
    <row r="144" spans="1:14">
      <c r="A144" t="s">
        <v>26</v>
      </c>
      <c r="B144" t="s">
        <v>53</v>
      </c>
      <c r="C144">
        <v>2132</v>
      </c>
      <c r="D144">
        <v>250</v>
      </c>
      <c r="E144" t="s">
        <v>960</v>
      </c>
      <c r="F144" s="35" t="s">
        <v>974</v>
      </c>
      <c r="G144" s="28" t="s">
        <v>1516</v>
      </c>
      <c r="H144" s="28" t="s">
        <v>1513</v>
      </c>
      <c r="I144" s="28" t="s">
        <v>3751</v>
      </c>
      <c r="J144" s="28" t="s">
        <v>3752</v>
      </c>
      <c r="K144" s="28" t="s">
        <v>3917</v>
      </c>
      <c r="L144" s="28" t="s">
        <v>3918</v>
      </c>
      <c r="M144" s="28" t="s">
        <v>3919</v>
      </c>
      <c r="N144" s="28" t="s">
        <v>3920</v>
      </c>
    </row>
    <row r="145" spans="1:14">
      <c r="A145" t="s">
        <v>26</v>
      </c>
      <c r="B145" t="s">
        <v>53</v>
      </c>
      <c r="C145">
        <v>2133</v>
      </c>
      <c r="D145">
        <v>1223</v>
      </c>
      <c r="E145" t="s">
        <v>960</v>
      </c>
      <c r="F145" s="35" t="s">
        <v>974</v>
      </c>
      <c r="G145" s="28" t="s">
        <v>1512</v>
      </c>
      <c r="H145" s="28" t="s">
        <v>1513</v>
      </c>
      <c r="I145" s="28" t="s">
        <v>3755</v>
      </c>
      <c r="J145" s="28" t="s">
        <v>3752</v>
      </c>
      <c r="K145" s="28" t="s">
        <v>3921</v>
      </c>
      <c r="L145" s="28" t="s">
        <v>3918</v>
      </c>
      <c r="M145" s="28" t="s">
        <v>3922</v>
      </c>
      <c r="N145" s="28" t="s">
        <v>3920</v>
      </c>
    </row>
    <row r="146" spans="1:14">
      <c r="A146" t="s">
        <v>26</v>
      </c>
      <c r="B146" t="s">
        <v>53</v>
      </c>
      <c r="C146">
        <v>2134</v>
      </c>
      <c r="D146">
        <v>367</v>
      </c>
      <c r="E146" t="s">
        <v>960</v>
      </c>
      <c r="F146" s="35" t="s">
        <v>974</v>
      </c>
      <c r="G146" s="28" t="s">
        <v>6016</v>
      </c>
      <c r="H146" s="28" t="s">
        <v>1513</v>
      </c>
      <c r="I146" s="28" t="s">
        <v>6032</v>
      </c>
      <c r="J146" s="28" t="s">
        <v>3752</v>
      </c>
      <c r="K146" s="28" t="s">
        <v>6042</v>
      </c>
      <c r="L146" s="28" t="s">
        <v>3918</v>
      </c>
      <c r="M146" s="28" t="s">
        <v>6029</v>
      </c>
      <c r="N146" s="28" t="s">
        <v>3920</v>
      </c>
    </row>
    <row r="147" spans="1:14">
      <c r="A147" t="s">
        <v>26</v>
      </c>
      <c r="B147" t="s">
        <v>53</v>
      </c>
      <c r="C147">
        <v>2135</v>
      </c>
      <c r="D147">
        <v>387</v>
      </c>
      <c r="E147" t="s">
        <v>960</v>
      </c>
      <c r="F147" s="35" t="s">
        <v>974</v>
      </c>
      <c r="G147" s="28" t="s">
        <v>6155</v>
      </c>
      <c r="H147" s="28" t="s">
        <v>1513</v>
      </c>
      <c r="I147" s="28" t="s">
        <v>6156</v>
      </c>
      <c r="J147" s="28" t="s">
        <v>3752</v>
      </c>
      <c r="K147" s="28" t="s">
        <v>6167</v>
      </c>
      <c r="L147" s="28" t="s">
        <v>3918</v>
      </c>
      <c r="M147" s="28" t="s">
        <v>6168</v>
      </c>
      <c r="N147" s="28" t="s">
        <v>3920</v>
      </c>
    </row>
    <row r="148" spans="1:14">
      <c r="A148" t="s">
        <v>26</v>
      </c>
      <c r="B148" t="s">
        <v>53</v>
      </c>
      <c r="C148">
        <v>2136</v>
      </c>
      <c r="D148">
        <v>883</v>
      </c>
      <c r="E148" t="s">
        <v>960</v>
      </c>
      <c r="F148" s="35" t="s">
        <v>997</v>
      </c>
      <c r="G148" s="28" t="s">
        <v>6270</v>
      </c>
      <c r="H148" s="28" t="s">
        <v>6271</v>
      </c>
      <c r="I148" s="28" t="s">
        <v>6272</v>
      </c>
      <c r="J148" s="28" t="s">
        <v>6273</v>
      </c>
      <c r="K148" s="28" t="s">
        <v>6298</v>
      </c>
      <c r="L148" s="28" t="s">
        <v>6299</v>
      </c>
      <c r="M148" s="28" t="s">
        <v>6300</v>
      </c>
      <c r="N148" s="28" t="s">
        <v>6301</v>
      </c>
    </row>
    <row r="149" spans="1:14">
      <c r="A149" t="s">
        <v>26</v>
      </c>
      <c r="B149" t="s">
        <v>53</v>
      </c>
      <c r="C149">
        <v>2137</v>
      </c>
      <c r="D149">
        <v>233</v>
      </c>
      <c r="E149" t="s">
        <v>960</v>
      </c>
      <c r="F149" s="35" t="s">
        <v>997</v>
      </c>
      <c r="G149" s="28" t="s">
        <v>6435</v>
      </c>
      <c r="H149" s="28" t="s">
        <v>6271</v>
      </c>
      <c r="I149" s="28" t="s">
        <v>6436</v>
      </c>
      <c r="J149" s="28" t="s">
        <v>6273</v>
      </c>
      <c r="K149" s="28" t="s">
        <v>6449</v>
      </c>
      <c r="L149" s="28" t="s">
        <v>6299</v>
      </c>
      <c r="M149" s="28" t="s">
        <v>6450</v>
      </c>
      <c r="N149" s="28" t="s">
        <v>6301</v>
      </c>
    </row>
    <row r="150" spans="1:14">
      <c r="A150" t="s">
        <v>26</v>
      </c>
      <c r="B150" t="s">
        <v>53</v>
      </c>
      <c r="C150">
        <v>2117</v>
      </c>
      <c r="D150">
        <v>2</v>
      </c>
      <c r="E150" t="s">
        <v>960</v>
      </c>
      <c r="F150" s="35" t="s">
        <v>970</v>
      </c>
      <c r="G150" s="28" t="s">
        <v>1527</v>
      </c>
      <c r="H150" s="28" t="s">
        <v>1500</v>
      </c>
      <c r="I150" s="28" t="s">
        <v>3827</v>
      </c>
      <c r="J150" s="28" t="s">
        <v>3819</v>
      </c>
      <c r="K150" s="28" t="s">
        <v>3923</v>
      </c>
      <c r="L150" s="28" t="s">
        <v>3924</v>
      </c>
      <c r="M150" s="28" t="s">
        <v>3925</v>
      </c>
      <c r="N150" s="28" t="s">
        <v>3622</v>
      </c>
    </row>
    <row r="151" spans="1:14">
      <c r="A151" t="s">
        <v>26</v>
      </c>
      <c r="B151" t="s">
        <v>53</v>
      </c>
      <c r="C151">
        <v>2118</v>
      </c>
      <c r="D151">
        <v>39</v>
      </c>
      <c r="E151" t="s">
        <v>960</v>
      </c>
      <c r="F151" s="35" t="s">
        <v>971</v>
      </c>
      <c r="G151" s="28" t="s">
        <v>1502</v>
      </c>
      <c r="H151" s="28" t="s">
        <v>1503</v>
      </c>
      <c r="I151" s="28" t="s">
        <v>3830</v>
      </c>
      <c r="J151" s="28" t="s">
        <v>3758</v>
      </c>
      <c r="K151" s="28" t="s">
        <v>3895</v>
      </c>
      <c r="L151" s="28" t="s">
        <v>3896</v>
      </c>
      <c r="M151" s="28" t="s">
        <v>3897</v>
      </c>
      <c r="N151" s="28" t="s">
        <v>3898</v>
      </c>
    </row>
    <row r="152" spans="1:14">
      <c r="A152" t="s">
        <v>26</v>
      </c>
      <c r="B152" t="s">
        <v>53</v>
      </c>
      <c r="C152">
        <v>2119</v>
      </c>
      <c r="D152">
        <v>18</v>
      </c>
      <c r="E152" t="s">
        <v>960</v>
      </c>
      <c r="F152" s="35" t="s">
        <v>971</v>
      </c>
      <c r="G152" s="28" t="s">
        <v>1517</v>
      </c>
      <c r="H152" s="28" t="s">
        <v>1503</v>
      </c>
      <c r="I152" s="28" t="s">
        <v>3757</v>
      </c>
      <c r="J152" s="28" t="s">
        <v>3758</v>
      </c>
      <c r="K152" s="28" t="s">
        <v>3926</v>
      </c>
      <c r="L152" s="28" t="s">
        <v>3896</v>
      </c>
      <c r="M152" s="28" t="s">
        <v>3927</v>
      </c>
      <c r="N152" s="28" t="s">
        <v>3898</v>
      </c>
    </row>
    <row r="153" spans="1:14">
      <c r="A153" t="s">
        <v>26</v>
      </c>
      <c r="B153" t="s">
        <v>53</v>
      </c>
      <c r="C153">
        <v>2120</v>
      </c>
      <c r="D153">
        <v>364</v>
      </c>
      <c r="E153" t="s">
        <v>960</v>
      </c>
      <c r="F153" s="35" t="s">
        <v>971</v>
      </c>
      <c r="G153" s="28" t="s">
        <v>1504</v>
      </c>
      <c r="H153" s="28" t="s">
        <v>1503</v>
      </c>
      <c r="I153" s="28" t="s">
        <v>3761</v>
      </c>
      <c r="J153" s="28" t="s">
        <v>3758</v>
      </c>
      <c r="K153" s="28" t="s">
        <v>3899</v>
      </c>
      <c r="L153" s="28" t="s">
        <v>3896</v>
      </c>
      <c r="M153" s="28" t="s">
        <v>3900</v>
      </c>
      <c r="N153" s="28" t="s">
        <v>3898</v>
      </c>
    </row>
    <row r="154" spans="1:14">
      <c r="A154" t="s">
        <v>26</v>
      </c>
      <c r="B154" t="s">
        <v>53</v>
      </c>
      <c r="C154">
        <v>2121</v>
      </c>
      <c r="D154">
        <v>336</v>
      </c>
      <c r="E154" t="s">
        <v>960</v>
      </c>
      <c r="F154" s="35" t="s">
        <v>971</v>
      </c>
      <c r="G154" s="28" t="s">
        <v>1518</v>
      </c>
      <c r="H154" s="28" t="s">
        <v>1503</v>
      </c>
      <c r="I154" s="28" t="s">
        <v>3836</v>
      </c>
      <c r="J154" s="28" t="s">
        <v>3758</v>
      </c>
      <c r="K154" s="28" t="s">
        <v>3901</v>
      </c>
      <c r="L154" s="28" t="s">
        <v>3896</v>
      </c>
      <c r="M154" s="28" t="s">
        <v>3902</v>
      </c>
      <c r="N154" s="28" t="s">
        <v>3898</v>
      </c>
    </row>
    <row r="155" spans="1:14">
      <c r="A155" t="s">
        <v>26</v>
      </c>
      <c r="B155" t="s">
        <v>53</v>
      </c>
      <c r="C155">
        <v>2122</v>
      </c>
      <c r="D155">
        <v>45</v>
      </c>
      <c r="E155" t="s">
        <v>960</v>
      </c>
      <c r="F155" s="35" t="s">
        <v>971</v>
      </c>
      <c r="G155" s="28" t="s">
        <v>1519</v>
      </c>
      <c r="H155" s="28" t="s">
        <v>1503</v>
      </c>
      <c r="I155" s="28" t="s">
        <v>3764</v>
      </c>
      <c r="J155" s="28" t="s">
        <v>3758</v>
      </c>
      <c r="K155" s="28" t="s">
        <v>3928</v>
      </c>
      <c r="L155" s="28" t="s">
        <v>3896</v>
      </c>
      <c r="M155" s="28" t="s">
        <v>3929</v>
      </c>
      <c r="N155" s="28" t="s">
        <v>3898</v>
      </c>
    </row>
    <row r="156" spans="1:14">
      <c r="A156" t="s">
        <v>26</v>
      </c>
      <c r="B156" t="s">
        <v>53</v>
      </c>
      <c r="C156">
        <v>2123</v>
      </c>
      <c r="D156">
        <v>1204</v>
      </c>
      <c r="E156" t="s">
        <v>960</v>
      </c>
      <c r="F156" s="35" t="s">
        <v>972</v>
      </c>
      <c r="G156" s="28" t="s">
        <v>1505</v>
      </c>
      <c r="H156" s="28" t="s">
        <v>1506</v>
      </c>
      <c r="I156" s="28" t="s">
        <v>3784</v>
      </c>
      <c r="J156" s="28" t="s">
        <v>3767</v>
      </c>
      <c r="K156" s="28" t="s">
        <v>3903</v>
      </c>
      <c r="L156" s="28" t="s">
        <v>3904</v>
      </c>
      <c r="M156" s="28" t="s">
        <v>3905</v>
      </c>
      <c r="N156" s="28" t="s">
        <v>3627</v>
      </c>
    </row>
    <row r="157" spans="1:14">
      <c r="A157" t="s">
        <v>26</v>
      </c>
      <c r="B157" t="s">
        <v>53</v>
      </c>
      <c r="C157">
        <v>2124</v>
      </c>
      <c r="D157">
        <v>211</v>
      </c>
      <c r="E157" t="s">
        <v>960</v>
      </c>
      <c r="F157" s="35" t="s">
        <v>972</v>
      </c>
      <c r="G157" s="28" t="s">
        <v>1521</v>
      </c>
      <c r="H157" s="28" t="s">
        <v>1506</v>
      </c>
      <c r="I157" s="28" t="s">
        <v>3766</v>
      </c>
      <c r="J157" s="28" t="s">
        <v>3767</v>
      </c>
      <c r="K157" s="28" t="s">
        <v>3906</v>
      </c>
      <c r="L157" s="28" t="s">
        <v>3904</v>
      </c>
      <c r="M157" s="28" t="s">
        <v>3907</v>
      </c>
      <c r="N157" s="28" t="s">
        <v>3627</v>
      </c>
    </row>
    <row r="158" spans="1:14">
      <c r="A158" t="s">
        <v>26</v>
      </c>
      <c r="B158" t="s">
        <v>53</v>
      </c>
      <c r="C158">
        <v>2125</v>
      </c>
      <c r="D158">
        <v>844</v>
      </c>
      <c r="E158" t="s">
        <v>960</v>
      </c>
      <c r="F158" s="35" t="s">
        <v>972</v>
      </c>
      <c r="G158" s="28" t="s">
        <v>1522</v>
      </c>
      <c r="H158" s="28" t="s">
        <v>1506</v>
      </c>
      <c r="I158" s="28" t="s">
        <v>3770</v>
      </c>
      <c r="J158" s="28" t="s">
        <v>3767</v>
      </c>
      <c r="K158" s="28" t="s">
        <v>3908</v>
      </c>
      <c r="L158" s="28" t="s">
        <v>3904</v>
      </c>
      <c r="M158" s="28" t="s">
        <v>3909</v>
      </c>
      <c r="N158" s="28" t="s">
        <v>3627</v>
      </c>
    </row>
    <row r="159" spans="1:14">
      <c r="A159" t="s">
        <v>26</v>
      </c>
      <c r="B159" t="s">
        <v>53</v>
      </c>
      <c r="C159">
        <v>2126</v>
      </c>
      <c r="D159">
        <v>1250</v>
      </c>
      <c r="E159" t="s">
        <v>960</v>
      </c>
      <c r="F159" s="35" t="s">
        <v>972</v>
      </c>
      <c r="G159" s="28" t="s">
        <v>1514</v>
      </c>
      <c r="H159" s="28" t="s">
        <v>1506</v>
      </c>
      <c r="I159" s="28" t="s">
        <v>3773</v>
      </c>
      <c r="J159" s="28" t="s">
        <v>3767</v>
      </c>
      <c r="K159" s="28" t="s">
        <v>3910</v>
      </c>
      <c r="L159" s="28" t="s">
        <v>3904</v>
      </c>
      <c r="M159" s="28" t="s">
        <v>3626</v>
      </c>
      <c r="N159" s="28" t="s">
        <v>3627</v>
      </c>
    </row>
    <row r="160" spans="1:14">
      <c r="A160" t="s">
        <v>26</v>
      </c>
      <c r="B160" t="s">
        <v>53</v>
      </c>
      <c r="C160">
        <v>2127</v>
      </c>
      <c r="D160">
        <v>912</v>
      </c>
      <c r="E160" t="s">
        <v>960</v>
      </c>
      <c r="F160" s="35" t="s">
        <v>973</v>
      </c>
      <c r="G160" s="28" t="s">
        <v>1507</v>
      </c>
      <c r="H160" s="28" t="s">
        <v>1508</v>
      </c>
      <c r="I160" s="28" t="s">
        <v>3849</v>
      </c>
      <c r="J160" s="28" t="s">
        <v>3748</v>
      </c>
      <c r="K160" s="28" t="s">
        <v>3911</v>
      </c>
      <c r="L160" s="28" t="s">
        <v>3912</v>
      </c>
      <c r="M160" s="28" t="s">
        <v>3630</v>
      </c>
      <c r="N160" s="28" t="s">
        <v>3631</v>
      </c>
    </row>
    <row r="161" spans="1:14">
      <c r="A161" t="s">
        <v>26</v>
      </c>
      <c r="B161" t="s">
        <v>53</v>
      </c>
      <c r="C161">
        <v>2128</v>
      </c>
      <c r="D161">
        <v>904</v>
      </c>
      <c r="E161" t="s">
        <v>960</v>
      </c>
      <c r="F161" s="35" t="s">
        <v>973</v>
      </c>
      <c r="G161" s="28" t="s">
        <v>1509</v>
      </c>
      <c r="H161" s="28" t="s">
        <v>1508</v>
      </c>
      <c r="I161" s="28" t="s">
        <v>3791</v>
      </c>
      <c r="J161" s="28" t="s">
        <v>3748</v>
      </c>
      <c r="K161" s="28" t="s">
        <v>3913</v>
      </c>
      <c r="L161" s="28" t="s">
        <v>3912</v>
      </c>
      <c r="M161" s="28" t="s">
        <v>3914</v>
      </c>
      <c r="N161" s="28" t="s">
        <v>3631</v>
      </c>
    </row>
    <row r="162" spans="1:14">
      <c r="A162" t="s">
        <v>26</v>
      </c>
      <c r="B162" t="s">
        <v>53</v>
      </c>
      <c r="C162">
        <v>2129</v>
      </c>
      <c r="D162">
        <v>561</v>
      </c>
      <c r="E162" t="s">
        <v>960</v>
      </c>
      <c r="F162" s="35" t="s">
        <v>973</v>
      </c>
      <c r="G162" s="28" t="s">
        <v>1510</v>
      </c>
      <c r="H162" s="28" t="s">
        <v>1508</v>
      </c>
      <c r="I162" s="28" t="s">
        <v>3747</v>
      </c>
      <c r="J162" s="28" t="s">
        <v>3748</v>
      </c>
      <c r="K162" s="28" t="s">
        <v>3915</v>
      </c>
      <c r="L162" s="28" t="s">
        <v>3912</v>
      </c>
      <c r="M162" s="28" t="s">
        <v>3916</v>
      </c>
      <c r="N162" s="28" t="s">
        <v>3631</v>
      </c>
    </row>
    <row r="163" spans="1:14">
      <c r="A163" t="s">
        <v>26</v>
      </c>
      <c r="B163" t="s">
        <v>53</v>
      </c>
      <c r="C163">
        <v>2132</v>
      </c>
      <c r="D163">
        <v>1271</v>
      </c>
      <c r="E163" t="s">
        <v>960</v>
      </c>
      <c r="F163" s="35" t="s">
        <v>974</v>
      </c>
      <c r="G163" s="28" t="s">
        <v>1516</v>
      </c>
      <c r="H163" s="28" t="s">
        <v>1513</v>
      </c>
      <c r="I163" s="28" t="s">
        <v>3751</v>
      </c>
      <c r="J163" s="28" t="s">
        <v>3752</v>
      </c>
      <c r="K163" s="28" t="s">
        <v>3917</v>
      </c>
      <c r="L163" s="28" t="s">
        <v>3918</v>
      </c>
      <c r="M163" s="28" t="s">
        <v>3919</v>
      </c>
      <c r="N163" s="28" t="s">
        <v>3920</v>
      </c>
    </row>
    <row r="164" spans="1:14">
      <c r="A164" t="s">
        <v>26</v>
      </c>
      <c r="B164" t="s">
        <v>53</v>
      </c>
      <c r="C164">
        <v>2133</v>
      </c>
      <c r="D164">
        <v>1353</v>
      </c>
      <c r="E164" t="s">
        <v>960</v>
      </c>
      <c r="F164" s="35" t="s">
        <v>974</v>
      </c>
      <c r="G164" s="28" t="s">
        <v>1512</v>
      </c>
      <c r="H164" s="28" t="s">
        <v>1513</v>
      </c>
      <c r="I164" s="28" t="s">
        <v>3755</v>
      </c>
      <c r="J164" s="28" t="s">
        <v>3752</v>
      </c>
      <c r="K164" s="28" t="s">
        <v>3921</v>
      </c>
      <c r="L164" s="28" t="s">
        <v>3918</v>
      </c>
      <c r="M164" s="28" t="s">
        <v>3922</v>
      </c>
      <c r="N164" s="28" t="s">
        <v>3920</v>
      </c>
    </row>
    <row r="165" spans="1:14">
      <c r="A165" t="s">
        <v>26</v>
      </c>
      <c r="B165" t="s">
        <v>53</v>
      </c>
      <c r="C165">
        <v>2134</v>
      </c>
      <c r="D165">
        <v>1005</v>
      </c>
      <c r="E165" t="s">
        <v>960</v>
      </c>
      <c r="F165" s="35" t="s">
        <v>974</v>
      </c>
      <c r="G165" s="28" t="s">
        <v>6016</v>
      </c>
      <c r="H165" s="28" t="s">
        <v>1513</v>
      </c>
      <c r="I165" s="28" t="s">
        <v>6032</v>
      </c>
      <c r="J165" s="28" t="s">
        <v>3752</v>
      </c>
      <c r="K165" s="28" t="s">
        <v>6042</v>
      </c>
      <c r="L165" s="28" t="s">
        <v>3918</v>
      </c>
      <c r="M165" s="28" t="s">
        <v>6029</v>
      </c>
      <c r="N165" s="28" t="s">
        <v>3920</v>
      </c>
    </row>
    <row r="166" spans="1:14">
      <c r="A166" t="s">
        <v>26</v>
      </c>
      <c r="B166" t="s">
        <v>53</v>
      </c>
      <c r="C166">
        <v>2135</v>
      </c>
      <c r="D166">
        <v>965</v>
      </c>
      <c r="E166" t="s">
        <v>960</v>
      </c>
      <c r="F166" s="35" t="s">
        <v>974</v>
      </c>
      <c r="G166" s="28" t="s">
        <v>6155</v>
      </c>
      <c r="H166" s="28" t="s">
        <v>1513</v>
      </c>
      <c r="I166" s="28" t="s">
        <v>6156</v>
      </c>
      <c r="J166" s="28" t="s">
        <v>3752</v>
      </c>
      <c r="K166" s="28" t="s">
        <v>6167</v>
      </c>
      <c r="L166" s="28" t="s">
        <v>3918</v>
      </c>
      <c r="M166" s="28" t="s">
        <v>6168</v>
      </c>
      <c r="N166" s="28" t="s">
        <v>3920</v>
      </c>
    </row>
    <row r="167" spans="1:14">
      <c r="A167" t="s">
        <v>26</v>
      </c>
      <c r="B167" t="s">
        <v>53</v>
      </c>
      <c r="C167">
        <v>2136</v>
      </c>
      <c r="D167">
        <v>943</v>
      </c>
      <c r="E167" t="s">
        <v>960</v>
      </c>
      <c r="F167" s="35" t="s">
        <v>997</v>
      </c>
      <c r="G167" s="28" t="s">
        <v>6270</v>
      </c>
      <c r="H167" s="28" t="s">
        <v>6271</v>
      </c>
      <c r="I167" s="28" t="s">
        <v>6272</v>
      </c>
      <c r="J167" s="28" t="s">
        <v>6273</v>
      </c>
      <c r="K167" s="28" t="s">
        <v>6298</v>
      </c>
      <c r="L167" s="28" t="s">
        <v>6299</v>
      </c>
      <c r="M167" s="28" t="s">
        <v>6300</v>
      </c>
      <c r="N167" s="28" t="s">
        <v>6301</v>
      </c>
    </row>
    <row r="168" spans="1:14">
      <c r="A168" t="s">
        <v>26</v>
      </c>
      <c r="B168" t="s">
        <v>53</v>
      </c>
      <c r="C168">
        <v>2137</v>
      </c>
      <c r="D168">
        <v>916</v>
      </c>
      <c r="E168" t="s">
        <v>960</v>
      </c>
      <c r="F168" s="35" t="s">
        <v>997</v>
      </c>
      <c r="G168" s="28" t="s">
        <v>6435</v>
      </c>
      <c r="H168" s="28" t="s">
        <v>6271</v>
      </c>
      <c r="I168" s="28" t="s">
        <v>6436</v>
      </c>
      <c r="J168" s="28" t="s">
        <v>6273</v>
      </c>
      <c r="K168" s="28" t="s">
        <v>6449</v>
      </c>
      <c r="L168" s="28" t="s">
        <v>6299</v>
      </c>
      <c r="M168" s="28" t="s">
        <v>6450</v>
      </c>
      <c r="N168" s="28" t="s">
        <v>6301</v>
      </c>
    </row>
    <row r="169" spans="1:14">
      <c r="A169" t="s">
        <v>26</v>
      </c>
      <c r="B169" t="s">
        <v>66</v>
      </c>
      <c r="C169">
        <v>2119</v>
      </c>
      <c r="D169">
        <v>13</v>
      </c>
      <c r="E169" t="s">
        <v>960</v>
      </c>
      <c r="F169" s="35" t="s">
        <v>971</v>
      </c>
      <c r="G169" s="28" t="s">
        <v>1517</v>
      </c>
      <c r="H169" s="28" t="s">
        <v>1503</v>
      </c>
      <c r="I169" s="28" t="s">
        <v>3757</v>
      </c>
      <c r="J169" s="28" t="s">
        <v>3758</v>
      </c>
      <c r="K169" s="28" t="s">
        <v>3930</v>
      </c>
      <c r="L169" s="28" t="s">
        <v>3931</v>
      </c>
      <c r="M169" s="28" t="s">
        <v>3932</v>
      </c>
      <c r="N169" s="28" t="s">
        <v>3933</v>
      </c>
    </row>
    <row r="170" spans="1:14">
      <c r="A170" t="s">
        <v>26</v>
      </c>
      <c r="B170" t="s">
        <v>66</v>
      </c>
      <c r="C170">
        <v>2121</v>
      </c>
      <c r="D170">
        <v>341</v>
      </c>
      <c r="E170" t="s">
        <v>960</v>
      </c>
      <c r="F170" s="35" t="s">
        <v>971</v>
      </c>
      <c r="G170" s="28" t="s">
        <v>1518</v>
      </c>
      <c r="H170" s="28" t="s">
        <v>1503</v>
      </c>
      <c r="I170" s="28" t="s">
        <v>3836</v>
      </c>
      <c r="J170" s="28" t="s">
        <v>3758</v>
      </c>
      <c r="K170" s="28" t="s">
        <v>3934</v>
      </c>
      <c r="L170" s="28" t="s">
        <v>3931</v>
      </c>
      <c r="M170" s="28" t="s">
        <v>3935</v>
      </c>
      <c r="N170" s="28" t="s">
        <v>3933</v>
      </c>
    </row>
    <row r="171" spans="1:14">
      <c r="A171" t="s">
        <v>26</v>
      </c>
      <c r="B171" t="s">
        <v>66</v>
      </c>
      <c r="C171">
        <v>2122</v>
      </c>
      <c r="D171">
        <v>223</v>
      </c>
      <c r="E171" t="s">
        <v>960</v>
      </c>
      <c r="F171" s="35" t="s">
        <v>971</v>
      </c>
      <c r="G171" s="28" t="s">
        <v>1519</v>
      </c>
      <c r="H171" s="28" t="s">
        <v>1503</v>
      </c>
      <c r="I171" s="28" t="s">
        <v>3764</v>
      </c>
      <c r="J171" s="28" t="s">
        <v>3758</v>
      </c>
      <c r="K171" s="28" t="s">
        <v>3936</v>
      </c>
      <c r="L171" s="28" t="s">
        <v>3931</v>
      </c>
      <c r="M171" s="28" t="s">
        <v>3937</v>
      </c>
      <c r="N171" s="28" t="s">
        <v>3933</v>
      </c>
    </row>
    <row r="172" spans="1:14">
      <c r="A172" t="s">
        <v>26</v>
      </c>
      <c r="B172" t="s">
        <v>66</v>
      </c>
      <c r="C172">
        <v>2123</v>
      </c>
      <c r="D172">
        <v>100</v>
      </c>
      <c r="E172" t="s">
        <v>960</v>
      </c>
      <c r="F172" s="35" t="s">
        <v>972</v>
      </c>
      <c r="G172" s="28" t="s">
        <v>1505</v>
      </c>
      <c r="H172" s="28" t="s">
        <v>1506</v>
      </c>
      <c r="I172" s="28" t="s">
        <v>3784</v>
      </c>
      <c r="J172" s="28" t="s">
        <v>3767</v>
      </c>
      <c r="K172" s="28" t="s">
        <v>3938</v>
      </c>
      <c r="L172" s="28" t="s">
        <v>3939</v>
      </c>
      <c r="M172" s="28" t="s">
        <v>3940</v>
      </c>
      <c r="N172" s="28" t="s">
        <v>3941</v>
      </c>
    </row>
    <row r="173" spans="1:14">
      <c r="A173" t="s">
        <v>26</v>
      </c>
      <c r="B173" t="s">
        <v>66</v>
      </c>
      <c r="C173">
        <v>2124</v>
      </c>
      <c r="D173">
        <v>205</v>
      </c>
      <c r="E173" t="s">
        <v>960</v>
      </c>
      <c r="F173" s="35" t="s">
        <v>972</v>
      </c>
      <c r="G173" s="28" t="s">
        <v>1521</v>
      </c>
      <c r="H173" s="28" t="s">
        <v>1506</v>
      </c>
      <c r="I173" s="28" t="s">
        <v>3766</v>
      </c>
      <c r="J173" s="28" t="s">
        <v>3767</v>
      </c>
      <c r="K173" s="28" t="s">
        <v>3942</v>
      </c>
      <c r="L173" s="28" t="s">
        <v>3939</v>
      </c>
      <c r="M173" s="28" t="s">
        <v>3943</v>
      </c>
      <c r="N173" s="28" t="s">
        <v>3941</v>
      </c>
    </row>
    <row r="174" spans="1:14">
      <c r="A174" t="s">
        <v>26</v>
      </c>
      <c r="B174" t="s">
        <v>66</v>
      </c>
      <c r="C174">
        <v>2125</v>
      </c>
      <c r="D174">
        <v>260</v>
      </c>
      <c r="E174" t="s">
        <v>960</v>
      </c>
      <c r="F174" s="35" t="s">
        <v>972</v>
      </c>
      <c r="G174" s="28" t="s">
        <v>1522</v>
      </c>
      <c r="H174" s="28" t="s">
        <v>1506</v>
      </c>
      <c r="I174" s="28" t="s">
        <v>3770</v>
      </c>
      <c r="J174" s="28" t="s">
        <v>3767</v>
      </c>
      <c r="K174" s="28" t="s">
        <v>3944</v>
      </c>
      <c r="L174" s="28" t="s">
        <v>3939</v>
      </c>
      <c r="M174" s="28" t="s">
        <v>3945</v>
      </c>
      <c r="N174" s="28" t="s">
        <v>3941</v>
      </c>
    </row>
    <row r="175" spans="1:14">
      <c r="A175" t="s">
        <v>26</v>
      </c>
      <c r="B175" t="s">
        <v>66</v>
      </c>
      <c r="C175">
        <v>2126</v>
      </c>
      <c r="D175">
        <v>781</v>
      </c>
      <c r="E175" t="s">
        <v>960</v>
      </c>
      <c r="F175" s="35" t="s">
        <v>972</v>
      </c>
      <c r="G175" s="28" t="s">
        <v>1514</v>
      </c>
      <c r="H175" s="28" t="s">
        <v>1506</v>
      </c>
      <c r="I175" s="28" t="s">
        <v>3773</v>
      </c>
      <c r="J175" s="28" t="s">
        <v>3767</v>
      </c>
      <c r="K175" s="28" t="s">
        <v>3946</v>
      </c>
      <c r="L175" s="28" t="s">
        <v>3939</v>
      </c>
      <c r="M175" s="28" t="s">
        <v>3947</v>
      </c>
      <c r="N175" s="28" t="s">
        <v>3941</v>
      </c>
    </row>
    <row r="176" spans="1:14">
      <c r="A176" t="s">
        <v>26</v>
      </c>
      <c r="B176" t="s">
        <v>66</v>
      </c>
      <c r="C176">
        <v>2127</v>
      </c>
      <c r="D176">
        <v>90</v>
      </c>
      <c r="E176" t="s">
        <v>960</v>
      </c>
      <c r="F176" s="35" t="s">
        <v>973</v>
      </c>
      <c r="G176" s="28" t="s">
        <v>1507</v>
      </c>
      <c r="H176" s="28" t="s">
        <v>1508</v>
      </c>
      <c r="I176" s="28" t="s">
        <v>3849</v>
      </c>
      <c r="J176" s="28" t="s">
        <v>3748</v>
      </c>
      <c r="K176" s="28" t="s">
        <v>3948</v>
      </c>
      <c r="L176" s="28" t="s">
        <v>3949</v>
      </c>
      <c r="M176" s="28" t="s">
        <v>3950</v>
      </c>
      <c r="N176" s="28" t="s">
        <v>3951</v>
      </c>
    </row>
    <row r="177" spans="1:14">
      <c r="A177" t="s">
        <v>26</v>
      </c>
      <c r="B177" t="s">
        <v>66</v>
      </c>
      <c r="C177">
        <v>2129</v>
      </c>
      <c r="D177">
        <v>278</v>
      </c>
      <c r="E177" t="s">
        <v>960</v>
      </c>
      <c r="F177" s="35" t="s">
        <v>973</v>
      </c>
      <c r="G177" s="28" t="s">
        <v>1510</v>
      </c>
      <c r="H177" s="28" t="s">
        <v>1508</v>
      </c>
      <c r="I177" s="28" t="s">
        <v>3747</v>
      </c>
      <c r="J177" s="28" t="s">
        <v>3748</v>
      </c>
      <c r="K177" s="28" t="s">
        <v>3952</v>
      </c>
      <c r="L177" s="28" t="s">
        <v>3949</v>
      </c>
      <c r="M177" s="28" t="s">
        <v>3953</v>
      </c>
      <c r="N177" s="28" t="s">
        <v>3951</v>
      </c>
    </row>
    <row r="178" spans="1:14">
      <c r="A178" t="s">
        <v>26</v>
      </c>
      <c r="B178" t="s">
        <v>66</v>
      </c>
      <c r="C178">
        <v>2132</v>
      </c>
      <c r="D178">
        <v>589</v>
      </c>
      <c r="E178" t="s">
        <v>960</v>
      </c>
      <c r="F178" s="35" t="s">
        <v>974</v>
      </c>
      <c r="G178" s="28" t="s">
        <v>1516</v>
      </c>
      <c r="H178" s="28" t="s">
        <v>1513</v>
      </c>
      <c r="I178" s="28" t="s">
        <v>3751</v>
      </c>
      <c r="J178" s="28" t="s">
        <v>3752</v>
      </c>
      <c r="K178" s="28" t="s">
        <v>3954</v>
      </c>
      <c r="L178" s="28" t="s">
        <v>3955</v>
      </c>
      <c r="M178" s="28" t="s">
        <v>3956</v>
      </c>
      <c r="N178" s="28" t="s">
        <v>3957</v>
      </c>
    </row>
    <row r="179" spans="1:14">
      <c r="A179" t="s">
        <v>26</v>
      </c>
      <c r="B179" t="s">
        <v>66</v>
      </c>
      <c r="C179">
        <v>2133</v>
      </c>
      <c r="D179">
        <v>10</v>
      </c>
      <c r="E179" t="s">
        <v>960</v>
      </c>
      <c r="F179" s="35" t="s">
        <v>974</v>
      </c>
      <c r="G179" s="28" t="s">
        <v>1512</v>
      </c>
      <c r="H179" s="28" t="s">
        <v>1513</v>
      </c>
      <c r="I179" s="28" t="s">
        <v>3755</v>
      </c>
      <c r="J179" s="28" t="s">
        <v>3752</v>
      </c>
      <c r="K179" s="28" t="s">
        <v>3958</v>
      </c>
      <c r="L179" s="28" t="s">
        <v>3955</v>
      </c>
      <c r="M179" s="28" t="s">
        <v>3959</v>
      </c>
      <c r="N179" s="28" t="s">
        <v>3957</v>
      </c>
    </row>
    <row r="180" spans="1:14">
      <c r="A180" t="s">
        <v>26</v>
      </c>
      <c r="B180" t="s">
        <v>66</v>
      </c>
      <c r="C180">
        <v>2134</v>
      </c>
      <c r="D180">
        <v>212</v>
      </c>
      <c r="E180" t="s">
        <v>960</v>
      </c>
      <c r="F180" s="35" t="s">
        <v>974</v>
      </c>
      <c r="G180" s="28" t="s">
        <v>6016</v>
      </c>
      <c r="H180" s="28" t="s">
        <v>1513</v>
      </c>
      <c r="I180" s="28" t="s">
        <v>6032</v>
      </c>
      <c r="J180" s="28" t="s">
        <v>3752</v>
      </c>
      <c r="K180" s="28" t="s">
        <v>6043</v>
      </c>
      <c r="L180" s="28" t="s">
        <v>3955</v>
      </c>
      <c r="M180" s="28" t="s">
        <v>6031</v>
      </c>
      <c r="N180" s="28" t="s">
        <v>3957</v>
      </c>
    </row>
    <row r="181" spans="1:14">
      <c r="A181" t="s">
        <v>26</v>
      </c>
      <c r="B181" t="s">
        <v>66</v>
      </c>
      <c r="C181">
        <v>2135</v>
      </c>
      <c r="D181">
        <v>501</v>
      </c>
      <c r="E181" t="s">
        <v>960</v>
      </c>
      <c r="F181" s="35" t="s">
        <v>974</v>
      </c>
      <c r="G181" s="28" t="s">
        <v>6155</v>
      </c>
      <c r="H181" s="28" t="s">
        <v>1513</v>
      </c>
      <c r="I181" s="28" t="s">
        <v>6156</v>
      </c>
      <c r="J181" s="28" t="s">
        <v>3752</v>
      </c>
      <c r="K181" s="28" t="s">
        <v>6169</v>
      </c>
      <c r="L181" s="28" t="s">
        <v>3955</v>
      </c>
      <c r="M181" s="28" t="s">
        <v>6170</v>
      </c>
      <c r="N181" s="28" t="s">
        <v>3957</v>
      </c>
    </row>
    <row r="182" spans="1:14">
      <c r="A182" t="s">
        <v>26</v>
      </c>
      <c r="B182" t="s">
        <v>66</v>
      </c>
      <c r="C182">
        <v>2136</v>
      </c>
      <c r="D182">
        <v>204</v>
      </c>
      <c r="E182" t="s">
        <v>960</v>
      </c>
      <c r="F182" s="35" t="s">
        <v>997</v>
      </c>
      <c r="G182" s="28" t="s">
        <v>6270</v>
      </c>
      <c r="H182" s="28" t="s">
        <v>6271</v>
      </c>
      <c r="I182" s="28" t="s">
        <v>6272</v>
      </c>
      <c r="J182" s="28" t="s">
        <v>6273</v>
      </c>
      <c r="K182" s="28" t="s">
        <v>6302</v>
      </c>
      <c r="L182" s="28" t="s">
        <v>6303</v>
      </c>
      <c r="M182" s="28" t="s">
        <v>6304</v>
      </c>
      <c r="N182" s="28" t="s">
        <v>6305</v>
      </c>
    </row>
    <row r="183" spans="1:14">
      <c r="A183" t="s">
        <v>26</v>
      </c>
      <c r="B183" t="s">
        <v>66</v>
      </c>
      <c r="C183">
        <v>2137</v>
      </c>
      <c r="D183">
        <v>95</v>
      </c>
      <c r="E183" t="s">
        <v>960</v>
      </c>
      <c r="F183" s="35" t="s">
        <v>997</v>
      </c>
      <c r="G183" s="28" t="s">
        <v>6435</v>
      </c>
      <c r="H183" s="28" t="s">
        <v>6271</v>
      </c>
      <c r="I183" s="28" t="s">
        <v>6436</v>
      </c>
      <c r="J183" s="28" t="s">
        <v>6273</v>
      </c>
      <c r="K183" s="28" t="s">
        <v>6451</v>
      </c>
      <c r="L183" s="28" t="s">
        <v>6303</v>
      </c>
      <c r="M183" s="28" t="s">
        <v>6452</v>
      </c>
      <c r="N183" s="28" t="s">
        <v>6305</v>
      </c>
    </row>
    <row r="184" spans="1:14">
      <c r="A184" t="s">
        <v>26</v>
      </c>
      <c r="B184" t="s">
        <v>66</v>
      </c>
      <c r="C184">
        <v>2118</v>
      </c>
      <c r="D184">
        <v>2</v>
      </c>
      <c r="E184" t="s">
        <v>960</v>
      </c>
      <c r="F184" s="35" t="s">
        <v>971</v>
      </c>
      <c r="G184" s="28" t="s">
        <v>1502</v>
      </c>
      <c r="H184" s="28" t="s">
        <v>1503</v>
      </c>
      <c r="I184" s="28" t="s">
        <v>3830</v>
      </c>
      <c r="J184" s="28" t="s">
        <v>3758</v>
      </c>
      <c r="K184" s="28" t="s">
        <v>3960</v>
      </c>
      <c r="L184" s="28" t="s">
        <v>3931</v>
      </c>
      <c r="M184" s="28" t="s">
        <v>3961</v>
      </c>
      <c r="N184" s="28" t="s">
        <v>3933</v>
      </c>
    </row>
    <row r="185" spans="1:14">
      <c r="A185" t="s">
        <v>26</v>
      </c>
      <c r="B185" t="s">
        <v>66</v>
      </c>
      <c r="C185">
        <v>2119</v>
      </c>
      <c r="D185">
        <v>28</v>
      </c>
      <c r="E185" t="s">
        <v>960</v>
      </c>
      <c r="F185" s="35" t="s">
        <v>971</v>
      </c>
      <c r="G185" s="28" t="s">
        <v>1517</v>
      </c>
      <c r="H185" s="28" t="s">
        <v>1503</v>
      </c>
      <c r="I185" s="28" t="s">
        <v>3757</v>
      </c>
      <c r="J185" s="28" t="s">
        <v>3758</v>
      </c>
      <c r="K185" s="28" t="s">
        <v>3930</v>
      </c>
      <c r="L185" s="28" t="s">
        <v>3931</v>
      </c>
      <c r="M185" s="28" t="s">
        <v>3932</v>
      </c>
      <c r="N185" s="28" t="s">
        <v>3933</v>
      </c>
    </row>
    <row r="186" spans="1:14">
      <c r="A186" t="s">
        <v>26</v>
      </c>
      <c r="B186" t="s">
        <v>66</v>
      </c>
      <c r="C186">
        <v>2121</v>
      </c>
      <c r="D186">
        <v>464</v>
      </c>
      <c r="E186" t="s">
        <v>960</v>
      </c>
      <c r="F186" s="35" t="s">
        <v>971</v>
      </c>
      <c r="G186" s="28" t="s">
        <v>1518</v>
      </c>
      <c r="H186" s="28" t="s">
        <v>1503</v>
      </c>
      <c r="I186" s="28" t="s">
        <v>3836</v>
      </c>
      <c r="J186" s="28" t="s">
        <v>3758</v>
      </c>
      <c r="K186" s="28" t="s">
        <v>3934</v>
      </c>
      <c r="L186" s="28" t="s">
        <v>3931</v>
      </c>
      <c r="M186" s="28" t="s">
        <v>3935</v>
      </c>
      <c r="N186" s="28" t="s">
        <v>3933</v>
      </c>
    </row>
    <row r="187" spans="1:14">
      <c r="A187" t="s">
        <v>26</v>
      </c>
      <c r="B187" t="s">
        <v>66</v>
      </c>
      <c r="C187">
        <v>2122</v>
      </c>
      <c r="D187">
        <v>783</v>
      </c>
      <c r="E187" t="s">
        <v>960</v>
      </c>
      <c r="F187" s="35" t="s">
        <v>971</v>
      </c>
      <c r="G187" s="28" t="s">
        <v>1519</v>
      </c>
      <c r="H187" s="28" t="s">
        <v>1503</v>
      </c>
      <c r="I187" s="28" t="s">
        <v>3764</v>
      </c>
      <c r="J187" s="28" t="s">
        <v>3758</v>
      </c>
      <c r="K187" s="28" t="s">
        <v>3936</v>
      </c>
      <c r="L187" s="28" t="s">
        <v>3931</v>
      </c>
      <c r="M187" s="28" t="s">
        <v>3937</v>
      </c>
      <c r="N187" s="28" t="s">
        <v>3933</v>
      </c>
    </row>
    <row r="188" spans="1:14">
      <c r="A188" t="s">
        <v>26</v>
      </c>
      <c r="B188" t="s">
        <v>66</v>
      </c>
      <c r="C188">
        <v>2123</v>
      </c>
      <c r="D188">
        <v>499</v>
      </c>
      <c r="E188" t="s">
        <v>960</v>
      </c>
      <c r="F188" s="35" t="s">
        <v>972</v>
      </c>
      <c r="G188" s="28" t="s">
        <v>1505</v>
      </c>
      <c r="H188" s="28" t="s">
        <v>1506</v>
      </c>
      <c r="I188" s="28" t="s">
        <v>3784</v>
      </c>
      <c r="J188" s="28" t="s">
        <v>3767</v>
      </c>
      <c r="K188" s="28" t="s">
        <v>3938</v>
      </c>
      <c r="L188" s="28" t="s">
        <v>3939</v>
      </c>
      <c r="M188" s="28" t="s">
        <v>3940</v>
      </c>
      <c r="N188" s="28" t="s">
        <v>3941</v>
      </c>
    </row>
    <row r="189" spans="1:14">
      <c r="A189" t="s">
        <v>26</v>
      </c>
      <c r="B189" t="s">
        <v>66</v>
      </c>
      <c r="C189">
        <v>2124</v>
      </c>
      <c r="D189">
        <v>396</v>
      </c>
      <c r="E189" t="s">
        <v>960</v>
      </c>
      <c r="F189" s="35" t="s">
        <v>972</v>
      </c>
      <c r="G189" s="28" t="s">
        <v>1521</v>
      </c>
      <c r="H189" s="28" t="s">
        <v>1506</v>
      </c>
      <c r="I189" s="28" t="s">
        <v>3766</v>
      </c>
      <c r="J189" s="28" t="s">
        <v>3767</v>
      </c>
      <c r="K189" s="28" t="s">
        <v>3942</v>
      </c>
      <c r="L189" s="28" t="s">
        <v>3939</v>
      </c>
      <c r="M189" s="28" t="s">
        <v>3943</v>
      </c>
      <c r="N189" s="28" t="s">
        <v>3941</v>
      </c>
    </row>
    <row r="190" spans="1:14">
      <c r="A190" t="s">
        <v>26</v>
      </c>
      <c r="B190" t="s">
        <v>66</v>
      </c>
      <c r="C190">
        <v>2125</v>
      </c>
      <c r="D190">
        <v>110</v>
      </c>
      <c r="E190" t="s">
        <v>960</v>
      </c>
      <c r="F190" s="35" t="s">
        <v>972</v>
      </c>
      <c r="G190" s="28" t="s">
        <v>1522</v>
      </c>
      <c r="H190" s="28" t="s">
        <v>1506</v>
      </c>
      <c r="I190" s="28" t="s">
        <v>3770</v>
      </c>
      <c r="J190" s="28" t="s">
        <v>3767</v>
      </c>
      <c r="K190" s="28" t="s">
        <v>3944</v>
      </c>
      <c r="L190" s="28" t="s">
        <v>3939</v>
      </c>
      <c r="M190" s="28" t="s">
        <v>3945</v>
      </c>
      <c r="N190" s="28" t="s">
        <v>3941</v>
      </c>
    </row>
    <row r="191" spans="1:14">
      <c r="A191" t="s">
        <v>26</v>
      </c>
      <c r="B191" t="s">
        <v>66</v>
      </c>
      <c r="C191">
        <v>2126</v>
      </c>
      <c r="D191">
        <v>10</v>
      </c>
      <c r="E191" t="s">
        <v>960</v>
      </c>
      <c r="F191" s="35" t="s">
        <v>972</v>
      </c>
      <c r="G191" s="28" t="s">
        <v>1514</v>
      </c>
      <c r="H191" s="28" t="s">
        <v>1506</v>
      </c>
      <c r="I191" s="28" t="s">
        <v>3773</v>
      </c>
      <c r="J191" s="28" t="s">
        <v>3767</v>
      </c>
      <c r="K191" s="28" t="s">
        <v>3946</v>
      </c>
      <c r="L191" s="28" t="s">
        <v>3939</v>
      </c>
      <c r="M191" s="28" t="s">
        <v>3947</v>
      </c>
      <c r="N191" s="28" t="s">
        <v>3941</v>
      </c>
    </row>
    <row r="192" spans="1:14">
      <c r="A192" t="s">
        <v>26</v>
      </c>
      <c r="B192" t="s">
        <v>66</v>
      </c>
      <c r="C192">
        <v>2127</v>
      </c>
      <c r="D192">
        <v>665</v>
      </c>
      <c r="E192" t="s">
        <v>960</v>
      </c>
      <c r="F192" s="35" t="s">
        <v>973</v>
      </c>
      <c r="G192" s="28" t="s">
        <v>1507</v>
      </c>
      <c r="H192" s="28" t="s">
        <v>1508</v>
      </c>
      <c r="I192" s="28" t="s">
        <v>3849</v>
      </c>
      <c r="J192" s="28" t="s">
        <v>3748</v>
      </c>
      <c r="K192" s="28" t="s">
        <v>3948</v>
      </c>
      <c r="L192" s="28" t="s">
        <v>3949</v>
      </c>
      <c r="M192" s="28" t="s">
        <v>3950</v>
      </c>
      <c r="N192" s="28" t="s">
        <v>3951</v>
      </c>
    </row>
    <row r="193" spans="1:14">
      <c r="A193" t="s">
        <v>26</v>
      </c>
      <c r="B193" t="s">
        <v>66</v>
      </c>
      <c r="C193">
        <v>2128</v>
      </c>
      <c r="D193">
        <v>460</v>
      </c>
      <c r="E193" t="s">
        <v>960</v>
      </c>
      <c r="F193" s="35" t="s">
        <v>973</v>
      </c>
      <c r="G193" s="28" t="s">
        <v>1509</v>
      </c>
      <c r="H193" s="28" t="s">
        <v>1508</v>
      </c>
      <c r="I193" s="28" t="s">
        <v>3791</v>
      </c>
      <c r="J193" s="28" t="s">
        <v>3748</v>
      </c>
      <c r="K193" s="28" t="s">
        <v>3962</v>
      </c>
      <c r="L193" s="28" t="s">
        <v>3949</v>
      </c>
      <c r="M193" s="28" t="s">
        <v>3963</v>
      </c>
      <c r="N193" s="28" t="s">
        <v>3951</v>
      </c>
    </row>
    <row r="194" spans="1:14">
      <c r="A194" t="s">
        <v>26</v>
      </c>
      <c r="B194" t="s">
        <v>66</v>
      </c>
      <c r="C194">
        <v>2129</v>
      </c>
      <c r="D194">
        <v>998</v>
      </c>
      <c r="E194" t="s">
        <v>960</v>
      </c>
      <c r="F194" s="35" t="s">
        <v>973</v>
      </c>
      <c r="G194" s="28" t="s">
        <v>1510</v>
      </c>
      <c r="H194" s="28" t="s">
        <v>1508</v>
      </c>
      <c r="I194" s="28" t="s">
        <v>3747</v>
      </c>
      <c r="J194" s="28" t="s">
        <v>3748</v>
      </c>
      <c r="K194" s="28" t="s">
        <v>3952</v>
      </c>
      <c r="L194" s="28" t="s">
        <v>3949</v>
      </c>
      <c r="M194" s="28" t="s">
        <v>3953</v>
      </c>
      <c r="N194" s="28" t="s">
        <v>3951</v>
      </c>
    </row>
    <row r="195" spans="1:14">
      <c r="A195" t="s">
        <v>26</v>
      </c>
      <c r="B195" t="s">
        <v>66</v>
      </c>
      <c r="C195">
        <v>2132</v>
      </c>
      <c r="D195">
        <v>779</v>
      </c>
      <c r="E195" t="s">
        <v>960</v>
      </c>
      <c r="F195" s="35" t="s">
        <v>974</v>
      </c>
      <c r="G195" s="28" t="s">
        <v>1516</v>
      </c>
      <c r="H195" s="28" t="s">
        <v>1513</v>
      </c>
      <c r="I195" s="28" t="s">
        <v>3751</v>
      </c>
      <c r="J195" s="28" t="s">
        <v>3752</v>
      </c>
      <c r="K195" s="28" t="s">
        <v>3954</v>
      </c>
      <c r="L195" s="28" t="s">
        <v>3955</v>
      </c>
      <c r="M195" s="28" t="s">
        <v>3956</v>
      </c>
      <c r="N195" s="28" t="s">
        <v>3957</v>
      </c>
    </row>
    <row r="196" spans="1:14">
      <c r="A196" t="s">
        <v>26</v>
      </c>
      <c r="B196" t="s">
        <v>66</v>
      </c>
      <c r="C196">
        <v>2133</v>
      </c>
      <c r="D196">
        <v>1823</v>
      </c>
      <c r="E196" t="s">
        <v>960</v>
      </c>
      <c r="F196" s="35" t="s">
        <v>974</v>
      </c>
      <c r="G196" s="28" t="s">
        <v>1512</v>
      </c>
      <c r="H196" s="28" t="s">
        <v>1513</v>
      </c>
      <c r="I196" s="28" t="s">
        <v>3755</v>
      </c>
      <c r="J196" s="28" t="s">
        <v>3752</v>
      </c>
      <c r="K196" s="28" t="s">
        <v>3958</v>
      </c>
      <c r="L196" s="28" t="s">
        <v>3955</v>
      </c>
      <c r="M196" s="28" t="s">
        <v>3959</v>
      </c>
      <c r="N196" s="28" t="s">
        <v>3957</v>
      </c>
    </row>
    <row r="197" spans="1:14">
      <c r="A197" t="s">
        <v>26</v>
      </c>
      <c r="B197" t="s">
        <v>66</v>
      </c>
      <c r="C197">
        <v>2134</v>
      </c>
      <c r="D197">
        <v>834</v>
      </c>
      <c r="E197" t="s">
        <v>960</v>
      </c>
      <c r="F197" s="35" t="s">
        <v>974</v>
      </c>
      <c r="G197" s="28" t="s">
        <v>6016</v>
      </c>
      <c r="H197" s="28" t="s">
        <v>1513</v>
      </c>
      <c r="I197" s="28" t="s">
        <v>6032</v>
      </c>
      <c r="J197" s="28" t="s">
        <v>3752</v>
      </c>
      <c r="K197" s="28" t="s">
        <v>6043</v>
      </c>
      <c r="L197" s="28" t="s">
        <v>3955</v>
      </c>
      <c r="M197" s="28" t="s">
        <v>6031</v>
      </c>
      <c r="N197" s="28" t="s">
        <v>3957</v>
      </c>
    </row>
    <row r="198" spans="1:14">
      <c r="A198" t="s">
        <v>26</v>
      </c>
      <c r="B198" t="s">
        <v>66</v>
      </c>
      <c r="C198">
        <v>2135</v>
      </c>
      <c r="D198">
        <v>1260</v>
      </c>
      <c r="E198" t="s">
        <v>960</v>
      </c>
      <c r="F198" s="35" t="s">
        <v>974</v>
      </c>
      <c r="G198" s="28" t="s">
        <v>6155</v>
      </c>
      <c r="H198" s="28" t="s">
        <v>1513</v>
      </c>
      <c r="I198" s="28" t="s">
        <v>6156</v>
      </c>
      <c r="J198" s="28" t="s">
        <v>3752</v>
      </c>
      <c r="K198" s="28" t="s">
        <v>6169</v>
      </c>
      <c r="L198" s="28" t="s">
        <v>3955</v>
      </c>
      <c r="M198" s="28" t="s">
        <v>6170</v>
      </c>
      <c r="N198" s="28" t="s">
        <v>3957</v>
      </c>
    </row>
    <row r="199" spans="1:14">
      <c r="A199" t="s">
        <v>26</v>
      </c>
      <c r="B199" t="s">
        <v>66</v>
      </c>
      <c r="C199">
        <v>2136</v>
      </c>
      <c r="D199">
        <v>754</v>
      </c>
      <c r="E199" t="s">
        <v>960</v>
      </c>
      <c r="F199" s="35" t="s">
        <v>997</v>
      </c>
      <c r="G199" s="28" t="s">
        <v>6270</v>
      </c>
      <c r="H199" s="28" t="s">
        <v>6271</v>
      </c>
      <c r="I199" s="28" t="s">
        <v>6272</v>
      </c>
      <c r="J199" s="28" t="s">
        <v>6273</v>
      </c>
      <c r="K199" s="28" t="s">
        <v>6302</v>
      </c>
      <c r="L199" s="28" t="s">
        <v>6303</v>
      </c>
      <c r="M199" s="28" t="s">
        <v>6304</v>
      </c>
      <c r="N199" s="28" t="s">
        <v>6305</v>
      </c>
    </row>
    <row r="200" spans="1:14">
      <c r="A200" t="s">
        <v>26</v>
      </c>
      <c r="B200" t="s">
        <v>66</v>
      </c>
      <c r="C200">
        <v>2137</v>
      </c>
      <c r="D200">
        <v>341</v>
      </c>
      <c r="E200" t="s">
        <v>960</v>
      </c>
      <c r="F200" s="35" t="s">
        <v>997</v>
      </c>
      <c r="G200" s="28" t="s">
        <v>6435</v>
      </c>
      <c r="H200" s="28" t="s">
        <v>6271</v>
      </c>
      <c r="I200" s="28" t="s">
        <v>6436</v>
      </c>
      <c r="J200" s="28" t="s">
        <v>6273</v>
      </c>
      <c r="K200" s="28" t="s">
        <v>6451</v>
      </c>
      <c r="L200" s="28" t="s">
        <v>6303</v>
      </c>
      <c r="M200" s="28" t="s">
        <v>6452</v>
      </c>
      <c r="N200" s="28" t="s">
        <v>6305</v>
      </c>
    </row>
    <row r="201" spans="1:14">
      <c r="A201" t="s">
        <v>26</v>
      </c>
      <c r="B201" t="s">
        <v>68</v>
      </c>
      <c r="C201">
        <v>2116</v>
      </c>
      <c r="D201">
        <v>1</v>
      </c>
      <c r="E201" t="s">
        <v>960</v>
      </c>
      <c r="F201" s="35" t="s">
        <v>970</v>
      </c>
      <c r="G201" s="28" t="s">
        <v>1501</v>
      </c>
      <c r="H201" s="28" t="s">
        <v>1500</v>
      </c>
      <c r="I201" s="28" t="s">
        <v>3825</v>
      </c>
      <c r="J201" s="28" t="s">
        <v>3819</v>
      </c>
      <c r="K201" s="28" t="s">
        <v>3964</v>
      </c>
      <c r="L201" s="28" t="s">
        <v>3965</v>
      </c>
      <c r="M201" s="28" t="s">
        <v>3966</v>
      </c>
      <c r="N201" s="28" t="s">
        <v>3967</v>
      </c>
    </row>
    <row r="202" spans="1:14">
      <c r="A202" t="s">
        <v>26</v>
      </c>
      <c r="B202" t="s">
        <v>68</v>
      </c>
      <c r="C202">
        <v>2117</v>
      </c>
      <c r="D202">
        <v>33</v>
      </c>
      <c r="E202" t="s">
        <v>960</v>
      </c>
      <c r="F202" s="35" t="s">
        <v>970</v>
      </c>
      <c r="G202" s="28" t="s">
        <v>1527</v>
      </c>
      <c r="H202" s="28" t="s">
        <v>1500</v>
      </c>
      <c r="I202" s="28" t="s">
        <v>3827</v>
      </c>
      <c r="J202" s="28" t="s">
        <v>3819</v>
      </c>
      <c r="K202" s="28" t="s">
        <v>3968</v>
      </c>
      <c r="L202" s="28" t="s">
        <v>3965</v>
      </c>
      <c r="M202" s="28" t="s">
        <v>3969</v>
      </c>
      <c r="N202" s="28" t="s">
        <v>3967</v>
      </c>
    </row>
    <row r="203" spans="1:14">
      <c r="A203" t="s">
        <v>26</v>
      </c>
      <c r="B203" t="s">
        <v>68</v>
      </c>
      <c r="C203">
        <v>2118</v>
      </c>
      <c r="D203">
        <v>11</v>
      </c>
      <c r="E203" t="s">
        <v>960</v>
      </c>
      <c r="F203" s="35" t="s">
        <v>971</v>
      </c>
      <c r="G203" s="28" t="s">
        <v>1502</v>
      </c>
      <c r="H203" s="28" t="s">
        <v>1503</v>
      </c>
      <c r="I203" s="28" t="s">
        <v>3830</v>
      </c>
      <c r="J203" s="28" t="s">
        <v>3758</v>
      </c>
      <c r="K203" s="28" t="s">
        <v>3970</v>
      </c>
      <c r="L203" s="28" t="s">
        <v>3971</v>
      </c>
      <c r="M203" s="28" t="s">
        <v>3972</v>
      </c>
      <c r="N203" s="28" t="s">
        <v>3973</v>
      </c>
    </row>
    <row r="204" spans="1:14">
      <c r="A204" t="s">
        <v>26</v>
      </c>
      <c r="B204" t="s">
        <v>68</v>
      </c>
      <c r="C204">
        <v>2119</v>
      </c>
      <c r="D204">
        <v>86</v>
      </c>
      <c r="E204" t="s">
        <v>960</v>
      </c>
      <c r="F204" s="35" t="s">
        <v>971</v>
      </c>
      <c r="G204" s="28" t="s">
        <v>1517</v>
      </c>
      <c r="H204" s="28" t="s">
        <v>1503</v>
      </c>
      <c r="I204" s="28" t="s">
        <v>3757</v>
      </c>
      <c r="J204" s="28" t="s">
        <v>3758</v>
      </c>
      <c r="K204" s="28" t="s">
        <v>3974</v>
      </c>
      <c r="L204" s="28" t="s">
        <v>3971</v>
      </c>
      <c r="M204" s="28" t="s">
        <v>3975</v>
      </c>
      <c r="N204" s="28" t="s">
        <v>3973</v>
      </c>
    </row>
    <row r="205" spans="1:14">
      <c r="A205" t="s">
        <v>26</v>
      </c>
      <c r="B205" t="s">
        <v>68</v>
      </c>
      <c r="C205">
        <v>2120</v>
      </c>
      <c r="D205">
        <v>286</v>
      </c>
      <c r="E205" t="s">
        <v>960</v>
      </c>
      <c r="F205" s="35" t="s">
        <v>971</v>
      </c>
      <c r="G205" s="28" t="s">
        <v>1504</v>
      </c>
      <c r="H205" s="28" t="s">
        <v>1503</v>
      </c>
      <c r="I205" s="28" t="s">
        <v>3761</v>
      </c>
      <c r="J205" s="28" t="s">
        <v>3758</v>
      </c>
      <c r="K205" s="28" t="s">
        <v>3976</v>
      </c>
      <c r="L205" s="28" t="s">
        <v>3971</v>
      </c>
      <c r="M205" s="28" t="s">
        <v>3977</v>
      </c>
      <c r="N205" s="28" t="s">
        <v>3973</v>
      </c>
    </row>
    <row r="206" spans="1:14">
      <c r="A206" t="s">
        <v>26</v>
      </c>
      <c r="B206" t="s">
        <v>68</v>
      </c>
      <c r="C206">
        <v>2121</v>
      </c>
      <c r="D206">
        <v>635</v>
      </c>
      <c r="E206" t="s">
        <v>960</v>
      </c>
      <c r="F206" s="35" t="s">
        <v>971</v>
      </c>
      <c r="G206" s="28" t="s">
        <v>1518</v>
      </c>
      <c r="H206" s="28" t="s">
        <v>1503</v>
      </c>
      <c r="I206" s="28" t="s">
        <v>3836</v>
      </c>
      <c r="J206" s="28" t="s">
        <v>3758</v>
      </c>
      <c r="K206" s="28" t="s">
        <v>3978</v>
      </c>
      <c r="L206" s="28" t="s">
        <v>3971</v>
      </c>
      <c r="M206" s="28" t="s">
        <v>3979</v>
      </c>
      <c r="N206" s="28" t="s">
        <v>3973</v>
      </c>
    </row>
    <row r="207" spans="1:14">
      <c r="A207" t="s">
        <v>26</v>
      </c>
      <c r="B207" t="s">
        <v>68</v>
      </c>
      <c r="C207">
        <v>2122</v>
      </c>
      <c r="D207">
        <v>279</v>
      </c>
      <c r="E207" t="s">
        <v>960</v>
      </c>
      <c r="F207" s="35" t="s">
        <v>971</v>
      </c>
      <c r="G207" s="28" t="s">
        <v>1519</v>
      </c>
      <c r="H207" s="28" t="s">
        <v>1503</v>
      </c>
      <c r="I207" s="28" t="s">
        <v>3764</v>
      </c>
      <c r="J207" s="28" t="s">
        <v>3758</v>
      </c>
      <c r="K207" s="28" t="s">
        <v>3980</v>
      </c>
      <c r="L207" s="28" t="s">
        <v>3971</v>
      </c>
      <c r="M207" s="28" t="s">
        <v>3981</v>
      </c>
      <c r="N207" s="28" t="s">
        <v>3973</v>
      </c>
    </row>
    <row r="208" spans="1:14">
      <c r="A208" t="s">
        <v>26</v>
      </c>
      <c r="B208" t="s">
        <v>68</v>
      </c>
      <c r="C208">
        <v>2123</v>
      </c>
      <c r="D208">
        <v>831</v>
      </c>
      <c r="E208" t="s">
        <v>960</v>
      </c>
      <c r="F208" s="35" t="s">
        <v>972</v>
      </c>
      <c r="G208" s="28" t="s">
        <v>1505</v>
      </c>
      <c r="H208" s="28" t="s">
        <v>1506</v>
      </c>
      <c r="I208" s="28" t="s">
        <v>3784</v>
      </c>
      <c r="J208" s="28" t="s">
        <v>3767</v>
      </c>
      <c r="K208" s="28" t="s">
        <v>3982</v>
      </c>
      <c r="L208" s="28" t="s">
        <v>3983</v>
      </c>
      <c r="M208" s="28" t="s">
        <v>3984</v>
      </c>
      <c r="N208" s="28" t="s">
        <v>3985</v>
      </c>
    </row>
    <row r="209" spans="1:14">
      <c r="A209" t="s">
        <v>26</v>
      </c>
      <c r="B209" t="s">
        <v>68</v>
      </c>
      <c r="C209">
        <v>2124</v>
      </c>
      <c r="D209">
        <v>147</v>
      </c>
      <c r="E209" t="s">
        <v>960</v>
      </c>
      <c r="F209" s="35" t="s">
        <v>972</v>
      </c>
      <c r="G209" s="28" t="s">
        <v>1521</v>
      </c>
      <c r="H209" s="28" t="s">
        <v>1506</v>
      </c>
      <c r="I209" s="28" t="s">
        <v>3766</v>
      </c>
      <c r="J209" s="28" t="s">
        <v>3767</v>
      </c>
      <c r="K209" s="28" t="s">
        <v>3986</v>
      </c>
      <c r="L209" s="28" t="s">
        <v>3983</v>
      </c>
      <c r="M209" s="28" t="s">
        <v>3987</v>
      </c>
      <c r="N209" s="28" t="s">
        <v>3985</v>
      </c>
    </row>
    <row r="210" spans="1:14">
      <c r="A210" t="s">
        <v>26</v>
      </c>
      <c r="B210" t="s">
        <v>68</v>
      </c>
      <c r="C210">
        <v>2125</v>
      </c>
      <c r="D210">
        <v>337</v>
      </c>
      <c r="E210" t="s">
        <v>960</v>
      </c>
      <c r="F210" s="35" t="s">
        <v>972</v>
      </c>
      <c r="G210" s="28" t="s">
        <v>1522</v>
      </c>
      <c r="H210" s="28" t="s">
        <v>1506</v>
      </c>
      <c r="I210" s="28" t="s">
        <v>3770</v>
      </c>
      <c r="J210" s="28" t="s">
        <v>3767</v>
      </c>
      <c r="K210" s="28" t="s">
        <v>3988</v>
      </c>
      <c r="L210" s="28" t="s">
        <v>3983</v>
      </c>
      <c r="M210" s="28" t="s">
        <v>3989</v>
      </c>
      <c r="N210" s="28" t="s">
        <v>3985</v>
      </c>
    </row>
    <row r="211" spans="1:14">
      <c r="A211" t="s">
        <v>26</v>
      </c>
      <c r="B211" t="s">
        <v>68</v>
      </c>
      <c r="C211">
        <v>2126</v>
      </c>
      <c r="D211">
        <v>565</v>
      </c>
      <c r="E211" t="s">
        <v>960</v>
      </c>
      <c r="F211" s="35" t="s">
        <v>972</v>
      </c>
      <c r="G211" s="28" t="s">
        <v>1514</v>
      </c>
      <c r="H211" s="28" t="s">
        <v>1506</v>
      </c>
      <c r="I211" s="28" t="s">
        <v>3773</v>
      </c>
      <c r="J211" s="28" t="s">
        <v>3767</v>
      </c>
      <c r="K211" s="28" t="s">
        <v>3990</v>
      </c>
      <c r="L211" s="28" t="s">
        <v>3983</v>
      </c>
      <c r="M211" s="28" t="s">
        <v>3991</v>
      </c>
      <c r="N211" s="28" t="s">
        <v>3985</v>
      </c>
    </row>
    <row r="212" spans="1:14">
      <c r="A212" t="s">
        <v>26</v>
      </c>
      <c r="B212" t="s">
        <v>68</v>
      </c>
      <c r="C212">
        <v>2127</v>
      </c>
      <c r="D212">
        <v>912</v>
      </c>
      <c r="E212" t="s">
        <v>960</v>
      </c>
      <c r="F212" s="35" t="s">
        <v>973</v>
      </c>
      <c r="G212" s="28" t="s">
        <v>1507</v>
      </c>
      <c r="H212" s="28" t="s">
        <v>1508</v>
      </c>
      <c r="I212" s="28" t="s">
        <v>3849</v>
      </c>
      <c r="J212" s="28" t="s">
        <v>3748</v>
      </c>
      <c r="K212" s="28" t="s">
        <v>3992</v>
      </c>
      <c r="L212" s="28" t="s">
        <v>3993</v>
      </c>
      <c r="M212" s="28" t="s">
        <v>3994</v>
      </c>
      <c r="N212" s="28" t="s">
        <v>3995</v>
      </c>
    </row>
    <row r="213" spans="1:14">
      <c r="A213" t="s">
        <v>26</v>
      </c>
      <c r="B213" t="s">
        <v>68</v>
      </c>
      <c r="C213">
        <v>2128</v>
      </c>
      <c r="D213">
        <v>361</v>
      </c>
      <c r="E213" t="s">
        <v>960</v>
      </c>
      <c r="F213" s="35" t="s">
        <v>973</v>
      </c>
      <c r="G213" s="28" t="s">
        <v>1509</v>
      </c>
      <c r="H213" s="28" t="s">
        <v>1508</v>
      </c>
      <c r="I213" s="28" t="s">
        <v>3791</v>
      </c>
      <c r="J213" s="28" t="s">
        <v>3748</v>
      </c>
      <c r="K213" s="28" t="s">
        <v>3996</v>
      </c>
      <c r="L213" s="28" t="s">
        <v>3993</v>
      </c>
      <c r="M213" s="28" t="s">
        <v>3997</v>
      </c>
      <c r="N213" s="28" t="s">
        <v>3995</v>
      </c>
    </row>
    <row r="214" spans="1:14">
      <c r="A214" t="s">
        <v>26</v>
      </c>
      <c r="B214" t="s">
        <v>68</v>
      </c>
      <c r="C214">
        <v>2129</v>
      </c>
      <c r="D214">
        <v>497</v>
      </c>
      <c r="E214" t="s">
        <v>960</v>
      </c>
      <c r="F214" s="35" t="s">
        <v>973</v>
      </c>
      <c r="G214" s="28" t="s">
        <v>1510</v>
      </c>
      <c r="H214" s="28" t="s">
        <v>1508</v>
      </c>
      <c r="I214" s="28" t="s">
        <v>3747</v>
      </c>
      <c r="J214" s="28" t="s">
        <v>3748</v>
      </c>
      <c r="K214" s="28" t="s">
        <v>3998</v>
      </c>
      <c r="L214" s="28" t="s">
        <v>3993</v>
      </c>
      <c r="M214" s="28" t="s">
        <v>3999</v>
      </c>
      <c r="N214" s="28" t="s">
        <v>3995</v>
      </c>
    </row>
    <row r="215" spans="1:14">
      <c r="A215" t="s">
        <v>26</v>
      </c>
      <c r="B215" t="s">
        <v>68</v>
      </c>
      <c r="C215">
        <v>2132</v>
      </c>
      <c r="D215">
        <v>213</v>
      </c>
      <c r="E215" t="s">
        <v>960</v>
      </c>
      <c r="F215" s="35" t="s">
        <v>974</v>
      </c>
      <c r="G215" s="28" t="s">
        <v>1516</v>
      </c>
      <c r="H215" s="28" t="s">
        <v>1513</v>
      </c>
      <c r="I215" s="28" t="s">
        <v>3751</v>
      </c>
      <c r="J215" s="28" t="s">
        <v>3752</v>
      </c>
      <c r="K215" s="28" t="s">
        <v>4000</v>
      </c>
      <c r="L215" s="28" t="s">
        <v>4001</v>
      </c>
      <c r="M215" s="28" t="s">
        <v>4002</v>
      </c>
      <c r="N215" s="28" t="s">
        <v>4003</v>
      </c>
    </row>
    <row r="216" spans="1:14">
      <c r="A216" t="s">
        <v>26</v>
      </c>
      <c r="B216" t="s">
        <v>68</v>
      </c>
      <c r="C216">
        <v>2133</v>
      </c>
      <c r="D216">
        <v>32</v>
      </c>
      <c r="E216" t="s">
        <v>960</v>
      </c>
      <c r="F216" s="35" t="s">
        <v>974</v>
      </c>
      <c r="G216" s="28" t="s">
        <v>1512</v>
      </c>
      <c r="H216" s="28" t="s">
        <v>1513</v>
      </c>
      <c r="I216" s="28" t="s">
        <v>3755</v>
      </c>
      <c r="J216" s="28" t="s">
        <v>3752</v>
      </c>
      <c r="K216" s="28" t="s">
        <v>4004</v>
      </c>
      <c r="L216" s="28" t="s">
        <v>4001</v>
      </c>
      <c r="M216" s="28" t="s">
        <v>4005</v>
      </c>
      <c r="N216" s="28" t="s">
        <v>4003</v>
      </c>
    </row>
    <row r="217" spans="1:14">
      <c r="A217" t="s">
        <v>26</v>
      </c>
      <c r="B217" t="s">
        <v>68</v>
      </c>
      <c r="C217">
        <v>2134</v>
      </c>
      <c r="D217">
        <v>660</v>
      </c>
      <c r="E217" t="s">
        <v>960</v>
      </c>
      <c r="F217" s="35" t="s">
        <v>974</v>
      </c>
      <c r="G217" s="28" t="s">
        <v>6016</v>
      </c>
      <c r="H217" s="28" t="s">
        <v>1513</v>
      </c>
      <c r="I217" s="28" t="s">
        <v>6032</v>
      </c>
      <c r="J217" s="28" t="s">
        <v>3752</v>
      </c>
      <c r="K217" s="28" t="s">
        <v>6044</v>
      </c>
      <c r="L217" s="28" t="s">
        <v>4001</v>
      </c>
      <c r="M217" s="28" t="s">
        <v>6021</v>
      </c>
      <c r="N217" s="28" t="s">
        <v>4003</v>
      </c>
    </row>
    <row r="218" spans="1:14">
      <c r="A218" t="s">
        <v>26</v>
      </c>
      <c r="B218" t="s">
        <v>68</v>
      </c>
      <c r="C218">
        <v>2135</v>
      </c>
      <c r="D218">
        <v>44</v>
      </c>
      <c r="E218" t="s">
        <v>960</v>
      </c>
      <c r="F218" s="35" t="s">
        <v>974</v>
      </c>
      <c r="G218" s="28" t="s">
        <v>6155</v>
      </c>
      <c r="H218" s="28" t="s">
        <v>1513</v>
      </c>
      <c r="I218" s="28" t="s">
        <v>6156</v>
      </c>
      <c r="J218" s="28" t="s">
        <v>3752</v>
      </c>
      <c r="K218" s="28" t="s">
        <v>6171</v>
      </c>
      <c r="L218" s="28" t="s">
        <v>4001</v>
      </c>
      <c r="M218" s="28" t="s">
        <v>6172</v>
      </c>
      <c r="N218" s="28" t="s">
        <v>4003</v>
      </c>
    </row>
    <row r="219" spans="1:14">
      <c r="A219" t="s">
        <v>26</v>
      </c>
      <c r="B219" t="s">
        <v>68</v>
      </c>
      <c r="C219">
        <v>2136</v>
      </c>
      <c r="D219">
        <v>422</v>
      </c>
      <c r="E219" t="s">
        <v>960</v>
      </c>
      <c r="F219" s="35" t="s">
        <v>997</v>
      </c>
      <c r="G219" s="28" t="s">
        <v>6270</v>
      </c>
      <c r="H219" s="28" t="s">
        <v>6271</v>
      </c>
      <c r="I219" s="28" t="s">
        <v>6272</v>
      </c>
      <c r="J219" s="28" t="s">
        <v>6273</v>
      </c>
      <c r="K219" s="28" t="s">
        <v>6306</v>
      </c>
      <c r="L219" s="28" t="s">
        <v>6307</v>
      </c>
      <c r="M219" s="28" t="s">
        <v>6308</v>
      </c>
      <c r="N219" s="28" t="s">
        <v>6309</v>
      </c>
    </row>
    <row r="220" spans="1:14">
      <c r="A220" t="s">
        <v>26</v>
      </c>
      <c r="B220" t="s">
        <v>68</v>
      </c>
      <c r="C220">
        <v>2137</v>
      </c>
      <c r="D220">
        <v>846</v>
      </c>
      <c r="E220" t="s">
        <v>960</v>
      </c>
      <c r="F220" s="35" t="s">
        <v>997</v>
      </c>
      <c r="G220" s="28" t="s">
        <v>6435</v>
      </c>
      <c r="H220" s="28" t="s">
        <v>6271</v>
      </c>
      <c r="I220" s="28" t="s">
        <v>6436</v>
      </c>
      <c r="J220" s="28" t="s">
        <v>6273</v>
      </c>
      <c r="K220" s="28" t="s">
        <v>6453</v>
      </c>
      <c r="L220" s="28" t="s">
        <v>6307</v>
      </c>
      <c r="M220" s="28" t="s">
        <v>6454</v>
      </c>
      <c r="N220" s="28" t="s">
        <v>6309</v>
      </c>
    </row>
    <row r="221" spans="1:14">
      <c r="A221" t="s">
        <v>26</v>
      </c>
      <c r="B221" t="s">
        <v>60</v>
      </c>
      <c r="C221">
        <v>2116</v>
      </c>
      <c r="D221">
        <v>288</v>
      </c>
      <c r="E221" t="s">
        <v>961</v>
      </c>
      <c r="F221" s="35" t="s">
        <v>970</v>
      </c>
      <c r="G221" s="28" t="s">
        <v>1528</v>
      </c>
      <c r="H221" s="28" t="s">
        <v>1529</v>
      </c>
      <c r="I221" s="28" t="s">
        <v>4006</v>
      </c>
      <c r="J221" s="28" t="s">
        <v>4007</v>
      </c>
      <c r="K221" s="28" t="s">
        <v>4008</v>
      </c>
      <c r="L221" s="28" t="s">
        <v>4009</v>
      </c>
      <c r="M221" s="28" t="s">
        <v>4010</v>
      </c>
      <c r="N221" s="28" t="s">
        <v>4011</v>
      </c>
    </row>
    <row r="222" spans="1:14">
      <c r="A222" t="s">
        <v>26</v>
      </c>
      <c r="B222" t="s">
        <v>60</v>
      </c>
      <c r="C222">
        <v>2118</v>
      </c>
      <c r="D222">
        <v>319</v>
      </c>
      <c r="E222" t="s">
        <v>961</v>
      </c>
      <c r="F222" s="35" t="s">
        <v>971</v>
      </c>
      <c r="G222" s="28" t="s">
        <v>1530</v>
      </c>
      <c r="H222" s="28" t="s">
        <v>1531</v>
      </c>
      <c r="I222" s="28" t="s">
        <v>4012</v>
      </c>
      <c r="J222" s="28" t="s">
        <v>4013</v>
      </c>
      <c r="K222" s="28" t="s">
        <v>4014</v>
      </c>
      <c r="L222" s="28" t="s">
        <v>4015</v>
      </c>
      <c r="M222" s="28" t="s">
        <v>4016</v>
      </c>
      <c r="N222" s="28" t="s">
        <v>4017</v>
      </c>
    </row>
    <row r="223" spans="1:14">
      <c r="A223" t="s">
        <v>26</v>
      </c>
      <c r="B223" t="s">
        <v>60</v>
      </c>
      <c r="C223">
        <v>2119</v>
      </c>
      <c r="D223">
        <v>1045</v>
      </c>
      <c r="E223" t="s">
        <v>961</v>
      </c>
      <c r="F223" s="35" t="s">
        <v>971</v>
      </c>
      <c r="G223" s="28" t="s">
        <v>1532</v>
      </c>
      <c r="H223" s="28" t="s">
        <v>1531</v>
      </c>
      <c r="I223" s="28" t="s">
        <v>4018</v>
      </c>
      <c r="J223" s="28" t="s">
        <v>4013</v>
      </c>
      <c r="K223" s="28" t="s">
        <v>4019</v>
      </c>
      <c r="L223" s="28" t="s">
        <v>4015</v>
      </c>
      <c r="M223" s="28" t="s">
        <v>4020</v>
      </c>
      <c r="N223" s="28" t="s">
        <v>4017</v>
      </c>
    </row>
    <row r="224" spans="1:14">
      <c r="A224" t="s">
        <v>26</v>
      </c>
      <c r="B224" t="s">
        <v>60</v>
      </c>
      <c r="C224">
        <v>2121</v>
      </c>
      <c r="D224">
        <v>481</v>
      </c>
      <c r="E224" t="s">
        <v>961</v>
      </c>
      <c r="F224" s="35" t="s">
        <v>971</v>
      </c>
      <c r="G224" s="28" t="s">
        <v>1533</v>
      </c>
      <c r="H224" s="28" t="s">
        <v>1531</v>
      </c>
      <c r="I224" s="28" t="s">
        <v>4021</v>
      </c>
      <c r="J224" s="28" t="s">
        <v>4013</v>
      </c>
      <c r="K224" s="28" t="s">
        <v>4022</v>
      </c>
      <c r="L224" s="28" t="s">
        <v>4015</v>
      </c>
      <c r="M224" s="28" t="s">
        <v>4023</v>
      </c>
      <c r="N224" s="28" t="s">
        <v>4017</v>
      </c>
    </row>
    <row r="225" spans="1:14">
      <c r="A225" t="s">
        <v>26</v>
      </c>
      <c r="B225" t="s">
        <v>60</v>
      </c>
      <c r="C225">
        <v>2122</v>
      </c>
      <c r="D225">
        <v>425</v>
      </c>
      <c r="E225" t="s">
        <v>961</v>
      </c>
      <c r="F225" s="35" t="s">
        <v>971</v>
      </c>
      <c r="G225" s="28" t="s">
        <v>1534</v>
      </c>
      <c r="H225" s="28" t="s">
        <v>1531</v>
      </c>
      <c r="I225" s="28" t="s">
        <v>4024</v>
      </c>
      <c r="J225" s="28" t="s">
        <v>4013</v>
      </c>
      <c r="K225" s="28" t="s">
        <v>4025</v>
      </c>
      <c r="L225" s="28" t="s">
        <v>4015</v>
      </c>
      <c r="M225" s="28" t="s">
        <v>4026</v>
      </c>
      <c r="N225" s="28" t="s">
        <v>4017</v>
      </c>
    </row>
    <row r="226" spans="1:14">
      <c r="A226" t="s">
        <v>26</v>
      </c>
      <c r="B226" t="s">
        <v>60</v>
      </c>
      <c r="C226">
        <v>2123</v>
      </c>
      <c r="D226">
        <v>101</v>
      </c>
      <c r="E226" t="s">
        <v>961</v>
      </c>
      <c r="F226" s="35" t="s">
        <v>972</v>
      </c>
      <c r="G226" s="28" t="s">
        <v>1535</v>
      </c>
      <c r="H226" s="28" t="s">
        <v>1536</v>
      </c>
      <c r="I226" s="28" t="s">
        <v>4027</v>
      </c>
      <c r="J226" s="28" t="s">
        <v>4028</v>
      </c>
      <c r="K226" s="28" t="s">
        <v>4029</v>
      </c>
      <c r="L226" s="28" t="s">
        <v>4030</v>
      </c>
      <c r="M226" s="28" t="s">
        <v>4031</v>
      </c>
      <c r="N226" s="28" t="s">
        <v>4032</v>
      </c>
    </row>
    <row r="227" spans="1:14">
      <c r="A227" t="s">
        <v>26</v>
      </c>
      <c r="B227" t="s">
        <v>60</v>
      </c>
      <c r="C227">
        <v>2124</v>
      </c>
      <c r="D227">
        <v>255</v>
      </c>
      <c r="E227" t="s">
        <v>961</v>
      </c>
      <c r="F227" s="35" t="s">
        <v>972</v>
      </c>
      <c r="G227" s="28" t="s">
        <v>1537</v>
      </c>
      <c r="H227" s="28" t="s">
        <v>1536</v>
      </c>
      <c r="I227" s="28" t="s">
        <v>4033</v>
      </c>
      <c r="J227" s="28" t="s">
        <v>4028</v>
      </c>
      <c r="K227" s="28" t="s">
        <v>4034</v>
      </c>
      <c r="L227" s="28" t="s">
        <v>4030</v>
      </c>
      <c r="M227" s="28" t="s">
        <v>4035</v>
      </c>
      <c r="N227" s="28" t="s">
        <v>4032</v>
      </c>
    </row>
    <row r="228" spans="1:14">
      <c r="A228" t="s">
        <v>26</v>
      </c>
      <c r="B228" t="s">
        <v>60</v>
      </c>
      <c r="C228">
        <v>2125</v>
      </c>
      <c r="D228">
        <v>517</v>
      </c>
      <c r="E228" t="s">
        <v>961</v>
      </c>
      <c r="F228" s="35" t="s">
        <v>972</v>
      </c>
      <c r="G228" s="28" t="s">
        <v>1538</v>
      </c>
      <c r="H228" s="28" t="s">
        <v>1536</v>
      </c>
      <c r="I228" s="28" t="s">
        <v>4036</v>
      </c>
      <c r="J228" s="28" t="s">
        <v>4028</v>
      </c>
      <c r="K228" s="28" t="s">
        <v>4037</v>
      </c>
      <c r="L228" s="28" t="s">
        <v>4030</v>
      </c>
      <c r="M228" s="28" t="s">
        <v>4038</v>
      </c>
      <c r="N228" s="28" t="s">
        <v>4032</v>
      </c>
    </row>
    <row r="229" spans="1:14">
      <c r="A229" t="s">
        <v>26</v>
      </c>
      <c r="B229" t="s">
        <v>60</v>
      </c>
      <c r="C229">
        <v>2126</v>
      </c>
      <c r="D229">
        <v>434</v>
      </c>
      <c r="E229" t="s">
        <v>961</v>
      </c>
      <c r="F229" s="35" t="s">
        <v>972</v>
      </c>
      <c r="G229" s="28" t="s">
        <v>1539</v>
      </c>
      <c r="H229" s="28" t="s">
        <v>1536</v>
      </c>
      <c r="I229" s="28" t="s">
        <v>4039</v>
      </c>
      <c r="J229" s="28" t="s">
        <v>4028</v>
      </c>
      <c r="K229" s="28" t="s">
        <v>4040</v>
      </c>
      <c r="L229" s="28" t="s">
        <v>4030</v>
      </c>
      <c r="M229" s="28" t="s">
        <v>4041</v>
      </c>
      <c r="N229" s="28" t="s">
        <v>4032</v>
      </c>
    </row>
    <row r="230" spans="1:14">
      <c r="A230" t="s">
        <v>26</v>
      </c>
      <c r="B230" t="s">
        <v>60</v>
      </c>
      <c r="C230">
        <v>2128</v>
      </c>
      <c r="D230">
        <v>1299</v>
      </c>
      <c r="E230" t="s">
        <v>961</v>
      </c>
      <c r="F230" s="35" t="s">
        <v>973</v>
      </c>
      <c r="G230" s="28" t="s">
        <v>1540</v>
      </c>
      <c r="H230" s="28" t="s">
        <v>1541</v>
      </c>
      <c r="I230" s="28" t="s">
        <v>4042</v>
      </c>
      <c r="J230" s="28" t="s">
        <v>4043</v>
      </c>
      <c r="K230" s="28" t="s">
        <v>4044</v>
      </c>
      <c r="L230" s="28" t="s">
        <v>4045</v>
      </c>
      <c r="M230" s="28" t="s">
        <v>4046</v>
      </c>
      <c r="N230" s="28" t="s">
        <v>4047</v>
      </c>
    </row>
    <row r="231" spans="1:14">
      <c r="A231" t="s">
        <v>26</v>
      </c>
      <c r="B231" t="s">
        <v>60</v>
      </c>
      <c r="C231">
        <v>2129</v>
      </c>
      <c r="D231">
        <v>550</v>
      </c>
      <c r="E231" t="s">
        <v>961</v>
      </c>
      <c r="F231" s="35" t="s">
        <v>973</v>
      </c>
      <c r="G231" s="28" t="s">
        <v>1542</v>
      </c>
      <c r="H231" s="28" t="s">
        <v>1541</v>
      </c>
      <c r="I231" s="28" t="s">
        <v>4048</v>
      </c>
      <c r="J231" s="28" t="s">
        <v>4043</v>
      </c>
      <c r="K231" s="28" t="s">
        <v>4049</v>
      </c>
      <c r="L231" s="28" t="s">
        <v>4045</v>
      </c>
      <c r="M231" s="28" t="s">
        <v>4050</v>
      </c>
      <c r="N231" s="28" t="s">
        <v>4047</v>
      </c>
    </row>
    <row r="232" spans="1:14">
      <c r="A232" t="s">
        <v>26</v>
      </c>
      <c r="B232" t="s">
        <v>60</v>
      </c>
      <c r="C232">
        <v>2102</v>
      </c>
      <c r="D232">
        <v>991</v>
      </c>
      <c r="E232" t="s">
        <v>961</v>
      </c>
      <c r="F232" s="35" t="s">
        <v>976</v>
      </c>
      <c r="G232" s="28" t="s">
        <v>1543</v>
      </c>
      <c r="H232" s="28" t="s">
        <v>1544</v>
      </c>
      <c r="I232" s="28" t="s">
        <v>4051</v>
      </c>
      <c r="J232" s="28" t="s">
        <v>4052</v>
      </c>
      <c r="K232" s="28" t="s">
        <v>4053</v>
      </c>
      <c r="L232" s="28" t="s">
        <v>4054</v>
      </c>
      <c r="M232" s="28" t="s">
        <v>4055</v>
      </c>
      <c r="N232" s="28" t="s">
        <v>4056</v>
      </c>
    </row>
    <row r="233" spans="1:14">
      <c r="A233" t="s">
        <v>26</v>
      </c>
      <c r="B233" t="s">
        <v>60</v>
      </c>
      <c r="C233">
        <v>2103</v>
      </c>
      <c r="D233">
        <v>877</v>
      </c>
      <c r="E233" t="s">
        <v>961</v>
      </c>
      <c r="F233" s="35" t="s">
        <v>976</v>
      </c>
      <c r="G233" s="28" t="s">
        <v>1545</v>
      </c>
      <c r="H233" s="28" t="s">
        <v>1544</v>
      </c>
      <c r="I233" s="28" t="s">
        <v>4057</v>
      </c>
      <c r="J233" s="28" t="s">
        <v>4052</v>
      </c>
      <c r="K233" s="28" t="s">
        <v>4058</v>
      </c>
      <c r="L233" s="28" t="s">
        <v>4054</v>
      </c>
      <c r="M233" s="28" t="s">
        <v>4059</v>
      </c>
      <c r="N233" s="28" t="s">
        <v>4056</v>
      </c>
    </row>
    <row r="234" spans="1:14">
      <c r="A234" t="s">
        <v>26</v>
      </c>
      <c r="B234" t="s">
        <v>60</v>
      </c>
      <c r="C234">
        <v>2104</v>
      </c>
      <c r="D234">
        <v>419</v>
      </c>
      <c r="E234" t="s">
        <v>961</v>
      </c>
      <c r="F234" s="35" t="s">
        <v>976</v>
      </c>
      <c r="G234" s="28" t="s">
        <v>1546</v>
      </c>
      <c r="H234" s="28" t="s">
        <v>1544</v>
      </c>
      <c r="I234" s="28" t="s">
        <v>4060</v>
      </c>
      <c r="J234" s="28" t="s">
        <v>4052</v>
      </c>
      <c r="K234" s="28" t="s">
        <v>4061</v>
      </c>
      <c r="L234" s="28" t="s">
        <v>4054</v>
      </c>
      <c r="M234" s="28" t="s">
        <v>4062</v>
      </c>
      <c r="N234" s="28" t="s">
        <v>4056</v>
      </c>
    </row>
    <row r="235" spans="1:14">
      <c r="A235" t="s">
        <v>26</v>
      </c>
      <c r="B235" t="s">
        <v>60</v>
      </c>
      <c r="C235">
        <v>2105</v>
      </c>
      <c r="D235">
        <v>481</v>
      </c>
      <c r="E235" t="s">
        <v>961</v>
      </c>
      <c r="F235" s="35" t="s">
        <v>975</v>
      </c>
      <c r="G235" s="28" t="s">
        <v>1547</v>
      </c>
      <c r="H235" s="28" t="s">
        <v>1548</v>
      </c>
      <c r="I235" s="28" t="s">
        <v>4063</v>
      </c>
      <c r="J235" s="28" t="s">
        <v>4064</v>
      </c>
      <c r="K235" s="28" t="s">
        <v>4065</v>
      </c>
      <c r="L235" s="28" t="s">
        <v>4066</v>
      </c>
      <c r="M235" s="28" t="s">
        <v>4067</v>
      </c>
      <c r="N235" s="28" t="s">
        <v>4068</v>
      </c>
    </row>
    <row r="236" spans="1:14">
      <c r="A236" t="s">
        <v>26</v>
      </c>
      <c r="B236" t="s">
        <v>60</v>
      </c>
      <c r="C236">
        <v>2106</v>
      </c>
      <c r="D236">
        <v>254</v>
      </c>
      <c r="E236" t="s">
        <v>961</v>
      </c>
      <c r="F236" s="35" t="s">
        <v>975</v>
      </c>
      <c r="G236" s="28" t="s">
        <v>1549</v>
      </c>
      <c r="H236" s="28" t="s">
        <v>1548</v>
      </c>
      <c r="I236" s="28" t="s">
        <v>4069</v>
      </c>
      <c r="J236" s="28" t="s">
        <v>4064</v>
      </c>
      <c r="K236" s="28" t="s">
        <v>4070</v>
      </c>
      <c r="L236" s="28" t="s">
        <v>4066</v>
      </c>
      <c r="M236" s="28" t="s">
        <v>4071</v>
      </c>
      <c r="N236" s="28" t="s">
        <v>4068</v>
      </c>
    </row>
    <row r="237" spans="1:14">
      <c r="A237" t="s">
        <v>26</v>
      </c>
      <c r="B237" t="s">
        <v>60</v>
      </c>
      <c r="C237">
        <v>2107</v>
      </c>
      <c r="D237">
        <v>295</v>
      </c>
      <c r="E237" t="s">
        <v>961</v>
      </c>
      <c r="F237" s="35" t="s">
        <v>975</v>
      </c>
      <c r="G237" s="28" t="s">
        <v>1550</v>
      </c>
      <c r="H237" s="28" t="s">
        <v>1548</v>
      </c>
      <c r="I237" s="28" t="s">
        <v>4072</v>
      </c>
      <c r="J237" s="28" t="s">
        <v>4064</v>
      </c>
      <c r="K237" s="28" t="s">
        <v>4073</v>
      </c>
      <c r="L237" s="28" t="s">
        <v>4066</v>
      </c>
      <c r="M237" s="28" t="s">
        <v>4074</v>
      </c>
      <c r="N237" s="28" t="s">
        <v>4068</v>
      </c>
    </row>
    <row r="238" spans="1:14">
      <c r="A238" t="s">
        <v>26</v>
      </c>
      <c r="B238" t="s">
        <v>60</v>
      </c>
      <c r="C238">
        <v>2108</v>
      </c>
      <c r="D238">
        <v>124</v>
      </c>
      <c r="E238" t="s">
        <v>961</v>
      </c>
      <c r="F238" s="35" t="s">
        <v>975</v>
      </c>
      <c r="G238" s="28" t="s">
        <v>1551</v>
      </c>
      <c r="H238" s="28" t="s">
        <v>1548</v>
      </c>
      <c r="I238" s="28" t="s">
        <v>4075</v>
      </c>
      <c r="J238" s="28" t="s">
        <v>4064</v>
      </c>
      <c r="K238" s="28" t="s">
        <v>4076</v>
      </c>
      <c r="L238" s="28" t="s">
        <v>4066</v>
      </c>
      <c r="M238" s="28" t="s">
        <v>4077</v>
      </c>
      <c r="N238" s="28" t="s">
        <v>4068</v>
      </c>
    </row>
    <row r="239" spans="1:14">
      <c r="A239" t="s">
        <v>26</v>
      </c>
      <c r="B239" t="s">
        <v>60</v>
      </c>
      <c r="C239">
        <v>2109</v>
      </c>
      <c r="D239">
        <v>2409</v>
      </c>
      <c r="E239" t="s">
        <v>961</v>
      </c>
      <c r="F239" s="35" t="s">
        <v>969</v>
      </c>
      <c r="G239" s="28" t="s">
        <v>1552</v>
      </c>
      <c r="H239" s="28" t="s">
        <v>1553</v>
      </c>
      <c r="I239" s="28" t="s">
        <v>4078</v>
      </c>
      <c r="J239" s="28" t="s">
        <v>4079</v>
      </c>
      <c r="K239" s="28" t="s">
        <v>4080</v>
      </c>
      <c r="L239" s="28" t="s">
        <v>4081</v>
      </c>
      <c r="M239" s="28" t="s">
        <v>4082</v>
      </c>
      <c r="N239" s="28" t="s">
        <v>4083</v>
      </c>
    </row>
    <row r="240" spans="1:14">
      <c r="A240" t="s">
        <v>26</v>
      </c>
      <c r="B240" t="s">
        <v>60</v>
      </c>
      <c r="C240">
        <v>2110</v>
      </c>
      <c r="D240">
        <v>2012</v>
      </c>
      <c r="E240" t="s">
        <v>961</v>
      </c>
      <c r="F240" s="35" t="s">
        <v>969</v>
      </c>
      <c r="G240" s="28" t="s">
        <v>1554</v>
      </c>
      <c r="H240" s="28" t="s">
        <v>1553</v>
      </c>
      <c r="I240" s="28" t="s">
        <v>4084</v>
      </c>
      <c r="J240" s="28" t="s">
        <v>4079</v>
      </c>
      <c r="K240" s="28" t="s">
        <v>4085</v>
      </c>
      <c r="L240" s="28" t="s">
        <v>4081</v>
      </c>
      <c r="M240" s="28" t="s">
        <v>4086</v>
      </c>
      <c r="N240" s="28" t="s">
        <v>4083</v>
      </c>
    </row>
    <row r="241" spans="1:14">
      <c r="A241" t="s">
        <v>26</v>
      </c>
      <c r="B241" t="s">
        <v>60</v>
      </c>
      <c r="C241">
        <v>2111</v>
      </c>
      <c r="D241">
        <v>578</v>
      </c>
      <c r="E241" t="s">
        <v>961</v>
      </c>
      <c r="F241" s="35" t="s">
        <v>969</v>
      </c>
      <c r="G241" s="28" t="s">
        <v>1555</v>
      </c>
      <c r="H241" s="28" t="s">
        <v>1553</v>
      </c>
      <c r="I241" s="28" t="s">
        <v>4087</v>
      </c>
      <c r="J241" s="28" t="s">
        <v>4079</v>
      </c>
      <c r="K241" s="28" t="s">
        <v>4088</v>
      </c>
      <c r="L241" s="28" t="s">
        <v>4081</v>
      </c>
      <c r="M241" s="28" t="s">
        <v>4089</v>
      </c>
      <c r="N241" s="28" t="s">
        <v>4083</v>
      </c>
    </row>
    <row r="242" spans="1:14">
      <c r="A242" t="s">
        <v>26</v>
      </c>
      <c r="B242" t="s">
        <v>60</v>
      </c>
      <c r="C242">
        <v>2112</v>
      </c>
      <c r="D242">
        <v>766</v>
      </c>
      <c r="E242" t="s">
        <v>961</v>
      </c>
      <c r="F242" s="35" t="s">
        <v>969</v>
      </c>
      <c r="G242" s="28" t="s">
        <v>1556</v>
      </c>
      <c r="H242" s="28" t="s">
        <v>1553</v>
      </c>
      <c r="I242" s="28" t="s">
        <v>4090</v>
      </c>
      <c r="J242" s="28" t="s">
        <v>4079</v>
      </c>
      <c r="K242" s="28" t="s">
        <v>4091</v>
      </c>
      <c r="L242" s="28" t="s">
        <v>4081</v>
      </c>
      <c r="M242" s="28" t="s">
        <v>4092</v>
      </c>
      <c r="N242" s="28" t="s">
        <v>4083</v>
      </c>
    </row>
    <row r="243" spans="1:14">
      <c r="A243" t="s">
        <v>26</v>
      </c>
      <c r="B243" t="s">
        <v>60</v>
      </c>
      <c r="C243">
        <v>2113</v>
      </c>
      <c r="D243">
        <v>576</v>
      </c>
      <c r="E243" t="s">
        <v>961</v>
      </c>
      <c r="F243" s="35" t="s">
        <v>969</v>
      </c>
      <c r="G243" s="28" t="s">
        <v>1557</v>
      </c>
      <c r="H243" s="28" t="s">
        <v>1553</v>
      </c>
      <c r="I243" s="28" t="s">
        <v>4093</v>
      </c>
      <c r="J243" s="28" t="s">
        <v>4079</v>
      </c>
      <c r="K243" s="28" t="s">
        <v>4094</v>
      </c>
      <c r="L243" s="28" t="s">
        <v>4081</v>
      </c>
      <c r="M243" s="28" t="s">
        <v>4095</v>
      </c>
      <c r="N243" s="28" t="s">
        <v>4083</v>
      </c>
    </row>
    <row r="244" spans="1:14">
      <c r="A244" t="s">
        <v>26</v>
      </c>
      <c r="B244" t="s">
        <v>60</v>
      </c>
      <c r="C244">
        <v>2114</v>
      </c>
      <c r="D244">
        <v>95</v>
      </c>
      <c r="E244" t="s">
        <v>961</v>
      </c>
      <c r="F244" s="35" t="s">
        <v>970</v>
      </c>
      <c r="G244" s="28" t="s">
        <v>1558</v>
      </c>
      <c r="H244" s="28" t="s">
        <v>1529</v>
      </c>
      <c r="I244" s="28" t="s">
        <v>4096</v>
      </c>
      <c r="J244" s="28" t="s">
        <v>4007</v>
      </c>
      <c r="K244" s="28" t="s">
        <v>4097</v>
      </c>
      <c r="L244" s="28" t="s">
        <v>4009</v>
      </c>
      <c r="M244" s="28" t="s">
        <v>4098</v>
      </c>
      <c r="N244" s="28" t="s">
        <v>4011</v>
      </c>
    </row>
    <row r="245" spans="1:14">
      <c r="A245" t="s">
        <v>26</v>
      </c>
      <c r="B245" t="s">
        <v>60</v>
      </c>
      <c r="C245">
        <v>2115</v>
      </c>
      <c r="D245">
        <v>341</v>
      </c>
      <c r="E245" t="s">
        <v>961</v>
      </c>
      <c r="F245" s="35" t="s">
        <v>970</v>
      </c>
      <c r="G245" s="28" t="s">
        <v>1559</v>
      </c>
      <c r="H245" s="28" t="s">
        <v>1529</v>
      </c>
      <c r="I245" s="28" t="s">
        <v>4099</v>
      </c>
      <c r="J245" s="28" t="s">
        <v>4007</v>
      </c>
      <c r="K245" s="28" t="s">
        <v>4100</v>
      </c>
      <c r="L245" s="28" t="s">
        <v>4009</v>
      </c>
      <c r="M245" s="28" t="s">
        <v>4101</v>
      </c>
      <c r="N245" s="28" t="s">
        <v>4011</v>
      </c>
    </row>
    <row r="246" spans="1:14">
      <c r="A246" t="s">
        <v>26</v>
      </c>
      <c r="B246" t="s">
        <v>60</v>
      </c>
      <c r="C246">
        <v>2116</v>
      </c>
      <c r="D246">
        <v>520</v>
      </c>
      <c r="E246" t="s">
        <v>961</v>
      </c>
      <c r="F246" s="35" t="s">
        <v>970</v>
      </c>
      <c r="G246" s="28" t="s">
        <v>1528</v>
      </c>
      <c r="H246" s="28" t="s">
        <v>1529</v>
      </c>
      <c r="I246" s="28" t="s">
        <v>4006</v>
      </c>
      <c r="J246" s="28" t="s">
        <v>4007</v>
      </c>
      <c r="K246" s="28" t="s">
        <v>4008</v>
      </c>
      <c r="L246" s="28" t="s">
        <v>4009</v>
      </c>
      <c r="M246" s="28" t="s">
        <v>4010</v>
      </c>
      <c r="N246" s="28" t="s">
        <v>4011</v>
      </c>
    </row>
    <row r="247" spans="1:14">
      <c r="A247" t="s">
        <v>26</v>
      </c>
      <c r="B247" t="s">
        <v>60</v>
      </c>
      <c r="C247">
        <v>2117</v>
      </c>
      <c r="D247">
        <v>277</v>
      </c>
      <c r="E247" t="s">
        <v>961</v>
      </c>
      <c r="F247" s="35" t="s">
        <v>970</v>
      </c>
      <c r="G247" s="28" t="s">
        <v>1560</v>
      </c>
      <c r="H247" s="28" t="s">
        <v>1529</v>
      </c>
      <c r="I247" s="28" t="s">
        <v>4102</v>
      </c>
      <c r="J247" s="28" t="s">
        <v>4007</v>
      </c>
      <c r="K247" s="28" t="s">
        <v>4103</v>
      </c>
      <c r="L247" s="28" t="s">
        <v>4009</v>
      </c>
      <c r="M247" s="28" t="s">
        <v>4104</v>
      </c>
      <c r="N247" s="28" t="s">
        <v>4011</v>
      </c>
    </row>
    <row r="248" spans="1:14">
      <c r="A248" t="s">
        <v>26</v>
      </c>
      <c r="B248" t="s">
        <v>60</v>
      </c>
      <c r="C248">
        <v>2118</v>
      </c>
      <c r="D248">
        <v>278</v>
      </c>
      <c r="E248" t="s">
        <v>961</v>
      </c>
      <c r="F248" s="35" t="s">
        <v>971</v>
      </c>
      <c r="G248" s="28" t="s">
        <v>1530</v>
      </c>
      <c r="H248" s="28" t="s">
        <v>1531</v>
      </c>
      <c r="I248" s="28" t="s">
        <v>4012</v>
      </c>
      <c r="J248" s="28" t="s">
        <v>4013</v>
      </c>
      <c r="K248" s="28" t="s">
        <v>4014</v>
      </c>
      <c r="L248" s="28" t="s">
        <v>4015</v>
      </c>
      <c r="M248" s="28" t="s">
        <v>4016</v>
      </c>
      <c r="N248" s="28" t="s">
        <v>4017</v>
      </c>
    </row>
    <row r="249" spans="1:14">
      <c r="A249" t="s">
        <v>26</v>
      </c>
      <c r="B249" t="s">
        <v>60</v>
      </c>
      <c r="C249">
        <v>2128</v>
      </c>
      <c r="D249">
        <v>1</v>
      </c>
      <c r="E249" t="s">
        <v>961</v>
      </c>
      <c r="F249" s="35" t="s">
        <v>973</v>
      </c>
      <c r="G249" s="28" t="s">
        <v>1540</v>
      </c>
      <c r="H249" s="28" t="s">
        <v>1541</v>
      </c>
      <c r="I249" s="28" t="s">
        <v>4042</v>
      </c>
      <c r="J249" s="28" t="s">
        <v>4043</v>
      </c>
      <c r="K249" s="28" t="s">
        <v>4044</v>
      </c>
      <c r="L249" s="28" t="s">
        <v>4045</v>
      </c>
      <c r="M249" s="28" t="s">
        <v>4046</v>
      </c>
      <c r="N249" s="28" t="s">
        <v>4047</v>
      </c>
    </row>
    <row r="250" spans="1:14">
      <c r="A250" t="s">
        <v>26</v>
      </c>
      <c r="B250" t="s">
        <v>57</v>
      </c>
      <c r="C250">
        <v>2101</v>
      </c>
      <c r="D250">
        <v>319</v>
      </c>
      <c r="E250" t="s">
        <v>961</v>
      </c>
      <c r="F250" s="35" t="s">
        <v>976</v>
      </c>
      <c r="G250" s="28" t="s">
        <v>1561</v>
      </c>
      <c r="H250" s="28" t="s">
        <v>1544</v>
      </c>
      <c r="I250" s="28" t="s">
        <v>4105</v>
      </c>
      <c r="J250" s="28" t="s">
        <v>4052</v>
      </c>
      <c r="K250" s="28" t="s">
        <v>4106</v>
      </c>
      <c r="L250" s="28" t="s">
        <v>4107</v>
      </c>
      <c r="M250" s="28" t="s">
        <v>4108</v>
      </c>
      <c r="N250" s="28" t="s">
        <v>4109</v>
      </c>
    </row>
    <row r="251" spans="1:14">
      <c r="A251" t="s">
        <v>26</v>
      </c>
      <c r="B251" t="s">
        <v>57</v>
      </c>
      <c r="C251">
        <v>2102</v>
      </c>
      <c r="D251">
        <v>1272</v>
      </c>
      <c r="E251" t="s">
        <v>961</v>
      </c>
      <c r="F251" s="35" t="s">
        <v>976</v>
      </c>
      <c r="G251" s="28" t="s">
        <v>1543</v>
      </c>
      <c r="H251" s="28" t="s">
        <v>1544</v>
      </c>
      <c r="I251" s="28" t="s">
        <v>4051</v>
      </c>
      <c r="J251" s="28" t="s">
        <v>4052</v>
      </c>
      <c r="K251" s="28" t="s">
        <v>4110</v>
      </c>
      <c r="L251" s="28" t="s">
        <v>4107</v>
      </c>
      <c r="M251" s="28" t="s">
        <v>4111</v>
      </c>
      <c r="N251" s="28" t="s">
        <v>4109</v>
      </c>
    </row>
    <row r="252" spans="1:14">
      <c r="A252" t="s">
        <v>26</v>
      </c>
      <c r="B252" t="s">
        <v>57</v>
      </c>
      <c r="C252">
        <v>2103</v>
      </c>
      <c r="D252">
        <v>1621</v>
      </c>
      <c r="E252" t="s">
        <v>961</v>
      </c>
      <c r="F252" s="35" t="s">
        <v>976</v>
      </c>
      <c r="G252" s="28" t="s">
        <v>1545</v>
      </c>
      <c r="H252" s="28" t="s">
        <v>1544</v>
      </c>
      <c r="I252" s="28" t="s">
        <v>4057</v>
      </c>
      <c r="J252" s="28" t="s">
        <v>4052</v>
      </c>
      <c r="K252" s="28" t="s">
        <v>4112</v>
      </c>
      <c r="L252" s="28" t="s">
        <v>4107</v>
      </c>
      <c r="M252" s="28" t="s">
        <v>4113</v>
      </c>
      <c r="N252" s="28" t="s">
        <v>4109</v>
      </c>
    </row>
    <row r="253" spans="1:14">
      <c r="A253" t="s">
        <v>26</v>
      </c>
      <c r="B253" t="s">
        <v>57</v>
      </c>
      <c r="C253">
        <v>2104</v>
      </c>
      <c r="D253">
        <v>700</v>
      </c>
      <c r="E253" t="s">
        <v>961</v>
      </c>
      <c r="F253" s="35" t="s">
        <v>976</v>
      </c>
      <c r="G253" s="28" t="s">
        <v>1546</v>
      </c>
      <c r="H253" s="28" t="s">
        <v>1544</v>
      </c>
      <c r="I253" s="28" t="s">
        <v>4060</v>
      </c>
      <c r="J253" s="28" t="s">
        <v>4052</v>
      </c>
      <c r="K253" s="28" t="s">
        <v>4114</v>
      </c>
      <c r="L253" s="28" t="s">
        <v>4107</v>
      </c>
      <c r="M253" s="28" t="s">
        <v>4115</v>
      </c>
      <c r="N253" s="28" t="s">
        <v>4109</v>
      </c>
    </row>
    <row r="254" spans="1:14">
      <c r="A254" t="s">
        <v>26</v>
      </c>
      <c r="B254" t="s">
        <v>57</v>
      </c>
      <c r="C254">
        <v>2105</v>
      </c>
      <c r="D254">
        <v>517</v>
      </c>
      <c r="E254" t="s">
        <v>961</v>
      </c>
      <c r="F254" s="35" t="s">
        <v>975</v>
      </c>
      <c r="G254" s="28" t="s">
        <v>1547</v>
      </c>
      <c r="H254" s="28" t="s">
        <v>1548</v>
      </c>
      <c r="I254" s="28" t="s">
        <v>4063</v>
      </c>
      <c r="J254" s="28" t="s">
        <v>4064</v>
      </c>
      <c r="K254" s="28" t="s">
        <v>4116</v>
      </c>
      <c r="L254" s="28" t="s">
        <v>4117</v>
      </c>
      <c r="M254" s="28" t="s">
        <v>4118</v>
      </c>
      <c r="N254" s="28" t="s">
        <v>4119</v>
      </c>
    </row>
    <row r="255" spans="1:14">
      <c r="A255" t="s">
        <v>26</v>
      </c>
      <c r="B255" t="s">
        <v>57</v>
      </c>
      <c r="C255">
        <v>2106</v>
      </c>
      <c r="D255">
        <v>1152</v>
      </c>
      <c r="E255" t="s">
        <v>961</v>
      </c>
      <c r="F255" s="35" t="s">
        <v>975</v>
      </c>
      <c r="G255" s="28" t="s">
        <v>1549</v>
      </c>
      <c r="H255" s="28" t="s">
        <v>1548</v>
      </c>
      <c r="I255" s="28" t="s">
        <v>4069</v>
      </c>
      <c r="J255" s="28" t="s">
        <v>4064</v>
      </c>
      <c r="K255" s="28" t="s">
        <v>4120</v>
      </c>
      <c r="L255" s="28" t="s">
        <v>4117</v>
      </c>
      <c r="M255" s="28" t="s">
        <v>4121</v>
      </c>
      <c r="N255" s="28" t="s">
        <v>4119</v>
      </c>
    </row>
    <row r="256" spans="1:14">
      <c r="A256" t="s">
        <v>26</v>
      </c>
      <c r="B256" t="s">
        <v>57</v>
      </c>
      <c r="C256">
        <v>2107</v>
      </c>
      <c r="D256">
        <v>739</v>
      </c>
      <c r="E256" t="s">
        <v>961</v>
      </c>
      <c r="F256" s="35" t="s">
        <v>975</v>
      </c>
      <c r="G256" s="28" t="s">
        <v>1550</v>
      </c>
      <c r="H256" s="28" t="s">
        <v>1548</v>
      </c>
      <c r="I256" s="28" t="s">
        <v>4072</v>
      </c>
      <c r="J256" s="28" t="s">
        <v>4064</v>
      </c>
      <c r="K256" s="28" t="s">
        <v>4122</v>
      </c>
      <c r="L256" s="28" t="s">
        <v>4117</v>
      </c>
      <c r="M256" s="28" t="s">
        <v>4123</v>
      </c>
      <c r="N256" s="28" t="s">
        <v>4119</v>
      </c>
    </row>
    <row r="257" spans="1:14">
      <c r="A257" t="s">
        <v>26</v>
      </c>
      <c r="B257" t="s">
        <v>57</v>
      </c>
      <c r="C257">
        <v>2108</v>
      </c>
      <c r="D257">
        <v>375</v>
      </c>
      <c r="E257" t="s">
        <v>961</v>
      </c>
      <c r="F257" s="35" t="s">
        <v>975</v>
      </c>
      <c r="G257" s="28" t="s">
        <v>1551</v>
      </c>
      <c r="H257" s="28" t="s">
        <v>1548</v>
      </c>
      <c r="I257" s="28" t="s">
        <v>4075</v>
      </c>
      <c r="J257" s="28" t="s">
        <v>4064</v>
      </c>
      <c r="K257" s="28" t="s">
        <v>4124</v>
      </c>
      <c r="L257" s="28" t="s">
        <v>4117</v>
      </c>
      <c r="M257" s="28" t="s">
        <v>4125</v>
      </c>
      <c r="N257" s="28" t="s">
        <v>4119</v>
      </c>
    </row>
    <row r="258" spans="1:14">
      <c r="A258" t="s">
        <v>26</v>
      </c>
      <c r="B258" t="s">
        <v>57</v>
      </c>
      <c r="C258">
        <v>2109</v>
      </c>
      <c r="D258">
        <v>320</v>
      </c>
      <c r="E258" t="s">
        <v>961</v>
      </c>
      <c r="F258" s="35" t="s">
        <v>969</v>
      </c>
      <c r="G258" s="28" t="s">
        <v>1552</v>
      </c>
      <c r="H258" s="28" t="s">
        <v>1553</v>
      </c>
      <c r="I258" s="28" t="s">
        <v>4078</v>
      </c>
      <c r="J258" s="28" t="s">
        <v>4079</v>
      </c>
      <c r="K258" s="28" t="s">
        <v>4126</v>
      </c>
      <c r="L258" s="28" t="s">
        <v>4127</v>
      </c>
      <c r="M258" s="28" t="s">
        <v>4128</v>
      </c>
      <c r="N258" s="28" t="s">
        <v>4129</v>
      </c>
    </row>
    <row r="259" spans="1:14">
      <c r="A259" t="s">
        <v>26</v>
      </c>
      <c r="B259" t="s">
        <v>57</v>
      </c>
      <c r="C259">
        <v>2110</v>
      </c>
      <c r="D259">
        <v>552</v>
      </c>
      <c r="E259" t="s">
        <v>961</v>
      </c>
      <c r="F259" s="35" t="s">
        <v>969</v>
      </c>
      <c r="G259" s="28" t="s">
        <v>1554</v>
      </c>
      <c r="H259" s="28" t="s">
        <v>1553</v>
      </c>
      <c r="I259" s="28" t="s">
        <v>4084</v>
      </c>
      <c r="J259" s="28" t="s">
        <v>4079</v>
      </c>
      <c r="K259" s="28" t="s">
        <v>4130</v>
      </c>
      <c r="L259" s="28" t="s">
        <v>4127</v>
      </c>
      <c r="M259" s="28" t="s">
        <v>4131</v>
      </c>
      <c r="N259" s="28" t="s">
        <v>4129</v>
      </c>
    </row>
    <row r="260" spans="1:14">
      <c r="A260" t="s">
        <v>26</v>
      </c>
      <c r="B260" t="s">
        <v>57</v>
      </c>
      <c r="C260">
        <v>2111</v>
      </c>
      <c r="D260">
        <v>307</v>
      </c>
      <c r="E260" t="s">
        <v>961</v>
      </c>
      <c r="F260" s="35" t="s">
        <v>969</v>
      </c>
      <c r="G260" s="28" t="s">
        <v>1555</v>
      </c>
      <c r="H260" s="28" t="s">
        <v>1553</v>
      </c>
      <c r="I260" s="28" t="s">
        <v>4087</v>
      </c>
      <c r="J260" s="28" t="s">
        <v>4079</v>
      </c>
      <c r="K260" s="28" t="s">
        <v>4132</v>
      </c>
      <c r="L260" s="28" t="s">
        <v>4127</v>
      </c>
      <c r="M260" s="28" t="s">
        <v>4133</v>
      </c>
      <c r="N260" s="28" t="s">
        <v>4129</v>
      </c>
    </row>
    <row r="261" spans="1:14">
      <c r="A261" t="s">
        <v>26</v>
      </c>
      <c r="B261" t="s">
        <v>57</v>
      </c>
      <c r="C261">
        <v>2112</v>
      </c>
      <c r="D261">
        <v>84</v>
      </c>
      <c r="E261" t="s">
        <v>961</v>
      </c>
      <c r="F261" s="35" t="s">
        <v>969</v>
      </c>
      <c r="G261" s="28" t="s">
        <v>1556</v>
      </c>
      <c r="H261" s="28" t="s">
        <v>1553</v>
      </c>
      <c r="I261" s="28" t="s">
        <v>4090</v>
      </c>
      <c r="J261" s="28" t="s">
        <v>4079</v>
      </c>
      <c r="K261" s="28" t="s">
        <v>4134</v>
      </c>
      <c r="L261" s="28" t="s">
        <v>4127</v>
      </c>
      <c r="M261" s="28" t="s">
        <v>4135</v>
      </c>
      <c r="N261" s="28" t="s">
        <v>4129</v>
      </c>
    </row>
    <row r="262" spans="1:14">
      <c r="A262" t="s">
        <v>26</v>
      </c>
      <c r="B262" t="s">
        <v>57</v>
      </c>
      <c r="C262">
        <v>2113</v>
      </c>
      <c r="D262">
        <v>313</v>
      </c>
      <c r="E262" t="s">
        <v>961</v>
      </c>
      <c r="F262" s="35" t="s">
        <v>969</v>
      </c>
      <c r="G262" s="28" t="s">
        <v>1557</v>
      </c>
      <c r="H262" s="28" t="s">
        <v>1553</v>
      </c>
      <c r="I262" s="28" t="s">
        <v>4093</v>
      </c>
      <c r="J262" s="28" t="s">
        <v>4079</v>
      </c>
      <c r="K262" s="28" t="s">
        <v>4136</v>
      </c>
      <c r="L262" s="28" t="s">
        <v>4127</v>
      </c>
      <c r="M262" s="28" t="s">
        <v>4137</v>
      </c>
      <c r="N262" s="28" t="s">
        <v>4129</v>
      </c>
    </row>
    <row r="263" spans="1:14">
      <c r="A263" t="s">
        <v>26</v>
      </c>
      <c r="B263" t="s">
        <v>57</v>
      </c>
      <c r="C263">
        <v>2114</v>
      </c>
      <c r="D263">
        <v>158</v>
      </c>
      <c r="E263" t="s">
        <v>961</v>
      </c>
      <c r="F263" s="35" t="s">
        <v>970</v>
      </c>
      <c r="G263" s="28" t="s">
        <v>1558</v>
      </c>
      <c r="H263" s="28" t="s">
        <v>1529</v>
      </c>
      <c r="I263" s="28" t="s">
        <v>4096</v>
      </c>
      <c r="J263" s="28" t="s">
        <v>4007</v>
      </c>
      <c r="K263" s="28" t="s">
        <v>4138</v>
      </c>
      <c r="L263" s="28" t="s">
        <v>4139</v>
      </c>
      <c r="M263" s="28" t="s">
        <v>4140</v>
      </c>
      <c r="N263" s="28" t="s">
        <v>4141</v>
      </c>
    </row>
    <row r="264" spans="1:14">
      <c r="A264" t="s">
        <v>26</v>
      </c>
      <c r="B264" t="s">
        <v>57</v>
      </c>
      <c r="C264">
        <v>2116</v>
      </c>
      <c r="D264">
        <v>647</v>
      </c>
      <c r="E264" t="s">
        <v>961</v>
      </c>
      <c r="F264" s="35" t="s">
        <v>970</v>
      </c>
      <c r="G264" s="28" t="s">
        <v>1528</v>
      </c>
      <c r="H264" s="28" t="s">
        <v>1529</v>
      </c>
      <c r="I264" s="28" t="s">
        <v>4006</v>
      </c>
      <c r="J264" s="28" t="s">
        <v>4007</v>
      </c>
      <c r="K264" s="28" t="s">
        <v>4142</v>
      </c>
      <c r="L264" s="28" t="s">
        <v>4139</v>
      </c>
      <c r="M264" s="28" t="s">
        <v>4143</v>
      </c>
      <c r="N264" s="28" t="s">
        <v>4141</v>
      </c>
    </row>
    <row r="265" spans="1:14">
      <c r="A265" t="s">
        <v>26</v>
      </c>
      <c r="B265" t="s">
        <v>57</v>
      </c>
      <c r="C265">
        <v>2117</v>
      </c>
      <c r="D265">
        <v>525</v>
      </c>
      <c r="E265" t="s">
        <v>961</v>
      </c>
      <c r="F265" s="35" t="s">
        <v>970</v>
      </c>
      <c r="G265" s="28" t="s">
        <v>1560</v>
      </c>
      <c r="H265" s="28" t="s">
        <v>1529</v>
      </c>
      <c r="I265" s="28" t="s">
        <v>4102</v>
      </c>
      <c r="J265" s="28" t="s">
        <v>4007</v>
      </c>
      <c r="K265" s="28" t="s">
        <v>4144</v>
      </c>
      <c r="L265" s="28" t="s">
        <v>4139</v>
      </c>
      <c r="M265" s="28" t="s">
        <v>4145</v>
      </c>
      <c r="N265" s="28" t="s">
        <v>4141</v>
      </c>
    </row>
    <row r="266" spans="1:14">
      <c r="A266" t="s">
        <v>26</v>
      </c>
      <c r="B266" t="s">
        <v>57</v>
      </c>
      <c r="C266">
        <v>2118</v>
      </c>
      <c r="D266">
        <v>785</v>
      </c>
      <c r="E266" t="s">
        <v>961</v>
      </c>
      <c r="F266" s="35" t="s">
        <v>971</v>
      </c>
      <c r="G266" s="28" t="s">
        <v>1530</v>
      </c>
      <c r="H266" s="28" t="s">
        <v>1531</v>
      </c>
      <c r="I266" s="28" t="s">
        <v>4012</v>
      </c>
      <c r="J266" s="28" t="s">
        <v>4013</v>
      </c>
      <c r="K266" s="28" t="s">
        <v>4146</v>
      </c>
      <c r="L266" s="28" t="s">
        <v>4147</v>
      </c>
      <c r="M266" s="28" t="s">
        <v>4148</v>
      </c>
      <c r="N266" s="28" t="s">
        <v>4149</v>
      </c>
    </row>
    <row r="267" spans="1:14">
      <c r="A267" t="s">
        <v>26</v>
      </c>
      <c r="B267" t="s">
        <v>57</v>
      </c>
      <c r="C267">
        <v>2119</v>
      </c>
      <c r="D267">
        <v>329</v>
      </c>
      <c r="E267" t="s">
        <v>961</v>
      </c>
      <c r="F267" s="35" t="s">
        <v>971</v>
      </c>
      <c r="G267" s="28" t="s">
        <v>1532</v>
      </c>
      <c r="H267" s="28" t="s">
        <v>1531</v>
      </c>
      <c r="I267" s="28" t="s">
        <v>4018</v>
      </c>
      <c r="J267" s="28" t="s">
        <v>4013</v>
      </c>
      <c r="K267" s="28" t="s">
        <v>4150</v>
      </c>
      <c r="L267" s="28" t="s">
        <v>4147</v>
      </c>
      <c r="M267" s="28" t="s">
        <v>4151</v>
      </c>
      <c r="N267" s="28" t="s">
        <v>4149</v>
      </c>
    </row>
    <row r="268" spans="1:14">
      <c r="A268" t="s">
        <v>26</v>
      </c>
      <c r="B268" t="s">
        <v>57</v>
      </c>
      <c r="C268">
        <v>2121</v>
      </c>
      <c r="D268">
        <v>728</v>
      </c>
      <c r="E268" t="s">
        <v>961</v>
      </c>
      <c r="F268" s="35" t="s">
        <v>971</v>
      </c>
      <c r="G268" s="28" t="s">
        <v>1533</v>
      </c>
      <c r="H268" s="28" t="s">
        <v>1531</v>
      </c>
      <c r="I268" s="28" t="s">
        <v>4021</v>
      </c>
      <c r="J268" s="28" t="s">
        <v>4013</v>
      </c>
      <c r="K268" s="28" t="s">
        <v>4152</v>
      </c>
      <c r="L268" s="28" t="s">
        <v>4147</v>
      </c>
      <c r="M268" s="28" t="s">
        <v>4153</v>
      </c>
      <c r="N268" s="28" t="s">
        <v>4149</v>
      </c>
    </row>
    <row r="269" spans="1:14">
      <c r="A269" t="s">
        <v>26</v>
      </c>
      <c r="B269" t="s">
        <v>57</v>
      </c>
      <c r="C269">
        <v>2122</v>
      </c>
      <c r="D269">
        <v>294</v>
      </c>
      <c r="E269" t="s">
        <v>961</v>
      </c>
      <c r="F269" s="35" t="s">
        <v>971</v>
      </c>
      <c r="G269" s="28" t="s">
        <v>1534</v>
      </c>
      <c r="H269" s="28" t="s">
        <v>1531</v>
      </c>
      <c r="I269" s="28" t="s">
        <v>4024</v>
      </c>
      <c r="J269" s="28" t="s">
        <v>4013</v>
      </c>
      <c r="K269" s="28" t="s">
        <v>4154</v>
      </c>
      <c r="L269" s="28" t="s">
        <v>4147</v>
      </c>
      <c r="M269" s="28" t="s">
        <v>4155</v>
      </c>
      <c r="N269" s="28" t="s">
        <v>4149</v>
      </c>
    </row>
    <row r="270" spans="1:14">
      <c r="A270" t="s">
        <v>26</v>
      </c>
      <c r="B270" t="s">
        <v>57</v>
      </c>
      <c r="C270">
        <v>2123</v>
      </c>
      <c r="D270">
        <v>53</v>
      </c>
      <c r="E270" t="s">
        <v>961</v>
      </c>
      <c r="F270" s="35" t="s">
        <v>972</v>
      </c>
      <c r="G270" s="28" t="s">
        <v>1535</v>
      </c>
      <c r="H270" s="28" t="s">
        <v>1536</v>
      </c>
      <c r="I270" s="28" t="s">
        <v>4027</v>
      </c>
      <c r="J270" s="28" t="s">
        <v>4028</v>
      </c>
      <c r="K270" s="28" t="s">
        <v>4156</v>
      </c>
      <c r="L270" s="28" t="s">
        <v>4157</v>
      </c>
      <c r="M270" s="28" t="s">
        <v>4158</v>
      </c>
      <c r="N270" s="28" t="s">
        <v>4159</v>
      </c>
    </row>
    <row r="271" spans="1:14">
      <c r="A271" t="s">
        <v>26</v>
      </c>
      <c r="B271" t="s">
        <v>57</v>
      </c>
      <c r="C271">
        <v>2124</v>
      </c>
      <c r="D271">
        <v>64</v>
      </c>
      <c r="E271" t="s">
        <v>961</v>
      </c>
      <c r="F271" s="35" t="s">
        <v>972</v>
      </c>
      <c r="G271" s="28" t="s">
        <v>1537</v>
      </c>
      <c r="H271" s="28" t="s">
        <v>1536</v>
      </c>
      <c r="I271" s="28" t="s">
        <v>4033</v>
      </c>
      <c r="J271" s="28" t="s">
        <v>4028</v>
      </c>
      <c r="K271" s="28" t="s">
        <v>4160</v>
      </c>
      <c r="L271" s="28" t="s">
        <v>4157</v>
      </c>
      <c r="M271" s="28" t="s">
        <v>4161</v>
      </c>
      <c r="N271" s="28" t="s">
        <v>4159</v>
      </c>
    </row>
    <row r="272" spans="1:14">
      <c r="A272" t="s">
        <v>26</v>
      </c>
      <c r="B272" t="s">
        <v>57</v>
      </c>
      <c r="C272">
        <v>2125</v>
      </c>
      <c r="D272">
        <v>38</v>
      </c>
      <c r="E272" t="s">
        <v>961</v>
      </c>
      <c r="F272" s="35" t="s">
        <v>972</v>
      </c>
      <c r="G272" s="28" t="s">
        <v>1538</v>
      </c>
      <c r="H272" s="28" t="s">
        <v>1536</v>
      </c>
      <c r="I272" s="28" t="s">
        <v>4036</v>
      </c>
      <c r="J272" s="28" t="s">
        <v>4028</v>
      </c>
      <c r="K272" s="28" t="s">
        <v>4162</v>
      </c>
      <c r="L272" s="28" t="s">
        <v>4157</v>
      </c>
      <c r="M272" s="28" t="s">
        <v>4163</v>
      </c>
      <c r="N272" s="28" t="s">
        <v>4159</v>
      </c>
    </row>
    <row r="273" spans="1:14">
      <c r="A273" t="s">
        <v>26</v>
      </c>
      <c r="B273" t="s">
        <v>57</v>
      </c>
      <c r="C273">
        <v>2126</v>
      </c>
      <c r="D273">
        <v>20</v>
      </c>
      <c r="E273" t="s">
        <v>961</v>
      </c>
      <c r="F273" s="35" t="s">
        <v>972</v>
      </c>
      <c r="G273" s="28" t="s">
        <v>1539</v>
      </c>
      <c r="H273" s="28" t="s">
        <v>1536</v>
      </c>
      <c r="I273" s="28" t="s">
        <v>4039</v>
      </c>
      <c r="J273" s="28" t="s">
        <v>4028</v>
      </c>
      <c r="K273" s="28" t="s">
        <v>4164</v>
      </c>
      <c r="L273" s="28" t="s">
        <v>4157</v>
      </c>
      <c r="M273" s="28" t="s">
        <v>4165</v>
      </c>
      <c r="N273" s="28" t="s">
        <v>4159</v>
      </c>
    </row>
    <row r="274" spans="1:14">
      <c r="A274" t="s">
        <v>26</v>
      </c>
      <c r="B274" t="s">
        <v>57</v>
      </c>
      <c r="C274">
        <v>2133</v>
      </c>
      <c r="D274">
        <v>169</v>
      </c>
      <c r="E274" t="s">
        <v>961</v>
      </c>
      <c r="F274" s="35" t="s">
        <v>974</v>
      </c>
      <c r="G274" s="28" t="s">
        <v>1562</v>
      </c>
      <c r="H274" s="28" t="s">
        <v>1563</v>
      </c>
      <c r="I274" s="28" t="s">
        <v>4166</v>
      </c>
      <c r="J274" s="28" t="s">
        <v>4167</v>
      </c>
      <c r="K274" s="28" t="s">
        <v>4168</v>
      </c>
      <c r="L274" s="28" t="s">
        <v>4169</v>
      </c>
      <c r="M274" s="28" t="s">
        <v>4170</v>
      </c>
      <c r="N274" s="28" t="s">
        <v>4171</v>
      </c>
    </row>
    <row r="275" spans="1:14">
      <c r="A275" t="s">
        <v>26</v>
      </c>
      <c r="B275" t="s">
        <v>57</v>
      </c>
      <c r="C275">
        <v>2134</v>
      </c>
      <c r="D275">
        <v>13</v>
      </c>
      <c r="E275" t="s">
        <v>961</v>
      </c>
      <c r="F275" s="35" t="s">
        <v>974</v>
      </c>
      <c r="G275" s="28" t="s">
        <v>6012</v>
      </c>
      <c r="H275" s="28" t="s">
        <v>1563</v>
      </c>
      <c r="I275" s="28" t="s">
        <v>6045</v>
      </c>
      <c r="J275" s="28" t="s">
        <v>4167</v>
      </c>
      <c r="K275" s="28" t="s">
        <v>6046</v>
      </c>
      <c r="L275" s="28" t="s">
        <v>4169</v>
      </c>
      <c r="M275" s="28" t="s">
        <v>6047</v>
      </c>
      <c r="N275" s="28" t="s">
        <v>4171</v>
      </c>
    </row>
    <row r="276" spans="1:14">
      <c r="A276" t="s">
        <v>26</v>
      </c>
      <c r="B276" t="s">
        <v>57</v>
      </c>
      <c r="C276">
        <v>2136</v>
      </c>
      <c r="D276">
        <v>107</v>
      </c>
      <c r="E276" t="s">
        <v>961</v>
      </c>
      <c r="F276" s="35" t="s">
        <v>997</v>
      </c>
      <c r="G276" s="28" t="s">
        <v>6310</v>
      </c>
      <c r="H276" s="28" t="s">
        <v>6311</v>
      </c>
      <c r="I276" s="28" t="s">
        <v>6312</v>
      </c>
      <c r="J276" s="28" t="s">
        <v>6313</v>
      </c>
      <c r="K276" s="28" t="s">
        <v>6314</v>
      </c>
      <c r="L276" s="28" t="s">
        <v>6315</v>
      </c>
      <c r="M276" s="28" t="s">
        <v>6316</v>
      </c>
      <c r="N276" s="28" t="s">
        <v>6317</v>
      </c>
    </row>
    <row r="277" spans="1:14">
      <c r="A277" t="s">
        <v>26</v>
      </c>
      <c r="B277" t="s">
        <v>57</v>
      </c>
      <c r="C277">
        <v>2137</v>
      </c>
      <c r="D277">
        <v>15</v>
      </c>
      <c r="E277" t="s">
        <v>961</v>
      </c>
      <c r="F277" s="35" t="s">
        <v>997</v>
      </c>
      <c r="G277" s="28" t="s">
        <v>6455</v>
      </c>
      <c r="H277" s="28" t="s">
        <v>6311</v>
      </c>
      <c r="I277" s="28" t="s">
        <v>6456</v>
      </c>
      <c r="J277" s="28" t="s">
        <v>6313</v>
      </c>
      <c r="K277" s="28" t="s">
        <v>6457</v>
      </c>
      <c r="L277" s="28" t="s">
        <v>6315</v>
      </c>
      <c r="M277" s="28" t="s">
        <v>6458</v>
      </c>
      <c r="N277" s="28" t="s">
        <v>6317</v>
      </c>
    </row>
    <row r="278" spans="1:14">
      <c r="A278" t="s">
        <v>26</v>
      </c>
      <c r="B278" t="s">
        <v>70</v>
      </c>
      <c r="C278">
        <v>2101</v>
      </c>
      <c r="D278">
        <v>54</v>
      </c>
      <c r="E278" t="s">
        <v>961</v>
      </c>
      <c r="F278" s="35" t="s">
        <v>976</v>
      </c>
      <c r="G278" s="28" t="s">
        <v>1561</v>
      </c>
      <c r="H278" s="28" t="s">
        <v>1544</v>
      </c>
      <c r="I278" s="28" t="s">
        <v>4105</v>
      </c>
      <c r="J278" s="28" t="s">
        <v>4052</v>
      </c>
      <c r="K278" s="28" t="s">
        <v>4172</v>
      </c>
      <c r="L278" s="28" t="s">
        <v>4173</v>
      </c>
      <c r="M278" s="28" t="s">
        <v>4174</v>
      </c>
      <c r="N278" s="28" t="s">
        <v>4175</v>
      </c>
    </row>
    <row r="279" spans="1:14">
      <c r="A279" t="s">
        <v>26</v>
      </c>
      <c r="B279" t="s">
        <v>70</v>
      </c>
      <c r="C279">
        <v>2102</v>
      </c>
      <c r="D279">
        <v>8</v>
      </c>
      <c r="E279" t="s">
        <v>961</v>
      </c>
      <c r="F279" s="35" t="s">
        <v>976</v>
      </c>
      <c r="G279" s="28" t="s">
        <v>1543</v>
      </c>
      <c r="H279" s="28" t="s">
        <v>1544</v>
      </c>
      <c r="I279" s="28" t="s">
        <v>4051</v>
      </c>
      <c r="J279" s="28" t="s">
        <v>4052</v>
      </c>
      <c r="K279" s="28" t="s">
        <v>4176</v>
      </c>
      <c r="L279" s="28" t="s">
        <v>4173</v>
      </c>
      <c r="M279" s="28" t="s">
        <v>4177</v>
      </c>
      <c r="N279" s="28" t="s">
        <v>4175</v>
      </c>
    </row>
    <row r="280" spans="1:14">
      <c r="A280" t="s">
        <v>26</v>
      </c>
      <c r="B280" t="s">
        <v>70</v>
      </c>
      <c r="C280">
        <v>2103</v>
      </c>
      <c r="D280">
        <v>68</v>
      </c>
      <c r="E280" t="s">
        <v>961</v>
      </c>
      <c r="F280" s="35" t="s">
        <v>976</v>
      </c>
      <c r="G280" s="28" t="s">
        <v>1545</v>
      </c>
      <c r="H280" s="28" t="s">
        <v>1544</v>
      </c>
      <c r="I280" s="28" t="s">
        <v>4057</v>
      </c>
      <c r="J280" s="28" t="s">
        <v>4052</v>
      </c>
      <c r="K280" s="28" t="s">
        <v>4178</v>
      </c>
      <c r="L280" s="28" t="s">
        <v>4173</v>
      </c>
      <c r="M280" s="28" t="s">
        <v>4179</v>
      </c>
      <c r="N280" s="28" t="s">
        <v>4175</v>
      </c>
    </row>
    <row r="281" spans="1:14">
      <c r="A281" t="s">
        <v>26</v>
      </c>
      <c r="B281" t="s">
        <v>70</v>
      </c>
      <c r="C281">
        <v>2110</v>
      </c>
      <c r="D281">
        <v>70</v>
      </c>
      <c r="E281" t="s">
        <v>961</v>
      </c>
      <c r="F281" s="35" t="s">
        <v>969</v>
      </c>
      <c r="G281" s="28" t="s">
        <v>1554</v>
      </c>
      <c r="H281" s="28" t="s">
        <v>1553</v>
      </c>
      <c r="I281" s="28" t="s">
        <v>4084</v>
      </c>
      <c r="J281" s="28" t="s">
        <v>4079</v>
      </c>
      <c r="K281" s="28" t="s">
        <v>4180</v>
      </c>
      <c r="L281" s="28" t="s">
        <v>4181</v>
      </c>
      <c r="M281" s="28" t="s">
        <v>4182</v>
      </c>
      <c r="N281" s="28" t="s">
        <v>4183</v>
      </c>
    </row>
    <row r="282" spans="1:14">
      <c r="A282" t="s">
        <v>26</v>
      </c>
      <c r="B282" t="s">
        <v>70</v>
      </c>
      <c r="C282">
        <v>2111</v>
      </c>
      <c r="D282">
        <v>7</v>
      </c>
      <c r="E282" t="s">
        <v>961</v>
      </c>
      <c r="F282" s="35" t="s">
        <v>969</v>
      </c>
      <c r="G282" s="28" t="s">
        <v>1555</v>
      </c>
      <c r="H282" s="28" t="s">
        <v>1553</v>
      </c>
      <c r="I282" s="28" t="s">
        <v>4087</v>
      </c>
      <c r="J282" s="28" t="s">
        <v>4079</v>
      </c>
      <c r="K282" s="28" t="s">
        <v>4184</v>
      </c>
      <c r="L282" s="28" t="s">
        <v>4181</v>
      </c>
      <c r="M282" s="28" t="s">
        <v>4185</v>
      </c>
      <c r="N282" s="28" t="s">
        <v>4183</v>
      </c>
    </row>
    <row r="283" spans="1:14">
      <c r="A283" t="s">
        <v>26</v>
      </c>
      <c r="B283" t="s">
        <v>70</v>
      </c>
      <c r="C283">
        <v>2112</v>
      </c>
      <c r="D283">
        <v>41</v>
      </c>
      <c r="E283" t="s">
        <v>961</v>
      </c>
      <c r="F283" s="35" t="s">
        <v>969</v>
      </c>
      <c r="G283" s="28" t="s">
        <v>1556</v>
      </c>
      <c r="H283" s="28" t="s">
        <v>1553</v>
      </c>
      <c r="I283" s="28" t="s">
        <v>4090</v>
      </c>
      <c r="J283" s="28" t="s">
        <v>4079</v>
      </c>
      <c r="K283" s="28" t="s">
        <v>4186</v>
      </c>
      <c r="L283" s="28" t="s">
        <v>4181</v>
      </c>
      <c r="M283" s="28" t="s">
        <v>4187</v>
      </c>
      <c r="N283" s="28" t="s">
        <v>4183</v>
      </c>
    </row>
    <row r="284" spans="1:14">
      <c r="A284" t="s">
        <v>26</v>
      </c>
      <c r="B284" t="s">
        <v>70</v>
      </c>
      <c r="C284">
        <v>2113</v>
      </c>
      <c r="D284">
        <v>20</v>
      </c>
      <c r="E284" t="s">
        <v>961</v>
      </c>
      <c r="F284" s="35" t="s">
        <v>969</v>
      </c>
      <c r="G284" s="28" t="s">
        <v>1557</v>
      </c>
      <c r="H284" s="28" t="s">
        <v>1553</v>
      </c>
      <c r="I284" s="28" t="s">
        <v>4093</v>
      </c>
      <c r="J284" s="28" t="s">
        <v>4079</v>
      </c>
      <c r="K284" s="28" t="s">
        <v>4188</v>
      </c>
      <c r="L284" s="28" t="s">
        <v>4181</v>
      </c>
      <c r="M284" s="28" t="s">
        <v>4189</v>
      </c>
      <c r="N284" s="28" t="s">
        <v>4183</v>
      </c>
    </row>
    <row r="285" spans="1:14">
      <c r="A285" t="s">
        <v>26</v>
      </c>
      <c r="B285" t="s">
        <v>70</v>
      </c>
      <c r="C285">
        <v>2114</v>
      </c>
      <c r="D285">
        <v>43</v>
      </c>
      <c r="E285" t="s">
        <v>961</v>
      </c>
      <c r="F285" s="35" t="s">
        <v>970</v>
      </c>
      <c r="G285" s="28" t="s">
        <v>1558</v>
      </c>
      <c r="H285" s="28" t="s">
        <v>1529</v>
      </c>
      <c r="I285" s="28" t="s">
        <v>4096</v>
      </c>
      <c r="J285" s="28" t="s">
        <v>4007</v>
      </c>
      <c r="K285" s="28" t="s">
        <v>4190</v>
      </c>
      <c r="L285" s="28" t="s">
        <v>4191</v>
      </c>
      <c r="M285" s="28" t="s">
        <v>4192</v>
      </c>
      <c r="N285" s="28" t="s">
        <v>4193</v>
      </c>
    </row>
    <row r="286" spans="1:14">
      <c r="A286" t="s">
        <v>26</v>
      </c>
      <c r="B286" t="s">
        <v>70</v>
      </c>
      <c r="C286">
        <v>2119</v>
      </c>
      <c r="D286">
        <v>55</v>
      </c>
      <c r="E286" t="s">
        <v>961</v>
      </c>
      <c r="F286" s="35" t="s">
        <v>971</v>
      </c>
      <c r="G286" s="28" t="s">
        <v>1532</v>
      </c>
      <c r="H286" s="28" t="s">
        <v>1531</v>
      </c>
      <c r="I286" s="28" t="s">
        <v>4018</v>
      </c>
      <c r="J286" s="28" t="s">
        <v>4013</v>
      </c>
      <c r="K286" s="28" t="s">
        <v>4194</v>
      </c>
      <c r="L286" s="28" t="s">
        <v>4195</v>
      </c>
      <c r="M286" s="28" t="s">
        <v>4196</v>
      </c>
      <c r="N286" s="28" t="s">
        <v>4197</v>
      </c>
    </row>
    <row r="287" spans="1:14">
      <c r="A287" t="s">
        <v>26</v>
      </c>
      <c r="B287" t="s">
        <v>966</v>
      </c>
      <c r="C287">
        <v>2102</v>
      </c>
      <c r="D287">
        <v>37</v>
      </c>
      <c r="E287" t="s">
        <v>961</v>
      </c>
      <c r="F287" s="35" t="s">
        <v>976</v>
      </c>
      <c r="G287" s="28" t="s">
        <v>1543</v>
      </c>
      <c r="H287" s="28" t="s">
        <v>1544</v>
      </c>
      <c r="I287" s="28" t="s">
        <v>4051</v>
      </c>
      <c r="J287" s="28" t="s">
        <v>4052</v>
      </c>
      <c r="K287" s="28" t="s">
        <v>4198</v>
      </c>
      <c r="L287" s="28" t="s">
        <v>4199</v>
      </c>
      <c r="M287" s="28" t="s">
        <v>4200</v>
      </c>
      <c r="N287" s="28" t="s">
        <v>4201</v>
      </c>
    </row>
    <row r="288" spans="1:14">
      <c r="A288" t="s">
        <v>26</v>
      </c>
      <c r="B288" t="s">
        <v>966</v>
      </c>
      <c r="C288">
        <v>2103</v>
      </c>
      <c r="D288">
        <v>9</v>
      </c>
      <c r="E288" t="s">
        <v>961</v>
      </c>
      <c r="F288" s="35" t="s">
        <v>976</v>
      </c>
      <c r="G288" s="28" t="s">
        <v>1545</v>
      </c>
      <c r="H288" s="28" t="s">
        <v>1544</v>
      </c>
      <c r="I288" s="28" t="s">
        <v>4057</v>
      </c>
      <c r="J288" s="28" t="s">
        <v>4052</v>
      </c>
      <c r="K288" s="28" t="s">
        <v>4202</v>
      </c>
      <c r="L288" s="28" t="s">
        <v>4199</v>
      </c>
      <c r="M288" s="28" t="s">
        <v>4203</v>
      </c>
      <c r="N288" s="28" t="s">
        <v>4201</v>
      </c>
    </row>
    <row r="289" spans="1:14">
      <c r="A289" t="s">
        <v>26</v>
      </c>
      <c r="B289" t="s">
        <v>966</v>
      </c>
      <c r="C289">
        <v>2106</v>
      </c>
      <c r="D289">
        <v>11</v>
      </c>
      <c r="E289" t="s">
        <v>961</v>
      </c>
      <c r="F289" s="35" t="s">
        <v>975</v>
      </c>
      <c r="G289" s="28" t="s">
        <v>1549</v>
      </c>
      <c r="H289" s="28" t="s">
        <v>1548</v>
      </c>
      <c r="I289" s="28" t="s">
        <v>4069</v>
      </c>
      <c r="J289" s="28" t="s">
        <v>4064</v>
      </c>
      <c r="K289" s="28" t="s">
        <v>4204</v>
      </c>
      <c r="L289" s="28" t="s">
        <v>4205</v>
      </c>
      <c r="M289" s="28" t="s">
        <v>4206</v>
      </c>
      <c r="N289" s="28" t="s">
        <v>4207</v>
      </c>
    </row>
    <row r="290" spans="1:14">
      <c r="A290" t="s">
        <v>26</v>
      </c>
      <c r="B290" t="s">
        <v>966</v>
      </c>
      <c r="C290">
        <v>2107</v>
      </c>
      <c r="D290">
        <v>9</v>
      </c>
      <c r="E290" t="s">
        <v>961</v>
      </c>
      <c r="F290" s="35" t="s">
        <v>975</v>
      </c>
      <c r="G290" s="28" t="s">
        <v>1550</v>
      </c>
      <c r="H290" s="28" t="s">
        <v>1548</v>
      </c>
      <c r="I290" s="28" t="s">
        <v>4072</v>
      </c>
      <c r="J290" s="28" t="s">
        <v>4064</v>
      </c>
      <c r="K290" s="28" t="s">
        <v>4208</v>
      </c>
      <c r="L290" s="28" t="s">
        <v>4205</v>
      </c>
      <c r="M290" s="28" t="s">
        <v>4209</v>
      </c>
      <c r="N290" s="28" t="s">
        <v>4207</v>
      </c>
    </row>
    <row r="291" spans="1:14">
      <c r="A291" t="s">
        <v>26</v>
      </c>
      <c r="B291" t="s">
        <v>966</v>
      </c>
      <c r="C291">
        <v>2110</v>
      </c>
      <c r="D291">
        <v>10</v>
      </c>
      <c r="E291" t="s">
        <v>961</v>
      </c>
      <c r="F291" s="35" t="s">
        <v>969</v>
      </c>
      <c r="G291" s="28" t="s">
        <v>1554</v>
      </c>
      <c r="H291" s="28" t="s">
        <v>1553</v>
      </c>
      <c r="I291" s="28" t="s">
        <v>4084</v>
      </c>
      <c r="J291" s="28" t="s">
        <v>4079</v>
      </c>
      <c r="K291" s="28" t="s">
        <v>4210</v>
      </c>
      <c r="L291" s="28" t="s">
        <v>4211</v>
      </c>
      <c r="M291" s="28" t="s">
        <v>4212</v>
      </c>
      <c r="N291" s="28" t="s">
        <v>4213</v>
      </c>
    </row>
    <row r="292" spans="1:14">
      <c r="A292" t="s">
        <v>26</v>
      </c>
      <c r="B292" t="s">
        <v>966</v>
      </c>
      <c r="C292">
        <v>2114</v>
      </c>
      <c r="D292">
        <v>14</v>
      </c>
      <c r="E292" t="s">
        <v>961</v>
      </c>
      <c r="F292" s="35" t="s">
        <v>970</v>
      </c>
      <c r="G292" s="28" t="s">
        <v>1558</v>
      </c>
      <c r="H292" s="28" t="s">
        <v>1529</v>
      </c>
      <c r="I292" s="28" t="s">
        <v>4096</v>
      </c>
      <c r="J292" s="28" t="s">
        <v>4007</v>
      </c>
      <c r="K292" s="28" t="s">
        <v>4214</v>
      </c>
      <c r="L292" s="28" t="s">
        <v>4215</v>
      </c>
      <c r="M292" s="28" t="s">
        <v>4216</v>
      </c>
      <c r="N292" s="28" t="s">
        <v>4217</v>
      </c>
    </row>
    <row r="293" spans="1:14">
      <c r="A293" t="s">
        <v>26</v>
      </c>
      <c r="B293" t="s">
        <v>966</v>
      </c>
      <c r="C293">
        <v>2115</v>
      </c>
      <c r="D293">
        <v>3</v>
      </c>
      <c r="E293" t="s">
        <v>961</v>
      </c>
      <c r="F293" s="35" t="s">
        <v>970</v>
      </c>
      <c r="G293" s="28" t="s">
        <v>1559</v>
      </c>
      <c r="H293" s="28" t="s">
        <v>1529</v>
      </c>
      <c r="I293" s="28" t="s">
        <v>4099</v>
      </c>
      <c r="J293" s="28" t="s">
        <v>4007</v>
      </c>
      <c r="K293" s="28" t="s">
        <v>4218</v>
      </c>
      <c r="L293" s="28" t="s">
        <v>4215</v>
      </c>
      <c r="M293" s="28" t="s">
        <v>4219</v>
      </c>
      <c r="N293" s="28" t="s">
        <v>4217</v>
      </c>
    </row>
    <row r="294" spans="1:14">
      <c r="A294" t="s">
        <v>26</v>
      </c>
      <c r="B294" t="s">
        <v>58</v>
      </c>
      <c r="C294">
        <v>2101</v>
      </c>
      <c r="D294">
        <v>1610</v>
      </c>
      <c r="E294" t="s">
        <v>961</v>
      </c>
      <c r="F294" s="35" t="s">
        <v>976</v>
      </c>
      <c r="G294" s="28" t="s">
        <v>1561</v>
      </c>
      <c r="H294" s="28" t="s">
        <v>1544</v>
      </c>
      <c r="I294" s="28" t="s">
        <v>4105</v>
      </c>
      <c r="J294" s="28" t="s">
        <v>4052</v>
      </c>
      <c r="K294" s="28" t="s">
        <v>4220</v>
      </c>
      <c r="L294" s="28" t="s">
        <v>4221</v>
      </c>
      <c r="M294" s="28" t="s">
        <v>4222</v>
      </c>
      <c r="N294" s="28" t="s">
        <v>4223</v>
      </c>
    </row>
    <row r="295" spans="1:14">
      <c r="A295" t="s">
        <v>26</v>
      </c>
      <c r="B295" t="s">
        <v>58</v>
      </c>
      <c r="C295">
        <v>2102</v>
      </c>
      <c r="D295">
        <v>1906</v>
      </c>
      <c r="E295" t="s">
        <v>961</v>
      </c>
      <c r="F295" s="35" t="s">
        <v>976</v>
      </c>
      <c r="G295" s="28" t="s">
        <v>1543</v>
      </c>
      <c r="H295" s="28" t="s">
        <v>1544</v>
      </c>
      <c r="I295" s="28" t="s">
        <v>4051</v>
      </c>
      <c r="J295" s="28" t="s">
        <v>4052</v>
      </c>
      <c r="K295" s="28" t="s">
        <v>4224</v>
      </c>
      <c r="L295" s="28" t="s">
        <v>4221</v>
      </c>
      <c r="M295" s="28" t="s">
        <v>4225</v>
      </c>
      <c r="N295" s="28" t="s">
        <v>4223</v>
      </c>
    </row>
    <row r="296" spans="1:14">
      <c r="A296" t="s">
        <v>26</v>
      </c>
      <c r="B296" t="s">
        <v>58</v>
      </c>
      <c r="C296">
        <v>2103</v>
      </c>
      <c r="D296">
        <v>2753</v>
      </c>
      <c r="E296" t="s">
        <v>961</v>
      </c>
      <c r="F296" s="35" t="s">
        <v>976</v>
      </c>
      <c r="G296" s="28" t="s">
        <v>1545</v>
      </c>
      <c r="H296" s="28" t="s">
        <v>1544</v>
      </c>
      <c r="I296" s="28" t="s">
        <v>4057</v>
      </c>
      <c r="J296" s="28" t="s">
        <v>4052</v>
      </c>
      <c r="K296" s="28" t="s">
        <v>4226</v>
      </c>
      <c r="L296" s="28" t="s">
        <v>4221</v>
      </c>
      <c r="M296" s="28" t="s">
        <v>4227</v>
      </c>
      <c r="N296" s="28" t="s">
        <v>4223</v>
      </c>
    </row>
    <row r="297" spans="1:14">
      <c r="A297" t="s">
        <v>26</v>
      </c>
      <c r="B297" t="s">
        <v>58</v>
      </c>
      <c r="C297">
        <v>2104</v>
      </c>
      <c r="D297">
        <v>3066</v>
      </c>
      <c r="E297" t="s">
        <v>961</v>
      </c>
      <c r="F297" s="35" t="s">
        <v>976</v>
      </c>
      <c r="G297" s="28" t="s">
        <v>1546</v>
      </c>
      <c r="H297" s="28" t="s">
        <v>1544</v>
      </c>
      <c r="I297" s="28" t="s">
        <v>4060</v>
      </c>
      <c r="J297" s="28" t="s">
        <v>4052</v>
      </c>
      <c r="K297" s="28" t="s">
        <v>4228</v>
      </c>
      <c r="L297" s="28" t="s">
        <v>4221</v>
      </c>
      <c r="M297" s="28" t="s">
        <v>4229</v>
      </c>
      <c r="N297" s="28" t="s">
        <v>4223</v>
      </c>
    </row>
    <row r="298" spans="1:14">
      <c r="A298" t="s">
        <v>26</v>
      </c>
      <c r="B298" t="s">
        <v>58</v>
      </c>
      <c r="C298">
        <v>2105</v>
      </c>
      <c r="D298">
        <v>1374</v>
      </c>
      <c r="E298" t="s">
        <v>961</v>
      </c>
      <c r="F298" s="35" t="s">
        <v>975</v>
      </c>
      <c r="G298" s="28" t="s">
        <v>1547</v>
      </c>
      <c r="H298" s="28" t="s">
        <v>1548</v>
      </c>
      <c r="I298" s="28" t="s">
        <v>4063</v>
      </c>
      <c r="J298" s="28" t="s">
        <v>4064</v>
      </c>
      <c r="K298" s="28" t="s">
        <v>4230</v>
      </c>
      <c r="L298" s="28" t="s">
        <v>4231</v>
      </c>
      <c r="M298" s="28" t="s">
        <v>4232</v>
      </c>
      <c r="N298" s="28" t="s">
        <v>4233</v>
      </c>
    </row>
    <row r="299" spans="1:14">
      <c r="A299" t="s">
        <v>26</v>
      </c>
      <c r="B299" t="s">
        <v>58</v>
      </c>
      <c r="C299">
        <v>2106</v>
      </c>
      <c r="D299">
        <v>1415</v>
      </c>
      <c r="E299" t="s">
        <v>961</v>
      </c>
      <c r="F299" s="35" t="s">
        <v>975</v>
      </c>
      <c r="G299" s="28" t="s">
        <v>1549</v>
      </c>
      <c r="H299" s="28" t="s">
        <v>1548</v>
      </c>
      <c r="I299" s="28" t="s">
        <v>4069</v>
      </c>
      <c r="J299" s="28" t="s">
        <v>4064</v>
      </c>
      <c r="K299" s="28" t="s">
        <v>4234</v>
      </c>
      <c r="L299" s="28" t="s">
        <v>4231</v>
      </c>
      <c r="M299" s="28" t="s">
        <v>4235</v>
      </c>
      <c r="N299" s="28" t="s">
        <v>4233</v>
      </c>
    </row>
    <row r="300" spans="1:14">
      <c r="A300" t="s">
        <v>26</v>
      </c>
      <c r="B300" t="s">
        <v>58</v>
      </c>
      <c r="C300">
        <v>2107</v>
      </c>
      <c r="D300">
        <v>3615</v>
      </c>
      <c r="E300" t="s">
        <v>961</v>
      </c>
      <c r="F300" s="35" t="s">
        <v>975</v>
      </c>
      <c r="G300" s="28" t="s">
        <v>1550</v>
      </c>
      <c r="H300" s="28" t="s">
        <v>1548</v>
      </c>
      <c r="I300" s="28" t="s">
        <v>4072</v>
      </c>
      <c r="J300" s="28" t="s">
        <v>4064</v>
      </c>
      <c r="K300" s="28" t="s">
        <v>4236</v>
      </c>
      <c r="L300" s="28" t="s">
        <v>4231</v>
      </c>
      <c r="M300" s="28" t="s">
        <v>4237</v>
      </c>
      <c r="N300" s="28" t="s">
        <v>4233</v>
      </c>
    </row>
    <row r="301" spans="1:14">
      <c r="A301" t="s">
        <v>26</v>
      </c>
      <c r="B301" t="s">
        <v>58</v>
      </c>
      <c r="C301">
        <v>2108</v>
      </c>
      <c r="D301">
        <v>4</v>
      </c>
      <c r="E301" t="s">
        <v>961</v>
      </c>
      <c r="F301" s="35" t="s">
        <v>975</v>
      </c>
      <c r="G301" s="28" t="s">
        <v>1551</v>
      </c>
      <c r="H301" s="28" t="s">
        <v>1548</v>
      </c>
      <c r="I301" s="28" t="s">
        <v>4075</v>
      </c>
      <c r="J301" s="28" t="s">
        <v>4064</v>
      </c>
      <c r="K301" s="28" t="s">
        <v>4238</v>
      </c>
      <c r="L301" s="28" t="s">
        <v>4231</v>
      </c>
      <c r="M301" s="28" t="s">
        <v>4239</v>
      </c>
      <c r="N301" s="28" t="s">
        <v>4233</v>
      </c>
    </row>
    <row r="302" spans="1:14">
      <c r="A302" t="s">
        <v>26</v>
      </c>
      <c r="B302" t="s">
        <v>61</v>
      </c>
      <c r="C302">
        <v>2101</v>
      </c>
      <c r="D302">
        <v>1572</v>
      </c>
      <c r="E302" t="s">
        <v>961</v>
      </c>
      <c r="F302" s="35" t="s">
        <v>976</v>
      </c>
      <c r="G302" s="28" t="s">
        <v>1561</v>
      </c>
      <c r="H302" s="28" t="s">
        <v>1544</v>
      </c>
      <c r="I302" s="28" t="s">
        <v>4105</v>
      </c>
      <c r="J302" s="28" t="s">
        <v>4052</v>
      </c>
      <c r="K302" s="28" t="s">
        <v>4240</v>
      </c>
      <c r="L302" s="28" t="s">
        <v>4241</v>
      </c>
      <c r="M302" s="28" t="s">
        <v>4242</v>
      </c>
      <c r="N302" s="28" t="s">
        <v>4243</v>
      </c>
    </row>
    <row r="303" spans="1:14">
      <c r="A303" t="s">
        <v>26</v>
      </c>
      <c r="B303" t="s">
        <v>61</v>
      </c>
      <c r="C303">
        <v>2102</v>
      </c>
      <c r="D303">
        <v>1587</v>
      </c>
      <c r="E303" t="s">
        <v>961</v>
      </c>
      <c r="F303" s="35" t="s">
        <v>976</v>
      </c>
      <c r="G303" s="28" t="s">
        <v>1543</v>
      </c>
      <c r="H303" s="28" t="s">
        <v>1544</v>
      </c>
      <c r="I303" s="28" t="s">
        <v>4051</v>
      </c>
      <c r="J303" s="28" t="s">
        <v>4052</v>
      </c>
      <c r="K303" s="28" t="s">
        <v>4244</v>
      </c>
      <c r="L303" s="28" t="s">
        <v>4241</v>
      </c>
      <c r="M303" s="28" t="s">
        <v>4245</v>
      </c>
      <c r="N303" s="28" t="s">
        <v>4243</v>
      </c>
    </row>
    <row r="304" spans="1:14">
      <c r="A304" t="s">
        <v>26</v>
      </c>
      <c r="B304" t="s">
        <v>61</v>
      </c>
      <c r="C304">
        <v>2103</v>
      </c>
      <c r="D304">
        <v>2415</v>
      </c>
      <c r="E304" t="s">
        <v>961</v>
      </c>
      <c r="F304" s="35" t="s">
        <v>976</v>
      </c>
      <c r="G304" s="28" t="s">
        <v>1545</v>
      </c>
      <c r="H304" s="28" t="s">
        <v>1544</v>
      </c>
      <c r="I304" s="28" t="s">
        <v>4057</v>
      </c>
      <c r="J304" s="28" t="s">
        <v>4052</v>
      </c>
      <c r="K304" s="28" t="s">
        <v>4246</v>
      </c>
      <c r="L304" s="28" t="s">
        <v>4241</v>
      </c>
      <c r="M304" s="28" t="s">
        <v>4247</v>
      </c>
      <c r="N304" s="28" t="s">
        <v>4243</v>
      </c>
    </row>
    <row r="305" spans="1:14">
      <c r="A305" t="s">
        <v>26</v>
      </c>
      <c r="B305" t="s">
        <v>61</v>
      </c>
      <c r="C305">
        <v>2104</v>
      </c>
      <c r="D305">
        <v>2867</v>
      </c>
      <c r="E305" t="s">
        <v>961</v>
      </c>
      <c r="F305" s="35" t="s">
        <v>976</v>
      </c>
      <c r="G305" s="28" t="s">
        <v>1546</v>
      </c>
      <c r="H305" s="28" t="s">
        <v>1544</v>
      </c>
      <c r="I305" s="28" t="s">
        <v>4060</v>
      </c>
      <c r="J305" s="28" t="s">
        <v>4052</v>
      </c>
      <c r="K305" s="28" t="s">
        <v>4248</v>
      </c>
      <c r="L305" s="28" t="s">
        <v>4241</v>
      </c>
      <c r="M305" s="28" t="s">
        <v>4249</v>
      </c>
      <c r="N305" s="28" t="s">
        <v>4243</v>
      </c>
    </row>
    <row r="306" spans="1:14">
      <c r="A306" t="s">
        <v>26</v>
      </c>
      <c r="B306" t="s">
        <v>61</v>
      </c>
      <c r="C306">
        <v>2105</v>
      </c>
      <c r="D306">
        <v>4064</v>
      </c>
      <c r="E306" t="s">
        <v>961</v>
      </c>
      <c r="F306" s="35" t="s">
        <v>975</v>
      </c>
      <c r="G306" s="28" t="s">
        <v>1547</v>
      </c>
      <c r="H306" s="28" t="s">
        <v>1548</v>
      </c>
      <c r="I306" s="28" t="s">
        <v>4063</v>
      </c>
      <c r="J306" s="28" t="s">
        <v>4064</v>
      </c>
      <c r="K306" s="28" t="s">
        <v>4250</v>
      </c>
      <c r="L306" s="28" t="s">
        <v>4251</v>
      </c>
      <c r="M306" s="28" t="s">
        <v>4252</v>
      </c>
      <c r="N306" s="28" t="s">
        <v>4253</v>
      </c>
    </row>
    <row r="307" spans="1:14">
      <c r="A307" t="s">
        <v>26</v>
      </c>
      <c r="B307" t="s">
        <v>61</v>
      </c>
      <c r="C307">
        <v>2106</v>
      </c>
      <c r="D307">
        <v>2731</v>
      </c>
      <c r="E307" t="s">
        <v>961</v>
      </c>
      <c r="F307" s="35" t="s">
        <v>975</v>
      </c>
      <c r="G307" s="28" t="s">
        <v>1549</v>
      </c>
      <c r="H307" s="28" t="s">
        <v>1548</v>
      </c>
      <c r="I307" s="28" t="s">
        <v>4069</v>
      </c>
      <c r="J307" s="28" t="s">
        <v>4064</v>
      </c>
      <c r="K307" s="28" t="s">
        <v>4254</v>
      </c>
      <c r="L307" s="28" t="s">
        <v>4251</v>
      </c>
      <c r="M307" s="28" t="s">
        <v>4255</v>
      </c>
      <c r="N307" s="28" t="s">
        <v>4253</v>
      </c>
    </row>
    <row r="308" spans="1:14">
      <c r="A308" t="s">
        <v>26</v>
      </c>
      <c r="B308" t="s">
        <v>61</v>
      </c>
      <c r="C308">
        <v>2107</v>
      </c>
      <c r="D308">
        <v>2223</v>
      </c>
      <c r="E308" t="s">
        <v>961</v>
      </c>
      <c r="F308" s="35" t="s">
        <v>975</v>
      </c>
      <c r="G308" s="28" t="s">
        <v>1550</v>
      </c>
      <c r="H308" s="28" t="s">
        <v>1548</v>
      </c>
      <c r="I308" s="28" t="s">
        <v>4072</v>
      </c>
      <c r="J308" s="28" t="s">
        <v>4064</v>
      </c>
      <c r="K308" s="28" t="s">
        <v>4256</v>
      </c>
      <c r="L308" s="28" t="s">
        <v>4251</v>
      </c>
      <c r="M308" s="28" t="s">
        <v>4257</v>
      </c>
      <c r="N308" s="28" t="s">
        <v>4253</v>
      </c>
    </row>
    <row r="309" spans="1:14">
      <c r="A309" t="s">
        <v>26</v>
      </c>
      <c r="B309" t="s">
        <v>61</v>
      </c>
      <c r="C309">
        <v>2108</v>
      </c>
      <c r="D309">
        <v>1675</v>
      </c>
      <c r="E309" t="s">
        <v>961</v>
      </c>
      <c r="F309" s="35" t="s">
        <v>975</v>
      </c>
      <c r="G309" s="28" t="s">
        <v>1551</v>
      </c>
      <c r="H309" s="28" t="s">
        <v>1548</v>
      </c>
      <c r="I309" s="28" t="s">
        <v>4075</v>
      </c>
      <c r="J309" s="28" t="s">
        <v>4064</v>
      </c>
      <c r="K309" s="28" t="s">
        <v>4258</v>
      </c>
      <c r="L309" s="28" t="s">
        <v>4251</v>
      </c>
      <c r="M309" s="28" t="s">
        <v>4259</v>
      </c>
      <c r="N309" s="28" t="s">
        <v>4253</v>
      </c>
    </row>
    <row r="310" spans="1:14">
      <c r="A310" t="s">
        <v>26</v>
      </c>
      <c r="B310" t="s">
        <v>59</v>
      </c>
      <c r="C310">
        <v>2101</v>
      </c>
      <c r="D310">
        <v>242</v>
      </c>
      <c r="E310" t="s">
        <v>961</v>
      </c>
      <c r="F310" s="35" t="s">
        <v>976</v>
      </c>
      <c r="G310" s="28" t="s">
        <v>1561</v>
      </c>
      <c r="H310" s="28" t="s">
        <v>1544</v>
      </c>
      <c r="I310" s="28" t="s">
        <v>4105</v>
      </c>
      <c r="J310" s="28" t="s">
        <v>4052</v>
      </c>
      <c r="K310" s="28" t="s">
        <v>4260</v>
      </c>
      <c r="L310" s="28" t="s">
        <v>4261</v>
      </c>
      <c r="M310" s="28" t="s">
        <v>4262</v>
      </c>
      <c r="N310" s="28" t="s">
        <v>4263</v>
      </c>
    </row>
    <row r="311" spans="1:14">
      <c r="A311" t="s">
        <v>26</v>
      </c>
      <c r="B311" t="s">
        <v>59</v>
      </c>
      <c r="C311">
        <v>2102</v>
      </c>
      <c r="D311">
        <v>695</v>
      </c>
      <c r="E311" t="s">
        <v>961</v>
      </c>
      <c r="F311" s="35" t="s">
        <v>976</v>
      </c>
      <c r="G311" s="28" t="s">
        <v>1543</v>
      </c>
      <c r="H311" s="28" t="s">
        <v>1544</v>
      </c>
      <c r="I311" s="28" t="s">
        <v>4051</v>
      </c>
      <c r="J311" s="28" t="s">
        <v>4052</v>
      </c>
      <c r="K311" s="28" t="s">
        <v>4264</v>
      </c>
      <c r="L311" s="28" t="s">
        <v>4261</v>
      </c>
      <c r="M311" s="28" t="s">
        <v>4265</v>
      </c>
      <c r="N311" s="28" t="s">
        <v>4263</v>
      </c>
    </row>
    <row r="312" spans="1:14">
      <c r="A312" t="s">
        <v>26</v>
      </c>
      <c r="B312" t="s">
        <v>59</v>
      </c>
      <c r="C312">
        <v>2103</v>
      </c>
      <c r="D312">
        <v>74</v>
      </c>
      <c r="E312" t="s">
        <v>961</v>
      </c>
      <c r="F312" s="35" t="s">
        <v>976</v>
      </c>
      <c r="G312" s="28" t="s">
        <v>1545</v>
      </c>
      <c r="H312" s="28" t="s">
        <v>1544</v>
      </c>
      <c r="I312" s="28" t="s">
        <v>4057</v>
      </c>
      <c r="J312" s="28" t="s">
        <v>4052</v>
      </c>
      <c r="K312" s="28" t="s">
        <v>4266</v>
      </c>
      <c r="L312" s="28" t="s">
        <v>4261</v>
      </c>
      <c r="M312" s="28" t="s">
        <v>4267</v>
      </c>
      <c r="N312" s="28" t="s">
        <v>4263</v>
      </c>
    </row>
    <row r="313" spans="1:14">
      <c r="A313" t="s">
        <v>26</v>
      </c>
      <c r="B313" t="s">
        <v>59</v>
      </c>
      <c r="C313">
        <v>2105</v>
      </c>
      <c r="D313">
        <v>799</v>
      </c>
      <c r="E313" t="s">
        <v>961</v>
      </c>
      <c r="F313" s="35" t="s">
        <v>975</v>
      </c>
      <c r="G313" s="28" t="s">
        <v>1547</v>
      </c>
      <c r="H313" s="28" t="s">
        <v>1548</v>
      </c>
      <c r="I313" s="28" t="s">
        <v>4063</v>
      </c>
      <c r="J313" s="28" t="s">
        <v>4064</v>
      </c>
      <c r="K313" s="28" t="s">
        <v>4268</v>
      </c>
      <c r="L313" s="28" t="s">
        <v>4269</v>
      </c>
      <c r="M313" s="28" t="s">
        <v>4270</v>
      </c>
      <c r="N313" s="28" t="s">
        <v>4271</v>
      </c>
    </row>
    <row r="314" spans="1:14">
      <c r="A314" t="s">
        <v>26</v>
      </c>
      <c r="B314" t="s">
        <v>59</v>
      </c>
      <c r="C314">
        <v>2106</v>
      </c>
      <c r="D314">
        <v>147</v>
      </c>
      <c r="E314" t="s">
        <v>961</v>
      </c>
      <c r="F314" s="35" t="s">
        <v>975</v>
      </c>
      <c r="G314" s="28" t="s">
        <v>1549</v>
      </c>
      <c r="H314" s="28" t="s">
        <v>1548</v>
      </c>
      <c r="I314" s="28" t="s">
        <v>4069</v>
      </c>
      <c r="J314" s="28" t="s">
        <v>4064</v>
      </c>
      <c r="K314" s="28" t="s">
        <v>4272</v>
      </c>
      <c r="L314" s="28" t="s">
        <v>4269</v>
      </c>
      <c r="M314" s="28" t="s">
        <v>4273</v>
      </c>
      <c r="N314" s="28" t="s">
        <v>4271</v>
      </c>
    </row>
    <row r="315" spans="1:14">
      <c r="A315" t="s">
        <v>26</v>
      </c>
      <c r="B315" t="s">
        <v>59</v>
      </c>
      <c r="C315">
        <v>2107</v>
      </c>
      <c r="D315">
        <v>821</v>
      </c>
      <c r="E315" t="s">
        <v>961</v>
      </c>
      <c r="F315" s="35" t="s">
        <v>975</v>
      </c>
      <c r="G315" s="28" t="s">
        <v>1550</v>
      </c>
      <c r="H315" s="28" t="s">
        <v>1548</v>
      </c>
      <c r="I315" s="28" t="s">
        <v>4072</v>
      </c>
      <c r="J315" s="28" t="s">
        <v>4064</v>
      </c>
      <c r="K315" s="28" t="s">
        <v>4274</v>
      </c>
      <c r="L315" s="28" t="s">
        <v>4269</v>
      </c>
      <c r="M315" s="28" t="s">
        <v>4275</v>
      </c>
      <c r="N315" s="28" t="s">
        <v>4271</v>
      </c>
    </row>
    <row r="316" spans="1:14">
      <c r="A316" t="s">
        <v>26</v>
      </c>
      <c r="B316" t="s">
        <v>62</v>
      </c>
      <c r="C316">
        <v>2101</v>
      </c>
      <c r="D316">
        <v>1106</v>
      </c>
      <c r="E316" t="s">
        <v>961</v>
      </c>
      <c r="F316" s="35" t="s">
        <v>976</v>
      </c>
      <c r="G316" s="28" t="s">
        <v>1561</v>
      </c>
      <c r="H316" s="28" t="s">
        <v>1544</v>
      </c>
      <c r="I316" s="28" t="s">
        <v>4105</v>
      </c>
      <c r="J316" s="28" t="s">
        <v>4052</v>
      </c>
      <c r="K316" s="28" t="s">
        <v>4276</v>
      </c>
      <c r="L316" s="28" t="s">
        <v>4277</v>
      </c>
      <c r="M316" s="28" t="s">
        <v>4278</v>
      </c>
      <c r="N316" s="28" t="s">
        <v>4279</v>
      </c>
    </row>
    <row r="317" spans="1:14">
      <c r="A317" t="s">
        <v>26</v>
      </c>
      <c r="B317" t="s">
        <v>62</v>
      </c>
      <c r="C317">
        <v>2102</v>
      </c>
      <c r="D317">
        <v>392</v>
      </c>
      <c r="E317" t="s">
        <v>961</v>
      </c>
      <c r="F317" s="35" t="s">
        <v>976</v>
      </c>
      <c r="G317" s="28" t="s">
        <v>1543</v>
      </c>
      <c r="H317" s="28" t="s">
        <v>1544</v>
      </c>
      <c r="I317" s="28" t="s">
        <v>4051</v>
      </c>
      <c r="J317" s="28" t="s">
        <v>4052</v>
      </c>
      <c r="K317" s="28" t="s">
        <v>4280</v>
      </c>
      <c r="L317" s="28" t="s">
        <v>4277</v>
      </c>
      <c r="M317" s="28" t="s">
        <v>4281</v>
      </c>
      <c r="N317" s="28" t="s">
        <v>4279</v>
      </c>
    </row>
    <row r="318" spans="1:14">
      <c r="A318" t="s">
        <v>26</v>
      </c>
      <c r="B318" t="s">
        <v>62</v>
      </c>
      <c r="C318">
        <v>2105</v>
      </c>
      <c r="D318">
        <v>371</v>
      </c>
      <c r="E318" t="s">
        <v>961</v>
      </c>
      <c r="F318" s="35" t="s">
        <v>975</v>
      </c>
      <c r="G318" s="28" t="s">
        <v>1547</v>
      </c>
      <c r="H318" s="28" t="s">
        <v>1548</v>
      </c>
      <c r="I318" s="28" t="s">
        <v>4063</v>
      </c>
      <c r="J318" s="28" t="s">
        <v>4064</v>
      </c>
      <c r="K318" s="28" t="s">
        <v>4282</v>
      </c>
      <c r="L318" s="28" t="s">
        <v>4283</v>
      </c>
      <c r="M318" s="28" t="s">
        <v>4284</v>
      </c>
      <c r="N318" s="28" t="s">
        <v>4285</v>
      </c>
    </row>
    <row r="319" spans="1:14">
      <c r="A319" t="s">
        <v>26</v>
      </c>
      <c r="B319" t="s">
        <v>62</v>
      </c>
      <c r="C319">
        <v>2106</v>
      </c>
      <c r="D319">
        <v>936</v>
      </c>
      <c r="E319" t="s">
        <v>961</v>
      </c>
      <c r="F319" s="35" t="s">
        <v>975</v>
      </c>
      <c r="G319" s="28" t="s">
        <v>1549</v>
      </c>
      <c r="H319" s="28" t="s">
        <v>1548</v>
      </c>
      <c r="I319" s="28" t="s">
        <v>4069</v>
      </c>
      <c r="J319" s="28" t="s">
        <v>4064</v>
      </c>
      <c r="K319" s="28" t="s">
        <v>4286</v>
      </c>
      <c r="L319" s="28" t="s">
        <v>4283</v>
      </c>
      <c r="M319" s="28" t="s">
        <v>4287</v>
      </c>
      <c r="N319" s="28" t="s">
        <v>4285</v>
      </c>
    </row>
    <row r="320" spans="1:14">
      <c r="A320" t="s">
        <v>26</v>
      </c>
      <c r="B320" t="s">
        <v>62</v>
      </c>
      <c r="C320">
        <v>2101</v>
      </c>
      <c r="D320">
        <v>319</v>
      </c>
      <c r="E320" t="s">
        <v>961</v>
      </c>
      <c r="F320" s="35" t="s">
        <v>976</v>
      </c>
      <c r="G320" s="28" t="s">
        <v>1561</v>
      </c>
      <c r="H320" s="28" t="s">
        <v>1544</v>
      </c>
      <c r="I320" s="28" t="s">
        <v>4105</v>
      </c>
      <c r="J320" s="28" t="s">
        <v>4052</v>
      </c>
      <c r="K320" s="28" t="s">
        <v>4276</v>
      </c>
      <c r="L320" s="28" t="s">
        <v>4277</v>
      </c>
      <c r="M320" s="28" t="s">
        <v>4278</v>
      </c>
      <c r="N320" s="28" t="s">
        <v>4279</v>
      </c>
    </row>
    <row r="321" spans="1:14">
      <c r="A321" t="s">
        <v>26</v>
      </c>
      <c r="B321" t="s">
        <v>62</v>
      </c>
      <c r="C321">
        <v>2102</v>
      </c>
      <c r="D321">
        <v>843</v>
      </c>
      <c r="E321" t="s">
        <v>961</v>
      </c>
      <c r="F321" s="35" t="s">
        <v>976</v>
      </c>
      <c r="G321" s="28" t="s">
        <v>1543</v>
      </c>
      <c r="H321" s="28" t="s">
        <v>1544</v>
      </c>
      <c r="I321" s="28" t="s">
        <v>4051</v>
      </c>
      <c r="J321" s="28" t="s">
        <v>4052</v>
      </c>
      <c r="K321" s="28" t="s">
        <v>4280</v>
      </c>
      <c r="L321" s="28" t="s">
        <v>4277</v>
      </c>
      <c r="M321" s="28" t="s">
        <v>4281</v>
      </c>
      <c r="N321" s="28" t="s">
        <v>4279</v>
      </c>
    </row>
    <row r="322" spans="1:14">
      <c r="A322" t="s">
        <v>26</v>
      </c>
      <c r="B322" t="s">
        <v>62</v>
      </c>
      <c r="C322">
        <v>2103</v>
      </c>
      <c r="D322">
        <v>1337</v>
      </c>
      <c r="E322" t="s">
        <v>961</v>
      </c>
      <c r="F322" s="35" t="s">
        <v>976</v>
      </c>
      <c r="G322" s="28" t="s">
        <v>1545</v>
      </c>
      <c r="H322" s="28" t="s">
        <v>1544</v>
      </c>
      <c r="I322" s="28" t="s">
        <v>4057</v>
      </c>
      <c r="J322" s="28" t="s">
        <v>4052</v>
      </c>
      <c r="K322" s="28" t="s">
        <v>4288</v>
      </c>
      <c r="L322" s="28" t="s">
        <v>4277</v>
      </c>
      <c r="M322" s="28" t="s">
        <v>4289</v>
      </c>
      <c r="N322" s="28" t="s">
        <v>4279</v>
      </c>
    </row>
    <row r="323" spans="1:14">
      <c r="A323" t="s">
        <v>26</v>
      </c>
      <c r="B323" t="s">
        <v>62</v>
      </c>
      <c r="C323">
        <v>2104</v>
      </c>
      <c r="D323">
        <v>1466</v>
      </c>
      <c r="E323" t="s">
        <v>961</v>
      </c>
      <c r="F323" s="35" t="s">
        <v>976</v>
      </c>
      <c r="G323" s="28" t="s">
        <v>1546</v>
      </c>
      <c r="H323" s="28" t="s">
        <v>1544</v>
      </c>
      <c r="I323" s="28" t="s">
        <v>4060</v>
      </c>
      <c r="J323" s="28" t="s">
        <v>4052</v>
      </c>
      <c r="K323" s="28" t="s">
        <v>4290</v>
      </c>
      <c r="L323" s="28" t="s">
        <v>4277</v>
      </c>
      <c r="M323" s="28" t="s">
        <v>4291</v>
      </c>
      <c r="N323" s="28" t="s">
        <v>4279</v>
      </c>
    </row>
    <row r="324" spans="1:14">
      <c r="A324" t="s">
        <v>26</v>
      </c>
      <c r="B324" t="s">
        <v>62</v>
      </c>
      <c r="C324">
        <v>2105</v>
      </c>
      <c r="D324">
        <v>919</v>
      </c>
      <c r="E324" t="s">
        <v>961</v>
      </c>
      <c r="F324" s="35" t="s">
        <v>975</v>
      </c>
      <c r="G324" s="28" t="s">
        <v>1547</v>
      </c>
      <c r="H324" s="28" t="s">
        <v>1548</v>
      </c>
      <c r="I324" s="28" t="s">
        <v>4063</v>
      </c>
      <c r="J324" s="28" t="s">
        <v>4064</v>
      </c>
      <c r="K324" s="28" t="s">
        <v>4282</v>
      </c>
      <c r="L324" s="28" t="s">
        <v>4283</v>
      </c>
      <c r="M324" s="28" t="s">
        <v>4284</v>
      </c>
      <c r="N324" s="28" t="s">
        <v>4285</v>
      </c>
    </row>
    <row r="325" spans="1:14">
      <c r="A325" t="s">
        <v>26</v>
      </c>
      <c r="B325" t="s">
        <v>62</v>
      </c>
      <c r="C325">
        <v>2106</v>
      </c>
      <c r="D325">
        <v>13</v>
      </c>
      <c r="E325" t="s">
        <v>961</v>
      </c>
      <c r="F325" s="35" t="s">
        <v>975</v>
      </c>
      <c r="G325" s="28" t="s">
        <v>1549</v>
      </c>
      <c r="H325" s="28" t="s">
        <v>1548</v>
      </c>
      <c r="I325" s="28" t="s">
        <v>4069</v>
      </c>
      <c r="J325" s="28" t="s">
        <v>4064</v>
      </c>
      <c r="K325" s="28" t="s">
        <v>4286</v>
      </c>
      <c r="L325" s="28" t="s">
        <v>4283</v>
      </c>
      <c r="M325" s="28" t="s">
        <v>4287</v>
      </c>
      <c r="N325" s="28" t="s">
        <v>4285</v>
      </c>
    </row>
    <row r="326" spans="1:14">
      <c r="A326" t="s">
        <v>26</v>
      </c>
      <c r="B326" t="s">
        <v>62</v>
      </c>
      <c r="C326">
        <v>2107</v>
      </c>
      <c r="D326">
        <v>655</v>
      </c>
      <c r="E326" t="s">
        <v>961</v>
      </c>
      <c r="F326" s="35" t="s">
        <v>975</v>
      </c>
      <c r="G326" s="28" t="s">
        <v>1550</v>
      </c>
      <c r="H326" s="28" t="s">
        <v>1548</v>
      </c>
      <c r="I326" s="28" t="s">
        <v>4072</v>
      </c>
      <c r="J326" s="28" t="s">
        <v>4064</v>
      </c>
      <c r="K326" s="28" t="s">
        <v>4292</v>
      </c>
      <c r="L326" s="28" t="s">
        <v>4283</v>
      </c>
      <c r="M326" s="28" t="s">
        <v>4293</v>
      </c>
      <c r="N326" s="28" t="s">
        <v>4285</v>
      </c>
    </row>
    <row r="327" spans="1:14">
      <c r="A327" t="s">
        <v>26</v>
      </c>
      <c r="B327" t="s">
        <v>62</v>
      </c>
      <c r="C327">
        <v>2108</v>
      </c>
      <c r="D327">
        <v>182</v>
      </c>
      <c r="E327" t="s">
        <v>961</v>
      </c>
      <c r="F327" s="35" t="s">
        <v>975</v>
      </c>
      <c r="G327" s="28" t="s">
        <v>1551</v>
      </c>
      <c r="H327" s="28" t="s">
        <v>1548</v>
      </c>
      <c r="I327" s="28" t="s">
        <v>4075</v>
      </c>
      <c r="J327" s="28" t="s">
        <v>4064</v>
      </c>
      <c r="K327" s="28" t="s">
        <v>4294</v>
      </c>
      <c r="L327" s="28" t="s">
        <v>4283</v>
      </c>
      <c r="M327" s="28" t="s">
        <v>4295</v>
      </c>
      <c r="N327" s="28" t="s">
        <v>4285</v>
      </c>
    </row>
    <row r="328" spans="1:14">
      <c r="A328" t="s">
        <v>26</v>
      </c>
      <c r="B328" t="s">
        <v>62</v>
      </c>
      <c r="C328">
        <v>2109</v>
      </c>
      <c r="D328">
        <v>924</v>
      </c>
      <c r="E328" t="s">
        <v>961</v>
      </c>
      <c r="F328" s="35" t="s">
        <v>969</v>
      </c>
      <c r="G328" s="28" t="s">
        <v>1552</v>
      </c>
      <c r="H328" s="28" t="s">
        <v>1553</v>
      </c>
      <c r="I328" s="28" t="s">
        <v>4078</v>
      </c>
      <c r="J328" s="28" t="s">
        <v>4079</v>
      </c>
      <c r="K328" s="28" t="s">
        <v>4296</v>
      </c>
      <c r="L328" s="28" t="s">
        <v>4297</v>
      </c>
      <c r="M328" s="28" t="s">
        <v>4298</v>
      </c>
      <c r="N328" s="28" t="s">
        <v>4299</v>
      </c>
    </row>
    <row r="329" spans="1:14">
      <c r="A329" t="s">
        <v>26</v>
      </c>
      <c r="B329" t="s">
        <v>62</v>
      </c>
      <c r="C329">
        <v>2110</v>
      </c>
      <c r="D329">
        <v>1482</v>
      </c>
      <c r="E329" t="s">
        <v>961</v>
      </c>
      <c r="F329" s="35" t="s">
        <v>969</v>
      </c>
      <c r="G329" s="28" t="s">
        <v>1554</v>
      </c>
      <c r="H329" s="28" t="s">
        <v>1553</v>
      </c>
      <c r="I329" s="28" t="s">
        <v>4084</v>
      </c>
      <c r="J329" s="28" t="s">
        <v>4079</v>
      </c>
      <c r="K329" s="28" t="s">
        <v>4300</v>
      </c>
      <c r="L329" s="28" t="s">
        <v>4297</v>
      </c>
      <c r="M329" s="28" t="s">
        <v>4301</v>
      </c>
      <c r="N329" s="28" t="s">
        <v>4299</v>
      </c>
    </row>
    <row r="330" spans="1:14">
      <c r="A330" t="s">
        <v>26</v>
      </c>
      <c r="B330" t="s">
        <v>62</v>
      </c>
      <c r="C330">
        <v>2111</v>
      </c>
      <c r="D330">
        <v>2197</v>
      </c>
      <c r="E330" t="s">
        <v>961</v>
      </c>
      <c r="F330" s="35" t="s">
        <v>969</v>
      </c>
      <c r="G330" s="28" t="s">
        <v>1555</v>
      </c>
      <c r="H330" s="28" t="s">
        <v>1553</v>
      </c>
      <c r="I330" s="28" t="s">
        <v>4087</v>
      </c>
      <c r="J330" s="28" t="s">
        <v>4079</v>
      </c>
      <c r="K330" s="28" t="s">
        <v>4302</v>
      </c>
      <c r="L330" s="28" t="s">
        <v>4297</v>
      </c>
      <c r="M330" s="28" t="s">
        <v>4303</v>
      </c>
      <c r="N330" s="28" t="s">
        <v>4299</v>
      </c>
    </row>
    <row r="331" spans="1:14">
      <c r="A331" t="s">
        <v>26</v>
      </c>
      <c r="B331" t="s">
        <v>62</v>
      </c>
      <c r="C331">
        <v>2112</v>
      </c>
      <c r="D331">
        <v>2485</v>
      </c>
      <c r="E331" t="s">
        <v>961</v>
      </c>
      <c r="F331" s="35" t="s">
        <v>969</v>
      </c>
      <c r="G331" s="28" t="s">
        <v>1556</v>
      </c>
      <c r="H331" s="28" t="s">
        <v>1553</v>
      </c>
      <c r="I331" s="28" t="s">
        <v>4090</v>
      </c>
      <c r="J331" s="28" t="s">
        <v>4079</v>
      </c>
      <c r="K331" s="28" t="s">
        <v>4304</v>
      </c>
      <c r="L331" s="28" t="s">
        <v>4297</v>
      </c>
      <c r="M331" s="28" t="s">
        <v>4305</v>
      </c>
      <c r="N331" s="28" t="s">
        <v>4299</v>
      </c>
    </row>
    <row r="332" spans="1:14">
      <c r="A332" t="s">
        <v>26</v>
      </c>
      <c r="B332" t="s">
        <v>62</v>
      </c>
      <c r="C332">
        <v>2113</v>
      </c>
      <c r="D332">
        <v>658</v>
      </c>
      <c r="E332" t="s">
        <v>961</v>
      </c>
      <c r="F332" s="35" t="s">
        <v>969</v>
      </c>
      <c r="G332" s="28" t="s">
        <v>1557</v>
      </c>
      <c r="H332" s="28" t="s">
        <v>1553</v>
      </c>
      <c r="I332" s="28" t="s">
        <v>4093</v>
      </c>
      <c r="J332" s="28" t="s">
        <v>4079</v>
      </c>
      <c r="K332" s="28" t="s">
        <v>4306</v>
      </c>
      <c r="L332" s="28" t="s">
        <v>4297</v>
      </c>
      <c r="M332" s="28" t="s">
        <v>4307</v>
      </c>
      <c r="N332" s="28" t="s">
        <v>4299</v>
      </c>
    </row>
    <row r="333" spans="1:14">
      <c r="A333" t="s">
        <v>26</v>
      </c>
      <c r="B333" t="s">
        <v>62</v>
      </c>
      <c r="C333">
        <v>2114</v>
      </c>
      <c r="D333">
        <v>257</v>
      </c>
      <c r="E333" t="s">
        <v>961</v>
      </c>
      <c r="F333" s="35" t="s">
        <v>970</v>
      </c>
      <c r="G333" s="28" t="s">
        <v>1558</v>
      </c>
      <c r="H333" s="28" t="s">
        <v>1529</v>
      </c>
      <c r="I333" s="28" t="s">
        <v>4096</v>
      </c>
      <c r="J333" s="28" t="s">
        <v>4007</v>
      </c>
      <c r="K333" s="28" t="s">
        <v>4308</v>
      </c>
      <c r="L333" s="28" t="s">
        <v>4309</v>
      </c>
      <c r="M333" s="28" t="s">
        <v>4310</v>
      </c>
      <c r="N333" s="28" t="s">
        <v>4311</v>
      </c>
    </row>
    <row r="334" spans="1:14">
      <c r="A334" t="s">
        <v>26</v>
      </c>
      <c r="B334" t="s">
        <v>62</v>
      </c>
      <c r="C334">
        <v>2115</v>
      </c>
      <c r="D334">
        <v>197</v>
      </c>
      <c r="E334" t="s">
        <v>961</v>
      </c>
      <c r="F334" s="35" t="s">
        <v>970</v>
      </c>
      <c r="G334" s="28" t="s">
        <v>1559</v>
      </c>
      <c r="H334" s="28" t="s">
        <v>1529</v>
      </c>
      <c r="I334" s="28" t="s">
        <v>4099</v>
      </c>
      <c r="J334" s="28" t="s">
        <v>4007</v>
      </c>
      <c r="K334" s="28" t="s">
        <v>4312</v>
      </c>
      <c r="L334" s="28" t="s">
        <v>4309</v>
      </c>
      <c r="M334" s="28" t="s">
        <v>4313</v>
      </c>
      <c r="N334" s="28" t="s">
        <v>4311</v>
      </c>
    </row>
    <row r="335" spans="1:14">
      <c r="A335" t="s">
        <v>26</v>
      </c>
      <c r="B335" t="s">
        <v>62</v>
      </c>
      <c r="C335">
        <v>2116</v>
      </c>
      <c r="D335">
        <v>1600</v>
      </c>
      <c r="E335" t="s">
        <v>961</v>
      </c>
      <c r="F335" s="35" t="s">
        <v>970</v>
      </c>
      <c r="G335" s="28" t="s">
        <v>1528</v>
      </c>
      <c r="H335" s="28" t="s">
        <v>1529</v>
      </c>
      <c r="I335" s="28" t="s">
        <v>4006</v>
      </c>
      <c r="J335" s="28" t="s">
        <v>4007</v>
      </c>
      <c r="K335" s="28" t="s">
        <v>4314</v>
      </c>
      <c r="L335" s="28" t="s">
        <v>4309</v>
      </c>
      <c r="M335" s="28" t="s">
        <v>4315</v>
      </c>
      <c r="N335" s="28" t="s">
        <v>4311</v>
      </c>
    </row>
    <row r="336" spans="1:14">
      <c r="A336" t="s">
        <v>26</v>
      </c>
      <c r="B336" t="s">
        <v>62</v>
      </c>
      <c r="C336">
        <v>2117</v>
      </c>
      <c r="D336">
        <v>584</v>
      </c>
      <c r="E336" t="s">
        <v>961</v>
      </c>
      <c r="F336" s="35" t="s">
        <v>970</v>
      </c>
      <c r="G336" s="28" t="s">
        <v>1560</v>
      </c>
      <c r="H336" s="28" t="s">
        <v>1529</v>
      </c>
      <c r="I336" s="28" t="s">
        <v>4102</v>
      </c>
      <c r="J336" s="28" t="s">
        <v>4007</v>
      </c>
      <c r="K336" s="28" t="s">
        <v>4316</v>
      </c>
      <c r="L336" s="28" t="s">
        <v>4309</v>
      </c>
      <c r="M336" s="28" t="s">
        <v>4317</v>
      </c>
      <c r="N336" s="28" t="s">
        <v>4311</v>
      </c>
    </row>
    <row r="337" spans="1:14">
      <c r="A337" t="s">
        <v>26</v>
      </c>
      <c r="B337" t="s">
        <v>62</v>
      </c>
      <c r="C337">
        <v>2118</v>
      </c>
      <c r="D337">
        <v>696</v>
      </c>
      <c r="E337" t="s">
        <v>961</v>
      </c>
      <c r="F337" s="35" t="s">
        <v>971</v>
      </c>
      <c r="G337" s="28" t="s">
        <v>1530</v>
      </c>
      <c r="H337" s="28" t="s">
        <v>1531</v>
      </c>
      <c r="I337" s="28" t="s">
        <v>4012</v>
      </c>
      <c r="J337" s="28" t="s">
        <v>4013</v>
      </c>
      <c r="K337" s="28" t="s">
        <v>4318</v>
      </c>
      <c r="L337" s="28" t="s">
        <v>4319</v>
      </c>
      <c r="M337" s="28" t="s">
        <v>4320</v>
      </c>
      <c r="N337" s="28" t="s">
        <v>4321</v>
      </c>
    </row>
    <row r="338" spans="1:14">
      <c r="A338" t="s">
        <v>26</v>
      </c>
      <c r="B338" t="s">
        <v>62</v>
      </c>
      <c r="C338">
        <v>2119</v>
      </c>
      <c r="D338">
        <v>100</v>
      </c>
      <c r="E338" t="s">
        <v>961</v>
      </c>
      <c r="F338" s="35" t="s">
        <v>971</v>
      </c>
      <c r="G338" s="28" t="s">
        <v>1532</v>
      </c>
      <c r="H338" s="28" t="s">
        <v>1531</v>
      </c>
      <c r="I338" s="28" t="s">
        <v>4018</v>
      </c>
      <c r="J338" s="28" t="s">
        <v>4013</v>
      </c>
      <c r="K338" s="28" t="s">
        <v>4322</v>
      </c>
      <c r="L338" s="28" t="s">
        <v>4319</v>
      </c>
      <c r="M338" s="28" t="s">
        <v>4323</v>
      </c>
      <c r="N338" s="28" t="s">
        <v>4321</v>
      </c>
    </row>
    <row r="339" spans="1:14">
      <c r="A339" t="s">
        <v>26</v>
      </c>
      <c r="B339" t="s">
        <v>62</v>
      </c>
      <c r="C339">
        <v>2120</v>
      </c>
      <c r="D339">
        <v>1308</v>
      </c>
      <c r="E339" t="s">
        <v>961</v>
      </c>
      <c r="F339" s="35" t="s">
        <v>971</v>
      </c>
      <c r="G339" s="28" t="s">
        <v>1564</v>
      </c>
      <c r="H339" s="28" t="s">
        <v>1531</v>
      </c>
      <c r="I339" s="28" t="s">
        <v>4324</v>
      </c>
      <c r="J339" s="28" t="s">
        <v>4013</v>
      </c>
      <c r="K339" s="28" t="s">
        <v>4325</v>
      </c>
      <c r="L339" s="28" t="s">
        <v>4319</v>
      </c>
      <c r="M339" s="28" t="s">
        <v>4326</v>
      </c>
      <c r="N339" s="28" t="s">
        <v>4321</v>
      </c>
    </row>
    <row r="340" spans="1:14">
      <c r="A340" t="s">
        <v>26</v>
      </c>
      <c r="B340" t="s">
        <v>62</v>
      </c>
      <c r="C340">
        <v>2121</v>
      </c>
      <c r="D340">
        <v>458</v>
      </c>
      <c r="E340" t="s">
        <v>961</v>
      </c>
      <c r="F340" s="35" t="s">
        <v>971</v>
      </c>
      <c r="G340" s="28" t="s">
        <v>1533</v>
      </c>
      <c r="H340" s="28" t="s">
        <v>1531</v>
      </c>
      <c r="I340" s="28" t="s">
        <v>4021</v>
      </c>
      <c r="J340" s="28" t="s">
        <v>4013</v>
      </c>
      <c r="K340" s="28" t="s">
        <v>4327</v>
      </c>
      <c r="L340" s="28" t="s">
        <v>4319</v>
      </c>
      <c r="M340" s="28" t="s">
        <v>4328</v>
      </c>
      <c r="N340" s="28" t="s">
        <v>4321</v>
      </c>
    </row>
    <row r="341" spans="1:14">
      <c r="A341" t="s">
        <v>26</v>
      </c>
      <c r="B341" t="s">
        <v>62</v>
      </c>
      <c r="C341">
        <v>2122</v>
      </c>
      <c r="D341">
        <v>1081</v>
      </c>
      <c r="E341" t="s">
        <v>961</v>
      </c>
      <c r="F341" s="35" t="s">
        <v>971</v>
      </c>
      <c r="G341" s="28" t="s">
        <v>1534</v>
      </c>
      <c r="H341" s="28" t="s">
        <v>1531</v>
      </c>
      <c r="I341" s="28" t="s">
        <v>4024</v>
      </c>
      <c r="J341" s="28" t="s">
        <v>4013</v>
      </c>
      <c r="K341" s="28" t="s">
        <v>4329</v>
      </c>
      <c r="L341" s="28" t="s">
        <v>4319</v>
      </c>
      <c r="M341" s="28" t="s">
        <v>4330</v>
      </c>
      <c r="N341" s="28" t="s">
        <v>4321</v>
      </c>
    </row>
    <row r="342" spans="1:14">
      <c r="A342" t="s">
        <v>26</v>
      </c>
      <c r="B342" t="s">
        <v>62</v>
      </c>
      <c r="C342">
        <v>2123</v>
      </c>
      <c r="D342">
        <v>861</v>
      </c>
      <c r="E342" t="s">
        <v>961</v>
      </c>
      <c r="F342" s="35" t="s">
        <v>972</v>
      </c>
      <c r="G342" s="28" t="s">
        <v>1535</v>
      </c>
      <c r="H342" s="28" t="s">
        <v>1536</v>
      </c>
      <c r="I342" s="28" t="s">
        <v>4027</v>
      </c>
      <c r="J342" s="28" t="s">
        <v>4028</v>
      </c>
      <c r="K342" s="28" t="s">
        <v>4331</v>
      </c>
      <c r="L342" s="28" t="s">
        <v>4332</v>
      </c>
      <c r="M342" s="28" t="s">
        <v>4333</v>
      </c>
      <c r="N342" s="28" t="s">
        <v>4334</v>
      </c>
    </row>
    <row r="343" spans="1:14">
      <c r="A343" t="s">
        <v>26</v>
      </c>
      <c r="B343" t="s">
        <v>62</v>
      </c>
      <c r="C343">
        <v>2124</v>
      </c>
      <c r="D343">
        <v>169</v>
      </c>
      <c r="E343" t="s">
        <v>961</v>
      </c>
      <c r="F343" s="35" t="s">
        <v>972</v>
      </c>
      <c r="G343" s="28" t="s">
        <v>1537</v>
      </c>
      <c r="H343" s="28" t="s">
        <v>1536</v>
      </c>
      <c r="I343" s="28" t="s">
        <v>4033</v>
      </c>
      <c r="J343" s="28" t="s">
        <v>4028</v>
      </c>
      <c r="K343" s="28" t="s">
        <v>4335</v>
      </c>
      <c r="L343" s="28" t="s">
        <v>4332</v>
      </c>
      <c r="M343" s="28" t="s">
        <v>4336</v>
      </c>
      <c r="N343" s="28" t="s">
        <v>4334</v>
      </c>
    </row>
    <row r="344" spans="1:14">
      <c r="A344" t="s">
        <v>26</v>
      </c>
      <c r="B344" t="s">
        <v>62</v>
      </c>
      <c r="C344">
        <v>2125</v>
      </c>
      <c r="D344">
        <v>251</v>
      </c>
      <c r="E344" t="s">
        <v>961</v>
      </c>
      <c r="F344" s="35" t="s">
        <v>972</v>
      </c>
      <c r="G344" s="28" t="s">
        <v>1538</v>
      </c>
      <c r="H344" s="28" t="s">
        <v>1536</v>
      </c>
      <c r="I344" s="28" t="s">
        <v>4036</v>
      </c>
      <c r="J344" s="28" t="s">
        <v>4028</v>
      </c>
      <c r="K344" s="28" t="s">
        <v>4337</v>
      </c>
      <c r="L344" s="28" t="s">
        <v>4332</v>
      </c>
      <c r="M344" s="28" t="s">
        <v>4338</v>
      </c>
      <c r="N344" s="28" t="s">
        <v>4334</v>
      </c>
    </row>
    <row r="345" spans="1:14">
      <c r="A345" t="s">
        <v>26</v>
      </c>
      <c r="B345" t="s">
        <v>62</v>
      </c>
      <c r="C345">
        <v>2127</v>
      </c>
      <c r="D345">
        <v>11</v>
      </c>
      <c r="E345" t="s">
        <v>961</v>
      </c>
      <c r="F345" s="35" t="s">
        <v>973</v>
      </c>
      <c r="G345" s="28" t="s">
        <v>1565</v>
      </c>
      <c r="H345" s="28" t="s">
        <v>1541</v>
      </c>
      <c r="I345" s="28" t="s">
        <v>4339</v>
      </c>
      <c r="J345" s="28" t="s">
        <v>4043</v>
      </c>
      <c r="K345" s="28" t="s">
        <v>4340</v>
      </c>
      <c r="L345" s="28" t="s">
        <v>4341</v>
      </c>
      <c r="M345" s="28" t="s">
        <v>4342</v>
      </c>
      <c r="N345" s="28" t="s">
        <v>4343</v>
      </c>
    </row>
    <row r="346" spans="1:14">
      <c r="A346" t="s">
        <v>26</v>
      </c>
      <c r="B346" t="s">
        <v>62</v>
      </c>
      <c r="C346">
        <v>2128</v>
      </c>
      <c r="D346">
        <v>945</v>
      </c>
      <c r="E346" t="s">
        <v>961</v>
      </c>
      <c r="F346" s="35" t="s">
        <v>973</v>
      </c>
      <c r="G346" s="28" t="s">
        <v>1540</v>
      </c>
      <c r="H346" s="28" t="s">
        <v>1541</v>
      </c>
      <c r="I346" s="28" t="s">
        <v>4042</v>
      </c>
      <c r="J346" s="28" t="s">
        <v>4043</v>
      </c>
      <c r="K346" s="28" t="s">
        <v>4344</v>
      </c>
      <c r="L346" s="28" t="s">
        <v>4341</v>
      </c>
      <c r="M346" s="28" t="s">
        <v>4345</v>
      </c>
      <c r="N346" s="28" t="s">
        <v>4343</v>
      </c>
    </row>
    <row r="347" spans="1:14">
      <c r="A347" t="s">
        <v>26</v>
      </c>
      <c r="B347" t="s">
        <v>62</v>
      </c>
      <c r="C347">
        <v>2129</v>
      </c>
      <c r="D347">
        <v>123</v>
      </c>
      <c r="E347" t="s">
        <v>961</v>
      </c>
      <c r="F347" s="35" t="s">
        <v>973</v>
      </c>
      <c r="G347" s="28" t="s">
        <v>1542</v>
      </c>
      <c r="H347" s="28" t="s">
        <v>1541</v>
      </c>
      <c r="I347" s="28" t="s">
        <v>4048</v>
      </c>
      <c r="J347" s="28" t="s">
        <v>4043</v>
      </c>
      <c r="K347" s="28" t="s">
        <v>4346</v>
      </c>
      <c r="L347" s="28" t="s">
        <v>4341</v>
      </c>
      <c r="M347" s="28" t="s">
        <v>4347</v>
      </c>
      <c r="N347" s="28" t="s">
        <v>4343</v>
      </c>
    </row>
    <row r="348" spans="1:14">
      <c r="A348" t="s">
        <v>26</v>
      </c>
      <c r="B348" t="s">
        <v>62</v>
      </c>
      <c r="C348">
        <v>2133</v>
      </c>
      <c r="D348">
        <v>152</v>
      </c>
      <c r="E348" t="s">
        <v>961</v>
      </c>
      <c r="F348" s="35" t="s">
        <v>974</v>
      </c>
      <c r="G348" s="28" t="s">
        <v>1562</v>
      </c>
      <c r="H348" s="28" t="s">
        <v>1563</v>
      </c>
      <c r="I348" s="28" t="s">
        <v>4166</v>
      </c>
      <c r="J348" s="28" t="s">
        <v>4167</v>
      </c>
      <c r="K348" s="28" t="s">
        <v>4348</v>
      </c>
      <c r="L348" s="28" t="s">
        <v>4349</v>
      </c>
      <c r="M348" s="28" t="s">
        <v>4350</v>
      </c>
      <c r="N348" s="28" t="s">
        <v>4351</v>
      </c>
    </row>
    <row r="349" spans="1:14">
      <c r="A349" t="s">
        <v>26</v>
      </c>
      <c r="B349" t="s">
        <v>62</v>
      </c>
      <c r="C349">
        <v>2134</v>
      </c>
      <c r="D349">
        <v>404</v>
      </c>
      <c r="E349" t="s">
        <v>961</v>
      </c>
      <c r="F349" s="35" t="s">
        <v>974</v>
      </c>
      <c r="G349" s="28" t="s">
        <v>6012</v>
      </c>
      <c r="H349" s="28" t="s">
        <v>1563</v>
      </c>
      <c r="I349" s="28" t="s">
        <v>6045</v>
      </c>
      <c r="J349" s="28" t="s">
        <v>4167</v>
      </c>
      <c r="K349" s="28" t="s">
        <v>6048</v>
      </c>
      <c r="L349" s="28" t="s">
        <v>4349</v>
      </c>
      <c r="M349" s="28" t="s">
        <v>6025</v>
      </c>
      <c r="N349" s="28" t="s">
        <v>4351</v>
      </c>
    </row>
    <row r="350" spans="1:14">
      <c r="A350" t="s">
        <v>26</v>
      </c>
      <c r="B350" t="s">
        <v>62</v>
      </c>
      <c r="C350">
        <v>2135</v>
      </c>
      <c r="D350">
        <v>155</v>
      </c>
      <c r="E350" t="s">
        <v>961</v>
      </c>
      <c r="F350" s="35" t="s">
        <v>974</v>
      </c>
      <c r="G350" s="28" t="s">
        <v>6173</v>
      </c>
      <c r="H350" s="28" t="s">
        <v>1563</v>
      </c>
      <c r="I350" s="28" t="s">
        <v>6174</v>
      </c>
      <c r="J350" s="28" t="s">
        <v>4167</v>
      </c>
      <c r="K350" s="28" t="s">
        <v>6175</v>
      </c>
      <c r="L350" s="28" t="s">
        <v>4349</v>
      </c>
      <c r="M350" s="28" t="s">
        <v>6176</v>
      </c>
      <c r="N350" s="28" t="s">
        <v>4351</v>
      </c>
    </row>
    <row r="351" spans="1:14">
      <c r="A351" t="s">
        <v>26</v>
      </c>
      <c r="B351" t="s">
        <v>62</v>
      </c>
      <c r="C351">
        <v>2136</v>
      </c>
      <c r="D351">
        <v>15</v>
      </c>
      <c r="E351" t="s">
        <v>961</v>
      </c>
      <c r="F351" s="35" t="s">
        <v>997</v>
      </c>
      <c r="G351" s="28" t="s">
        <v>6310</v>
      </c>
      <c r="H351" s="28" t="s">
        <v>6311</v>
      </c>
      <c r="I351" s="28" t="s">
        <v>6312</v>
      </c>
      <c r="J351" s="28" t="s">
        <v>6313</v>
      </c>
      <c r="K351" s="28" t="s">
        <v>6318</v>
      </c>
      <c r="L351" s="28" t="s">
        <v>6319</v>
      </c>
      <c r="M351" s="28" t="s">
        <v>6320</v>
      </c>
      <c r="N351" s="28" t="s">
        <v>6321</v>
      </c>
    </row>
    <row r="352" spans="1:14">
      <c r="A352" t="s">
        <v>26</v>
      </c>
      <c r="B352" t="s">
        <v>62</v>
      </c>
      <c r="C352">
        <v>2137</v>
      </c>
      <c r="D352">
        <v>26</v>
      </c>
      <c r="E352" t="s">
        <v>961</v>
      </c>
      <c r="F352" s="35" t="s">
        <v>997</v>
      </c>
      <c r="G352" s="28" t="s">
        <v>6455</v>
      </c>
      <c r="H352" s="28" t="s">
        <v>6311</v>
      </c>
      <c r="I352" s="28" t="s">
        <v>6456</v>
      </c>
      <c r="J352" s="28" t="s">
        <v>6313</v>
      </c>
      <c r="K352" s="28" t="s">
        <v>6459</v>
      </c>
      <c r="L352" s="28" t="s">
        <v>6319</v>
      </c>
      <c r="M352" s="28" t="s">
        <v>6460</v>
      </c>
      <c r="N352" s="28" t="s">
        <v>6321</v>
      </c>
    </row>
    <row r="353" spans="1:14">
      <c r="A353" t="s">
        <v>26</v>
      </c>
      <c r="B353" t="s">
        <v>64</v>
      </c>
      <c r="C353">
        <v>2101</v>
      </c>
      <c r="D353">
        <v>312</v>
      </c>
      <c r="E353" t="s">
        <v>961</v>
      </c>
      <c r="F353" s="35" t="s">
        <v>976</v>
      </c>
      <c r="G353" s="28" t="s">
        <v>1561</v>
      </c>
      <c r="H353" s="28" t="s">
        <v>1544</v>
      </c>
      <c r="I353" s="28" t="s">
        <v>4105</v>
      </c>
      <c r="J353" s="28" t="s">
        <v>4052</v>
      </c>
      <c r="K353" s="28" t="s">
        <v>4352</v>
      </c>
      <c r="L353" s="28" t="s">
        <v>4353</v>
      </c>
      <c r="M353" s="28" t="s">
        <v>4354</v>
      </c>
      <c r="N353" s="28" t="s">
        <v>4355</v>
      </c>
    </row>
    <row r="354" spans="1:14">
      <c r="A354" t="s">
        <v>26</v>
      </c>
      <c r="B354" t="s">
        <v>64</v>
      </c>
      <c r="C354">
        <v>2102</v>
      </c>
      <c r="D354">
        <v>277</v>
      </c>
      <c r="E354" t="s">
        <v>961</v>
      </c>
      <c r="F354" s="35" t="s">
        <v>976</v>
      </c>
      <c r="G354" s="28" t="s">
        <v>1543</v>
      </c>
      <c r="H354" s="28" t="s">
        <v>1544</v>
      </c>
      <c r="I354" s="28" t="s">
        <v>4051</v>
      </c>
      <c r="J354" s="28" t="s">
        <v>4052</v>
      </c>
      <c r="K354" s="28" t="s">
        <v>4356</v>
      </c>
      <c r="L354" s="28" t="s">
        <v>4353</v>
      </c>
      <c r="M354" s="28" t="s">
        <v>4357</v>
      </c>
      <c r="N354" s="28" t="s">
        <v>4355</v>
      </c>
    </row>
    <row r="355" spans="1:14">
      <c r="A355" t="s">
        <v>26</v>
      </c>
      <c r="B355" t="s">
        <v>64</v>
      </c>
      <c r="C355">
        <v>2103</v>
      </c>
      <c r="D355">
        <v>370</v>
      </c>
      <c r="E355" t="s">
        <v>961</v>
      </c>
      <c r="F355" s="35" t="s">
        <v>976</v>
      </c>
      <c r="G355" s="28" t="s">
        <v>1545</v>
      </c>
      <c r="H355" s="28" t="s">
        <v>1544</v>
      </c>
      <c r="I355" s="28" t="s">
        <v>4057</v>
      </c>
      <c r="J355" s="28" t="s">
        <v>4052</v>
      </c>
      <c r="K355" s="28" t="s">
        <v>4358</v>
      </c>
      <c r="L355" s="28" t="s">
        <v>4353</v>
      </c>
      <c r="M355" s="28" t="s">
        <v>4359</v>
      </c>
      <c r="N355" s="28" t="s">
        <v>4355</v>
      </c>
    </row>
    <row r="356" spans="1:14">
      <c r="A356" t="s">
        <v>26</v>
      </c>
      <c r="B356" t="s">
        <v>64</v>
      </c>
      <c r="C356">
        <v>2105</v>
      </c>
      <c r="D356">
        <v>300</v>
      </c>
      <c r="E356" t="s">
        <v>961</v>
      </c>
      <c r="F356" s="35" t="s">
        <v>975</v>
      </c>
      <c r="G356" s="28" t="s">
        <v>1547</v>
      </c>
      <c r="H356" s="28" t="s">
        <v>1548</v>
      </c>
      <c r="I356" s="28" t="s">
        <v>4063</v>
      </c>
      <c r="J356" s="28" t="s">
        <v>4064</v>
      </c>
      <c r="K356" s="28" t="s">
        <v>4360</v>
      </c>
      <c r="L356" s="28" t="s">
        <v>4361</v>
      </c>
      <c r="M356" s="28" t="s">
        <v>4362</v>
      </c>
      <c r="N356" s="28" t="s">
        <v>4363</v>
      </c>
    </row>
    <row r="357" spans="1:14">
      <c r="A357" t="s">
        <v>26</v>
      </c>
      <c r="B357" t="s">
        <v>64</v>
      </c>
      <c r="C357">
        <v>2106</v>
      </c>
      <c r="D357">
        <v>132</v>
      </c>
      <c r="E357" t="s">
        <v>961</v>
      </c>
      <c r="F357" s="35" t="s">
        <v>975</v>
      </c>
      <c r="G357" s="28" t="s">
        <v>1549</v>
      </c>
      <c r="H357" s="28" t="s">
        <v>1548</v>
      </c>
      <c r="I357" s="28" t="s">
        <v>4069</v>
      </c>
      <c r="J357" s="28" t="s">
        <v>4064</v>
      </c>
      <c r="K357" s="28" t="s">
        <v>4364</v>
      </c>
      <c r="L357" s="28" t="s">
        <v>4361</v>
      </c>
      <c r="M357" s="28" t="s">
        <v>4365</v>
      </c>
      <c r="N357" s="28" t="s">
        <v>4363</v>
      </c>
    </row>
    <row r="358" spans="1:14">
      <c r="A358" t="s">
        <v>26</v>
      </c>
      <c r="B358" t="s">
        <v>64</v>
      </c>
      <c r="C358">
        <v>2107</v>
      </c>
      <c r="D358">
        <v>321</v>
      </c>
      <c r="E358" t="s">
        <v>961</v>
      </c>
      <c r="F358" s="35" t="s">
        <v>975</v>
      </c>
      <c r="G358" s="28" t="s">
        <v>1550</v>
      </c>
      <c r="H358" s="28" t="s">
        <v>1548</v>
      </c>
      <c r="I358" s="28" t="s">
        <v>4072</v>
      </c>
      <c r="J358" s="28" t="s">
        <v>4064</v>
      </c>
      <c r="K358" s="28" t="s">
        <v>4366</v>
      </c>
      <c r="L358" s="28" t="s">
        <v>4361</v>
      </c>
      <c r="M358" s="28" t="s">
        <v>4367</v>
      </c>
      <c r="N358" s="28" t="s">
        <v>4363</v>
      </c>
    </row>
    <row r="359" spans="1:14">
      <c r="A359" t="s">
        <v>26</v>
      </c>
      <c r="B359" t="s">
        <v>64</v>
      </c>
      <c r="C359">
        <v>2108</v>
      </c>
      <c r="D359">
        <v>423</v>
      </c>
      <c r="E359" t="s">
        <v>961</v>
      </c>
      <c r="F359" s="35" t="s">
        <v>975</v>
      </c>
      <c r="G359" s="28" t="s">
        <v>1551</v>
      </c>
      <c r="H359" s="28" t="s">
        <v>1548</v>
      </c>
      <c r="I359" s="28" t="s">
        <v>4075</v>
      </c>
      <c r="J359" s="28" t="s">
        <v>4064</v>
      </c>
      <c r="K359" s="28" t="s">
        <v>4368</v>
      </c>
      <c r="L359" s="28" t="s">
        <v>4361</v>
      </c>
      <c r="M359" s="28" t="s">
        <v>4369</v>
      </c>
      <c r="N359" s="28" t="s">
        <v>4363</v>
      </c>
    </row>
    <row r="360" spans="1:14">
      <c r="A360" t="s">
        <v>26</v>
      </c>
      <c r="B360" t="s">
        <v>64</v>
      </c>
      <c r="C360">
        <v>2109</v>
      </c>
      <c r="D360">
        <v>227</v>
      </c>
      <c r="E360" t="s">
        <v>961</v>
      </c>
      <c r="F360" s="35" t="s">
        <v>969</v>
      </c>
      <c r="G360" s="28" t="s">
        <v>1552</v>
      </c>
      <c r="H360" s="28" t="s">
        <v>1553</v>
      </c>
      <c r="I360" s="28" t="s">
        <v>4078</v>
      </c>
      <c r="J360" s="28" t="s">
        <v>4079</v>
      </c>
      <c r="K360" s="28" t="s">
        <v>4370</v>
      </c>
      <c r="L360" s="28" t="s">
        <v>4371</v>
      </c>
      <c r="M360" s="28" t="s">
        <v>4372</v>
      </c>
      <c r="N360" s="28" t="s">
        <v>4373</v>
      </c>
    </row>
    <row r="361" spans="1:14">
      <c r="A361" t="s">
        <v>26</v>
      </c>
      <c r="B361" t="s">
        <v>64</v>
      </c>
      <c r="C361">
        <v>2110</v>
      </c>
      <c r="D361">
        <v>791</v>
      </c>
      <c r="E361" t="s">
        <v>961</v>
      </c>
      <c r="F361" s="35" t="s">
        <v>969</v>
      </c>
      <c r="G361" s="28" t="s">
        <v>1554</v>
      </c>
      <c r="H361" s="28" t="s">
        <v>1553</v>
      </c>
      <c r="I361" s="28" t="s">
        <v>4084</v>
      </c>
      <c r="J361" s="28" t="s">
        <v>4079</v>
      </c>
      <c r="K361" s="28" t="s">
        <v>4374</v>
      </c>
      <c r="L361" s="28" t="s">
        <v>4371</v>
      </c>
      <c r="M361" s="28" t="s">
        <v>4375</v>
      </c>
      <c r="N361" s="28" t="s">
        <v>4373</v>
      </c>
    </row>
    <row r="362" spans="1:14">
      <c r="A362" t="s">
        <v>26</v>
      </c>
      <c r="B362" t="s">
        <v>64</v>
      </c>
      <c r="C362">
        <v>2111</v>
      </c>
      <c r="D362">
        <v>1068</v>
      </c>
      <c r="E362" t="s">
        <v>961</v>
      </c>
      <c r="F362" s="35" t="s">
        <v>969</v>
      </c>
      <c r="G362" s="28" t="s">
        <v>1555</v>
      </c>
      <c r="H362" s="28" t="s">
        <v>1553</v>
      </c>
      <c r="I362" s="28" t="s">
        <v>4087</v>
      </c>
      <c r="J362" s="28" t="s">
        <v>4079</v>
      </c>
      <c r="K362" s="28" t="s">
        <v>4376</v>
      </c>
      <c r="L362" s="28" t="s">
        <v>4371</v>
      </c>
      <c r="M362" s="28" t="s">
        <v>4377</v>
      </c>
      <c r="N362" s="28" t="s">
        <v>4373</v>
      </c>
    </row>
    <row r="363" spans="1:14">
      <c r="A363" t="s">
        <v>26</v>
      </c>
      <c r="B363" t="s">
        <v>64</v>
      </c>
      <c r="C363">
        <v>2112</v>
      </c>
      <c r="D363">
        <v>876</v>
      </c>
      <c r="E363" t="s">
        <v>961</v>
      </c>
      <c r="F363" s="35" t="s">
        <v>969</v>
      </c>
      <c r="G363" s="28" t="s">
        <v>1556</v>
      </c>
      <c r="H363" s="28" t="s">
        <v>1553</v>
      </c>
      <c r="I363" s="28" t="s">
        <v>4090</v>
      </c>
      <c r="J363" s="28" t="s">
        <v>4079</v>
      </c>
      <c r="K363" s="28" t="s">
        <v>4378</v>
      </c>
      <c r="L363" s="28" t="s">
        <v>4371</v>
      </c>
      <c r="M363" s="28" t="s">
        <v>4379</v>
      </c>
      <c r="N363" s="28" t="s">
        <v>4373</v>
      </c>
    </row>
    <row r="364" spans="1:14">
      <c r="A364" t="s">
        <v>26</v>
      </c>
      <c r="B364" t="s">
        <v>64</v>
      </c>
      <c r="C364">
        <v>2113</v>
      </c>
      <c r="D364">
        <v>400</v>
      </c>
      <c r="E364" t="s">
        <v>961</v>
      </c>
      <c r="F364" s="35" t="s">
        <v>969</v>
      </c>
      <c r="G364" s="28" t="s">
        <v>1557</v>
      </c>
      <c r="H364" s="28" t="s">
        <v>1553</v>
      </c>
      <c r="I364" s="28" t="s">
        <v>4093</v>
      </c>
      <c r="J364" s="28" t="s">
        <v>4079</v>
      </c>
      <c r="K364" s="28" t="s">
        <v>4380</v>
      </c>
      <c r="L364" s="28" t="s">
        <v>4371</v>
      </c>
      <c r="M364" s="28" t="s">
        <v>4381</v>
      </c>
      <c r="N364" s="28" t="s">
        <v>4373</v>
      </c>
    </row>
    <row r="365" spans="1:14">
      <c r="A365" t="s">
        <v>26</v>
      </c>
      <c r="B365" t="s">
        <v>64</v>
      </c>
      <c r="C365">
        <v>2114</v>
      </c>
      <c r="D365">
        <v>328</v>
      </c>
      <c r="E365" t="s">
        <v>961</v>
      </c>
      <c r="F365" s="35" t="s">
        <v>970</v>
      </c>
      <c r="G365" s="28" t="s">
        <v>1558</v>
      </c>
      <c r="H365" s="28" t="s">
        <v>1529</v>
      </c>
      <c r="I365" s="28" t="s">
        <v>4096</v>
      </c>
      <c r="J365" s="28" t="s">
        <v>4007</v>
      </c>
      <c r="K365" s="28" t="s">
        <v>4382</v>
      </c>
      <c r="L365" s="28" t="s">
        <v>4383</v>
      </c>
      <c r="M365" s="28" t="s">
        <v>4384</v>
      </c>
      <c r="N365" s="28" t="s">
        <v>4385</v>
      </c>
    </row>
    <row r="366" spans="1:14">
      <c r="A366" t="s">
        <v>26</v>
      </c>
      <c r="B366" t="s">
        <v>64</v>
      </c>
      <c r="C366">
        <v>2115</v>
      </c>
      <c r="D366">
        <v>385</v>
      </c>
      <c r="E366" t="s">
        <v>961</v>
      </c>
      <c r="F366" s="35" t="s">
        <v>970</v>
      </c>
      <c r="G366" s="28" t="s">
        <v>1559</v>
      </c>
      <c r="H366" s="28" t="s">
        <v>1529</v>
      </c>
      <c r="I366" s="28" t="s">
        <v>4099</v>
      </c>
      <c r="J366" s="28" t="s">
        <v>4007</v>
      </c>
      <c r="K366" s="28" t="s">
        <v>4386</v>
      </c>
      <c r="L366" s="28" t="s">
        <v>4383</v>
      </c>
      <c r="M366" s="28" t="s">
        <v>4387</v>
      </c>
      <c r="N366" s="28" t="s">
        <v>4385</v>
      </c>
    </row>
    <row r="367" spans="1:14">
      <c r="A367" t="s">
        <v>26</v>
      </c>
      <c r="B367" t="s">
        <v>64</v>
      </c>
      <c r="C367">
        <v>2116</v>
      </c>
      <c r="D367">
        <v>453</v>
      </c>
      <c r="E367" t="s">
        <v>961</v>
      </c>
      <c r="F367" s="35" t="s">
        <v>970</v>
      </c>
      <c r="G367" s="28" t="s">
        <v>1528</v>
      </c>
      <c r="H367" s="28" t="s">
        <v>1529</v>
      </c>
      <c r="I367" s="28" t="s">
        <v>4006</v>
      </c>
      <c r="J367" s="28" t="s">
        <v>4007</v>
      </c>
      <c r="K367" s="28" t="s">
        <v>4388</v>
      </c>
      <c r="L367" s="28" t="s">
        <v>4383</v>
      </c>
      <c r="M367" s="28" t="s">
        <v>4389</v>
      </c>
      <c r="N367" s="28" t="s">
        <v>4385</v>
      </c>
    </row>
    <row r="368" spans="1:14">
      <c r="A368" t="s">
        <v>26</v>
      </c>
      <c r="B368" t="s">
        <v>64</v>
      </c>
      <c r="C368">
        <v>2117</v>
      </c>
      <c r="D368">
        <v>217</v>
      </c>
      <c r="E368" t="s">
        <v>961</v>
      </c>
      <c r="F368" s="35" t="s">
        <v>970</v>
      </c>
      <c r="G368" s="28" t="s">
        <v>1560</v>
      </c>
      <c r="H368" s="28" t="s">
        <v>1529</v>
      </c>
      <c r="I368" s="28" t="s">
        <v>4102</v>
      </c>
      <c r="J368" s="28" t="s">
        <v>4007</v>
      </c>
      <c r="K368" s="28" t="s">
        <v>4390</v>
      </c>
      <c r="L368" s="28" t="s">
        <v>4383</v>
      </c>
      <c r="M368" s="28" t="s">
        <v>4391</v>
      </c>
      <c r="N368" s="28" t="s">
        <v>4385</v>
      </c>
    </row>
    <row r="369" spans="1:14">
      <c r="A369" t="s">
        <v>26</v>
      </c>
      <c r="B369" t="s">
        <v>64</v>
      </c>
      <c r="C369">
        <v>2118</v>
      </c>
      <c r="D369">
        <v>594</v>
      </c>
      <c r="E369" t="s">
        <v>961</v>
      </c>
      <c r="F369" s="35" t="s">
        <v>971</v>
      </c>
      <c r="G369" s="28" t="s">
        <v>1530</v>
      </c>
      <c r="H369" s="28" t="s">
        <v>1531</v>
      </c>
      <c r="I369" s="28" t="s">
        <v>4012</v>
      </c>
      <c r="J369" s="28" t="s">
        <v>4013</v>
      </c>
      <c r="K369" s="28" t="s">
        <v>4392</v>
      </c>
      <c r="L369" s="28" t="s">
        <v>4393</v>
      </c>
      <c r="M369" s="28" t="s">
        <v>4394</v>
      </c>
      <c r="N369" s="28" t="s">
        <v>4395</v>
      </c>
    </row>
    <row r="370" spans="1:14">
      <c r="A370" t="s">
        <v>26</v>
      </c>
      <c r="B370" t="s">
        <v>64</v>
      </c>
      <c r="C370">
        <v>2119</v>
      </c>
      <c r="D370">
        <v>270</v>
      </c>
      <c r="E370" t="s">
        <v>961</v>
      </c>
      <c r="F370" s="35" t="s">
        <v>971</v>
      </c>
      <c r="G370" s="28" t="s">
        <v>1532</v>
      </c>
      <c r="H370" s="28" t="s">
        <v>1531</v>
      </c>
      <c r="I370" s="28" t="s">
        <v>4018</v>
      </c>
      <c r="J370" s="28" t="s">
        <v>4013</v>
      </c>
      <c r="K370" s="28" t="s">
        <v>4396</v>
      </c>
      <c r="L370" s="28" t="s">
        <v>4393</v>
      </c>
      <c r="M370" s="28" t="s">
        <v>4397</v>
      </c>
      <c r="N370" s="28" t="s">
        <v>4395</v>
      </c>
    </row>
    <row r="371" spans="1:14">
      <c r="A371" t="s">
        <v>26</v>
      </c>
      <c r="B371" t="s">
        <v>64</v>
      </c>
      <c r="C371">
        <v>2120</v>
      </c>
      <c r="D371">
        <v>1500</v>
      </c>
      <c r="E371" t="s">
        <v>961</v>
      </c>
      <c r="F371" s="35" t="s">
        <v>971</v>
      </c>
      <c r="G371" s="28" t="s">
        <v>1564</v>
      </c>
      <c r="H371" s="28" t="s">
        <v>1531</v>
      </c>
      <c r="I371" s="28" t="s">
        <v>4324</v>
      </c>
      <c r="J371" s="28" t="s">
        <v>4013</v>
      </c>
      <c r="K371" s="28" t="s">
        <v>4398</v>
      </c>
      <c r="L371" s="28" t="s">
        <v>4393</v>
      </c>
      <c r="M371" s="28" t="s">
        <v>4399</v>
      </c>
      <c r="N371" s="28" t="s">
        <v>4395</v>
      </c>
    </row>
    <row r="372" spans="1:14">
      <c r="A372" t="s">
        <v>26</v>
      </c>
      <c r="B372" t="s">
        <v>64</v>
      </c>
      <c r="C372">
        <v>2121</v>
      </c>
      <c r="D372">
        <v>655</v>
      </c>
      <c r="E372" t="s">
        <v>961</v>
      </c>
      <c r="F372" s="35" t="s">
        <v>971</v>
      </c>
      <c r="G372" s="28" t="s">
        <v>1533</v>
      </c>
      <c r="H372" s="28" t="s">
        <v>1531</v>
      </c>
      <c r="I372" s="28" t="s">
        <v>4021</v>
      </c>
      <c r="J372" s="28" t="s">
        <v>4013</v>
      </c>
      <c r="K372" s="28" t="s">
        <v>4400</v>
      </c>
      <c r="L372" s="28" t="s">
        <v>4393</v>
      </c>
      <c r="M372" s="28" t="s">
        <v>4401</v>
      </c>
      <c r="N372" s="28" t="s">
        <v>4395</v>
      </c>
    </row>
    <row r="373" spans="1:14">
      <c r="A373" t="s">
        <v>26</v>
      </c>
      <c r="B373" t="s">
        <v>64</v>
      </c>
      <c r="C373">
        <v>2122</v>
      </c>
      <c r="D373">
        <v>376</v>
      </c>
      <c r="E373" t="s">
        <v>961</v>
      </c>
      <c r="F373" s="35" t="s">
        <v>971</v>
      </c>
      <c r="G373" s="28" t="s">
        <v>1534</v>
      </c>
      <c r="H373" s="28" t="s">
        <v>1531</v>
      </c>
      <c r="I373" s="28" t="s">
        <v>4024</v>
      </c>
      <c r="J373" s="28" t="s">
        <v>4013</v>
      </c>
      <c r="K373" s="28" t="s">
        <v>4402</v>
      </c>
      <c r="L373" s="28" t="s">
        <v>4393</v>
      </c>
      <c r="M373" s="28" t="s">
        <v>4403</v>
      </c>
      <c r="N373" s="28" t="s">
        <v>4395</v>
      </c>
    </row>
    <row r="374" spans="1:14">
      <c r="A374" t="s">
        <v>26</v>
      </c>
      <c r="B374" t="s">
        <v>64</v>
      </c>
      <c r="C374">
        <v>2123</v>
      </c>
      <c r="D374">
        <v>787</v>
      </c>
      <c r="E374" t="s">
        <v>961</v>
      </c>
      <c r="F374" s="35" t="s">
        <v>972</v>
      </c>
      <c r="G374" s="28" t="s">
        <v>1535</v>
      </c>
      <c r="H374" s="28" t="s">
        <v>1536</v>
      </c>
      <c r="I374" s="28" t="s">
        <v>4027</v>
      </c>
      <c r="J374" s="28" t="s">
        <v>4028</v>
      </c>
      <c r="K374" s="28" t="s">
        <v>4404</v>
      </c>
      <c r="L374" s="28" t="s">
        <v>4405</v>
      </c>
      <c r="M374" s="28" t="s">
        <v>4406</v>
      </c>
      <c r="N374" s="28" t="s">
        <v>4407</v>
      </c>
    </row>
    <row r="375" spans="1:14">
      <c r="A375" t="s">
        <v>26</v>
      </c>
      <c r="B375" t="s">
        <v>64</v>
      </c>
      <c r="C375">
        <v>2125</v>
      </c>
      <c r="D375">
        <v>167</v>
      </c>
      <c r="E375" t="s">
        <v>961</v>
      </c>
      <c r="F375" s="35" t="s">
        <v>972</v>
      </c>
      <c r="G375" s="28" t="s">
        <v>1538</v>
      </c>
      <c r="H375" s="28" t="s">
        <v>1536</v>
      </c>
      <c r="I375" s="28" t="s">
        <v>4036</v>
      </c>
      <c r="J375" s="28" t="s">
        <v>4028</v>
      </c>
      <c r="K375" s="28" t="s">
        <v>4408</v>
      </c>
      <c r="L375" s="28" t="s">
        <v>4405</v>
      </c>
      <c r="M375" s="28" t="s">
        <v>4409</v>
      </c>
      <c r="N375" s="28" t="s">
        <v>4407</v>
      </c>
    </row>
    <row r="376" spans="1:14">
      <c r="A376" t="s">
        <v>26</v>
      </c>
      <c r="B376" t="s">
        <v>64</v>
      </c>
      <c r="C376">
        <v>2126</v>
      </c>
      <c r="D376">
        <v>16</v>
      </c>
      <c r="E376" t="s">
        <v>961</v>
      </c>
      <c r="F376" s="35" t="s">
        <v>972</v>
      </c>
      <c r="G376" s="28" t="s">
        <v>1539</v>
      </c>
      <c r="H376" s="28" t="s">
        <v>1536</v>
      </c>
      <c r="I376" s="28" t="s">
        <v>4039</v>
      </c>
      <c r="J376" s="28" t="s">
        <v>4028</v>
      </c>
      <c r="K376" s="28" t="s">
        <v>4410</v>
      </c>
      <c r="L376" s="28" t="s">
        <v>4405</v>
      </c>
      <c r="M376" s="28" t="s">
        <v>4411</v>
      </c>
      <c r="N376" s="28" t="s">
        <v>4407</v>
      </c>
    </row>
    <row r="377" spans="1:14">
      <c r="A377" t="s">
        <v>26</v>
      </c>
      <c r="B377" t="s">
        <v>64</v>
      </c>
      <c r="C377">
        <v>2127</v>
      </c>
      <c r="D377">
        <v>798</v>
      </c>
      <c r="E377" t="s">
        <v>961</v>
      </c>
      <c r="F377" s="35" t="s">
        <v>973</v>
      </c>
      <c r="G377" s="28" t="s">
        <v>1565</v>
      </c>
      <c r="H377" s="28" t="s">
        <v>1541</v>
      </c>
      <c r="I377" s="28" t="s">
        <v>4339</v>
      </c>
      <c r="J377" s="28" t="s">
        <v>4043</v>
      </c>
      <c r="K377" s="28" t="s">
        <v>4412</v>
      </c>
      <c r="L377" s="28" t="s">
        <v>4413</v>
      </c>
      <c r="M377" s="28" t="s">
        <v>4414</v>
      </c>
      <c r="N377" s="28" t="s">
        <v>4415</v>
      </c>
    </row>
    <row r="378" spans="1:14">
      <c r="A378" t="s">
        <v>26</v>
      </c>
      <c r="B378" t="s">
        <v>64</v>
      </c>
      <c r="C378">
        <v>2128</v>
      </c>
      <c r="D378">
        <v>899</v>
      </c>
      <c r="E378" t="s">
        <v>961</v>
      </c>
      <c r="F378" s="35" t="s">
        <v>973</v>
      </c>
      <c r="G378" s="28" t="s">
        <v>1540</v>
      </c>
      <c r="H378" s="28" t="s">
        <v>1541</v>
      </c>
      <c r="I378" s="28" t="s">
        <v>4042</v>
      </c>
      <c r="J378" s="28" t="s">
        <v>4043</v>
      </c>
      <c r="K378" s="28" t="s">
        <v>4416</v>
      </c>
      <c r="L378" s="28" t="s">
        <v>4413</v>
      </c>
      <c r="M378" s="28" t="s">
        <v>4417</v>
      </c>
      <c r="N378" s="28" t="s">
        <v>4415</v>
      </c>
    </row>
    <row r="379" spans="1:14">
      <c r="A379" t="s">
        <v>26</v>
      </c>
      <c r="B379" t="s">
        <v>64</v>
      </c>
      <c r="C379">
        <v>2129</v>
      </c>
      <c r="D379">
        <v>1143</v>
      </c>
      <c r="E379" t="s">
        <v>961</v>
      </c>
      <c r="F379" s="35" t="s">
        <v>973</v>
      </c>
      <c r="G379" s="28" t="s">
        <v>1542</v>
      </c>
      <c r="H379" s="28" t="s">
        <v>1541</v>
      </c>
      <c r="I379" s="28" t="s">
        <v>4048</v>
      </c>
      <c r="J379" s="28" t="s">
        <v>4043</v>
      </c>
      <c r="K379" s="28" t="s">
        <v>4418</v>
      </c>
      <c r="L379" s="28" t="s">
        <v>4413</v>
      </c>
      <c r="M379" s="28" t="s">
        <v>4419</v>
      </c>
      <c r="N379" s="28" t="s">
        <v>4415</v>
      </c>
    </row>
    <row r="380" spans="1:14">
      <c r="A380" t="s">
        <v>26</v>
      </c>
      <c r="B380" t="s">
        <v>64</v>
      </c>
      <c r="C380">
        <v>2132</v>
      </c>
      <c r="D380">
        <v>169</v>
      </c>
      <c r="E380" t="s">
        <v>961</v>
      </c>
      <c r="F380" s="35" t="s">
        <v>974</v>
      </c>
      <c r="G380" s="28" t="s">
        <v>1566</v>
      </c>
      <c r="H380" s="28" t="s">
        <v>1563</v>
      </c>
      <c r="I380" s="28" t="s">
        <v>4420</v>
      </c>
      <c r="J380" s="28" t="s">
        <v>4167</v>
      </c>
      <c r="K380" s="28" t="s">
        <v>4421</v>
      </c>
      <c r="L380" s="28" t="s">
        <v>4422</v>
      </c>
      <c r="M380" s="28" t="s">
        <v>4423</v>
      </c>
      <c r="N380" s="28" t="s">
        <v>4424</v>
      </c>
    </row>
    <row r="381" spans="1:14">
      <c r="A381" t="s">
        <v>26</v>
      </c>
      <c r="B381" t="s">
        <v>64</v>
      </c>
      <c r="C381">
        <v>2133</v>
      </c>
      <c r="D381">
        <v>193</v>
      </c>
      <c r="E381" t="s">
        <v>961</v>
      </c>
      <c r="F381" s="35" t="s">
        <v>974</v>
      </c>
      <c r="G381" s="28" t="s">
        <v>1562</v>
      </c>
      <c r="H381" s="28" t="s">
        <v>1563</v>
      </c>
      <c r="I381" s="28" t="s">
        <v>4166</v>
      </c>
      <c r="J381" s="28" t="s">
        <v>4167</v>
      </c>
      <c r="K381" s="28" t="s">
        <v>4425</v>
      </c>
      <c r="L381" s="28" t="s">
        <v>4422</v>
      </c>
      <c r="M381" s="28" t="s">
        <v>4426</v>
      </c>
      <c r="N381" s="28" t="s">
        <v>4424</v>
      </c>
    </row>
    <row r="382" spans="1:14">
      <c r="A382" t="s">
        <v>26</v>
      </c>
      <c r="B382" t="s">
        <v>64</v>
      </c>
      <c r="C382">
        <v>2134</v>
      </c>
      <c r="D382">
        <v>340</v>
      </c>
      <c r="E382" t="s">
        <v>961</v>
      </c>
      <c r="F382" s="35" t="s">
        <v>974</v>
      </c>
      <c r="G382" s="28" t="s">
        <v>6012</v>
      </c>
      <c r="H382" s="28" t="s">
        <v>1563</v>
      </c>
      <c r="I382" s="28" t="s">
        <v>6045</v>
      </c>
      <c r="J382" s="28" t="s">
        <v>4167</v>
      </c>
      <c r="K382" s="28" t="s">
        <v>6049</v>
      </c>
      <c r="L382" s="28" t="s">
        <v>4422</v>
      </c>
      <c r="M382" s="28" t="s">
        <v>6050</v>
      </c>
      <c r="N382" s="28" t="s">
        <v>4424</v>
      </c>
    </row>
    <row r="383" spans="1:14">
      <c r="A383" t="s">
        <v>26</v>
      </c>
      <c r="B383" t="s">
        <v>64</v>
      </c>
      <c r="C383">
        <v>2136</v>
      </c>
      <c r="D383">
        <v>300</v>
      </c>
      <c r="E383" t="s">
        <v>961</v>
      </c>
      <c r="F383" s="35" t="s">
        <v>997</v>
      </c>
      <c r="G383" s="28" t="s">
        <v>6310</v>
      </c>
      <c r="H383" s="28" t="s">
        <v>6311</v>
      </c>
      <c r="I383" s="28" t="s">
        <v>6312</v>
      </c>
      <c r="J383" s="28" t="s">
        <v>6313</v>
      </c>
      <c r="K383" s="28" t="s">
        <v>6322</v>
      </c>
      <c r="L383" s="28" t="s">
        <v>6323</v>
      </c>
      <c r="M383" s="28" t="s">
        <v>6324</v>
      </c>
      <c r="N383" s="28" t="s">
        <v>6325</v>
      </c>
    </row>
    <row r="384" spans="1:14">
      <c r="A384" t="s">
        <v>26</v>
      </c>
      <c r="B384" t="s">
        <v>65</v>
      </c>
      <c r="C384">
        <v>2101</v>
      </c>
      <c r="D384">
        <v>195</v>
      </c>
      <c r="E384" t="s">
        <v>961</v>
      </c>
      <c r="F384" s="35" t="s">
        <v>976</v>
      </c>
      <c r="G384" s="28" t="s">
        <v>1561</v>
      </c>
      <c r="H384" s="28" t="s">
        <v>1544</v>
      </c>
      <c r="I384" s="28" t="s">
        <v>4105</v>
      </c>
      <c r="J384" s="28" t="s">
        <v>4052</v>
      </c>
      <c r="K384" s="28" t="s">
        <v>4427</v>
      </c>
      <c r="L384" s="28" t="s">
        <v>4428</v>
      </c>
      <c r="M384" s="28" t="s">
        <v>4429</v>
      </c>
      <c r="N384" s="28" t="s">
        <v>4430</v>
      </c>
    </row>
    <row r="385" spans="1:14">
      <c r="A385" t="s">
        <v>26</v>
      </c>
      <c r="B385" t="s">
        <v>65</v>
      </c>
      <c r="C385">
        <v>2107</v>
      </c>
      <c r="D385">
        <v>50</v>
      </c>
      <c r="E385" t="s">
        <v>961</v>
      </c>
      <c r="F385" s="35" t="s">
        <v>975</v>
      </c>
      <c r="G385" s="28" t="s">
        <v>1550</v>
      </c>
      <c r="H385" s="28" t="s">
        <v>1548</v>
      </c>
      <c r="I385" s="28" t="s">
        <v>4072</v>
      </c>
      <c r="J385" s="28" t="s">
        <v>4064</v>
      </c>
      <c r="K385" s="28" t="s">
        <v>4431</v>
      </c>
      <c r="L385" s="28" t="s">
        <v>4432</v>
      </c>
      <c r="M385" s="28" t="s">
        <v>4433</v>
      </c>
      <c r="N385" s="28" t="s">
        <v>4434</v>
      </c>
    </row>
    <row r="386" spans="1:14">
      <c r="A386" t="s">
        <v>26</v>
      </c>
      <c r="B386" t="s">
        <v>65</v>
      </c>
      <c r="C386">
        <v>2108</v>
      </c>
      <c r="D386">
        <v>250</v>
      </c>
      <c r="E386" t="s">
        <v>961</v>
      </c>
      <c r="F386" s="35" t="s">
        <v>975</v>
      </c>
      <c r="G386" s="28" t="s">
        <v>1551</v>
      </c>
      <c r="H386" s="28" t="s">
        <v>1548</v>
      </c>
      <c r="I386" s="28" t="s">
        <v>4075</v>
      </c>
      <c r="J386" s="28" t="s">
        <v>4064</v>
      </c>
      <c r="K386" s="28" t="s">
        <v>4435</v>
      </c>
      <c r="L386" s="28" t="s">
        <v>4432</v>
      </c>
      <c r="M386" s="28" t="s">
        <v>4436</v>
      </c>
      <c r="N386" s="28" t="s">
        <v>4434</v>
      </c>
    </row>
    <row r="387" spans="1:14">
      <c r="A387" t="s">
        <v>26</v>
      </c>
      <c r="B387" t="s">
        <v>65</v>
      </c>
      <c r="C387">
        <v>2110</v>
      </c>
      <c r="D387">
        <v>130</v>
      </c>
      <c r="E387" t="s">
        <v>961</v>
      </c>
      <c r="F387" s="35" t="s">
        <v>969</v>
      </c>
      <c r="G387" s="28" t="s">
        <v>1554</v>
      </c>
      <c r="H387" s="28" t="s">
        <v>1553</v>
      </c>
      <c r="I387" s="28" t="s">
        <v>4084</v>
      </c>
      <c r="J387" s="28" t="s">
        <v>4079</v>
      </c>
      <c r="K387" s="28" t="s">
        <v>4437</v>
      </c>
      <c r="L387" s="28" t="s">
        <v>4438</v>
      </c>
      <c r="M387" s="28" t="s">
        <v>4439</v>
      </c>
      <c r="N387" s="28" t="s">
        <v>4440</v>
      </c>
    </row>
    <row r="388" spans="1:14">
      <c r="A388" t="s">
        <v>26</v>
      </c>
      <c r="B388" t="s">
        <v>65</v>
      </c>
      <c r="C388">
        <v>2112</v>
      </c>
      <c r="D388">
        <v>254</v>
      </c>
      <c r="E388" t="s">
        <v>961</v>
      </c>
      <c r="F388" s="35" t="s">
        <v>969</v>
      </c>
      <c r="G388" s="28" t="s">
        <v>1556</v>
      </c>
      <c r="H388" s="28" t="s">
        <v>1553</v>
      </c>
      <c r="I388" s="28" t="s">
        <v>4090</v>
      </c>
      <c r="J388" s="28" t="s">
        <v>4079</v>
      </c>
      <c r="K388" s="28" t="s">
        <v>4441</v>
      </c>
      <c r="L388" s="28" t="s">
        <v>4438</v>
      </c>
      <c r="M388" s="28" t="s">
        <v>4442</v>
      </c>
      <c r="N388" s="28" t="s">
        <v>4440</v>
      </c>
    </row>
    <row r="389" spans="1:14">
      <c r="A389" t="s">
        <v>26</v>
      </c>
      <c r="B389" t="s">
        <v>65</v>
      </c>
      <c r="C389">
        <v>2114</v>
      </c>
      <c r="D389">
        <v>200</v>
      </c>
      <c r="E389" t="s">
        <v>961</v>
      </c>
      <c r="F389" s="35" t="s">
        <v>970</v>
      </c>
      <c r="G389" s="28" t="s">
        <v>1558</v>
      </c>
      <c r="H389" s="28" t="s">
        <v>1529</v>
      </c>
      <c r="I389" s="28" t="s">
        <v>4096</v>
      </c>
      <c r="J389" s="28" t="s">
        <v>4007</v>
      </c>
      <c r="K389" s="28" t="s">
        <v>4443</v>
      </c>
      <c r="L389" s="28" t="s">
        <v>4444</v>
      </c>
      <c r="M389" s="28" t="s">
        <v>4445</v>
      </c>
      <c r="N389" s="28" t="s">
        <v>4446</v>
      </c>
    </row>
    <row r="390" spans="1:14">
      <c r="A390" t="s">
        <v>26</v>
      </c>
      <c r="B390" t="s">
        <v>65</v>
      </c>
      <c r="C390">
        <v>2117</v>
      </c>
      <c r="D390">
        <v>138</v>
      </c>
      <c r="E390" t="s">
        <v>961</v>
      </c>
      <c r="F390" s="35" t="s">
        <v>970</v>
      </c>
      <c r="G390" s="28" t="s">
        <v>1560</v>
      </c>
      <c r="H390" s="28" t="s">
        <v>1529</v>
      </c>
      <c r="I390" s="28" t="s">
        <v>4102</v>
      </c>
      <c r="J390" s="28" t="s">
        <v>4007</v>
      </c>
      <c r="K390" s="28" t="s">
        <v>4447</v>
      </c>
      <c r="L390" s="28" t="s">
        <v>4444</v>
      </c>
      <c r="M390" s="28" t="s">
        <v>4448</v>
      </c>
      <c r="N390" s="28" t="s">
        <v>4446</v>
      </c>
    </row>
    <row r="391" spans="1:14">
      <c r="A391" t="s">
        <v>26</v>
      </c>
      <c r="B391" t="s">
        <v>65</v>
      </c>
      <c r="C391">
        <v>2124</v>
      </c>
      <c r="D391">
        <v>50</v>
      </c>
      <c r="E391" t="s">
        <v>961</v>
      </c>
      <c r="F391" s="35" t="s">
        <v>972</v>
      </c>
      <c r="G391" s="28" t="s">
        <v>1537</v>
      </c>
      <c r="H391" s="28" t="s">
        <v>1536</v>
      </c>
      <c r="I391" s="28" t="s">
        <v>4033</v>
      </c>
      <c r="J391" s="28" t="s">
        <v>4028</v>
      </c>
      <c r="K391" s="28" t="s">
        <v>4449</v>
      </c>
      <c r="L391" s="28" t="s">
        <v>4450</v>
      </c>
      <c r="M391" s="28" t="s">
        <v>4451</v>
      </c>
      <c r="N391" s="28" t="s">
        <v>4452</v>
      </c>
    </row>
    <row r="392" spans="1:14">
      <c r="A392" t="s">
        <v>26</v>
      </c>
      <c r="B392" t="s">
        <v>65</v>
      </c>
      <c r="C392">
        <v>2125</v>
      </c>
      <c r="D392">
        <v>50</v>
      </c>
      <c r="E392" t="s">
        <v>961</v>
      </c>
      <c r="F392" s="35" t="s">
        <v>972</v>
      </c>
      <c r="G392" s="28" t="s">
        <v>1538</v>
      </c>
      <c r="H392" s="28" t="s">
        <v>1536</v>
      </c>
      <c r="I392" s="28" t="s">
        <v>4036</v>
      </c>
      <c r="J392" s="28" t="s">
        <v>4028</v>
      </c>
      <c r="K392" s="28" t="s">
        <v>4453</v>
      </c>
      <c r="L392" s="28" t="s">
        <v>4450</v>
      </c>
      <c r="M392" s="28" t="s">
        <v>4454</v>
      </c>
      <c r="N392" s="28" t="s">
        <v>4452</v>
      </c>
    </row>
    <row r="393" spans="1:14">
      <c r="A393" t="s">
        <v>26</v>
      </c>
      <c r="B393" t="s">
        <v>65</v>
      </c>
      <c r="C393">
        <v>2127</v>
      </c>
      <c r="D393">
        <v>200</v>
      </c>
      <c r="E393" t="s">
        <v>961</v>
      </c>
      <c r="F393" s="35" t="s">
        <v>973</v>
      </c>
      <c r="G393" s="28" t="s">
        <v>1565</v>
      </c>
      <c r="H393" s="28" t="s">
        <v>1541</v>
      </c>
      <c r="I393" s="28" t="s">
        <v>4339</v>
      </c>
      <c r="J393" s="28" t="s">
        <v>4043</v>
      </c>
      <c r="K393" s="28" t="s">
        <v>4455</v>
      </c>
      <c r="L393" s="28" t="s">
        <v>4456</v>
      </c>
      <c r="M393" s="28" t="s">
        <v>4457</v>
      </c>
      <c r="N393" s="28" t="s">
        <v>4458</v>
      </c>
    </row>
    <row r="394" spans="1:14">
      <c r="A394" t="s">
        <v>26</v>
      </c>
      <c r="B394" t="s">
        <v>65</v>
      </c>
      <c r="C394">
        <v>2128</v>
      </c>
      <c r="D394">
        <v>100</v>
      </c>
      <c r="E394" t="s">
        <v>961</v>
      </c>
      <c r="F394" s="35" t="s">
        <v>973</v>
      </c>
      <c r="G394" s="28" t="s">
        <v>1540</v>
      </c>
      <c r="H394" s="28" t="s">
        <v>1541</v>
      </c>
      <c r="I394" s="28" t="s">
        <v>4042</v>
      </c>
      <c r="J394" s="28" t="s">
        <v>4043</v>
      </c>
      <c r="K394" s="28" t="s">
        <v>4459</v>
      </c>
      <c r="L394" s="28" t="s">
        <v>4456</v>
      </c>
      <c r="M394" s="28" t="s">
        <v>4460</v>
      </c>
      <c r="N394" s="28" t="s">
        <v>4458</v>
      </c>
    </row>
    <row r="395" spans="1:14">
      <c r="A395" t="s">
        <v>26</v>
      </c>
      <c r="B395" t="s">
        <v>65</v>
      </c>
      <c r="C395">
        <v>2129</v>
      </c>
      <c r="D395">
        <v>19</v>
      </c>
      <c r="E395" t="s">
        <v>961</v>
      </c>
      <c r="F395" s="35" t="s">
        <v>973</v>
      </c>
      <c r="G395" s="28" t="s">
        <v>1542</v>
      </c>
      <c r="H395" s="28" t="s">
        <v>1541</v>
      </c>
      <c r="I395" s="28" t="s">
        <v>4048</v>
      </c>
      <c r="J395" s="28" t="s">
        <v>4043</v>
      </c>
      <c r="K395" s="28" t="s">
        <v>4461</v>
      </c>
      <c r="L395" s="28" t="s">
        <v>4456</v>
      </c>
      <c r="M395" s="28" t="s">
        <v>4462</v>
      </c>
      <c r="N395" s="28" t="s">
        <v>4458</v>
      </c>
    </row>
    <row r="396" spans="1:14">
      <c r="A396" t="s">
        <v>26</v>
      </c>
      <c r="B396" t="s">
        <v>65</v>
      </c>
      <c r="C396">
        <v>2133</v>
      </c>
      <c r="D396">
        <v>139</v>
      </c>
      <c r="E396" t="s">
        <v>961</v>
      </c>
      <c r="F396" s="35" t="s">
        <v>974</v>
      </c>
      <c r="G396" s="28" t="s">
        <v>1562</v>
      </c>
      <c r="H396" s="28" t="s">
        <v>1563</v>
      </c>
      <c r="I396" s="28" t="s">
        <v>4166</v>
      </c>
      <c r="J396" s="28" t="s">
        <v>4167</v>
      </c>
      <c r="K396" s="28" t="s">
        <v>4463</v>
      </c>
      <c r="L396" s="28" t="s">
        <v>4464</v>
      </c>
      <c r="M396" s="28" t="s">
        <v>4465</v>
      </c>
      <c r="N396" s="28" t="s">
        <v>4466</v>
      </c>
    </row>
    <row r="397" spans="1:14">
      <c r="A397" t="s">
        <v>26</v>
      </c>
      <c r="B397" t="s">
        <v>65</v>
      </c>
      <c r="C397">
        <v>2134</v>
      </c>
      <c r="D397">
        <v>177</v>
      </c>
      <c r="E397" t="s">
        <v>961</v>
      </c>
      <c r="F397" s="35" t="s">
        <v>974</v>
      </c>
      <c r="G397" s="28" t="s">
        <v>6012</v>
      </c>
      <c r="H397" s="28" t="s">
        <v>1563</v>
      </c>
      <c r="I397" s="28" t="s">
        <v>6045</v>
      </c>
      <c r="J397" s="28" t="s">
        <v>4167</v>
      </c>
      <c r="K397" s="28" t="s">
        <v>6051</v>
      </c>
      <c r="L397" s="28" t="s">
        <v>4464</v>
      </c>
      <c r="M397" s="28" t="s">
        <v>6052</v>
      </c>
      <c r="N397" s="28" t="s">
        <v>4466</v>
      </c>
    </row>
    <row r="398" spans="1:14">
      <c r="A398" t="s">
        <v>26</v>
      </c>
      <c r="B398" t="s">
        <v>65</v>
      </c>
      <c r="C398">
        <v>2135</v>
      </c>
      <c r="D398">
        <v>167</v>
      </c>
      <c r="E398" t="s">
        <v>961</v>
      </c>
      <c r="F398" s="35" t="s">
        <v>974</v>
      </c>
      <c r="G398" s="28" t="s">
        <v>6173</v>
      </c>
      <c r="H398" s="28" t="s">
        <v>1563</v>
      </c>
      <c r="I398" s="28" t="s">
        <v>6174</v>
      </c>
      <c r="J398" s="28" t="s">
        <v>4167</v>
      </c>
      <c r="K398" s="28" t="s">
        <v>6177</v>
      </c>
      <c r="L398" s="28" t="s">
        <v>4464</v>
      </c>
      <c r="M398" s="28" t="s">
        <v>6178</v>
      </c>
      <c r="N398" s="28" t="s">
        <v>4466</v>
      </c>
    </row>
    <row r="399" spans="1:14">
      <c r="A399" t="s">
        <v>26</v>
      </c>
      <c r="B399" t="s">
        <v>65</v>
      </c>
      <c r="C399">
        <v>2136</v>
      </c>
      <c r="D399">
        <v>238</v>
      </c>
      <c r="E399" t="s">
        <v>961</v>
      </c>
      <c r="F399" s="35" t="s">
        <v>997</v>
      </c>
      <c r="G399" s="28" t="s">
        <v>6310</v>
      </c>
      <c r="H399" s="28" t="s">
        <v>6311</v>
      </c>
      <c r="I399" s="28" t="s">
        <v>6312</v>
      </c>
      <c r="J399" s="28" t="s">
        <v>6313</v>
      </c>
      <c r="K399" s="28" t="s">
        <v>6326</v>
      </c>
      <c r="L399" s="28" t="s">
        <v>6327</v>
      </c>
      <c r="M399" s="28" t="s">
        <v>6328</v>
      </c>
      <c r="N399" s="28" t="s">
        <v>6329</v>
      </c>
    </row>
    <row r="400" spans="1:14">
      <c r="A400" t="s">
        <v>26</v>
      </c>
      <c r="B400" t="s">
        <v>65</v>
      </c>
      <c r="C400">
        <v>2137</v>
      </c>
      <c r="D400">
        <v>162</v>
      </c>
      <c r="E400" t="s">
        <v>961</v>
      </c>
      <c r="F400" s="35" t="s">
        <v>997</v>
      </c>
      <c r="G400" s="28" t="s">
        <v>6455</v>
      </c>
      <c r="H400" s="28" t="s">
        <v>6311</v>
      </c>
      <c r="I400" s="28" t="s">
        <v>6456</v>
      </c>
      <c r="J400" s="28" t="s">
        <v>6313</v>
      </c>
      <c r="K400" s="28" t="s">
        <v>6461</v>
      </c>
      <c r="L400" s="28" t="s">
        <v>6327</v>
      </c>
      <c r="M400" s="28" t="s">
        <v>6462</v>
      </c>
      <c r="N400" s="28" t="s">
        <v>6329</v>
      </c>
    </row>
    <row r="401" spans="1:14">
      <c r="A401" t="s">
        <v>26</v>
      </c>
      <c r="B401" t="s">
        <v>63</v>
      </c>
      <c r="C401">
        <v>2102</v>
      </c>
      <c r="D401">
        <v>190</v>
      </c>
      <c r="E401" t="s">
        <v>961</v>
      </c>
      <c r="F401" s="35" t="s">
        <v>976</v>
      </c>
      <c r="G401" s="28" t="s">
        <v>1543</v>
      </c>
      <c r="H401" s="28" t="s">
        <v>1544</v>
      </c>
      <c r="I401" s="28" t="s">
        <v>4051</v>
      </c>
      <c r="J401" s="28" t="s">
        <v>4052</v>
      </c>
      <c r="K401" s="28" t="s">
        <v>4467</v>
      </c>
      <c r="L401" s="28" t="s">
        <v>4468</v>
      </c>
      <c r="M401" s="28" t="s">
        <v>4469</v>
      </c>
      <c r="N401" s="28" t="s">
        <v>4470</v>
      </c>
    </row>
    <row r="402" spans="1:14">
      <c r="A402" t="s">
        <v>26</v>
      </c>
      <c r="B402" t="s">
        <v>63</v>
      </c>
      <c r="C402">
        <v>2103</v>
      </c>
      <c r="D402">
        <v>407</v>
      </c>
      <c r="E402" t="s">
        <v>961</v>
      </c>
      <c r="F402" s="35" t="s">
        <v>976</v>
      </c>
      <c r="G402" s="28" t="s">
        <v>1545</v>
      </c>
      <c r="H402" s="28" t="s">
        <v>1544</v>
      </c>
      <c r="I402" s="28" t="s">
        <v>4057</v>
      </c>
      <c r="J402" s="28" t="s">
        <v>4052</v>
      </c>
      <c r="K402" s="28" t="s">
        <v>4471</v>
      </c>
      <c r="L402" s="28" t="s">
        <v>4468</v>
      </c>
      <c r="M402" s="28" t="s">
        <v>4472</v>
      </c>
      <c r="N402" s="28" t="s">
        <v>4470</v>
      </c>
    </row>
    <row r="403" spans="1:14">
      <c r="A403" t="s">
        <v>26</v>
      </c>
      <c r="B403" t="s">
        <v>63</v>
      </c>
      <c r="C403">
        <v>2107</v>
      </c>
      <c r="D403">
        <v>5</v>
      </c>
      <c r="E403" t="s">
        <v>961</v>
      </c>
      <c r="F403" s="35" t="s">
        <v>975</v>
      </c>
      <c r="G403" s="28" t="s">
        <v>1550</v>
      </c>
      <c r="H403" s="28" t="s">
        <v>1548</v>
      </c>
      <c r="I403" s="28" t="s">
        <v>4072</v>
      </c>
      <c r="J403" s="28" t="s">
        <v>4064</v>
      </c>
      <c r="K403" s="28" t="s">
        <v>4473</v>
      </c>
      <c r="L403" s="28" t="s">
        <v>4474</v>
      </c>
      <c r="M403" s="28" t="s">
        <v>4475</v>
      </c>
      <c r="N403" s="28" t="s">
        <v>4476</v>
      </c>
    </row>
    <row r="404" spans="1:14">
      <c r="A404" t="s">
        <v>26</v>
      </c>
      <c r="B404" t="s">
        <v>63</v>
      </c>
      <c r="C404">
        <v>2109</v>
      </c>
      <c r="D404">
        <v>210</v>
      </c>
      <c r="E404" t="s">
        <v>961</v>
      </c>
      <c r="F404" s="35" t="s">
        <v>969</v>
      </c>
      <c r="G404" s="28" t="s">
        <v>1552</v>
      </c>
      <c r="H404" s="28" t="s">
        <v>1553</v>
      </c>
      <c r="I404" s="28" t="s">
        <v>4078</v>
      </c>
      <c r="J404" s="28" t="s">
        <v>4079</v>
      </c>
      <c r="K404" s="28" t="s">
        <v>4477</v>
      </c>
      <c r="L404" s="28" t="s">
        <v>4478</v>
      </c>
      <c r="M404" s="28" t="s">
        <v>4479</v>
      </c>
      <c r="N404" s="28" t="s">
        <v>4480</v>
      </c>
    </row>
    <row r="405" spans="1:14">
      <c r="A405" t="s">
        <v>26</v>
      </c>
      <c r="B405" t="s">
        <v>63</v>
      </c>
      <c r="C405">
        <v>2110</v>
      </c>
      <c r="D405">
        <v>170</v>
      </c>
      <c r="E405" t="s">
        <v>961</v>
      </c>
      <c r="F405" s="35" t="s">
        <v>969</v>
      </c>
      <c r="G405" s="28" t="s">
        <v>1554</v>
      </c>
      <c r="H405" s="28" t="s">
        <v>1553</v>
      </c>
      <c r="I405" s="28" t="s">
        <v>4084</v>
      </c>
      <c r="J405" s="28" t="s">
        <v>4079</v>
      </c>
      <c r="K405" s="28" t="s">
        <v>4481</v>
      </c>
      <c r="L405" s="28" t="s">
        <v>4478</v>
      </c>
      <c r="M405" s="28" t="s">
        <v>4482</v>
      </c>
      <c r="N405" s="28" t="s">
        <v>4480</v>
      </c>
    </row>
    <row r="406" spans="1:14">
      <c r="A406" t="s">
        <v>26</v>
      </c>
      <c r="B406" t="s">
        <v>63</v>
      </c>
      <c r="C406">
        <v>2111</v>
      </c>
      <c r="D406">
        <v>125</v>
      </c>
      <c r="E406" t="s">
        <v>961</v>
      </c>
      <c r="F406" s="35" t="s">
        <v>969</v>
      </c>
      <c r="G406" s="28" t="s">
        <v>1555</v>
      </c>
      <c r="H406" s="28" t="s">
        <v>1553</v>
      </c>
      <c r="I406" s="28" t="s">
        <v>4087</v>
      </c>
      <c r="J406" s="28" t="s">
        <v>4079</v>
      </c>
      <c r="K406" s="28" t="s">
        <v>4483</v>
      </c>
      <c r="L406" s="28" t="s">
        <v>4478</v>
      </c>
      <c r="M406" s="28" t="s">
        <v>4484</v>
      </c>
      <c r="N406" s="28" t="s">
        <v>4480</v>
      </c>
    </row>
    <row r="407" spans="1:14">
      <c r="A407" t="s">
        <v>26</v>
      </c>
      <c r="B407" t="s">
        <v>63</v>
      </c>
      <c r="C407">
        <v>2113</v>
      </c>
      <c r="D407">
        <v>52</v>
      </c>
      <c r="E407" t="s">
        <v>961</v>
      </c>
      <c r="F407" s="35" t="s">
        <v>969</v>
      </c>
      <c r="G407" s="28" t="s">
        <v>1557</v>
      </c>
      <c r="H407" s="28" t="s">
        <v>1553</v>
      </c>
      <c r="I407" s="28" t="s">
        <v>4093</v>
      </c>
      <c r="J407" s="28" t="s">
        <v>4079</v>
      </c>
      <c r="K407" s="28" t="s">
        <v>4485</v>
      </c>
      <c r="L407" s="28" t="s">
        <v>4478</v>
      </c>
      <c r="M407" s="28" t="s">
        <v>4486</v>
      </c>
      <c r="N407" s="28" t="s">
        <v>4480</v>
      </c>
    </row>
    <row r="408" spans="1:14">
      <c r="A408" t="s">
        <v>26</v>
      </c>
      <c r="B408" t="s">
        <v>63</v>
      </c>
      <c r="C408">
        <v>2114</v>
      </c>
      <c r="D408">
        <v>97</v>
      </c>
      <c r="E408" t="s">
        <v>961</v>
      </c>
      <c r="F408" s="35" t="s">
        <v>970</v>
      </c>
      <c r="G408" s="28" t="s">
        <v>1558</v>
      </c>
      <c r="H408" s="28" t="s">
        <v>1529</v>
      </c>
      <c r="I408" s="28" t="s">
        <v>4096</v>
      </c>
      <c r="J408" s="28" t="s">
        <v>4007</v>
      </c>
      <c r="K408" s="28" t="s">
        <v>4487</v>
      </c>
      <c r="L408" s="28" t="s">
        <v>4488</v>
      </c>
      <c r="M408" s="28" t="s">
        <v>4489</v>
      </c>
      <c r="N408" s="28" t="s">
        <v>4490</v>
      </c>
    </row>
    <row r="409" spans="1:14">
      <c r="A409" t="s">
        <v>26</v>
      </c>
      <c r="B409" t="s">
        <v>63</v>
      </c>
      <c r="C409">
        <v>2116</v>
      </c>
      <c r="D409">
        <v>129</v>
      </c>
      <c r="E409" t="s">
        <v>961</v>
      </c>
      <c r="F409" s="35" t="s">
        <v>970</v>
      </c>
      <c r="G409" s="28" t="s">
        <v>1528</v>
      </c>
      <c r="H409" s="28" t="s">
        <v>1529</v>
      </c>
      <c r="I409" s="28" t="s">
        <v>4006</v>
      </c>
      <c r="J409" s="28" t="s">
        <v>4007</v>
      </c>
      <c r="K409" s="28" t="s">
        <v>4491</v>
      </c>
      <c r="L409" s="28" t="s">
        <v>4488</v>
      </c>
      <c r="M409" s="28" t="s">
        <v>4492</v>
      </c>
      <c r="N409" s="28" t="s">
        <v>4490</v>
      </c>
    </row>
    <row r="410" spans="1:14">
      <c r="A410" t="s">
        <v>26</v>
      </c>
      <c r="B410" t="s">
        <v>63</v>
      </c>
      <c r="C410">
        <v>2117</v>
      </c>
      <c r="D410">
        <v>177</v>
      </c>
      <c r="E410" t="s">
        <v>961</v>
      </c>
      <c r="F410" s="35" t="s">
        <v>970</v>
      </c>
      <c r="G410" s="28" t="s">
        <v>1560</v>
      </c>
      <c r="H410" s="28" t="s">
        <v>1529</v>
      </c>
      <c r="I410" s="28" t="s">
        <v>4102</v>
      </c>
      <c r="J410" s="28" t="s">
        <v>4007</v>
      </c>
      <c r="K410" s="28" t="s">
        <v>4493</v>
      </c>
      <c r="L410" s="28" t="s">
        <v>4488</v>
      </c>
      <c r="M410" s="28" t="s">
        <v>4494</v>
      </c>
      <c r="N410" s="28" t="s">
        <v>4490</v>
      </c>
    </row>
    <row r="411" spans="1:14">
      <c r="A411" t="s">
        <v>26</v>
      </c>
      <c r="B411" t="s">
        <v>63</v>
      </c>
      <c r="C411">
        <v>2118</v>
      </c>
      <c r="D411">
        <v>78</v>
      </c>
      <c r="E411" t="s">
        <v>961</v>
      </c>
      <c r="F411" s="35" t="s">
        <v>971</v>
      </c>
      <c r="G411" s="28" t="s">
        <v>1530</v>
      </c>
      <c r="H411" s="28" t="s">
        <v>1531</v>
      </c>
      <c r="I411" s="28" t="s">
        <v>4012</v>
      </c>
      <c r="J411" s="28" t="s">
        <v>4013</v>
      </c>
      <c r="K411" s="28" t="s">
        <v>4495</v>
      </c>
      <c r="L411" s="28" t="s">
        <v>4496</v>
      </c>
      <c r="M411" s="28" t="s">
        <v>4497</v>
      </c>
      <c r="N411" s="28" t="s">
        <v>4498</v>
      </c>
    </row>
    <row r="412" spans="1:14">
      <c r="A412" t="s">
        <v>26</v>
      </c>
      <c r="B412" t="s">
        <v>63</v>
      </c>
      <c r="C412">
        <v>2122</v>
      </c>
      <c r="D412">
        <v>50</v>
      </c>
      <c r="E412" t="s">
        <v>961</v>
      </c>
      <c r="F412" s="35" t="s">
        <v>971</v>
      </c>
      <c r="G412" s="28" t="s">
        <v>1534</v>
      </c>
      <c r="H412" s="28" t="s">
        <v>1531</v>
      </c>
      <c r="I412" s="28" t="s">
        <v>4024</v>
      </c>
      <c r="J412" s="28" t="s">
        <v>4013</v>
      </c>
      <c r="K412" s="28" t="s">
        <v>4499</v>
      </c>
      <c r="L412" s="28" t="s">
        <v>4496</v>
      </c>
      <c r="M412" s="28" t="s">
        <v>4500</v>
      </c>
      <c r="N412" s="28" t="s">
        <v>4498</v>
      </c>
    </row>
    <row r="413" spans="1:14">
      <c r="A413" t="s">
        <v>26</v>
      </c>
      <c r="B413" t="s">
        <v>63</v>
      </c>
      <c r="C413">
        <v>2123</v>
      </c>
      <c r="D413">
        <v>50</v>
      </c>
      <c r="E413" t="s">
        <v>961</v>
      </c>
      <c r="F413" s="35" t="s">
        <v>972</v>
      </c>
      <c r="G413" s="28" t="s">
        <v>1535</v>
      </c>
      <c r="H413" s="28" t="s">
        <v>1536</v>
      </c>
      <c r="I413" s="28" t="s">
        <v>4027</v>
      </c>
      <c r="J413" s="28" t="s">
        <v>4028</v>
      </c>
      <c r="K413" s="28" t="s">
        <v>4501</v>
      </c>
      <c r="L413" s="28" t="s">
        <v>4502</v>
      </c>
      <c r="M413" s="28" t="s">
        <v>4503</v>
      </c>
      <c r="N413" s="28" t="s">
        <v>4504</v>
      </c>
    </row>
    <row r="414" spans="1:14">
      <c r="A414" t="s">
        <v>26</v>
      </c>
      <c r="B414" t="s">
        <v>63</v>
      </c>
      <c r="C414">
        <v>2125</v>
      </c>
      <c r="D414">
        <v>63</v>
      </c>
      <c r="E414" t="s">
        <v>961</v>
      </c>
      <c r="F414" s="35" t="s">
        <v>972</v>
      </c>
      <c r="G414" s="28" t="s">
        <v>1538</v>
      </c>
      <c r="H414" s="28" t="s">
        <v>1536</v>
      </c>
      <c r="I414" s="28" t="s">
        <v>4036</v>
      </c>
      <c r="J414" s="28" t="s">
        <v>4028</v>
      </c>
      <c r="K414" s="28" t="s">
        <v>4505</v>
      </c>
      <c r="L414" s="28" t="s">
        <v>4502</v>
      </c>
      <c r="M414" s="28" t="s">
        <v>4506</v>
      </c>
      <c r="N414" s="28" t="s">
        <v>4504</v>
      </c>
    </row>
    <row r="415" spans="1:14">
      <c r="A415" t="s">
        <v>26</v>
      </c>
      <c r="B415" t="s">
        <v>63</v>
      </c>
      <c r="C415">
        <v>2127</v>
      </c>
      <c r="D415">
        <v>34</v>
      </c>
      <c r="E415" t="s">
        <v>961</v>
      </c>
      <c r="F415" s="35" t="s">
        <v>973</v>
      </c>
      <c r="G415" s="28" t="s">
        <v>1565</v>
      </c>
      <c r="H415" s="28" t="s">
        <v>1541</v>
      </c>
      <c r="I415" s="28" t="s">
        <v>4339</v>
      </c>
      <c r="J415" s="28" t="s">
        <v>4043</v>
      </c>
      <c r="K415" s="28" t="s">
        <v>4507</v>
      </c>
      <c r="L415" s="28" t="s">
        <v>4508</v>
      </c>
      <c r="M415" s="28" t="s">
        <v>4509</v>
      </c>
      <c r="N415" s="28" t="s">
        <v>4510</v>
      </c>
    </row>
    <row r="416" spans="1:14">
      <c r="A416" t="s">
        <v>26</v>
      </c>
      <c r="B416" t="s">
        <v>63</v>
      </c>
      <c r="C416">
        <v>2128</v>
      </c>
      <c r="D416">
        <v>147</v>
      </c>
      <c r="E416" t="s">
        <v>961</v>
      </c>
      <c r="F416" s="35" t="s">
        <v>973</v>
      </c>
      <c r="G416" s="28" t="s">
        <v>1540</v>
      </c>
      <c r="H416" s="28" t="s">
        <v>1541</v>
      </c>
      <c r="I416" s="28" t="s">
        <v>4042</v>
      </c>
      <c r="J416" s="28" t="s">
        <v>4043</v>
      </c>
      <c r="K416" s="28" t="s">
        <v>4511</v>
      </c>
      <c r="L416" s="28" t="s">
        <v>4508</v>
      </c>
      <c r="M416" s="28" t="s">
        <v>4512</v>
      </c>
      <c r="N416" s="28" t="s">
        <v>4510</v>
      </c>
    </row>
    <row r="417" spans="1:14">
      <c r="A417" t="s">
        <v>26</v>
      </c>
      <c r="B417" t="s">
        <v>63</v>
      </c>
      <c r="C417">
        <v>2129</v>
      </c>
      <c r="D417">
        <v>61</v>
      </c>
      <c r="E417" t="s">
        <v>961</v>
      </c>
      <c r="F417" s="35" t="s">
        <v>973</v>
      </c>
      <c r="G417" s="28" t="s">
        <v>1542</v>
      </c>
      <c r="H417" s="28" t="s">
        <v>1541</v>
      </c>
      <c r="I417" s="28" t="s">
        <v>4048</v>
      </c>
      <c r="J417" s="28" t="s">
        <v>4043</v>
      </c>
      <c r="K417" s="28" t="s">
        <v>4513</v>
      </c>
      <c r="L417" s="28" t="s">
        <v>4508</v>
      </c>
      <c r="M417" s="28" t="s">
        <v>4514</v>
      </c>
      <c r="N417" s="28" t="s">
        <v>4510</v>
      </c>
    </row>
    <row r="418" spans="1:14">
      <c r="A418" t="s">
        <v>26</v>
      </c>
      <c r="B418" t="s">
        <v>63</v>
      </c>
      <c r="C418">
        <v>2133</v>
      </c>
      <c r="D418">
        <v>92</v>
      </c>
      <c r="E418" t="s">
        <v>961</v>
      </c>
      <c r="F418" s="35" t="s">
        <v>974</v>
      </c>
      <c r="G418" s="28" t="s">
        <v>1562</v>
      </c>
      <c r="H418" s="28" t="s">
        <v>1563</v>
      </c>
      <c r="I418" s="28" t="s">
        <v>4166</v>
      </c>
      <c r="J418" s="28" t="s">
        <v>4167</v>
      </c>
      <c r="K418" s="28" t="s">
        <v>4515</v>
      </c>
      <c r="L418" s="28" t="s">
        <v>4516</v>
      </c>
      <c r="M418" s="28" t="s">
        <v>4517</v>
      </c>
      <c r="N418" s="28" t="s">
        <v>4518</v>
      </c>
    </row>
    <row r="419" spans="1:14">
      <c r="A419" t="s">
        <v>26</v>
      </c>
      <c r="B419" t="s">
        <v>63</v>
      </c>
      <c r="C419">
        <v>2134</v>
      </c>
      <c r="D419">
        <v>89</v>
      </c>
      <c r="E419" t="s">
        <v>961</v>
      </c>
      <c r="F419" s="35" t="s">
        <v>974</v>
      </c>
      <c r="G419" s="28" t="s">
        <v>6012</v>
      </c>
      <c r="H419" s="28" t="s">
        <v>1563</v>
      </c>
      <c r="I419" s="28" t="s">
        <v>6045</v>
      </c>
      <c r="J419" s="28" t="s">
        <v>4167</v>
      </c>
      <c r="K419" s="28" t="s">
        <v>6053</v>
      </c>
      <c r="L419" s="28" t="s">
        <v>4516</v>
      </c>
      <c r="M419" s="28" t="s">
        <v>6054</v>
      </c>
      <c r="N419" s="28" t="s">
        <v>4518</v>
      </c>
    </row>
    <row r="420" spans="1:14">
      <c r="A420" t="s">
        <v>26</v>
      </c>
      <c r="B420" t="s">
        <v>63</v>
      </c>
      <c r="C420">
        <v>2135</v>
      </c>
      <c r="D420">
        <v>102</v>
      </c>
      <c r="E420" t="s">
        <v>961</v>
      </c>
      <c r="F420" s="35" t="s">
        <v>974</v>
      </c>
      <c r="G420" s="28" t="s">
        <v>6173</v>
      </c>
      <c r="H420" s="28" t="s">
        <v>1563</v>
      </c>
      <c r="I420" s="28" t="s">
        <v>6174</v>
      </c>
      <c r="J420" s="28" t="s">
        <v>4167</v>
      </c>
      <c r="K420" s="28" t="s">
        <v>6179</v>
      </c>
      <c r="L420" s="28" t="s">
        <v>4516</v>
      </c>
      <c r="M420" s="28" t="s">
        <v>6180</v>
      </c>
      <c r="N420" s="28" t="s">
        <v>4518</v>
      </c>
    </row>
    <row r="421" spans="1:14">
      <c r="A421" t="s">
        <v>26</v>
      </c>
      <c r="B421" t="s">
        <v>63</v>
      </c>
      <c r="C421">
        <v>2136</v>
      </c>
      <c r="D421">
        <v>59</v>
      </c>
      <c r="E421" t="s">
        <v>961</v>
      </c>
      <c r="F421" s="35" t="s">
        <v>997</v>
      </c>
      <c r="G421" s="28" t="s">
        <v>6310</v>
      </c>
      <c r="H421" s="28" t="s">
        <v>6311</v>
      </c>
      <c r="I421" s="28" t="s">
        <v>6312</v>
      </c>
      <c r="J421" s="28" t="s">
        <v>6313</v>
      </c>
      <c r="K421" s="28" t="s">
        <v>6330</v>
      </c>
      <c r="L421" s="28" t="s">
        <v>6331</v>
      </c>
      <c r="M421" s="28" t="s">
        <v>6332</v>
      </c>
      <c r="N421" s="28" t="s">
        <v>6333</v>
      </c>
    </row>
    <row r="422" spans="1:14">
      <c r="A422" t="s">
        <v>26</v>
      </c>
      <c r="B422" t="s">
        <v>63</v>
      </c>
      <c r="C422">
        <v>2137</v>
      </c>
      <c r="D422">
        <v>148</v>
      </c>
      <c r="E422" t="s">
        <v>961</v>
      </c>
      <c r="F422" s="35" t="s">
        <v>997</v>
      </c>
      <c r="G422" s="28" t="s">
        <v>6455</v>
      </c>
      <c r="H422" s="28" t="s">
        <v>6311</v>
      </c>
      <c r="I422" s="28" t="s">
        <v>6456</v>
      </c>
      <c r="J422" s="28" t="s">
        <v>6313</v>
      </c>
      <c r="K422" s="28" t="s">
        <v>6463</v>
      </c>
      <c r="L422" s="28" t="s">
        <v>6331</v>
      </c>
      <c r="M422" s="28" t="s">
        <v>6464</v>
      </c>
      <c r="N422" s="28" t="s">
        <v>6333</v>
      </c>
    </row>
    <row r="423" spans="1:14">
      <c r="A423" t="s">
        <v>26</v>
      </c>
      <c r="B423" t="s">
        <v>967</v>
      </c>
      <c r="C423">
        <v>2102</v>
      </c>
      <c r="D423">
        <v>426</v>
      </c>
      <c r="E423" t="s">
        <v>962</v>
      </c>
      <c r="F423" s="35" t="s">
        <v>976</v>
      </c>
      <c r="G423" s="28" t="s">
        <v>1567</v>
      </c>
      <c r="H423" s="28" t="s">
        <v>1568</v>
      </c>
      <c r="I423" s="28" t="s">
        <v>4519</v>
      </c>
      <c r="J423" s="28" t="s">
        <v>4520</v>
      </c>
      <c r="K423" s="28" t="s">
        <v>4521</v>
      </c>
      <c r="L423" s="28" t="s">
        <v>4522</v>
      </c>
      <c r="M423" s="28" t="s">
        <v>4523</v>
      </c>
      <c r="N423" s="28" t="s">
        <v>4524</v>
      </c>
    </row>
    <row r="424" spans="1:14">
      <c r="A424" t="s">
        <v>26</v>
      </c>
      <c r="B424" t="s">
        <v>967</v>
      </c>
      <c r="C424">
        <v>2103</v>
      </c>
      <c r="D424">
        <v>444</v>
      </c>
      <c r="E424" t="s">
        <v>962</v>
      </c>
      <c r="F424" s="35" t="s">
        <v>976</v>
      </c>
      <c r="G424" s="28" t="s">
        <v>1569</v>
      </c>
      <c r="H424" s="28" t="s">
        <v>1568</v>
      </c>
      <c r="I424" s="28" t="s">
        <v>4525</v>
      </c>
      <c r="J424" s="28" t="s">
        <v>4520</v>
      </c>
      <c r="K424" s="28" t="s">
        <v>4526</v>
      </c>
      <c r="L424" s="28" t="s">
        <v>4522</v>
      </c>
      <c r="M424" s="28" t="s">
        <v>4527</v>
      </c>
      <c r="N424" s="28" t="s">
        <v>4524</v>
      </c>
    </row>
    <row r="425" spans="1:14">
      <c r="A425" t="s">
        <v>26</v>
      </c>
      <c r="B425" t="s">
        <v>967</v>
      </c>
      <c r="C425">
        <v>2104</v>
      </c>
      <c r="D425">
        <v>269</v>
      </c>
      <c r="E425" t="s">
        <v>962</v>
      </c>
      <c r="F425" s="35" t="s">
        <v>976</v>
      </c>
      <c r="G425" s="28" t="s">
        <v>1570</v>
      </c>
      <c r="H425" s="28" t="s">
        <v>1568</v>
      </c>
      <c r="I425" s="28" t="s">
        <v>4528</v>
      </c>
      <c r="J425" s="28" t="s">
        <v>4520</v>
      </c>
      <c r="K425" s="28" t="s">
        <v>4529</v>
      </c>
      <c r="L425" s="28" t="s">
        <v>4522</v>
      </c>
      <c r="M425" s="28" t="s">
        <v>4530</v>
      </c>
      <c r="N425" s="28" t="s">
        <v>4524</v>
      </c>
    </row>
    <row r="426" spans="1:14">
      <c r="A426" t="s">
        <v>26</v>
      </c>
      <c r="B426" t="s">
        <v>967</v>
      </c>
      <c r="C426">
        <v>2105</v>
      </c>
      <c r="D426">
        <v>953</v>
      </c>
      <c r="E426" t="s">
        <v>962</v>
      </c>
      <c r="F426" s="35" t="s">
        <v>975</v>
      </c>
      <c r="G426" s="28" t="s">
        <v>1571</v>
      </c>
      <c r="H426" s="28" t="s">
        <v>1572</v>
      </c>
      <c r="I426" s="28" t="s">
        <v>4531</v>
      </c>
      <c r="J426" s="28" t="s">
        <v>4532</v>
      </c>
      <c r="K426" s="28" t="s">
        <v>4533</v>
      </c>
      <c r="L426" s="28" t="s">
        <v>4534</v>
      </c>
      <c r="M426" s="28" t="s">
        <v>4535</v>
      </c>
      <c r="N426" s="28" t="s">
        <v>4536</v>
      </c>
    </row>
    <row r="427" spans="1:14">
      <c r="A427" t="s">
        <v>26</v>
      </c>
      <c r="B427" t="s">
        <v>967</v>
      </c>
      <c r="C427">
        <v>2106</v>
      </c>
      <c r="D427">
        <v>500</v>
      </c>
      <c r="E427" t="s">
        <v>962</v>
      </c>
      <c r="F427" s="35" t="s">
        <v>975</v>
      </c>
      <c r="G427" s="28" t="s">
        <v>1573</v>
      </c>
      <c r="H427" s="28" t="s">
        <v>1572</v>
      </c>
      <c r="I427" s="28" t="s">
        <v>4537</v>
      </c>
      <c r="J427" s="28" t="s">
        <v>4532</v>
      </c>
      <c r="K427" s="28" t="s">
        <v>4538</v>
      </c>
      <c r="L427" s="28" t="s">
        <v>4534</v>
      </c>
      <c r="M427" s="28" t="s">
        <v>4539</v>
      </c>
      <c r="N427" s="28" t="s">
        <v>4536</v>
      </c>
    </row>
    <row r="428" spans="1:14">
      <c r="A428" t="s">
        <v>26</v>
      </c>
      <c r="B428" t="s">
        <v>967</v>
      </c>
      <c r="C428">
        <v>2107</v>
      </c>
      <c r="D428">
        <v>559</v>
      </c>
      <c r="E428" t="s">
        <v>962</v>
      </c>
      <c r="F428" s="35" t="s">
        <v>975</v>
      </c>
      <c r="G428" s="28" t="s">
        <v>1574</v>
      </c>
      <c r="H428" s="28" t="s">
        <v>1572</v>
      </c>
      <c r="I428" s="28" t="s">
        <v>4540</v>
      </c>
      <c r="J428" s="28" t="s">
        <v>4532</v>
      </c>
      <c r="K428" s="28" t="s">
        <v>4541</v>
      </c>
      <c r="L428" s="28" t="s">
        <v>4534</v>
      </c>
      <c r="M428" s="28" t="s">
        <v>4542</v>
      </c>
      <c r="N428" s="28" t="s">
        <v>4536</v>
      </c>
    </row>
    <row r="429" spans="1:14">
      <c r="A429" t="s">
        <v>26</v>
      </c>
      <c r="B429" t="s">
        <v>967</v>
      </c>
      <c r="C429">
        <v>2108</v>
      </c>
      <c r="D429">
        <v>421</v>
      </c>
      <c r="E429" t="s">
        <v>962</v>
      </c>
      <c r="F429" s="35" t="s">
        <v>975</v>
      </c>
      <c r="G429" s="28" t="s">
        <v>1575</v>
      </c>
      <c r="H429" s="28" t="s">
        <v>1572</v>
      </c>
      <c r="I429" s="28" t="s">
        <v>4543</v>
      </c>
      <c r="J429" s="28" t="s">
        <v>4532</v>
      </c>
      <c r="K429" s="28" t="s">
        <v>4544</v>
      </c>
      <c r="L429" s="28" t="s">
        <v>4534</v>
      </c>
      <c r="M429" s="28" t="s">
        <v>4545</v>
      </c>
      <c r="N429" s="28" t="s">
        <v>4536</v>
      </c>
    </row>
    <row r="430" spans="1:14">
      <c r="A430" t="s">
        <v>26</v>
      </c>
      <c r="B430" t="s">
        <v>968</v>
      </c>
      <c r="C430">
        <v>2101</v>
      </c>
      <c r="D430">
        <v>1753</v>
      </c>
      <c r="E430" t="s">
        <v>962</v>
      </c>
      <c r="F430" s="35" t="s">
        <v>976</v>
      </c>
      <c r="G430" s="28" t="s">
        <v>1576</v>
      </c>
      <c r="H430" s="28" t="s">
        <v>1568</v>
      </c>
      <c r="I430" s="28" t="s">
        <v>4546</v>
      </c>
      <c r="J430" s="28" t="s">
        <v>4520</v>
      </c>
      <c r="K430" s="28" t="s">
        <v>4547</v>
      </c>
      <c r="L430" s="28" t="s">
        <v>4548</v>
      </c>
      <c r="M430" s="28" t="s">
        <v>4549</v>
      </c>
      <c r="N430" s="28" t="s">
        <v>4550</v>
      </c>
    </row>
    <row r="431" spans="1:14">
      <c r="A431" t="s">
        <v>26</v>
      </c>
      <c r="B431" t="s">
        <v>968</v>
      </c>
      <c r="C431">
        <v>2102</v>
      </c>
      <c r="D431">
        <v>499</v>
      </c>
      <c r="E431" t="s">
        <v>962</v>
      </c>
      <c r="F431" s="35" t="s">
        <v>976</v>
      </c>
      <c r="G431" s="28" t="s">
        <v>1567</v>
      </c>
      <c r="H431" s="28" t="s">
        <v>1568</v>
      </c>
      <c r="I431" s="28" t="s">
        <v>4519</v>
      </c>
      <c r="J431" s="28" t="s">
        <v>4520</v>
      </c>
      <c r="K431" s="28" t="s">
        <v>4551</v>
      </c>
      <c r="L431" s="28" t="s">
        <v>4548</v>
      </c>
      <c r="M431" s="28" t="s">
        <v>4552</v>
      </c>
      <c r="N431" s="28" t="s">
        <v>4550</v>
      </c>
    </row>
    <row r="432" spans="1:14">
      <c r="A432" t="s">
        <v>26</v>
      </c>
      <c r="B432" t="s">
        <v>968</v>
      </c>
      <c r="C432">
        <v>2103</v>
      </c>
      <c r="D432">
        <v>1482</v>
      </c>
      <c r="E432" t="s">
        <v>962</v>
      </c>
      <c r="F432" s="35" t="s">
        <v>976</v>
      </c>
      <c r="G432" s="28" t="s">
        <v>1569</v>
      </c>
      <c r="H432" s="28" t="s">
        <v>1568</v>
      </c>
      <c r="I432" s="28" t="s">
        <v>4525</v>
      </c>
      <c r="J432" s="28" t="s">
        <v>4520</v>
      </c>
      <c r="K432" s="28" t="s">
        <v>4553</v>
      </c>
      <c r="L432" s="28" t="s">
        <v>4548</v>
      </c>
      <c r="M432" s="28" t="s">
        <v>4554</v>
      </c>
      <c r="N432" s="28" t="s">
        <v>4550</v>
      </c>
    </row>
    <row r="433" spans="1:14">
      <c r="A433" t="s">
        <v>26</v>
      </c>
      <c r="B433" t="s">
        <v>968</v>
      </c>
      <c r="C433">
        <v>2104</v>
      </c>
      <c r="D433">
        <v>1371</v>
      </c>
      <c r="E433" t="s">
        <v>962</v>
      </c>
      <c r="F433" s="35" t="s">
        <v>976</v>
      </c>
      <c r="G433" s="28" t="s">
        <v>1570</v>
      </c>
      <c r="H433" s="28" t="s">
        <v>1568</v>
      </c>
      <c r="I433" s="28" t="s">
        <v>4528</v>
      </c>
      <c r="J433" s="28" t="s">
        <v>4520</v>
      </c>
      <c r="K433" s="28" t="s">
        <v>4555</v>
      </c>
      <c r="L433" s="28" t="s">
        <v>4548</v>
      </c>
      <c r="M433" s="28" t="s">
        <v>4556</v>
      </c>
      <c r="N433" s="28" t="s">
        <v>4550</v>
      </c>
    </row>
    <row r="434" spans="1:14">
      <c r="A434" t="s">
        <v>26</v>
      </c>
      <c r="B434" t="s">
        <v>968</v>
      </c>
      <c r="C434">
        <v>2105</v>
      </c>
      <c r="D434">
        <v>4856</v>
      </c>
      <c r="E434" t="s">
        <v>962</v>
      </c>
      <c r="F434" s="35" t="s">
        <v>975</v>
      </c>
      <c r="G434" s="28" t="s">
        <v>1571</v>
      </c>
      <c r="H434" s="28" t="s">
        <v>1572</v>
      </c>
      <c r="I434" s="28" t="s">
        <v>4531</v>
      </c>
      <c r="J434" s="28" t="s">
        <v>4532</v>
      </c>
      <c r="K434" s="28" t="s">
        <v>4557</v>
      </c>
      <c r="L434" s="28" t="s">
        <v>4558</v>
      </c>
      <c r="M434" s="28" t="s">
        <v>4559</v>
      </c>
      <c r="N434" s="28" t="s">
        <v>4560</v>
      </c>
    </row>
    <row r="435" spans="1:14">
      <c r="A435" t="s">
        <v>26</v>
      </c>
      <c r="B435" t="s">
        <v>968</v>
      </c>
      <c r="C435">
        <v>2106</v>
      </c>
      <c r="D435">
        <v>457</v>
      </c>
      <c r="E435" t="s">
        <v>962</v>
      </c>
      <c r="F435" s="35" t="s">
        <v>975</v>
      </c>
      <c r="G435" s="28" t="s">
        <v>1573</v>
      </c>
      <c r="H435" s="28" t="s">
        <v>1572</v>
      </c>
      <c r="I435" s="28" t="s">
        <v>4537</v>
      </c>
      <c r="J435" s="28" t="s">
        <v>4532</v>
      </c>
      <c r="K435" s="28" t="s">
        <v>4561</v>
      </c>
      <c r="L435" s="28" t="s">
        <v>4558</v>
      </c>
      <c r="M435" s="28" t="s">
        <v>4562</v>
      </c>
      <c r="N435" s="28" t="s">
        <v>4560</v>
      </c>
    </row>
    <row r="436" spans="1:14">
      <c r="A436" t="s">
        <v>26</v>
      </c>
      <c r="B436" t="s">
        <v>968</v>
      </c>
      <c r="C436">
        <v>2107</v>
      </c>
      <c r="D436">
        <v>2631</v>
      </c>
      <c r="E436" t="s">
        <v>962</v>
      </c>
      <c r="F436" s="35" t="s">
        <v>975</v>
      </c>
      <c r="G436" s="28" t="s">
        <v>1574</v>
      </c>
      <c r="H436" s="28" t="s">
        <v>1572</v>
      </c>
      <c r="I436" s="28" t="s">
        <v>4540</v>
      </c>
      <c r="J436" s="28" t="s">
        <v>4532</v>
      </c>
      <c r="K436" s="28" t="s">
        <v>4563</v>
      </c>
      <c r="L436" s="28" t="s">
        <v>4558</v>
      </c>
      <c r="M436" s="28" t="s">
        <v>4564</v>
      </c>
      <c r="N436" s="28" t="s">
        <v>4560</v>
      </c>
    </row>
    <row r="437" spans="1:14">
      <c r="A437" t="s">
        <v>26</v>
      </c>
      <c r="B437" t="s">
        <v>968</v>
      </c>
      <c r="C437">
        <v>2108</v>
      </c>
      <c r="D437">
        <v>664</v>
      </c>
      <c r="E437" t="s">
        <v>962</v>
      </c>
      <c r="F437" s="35" t="s">
        <v>975</v>
      </c>
      <c r="G437" s="28" t="s">
        <v>1575</v>
      </c>
      <c r="H437" s="28" t="s">
        <v>1572</v>
      </c>
      <c r="I437" s="28" t="s">
        <v>4543</v>
      </c>
      <c r="J437" s="28" t="s">
        <v>4532</v>
      </c>
      <c r="K437" s="28" t="s">
        <v>4565</v>
      </c>
      <c r="L437" s="28" t="s">
        <v>4558</v>
      </c>
      <c r="M437" s="28" t="s">
        <v>4566</v>
      </c>
      <c r="N437" s="28" t="s">
        <v>4560</v>
      </c>
    </row>
    <row r="438" spans="1:14">
      <c r="A438" t="s">
        <v>27</v>
      </c>
      <c r="B438" t="s">
        <v>58</v>
      </c>
      <c r="C438">
        <v>2013</v>
      </c>
      <c r="D438">
        <v>23</v>
      </c>
      <c r="E438" t="s">
        <v>961</v>
      </c>
      <c r="F438" s="35" t="s">
        <v>986</v>
      </c>
      <c r="G438" s="28" t="s">
        <v>1617</v>
      </c>
      <c r="H438" s="28" t="s">
        <v>1618</v>
      </c>
      <c r="I438" s="28" t="s">
        <v>4624</v>
      </c>
      <c r="J438" s="28" t="s">
        <v>4625</v>
      </c>
      <c r="K438" s="28" t="s">
        <v>4626</v>
      </c>
      <c r="L438" s="28" t="s">
        <v>4627</v>
      </c>
      <c r="M438" s="28" t="s">
        <v>4628</v>
      </c>
      <c r="N438" s="28" t="s">
        <v>4629</v>
      </c>
    </row>
    <row r="439" spans="1:14">
      <c r="A439" t="s">
        <v>27</v>
      </c>
      <c r="B439" t="s">
        <v>58</v>
      </c>
      <c r="C439">
        <v>2015</v>
      </c>
      <c r="D439">
        <v>29</v>
      </c>
      <c r="E439" t="s">
        <v>961</v>
      </c>
      <c r="F439" s="35" t="s">
        <v>977</v>
      </c>
      <c r="G439" s="28" t="s">
        <v>1577</v>
      </c>
      <c r="H439" s="28" t="s">
        <v>1578</v>
      </c>
      <c r="I439" s="28" t="s">
        <v>4567</v>
      </c>
      <c r="J439" s="28" t="s">
        <v>4568</v>
      </c>
      <c r="K439" s="28" t="s">
        <v>4630</v>
      </c>
      <c r="L439" s="28" t="s">
        <v>4631</v>
      </c>
      <c r="M439" s="28" t="s">
        <v>4632</v>
      </c>
      <c r="N439" s="28" t="s">
        <v>4633</v>
      </c>
    </row>
    <row r="440" spans="1:14">
      <c r="A440" t="s">
        <v>27</v>
      </c>
      <c r="B440" t="s">
        <v>58</v>
      </c>
      <c r="C440">
        <v>2016</v>
      </c>
      <c r="D440">
        <v>27</v>
      </c>
      <c r="E440" t="s">
        <v>961</v>
      </c>
      <c r="F440" s="35" t="s">
        <v>977</v>
      </c>
      <c r="G440" s="28" t="s">
        <v>1619</v>
      </c>
      <c r="H440" s="28" t="s">
        <v>1578</v>
      </c>
      <c r="I440" s="28" t="s">
        <v>4634</v>
      </c>
      <c r="J440" s="28" t="s">
        <v>4568</v>
      </c>
      <c r="K440" s="28" t="s">
        <v>4635</v>
      </c>
      <c r="L440" s="28" t="s">
        <v>4631</v>
      </c>
      <c r="M440" s="28" t="s">
        <v>4636</v>
      </c>
      <c r="N440" s="28" t="s">
        <v>4633</v>
      </c>
    </row>
    <row r="441" spans="1:14">
      <c r="A441" t="s">
        <v>27</v>
      </c>
      <c r="B441" t="s">
        <v>58</v>
      </c>
      <c r="C441">
        <v>2017</v>
      </c>
      <c r="D441">
        <v>14</v>
      </c>
      <c r="E441" t="s">
        <v>961</v>
      </c>
      <c r="F441" s="35" t="s">
        <v>977</v>
      </c>
      <c r="G441" s="28" t="s">
        <v>1606</v>
      </c>
      <c r="H441" s="28" t="s">
        <v>1578</v>
      </c>
      <c r="I441" s="28" t="s">
        <v>4607</v>
      </c>
      <c r="J441" s="28" t="s">
        <v>4568</v>
      </c>
      <c r="K441" s="28" t="s">
        <v>4637</v>
      </c>
      <c r="L441" s="28" t="s">
        <v>4631</v>
      </c>
      <c r="M441" s="28" t="s">
        <v>4638</v>
      </c>
      <c r="N441" s="28" t="s">
        <v>4633</v>
      </c>
    </row>
    <row r="442" spans="1:14">
      <c r="A442" t="s">
        <v>27</v>
      </c>
      <c r="B442" t="s">
        <v>58</v>
      </c>
      <c r="C442">
        <v>2019</v>
      </c>
      <c r="D442">
        <v>24</v>
      </c>
      <c r="E442" t="s">
        <v>961</v>
      </c>
      <c r="F442" s="35" t="s">
        <v>978</v>
      </c>
      <c r="G442" s="28" t="s">
        <v>1620</v>
      </c>
      <c r="H442" s="28" t="s">
        <v>1580</v>
      </c>
      <c r="I442" s="28" t="s">
        <v>4639</v>
      </c>
      <c r="J442" s="28" t="s">
        <v>4570</v>
      </c>
      <c r="K442" s="28" t="s">
        <v>4640</v>
      </c>
      <c r="L442" s="28" t="s">
        <v>4641</v>
      </c>
      <c r="M442" s="28" t="s">
        <v>4642</v>
      </c>
      <c r="N442" s="28" t="s">
        <v>4643</v>
      </c>
    </row>
    <row r="443" spans="1:14">
      <c r="A443" t="s">
        <v>27</v>
      </c>
      <c r="B443" t="s">
        <v>58</v>
      </c>
      <c r="C443">
        <v>2020</v>
      </c>
      <c r="D443">
        <v>2</v>
      </c>
      <c r="E443" t="s">
        <v>961</v>
      </c>
      <c r="F443" s="35" t="s">
        <v>978</v>
      </c>
      <c r="G443" s="28" t="s">
        <v>1579</v>
      </c>
      <c r="H443" s="28" t="s">
        <v>1580</v>
      </c>
      <c r="I443" s="28" t="s">
        <v>4569</v>
      </c>
      <c r="J443" s="28" t="s">
        <v>4570</v>
      </c>
      <c r="K443" s="28" t="s">
        <v>4644</v>
      </c>
      <c r="L443" s="28" t="s">
        <v>4641</v>
      </c>
      <c r="M443" s="28" t="s">
        <v>4645</v>
      </c>
      <c r="N443" s="28" t="s">
        <v>4643</v>
      </c>
    </row>
    <row r="444" spans="1:14">
      <c r="A444" t="s">
        <v>27</v>
      </c>
      <c r="B444" t="s">
        <v>58</v>
      </c>
      <c r="C444">
        <v>2021</v>
      </c>
      <c r="D444">
        <v>19</v>
      </c>
      <c r="E444" t="s">
        <v>961</v>
      </c>
      <c r="F444" s="35" t="s">
        <v>978</v>
      </c>
      <c r="G444" s="28" t="s">
        <v>1607</v>
      </c>
      <c r="H444" s="28" t="s">
        <v>1580</v>
      </c>
      <c r="I444" s="28" t="s">
        <v>4608</v>
      </c>
      <c r="J444" s="28" t="s">
        <v>4570</v>
      </c>
      <c r="K444" s="28" t="s">
        <v>4646</v>
      </c>
      <c r="L444" s="28" t="s">
        <v>4641</v>
      </c>
      <c r="M444" s="28" t="s">
        <v>4647</v>
      </c>
      <c r="N444" s="28" t="s">
        <v>4643</v>
      </c>
    </row>
    <row r="445" spans="1:14">
      <c r="A445" t="s">
        <v>27</v>
      </c>
      <c r="B445" t="s">
        <v>58</v>
      </c>
      <c r="C445">
        <v>2022</v>
      </c>
      <c r="D445">
        <v>67</v>
      </c>
      <c r="E445" t="s">
        <v>961</v>
      </c>
      <c r="F445" s="35" t="s">
        <v>979</v>
      </c>
      <c r="G445" s="28" t="s">
        <v>1581</v>
      </c>
      <c r="H445" s="28" t="s">
        <v>1582</v>
      </c>
      <c r="I445" s="28" t="s">
        <v>4571</v>
      </c>
      <c r="J445" s="28" t="s">
        <v>4572</v>
      </c>
      <c r="K445" s="28" t="s">
        <v>4648</v>
      </c>
      <c r="L445" s="28" t="s">
        <v>4649</v>
      </c>
      <c r="M445" s="28" t="s">
        <v>4650</v>
      </c>
      <c r="N445" s="28" t="s">
        <v>4651</v>
      </c>
    </row>
    <row r="446" spans="1:14">
      <c r="A446" t="s">
        <v>27</v>
      </c>
      <c r="B446" t="s">
        <v>58</v>
      </c>
      <c r="C446">
        <v>2023</v>
      </c>
      <c r="D446">
        <v>81</v>
      </c>
      <c r="E446" t="s">
        <v>961</v>
      </c>
      <c r="F446" s="35" t="s">
        <v>979</v>
      </c>
      <c r="G446" s="28" t="s">
        <v>1583</v>
      </c>
      <c r="H446" s="28" t="s">
        <v>1582</v>
      </c>
      <c r="I446" s="28" t="s">
        <v>4573</v>
      </c>
      <c r="J446" s="28" t="s">
        <v>4572</v>
      </c>
      <c r="K446" s="28" t="s">
        <v>4652</v>
      </c>
      <c r="L446" s="28" t="s">
        <v>4649</v>
      </c>
      <c r="M446" s="28" t="s">
        <v>4653</v>
      </c>
      <c r="N446" s="28" t="s">
        <v>4651</v>
      </c>
    </row>
    <row r="447" spans="1:14">
      <c r="A447" t="s">
        <v>27</v>
      </c>
      <c r="B447" t="s">
        <v>58</v>
      </c>
      <c r="C447">
        <v>2025</v>
      </c>
      <c r="D447">
        <v>123</v>
      </c>
      <c r="E447" t="s">
        <v>961</v>
      </c>
      <c r="F447" s="35" t="s">
        <v>979</v>
      </c>
      <c r="G447" s="28" t="s">
        <v>1585</v>
      </c>
      <c r="H447" s="28" t="s">
        <v>1582</v>
      </c>
      <c r="I447" s="28" t="s">
        <v>4575</v>
      </c>
      <c r="J447" s="28" t="s">
        <v>4572</v>
      </c>
      <c r="K447" s="28" t="s">
        <v>4654</v>
      </c>
      <c r="L447" s="28" t="s">
        <v>4649</v>
      </c>
      <c r="M447" s="28" t="s">
        <v>4655</v>
      </c>
      <c r="N447" s="28" t="s">
        <v>4651</v>
      </c>
    </row>
    <row r="448" spans="1:14">
      <c r="A448" t="s">
        <v>27</v>
      </c>
      <c r="B448" t="s">
        <v>58</v>
      </c>
      <c r="C448">
        <v>2026</v>
      </c>
      <c r="D448">
        <v>64</v>
      </c>
      <c r="E448" t="s">
        <v>961</v>
      </c>
      <c r="F448" s="35" t="s">
        <v>979</v>
      </c>
      <c r="G448" s="28" t="s">
        <v>1608</v>
      </c>
      <c r="H448" s="28" t="s">
        <v>1582</v>
      </c>
      <c r="I448" s="28" t="s">
        <v>4609</v>
      </c>
      <c r="J448" s="28" t="s">
        <v>4572</v>
      </c>
      <c r="K448" s="28" t="s">
        <v>4656</v>
      </c>
      <c r="L448" s="28" t="s">
        <v>4649</v>
      </c>
      <c r="M448" s="28" t="s">
        <v>4657</v>
      </c>
      <c r="N448" s="28" t="s">
        <v>4651</v>
      </c>
    </row>
    <row r="449" spans="1:14">
      <c r="A449" t="s">
        <v>27</v>
      </c>
      <c r="B449" t="s">
        <v>58</v>
      </c>
      <c r="C449">
        <v>2027</v>
      </c>
      <c r="D449">
        <v>107</v>
      </c>
      <c r="E449" t="s">
        <v>961</v>
      </c>
      <c r="F449" s="35" t="s">
        <v>980</v>
      </c>
      <c r="G449" s="28" t="s">
        <v>1586</v>
      </c>
      <c r="H449" s="28" t="s">
        <v>1587</v>
      </c>
      <c r="I449" s="28" t="s">
        <v>4576</v>
      </c>
      <c r="J449" s="28" t="s">
        <v>4577</v>
      </c>
      <c r="K449" s="28" t="s">
        <v>4658</v>
      </c>
      <c r="L449" s="28" t="s">
        <v>4659</v>
      </c>
      <c r="M449" s="28" t="s">
        <v>4660</v>
      </c>
      <c r="N449" s="28" t="s">
        <v>4661</v>
      </c>
    </row>
    <row r="450" spans="1:14">
      <c r="A450" t="s">
        <v>27</v>
      </c>
      <c r="B450" t="s">
        <v>58</v>
      </c>
      <c r="C450">
        <v>2028</v>
      </c>
      <c r="D450">
        <v>166</v>
      </c>
      <c r="E450" t="s">
        <v>961</v>
      </c>
      <c r="F450" s="35" t="s">
        <v>980</v>
      </c>
      <c r="G450" s="28" t="s">
        <v>1588</v>
      </c>
      <c r="H450" s="28" t="s">
        <v>1587</v>
      </c>
      <c r="I450" s="28" t="s">
        <v>4578</v>
      </c>
      <c r="J450" s="28" t="s">
        <v>4577</v>
      </c>
      <c r="K450" s="28" t="s">
        <v>4662</v>
      </c>
      <c r="L450" s="28" t="s">
        <v>4659</v>
      </c>
      <c r="M450" s="28" t="s">
        <v>4663</v>
      </c>
      <c r="N450" s="28" t="s">
        <v>4661</v>
      </c>
    </row>
    <row r="451" spans="1:14">
      <c r="A451" t="s">
        <v>27</v>
      </c>
      <c r="B451" t="s">
        <v>58</v>
      </c>
      <c r="C451">
        <v>2030</v>
      </c>
      <c r="D451">
        <v>34</v>
      </c>
      <c r="E451" t="s">
        <v>961</v>
      </c>
      <c r="F451" s="35" t="s">
        <v>980</v>
      </c>
      <c r="G451" s="28" t="s">
        <v>1609</v>
      </c>
      <c r="H451" s="28" t="s">
        <v>1587</v>
      </c>
      <c r="I451" s="28" t="s">
        <v>4610</v>
      </c>
      <c r="J451" s="28" t="s">
        <v>4577</v>
      </c>
      <c r="K451" s="28" t="s">
        <v>4664</v>
      </c>
      <c r="L451" s="28" t="s">
        <v>4659</v>
      </c>
      <c r="M451" s="28" t="s">
        <v>4665</v>
      </c>
      <c r="N451" s="28" t="s">
        <v>4661</v>
      </c>
    </row>
    <row r="452" spans="1:14">
      <c r="A452" t="s">
        <v>27</v>
      </c>
      <c r="B452" t="s">
        <v>58</v>
      </c>
      <c r="C452">
        <v>2031</v>
      </c>
      <c r="D452">
        <v>65</v>
      </c>
      <c r="E452" t="s">
        <v>961</v>
      </c>
      <c r="F452" s="35" t="s">
        <v>981</v>
      </c>
      <c r="G452" s="28" t="s">
        <v>1621</v>
      </c>
      <c r="H452" s="28" t="s">
        <v>1591</v>
      </c>
      <c r="I452" s="28" t="s">
        <v>4666</v>
      </c>
      <c r="J452" s="28" t="s">
        <v>4580</v>
      </c>
      <c r="K452" s="28" t="s">
        <v>4667</v>
      </c>
      <c r="L452" s="28" t="s">
        <v>4668</v>
      </c>
      <c r="M452" s="28" t="s">
        <v>4669</v>
      </c>
      <c r="N452" s="28" t="s">
        <v>4670</v>
      </c>
    </row>
    <row r="453" spans="1:14">
      <c r="A453" t="s">
        <v>27</v>
      </c>
      <c r="B453" t="s">
        <v>58</v>
      </c>
      <c r="C453">
        <v>2033</v>
      </c>
      <c r="D453">
        <v>175</v>
      </c>
      <c r="E453" t="s">
        <v>961</v>
      </c>
      <c r="F453" s="35" t="s">
        <v>981</v>
      </c>
      <c r="G453" s="28" t="s">
        <v>1622</v>
      </c>
      <c r="H453" s="28" t="s">
        <v>1591</v>
      </c>
      <c r="I453" s="28" t="s">
        <v>4671</v>
      </c>
      <c r="J453" s="28" t="s">
        <v>4580</v>
      </c>
      <c r="K453" s="28" t="s">
        <v>4672</v>
      </c>
      <c r="L453" s="28" t="s">
        <v>4668</v>
      </c>
      <c r="M453" s="28" t="s">
        <v>4673</v>
      </c>
      <c r="N453" s="28" t="s">
        <v>4670</v>
      </c>
    </row>
    <row r="454" spans="1:14">
      <c r="A454" t="s">
        <v>27</v>
      </c>
      <c r="B454" t="s">
        <v>58</v>
      </c>
      <c r="C454">
        <v>2034</v>
      </c>
      <c r="D454">
        <v>81</v>
      </c>
      <c r="E454" t="s">
        <v>961</v>
      </c>
      <c r="F454" s="35" t="s">
        <v>981</v>
      </c>
      <c r="G454" s="28" t="s">
        <v>1610</v>
      </c>
      <c r="H454" s="28" t="s">
        <v>1591</v>
      </c>
      <c r="I454" s="28" t="s">
        <v>4611</v>
      </c>
      <c r="J454" s="28" t="s">
        <v>4580</v>
      </c>
      <c r="K454" s="28" t="s">
        <v>4674</v>
      </c>
      <c r="L454" s="28" t="s">
        <v>4668</v>
      </c>
      <c r="M454" s="28" t="s">
        <v>4675</v>
      </c>
      <c r="N454" s="28" t="s">
        <v>4670</v>
      </c>
    </row>
    <row r="455" spans="1:14">
      <c r="A455" t="s">
        <v>27</v>
      </c>
      <c r="B455" t="s">
        <v>58</v>
      </c>
      <c r="C455">
        <v>2035</v>
      </c>
      <c r="D455">
        <v>81</v>
      </c>
      <c r="E455" t="s">
        <v>961</v>
      </c>
      <c r="F455" s="35" t="s">
        <v>981</v>
      </c>
      <c r="G455" s="28" t="s">
        <v>1592</v>
      </c>
      <c r="H455" s="28" t="s">
        <v>1591</v>
      </c>
      <c r="I455" s="28" t="s">
        <v>4581</v>
      </c>
      <c r="J455" s="28" t="s">
        <v>4580</v>
      </c>
      <c r="K455" s="28" t="s">
        <v>4676</v>
      </c>
      <c r="L455" s="28" t="s">
        <v>4668</v>
      </c>
      <c r="M455" s="28" t="s">
        <v>4677</v>
      </c>
      <c r="N455" s="28" t="s">
        <v>4670</v>
      </c>
    </row>
    <row r="456" spans="1:14">
      <c r="A456" t="s">
        <v>27</v>
      </c>
      <c r="B456" t="s">
        <v>58</v>
      </c>
      <c r="C456">
        <v>2036</v>
      </c>
      <c r="D456">
        <v>48</v>
      </c>
      <c r="E456" t="s">
        <v>961</v>
      </c>
      <c r="F456" s="35" t="s">
        <v>982</v>
      </c>
      <c r="G456" s="28" t="s">
        <v>1593</v>
      </c>
      <c r="H456" s="28" t="s">
        <v>1594</v>
      </c>
      <c r="I456" s="28" t="s">
        <v>4582</v>
      </c>
      <c r="J456" s="28" t="s">
        <v>4583</v>
      </c>
      <c r="K456" s="28" t="s">
        <v>4678</v>
      </c>
      <c r="L456" s="28" t="s">
        <v>4679</v>
      </c>
      <c r="M456" s="28" t="s">
        <v>4680</v>
      </c>
      <c r="N456" s="28" t="s">
        <v>4681</v>
      </c>
    </row>
    <row r="457" spans="1:14">
      <c r="A457" t="s">
        <v>27</v>
      </c>
      <c r="B457" t="s">
        <v>58</v>
      </c>
      <c r="C457">
        <v>2037</v>
      </c>
      <c r="D457">
        <v>66</v>
      </c>
      <c r="E457" t="s">
        <v>961</v>
      </c>
      <c r="F457" s="35" t="s">
        <v>982</v>
      </c>
      <c r="G457" s="28" t="s">
        <v>1611</v>
      </c>
      <c r="H457" s="28" t="s">
        <v>1594</v>
      </c>
      <c r="I457" s="28" t="s">
        <v>4612</v>
      </c>
      <c r="J457" s="28" t="s">
        <v>4583</v>
      </c>
      <c r="K457" s="28" t="s">
        <v>4682</v>
      </c>
      <c r="L457" s="28" t="s">
        <v>4679</v>
      </c>
      <c r="M457" s="28" t="s">
        <v>4683</v>
      </c>
      <c r="N457" s="28" t="s">
        <v>4681</v>
      </c>
    </row>
    <row r="458" spans="1:14">
      <c r="A458" t="s">
        <v>27</v>
      </c>
      <c r="B458" t="s">
        <v>58</v>
      </c>
      <c r="C458">
        <v>2038</v>
      </c>
      <c r="D458">
        <v>114</v>
      </c>
      <c r="E458" t="s">
        <v>961</v>
      </c>
      <c r="F458" s="35" t="s">
        <v>982</v>
      </c>
      <c r="G458" s="28" t="s">
        <v>1612</v>
      </c>
      <c r="H458" s="28" t="s">
        <v>1594</v>
      </c>
      <c r="I458" s="28" t="s">
        <v>4613</v>
      </c>
      <c r="J458" s="28" t="s">
        <v>4583</v>
      </c>
      <c r="K458" s="28" t="s">
        <v>4684</v>
      </c>
      <c r="L458" s="28" t="s">
        <v>4679</v>
      </c>
      <c r="M458" s="28" t="s">
        <v>4685</v>
      </c>
      <c r="N458" s="28" t="s">
        <v>4681</v>
      </c>
    </row>
    <row r="459" spans="1:14">
      <c r="A459" t="s">
        <v>27</v>
      </c>
      <c r="B459" t="s">
        <v>58</v>
      </c>
      <c r="C459">
        <v>2039</v>
      </c>
      <c r="D459">
        <v>75</v>
      </c>
      <c r="E459" t="s">
        <v>961</v>
      </c>
      <c r="F459" s="35" t="s">
        <v>982</v>
      </c>
      <c r="G459" s="28" t="s">
        <v>1613</v>
      </c>
      <c r="H459" s="28" t="s">
        <v>1594</v>
      </c>
      <c r="I459" s="28" t="s">
        <v>4614</v>
      </c>
      <c r="J459" s="28" t="s">
        <v>4583</v>
      </c>
      <c r="K459" s="28" t="s">
        <v>4686</v>
      </c>
      <c r="L459" s="28" t="s">
        <v>4679</v>
      </c>
      <c r="M459" s="28" t="s">
        <v>4687</v>
      </c>
      <c r="N459" s="28" t="s">
        <v>4681</v>
      </c>
    </row>
    <row r="460" spans="1:14">
      <c r="A460" t="s">
        <v>27</v>
      </c>
      <c r="B460" t="s">
        <v>58</v>
      </c>
      <c r="C460">
        <v>2040</v>
      </c>
      <c r="D460">
        <v>137</v>
      </c>
      <c r="E460" t="s">
        <v>961</v>
      </c>
      <c r="F460" s="35" t="s">
        <v>983</v>
      </c>
      <c r="G460" s="28" t="s">
        <v>1614</v>
      </c>
      <c r="H460" s="28" t="s">
        <v>1596</v>
      </c>
      <c r="I460" s="28" t="s">
        <v>4615</v>
      </c>
      <c r="J460" s="28" t="s">
        <v>4585</v>
      </c>
      <c r="K460" s="28" t="s">
        <v>4688</v>
      </c>
      <c r="L460" s="28" t="s">
        <v>4689</v>
      </c>
      <c r="M460" s="28" t="s">
        <v>4690</v>
      </c>
      <c r="N460" s="28" t="s">
        <v>4691</v>
      </c>
    </row>
    <row r="461" spans="1:14">
      <c r="A461" t="s">
        <v>27</v>
      </c>
      <c r="B461" t="s">
        <v>58</v>
      </c>
      <c r="C461">
        <v>2041</v>
      </c>
      <c r="D461">
        <v>123</v>
      </c>
      <c r="E461" t="s">
        <v>961</v>
      </c>
      <c r="F461" s="35" t="s">
        <v>983</v>
      </c>
      <c r="G461" s="28" t="s">
        <v>1595</v>
      </c>
      <c r="H461" s="28" t="s">
        <v>1596</v>
      </c>
      <c r="I461" s="28" t="s">
        <v>4584</v>
      </c>
      <c r="J461" s="28" t="s">
        <v>4585</v>
      </c>
      <c r="K461" s="28" t="s">
        <v>4692</v>
      </c>
      <c r="L461" s="28" t="s">
        <v>4689</v>
      </c>
      <c r="M461" s="28" t="s">
        <v>4693</v>
      </c>
      <c r="N461" s="28" t="s">
        <v>4691</v>
      </c>
    </row>
    <row r="462" spans="1:14">
      <c r="A462" t="s">
        <v>27</v>
      </c>
      <c r="B462" t="s">
        <v>58</v>
      </c>
      <c r="C462">
        <v>2042</v>
      </c>
      <c r="D462">
        <v>169</v>
      </c>
      <c r="E462" t="s">
        <v>961</v>
      </c>
      <c r="F462" s="35" t="s">
        <v>983</v>
      </c>
      <c r="G462" s="28" t="s">
        <v>1597</v>
      </c>
      <c r="H462" s="28" t="s">
        <v>1596</v>
      </c>
      <c r="I462" s="28" t="s">
        <v>4586</v>
      </c>
      <c r="J462" s="28" t="s">
        <v>4585</v>
      </c>
      <c r="K462" s="28" t="s">
        <v>4694</v>
      </c>
      <c r="L462" s="28" t="s">
        <v>4689</v>
      </c>
      <c r="M462" s="28" t="s">
        <v>4695</v>
      </c>
      <c r="N462" s="28" t="s">
        <v>4691</v>
      </c>
    </row>
    <row r="463" spans="1:14">
      <c r="A463" t="s">
        <v>27</v>
      </c>
      <c r="B463" t="s">
        <v>58</v>
      </c>
      <c r="C463">
        <v>2043</v>
      </c>
      <c r="D463">
        <v>50</v>
      </c>
      <c r="E463" t="s">
        <v>961</v>
      </c>
      <c r="F463" s="35" t="s">
        <v>983</v>
      </c>
      <c r="G463" s="28" t="s">
        <v>1615</v>
      </c>
      <c r="H463" s="28" t="s">
        <v>1596</v>
      </c>
      <c r="I463" s="28" t="s">
        <v>4616</v>
      </c>
      <c r="J463" s="28" t="s">
        <v>4585</v>
      </c>
      <c r="K463" s="28" t="s">
        <v>4696</v>
      </c>
      <c r="L463" s="28" t="s">
        <v>4689</v>
      </c>
      <c r="M463" s="28" t="s">
        <v>4697</v>
      </c>
      <c r="N463" s="28" t="s">
        <v>4691</v>
      </c>
    </row>
    <row r="464" spans="1:14">
      <c r="A464" t="s">
        <v>27</v>
      </c>
      <c r="B464" t="s">
        <v>58</v>
      </c>
      <c r="C464">
        <v>2044</v>
      </c>
      <c r="D464">
        <v>56</v>
      </c>
      <c r="E464" t="s">
        <v>961</v>
      </c>
      <c r="F464" s="35" t="s">
        <v>984</v>
      </c>
      <c r="G464" s="28" t="s">
        <v>1598</v>
      </c>
      <c r="H464" s="28" t="s">
        <v>1599</v>
      </c>
      <c r="I464" s="28" t="s">
        <v>4587</v>
      </c>
      <c r="J464" s="28" t="s">
        <v>4588</v>
      </c>
      <c r="K464" s="28" t="s">
        <v>4698</v>
      </c>
      <c r="L464" s="28" t="s">
        <v>4699</v>
      </c>
      <c r="M464" s="28" t="s">
        <v>4700</v>
      </c>
      <c r="N464" s="28" t="s">
        <v>4701</v>
      </c>
    </row>
    <row r="465" spans="1:14">
      <c r="A465" t="s">
        <v>27</v>
      </c>
      <c r="B465" t="s">
        <v>58</v>
      </c>
      <c r="C465">
        <v>2045</v>
      </c>
      <c r="D465">
        <v>55</v>
      </c>
      <c r="E465" t="s">
        <v>961</v>
      </c>
      <c r="F465" s="35" t="s">
        <v>984</v>
      </c>
      <c r="G465" s="28" t="s">
        <v>1600</v>
      </c>
      <c r="H465" s="28" t="s">
        <v>1599</v>
      </c>
      <c r="I465" s="28" t="s">
        <v>4589</v>
      </c>
      <c r="J465" s="28" t="s">
        <v>4588</v>
      </c>
      <c r="K465" s="28" t="s">
        <v>4702</v>
      </c>
      <c r="L465" s="28" t="s">
        <v>4699</v>
      </c>
      <c r="M465" s="28" t="s">
        <v>4703</v>
      </c>
      <c r="N465" s="28" t="s">
        <v>4701</v>
      </c>
    </row>
    <row r="466" spans="1:14">
      <c r="A466" t="s">
        <v>27</v>
      </c>
      <c r="B466" t="s">
        <v>58</v>
      </c>
      <c r="C466">
        <v>2046</v>
      </c>
      <c r="D466">
        <v>98</v>
      </c>
      <c r="E466" t="s">
        <v>961</v>
      </c>
      <c r="F466" s="35" t="s">
        <v>984</v>
      </c>
      <c r="G466" s="28" t="s">
        <v>1623</v>
      </c>
      <c r="H466" s="28" t="s">
        <v>1599</v>
      </c>
      <c r="I466" s="28" t="s">
        <v>4704</v>
      </c>
      <c r="J466" s="28" t="s">
        <v>4588</v>
      </c>
      <c r="K466" s="28" t="s">
        <v>4705</v>
      </c>
      <c r="L466" s="28" t="s">
        <v>4699</v>
      </c>
      <c r="M466" s="28" t="s">
        <v>4706</v>
      </c>
      <c r="N466" s="28" t="s">
        <v>4701</v>
      </c>
    </row>
    <row r="467" spans="1:14">
      <c r="A467" t="s">
        <v>27</v>
      </c>
      <c r="B467" t="s">
        <v>58</v>
      </c>
      <c r="C467">
        <v>2047</v>
      </c>
      <c r="D467">
        <v>42</v>
      </c>
      <c r="E467" t="s">
        <v>961</v>
      </c>
      <c r="F467" s="35" t="s">
        <v>984</v>
      </c>
      <c r="G467" s="28" t="s">
        <v>1601</v>
      </c>
      <c r="H467" s="28" t="s">
        <v>1599</v>
      </c>
      <c r="I467" s="28" t="s">
        <v>4590</v>
      </c>
      <c r="J467" s="28" t="s">
        <v>4588</v>
      </c>
      <c r="K467" s="28" t="s">
        <v>4707</v>
      </c>
      <c r="L467" s="28" t="s">
        <v>4699</v>
      </c>
      <c r="M467" s="28" t="s">
        <v>4708</v>
      </c>
      <c r="N467" s="28" t="s">
        <v>4701</v>
      </c>
    </row>
    <row r="468" spans="1:14">
      <c r="A468" t="s">
        <v>27</v>
      </c>
      <c r="B468" t="s">
        <v>58</v>
      </c>
      <c r="C468">
        <v>2049</v>
      </c>
      <c r="D468">
        <v>111</v>
      </c>
      <c r="E468" t="s">
        <v>961</v>
      </c>
      <c r="F468" s="35" t="s">
        <v>985</v>
      </c>
      <c r="G468" s="28" t="s">
        <v>1602</v>
      </c>
      <c r="H468" s="28" t="s">
        <v>1603</v>
      </c>
      <c r="I468" s="28" t="s">
        <v>4591</v>
      </c>
      <c r="J468" s="28" t="s">
        <v>4592</v>
      </c>
      <c r="K468" s="28" t="s">
        <v>4709</v>
      </c>
      <c r="L468" s="28" t="s">
        <v>4710</v>
      </c>
      <c r="M468" s="28" t="s">
        <v>4711</v>
      </c>
      <c r="N468" s="28" t="s">
        <v>4712</v>
      </c>
    </row>
    <row r="469" spans="1:14">
      <c r="A469" t="s">
        <v>27</v>
      </c>
      <c r="B469" t="s">
        <v>58</v>
      </c>
      <c r="C469">
        <v>2050</v>
      </c>
      <c r="D469">
        <v>183</v>
      </c>
      <c r="E469" t="s">
        <v>961</v>
      </c>
      <c r="F469" s="35" t="s">
        <v>985</v>
      </c>
      <c r="G469" s="28" t="s">
        <v>1616</v>
      </c>
      <c r="H469" s="28" t="s">
        <v>1603</v>
      </c>
      <c r="I469" s="28" t="s">
        <v>4617</v>
      </c>
      <c r="J469" s="28" t="s">
        <v>4592</v>
      </c>
      <c r="K469" s="28" t="s">
        <v>4713</v>
      </c>
      <c r="L469" s="28" t="s">
        <v>4710</v>
      </c>
      <c r="M469" s="28" t="s">
        <v>4714</v>
      </c>
      <c r="N469" s="28" t="s">
        <v>4712</v>
      </c>
    </row>
    <row r="470" spans="1:14">
      <c r="A470" t="s">
        <v>27</v>
      </c>
      <c r="B470" t="s">
        <v>58</v>
      </c>
      <c r="C470">
        <v>2051</v>
      </c>
      <c r="D470">
        <v>28</v>
      </c>
      <c r="E470" t="s">
        <v>961</v>
      </c>
      <c r="F470" s="35" t="s">
        <v>985</v>
      </c>
      <c r="G470" s="28" t="s">
        <v>1604</v>
      </c>
      <c r="H470" s="28" t="s">
        <v>1603</v>
      </c>
      <c r="I470" s="28" t="s">
        <v>4593</v>
      </c>
      <c r="J470" s="28" t="s">
        <v>4592</v>
      </c>
      <c r="K470" s="28" t="s">
        <v>4715</v>
      </c>
      <c r="L470" s="28" t="s">
        <v>4710</v>
      </c>
      <c r="M470" s="28" t="s">
        <v>4716</v>
      </c>
      <c r="N470" s="28" t="s">
        <v>4712</v>
      </c>
    </row>
    <row r="471" spans="1:14">
      <c r="A471" t="s">
        <v>27</v>
      </c>
      <c r="B471" t="s">
        <v>58</v>
      </c>
      <c r="C471">
        <v>2052</v>
      </c>
      <c r="D471">
        <v>152</v>
      </c>
      <c r="E471" t="s">
        <v>961</v>
      </c>
      <c r="F471" s="35" t="s">
        <v>985</v>
      </c>
      <c r="G471" s="28" t="s">
        <v>1605</v>
      </c>
      <c r="H471" s="28" t="s">
        <v>1603</v>
      </c>
      <c r="I471" s="28" t="s">
        <v>4594</v>
      </c>
      <c r="J471" s="28" t="s">
        <v>4592</v>
      </c>
      <c r="K471" s="28" t="s">
        <v>4717</v>
      </c>
      <c r="L471" s="28" t="s">
        <v>4710</v>
      </c>
      <c r="M471" s="28" t="s">
        <v>4718</v>
      </c>
      <c r="N471" s="28" t="s">
        <v>4712</v>
      </c>
    </row>
    <row r="472" spans="1:14">
      <c r="A472" t="s">
        <v>27</v>
      </c>
      <c r="B472" t="s">
        <v>58</v>
      </c>
      <c r="C472">
        <v>2102</v>
      </c>
      <c r="D472">
        <v>42</v>
      </c>
      <c r="E472" t="s">
        <v>961</v>
      </c>
      <c r="F472" s="35" t="s">
        <v>976</v>
      </c>
      <c r="G472" s="28" t="s">
        <v>1543</v>
      </c>
      <c r="H472" s="28" t="s">
        <v>1544</v>
      </c>
      <c r="I472" s="28" t="s">
        <v>4618</v>
      </c>
      <c r="J472" s="28" t="s">
        <v>4595</v>
      </c>
      <c r="K472" s="28" t="s">
        <v>4719</v>
      </c>
      <c r="L472" s="28" t="s">
        <v>4720</v>
      </c>
      <c r="M472" s="28" t="s">
        <v>4225</v>
      </c>
      <c r="N472" s="28" t="s">
        <v>4223</v>
      </c>
    </row>
    <row r="473" spans="1:14">
      <c r="A473" t="s">
        <v>27</v>
      </c>
      <c r="B473" t="s">
        <v>58</v>
      </c>
      <c r="C473">
        <v>2105</v>
      </c>
      <c r="D473">
        <v>68</v>
      </c>
      <c r="E473" t="s">
        <v>961</v>
      </c>
      <c r="F473" s="35" t="s">
        <v>975</v>
      </c>
      <c r="G473" s="28" t="s">
        <v>1547</v>
      </c>
      <c r="H473" s="28" t="s">
        <v>1548</v>
      </c>
      <c r="I473" s="28" t="s">
        <v>4596</v>
      </c>
      <c r="J473" s="28" t="s">
        <v>4597</v>
      </c>
      <c r="K473" s="28" t="s">
        <v>4721</v>
      </c>
      <c r="L473" s="28" t="s">
        <v>4722</v>
      </c>
      <c r="M473" s="28" t="s">
        <v>4232</v>
      </c>
      <c r="N473" s="28" t="s">
        <v>4233</v>
      </c>
    </row>
    <row r="474" spans="1:14">
      <c r="A474" t="s">
        <v>27</v>
      </c>
      <c r="B474" t="s">
        <v>58</v>
      </c>
      <c r="C474">
        <v>2106</v>
      </c>
      <c r="D474">
        <v>29</v>
      </c>
      <c r="E474" t="s">
        <v>961</v>
      </c>
      <c r="F474" s="35" t="s">
        <v>975</v>
      </c>
      <c r="G474" s="28" t="s">
        <v>1549</v>
      </c>
      <c r="H474" s="28" t="s">
        <v>1548</v>
      </c>
      <c r="I474" s="28" t="s">
        <v>4619</v>
      </c>
      <c r="J474" s="28" t="s">
        <v>4597</v>
      </c>
      <c r="K474" s="28" t="s">
        <v>4723</v>
      </c>
      <c r="L474" s="28" t="s">
        <v>4722</v>
      </c>
      <c r="M474" s="28" t="s">
        <v>4235</v>
      </c>
      <c r="N474" s="28" t="s">
        <v>4233</v>
      </c>
    </row>
    <row r="475" spans="1:14">
      <c r="A475" t="s">
        <v>27</v>
      </c>
      <c r="B475" t="s">
        <v>58</v>
      </c>
      <c r="C475">
        <v>2108</v>
      </c>
      <c r="D475">
        <v>39</v>
      </c>
      <c r="E475" t="s">
        <v>961</v>
      </c>
      <c r="F475" s="35" t="s">
        <v>975</v>
      </c>
      <c r="G475" s="28" t="s">
        <v>1551</v>
      </c>
      <c r="H475" s="28" t="s">
        <v>1548</v>
      </c>
      <c r="I475" s="28" t="s">
        <v>4620</v>
      </c>
      <c r="J475" s="28" t="s">
        <v>4597</v>
      </c>
      <c r="K475" s="28" t="s">
        <v>4724</v>
      </c>
      <c r="L475" s="28" t="s">
        <v>4722</v>
      </c>
      <c r="M475" s="28" t="s">
        <v>4239</v>
      </c>
      <c r="N475" s="28" t="s">
        <v>4233</v>
      </c>
    </row>
    <row r="476" spans="1:14">
      <c r="A476" t="s">
        <v>27</v>
      </c>
      <c r="B476" t="s">
        <v>58</v>
      </c>
      <c r="C476">
        <v>2109</v>
      </c>
      <c r="D476">
        <v>55</v>
      </c>
      <c r="E476" t="s">
        <v>961</v>
      </c>
      <c r="F476" s="35" t="s">
        <v>969</v>
      </c>
      <c r="G476" s="28" t="s">
        <v>1552</v>
      </c>
      <c r="H476" s="28" t="s">
        <v>1553</v>
      </c>
      <c r="I476" s="28" t="s">
        <v>4725</v>
      </c>
      <c r="J476" s="28" t="s">
        <v>4600</v>
      </c>
      <c r="K476" s="28" t="s">
        <v>4726</v>
      </c>
      <c r="L476" s="28" t="s">
        <v>4727</v>
      </c>
      <c r="M476" s="28" t="s">
        <v>4728</v>
      </c>
      <c r="N476" s="28" t="s">
        <v>4729</v>
      </c>
    </row>
    <row r="477" spans="1:14">
      <c r="A477" t="s">
        <v>27</v>
      </c>
      <c r="B477" t="s">
        <v>58</v>
      </c>
      <c r="C477">
        <v>2110</v>
      </c>
      <c r="D477">
        <v>71</v>
      </c>
      <c r="E477" t="s">
        <v>961</v>
      </c>
      <c r="F477" s="35" t="s">
        <v>969</v>
      </c>
      <c r="G477" s="28" t="s">
        <v>1554</v>
      </c>
      <c r="H477" s="28" t="s">
        <v>1553</v>
      </c>
      <c r="I477" s="28" t="s">
        <v>4621</v>
      </c>
      <c r="J477" s="28" t="s">
        <v>4600</v>
      </c>
      <c r="K477" s="28" t="s">
        <v>4730</v>
      </c>
      <c r="L477" s="28" t="s">
        <v>4727</v>
      </c>
      <c r="M477" s="28" t="s">
        <v>4731</v>
      </c>
      <c r="N477" s="28" t="s">
        <v>4729</v>
      </c>
    </row>
    <row r="478" spans="1:14">
      <c r="A478" t="s">
        <v>27</v>
      </c>
      <c r="B478" t="s">
        <v>58</v>
      </c>
      <c r="C478">
        <v>2111</v>
      </c>
      <c r="D478">
        <v>56</v>
      </c>
      <c r="E478" t="s">
        <v>961</v>
      </c>
      <c r="F478" s="35" t="s">
        <v>969</v>
      </c>
      <c r="G478" s="28" t="s">
        <v>1555</v>
      </c>
      <c r="H478" s="28" t="s">
        <v>1553</v>
      </c>
      <c r="I478" s="28" t="s">
        <v>4622</v>
      </c>
      <c r="J478" s="28" t="s">
        <v>4600</v>
      </c>
      <c r="K478" s="28" t="s">
        <v>4732</v>
      </c>
      <c r="L478" s="28" t="s">
        <v>4727</v>
      </c>
      <c r="M478" s="28" t="s">
        <v>4733</v>
      </c>
      <c r="N478" s="28" t="s">
        <v>4729</v>
      </c>
    </row>
    <row r="479" spans="1:14">
      <c r="A479" t="s">
        <v>27</v>
      </c>
      <c r="B479" t="s">
        <v>58</v>
      </c>
      <c r="C479">
        <v>2112</v>
      </c>
      <c r="D479">
        <v>26</v>
      </c>
      <c r="E479" t="s">
        <v>961</v>
      </c>
      <c r="F479" s="35" t="s">
        <v>969</v>
      </c>
      <c r="G479" s="28" t="s">
        <v>1556</v>
      </c>
      <c r="H479" s="28" t="s">
        <v>1553</v>
      </c>
      <c r="I479" s="28" t="s">
        <v>4599</v>
      </c>
      <c r="J479" s="28" t="s">
        <v>4600</v>
      </c>
      <c r="K479" s="28" t="s">
        <v>4734</v>
      </c>
      <c r="L479" s="28" t="s">
        <v>4727</v>
      </c>
      <c r="M479" s="28" t="s">
        <v>4735</v>
      </c>
      <c r="N479" s="28" t="s">
        <v>4729</v>
      </c>
    </row>
    <row r="480" spans="1:14">
      <c r="A480" t="s">
        <v>27</v>
      </c>
      <c r="B480" t="s">
        <v>58</v>
      </c>
      <c r="C480">
        <v>2114</v>
      </c>
      <c r="D480">
        <v>58</v>
      </c>
      <c r="E480" t="s">
        <v>961</v>
      </c>
      <c r="F480" s="35" t="s">
        <v>970</v>
      </c>
      <c r="G480" s="28" t="s">
        <v>1558</v>
      </c>
      <c r="H480" s="28" t="s">
        <v>1529</v>
      </c>
      <c r="I480" s="28" t="s">
        <v>4736</v>
      </c>
      <c r="J480" s="28" t="s">
        <v>4602</v>
      </c>
      <c r="K480" s="28" t="s">
        <v>4737</v>
      </c>
      <c r="L480" s="28" t="s">
        <v>4738</v>
      </c>
      <c r="M480" s="28" t="s">
        <v>4739</v>
      </c>
      <c r="N480" s="28" t="s">
        <v>4740</v>
      </c>
    </row>
    <row r="481" spans="1:14">
      <c r="A481" t="s">
        <v>27</v>
      </c>
      <c r="B481" t="s">
        <v>58</v>
      </c>
      <c r="C481">
        <v>2115</v>
      </c>
      <c r="D481">
        <v>42</v>
      </c>
      <c r="E481" t="s">
        <v>961</v>
      </c>
      <c r="F481" s="35" t="s">
        <v>970</v>
      </c>
      <c r="G481" s="28" t="s">
        <v>1559</v>
      </c>
      <c r="H481" s="28" t="s">
        <v>1529</v>
      </c>
      <c r="I481" s="28" t="s">
        <v>4601</v>
      </c>
      <c r="J481" s="28" t="s">
        <v>4602</v>
      </c>
      <c r="K481" s="28" t="s">
        <v>4741</v>
      </c>
      <c r="L481" s="28" t="s">
        <v>4738</v>
      </c>
      <c r="M481" s="28" t="s">
        <v>4742</v>
      </c>
      <c r="N481" s="28" t="s">
        <v>4740</v>
      </c>
    </row>
    <row r="482" spans="1:14">
      <c r="A482" t="s">
        <v>27</v>
      </c>
      <c r="B482" t="s">
        <v>58</v>
      </c>
      <c r="C482">
        <v>2116</v>
      </c>
      <c r="D482">
        <v>56</v>
      </c>
      <c r="E482" t="s">
        <v>961</v>
      </c>
      <c r="F482" s="35" t="s">
        <v>970</v>
      </c>
      <c r="G482" s="28" t="s">
        <v>1528</v>
      </c>
      <c r="H482" s="28" t="s">
        <v>1529</v>
      </c>
      <c r="I482" s="28" t="s">
        <v>4623</v>
      </c>
      <c r="J482" s="28" t="s">
        <v>4602</v>
      </c>
      <c r="K482" s="28" t="s">
        <v>4743</v>
      </c>
      <c r="L482" s="28" t="s">
        <v>4738</v>
      </c>
      <c r="M482" s="28" t="s">
        <v>4744</v>
      </c>
      <c r="N482" s="28" t="s">
        <v>4740</v>
      </c>
    </row>
    <row r="483" spans="1:14">
      <c r="A483" t="s">
        <v>27</v>
      </c>
      <c r="B483" t="s">
        <v>58</v>
      </c>
      <c r="C483">
        <v>2119</v>
      </c>
      <c r="D483">
        <v>68</v>
      </c>
      <c r="E483" t="s">
        <v>961</v>
      </c>
      <c r="F483" s="35" t="s">
        <v>971</v>
      </c>
      <c r="G483" s="28" t="s">
        <v>1532</v>
      </c>
      <c r="H483" s="28" t="s">
        <v>1531</v>
      </c>
      <c r="I483" s="28" t="s">
        <v>4603</v>
      </c>
      <c r="J483" s="28" t="s">
        <v>4604</v>
      </c>
      <c r="K483" s="28" t="s">
        <v>4745</v>
      </c>
      <c r="L483" s="28" t="s">
        <v>4746</v>
      </c>
      <c r="M483" s="28" t="s">
        <v>4747</v>
      </c>
      <c r="N483" s="28" t="s">
        <v>4748</v>
      </c>
    </row>
    <row r="484" spans="1:14">
      <c r="A484" t="s">
        <v>27</v>
      </c>
      <c r="B484" t="s">
        <v>58</v>
      </c>
      <c r="C484">
        <v>2121</v>
      </c>
      <c r="D484">
        <v>19</v>
      </c>
      <c r="E484" t="s">
        <v>961</v>
      </c>
      <c r="F484" s="35" t="s">
        <v>971</v>
      </c>
      <c r="G484" s="28" t="s">
        <v>1533</v>
      </c>
      <c r="H484" s="28" t="s">
        <v>1531</v>
      </c>
      <c r="I484" s="28" t="s">
        <v>4749</v>
      </c>
      <c r="J484" s="28" t="s">
        <v>4604</v>
      </c>
      <c r="K484" s="28" t="s">
        <v>4750</v>
      </c>
      <c r="L484" s="28" t="s">
        <v>4746</v>
      </c>
      <c r="M484" s="28" t="s">
        <v>4751</v>
      </c>
      <c r="N484" s="28" t="s">
        <v>4748</v>
      </c>
    </row>
    <row r="485" spans="1:14">
      <c r="A485" t="s">
        <v>27</v>
      </c>
      <c r="B485" t="s">
        <v>58</v>
      </c>
      <c r="C485">
        <v>2124</v>
      </c>
      <c r="D485">
        <v>10</v>
      </c>
      <c r="E485" t="s">
        <v>961</v>
      </c>
      <c r="F485" s="35" t="s">
        <v>972</v>
      </c>
      <c r="G485" s="28" t="s">
        <v>1537</v>
      </c>
      <c r="H485" s="28" t="s">
        <v>1536</v>
      </c>
      <c r="I485" s="28" t="s">
        <v>4752</v>
      </c>
      <c r="J485" s="28" t="s">
        <v>4753</v>
      </c>
      <c r="K485" s="28" t="s">
        <v>4754</v>
      </c>
      <c r="L485" s="28" t="s">
        <v>4755</v>
      </c>
      <c r="M485" s="28" t="s">
        <v>4756</v>
      </c>
      <c r="N485" s="28" t="s">
        <v>4757</v>
      </c>
    </row>
    <row r="486" spans="1:14">
      <c r="A486" t="s">
        <v>27</v>
      </c>
      <c r="B486" t="s">
        <v>58</v>
      </c>
      <c r="C486">
        <v>2131</v>
      </c>
      <c r="D486">
        <v>26</v>
      </c>
      <c r="E486" t="s">
        <v>961</v>
      </c>
      <c r="F486" s="35" t="s">
        <v>974</v>
      </c>
      <c r="G486" s="28" t="s">
        <v>1624</v>
      </c>
      <c r="H486" s="28" t="s">
        <v>1563</v>
      </c>
      <c r="I486" s="28" t="s">
        <v>4758</v>
      </c>
      <c r="J486" s="28" t="s">
        <v>4759</v>
      </c>
      <c r="K486" s="28" t="s">
        <v>4760</v>
      </c>
      <c r="L486" s="28" t="s">
        <v>4761</v>
      </c>
      <c r="M486" s="28" t="s">
        <v>4762</v>
      </c>
      <c r="N486" s="28" t="s">
        <v>4763</v>
      </c>
    </row>
    <row r="487" spans="1:14">
      <c r="A487" t="s">
        <v>27</v>
      </c>
      <c r="B487" t="s">
        <v>61</v>
      </c>
      <c r="C487">
        <v>2013</v>
      </c>
      <c r="D487">
        <v>25</v>
      </c>
      <c r="E487" t="s">
        <v>961</v>
      </c>
      <c r="F487" s="35" t="s">
        <v>986</v>
      </c>
      <c r="G487" s="28" t="s">
        <v>1617</v>
      </c>
      <c r="H487" s="28" t="s">
        <v>1618</v>
      </c>
      <c r="I487" s="28" t="s">
        <v>4624</v>
      </c>
      <c r="J487" s="28" t="s">
        <v>4625</v>
      </c>
      <c r="K487" s="28" t="s">
        <v>4764</v>
      </c>
      <c r="L487" s="28" t="s">
        <v>4765</v>
      </c>
      <c r="M487" s="28" t="s">
        <v>4766</v>
      </c>
      <c r="N487" s="28" t="s">
        <v>4767</v>
      </c>
    </row>
    <row r="488" spans="1:14">
      <c r="A488" t="s">
        <v>27</v>
      </c>
      <c r="B488" t="s">
        <v>61</v>
      </c>
      <c r="C488">
        <v>2015</v>
      </c>
      <c r="D488">
        <v>29</v>
      </c>
      <c r="E488" t="s">
        <v>961</v>
      </c>
      <c r="F488" s="35" t="s">
        <v>977</v>
      </c>
      <c r="G488" s="28" t="s">
        <v>1577</v>
      </c>
      <c r="H488" s="28" t="s">
        <v>1578</v>
      </c>
      <c r="I488" s="28" t="s">
        <v>4567</v>
      </c>
      <c r="J488" s="28" t="s">
        <v>4568</v>
      </c>
      <c r="K488" s="28" t="s">
        <v>4768</v>
      </c>
      <c r="L488" s="28" t="s">
        <v>4769</v>
      </c>
      <c r="M488" s="28" t="s">
        <v>4770</v>
      </c>
      <c r="N488" s="28" t="s">
        <v>4771</v>
      </c>
    </row>
    <row r="489" spans="1:14">
      <c r="A489" t="s">
        <v>27</v>
      </c>
      <c r="B489" t="s">
        <v>61</v>
      </c>
      <c r="C489">
        <v>2017</v>
      </c>
      <c r="D489">
        <v>10</v>
      </c>
      <c r="E489" t="s">
        <v>961</v>
      </c>
      <c r="F489" s="35" t="s">
        <v>977</v>
      </c>
      <c r="G489" s="28" t="s">
        <v>1606</v>
      </c>
      <c r="H489" s="28" t="s">
        <v>1578</v>
      </c>
      <c r="I489" s="28" t="s">
        <v>4607</v>
      </c>
      <c r="J489" s="28" t="s">
        <v>4568</v>
      </c>
      <c r="K489" s="28" t="s">
        <v>4772</v>
      </c>
      <c r="L489" s="28" t="s">
        <v>4769</v>
      </c>
      <c r="M489" s="28" t="s">
        <v>4773</v>
      </c>
      <c r="N489" s="28" t="s">
        <v>4771</v>
      </c>
    </row>
    <row r="490" spans="1:14">
      <c r="A490" t="s">
        <v>27</v>
      </c>
      <c r="B490" t="s">
        <v>61</v>
      </c>
      <c r="C490">
        <v>2022</v>
      </c>
      <c r="D490">
        <v>30</v>
      </c>
      <c r="E490" t="s">
        <v>961</v>
      </c>
      <c r="F490" s="35" t="s">
        <v>979</v>
      </c>
      <c r="G490" s="28" t="s">
        <v>1581</v>
      </c>
      <c r="H490" s="28" t="s">
        <v>1582</v>
      </c>
      <c r="I490" s="28" t="s">
        <v>4571</v>
      </c>
      <c r="J490" s="28" t="s">
        <v>4572</v>
      </c>
      <c r="K490" s="28" t="s">
        <v>4774</v>
      </c>
      <c r="L490" s="28" t="s">
        <v>4775</v>
      </c>
      <c r="M490" s="28" t="s">
        <v>4776</v>
      </c>
      <c r="N490" s="28" t="s">
        <v>4777</v>
      </c>
    </row>
    <row r="491" spans="1:14">
      <c r="A491" t="s">
        <v>27</v>
      </c>
      <c r="B491" t="s">
        <v>61</v>
      </c>
      <c r="C491">
        <v>2024</v>
      </c>
      <c r="D491">
        <v>30</v>
      </c>
      <c r="E491" t="s">
        <v>961</v>
      </c>
      <c r="F491" s="35" t="s">
        <v>979</v>
      </c>
      <c r="G491" s="28" t="s">
        <v>1584</v>
      </c>
      <c r="H491" s="28" t="s">
        <v>1582</v>
      </c>
      <c r="I491" s="28" t="s">
        <v>4574</v>
      </c>
      <c r="J491" s="28" t="s">
        <v>4572</v>
      </c>
      <c r="K491" s="28" t="s">
        <v>4778</v>
      </c>
      <c r="L491" s="28" t="s">
        <v>4775</v>
      </c>
      <c r="M491" s="28" t="s">
        <v>4779</v>
      </c>
      <c r="N491" s="28" t="s">
        <v>4777</v>
      </c>
    </row>
    <row r="492" spans="1:14">
      <c r="A492" t="s">
        <v>27</v>
      </c>
      <c r="B492" t="s">
        <v>61</v>
      </c>
      <c r="C492">
        <v>2025</v>
      </c>
      <c r="D492">
        <v>66</v>
      </c>
      <c r="E492" t="s">
        <v>961</v>
      </c>
      <c r="F492" s="35" t="s">
        <v>979</v>
      </c>
      <c r="G492" s="28" t="s">
        <v>1585</v>
      </c>
      <c r="H492" s="28" t="s">
        <v>1582</v>
      </c>
      <c r="I492" s="28" t="s">
        <v>4575</v>
      </c>
      <c r="J492" s="28" t="s">
        <v>4572</v>
      </c>
      <c r="K492" s="28" t="s">
        <v>4780</v>
      </c>
      <c r="L492" s="28" t="s">
        <v>4775</v>
      </c>
      <c r="M492" s="28" t="s">
        <v>4781</v>
      </c>
      <c r="N492" s="28" t="s">
        <v>4777</v>
      </c>
    </row>
    <row r="493" spans="1:14">
      <c r="A493" t="s">
        <v>27</v>
      </c>
      <c r="B493" t="s">
        <v>61</v>
      </c>
      <c r="C493">
        <v>2026</v>
      </c>
      <c r="D493">
        <v>23</v>
      </c>
      <c r="E493" t="s">
        <v>961</v>
      </c>
      <c r="F493" s="35" t="s">
        <v>979</v>
      </c>
      <c r="G493" s="28" t="s">
        <v>1608</v>
      </c>
      <c r="H493" s="28" t="s">
        <v>1582</v>
      </c>
      <c r="I493" s="28" t="s">
        <v>4609</v>
      </c>
      <c r="J493" s="28" t="s">
        <v>4572</v>
      </c>
      <c r="K493" s="28" t="s">
        <v>4782</v>
      </c>
      <c r="L493" s="28" t="s">
        <v>4775</v>
      </c>
      <c r="M493" s="28" t="s">
        <v>4783</v>
      </c>
      <c r="N493" s="28" t="s">
        <v>4777</v>
      </c>
    </row>
    <row r="494" spans="1:14">
      <c r="A494" t="s">
        <v>27</v>
      </c>
      <c r="B494" t="s">
        <v>61</v>
      </c>
      <c r="C494">
        <v>2027</v>
      </c>
      <c r="D494">
        <v>87</v>
      </c>
      <c r="E494" t="s">
        <v>961</v>
      </c>
      <c r="F494" s="35" t="s">
        <v>980</v>
      </c>
      <c r="G494" s="28" t="s">
        <v>1586</v>
      </c>
      <c r="H494" s="28" t="s">
        <v>1587</v>
      </c>
      <c r="I494" s="28" t="s">
        <v>4576</v>
      </c>
      <c r="J494" s="28" t="s">
        <v>4577</v>
      </c>
      <c r="K494" s="28" t="s">
        <v>4784</v>
      </c>
      <c r="L494" s="28" t="s">
        <v>4785</v>
      </c>
      <c r="M494" s="28" t="s">
        <v>4786</v>
      </c>
      <c r="N494" s="28" t="s">
        <v>4787</v>
      </c>
    </row>
    <row r="495" spans="1:14">
      <c r="A495" t="s">
        <v>27</v>
      </c>
      <c r="B495" t="s">
        <v>61</v>
      </c>
      <c r="C495">
        <v>2028</v>
      </c>
      <c r="D495">
        <v>92</v>
      </c>
      <c r="E495" t="s">
        <v>961</v>
      </c>
      <c r="F495" s="35" t="s">
        <v>980</v>
      </c>
      <c r="G495" s="28" t="s">
        <v>1588</v>
      </c>
      <c r="H495" s="28" t="s">
        <v>1587</v>
      </c>
      <c r="I495" s="28" t="s">
        <v>4578</v>
      </c>
      <c r="J495" s="28" t="s">
        <v>4577</v>
      </c>
      <c r="K495" s="28" t="s">
        <v>4788</v>
      </c>
      <c r="L495" s="28" t="s">
        <v>4785</v>
      </c>
      <c r="M495" s="28" t="s">
        <v>4789</v>
      </c>
      <c r="N495" s="28" t="s">
        <v>4787</v>
      </c>
    </row>
    <row r="496" spans="1:14">
      <c r="A496" t="s">
        <v>27</v>
      </c>
      <c r="B496" t="s">
        <v>61</v>
      </c>
      <c r="C496">
        <v>2030</v>
      </c>
      <c r="D496">
        <v>62</v>
      </c>
      <c r="E496" t="s">
        <v>961</v>
      </c>
      <c r="F496" s="35" t="s">
        <v>980</v>
      </c>
      <c r="G496" s="28" t="s">
        <v>1609</v>
      </c>
      <c r="H496" s="28" t="s">
        <v>1587</v>
      </c>
      <c r="I496" s="28" t="s">
        <v>4610</v>
      </c>
      <c r="J496" s="28" t="s">
        <v>4577</v>
      </c>
      <c r="K496" s="28" t="s">
        <v>4790</v>
      </c>
      <c r="L496" s="28" t="s">
        <v>4785</v>
      </c>
      <c r="M496" s="28" t="s">
        <v>4791</v>
      </c>
      <c r="N496" s="28" t="s">
        <v>4787</v>
      </c>
    </row>
    <row r="497" spans="1:14">
      <c r="A497" t="s">
        <v>27</v>
      </c>
      <c r="B497" t="s">
        <v>61</v>
      </c>
      <c r="C497">
        <v>2031</v>
      </c>
      <c r="D497">
        <v>38</v>
      </c>
      <c r="E497" t="s">
        <v>961</v>
      </c>
      <c r="F497" s="35" t="s">
        <v>981</v>
      </c>
      <c r="G497" s="28" t="s">
        <v>1621</v>
      </c>
      <c r="H497" s="28" t="s">
        <v>1591</v>
      </c>
      <c r="I497" s="28" t="s">
        <v>4666</v>
      </c>
      <c r="J497" s="28" t="s">
        <v>4580</v>
      </c>
      <c r="K497" s="28" t="s">
        <v>4792</v>
      </c>
      <c r="L497" s="28" t="s">
        <v>4793</v>
      </c>
      <c r="M497" s="28" t="s">
        <v>4794</v>
      </c>
      <c r="N497" s="28" t="s">
        <v>4795</v>
      </c>
    </row>
    <row r="498" spans="1:14">
      <c r="A498" t="s">
        <v>27</v>
      </c>
      <c r="B498" t="s">
        <v>61</v>
      </c>
      <c r="C498">
        <v>2032</v>
      </c>
      <c r="D498">
        <v>78</v>
      </c>
      <c r="E498" t="s">
        <v>961</v>
      </c>
      <c r="F498" s="35" t="s">
        <v>981</v>
      </c>
      <c r="G498" s="28" t="s">
        <v>1590</v>
      </c>
      <c r="H498" s="28" t="s">
        <v>1591</v>
      </c>
      <c r="I498" s="28" t="s">
        <v>4579</v>
      </c>
      <c r="J498" s="28" t="s">
        <v>4580</v>
      </c>
      <c r="K498" s="28" t="s">
        <v>4796</v>
      </c>
      <c r="L498" s="28" t="s">
        <v>4793</v>
      </c>
      <c r="M498" s="28" t="s">
        <v>4797</v>
      </c>
      <c r="N498" s="28" t="s">
        <v>4795</v>
      </c>
    </row>
    <row r="499" spans="1:14">
      <c r="A499" t="s">
        <v>27</v>
      </c>
      <c r="B499" t="s">
        <v>61</v>
      </c>
      <c r="C499">
        <v>2033</v>
      </c>
      <c r="D499">
        <v>115</v>
      </c>
      <c r="E499" t="s">
        <v>961</v>
      </c>
      <c r="F499" s="35" t="s">
        <v>981</v>
      </c>
      <c r="G499" s="28" t="s">
        <v>1622</v>
      </c>
      <c r="H499" s="28" t="s">
        <v>1591</v>
      </c>
      <c r="I499" s="28" t="s">
        <v>4671</v>
      </c>
      <c r="J499" s="28" t="s">
        <v>4580</v>
      </c>
      <c r="K499" s="28" t="s">
        <v>4798</v>
      </c>
      <c r="L499" s="28" t="s">
        <v>4793</v>
      </c>
      <c r="M499" s="28" t="s">
        <v>4799</v>
      </c>
      <c r="N499" s="28" t="s">
        <v>4795</v>
      </c>
    </row>
    <row r="500" spans="1:14">
      <c r="A500" t="s">
        <v>27</v>
      </c>
      <c r="B500" t="s">
        <v>61</v>
      </c>
      <c r="C500">
        <v>2034</v>
      </c>
      <c r="D500">
        <v>25</v>
      </c>
      <c r="E500" t="s">
        <v>961</v>
      </c>
      <c r="F500" s="35" t="s">
        <v>981</v>
      </c>
      <c r="G500" s="28" t="s">
        <v>1610</v>
      </c>
      <c r="H500" s="28" t="s">
        <v>1591</v>
      </c>
      <c r="I500" s="28" t="s">
        <v>4611</v>
      </c>
      <c r="J500" s="28" t="s">
        <v>4580</v>
      </c>
      <c r="K500" s="28" t="s">
        <v>4800</v>
      </c>
      <c r="L500" s="28" t="s">
        <v>4793</v>
      </c>
      <c r="M500" s="28" t="s">
        <v>4801</v>
      </c>
      <c r="N500" s="28" t="s">
        <v>4795</v>
      </c>
    </row>
    <row r="501" spans="1:14">
      <c r="A501" t="s">
        <v>27</v>
      </c>
      <c r="B501" t="s">
        <v>61</v>
      </c>
      <c r="C501">
        <v>2035</v>
      </c>
      <c r="D501">
        <v>36</v>
      </c>
      <c r="E501" t="s">
        <v>961</v>
      </c>
      <c r="F501" s="35" t="s">
        <v>981</v>
      </c>
      <c r="G501" s="28" t="s">
        <v>1592</v>
      </c>
      <c r="H501" s="28" t="s">
        <v>1591</v>
      </c>
      <c r="I501" s="28" t="s">
        <v>4581</v>
      </c>
      <c r="J501" s="28" t="s">
        <v>4580</v>
      </c>
      <c r="K501" s="28" t="s">
        <v>4802</v>
      </c>
      <c r="L501" s="28" t="s">
        <v>4793</v>
      </c>
      <c r="M501" s="28" t="s">
        <v>4803</v>
      </c>
      <c r="N501" s="28" t="s">
        <v>4795</v>
      </c>
    </row>
    <row r="502" spans="1:14">
      <c r="A502" t="s">
        <v>27</v>
      </c>
      <c r="B502" t="s">
        <v>61</v>
      </c>
      <c r="C502">
        <v>2036</v>
      </c>
      <c r="D502">
        <v>129</v>
      </c>
      <c r="E502" t="s">
        <v>961</v>
      </c>
      <c r="F502" s="35" t="s">
        <v>982</v>
      </c>
      <c r="G502" s="28" t="s">
        <v>1593</v>
      </c>
      <c r="H502" s="28" t="s">
        <v>1594</v>
      </c>
      <c r="I502" s="28" t="s">
        <v>4582</v>
      </c>
      <c r="J502" s="28" t="s">
        <v>4583</v>
      </c>
      <c r="K502" s="28" t="s">
        <v>4804</v>
      </c>
      <c r="L502" s="28" t="s">
        <v>4805</v>
      </c>
      <c r="M502" s="28" t="s">
        <v>4806</v>
      </c>
      <c r="N502" s="28" t="s">
        <v>4807</v>
      </c>
    </row>
    <row r="503" spans="1:14">
      <c r="A503" t="s">
        <v>27</v>
      </c>
      <c r="B503" t="s">
        <v>61</v>
      </c>
      <c r="C503">
        <v>2037</v>
      </c>
      <c r="D503">
        <v>42</v>
      </c>
      <c r="E503" t="s">
        <v>961</v>
      </c>
      <c r="F503" s="35" t="s">
        <v>982</v>
      </c>
      <c r="G503" s="28" t="s">
        <v>1611</v>
      </c>
      <c r="H503" s="28" t="s">
        <v>1594</v>
      </c>
      <c r="I503" s="28" t="s">
        <v>4612</v>
      </c>
      <c r="J503" s="28" t="s">
        <v>4583</v>
      </c>
      <c r="K503" s="28" t="s">
        <v>4808</v>
      </c>
      <c r="L503" s="28" t="s">
        <v>4805</v>
      </c>
      <c r="M503" s="28" t="s">
        <v>4809</v>
      </c>
      <c r="N503" s="28" t="s">
        <v>4807</v>
      </c>
    </row>
    <row r="504" spans="1:14">
      <c r="A504" t="s">
        <v>27</v>
      </c>
      <c r="B504" t="s">
        <v>61</v>
      </c>
      <c r="C504">
        <v>2038</v>
      </c>
      <c r="D504">
        <v>139</v>
      </c>
      <c r="E504" t="s">
        <v>961</v>
      </c>
      <c r="F504" s="35" t="s">
        <v>982</v>
      </c>
      <c r="G504" s="28" t="s">
        <v>1612</v>
      </c>
      <c r="H504" s="28" t="s">
        <v>1594</v>
      </c>
      <c r="I504" s="28" t="s">
        <v>4613</v>
      </c>
      <c r="J504" s="28" t="s">
        <v>4583</v>
      </c>
      <c r="K504" s="28" t="s">
        <v>4810</v>
      </c>
      <c r="L504" s="28" t="s">
        <v>4805</v>
      </c>
      <c r="M504" s="28" t="s">
        <v>4811</v>
      </c>
      <c r="N504" s="28" t="s">
        <v>4807</v>
      </c>
    </row>
    <row r="505" spans="1:14">
      <c r="A505" t="s">
        <v>27</v>
      </c>
      <c r="B505" t="s">
        <v>61</v>
      </c>
      <c r="C505">
        <v>2040</v>
      </c>
      <c r="D505">
        <v>104</v>
      </c>
      <c r="E505" t="s">
        <v>961</v>
      </c>
      <c r="F505" s="35" t="s">
        <v>983</v>
      </c>
      <c r="G505" s="28" t="s">
        <v>1614</v>
      </c>
      <c r="H505" s="28" t="s">
        <v>1596</v>
      </c>
      <c r="I505" s="28" t="s">
        <v>4615</v>
      </c>
      <c r="J505" s="28" t="s">
        <v>4585</v>
      </c>
      <c r="K505" s="28" t="s">
        <v>4812</v>
      </c>
      <c r="L505" s="28" t="s">
        <v>4813</v>
      </c>
      <c r="M505" s="28" t="s">
        <v>4814</v>
      </c>
      <c r="N505" s="28" t="s">
        <v>4815</v>
      </c>
    </row>
    <row r="506" spans="1:14">
      <c r="A506" t="s">
        <v>27</v>
      </c>
      <c r="B506" t="s">
        <v>61</v>
      </c>
      <c r="C506">
        <v>2041</v>
      </c>
      <c r="D506">
        <v>54</v>
      </c>
      <c r="E506" t="s">
        <v>961</v>
      </c>
      <c r="F506" s="35" t="s">
        <v>983</v>
      </c>
      <c r="G506" s="28" t="s">
        <v>1595</v>
      </c>
      <c r="H506" s="28" t="s">
        <v>1596</v>
      </c>
      <c r="I506" s="28" t="s">
        <v>4584</v>
      </c>
      <c r="J506" s="28" t="s">
        <v>4585</v>
      </c>
      <c r="K506" s="28" t="s">
        <v>4816</v>
      </c>
      <c r="L506" s="28" t="s">
        <v>4813</v>
      </c>
      <c r="M506" s="28" t="s">
        <v>4817</v>
      </c>
      <c r="N506" s="28" t="s">
        <v>4815</v>
      </c>
    </row>
    <row r="507" spans="1:14">
      <c r="A507" t="s">
        <v>27</v>
      </c>
      <c r="B507" t="s">
        <v>61</v>
      </c>
      <c r="C507">
        <v>2042</v>
      </c>
      <c r="D507">
        <v>128</v>
      </c>
      <c r="E507" t="s">
        <v>961</v>
      </c>
      <c r="F507" s="35" t="s">
        <v>983</v>
      </c>
      <c r="G507" s="28" t="s">
        <v>1597</v>
      </c>
      <c r="H507" s="28" t="s">
        <v>1596</v>
      </c>
      <c r="I507" s="28" t="s">
        <v>4586</v>
      </c>
      <c r="J507" s="28" t="s">
        <v>4585</v>
      </c>
      <c r="K507" s="28" t="s">
        <v>4818</v>
      </c>
      <c r="L507" s="28" t="s">
        <v>4813</v>
      </c>
      <c r="M507" s="28" t="s">
        <v>4819</v>
      </c>
      <c r="N507" s="28" t="s">
        <v>4815</v>
      </c>
    </row>
    <row r="508" spans="1:14">
      <c r="A508" t="s">
        <v>27</v>
      </c>
      <c r="B508" t="s">
        <v>61</v>
      </c>
      <c r="C508">
        <v>2043</v>
      </c>
      <c r="D508">
        <v>82</v>
      </c>
      <c r="E508" t="s">
        <v>961</v>
      </c>
      <c r="F508" s="35" t="s">
        <v>983</v>
      </c>
      <c r="G508" s="28" t="s">
        <v>1615</v>
      </c>
      <c r="H508" s="28" t="s">
        <v>1596</v>
      </c>
      <c r="I508" s="28" t="s">
        <v>4616</v>
      </c>
      <c r="J508" s="28" t="s">
        <v>4585</v>
      </c>
      <c r="K508" s="28" t="s">
        <v>4820</v>
      </c>
      <c r="L508" s="28" t="s">
        <v>4813</v>
      </c>
      <c r="M508" s="28" t="s">
        <v>4821</v>
      </c>
      <c r="N508" s="28" t="s">
        <v>4815</v>
      </c>
    </row>
    <row r="509" spans="1:14">
      <c r="A509" t="s">
        <v>27</v>
      </c>
      <c r="B509" t="s">
        <v>61</v>
      </c>
      <c r="C509">
        <v>2044</v>
      </c>
      <c r="D509">
        <v>60</v>
      </c>
      <c r="E509" t="s">
        <v>961</v>
      </c>
      <c r="F509" s="35" t="s">
        <v>984</v>
      </c>
      <c r="G509" s="28" t="s">
        <v>1598</v>
      </c>
      <c r="H509" s="28" t="s">
        <v>1599</v>
      </c>
      <c r="I509" s="28" t="s">
        <v>4587</v>
      </c>
      <c r="J509" s="28" t="s">
        <v>4588</v>
      </c>
      <c r="K509" s="28" t="s">
        <v>4822</v>
      </c>
      <c r="L509" s="28" t="s">
        <v>4823</v>
      </c>
      <c r="M509" s="28" t="s">
        <v>4824</v>
      </c>
      <c r="N509" s="28" t="s">
        <v>4825</v>
      </c>
    </row>
    <row r="510" spans="1:14">
      <c r="A510" t="s">
        <v>27</v>
      </c>
      <c r="B510" t="s">
        <v>61</v>
      </c>
      <c r="C510">
        <v>2045</v>
      </c>
      <c r="D510">
        <v>11</v>
      </c>
      <c r="E510" t="s">
        <v>961</v>
      </c>
      <c r="F510" s="35" t="s">
        <v>984</v>
      </c>
      <c r="G510" s="28" t="s">
        <v>1600</v>
      </c>
      <c r="H510" s="28" t="s">
        <v>1599</v>
      </c>
      <c r="I510" s="28" t="s">
        <v>4589</v>
      </c>
      <c r="J510" s="28" t="s">
        <v>4588</v>
      </c>
      <c r="K510" s="28" t="s">
        <v>4826</v>
      </c>
      <c r="L510" s="28" t="s">
        <v>4823</v>
      </c>
      <c r="M510" s="28" t="s">
        <v>4827</v>
      </c>
      <c r="N510" s="28" t="s">
        <v>4825</v>
      </c>
    </row>
    <row r="511" spans="1:14">
      <c r="A511" t="s">
        <v>27</v>
      </c>
      <c r="B511" t="s">
        <v>61</v>
      </c>
      <c r="C511">
        <v>2046</v>
      </c>
      <c r="D511">
        <v>56</v>
      </c>
      <c r="E511" t="s">
        <v>961</v>
      </c>
      <c r="F511" s="35" t="s">
        <v>984</v>
      </c>
      <c r="G511" s="28" t="s">
        <v>1623</v>
      </c>
      <c r="H511" s="28" t="s">
        <v>1599</v>
      </c>
      <c r="I511" s="28" t="s">
        <v>4704</v>
      </c>
      <c r="J511" s="28" t="s">
        <v>4588</v>
      </c>
      <c r="K511" s="28" t="s">
        <v>4828</v>
      </c>
      <c r="L511" s="28" t="s">
        <v>4823</v>
      </c>
      <c r="M511" s="28" t="s">
        <v>4829</v>
      </c>
      <c r="N511" s="28" t="s">
        <v>4825</v>
      </c>
    </row>
    <row r="512" spans="1:14">
      <c r="A512" t="s">
        <v>27</v>
      </c>
      <c r="B512" t="s">
        <v>61</v>
      </c>
      <c r="C512">
        <v>2047</v>
      </c>
      <c r="D512">
        <v>60</v>
      </c>
      <c r="E512" t="s">
        <v>961</v>
      </c>
      <c r="F512" s="35" t="s">
        <v>984</v>
      </c>
      <c r="G512" s="28" t="s">
        <v>1601</v>
      </c>
      <c r="H512" s="28" t="s">
        <v>1599</v>
      </c>
      <c r="I512" s="28" t="s">
        <v>4590</v>
      </c>
      <c r="J512" s="28" t="s">
        <v>4588</v>
      </c>
      <c r="K512" s="28" t="s">
        <v>4830</v>
      </c>
      <c r="L512" s="28" t="s">
        <v>4823</v>
      </c>
      <c r="M512" s="28" t="s">
        <v>4831</v>
      </c>
      <c r="N512" s="28" t="s">
        <v>4825</v>
      </c>
    </row>
    <row r="513" spans="1:14">
      <c r="A513" t="s">
        <v>27</v>
      </c>
      <c r="B513" t="s">
        <v>61</v>
      </c>
      <c r="C513">
        <v>2048</v>
      </c>
      <c r="D513">
        <v>12</v>
      </c>
      <c r="E513" t="s">
        <v>961</v>
      </c>
      <c r="F513" s="35" t="s">
        <v>984</v>
      </c>
      <c r="G513" s="28" t="s">
        <v>1625</v>
      </c>
      <c r="H513" s="28" t="s">
        <v>1599</v>
      </c>
      <c r="I513" s="28" t="s">
        <v>4832</v>
      </c>
      <c r="J513" s="28" t="s">
        <v>4588</v>
      </c>
      <c r="K513" s="28" t="s">
        <v>4833</v>
      </c>
      <c r="L513" s="28" t="s">
        <v>4823</v>
      </c>
      <c r="M513" s="28" t="s">
        <v>4834</v>
      </c>
      <c r="N513" s="28" t="s">
        <v>4825</v>
      </c>
    </row>
    <row r="514" spans="1:14">
      <c r="A514" t="s">
        <v>27</v>
      </c>
      <c r="B514" t="s">
        <v>61</v>
      </c>
      <c r="C514">
        <v>2049</v>
      </c>
      <c r="D514">
        <v>36</v>
      </c>
      <c r="E514" t="s">
        <v>961</v>
      </c>
      <c r="F514" s="35" t="s">
        <v>985</v>
      </c>
      <c r="G514" s="28" t="s">
        <v>1602</v>
      </c>
      <c r="H514" s="28" t="s">
        <v>1603</v>
      </c>
      <c r="I514" s="28" t="s">
        <v>4591</v>
      </c>
      <c r="J514" s="28" t="s">
        <v>4592</v>
      </c>
      <c r="K514" s="28" t="s">
        <v>4835</v>
      </c>
      <c r="L514" s="28" t="s">
        <v>4836</v>
      </c>
      <c r="M514" s="28" t="s">
        <v>4837</v>
      </c>
      <c r="N514" s="28" t="s">
        <v>4838</v>
      </c>
    </row>
    <row r="515" spans="1:14">
      <c r="A515" t="s">
        <v>27</v>
      </c>
      <c r="B515" t="s">
        <v>61</v>
      </c>
      <c r="C515">
        <v>2050</v>
      </c>
      <c r="D515">
        <v>69</v>
      </c>
      <c r="E515" t="s">
        <v>961</v>
      </c>
      <c r="F515" s="35" t="s">
        <v>985</v>
      </c>
      <c r="G515" s="28" t="s">
        <v>1616</v>
      </c>
      <c r="H515" s="28" t="s">
        <v>1603</v>
      </c>
      <c r="I515" s="28" t="s">
        <v>4617</v>
      </c>
      <c r="J515" s="28" t="s">
        <v>4592</v>
      </c>
      <c r="K515" s="28" t="s">
        <v>4839</v>
      </c>
      <c r="L515" s="28" t="s">
        <v>4836</v>
      </c>
      <c r="M515" s="28" t="s">
        <v>4840</v>
      </c>
      <c r="N515" s="28" t="s">
        <v>4838</v>
      </c>
    </row>
    <row r="516" spans="1:14">
      <c r="A516" t="s">
        <v>27</v>
      </c>
      <c r="B516" t="s">
        <v>61</v>
      </c>
      <c r="C516">
        <v>2051</v>
      </c>
      <c r="D516">
        <v>48</v>
      </c>
      <c r="E516" t="s">
        <v>961</v>
      </c>
      <c r="F516" s="35" t="s">
        <v>985</v>
      </c>
      <c r="G516" s="28" t="s">
        <v>1604</v>
      </c>
      <c r="H516" s="28" t="s">
        <v>1603</v>
      </c>
      <c r="I516" s="28" t="s">
        <v>4593</v>
      </c>
      <c r="J516" s="28" t="s">
        <v>4592</v>
      </c>
      <c r="K516" s="28" t="s">
        <v>4841</v>
      </c>
      <c r="L516" s="28" t="s">
        <v>4836</v>
      </c>
      <c r="M516" s="28" t="s">
        <v>4842</v>
      </c>
      <c r="N516" s="28" t="s">
        <v>4838</v>
      </c>
    </row>
    <row r="517" spans="1:14">
      <c r="A517" t="s">
        <v>27</v>
      </c>
      <c r="B517" t="s">
        <v>61</v>
      </c>
      <c r="C517">
        <v>2052</v>
      </c>
      <c r="D517">
        <v>173</v>
      </c>
      <c r="E517" t="s">
        <v>961</v>
      </c>
      <c r="F517" s="35" t="s">
        <v>985</v>
      </c>
      <c r="G517" s="28" t="s">
        <v>1605</v>
      </c>
      <c r="H517" s="28" t="s">
        <v>1603</v>
      </c>
      <c r="I517" s="28" t="s">
        <v>4594</v>
      </c>
      <c r="J517" s="28" t="s">
        <v>4592</v>
      </c>
      <c r="K517" s="28" t="s">
        <v>4843</v>
      </c>
      <c r="L517" s="28" t="s">
        <v>4836</v>
      </c>
      <c r="M517" s="28" t="s">
        <v>4844</v>
      </c>
      <c r="N517" s="28" t="s">
        <v>4838</v>
      </c>
    </row>
    <row r="518" spans="1:14">
      <c r="A518" t="s">
        <v>27</v>
      </c>
      <c r="B518" t="s">
        <v>61</v>
      </c>
      <c r="C518">
        <v>2102</v>
      </c>
      <c r="D518">
        <v>15</v>
      </c>
      <c r="E518" t="s">
        <v>961</v>
      </c>
      <c r="F518" s="35" t="s">
        <v>976</v>
      </c>
      <c r="G518" s="28" t="s">
        <v>1543</v>
      </c>
      <c r="H518" s="28" t="s">
        <v>1544</v>
      </c>
      <c r="I518" s="28" t="s">
        <v>4618</v>
      </c>
      <c r="J518" s="28" t="s">
        <v>4595</v>
      </c>
      <c r="K518" s="28" t="s">
        <v>4845</v>
      </c>
      <c r="L518" s="28" t="s">
        <v>4846</v>
      </c>
      <c r="M518" s="28" t="s">
        <v>4245</v>
      </c>
      <c r="N518" s="28" t="s">
        <v>4243</v>
      </c>
    </row>
    <row r="519" spans="1:14">
      <c r="A519" t="s">
        <v>27</v>
      </c>
      <c r="B519" t="s">
        <v>61</v>
      </c>
      <c r="C519">
        <v>2104</v>
      </c>
      <c r="D519">
        <v>21</v>
      </c>
      <c r="E519" t="s">
        <v>961</v>
      </c>
      <c r="F519" s="35" t="s">
        <v>976</v>
      </c>
      <c r="G519" s="28" t="s">
        <v>1546</v>
      </c>
      <c r="H519" s="28" t="s">
        <v>1544</v>
      </c>
      <c r="I519" s="28" t="s">
        <v>4847</v>
      </c>
      <c r="J519" s="28" t="s">
        <v>4595</v>
      </c>
      <c r="K519" s="28" t="s">
        <v>4848</v>
      </c>
      <c r="L519" s="28" t="s">
        <v>4846</v>
      </c>
      <c r="M519" s="28" t="s">
        <v>4249</v>
      </c>
      <c r="N519" s="28" t="s">
        <v>4243</v>
      </c>
    </row>
    <row r="520" spans="1:14">
      <c r="A520" t="s">
        <v>27</v>
      </c>
      <c r="B520" t="s">
        <v>61</v>
      </c>
      <c r="C520">
        <v>2105</v>
      </c>
      <c r="D520">
        <v>12</v>
      </c>
      <c r="E520" t="s">
        <v>961</v>
      </c>
      <c r="F520" s="35" t="s">
        <v>975</v>
      </c>
      <c r="G520" s="28" t="s">
        <v>1547</v>
      </c>
      <c r="H520" s="28" t="s">
        <v>1548</v>
      </c>
      <c r="I520" s="28" t="s">
        <v>4596</v>
      </c>
      <c r="J520" s="28" t="s">
        <v>4597</v>
      </c>
      <c r="K520" s="28" t="s">
        <v>4849</v>
      </c>
      <c r="L520" s="28" t="s">
        <v>4850</v>
      </c>
      <c r="M520" s="28" t="s">
        <v>4252</v>
      </c>
      <c r="N520" s="28" t="s">
        <v>4253</v>
      </c>
    </row>
    <row r="521" spans="1:14">
      <c r="A521" t="s">
        <v>27</v>
      </c>
      <c r="B521" t="s">
        <v>61</v>
      </c>
      <c r="C521">
        <v>2106</v>
      </c>
      <c r="D521">
        <v>16</v>
      </c>
      <c r="E521" t="s">
        <v>961</v>
      </c>
      <c r="F521" s="35" t="s">
        <v>975</v>
      </c>
      <c r="G521" s="28" t="s">
        <v>1549</v>
      </c>
      <c r="H521" s="28" t="s">
        <v>1548</v>
      </c>
      <c r="I521" s="28" t="s">
        <v>4619</v>
      </c>
      <c r="J521" s="28" t="s">
        <v>4597</v>
      </c>
      <c r="K521" s="28" t="s">
        <v>4851</v>
      </c>
      <c r="L521" s="28" t="s">
        <v>4850</v>
      </c>
      <c r="M521" s="28" t="s">
        <v>4255</v>
      </c>
      <c r="N521" s="28" t="s">
        <v>4253</v>
      </c>
    </row>
    <row r="522" spans="1:14">
      <c r="A522" t="s">
        <v>27</v>
      </c>
      <c r="B522" t="s">
        <v>61</v>
      </c>
      <c r="C522">
        <v>2107</v>
      </c>
      <c r="D522">
        <v>47</v>
      </c>
      <c r="E522" t="s">
        <v>961</v>
      </c>
      <c r="F522" s="35" t="s">
        <v>975</v>
      </c>
      <c r="G522" s="28" t="s">
        <v>1550</v>
      </c>
      <c r="H522" s="28" t="s">
        <v>1548</v>
      </c>
      <c r="I522" s="28" t="s">
        <v>4598</v>
      </c>
      <c r="J522" s="28" t="s">
        <v>4597</v>
      </c>
      <c r="K522" s="28" t="s">
        <v>4852</v>
      </c>
      <c r="L522" s="28" t="s">
        <v>4850</v>
      </c>
      <c r="M522" s="28" t="s">
        <v>4257</v>
      </c>
      <c r="N522" s="28" t="s">
        <v>4253</v>
      </c>
    </row>
    <row r="523" spans="1:14">
      <c r="A523" t="s">
        <v>27</v>
      </c>
      <c r="B523" t="s">
        <v>61</v>
      </c>
      <c r="C523">
        <v>2108</v>
      </c>
      <c r="D523">
        <v>12</v>
      </c>
      <c r="E523" t="s">
        <v>961</v>
      </c>
      <c r="F523" s="35" t="s">
        <v>975</v>
      </c>
      <c r="G523" s="28" t="s">
        <v>1551</v>
      </c>
      <c r="H523" s="28" t="s">
        <v>1548</v>
      </c>
      <c r="I523" s="28" t="s">
        <v>4620</v>
      </c>
      <c r="J523" s="28" t="s">
        <v>4597</v>
      </c>
      <c r="K523" s="28" t="s">
        <v>4853</v>
      </c>
      <c r="L523" s="28" t="s">
        <v>4850</v>
      </c>
      <c r="M523" s="28" t="s">
        <v>4259</v>
      </c>
      <c r="N523" s="28" t="s">
        <v>4253</v>
      </c>
    </row>
    <row r="524" spans="1:14">
      <c r="A524" t="s">
        <v>27</v>
      </c>
      <c r="B524" t="s">
        <v>61</v>
      </c>
      <c r="C524">
        <v>2110</v>
      </c>
      <c r="D524">
        <v>36</v>
      </c>
      <c r="E524" t="s">
        <v>961</v>
      </c>
      <c r="F524" s="35" t="s">
        <v>969</v>
      </c>
      <c r="G524" s="28" t="s">
        <v>1554</v>
      </c>
      <c r="H524" s="28" t="s">
        <v>1553</v>
      </c>
      <c r="I524" s="28" t="s">
        <v>4621</v>
      </c>
      <c r="J524" s="28" t="s">
        <v>4600</v>
      </c>
      <c r="K524" s="28" t="s">
        <v>4854</v>
      </c>
      <c r="L524" s="28" t="s">
        <v>4855</v>
      </c>
      <c r="M524" s="28" t="s">
        <v>4856</v>
      </c>
      <c r="N524" s="28" t="s">
        <v>4857</v>
      </c>
    </row>
    <row r="525" spans="1:14">
      <c r="A525" t="s">
        <v>27</v>
      </c>
      <c r="B525" t="s">
        <v>61</v>
      </c>
      <c r="C525">
        <v>2111</v>
      </c>
      <c r="D525">
        <v>55</v>
      </c>
      <c r="E525" t="s">
        <v>961</v>
      </c>
      <c r="F525" s="35" t="s">
        <v>969</v>
      </c>
      <c r="G525" s="28" t="s">
        <v>1555</v>
      </c>
      <c r="H525" s="28" t="s">
        <v>1553</v>
      </c>
      <c r="I525" s="28" t="s">
        <v>4622</v>
      </c>
      <c r="J525" s="28" t="s">
        <v>4600</v>
      </c>
      <c r="K525" s="28" t="s">
        <v>4858</v>
      </c>
      <c r="L525" s="28" t="s">
        <v>4855</v>
      </c>
      <c r="M525" s="28" t="s">
        <v>4859</v>
      </c>
      <c r="N525" s="28" t="s">
        <v>4857</v>
      </c>
    </row>
    <row r="526" spans="1:14">
      <c r="A526" t="s">
        <v>27</v>
      </c>
      <c r="B526" t="s">
        <v>61</v>
      </c>
      <c r="C526">
        <v>2112</v>
      </c>
      <c r="D526">
        <v>13</v>
      </c>
      <c r="E526" t="s">
        <v>961</v>
      </c>
      <c r="F526" s="35" t="s">
        <v>969</v>
      </c>
      <c r="G526" s="28" t="s">
        <v>1556</v>
      </c>
      <c r="H526" s="28" t="s">
        <v>1553</v>
      </c>
      <c r="I526" s="28" t="s">
        <v>4599</v>
      </c>
      <c r="J526" s="28" t="s">
        <v>4600</v>
      </c>
      <c r="K526" s="28" t="s">
        <v>4860</v>
      </c>
      <c r="L526" s="28" t="s">
        <v>4855</v>
      </c>
      <c r="M526" s="28" t="s">
        <v>4861</v>
      </c>
      <c r="N526" s="28" t="s">
        <v>4857</v>
      </c>
    </row>
    <row r="527" spans="1:14">
      <c r="A527" t="s">
        <v>27</v>
      </c>
      <c r="B527" t="s">
        <v>61</v>
      </c>
      <c r="C527">
        <v>2114</v>
      </c>
      <c r="D527">
        <v>180</v>
      </c>
      <c r="E527" t="s">
        <v>961</v>
      </c>
      <c r="F527" s="35" t="s">
        <v>970</v>
      </c>
      <c r="G527" s="28" t="s">
        <v>1558</v>
      </c>
      <c r="H527" s="28" t="s">
        <v>1529</v>
      </c>
      <c r="I527" s="28" t="s">
        <v>4736</v>
      </c>
      <c r="J527" s="28" t="s">
        <v>4602</v>
      </c>
      <c r="K527" s="28" t="s">
        <v>4862</v>
      </c>
      <c r="L527" s="28" t="s">
        <v>4863</v>
      </c>
      <c r="M527" s="28" t="s">
        <v>4864</v>
      </c>
      <c r="N527" s="28" t="s">
        <v>4865</v>
      </c>
    </row>
    <row r="528" spans="1:14">
      <c r="A528" t="s">
        <v>27</v>
      </c>
      <c r="B528" t="s">
        <v>61</v>
      </c>
      <c r="C528">
        <v>2115</v>
      </c>
      <c r="D528">
        <v>84</v>
      </c>
      <c r="E528" t="s">
        <v>961</v>
      </c>
      <c r="F528" s="35" t="s">
        <v>970</v>
      </c>
      <c r="G528" s="28" t="s">
        <v>1559</v>
      </c>
      <c r="H528" s="28" t="s">
        <v>1529</v>
      </c>
      <c r="I528" s="28" t="s">
        <v>4601</v>
      </c>
      <c r="J528" s="28" t="s">
        <v>4602</v>
      </c>
      <c r="K528" s="28" t="s">
        <v>4866</v>
      </c>
      <c r="L528" s="28" t="s">
        <v>4863</v>
      </c>
      <c r="M528" s="28" t="s">
        <v>4867</v>
      </c>
      <c r="N528" s="28" t="s">
        <v>4865</v>
      </c>
    </row>
    <row r="529" spans="1:14">
      <c r="A529" t="s">
        <v>27</v>
      </c>
      <c r="B529" t="s">
        <v>61</v>
      </c>
      <c r="C529">
        <v>2116</v>
      </c>
      <c r="D529">
        <v>88</v>
      </c>
      <c r="E529" t="s">
        <v>961</v>
      </c>
      <c r="F529" s="35" t="s">
        <v>970</v>
      </c>
      <c r="G529" s="28" t="s">
        <v>1528</v>
      </c>
      <c r="H529" s="28" t="s">
        <v>1529</v>
      </c>
      <c r="I529" s="28" t="s">
        <v>4623</v>
      </c>
      <c r="J529" s="28" t="s">
        <v>4602</v>
      </c>
      <c r="K529" s="28" t="s">
        <v>4868</v>
      </c>
      <c r="L529" s="28" t="s">
        <v>4863</v>
      </c>
      <c r="M529" s="28" t="s">
        <v>4869</v>
      </c>
      <c r="N529" s="28" t="s">
        <v>4865</v>
      </c>
    </row>
    <row r="530" spans="1:14">
      <c r="A530" t="s">
        <v>27</v>
      </c>
      <c r="B530" t="s">
        <v>61</v>
      </c>
      <c r="C530">
        <v>2117</v>
      </c>
      <c r="D530">
        <v>73</v>
      </c>
      <c r="E530" t="s">
        <v>961</v>
      </c>
      <c r="F530" s="35" t="s">
        <v>970</v>
      </c>
      <c r="G530" s="28" t="s">
        <v>1560</v>
      </c>
      <c r="H530" s="28" t="s">
        <v>1529</v>
      </c>
      <c r="I530" s="28" t="s">
        <v>4870</v>
      </c>
      <c r="J530" s="28" t="s">
        <v>4602</v>
      </c>
      <c r="K530" s="28" t="s">
        <v>4871</v>
      </c>
      <c r="L530" s="28" t="s">
        <v>4863</v>
      </c>
      <c r="M530" s="28" t="s">
        <v>4872</v>
      </c>
      <c r="N530" s="28" t="s">
        <v>4865</v>
      </c>
    </row>
    <row r="531" spans="1:14">
      <c r="A531" t="s">
        <v>27</v>
      </c>
      <c r="B531" t="s">
        <v>61</v>
      </c>
      <c r="C531">
        <v>2118</v>
      </c>
      <c r="D531">
        <v>7</v>
      </c>
      <c r="E531" t="s">
        <v>961</v>
      </c>
      <c r="F531" s="35" t="s">
        <v>971</v>
      </c>
      <c r="G531" s="28" t="s">
        <v>1530</v>
      </c>
      <c r="H531" s="28" t="s">
        <v>1531</v>
      </c>
      <c r="I531" s="28" t="s">
        <v>4873</v>
      </c>
      <c r="J531" s="28" t="s">
        <v>4604</v>
      </c>
      <c r="K531" s="28" t="s">
        <v>4874</v>
      </c>
      <c r="L531" s="28" t="s">
        <v>4875</v>
      </c>
      <c r="M531" s="28" t="s">
        <v>4876</v>
      </c>
      <c r="N531" s="28" t="s">
        <v>4877</v>
      </c>
    </row>
    <row r="532" spans="1:14">
      <c r="A532" t="s">
        <v>27</v>
      </c>
      <c r="B532" t="s">
        <v>61</v>
      </c>
      <c r="C532">
        <v>2119</v>
      </c>
      <c r="D532">
        <v>64</v>
      </c>
      <c r="E532" t="s">
        <v>961</v>
      </c>
      <c r="F532" s="35" t="s">
        <v>971</v>
      </c>
      <c r="G532" s="28" t="s">
        <v>1532</v>
      </c>
      <c r="H532" s="28" t="s">
        <v>1531</v>
      </c>
      <c r="I532" s="28" t="s">
        <v>4603</v>
      </c>
      <c r="J532" s="28" t="s">
        <v>4604</v>
      </c>
      <c r="K532" s="28" t="s">
        <v>4878</v>
      </c>
      <c r="L532" s="28" t="s">
        <v>4875</v>
      </c>
      <c r="M532" s="28" t="s">
        <v>4879</v>
      </c>
      <c r="N532" s="28" t="s">
        <v>4877</v>
      </c>
    </row>
    <row r="533" spans="1:14">
      <c r="A533" t="s">
        <v>27</v>
      </c>
      <c r="B533" t="s">
        <v>61</v>
      </c>
      <c r="C533">
        <v>2120</v>
      </c>
      <c r="D533">
        <v>53</v>
      </c>
      <c r="E533" t="s">
        <v>961</v>
      </c>
      <c r="F533" s="35" t="s">
        <v>971</v>
      </c>
      <c r="G533" s="28" t="s">
        <v>1564</v>
      </c>
      <c r="H533" s="28" t="s">
        <v>1531</v>
      </c>
      <c r="I533" s="28" t="s">
        <v>4605</v>
      </c>
      <c r="J533" s="28" t="s">
        <v>4604</v>
      </c>
      <c r="K533" s="28" t="s">
        <v>4880</v>
      </c>
      <c r="L533" s="28" t="s">
        <v>4875</v>
      </c>
      <c r="M533" s="28" t="s">
        <v>4881</v>
      </c>
      <c r="N533" s="28" t="s">
        <v>4877</v>
      </c>
    </row>
    <row r="534" spans="1:14">
      <c r="A534" t="s">
        <v>27</v>
      </c>
      <c r="B534" t="s">
        <v>61</v>
      </c>
      <c r="C534">
        <v>2121</v>
      </c>
      <c r="D534">
        <v>19</v>
      </c>
      <c r="E534" t="s">
        <v>961</v>
      </c>
      <c r="F534" s="35" t="s">
        <v>971</v>
      </c>
      <c r="G534" s="28" t="s">
        <v>1533</v>
      </c>
      <c r="H534" s="28" t="s">
        <v>1531</v>
      </c>
      <c r="I534" s="28" t="s">
        <v>4749</v>
      </c>
      <c r="J534" s="28" t="s">
        <v>4604</v>
      </c>
      <c r="K534" s="28" t="s">
        <v>4882</v>
      </c>
      <c r="L534" s="28" t="s">
        <v>4875</v>
      </c>
      <c r="M534" s="28" t="s">
        <v>4883</v>
      </c>
      <c r="N534" s="28" t="s">
        <v>4877</v>
      </c>
    </row>
    <row r="535" spans="1:14">
      <c r="A535" t="s">
        <v>27</v>
      </c>
      <c r="B535" t="s">
        <v>61</v>
      </c>
      <c r="C535">
        <v>2123</v>
      </c>
      <c r="D535">
        <v>36</v>
      </c>
      <c r="E535" t="s">
        <v>961</v>
      </c>
      <c r="F535" s="35" t="s">
        <v>972</v>
      </c>
      <c r="G535" s="28" t="s">
        <v>1535</v>
      </c>
      <c r="H535" s="28" t="s">
        <v>1536</v>
      </c>
      <c r="I535" s="28" t="s">
        <v>4884</v>
      </c>
      <c r="J535" s="28" t="s">
        <v>4753</v>
      </c>
      <c r="K535" s="28" t="s">
        <v>4885</v>
      </c>
      <c r="L535" s="28" t="s">
        <v>4886</v>
      </c>
      <c r="M535" s="28" t="s">
        <v>4887</v>
      </c>
      <c r="N535" s="28" t="s">
        <v>4888</v>
      </c>
    </row>
    <row r="536" spans="1:14">
      <c r="A536" t="s">
        <v>27</v>
      </c>
      <c r="B536" t="s">
        <v>61</v>
      </c>
      <c r="C536">
        <v>2124</v>
      </c>
      <c r="D536">
        <v>36</v>
      </c>
      <c r="E536" t="s">
        <v>961</v>
      </c>
      <c r="F536" s="35" t="s">
        <v>972</v>
      </c>
      <c r="G536" s="28" t="s">
        <v>1537</v>
      </c>
      <c r="H536" s="28" t="s">
        <v>1536</v>
      </c>
      <c r="I536" s="28" t="s">
        <v>4752</v>
      </c>
      <c r="J536" s="28" t="s">
        <v>4753</v>
      </c>
      <c r="K536" s="28" t="s">
        <v>4889</v>
      </c>
      <c r="L536" s="28" t="s">
        <v>4886</v>
      </c>
      <c r="M536" s="28" t="s">
        <v>4890</v>
      </c>
      <c r="N536" s="28" t="s">
        <v>4888</v>
      </c>
    </row>
    <row r="537" spans="1:14">
      <c r="A537" t="s">
        <v>27</v>
      </c>
      <c r="B537" t="s">
        <v>61</v>
      </c>
      <c r="C537">
        <v>2125</v>
      </c>
      <c r="D537">
        <v>72</v>
      </c>
      <c r="E537" t="s">
        <v>961</v>
      </c>
      <c r="F537" s="35" t="s">
        <v>972</v>
      </c>
      <c r="G537" s="28" t="s">
        <v>1538</v>
      </c>
      <c r="H537" s="28" t="s">
        <v>1536</v>
      </c>
      <c r="I537" s="28" t="s">
        <v>4891</v>
      </c>
      <c r="J537" s="28" t="s">
        <v>4753</v>
      </c>
      <c r="K537" s="28" t="s">
        <v>4892</v>
      </c>
      <c r="L537" s="28" t="s">
        <v>4886</v>
      </c>
      <c r="M537" s="28" t="s">
        <v>4893</v>
      </c>
      <c r="N537" s="28" t="s">
        <v>4888</v>
      </c>
    </row>
    <row r="538" spans="1:14">
      <c r="A538" t="s">
        <v>27</v>
      </c>
      <c r="B538" t="s">
        <v>61</v>
      </c>
      <c r="C538">
        <v>2127</v>
      </c>
      <c r="D538">
        <v>48</v>
      </c>
      <c r="E538" t="s">
        <v>961</v>
      </c>
      <c r="F538" s="35" t="s">
        <v>973</v>
      </c>
      <c r="G538" s="28" t="s">
        <v>1565</v>
      </c>
      <c r="H538" s="28" t="s">
        <v>1541</v>
      </c>
      <c r="I538" s="28" t="s">
        <v>4894</v>
      </c>
      <c r="J538" s="28" t="s">
        <v>4606</v>
      </c>
      <c r="K538" s="28" t="s">
        <v>4895</v>
      </c>
      <c r="L538" s="28" t="s">
        <v>4896</v>
      </c>
      <c r="M538" s="28" t="s">
        <v>4897</v>
      </c>
      <c r="N538" s="28" t="s">
        <v>4898</v>
      </c>
    </row>
    <row r="539" spans="1:14">
      <c r="A539" t="s">
        <v>27</v>
      </c>
      <c r="B539" t="s">
        <v>61</v>
      </c>
      <c r="C539">
        <v>2128</v>
      </c>
      <c r="D539">
        <v>36</v>
      </c>
      <c r="E539" t="s">
        <v>961</v>
      </c>
      <c r="F539" s="35" t="s">
        <v>973</v>
      </c>
      <c r="G539" s="28" t="s">
        <v>1540</v>
      </c>
      <c r="H539" s="28" t="s">
        <v>1541</v>
      </c>
      <c r="I539" s="28" t="s">
        <v>4899</v>
      </c>
      <c r="J539" s="28" t="s">
        <v>4606</v>
      </c>
      <c r="K539" s="28" t="s">
        <v>4900</v>
      </c>
      <c r="L539" s="28" t="s">
        <v>4896</v>
      </c>
      <c r="M539" s="28" t="s">
        <v>4901</v>
      </c>
      <c r="N539" s="28" t="s">
        <v>4898</v>
      </c>
    </row>
    <row r="540" spans="1:14">
      <c r="A540" t="s">
        <v>27</v>
      </c>
      <c r="B540" t="s">
        <v>61</v>
      </c>
      <c r="C540">
        <v>2130</v>
      </c>
      <c r="D540">
        <v>12</v>
      </c>
      <c r="E540" t="s">
        <v>961</v>
      </c>
      <c r="F540" s="35" t="s">
        <v>973</v>
      </c>
      <c r="G540" s="28" t="s">
        <v>1626</v>
      </c>
      <c r="H540" s="28" t="s">
        <v>1541</v>
      </c>
      <c r="I540" s="28" t="s">
        <v>4902</v>
      </c>
      <c r="J540" s="28" t="s">
        <v>4606</v>
      </c>
      <c r="K540" s="28" t="s">
        <v>4903</v>
      </c>
      <c r="L540" s="28" t="s">
        <v>4896</v>
      </c>
      <c r="M540" s="28" t="s">
        <v>4904</v>
      </c>
      <c r="N540" s="28" t="s">
        <v>4898</v>
      </c>
    </row>
    <row r="541" spans="1:14">
      <c r="A541" t="s">
        <v>27</v>
      </c>
      <c r="B541" t="s">
        <v>61</v>
      </c>
      <c r="C541">
        <v>2131</v>
      </c>
      <c r="D541">
        <v>51</v>
      </c>
      <c r="E541" t="s">
        <v>961</v>
      </c>
      <c r="F541" s="35" t="s">
        <v>974</v>
      </c>
      <c r="G541" s="28" t="s">
        <v>1624</v>
      </c>
      <c r="H541" s="28" t="s">
        <v>1563</v>
      </c>
      <c r="I541" s="28" t="s">
        <v>4758</v>
      </c>
      <c r="J541" s="28" t="s">
        <v>4759</v>
      </c>
      <c r="K541" s="28" t="s">
        <v>4905</v>
      </c>
      <c r="L541" s="28" t="s">
        <v>4906</v>
      </c>
      <c r="M541" s="28" t="s">
        <v>4907</v>
      </c>
      <c r="N541" s="28" t="s">
        <v>4908</v>
      </c>
    </row>
    <row r="542" spans="1:14">
      <c r="A542" t="s">
        <v>27</v>
      </c>
      <c r="B542" t="s">
        <v>61</v>
      </c>
      <c r="C542">
        <v>2133</v>
      </c>
      <c r="D542">
        <v>78</v>
      </c>
      <c r="E542" t="s">
        <v>961</v>
      </c>
      <c r="F542" s="35" t="s">
        <v>974</v>
      </c>
      <c r="G542" s="28" t="s">
        <v>1562</v>
      </c>
      <c r="H542" s="28" t="s">
        <v>1563</v>
      </c>
      <c r="I542" s="28" t="s">
        <v>4909</v>
      </c>
      <c r="J542" s="28" t="s">
        <v>4759</v>
      </c>
      <c r="K542" s="28" t="s">
        <v>4910</v>
      </c>
      <c r="L542" s="28" t="s">
        <v>4906</v>
      </c>
      <c r="M542" s="28" t="s">
        <v>4911</v>
      </c>
      <c r="N542" s="28" t="s">
        <v>4908</v>
      </c>
    </row>
    <row r="543" spans="1:14">
      <c r="A543" t="s">
        <v>27</v>
      </c>
      <c r="B543" t="s">
        <v>61</v>
      </c>
      <c r="C543">
        <v>2135</v>
      </c>
      <c r="D543">
        <v>37</v>
      </c>
      <c r="E543" t="s">
        <v>961</v>
      </c>
      <c r="F543" s="35" t="s">
        <v>974</v>
      </c>
      <c r="G543" s="28" t="s">
        <v>6173</v>
      </c>
      <c r="H543" s="28" t="s">
        <v>1563</v>
      </c>
      <c r="I543" s="28" t="s">
        <v>6181</v>
      </c>
      <c r="J543" s="28" t="s">
        <v>4759</v>
      </c>
      <c r="K543" s="28" t="s">
        <v>6182</v>
      </c>
      <c r="L543" s="28" t="s">
        <v>4906</v>
      </c>
      <c r="M543" s="28" t="s">
        <v>6183</v>
      </c>
      <c r="N543" s="28" t="s">
        <v>4908</v>
      </c>
    </row>
    <row r="544" spans="1:14">
      <c r="A544" t="s">
        <v>27</v>
      </c>
      <c r="B544" t="s">
        <v>69</v>
      </c>
      <c r="C544">
        <v>2134</v>
      </c>
      <c r="D544">
        <v>8</v>
      </c>
      <c r="E544" t="s">
        <v>960</v>
      </c>
      <c r="F544" s="35" t="s">
        <v>974</v>
      </c>
      <c r="G544" s="28" t="s">
        <v>6016</v>
      </c>
      <c r="H544" s="28" t="s">
        <v>1513</v>
      </c>
      <c r="I544" s="28" t="s">
        <v>6184</v>
      </c>
      <c r="J544" s="28" t="s">
        <v>4922</v>
      </c>
      <c r="K544" s="28" t="s">
        <v>6185</v>
      </c>
      <c r="L544" s="28" t="s">
        <v>6186</v>
      </c>
      <c r="M544" s="28" t="s">
        <v>6034</v>
      </c>
      <c r="N544" s="28" t="s">
        <v>3643</v>
      </c>
    </row>
    <row r="545" spans="1:14">
      <c r="A545" t="s">
        <v>27</v>
      </c>
      <c r="B545" t="s">
        <v>69</v>
      </c>
      <c r="C545">
        <v>2135</v>
      </c>
      <c r="D545">
        <v>15</v>
      </c>
      <c r="E545" t="s">
        <v>960</v>
      </c>
      <c r="F545" s="35" t="s">
        <v>974</v>
      </c>
      <c r="G545" s="28" t="s">
        <v>6155</v>
      </c>
      <c r="H545" s="28" t="s">
        <v>1513</v>
      </c>
      <c r="I545" s="28" t="s">
        <v>6187</v>
      </c>
      <c r="J545" s="28" t="s">
        <v>4922</v>
      </c>
      <c r="K545" s="28" t="s">
        <v>6188</v>
      </c>
      <c r="L545" s="28" t="s">
        <v>6186</v>
      </c>
      <c r="M545" s="28" t="s">
        <v>6158</v>
      </c>
      <c r="N545" s="28" t="s">
        <v>3643</v>
      </c>
    </row>
    <row r="546" spans="1:14">
      <c r="A546" t="s">
        <v>27</v>
      </c>
      <c r="B546" t="s">
        <v>67</v>
      </c>
      <c r="C546">
        <v>2127</v>
      </c>
      <c r="D546">
        <v>17</v>
      </c>
      <c r="E546" t="s">
        <v>960</v>
      </c>
      <c r="F546" s="35" t="s">
        <v>973</v>
      </c>
      <c r="G546" s="28" t="s">
        <v>1507</v>
      </c>
      <c r="H546" s="28" t="s">
        <v>1508</v>
      </c>
      <c r="I546" s="28" t="s">
        <v>4912</v>
      </c>
      <c r="J546" s="28" t="s">
        <v>4913</v>
      </c>
      <c r="K546" s="28" t="s">
        <v>4914</v>
      </c>
      <c r="L546" s="28" t="s">
        <v>4915</v>
      </c>
      <c r="M546" s="28" t="s">
        <v>4916</v>
      </c>
      <c r="N546" s="28" t="s">
        <v>3672</v>
      </c>
    </row>
    <row r="547" spans="1:14">
      <c r="A547" t="s">
        <v>27</v>
      </c>
      <c r="B547" t="s">
        <v>67</v>
      </c>
      <c r="C547">
        <v>2129</v>
      </c>
      <c r="D547">
        <v>9</v>
      </c>
      <c r="E547" t="s">
        <v>960</v>
      </c>
      <c r="F547" s="35" t="s">
        <v>973</v>
      </c>
      <c r="G547" s="28" t="s">
        <v>1510</v>
      </c>
      <c r="H547" s="28" t="s">
        <v>1508</v>
      </c>
      <c r="I547" s="28" t="s">
        <v>4917</v>
      </c>
      <c r="J547" s="28" t="s">
        <v>4913</v>
      </c>
      <c r="K547" s="28" t="s">
        <v>4918</v>
      </c>
      <c r="L547" s="28" t="s">
        <v>4915</v>
      </c>
      <c r="M547" s="28" t="s">
        <v>3795</v>
      </c>
      <c r="N547" s="28" t="s">
        <v>3672</v>
      </c>
    </row>
    <row r="548" spans="1:14">
      <c r="A548" t="s">
        <v>27</v>
      </c>
      <c r="B548" t="s">
        <v>67</v>
      </c>
      <c r="C548">
        <v>2130</v>
      </c>
      <c r="D548">
        <v>109</v>
      </c>
      <c r="E548" t="s">
        <v>960</v>
      </c>
      <c r="F548" s="35" t="s">
        <v>973</v>
      </c>
      <c r="G548" s="28" t="s">
        <v>1511</v>
      </c>
      <c r="H548" s="28" t="s">
        <v>1508</v>
      </c>
      <c r="I548" s="28" t="s">
        <v>4919</v>
      </c>
      <c r="J548" s="28" t="s">
        <v>4913</v>
      </c>
      <c r="K548" s="28" t="s">
        <v>4920</v>
      </c>
      <c r="L548" s="28" t="s">
        <v>4915</v>
      </c>
      <c r="M548" s="28" t="s">
        <v>3675</v>
      </c>
      <c r="N548" s="28" t="s">
        <v>3672</v>
      </c>
    </row>
    <row r="549" spans="1:14">
      <c r="A549" t="s">
        <v>27</v>
      </c>
      <c r="B549" t="s">
        <v>67</v>
      </c>
      <c r="C549">
        <v>2131</v>
      </c>
      <c r="D549">
        <v>74</v>
      </c>
      <c r="E549" t="s">
        <v>960</v>
      </c>
      <c r="F549" s="35" t="s">
        <v>974</v>
      </c>
      <c r="G549" s="28" t="s">
        <v>1515</v>
      </c>
      <c r="H549" s="28" t="s">
        <v>1513</v>
      </c>
      <c r="I549" s="28" t="s">
        <v>4921</v>
      </c>
      <c r="J549" s="28" t="s">
        <v>4922</v>
      </c>
      <c r="K549" s="28" t="s">
        <v>4923</v>
      </c>
      <c r="L549" s="28" t="s">
        <v>4924</v>
      </c>
      <c r="M549" s="28" t="s">
        <v>4925</v>
      </c>
      <c r="N549" s="28" t="s">
        <v>3679</v>
      </c>
    </row>
    <row r="550" spans="1:14">
      <c r="A550" t="s">
        <v>27</v>
      </c>
      <c r="B550" t="s">
        <v>67</v>
      </c>
      <c r="C550">
        <v>2134</v>
      </c>
      <c r="D550">
        <v>128</v>
      </c>
      <c r="E550" t="s">
        <v>960</v>
      </c>
      <c r="F550" s="35" t="s">
        <v>974</v>
      </c>
      <c r="G550" s="28" t="s">
        <v>6016</v>
      </c>
      <c r="H550" s="28" t="s">
        <v>1513</v>
      </c>
      <c r="I550" s="28" t="s">
        <v>6184</v>
      </c>
      <c r="J550" s="28" t="s">
        <v>4922</v>
      </c>
      <c r="K550" s="28" t="s">
        <v>6189</v>
      </c>
      <c r="L550" s="28" t="s">
        <v>4924</v>
      </c>
      <c r="M550" s="28" t="s">
        <v>6019</v>
      </c>
      <c r="N550" s="28" t="s">
        <v>3679</v>
      </c>
    </row>
    <row r="551" spans="1:14">
      <c r="A551" t="s">
        <v>27</v>
      </c>
      <c r="B551" t="s">
        <v>67</v>
      </c>
      <c r="C551">
        <v>2135</v>
      </c>
      <c r="D551">
        <v>72</v>
      </c>
      <c r="E551" t="s">
        <v>960</v>
      </c>
      <c r="F551" s="35" t="s">
        <v>974</v>
      </c>
      <c r="G551" s="28" t="s">
        <v>6155</v>
      </c>
      <c r="H551" s="28" t="s">
        <v>1513</v>
      </c>
      <c r="I551" s="28" t="s">
        <v>6187</v>
      </c>
      <c r="J551" s="28" t="s">
        <v>4922</v>
      </c>
      <c r="K551" s="28" t="s">
        <v>6190</v>
      </c>
      <c r="L551" s="28" t="s">
        <v>4924</v>
      </c>
      <c r="M551" s="28" t="s">
        <v>6162</v>
      </c>
      <c r="N551" s="28" t="s">
        <v>3679</v>
      </c>
    </row>
    <row r="552" spans="1:14">
      <c r="A552" t="s">
        <v>27</v>
      </c>
      <c r="B552" t="s">
        <v>54</v>
      </c>
      <c r="C552">
        <v>2115</v>
      </c>
      <c r="D552">
        <v>23</v>
      </c>
      <c r="E552" t="s">
        <v>960</v>
      </c>
      <c r="F552" s="35" t="s">
        <v>970</v>
      </c>
      <c r="G552" s="28" t="s">
        <v>1520</v>
      </c>
      <c r="H552" s="28" t="s">
        <v>1500</v>
      </c>
      <c r="I552" s="28" t="s">
        <v>4926</v>
      </c>
      <c r="J552" s="28" t="s">
        <v>4927</v>
      </c>
      <c r="K552" s="28" t="s">
        <v>4928</v>
      </c>
      <c r="L552" s="28" t="s">
        <v>4929</v>
      </c>
      <c r="M552" s="28" t="s">
        <v>3684</v>
      </c>
      <c r="N552" s="28" t="s">
        <v>3685</v>
      </c>
    </row>
    <row r="553" spans="1:14">
      <c r="A553" t="s">
        <v>27</v>
      </c>
      <c r="B553" t="s">
        <v>54</v>
      </c>
      <c r="C553">
        <v>2123</v>
      </c>
      <c r="D553">
        <v>6</v>
      </c>
      <c r="E553" t="s">
        <v>960</v>
      </c>
      <c r="F553" s="35" t="s">
        <v>972</v>
      </c>
      <c r="G553" s="28" t="s">
        <v>1505</v>
      </c>
      <c r="H553" s="28" t="s">
        <v>1506</v>
      </c>
      <c r="I553" s="28" t="s">
        <v>4930</v>
      </c>
      <c r="J553" s="28" t="s">
        <v>4931</v>
      </c>
      <c r="K553" s="28" t="s">
        <v>4932</v>
      </c>
      <c r="L553" s="28" t="s">
        <v>4933</v>
      </c>
      <c r="M553" s="28" t="s">
        <v>4934</v>
      </c>
      <c r="N553" s="28" t="s">
        <v>3865</v>
      </c>
    </row>
    <row r="554" spans="1:14">
      <c r="A554" t="s">
        <v>27</v>
      </c>
      <c r="B554" t="s">
        <v>54</v>
      </c>
      <c r="C554">
        <v>2124</v>
      </c>
      <c r="D554">
        <v>14</v>
      </c>
      <c r="E554" t="s">
        <v>960</v>
      </c>
      <c r="F554" s="35" t="s">
        <v>972</v>
      </c>
      <c r="G554" s="28" t="s">
        <v>1521</v>
      </c>
      <c r="H554" s="28" t="s">
        <v>1506</v>
      </c>
      <c r="I554" s="28" t="s">
        <v>4935</v>
      </c>
      <c r="J554" s="28" t="s">
        <v>4931</v>
      </c>
      <c r="K554" s="28" t="s">
        <v>4936</v>
      </c>
      <c r="L554" s="28" t="s">
        <v>4933</v>
      </c>
      <c r="M554" s="28" t="s">
        <v>3864</v>
      </c>
      <c r="N554" s="28" t="s">
        <v>3865</v>
      </c>
    </row>
    <row r="555" spans="1:14">
      <c r="A555" t="s">
        <v>27</v>
      </c>
      <c r="B555" t="s">
        <v>54</v>
      </c>
      <c r="C555">
        <v>2125</v>
      </c>
      <c r="D555">
        <v>18</v>
      </c>
      <c r="E555" t="s">
        <v>960</v>
      </c>
      <c r="F555" s="35" t="s">
        <v>972</v>
      </c>
      <c r="G555" s="28" t="s">
        <v>1522</v>
      </c>
      <c r="H555" s="28" t="s">
        <v>1506</v>
      </c>
      <c r="I555" s="28" t="s">
        <v>4937</v>
      </c>
      <c r="J555" s="28" t="s">
        <v>4931</v>
      </c>
      <c r="K555" s="28" t="s">
        <v>4938</v>
      </c>
      <c r="L555" s="28" t="s">
        <v>4933</v>
      </c>
      <c r="M555" s="28" t="s">
        <v>4939</v>
      </c>
      <c r="N555" s="28" t="s">
        <v>3865</v>
      </c>
    </row>
    <row r="556" spans="1:14">
      <c r="A556" t="s">
        <v>27</v>
      </c>
      <c r="B556" t="s">
        <v>54</v>
      </c>
      <c r="C556">
        <v>2127</v>
      </c>
      <c r="D556">
        <v>12</v>
      </c>
      <c r="E556" t="s">
        <v>960</v>
      </c>
      <c r="F556" s="35" t="s">
        <v>973</v>
      </c>
      <c r="G556" s="28" t="s">
        <v>1507</v>
      </c>
      <c r="H556" s="28" t="s">
        <v>1508</v>
      </c>
      <c r="I556" s="28" t="s">
        <v>4912</v>
      </c>
      <c r="J556" s="28" t="s">
        <v>4913</v>
      </c>
      <c r="K556" s="28" t="s">
        <v>4940</v>
      </c>
      <c r="L556" s="28" t="s">
        <v>4941</v>
      </c>
      <c r="M556" s="28" t="s">
        <v>3870</v>
      </c>
      <c r="N556" s="28" t="s">
        <v>3693</v>
      </c>
    </row>
    <row r="557" spans="1:14">
      <c r="A557" t="s">
        <v>27</v>
      </c>
      <c r="B557" t="s">
        <v>54</v>
      </c>
      <c r="C557">
        <v>2128</v>
      </c>
      <c r="D557">
        <v>11</v>
      </c>
      <c r="E557" t="s">
        <v>960</v>
      </c>
      <c r="F557" s="35" t="s">
        <v>973</v>
      </c>
      <c r="G557" s="28" t="s">
        <v>1509</v>
      </c>
      <c r="H557" s="28" t="s">
        <v>1508</v>
      </c>
      <c r="I557" s="28" t="s">
        <v>4942</v>
      </c>
      <c r="J557" s="28" t="s">
        <v>4913</v>
      </c>
      <c r="K557" s="28" t="s">
        <v>4943</v>
      </c>
      <c r="L557" s="28" t="s">
        <v>4941</v>
      </c>
      <c r="M557" s="28" t="s">
        <v>4944</v>
      </c>
      <c r="N557" s="28" t="s">
        <v>3693</v>
      </c>
    </row>
    <row r="558" spans="1:14">
      <c r="A558" t="s">
        <v>27</v>
      </c>
      <c r="B558" t="s">
        <v>54</v>
      </c>
      <c r="C558">
        <v>2129</v>
      </c>
      <c r="D558">
        <v>5</v>
      </c>
      <c r="E558" t="s">
        <v>960</v>
      </c>
      <c r="F558" s="35" t="s">
        <v>973</v>
      </c>
      <c r="G558" s="28" t="s">
        <v>1510</v>
      </c>
      <c r="H558" s="28" t="s">
        <v>1508</v>
      </c>
      <c r="I558" s="28" t="s">
        <v>4917</v>
      </c>
      <c r="J558" s="28" t="s">
        <v>4913</v>
      </c>
      <c r="K558" s="28" t="s">
        <v>4945</v>
      </c>
      <c r="L558" s="28" t="s">
        <v>4941</v>
      </c>
      <c r="M558" s="28" t="s">
        <v>3692</v>
      </c>
      <c r="N558" s="28" t="s">
        <v>3693</v>
      </c>
    </row>
    <row r="559" spans="1:14">
      <c r="A559" t="s">
        <v>27</v>
      </c>
      <c r="B559" t="s">
        <v>54</v>
      </c>
      <c r="C559">
        <v>2134</v>
      </c>
      <c r="D559">
        <v>100</v>
      </c>
      <c r="E559" t="s">
        <v>960</v>
      </c>
      <c r="F559" s="35" t="s">
        <v>974</v>
      </c>
      <c r="G559" s="28" t="s">
        <v>6016</v>
      </c>
      <c r="H559" s="28" t="s">
        <v>1513</v>
      </c>
      <c r="I559" s="28" t="s">
        <v>6184</v>
      </c>
      <c r="J559" s="28" t="s">
        <v>4922</v>
      </c>
      <c r="K559" s="28" t="s">
        <v>6191</v>
      </c>
      <c r="L559" s="28" t="s">
        <v>6192</v>
      </c>
      <c r="M559" s="28" t="s">
        <v>6039</v>
      </c>
      <c r="N559" s="28" t="s">
        <v>3699</v>
      </c>
    </row>
    <row r="560" spans="1:14">
      <c r="A560" t="s">
        <v>27</v>
      </c>
      <c r="B560" t="s">
        <v>55</v>
      </c>
      <c r="C560">
        <v>2115</v>
      </c>
      <c r="D560">
        <v>24</v>
      </c>
      <c r="E560" t="s">
        <v>960</v>
      </c>
      <c r="F560" s="35" t="s">
        <v>970</v>
      </c>
      <c r="G560" s="28" t="s">
        <v>1520</v>
      </c>
      <c r="H560" s="28" t="s">
        <v>1500</v>
      </c>
      <c r="I560" s="28" t="s">
        <v>4926</v>
      </c>
      <c r="J560" s="28" t="s">
        <v>4927</v>
      </c>
      <c r="K560" s="28" t="s">
        <v>4946</v>
      </c>
      <c r="L560" s="28" t="s">
        <v>4947</v>
      </c>
      <c r="M560" s="28" t="s">
        <v>3702</v>
      </c>
      <c r="N560" s="28" t="s">
        <v>3703</v>
      </c>
    </row>
    <row r="561" spans="1:14">
      <c r="A561" t="s">
        <v>27</v>
      </c>
      <c r="B561" t="s">
        <v>55</v>
      </c>
      <c r="C561">
        <v>2124</v>
      </c>
      <c r="D561">
        <v>47</v>
      </c>
      <c r="E561" t="s">
        <v>960</v>
      </c>
      <c r="F561" s="35" t="s">
        <v>972</v>
      </c>
      <c r="G561" s="28" t="s">
        <v>1521</v>
      </c>
      <c r="H561" s="28" t="s">
        <v>1506</v>
      </c>
      <c r="I561" s="28" t="s">
        <v>4935</v>
      </c>
      <c r="J561" s="28" t="s">
        <v>4931</v>
      </c>
      <c r="K561" s="28" t="s">
        <v>4948</v>
      </c>
      <c r="L561" s="28" t="s">
        <v>4949</v>
      </c>
      <c r="M561" s="28" t="s">
        <v>3883</v>
      </c>
      <c r="N561" s="28" t="s">
        <v>3884</v>
      </c>
    </row>
    <row r="562" spans="1:14">
      <c r="A562" t="s">
        <v>27</v>
      </c>
      <c r="B562" t="s">
        <v>55</v>
      </c>
      <c r="C562">
        <v>2125</v>
      </c>
      <c r="D562">
        <v>52</v>
      </c>
      <c r="E562" t="s">
        <v>960</v>
      </c>
      <c r="F562" s="35" t="s">
        <v>972</v>
      </c>
      <c r="G562" s="28" t="s">
        <v>1522</v>
      </c>
      <c r="H562" s="28" t="s">
        <v>1506</v>
      </c>
      <c r="I562" s="28" t="s">
        <v>4937</v>
      </c>
      <c r="J562" s="28" t="s">
        <v>4931</v>
      </c>
      <c r="K562" s="28" t="s">
        <v>4950</v>
      </c>
      <c r="L562" s="28" t="s">
        <v>4949</v>
      </c>
      <c r="M562" s="28" t="s">
        <v>3886</v>
      </c>
      <c r="N562" s="28" t="s">
        <v>3884</v>
      </c>
    </row>
    <row r="563" spans="1:14">
      <c r="A563" t="s">
        <v>27</v>
      </c>
      <c r="B563" t="s">
        <v>55</v>
      </c>
      <c r="C563">
        <v>2126</v>
      </c>
      <c r="D563">
        <v>83</v>
      </c>
      <c r="E563" t="s">
        <v>960</v>
      </c>
      <c r="F563" s="35" t="s">
        <v>972</v>
      </c>
      <c r="G563" s="28" t="s">
        <v>1514</v>
      </c>
      <c r="H563" s="28" t="s">
        <v>1506</v>
      </c>
      <c r="I563" s="28" t="s">
        <v>4951</v>
      </c>
      <c r="J563" s="28" t="s">
        <v>4931</v>
      </c>
      <c r="K563" s="28" t="s">
        <v>4952</v>
      </c>
      <c r="L563" s="28" t="s">
        <v>4949</v>
      </c>
      <c r="M563" s="28" t="s">
        <v>3888</v>
      </c>
      <c r="N563" s="28" t="s">
        <v>3884</v>
      </c>
    </row>
    <row r="564" spans="1:14">
      <c r="A564" t="s">
        <v>27</v>
      </c>
      <c r="B564" t="s">
        <v>55</v>
      </c>
      <c r="C564">
        <v>2127</v>
      </c>
      <c r="D564">
        <v>7</v>
      </c>
      <c r="E564" t="s">
        <v>960</v>
      </c>
      <c r="F564" s="35" t="s">
        <v>973</v>
      </c>
      <c r="G564" s="28" t="s">
        <v>1507</v>
      </c>
      <c r="H564" s="28" t="s">
        <v>1508</v>
      </c>
      <c r="I564" s="28" t="s">
        <v>4912</v>
      </c>
      <c r="J564" s="28" t="s">
        <v>4913</v>
      </c>
      <c r="K564" s="28" t="s">
        <v>4953</v>
      </c>
      <c r="L564" s="28" t="s">
        <v>4954</v>
      </c>
      <c r="M564" s="28" t="s">
        <v>4955</v>
      </c>
      <c r="N564" s="28" t="s">
        <v>3707</v>
      </c>
    </row>
    <row r="565" spans="1:14">
      <c r="A565" t="s">
        <v>27</v>
      </c>
      <c r="B565" t="s">
        <v>55</v>
      </c>
      <c r="C565">
        <v>2128</v>
      </c>
      <c r="D565">
        <v>33</v>
      </c>
      <c r="E565" t="s">
        <v>960</v>
      </c>
      <c r="F565" s="35" t="s">
        <v>973</v>
      </c>
      <c r="G565" s="28" t="s">
        <v>1509</v>
      </c>
      <c r="H565" s="28" t="s">
        <v>1508</v>
      </c>
      <c r="I565" s="28" t="s">
        <v>4942</v>
      </c>
      <c r="J565" s="28" t="s">
        <v>4913</v>
      </c>
      <c r="K565" s="28" t="s">
        <v>4956</v>
      </c>
      <c r="L565" s="28" t="s">
        <v>4954</v>
      </c>
      <c r="M565" s="28" t="s">
        <v>4957</v>
      </c>
      <c r="N565" s="28" t="s">
        <v>3707</v>
      </c>
    </row>
    <row r="566" spans="1:14">
      <c r="A566" t="s">
        <v>27</v>
      </c>
      <c r="B566" t="s">
        <v>55</v>
      </c>
      <c r="C566">
        <v>2130</v>
      </c>
      <c r="D566">
        <v>20</v>
      </c>
      <c r="E566" t="s">
        <v>960</v>
      </c>
      <c r="F566" s="35" t="s">
        <v>973</v>
      </c>
      <c r="G566" s="28" t="s">
        <v>1511</v>
      </c>
      <c r="H566" s="28" t="s">
        <v>1508</v>
      </c>
      <c r="I566" s="28" t="s">
        <v>4919</v>
      </c>
      <c r="J566" s="28" t="s">
        <v>4913</v>
      </c>
      <c r="K566" s="28" t="s">
        <v>4958</v>
      </c>
      <c r="L566" s="28" t="s">
        <v>4954</v>
      </c>
      <c r="M566" s="28" t="s">
        <v>3706</v>
      </c>
      <c r="N566" s="28" t="s">
        <v>3707</v>
      </c>
    </row>
    <row r="567" spans="1:14">
      <c r="A567" t="s">
        <v>27</v>
      </c>
      <c r="B567" t="s">
        <v>55</v>
      </c>
      <c r="C567">
        <v>2133</v>
      </c>
      <c r="D567">
        <v>36</v>
      </c>
      <c r="E567" t="s">
        <v>960</v>
      </c>
      <c r="F567" s="35" t="s">
        <v>974</v>
      </c>
      <c r="G567" s="28" t="s">
        <v>1512</v>
      </c>
      <c r="H567" s="28" t="s">
        <v>1513</v>
      </c>
      <c r="I567" s="28" t="s">
        <v>4959</v>
      </c>
      <c r="J567" s="28" t="s">
        <v>4922</v>
      </c>
      <c r="K567" s="28" t="s">
        <v>4960</v>
      </c>
      <c r="L567" s="28" t="s">
        <v>4961</v>
      </c>
      <c r="M567" s="28" t="s">
        <v>3715</v>
      </c>
      <c r="N567" s="28" t="s">
        <v>3711</v>
      </c>
    </row>
    <row r="568" spans="1:14">
      <c r="A568" t="s">
        <v>27</v>
      </c>
      <c r="B568" t="s">
        <v>55</v>
      </c>
      <c r="C568">
        <v>2134</v>
      </c>
      <c r="D568">
        <v>47</v>
      </c>
      <c r="E568" t="s">
        <v>960</v>
      </c>
      <c r="F568" s="35" t="s">
        <v>974</v>
      </c>
      <c r="G568" s="28" t="s">
        <v>6016</v>
      </c>
      <c r="H568" s="28" t="s">
        <v>1513</v>
      </c>
      <c r="I568" s="28" t="s">
        <v>6184</v>
      </c>
      <c r="J568" s="28" t="s">
        <v>4922</v>
      </c>
      <c r="K568" s="28" t="s">
        <v>6193</v>
      </c>
      <c r="L568" s="28" t="s">
        <v>4961</v>
      </c>
      <c r="M568" s="28" t="s">
        <v>6041</v>
      </c>
      <c r="N568" s="28" t="s">
        <v>3711</v>
      </c>
    </row>
    <row r="569" spans="1:14">
      <c r="A569" t="s">
        <v>27</v>
      </c>
      <c r="B569" t="s">
        <v>56</v>
      </c>
      <c r="C569">
        <v>2127</v>
      </c>
      <c r="D569">
        <v>16</v>
      </c>
      <c r="E569" t="s">
        <v>960</v>
      </c>
      <c r="F569" s="35" t="s">
        <v>973</v>
      </c>
      <c r="G569" s="28" t="s">
        <v>1507</v>
      </c>
      <c r="H569" s="28" t="s">
        <v>1508</v>
      </c>
      <c r="I569" s="28" t="s">
        <v>4912</v>
      </c>
      <c r="J569" s="28" t="s">
        <v>4913</v>
      </c>
      <c r="K569" s="28" t="s">
        <v>4962</v>
      </c>
      <c r="L569" s="28" t="s">
        <v>4963</v>
      </c>
      <c r="M569" s="28" t="s">
        <v>4964</v>
      </c>
      <c r="N569" s="28" t="s">
        <v>3734</v>
      </c>
    </row>
    <row r="570" spans="1:14">
      <c r="A570" t="s">
        <v>27</v>
      </c>
      <c r="B570" t="s">
        <v>56</v>
      </c>
      <c r="C570">
        <v>2129</v>
      </c>
      <c r="D570">
        <v>11</v>
      </c>
      <c r="E570" t="s">
        <v>960</v>
      </c>
      <c r="F570" s="35" t="s">
        <v>973</v>
      </c>
      <c r="G570" s="28" t="s">
        <v>1510</v>
      </c>
      <c r="H570" s="28" t="s">
        <v>1508</v>
      </c>
      <c r="I570" s="28" t="s">
        <v>4917</v>
      </c>
      <c r="J570" s="28" t="s">
        <v>4913</v>
      </c>
      <c r="K570" s="28" t="s">
        <v>4965</v>
      </c>
      <c r="L570" s="28" t="s">
        <v>4963</v>
      </c>
      <c r="M570" s="28" t="s">
        <v>3736</v>
      </c>
      <c r="N570" s="28" t="s">
        <v>3734</v>
      </c>
    </row>
    <row r="571" spans="1:14">
      <c r="A571" t="s">
        <v>27</v>
      </c>
      <c r="B571" t="s">
        <v>56</v>
      </c>
      <c r="C571">
        <v>2130</v>
      </c>
      <c r="D571">
        <v>110</v>
      </c>
      <c r="E571" t="s">
        <v>960</v>
      </c>
      <c r="F571" s="35" t="s">
        <v>973</v>
      </c>
      <c r="G571" s="28" t="s">
        <v>1511</v>
      </c>
      <c r="H571" s="28" t="s">
        <v>1508</v>
      </c>
      <c r="I571" s="28" t="s">
        <v>4919</v>
      </c>
      <c r="J571" s="28" t="s">
        <v>4913</v>
      </c>
      <c r="K571" s="28" t="s">
        <v>4966</v>
      </c>
      <c r="L571" s="28" t="s">
        <v>4963</v>
      </c>
      <c r="M571" s="28" t="s">
        <v>3738</v>
      </c>
      <c r="N571" s="28" t="s">
        <v>3734</v>
      </c>
    </row>
    <row r="572" spans="1:14">
      <c r="A572" t="s">
        <v>27</v>
      </c>
      <c r="B572" t="s">
        <v>56</v>
      </c>
      <c r="C572">
        <v>2131</v>
      </c>
      <c r="D572">
        <v>54</v>
      </c>
      <c r="E572" t="s">
        <v>960</v>
      </c>
      <c r="F572" s="35" t="s">
        <v>974</v>
      </c>
      <c r="G572" s="28" t="s">
        <v>1515</v>
      </c>
      <c r="H572" s="28" t="s">
        <v>1513</v>
      </c>
      <c r="I572" s="28" t="s">
        <v>4921</v>
      </c>
      <c r="J572" s="28" t="s">
        <v>4922</v>
      </c>
      <c r="K572" s="28" t="s">
        <v>4967</v>
      </c>
      <c r="L572" s="28" t="s">
        <v>4968</v>
      </c>
      <c r="M572" s="28" t="s">
        <v>3741</v>
      </c>
      <c r="N572" s="28" t="s">
        <v>3742</v>
      </c>
    </row>
    <row r="573" spans="1:14">
      <c r="A573" t="s">
        <v>27</v>
      </c>
      <c r="B573" t="s">
        <v>56</v>
      </c>
      <c r="C573">
        <v>2134</v>
      </c>
      <c r="D573">
        <v>66</v>
      </c>
      <c r="E573" t="s">
        <v>960</v>
      </c>
      <c r="F573" s="35" t="s">
        <v>974</v>
      </c>
      <c r="G573" s="28" t="s">
        <v>6016</v>
      </c>
      <c r="H573" s="28" t="s">
        <v>1513</v>
      </c>
      <c r="I573" s="28" t="s">
        <v>6184</v>
      </c>
      <c r="J573" s="28" t="s">
        <v>4922</v>
      </c>
      <c r="K573" s="28" t="s">
        <v>6194</v>
      </c>
      <c r="L573" s="28" t="s">
        <v>4968</v>
      </c>
      <c r="M573" s="28" t="s">
        <v>6027</v>
      </c>
      <c r="N573" s="28" t="s">
        <v>3742</v>
      </c>
    </row>
    <row r="574" spans="1:14">
      <c r="A574" t="s">
        <v>27</v>
      </c>
      <c r="B574" t="s">
        <v>56</v>
      </c>
      <c r="C574">
        <v>2135</v>
      </c>
      <c r="D574">
        <v>139</v>
      </c>
      <c r="E574" t="s">
        <v>960</v>
      </c>
      <c r="F574" s="35" t="s">
        <v>974</v>
      </c>
      <c r="G574" s="28" t="s">
        <v>6155</v>
      </c>
      <c r="H574" s="28" t="s">
        <v>1513</v>
      </c>
      <c r="I574" s="28" t="s">
        <v>6187</v>
      </c>
      <c r="J574" s="28" t="s">
        <v>4922</v>
      </c>
      <c r="K574" s="28" t="s">
        <v>6195</v>
      </c>
      <c r="L574" s="28" t="s">
        <v>4968</v>
      </c>
      <c r="M574" s="28" t="s">
        <v>6160</v>
      </c>
      <c r="N574" s="28" t="s">
        <v>3742</v>
      </c>
    </row>
    <row r="575" spans="1:14">
      <c r="A575" t="s">
        <v>27</v>
      </c>
      <c r="B575" t="s">
        <v>53</v>
      </c>
      <c r="C575">
        <v>2116</v>
      </c>
      <c r="D575">
        <v>23</v>
      </c>
      <c r="E575" t="s">
        <v>960</v>
      </c>
      <c r="F575" s="35" t="s">
        <v>970</v>
      </c>
      <c r="G575" s="28" t="s">
        <v>1501</v>
      </c>
      <c r="H575" s="28" t="s">
        <v>1500</v>
      </c>
      <c r="I575" s="28" t="s">
        <v>4969</v>
      </c>
      <c r="J575" s="28" t="s">
        <v>4927</v>
      </c>
      <c r="K575" s="28" t="s">
        <v>4970</v>
      </c>
      <c r="L575" s="28" t="s">
        <v>4971</v>
      </c>
      <c r="M575" s="28" t="s">
        <v>3621</v>
      </c>
      <c r="N575" s="28" t="s">
        <v>3622</v>
      </c>
    </row>
    <row r="576" spans="1:14">
      <c r="A576" t="s">
        <v>27</v>
      </c>
      <c r="B576" t="s">
        <v>53</v>
      </c>
      <c r="C576">
        <v>2119</v>
      </c>
      <c r="D576">
        <v>29</v>
      </c>
      <c r="E576" t="s">
        <v>960</v>
      </c>
      <c r="F576" s="35" t="s">
        <v>971</v>
      </c>
      <c r="G576" s="28" t="s">
        <v>1517</v>
      </c>
      <c r="H576" s="28" t="s">
        <v>1503</v>
      </c>
      <c r="I576" s="28" t="s">
        <v>4972</v>
      </c>
      <c r="J576" s="28" t="s">
        <v>4973</v>
      </c>
      <c r="K576" s="28" t="s">
        <v>4974</v>
      </c>
      <c r="L576" s="28" t="s">
        <v>4975</v>
      </c>
      <c r="M576" s="28" t="s">
        <v>3927</v>
      </c>
      <c r="N576" s="28" t="s">
        <v>3898</v>
      </c>
    </row>
    <row r="577" spans="1:14">
      <c r="A577" t="s">
        <v>27</v>
      </c>
      <c r="B577" t="s">
        <v>53</v>
      </c>
      <c r="C577">
        <v>2120</v>
      </c>
      <c r="D577">
        <v>31</v>
      </c>
      <c r="E577" t="s">
        <v>960</v>
      </c>
      <c r="F577" s="35" t="s">
        <v>971</v>
      </c>
      <c r="G577" s="28" t="s">
        <v>1504</v>
      </c>
      <c r="H577" s="28" t="s">
        <v>1503</v>
      </c>
      <c r="I577" s="28" t="s">
        <v>4976</v>
      </c>
      <c r="J577" s="28" t="s">
        <v>4973</v>
      </c>
      <c r="K577" s="28" t="s">
        <v>4977</v>
      </c>
      <c r="L577" s="28" t="s">
        <v>4975</v>
      </c>
      <c r="M577" s="28" t="s">
        <v>3900</v>
      </c>
      <c r="N577" s="28" t="s">
        <v>3898</v>
      </c>
    </row>
    <row r="578" spans="1:14">
      <c r="A578" t="s">
        <v>27</v>
      </c>
      <c r="B578" t="s">
        <v>53</v>
      </c>
      <c r="C578">
        <v>2121</v>
      </c>
      <c r="D578">
        <v>175</v>
      </c>
      <c r="E578" t="s">
        <v>960</v>
      </c>
      <c r="F578" s="35" t="s">
        <v>971</v>
      </c>
      <c r="G578" s="28" t="s">
        <v>1518</v>
      </c>
      <c r="H578" s="28" t="s">
        <v>1503</v>
      </c>
      <c r="I578" s="28" t="s">
        <v>4978</v>
      </c>
      <c r="J578" s="28" t="s">
        <v>4973</v>
      </c>
      <c r="K578" s="28" t="s">
        <v>4979</v>
      </c>
      <c r="L578" s="28" t="s">
        <v>4975</v>
      </c>
      <c r="M578" s="28" t="s">
        <v>3902</v>
      </c>
      <c r="N578" s="28" t="s">
        <v>3898</v>
      </c>
    </row>
    <row r="579" spans="1:14">
      <c r="A579" t="s">
        <v>27</v>
      </c>
      <c r="B579" t="s">
        <v>53</v>
      </c>
      <c r="C579">
        <v>2122</v>
      </c>
      <c r="D579">
        <v>35</v>
      </c>
      <c r="E579" t="s">
        <v>960</v>
      </c>
      <c r="F579" s="35" t="s">
        <v>971</v>
      </c>
      <c r="G579" s="28" t="s">
        <v>1519</v>
      </c>
      <c r="H579" s="28" t="s">
        <v>1503</v>
      </c>
      <c r="I579" s="28" t="s">
        <v>4980</v>
      </c>
      <c r="J579" s="28" t="s">
        <v>4973</v>
      </c>
      <c r="K579" s="28" t="s">
        <v>4981</v>
      </c>
      <c r="L579" s="28" t="s">
        <v>4975</v>
      </c>
      <c r="M579" s="28" t="s">
        <v>3929</v>
      </c>
      <c r="N579" s="28" t="s">
        <v>3898</v>
      </c>
    </row>
    <row r="580" spans="1:14">
      <c r="A580" t="s">
        <v>27</v>
      </c>
      <c r="B580" t="s">
        <v>53</v>
      </c>
      <c r="C580">
        <v>2123</v>
      </c>
      <c r="D580">
        <v>79</v>
      </c>
      <c r="E580" t="s">
        <v>960</v>
      </c>
      <c r="F580" s="35" t="s">
        <v>972</v>
      </c>
      <c r="G580" s="28" t="s">
        <v>1505</v>
      </c>
      <c r="H580" s="28" t="s">
        <v>1506</v>
      </c>
      <c r="I580" s="28" t="s">
        <v>4930</v>
      </c>
      <c r="J580" s="28" t="s">
        <v>4931</v>
      </c>
      <c r="K580" s="28" t="s">
        <v>4982</v>
      </c>
      <c r="L580" s="28" t="s">
        <v>4983</v>
      </c>
      <c r="M580" s="28" t="s">
        <v>3905</v>
      </c>
      <c r="N580" s="28" t="s">
        <v>3627</v>
      </c>
    </row>
    <row r="581" spans="1:14">
      <c r="A581" t="s">
        <v>27</v>
      </c>
      <c r="B581" t="s">
        <v>53</v>
      </c>
      <c r="C581">
        <v>2124</v>
      </c>
      <c r="D581">
        <v>48</v>
      </c>
      <c r="E581" t="s">
        <v>960</v>
      </c>
      <c r="F581" s="35" t="s">
        <v>972</v>
      </c>
      <c r="G581" s="28" t="s">
        <v>1521</v>
      </c>
      <c r="H581" s="28" t="s">
        <v>1506</v>
      </c>
      <c r="I581" s="28" t="s">
        <v>4935</v>
      </c>
      <c r="J581" s="28" t="s">
        <v>4931</v>
      </c>
      <c r="K581" s="28" t="s">
        <v>4984</v>
      </c>
      <c r="L581" s="28" t="s">
        <v>4983</v>
      </c>
      <c r="M581" s="28" t="s">
        <v>3907</v>
      </c>
      <c r="N581" s="28" t="s">
        <v>3627</v>
      </c>
    </row>
    <row r="582" spans="1:14">
      <c r="A582" t="s">
        <v>27</v>
      </c>
      <c r="B582" t="s">
        <v>53</v>
      </c>
      <c r="C582">
        <v>2125</v>
      </c>
      <c r="D582">
        <v>59</v>
      </c>
      <c r="E582" t="s">
        <v>960</v>
      </c>
      <c r="F582" s="35" t="s">
        <v>972</v>
      </c>
      <c r="G582" s="28" t="s">
        <v>1522</v>
      </c>
      <c r="H582" s="28" t="s">
        <v>1506</v>
      </c>
      <c r="I582" s="28" t="s">
        <v>4937</v>
      </c>
      <c r="J582" s="28" t="s">
        <v>4931</v>
      </c>
      <c r="K582" s="28" t="s">
        <v>4985</v>
      </c>
      <c r="L582" s="28" t="s">
        <v>4983</v>
      </c>
      <c r="M582" s="28" t="s">
        <v>3909</v>
      </c>
      <c r="N582" s="28" t="s">
        <v>3627</v>
      </c>
    </row>
    <row r="583" spans="1:14">
      <c r="A583" t="s">
        <v>27</v>
      </c>
      <c r="B583" t="s">
        <v>53</v>
      </c>
      <c r="C583">
        <v>2126</v>
      </c>
      <c r="D583">
        <v>101</v>
      </c>
      <c r="E583" t="s">
        <v>960</v>
      </c>
      <c r="F583" s="35" t="s">
        <v>972</v>
      </c>
      <c r="G583" s="28" t="s">
        <v>1514</v>
      </c>
      <c r="H583" s="28" t="s">
        <v>1506</v>
      </c>
      <c r="I583" s="28" t="s">
        <v>4951</v>
      </c>
      <c r="J583" s="28" t="s">
        <v>4931</v>
      </c>
      <c r="K583" s="28" t="s">
        <v>4986</v>
      </c>
      <c r="L583" s="28" t="s">
        <v>4983</v>
      </c>
      <c r="M583" s="28" t="s">
        <v>3626</v>
      </c>
      <c r="N583" s="28" t="s">
        <v>3627</v>
      </c>
    </row>
    <row r="584" spans="1:14">
      <c r="A584" t="s">
        <v>27</v>
      </c>
      <c r="B584" t="s">
        <v>53</v>
      </c>
      <c r="C584">
        <v>2128</v>
      </c>
      <c r="D584">
        <v>223</v>
      </c>
      <c r="E584" t="s">
        <v>960</v>
      </c>
      <c r="F584" s="35" t="s">
        <v>973</v>
      </c>
      <c r="G584" s="28" t="s">
        <v>1509</v>
      </c>
      <c r="H584" s="28" t="s">
        <v>1508</v>
      </c>
      <c r="I584" s="28" t="s">
        <v>4942</v>
      </c>
      <c r="J584" s="28" t="s">
        <v>4913</v>
      </c>
      <c r="K584" s="28" t="s">
        <v>4987</v>
      </c>
      <c r="L584" s="28" t="s">
        <v>4988</v>
      </c>
      <c r="M584" s="28" t="s">
        <v>3914</v>
      </c>
      <c r="N584" s="28" t="s">
        <v>3631</v>
      </c>
    </row>
    <row r="585" spans="1:14">
      <c r="A585" t="s">
        <v>27</v>
      </c>
      <c r="B585" t="s">
        <v>53</v>
      </c>
      <c r="C585">
        <v>2129</v>
      </c>
      <c r="D585">
        <v>65</v>
      </c>
      <c r="E585" t="s">
        <v>960</v>
      </c>
      <c r="F585" s="35" t="s">
        <v>973</v>
      </c>
      <c r="G585" s="28" t="s">
        <v>1510</v>
      </c>
      <c r="H585" s="28" t="s">
        <v>1508</v>
      </c>
      <c r="I585" s="28" t="s">
        <v>4917</v>
      </c>
      <c r="J585" s="28" t="s">
        <v>4913</v>
      </c>
      <c r="K585" s="28" t="s">
        <v>4989</v>
      </c>
      <c r="L585" s="28" t="s">
        <v>4988</v>
      </c>
      <c r="M585" s="28" t="s">
        <v>3916</v>
      </c>
      <c r="N585" s="28" t="s">
        <v>3631</v>
      </c>
    </row>
    <row r="586" spans="1:14">
      <c r="A586" t="s">
        <v>27</v>
      </c>
      <c r="B586" t="s">
        <v>53</v>
      </c>
      <c r="C586">
        <v>2130</v>
      </c>
      <c r="D586">
        <v>164</v>
      </c>
      <c r="E586" t="s">
        <v>960</v>
      </c>
      <c r="F586" s="35" t="s">
        <v>973</v>
      </c>
      <c r="G586" s="28" t="s">
        <v>1511</v>
      </c>
      <c r="H586" s="28" t="s">
        <v>1508</v>
      </c>
      <c r="I586" s="28" t="s">
        <v>4919</v>
      </c>
      <c r="J586" s="28" t="s">
        <v>4913</v>
      </c>
      <c r="K586" s="28" t="s">
        <v>4990</v>
      </c>
      <c r="L586" s="28" t="s">
        <v>4988</v>
      </c>
      <c r="M586" s="28" t="s">
        <v>4991</v>
      </c>
      <c r="N586" s="28" t="s">
        <v>3631</v>
      </c>
    </row>
    <row r="587" spans="1:14">
      <c r="A587" t="s">
        <v>27</v>
      </c>
      <c r="B587" t="s">
        <v>53</v>
      </c>
      <c r="C587">
        <v>2131</v>
      </c>
      <c r="D587">
        <v>126</v>
      </c>
      <c r="E587" t="s">
        <v>960</v>
      </c>
      <c r="F587" s="35" t="s">
        <v>974</v>
      </c>
      <c r="G587" s="28" t="s">
        <v>1515</v>
      </c>
      <c r="H587" s="28" t="s">
        <v>1513</v>
      </c>
      <c r="I587" s="28" t="s">
        <v>4921</v>
      </c>
      <c r="J587" s="28" t="s">
        <v>4922</v>
      </c>
      <c r="K587" s="28" t="s">
        <v>4992</v>
      </c>
      <c r="L587" s="28" t="s">
        <v>4993</v>
      </c>
      <c r="M587" s="28" t="s">
        <v>4994</v>
      </c>
      <c r="N587" s="28" t="s">
        <v>3920</v>
      </c>
    </row>
    <row r="588" spans="1:14">
      <c r="A588" t="s">
        <v>27</v>
      </c>
      <c r="B588" t="s">
        <v>53</v>
      </c>
      <c r="C588">
        <v>2133</v>
      </c>
      <c r="D588">
        <v>69</v>
      </c>
      <c r="E588" t="s">
        <v>960</v>
      </c>
      <c r="F588" s="35" t="s">
        <v>974</v>
      </c>
      <c r="G588" s="28" t="s">
        <v>1512</v>
      </c>
      <c r="H588" s="28" t="s">
        <v>1513</v>
      </c>
      <c r="I588" s="28" t="s">
        <v>4959</v>
      </c>
      <c r="J588" s="28" t="s">
        <v>4922</v>
      </c>
      <c r="K588" s="28" t="s">
        <v>4995</v>
      </c>
      <c r="L588" s="28" t="s">
        <v>4993</v>
      </c>
      <c r="M588" s="28" t="s">
        <v>3922</v>
      </c>
      <c r="N588" s="28" t="s">
        <v>3920</v>
      </c>
    </row>
    <row r="589" spans="1:14">
      <c r="A589" t="s">
        <v>27</v>
      </c>
      <c r="B589" t="s">
        <v>53</v>
      </c>
      <c r="C589">
        <v>2134</v>
      </c>
      <c r="D589">
        <v>216</v>
      </c>
      <c r="E589" t="s">
        <v>960</v>
      </c>
      <c r="F589" s="35" t="s">
        <v>974</v>
      </c>
      <c r="G589" s="28" t="s">
        <v>6016</v>
      </c>
      <c r="H589" s="28" t="s">
        <v>1513</v>
      </c>
      <c r="I589" s="28" t="s">
        <v>6184</v>
      </c>
      <c r="J589" s="28" t="s">
        <v>4922</v>
      </c>
      <c r="K589" s="28" t="s">
        <v>6196</v>
      </c>
      <c r="L589" s="28" t="s">
        <v>4993</v>
      </c>
      <c r="M589" s="28" t="s">
        <v>6029</v>
      </c>
      <c r="N589" s="28" t="s">
        <v>3920</v>
      </c>
    </row>
    <row r="590" spans="1:14">
      <c r="A590" t="s">
        <v>965</v>
      </c>
      <c r="B590" t="s">
        <v>58</v>
      </c>
      <c r="C590">
        <v>2007</v>
      </c>
      <c r="D590">
        <v>112</v>
      </c>
      <c r="E590" t="s">
        <v>961</v>
      </c>
      <c r="F590" s="35" t="s">
        <v>987</v>
      </c>
      <c r="G590" s="28" t="s">
        <v>1627</v>
      </c>
      <c r="H590" s="28" t="s">
        <v>1628</v>
      </c>
      <c r="I590" s="28" t="s">
        <v>4996</v>
      </c>
      <c r="J590" s="28" t="s">
        <v>4997</v>
      </c>
      <c r="K590" s="28" t="s">
        <v>4998</v>
      </c>
      <c r="L590" s="28" t="s">
        <v>4999</v>
      </c>
      <c r="M590" s="28" t="s">
        <v>5000</v>
      </c>
      <c r="N590" s="28" t="s">
        <v>5001</v>
      </c>
    </row>
    <row r="591" spans="1:14">
      <c r="A591" t="s">
        <v>965</v>
      </c>
      <c r="B591" t="s">
        <v>58</v>
      </c>
      <c r="C591">
        <v>2009</v>
      </c>
      <c r="D591">
        <v>120</v>
      </c>
      <c r="E591" t="s">
        <v>961</v>
      </c>
      <c r="F591" s="35" t="s">
        <v>986</v>
      </c>
      <c r="G591" s="28" t="s">
        <v>1629</v>
      </c>
      <c r="H591" s="28" t="s">
        <v>1618</v>
      </c>
      <c r="I591" s="28" t="s">
        <v>5002</v>
      </c>
      <c r="J591" s="28" t="s">
        <v>5003</v>
      </c>
      <c r="K591" s="28" t="s">
        <v>5004</v>
      </c>
      <c r="L591" s="28" t="s">
        <v>5005</v>
      </c>
      <c r="M591" s="28" t="s">
        <v>5006</v>
      </c>
      <c r="N591" s="28" t="s">
        <v>4629</v>
      </c>
    </row>
    <row r="592" spans="1:14">
      <c r="A592" t="s">
        <v>965</v>
      </c>
      <c r="B592" t="s">
        <v>58</v>
      </c>
      <c r="C592">
        <v>2010</v>
      </c>
      <c r="D592">
        <v>50</v>
      </c>
      <c r="E592" t="s">
        <v>961</v>
      </c>
      <c r="F592" s="35" t="s">
        <v>986</v>
      </c>
      <c r="G592" s="28" t="s">
        <v>1630</v>
      </c>
      <c r="H592" s="28" t="s">
        <v>1618</v>
      </c>
      <c r="I592" s="28" t="s">
        <v>5007</v>
      </c>
      <c r="J592" s="28" t="s">
        <v>5003</v>
      </c>
      <c r="K592" s="28" t="s">
        <v>5008</v>
      </c>
      <c r="L592" s="28" t="s">
        <v>5005</v>
      </c>
      <c r="M592" s="28" t="s">
        <v>5009</v>
      </c>
      <c r="N592" s="28" t="s">
        <v>4629</v>
      </c>
    </row>
    <row r="593" spans="1:14">
      <c r="A593" t="s">
        <v>965</v>
      </c>
      <c r="B593" t="s">
        <v>58</v>
      </c>
      <c r="C593">
        <v>2020</v>
      </c>
      <c r="D593">
        <v>50</v>
      </c>
      <c r="E593" t="s">
        <v>961</v>
      </c>
      <c r="F593" s="35" t="s">
        <v>978</v>
      </c>
      <c r="G593" s="28" t="s">
        <v>1579</v>
      </c>
      <c r="H593" s="28" t="s">
        <v>1580</v>
      </c>
      <c r="I593" s="28" t="s">
        <v>5010</v>
      </c>
      <c r="J593" s="28" t="s">
        <v>5011</v>
      </c>
      <c r="K593" s="28" t="s">
        <v>5012</v>
      </c>
      <c r="L593" s="28" t="s">
        <v>5013</v>
      </c>
      <c r="M593" s="28" t="s">
        <v>4645</v>
      </c>
      <c r="N593" s="28" t="s">
        <v>4643</v>
      </c>
    </row>
    <row r="594" spans="1:14">
      <c r="A594" t="s">
        <v>965</v>
      </c>
      <c r="B594" t="s">
        <v>58</v>
      </c>
      <c r="C594">
        <v>2021</v>
      </c>
      <c r="D594">
        <v>547</v>
      </c>
      <c r="E594" t="s">
        <v>961</v>
      </c>
      <c r="F594" s="35" t="s">
        <v>978</v>
      </c>
      <c r="G594" s="28" t="s">
        <v>1607</v>
      </c>
      <c r="H594" s="28" t="s">
        <v>1580</v>
      </c>
      <c r="I594" s="28" t="s">
        <v>5014</v>
      </c>
      <c r="J594" s="28" t="s">
        <v>5011</v>
      </c>
      <c r="K594" s="28" t="s">
        <v>5015</v>
      </c>
      <c r="L594" s="28" t="s">
        <v>5013</v>
      </c>
      <c r="M594" s="28" t="s">
        <v>4647</v>
      </c>
      <c r="N594" s="28" t="s">
        <v>4643</v>
      </c>
    </row>
    <row r="595" spans="1:14">
      <c r="A595" t="s">
        <v>965</v>
      </c>
      <c r="B595" t="s">
        <v>58</v>
      </c>
      <c r="C595">
        <v>2022</v>
      </c>
      <c r="D595">
        <v>615</v>
      </c>
      <c r="E595" t="s">
        <v>961</v>
      </c>
      <c r="F595" s="35" t="s">
        <v>979</v>
      </c>
      <c r="G595" s="28" t="s">
        <v>1581</v>
      </c>
      <c r="H595" s="28" t="s">
        <v>1582</v>
      </c>
      <c r="I595" s="28" t="s">
        <v>5016</v>
      </c>
      <c r="J595" s="28" t="s">
        <v>5017</v>
      </c>
      <c r="K595" s="28" t="s">
        <v>5018</v>
      </c>
      <c r="L595" s="28" t="s">
        <v>5019</v>
      </c>
      <c r="M595" s="28" t="s">
        <v>4650</v>
      </c>
      <c r="N595" s="28" t="s">
        <v>4651</v>
      </c>
    </row>
    <row r="596" spans="1:14">
      <c r="A596" t="s">
        <v>965</v>
      </c>
      <c r="B596" t="s">
        <v>58</v>
      </c>
      <c r="C596">
        <v>2023</v>
      </c>
      <c r="D596">
        <v>1159</v>
      </c>
      <c r="E596" t="s">
        <v>961</v>
      </c>
      <c r="F596" s="35" t="s">
        <v>979</v>
      </c>
      <c r="G596" s="28" t="s">
        <v>1583</v>
      </c>
      <c r="H596" s="28" t="s">
        <v>1582</v>
      </c>
      <c r="I596" s="28" t="s">
        <v>5020</v>
      </c>
      <c r="J596" s="28" t="s">
        <v>5017</v>
      </c>
      <c r="K596" s="28" t="s">
        <v>5021</v>
      </c>
      <c r="L596" s="28" t="s">
        <v>5019</v>
      </c>
      <c r="M596" s="28" t="s">
        <v>4653</v>
      </c>
      <c r="N596" s="28" t="s">
        <v>4651</v>
      </c>
    </row>
    <row r="597" spans="1:14">
      <c r="A597" t="s">
        <v>965</v>
      </c>
      <c r="B597" t="s">
        <v>58</v>
      </c>
      <c r="C597">
        <v>2024</v>
      </c>
      <c r="D597">
        <v>820</v>
      </c>
      <c r="E597" t="s">
        <v>961</v>
      </c>
      <c r="F597" s="35" t="s">
        <v>979</v>
      </c>
      <c r="G597" s="28" t="s">
        <v>1584</v>
      </c>
      <c r="H597" s="28" t="s">
        <v>1582</v>
      </c>
      <c r="I597" s="28" t="s">
        <v>5022</v>
      </c>
      <c r="J597" s="28" t="s">
        <v>5017</v>
      </c>
      <c r="K597" s="28" t="s">
        <v>5023</v>
      </c>
      <c r="L597" s="28" t="s">
        <v>5019</v>
      </c>
      <c r="M597" s="28" t="s">
        <v>5024</v>
      </c>
      <c r="N597" s="28" t="s">
        <v>4651</v>
      </c>
    </row>
    <row r="598" spans="1:14">
      <c r="A598" t="s">
        <v>965</v>
      </c>
      <c r="B598" t="s">
        <v>58</v>
      </c>
      <c r="C598">
        <v>2025</v>
      </c>
      <c r="D598">
        <v>1052</v>
      </c>
      <c r="E598" t="s">
        <v>961</v>
      </c>
      <c r="F598" s="35" t="s">
        <v>979</v>
      </c>
      <c r="G598" s="28" t="s">
        <v>1585</v>
      </c>
      <c r="H598" s="28" t="s">
        <v>1582</v>
      </c>
      <c r="I598" s="28" t="s">
        <v>5025</v>
      </c>
      <c r="J598" s="28" t="s">
        <v>5017</v>
      </c>
      <c r="K598" s="28" t="s">
        <v>5026</v>
      </c>
      <c r="L598" s="28" t="s">
        <v>5019</v>
      </c>
      <c r="M598" s="28" t="s">
        <v>4655</v>
      </c>
      <c r="N598" s="28" t="s">
        <v>4651</v>
      </c>
    </row>
    <row r="599" spans="1:14">
      <c r="A599" t="s">
        <v>965</v>
      </c>
      <c r="B599" t="s">
        <v>58</v>
      </c>
      <c r="C599">
        <v>2026</v>
      </c>
      <c r="D599">
        <v>270</v>
      </c>
      <c r="E599" t="s">
        <v>961</v>
      </c>
      <c r="F599" s="35" t="s">
        <v>979</v>
      </c>
      <c r="G599" s="28" t="s">
        <v>1608</v>
      </c>
      <c r="H599" s="28" t="s">
        <v>1582</v>
      </c>
      <c r="I599" s="28" t="s">
        <v>5027</v>
      </c>
      <c r="J599" s="28" t="s">
        <v>5017</v>
      </c>
      <c r="K599" s="28" t="s">
        <v>5028</v>
      </c>
      <c r="L599" s="28" t="s">
        <v>5019</v>
      </c>
      <c r="M599" s="28" t="s">
        <v>4657</v>
      </c>
      <c r="N599" s="28" t="s">
        <v>4651</v>
      </c>
    </row>
    <row r="600" spans="1:14">
      <c r="A600" t="s">
        <v>965</v>
      </c>
      <c r="B600" t="s">
        <v>58</v>
      </c>
      <c r="C600">
        <v>2028</v>
      </c>
      <c r="D600">
        <v>1433</v>
      </c>
      <c r="E600" t="s">
        <v>961</v>
      </c>
      <c r="F600" s="35" t="s">
        <v>980</v>
      </c>
      <c r="G600" s="28" t="s">
        <v>1588</v>
      </c>
      <c r="H600" s="28" t="s">
        <v>1587</v>
      </c>
      <c r="I600" s="28" t="s">
        <v>5029</v>
      </c>
      <c r="J600" s="28" t="s">
        <v>5030</v>
      </c>
      <c r="K600" s="28" t="s">
        <v>5031</v>
      </c>
      <c r="L600" s="28" t="s">
        <v>5032</v>
      </c>
      <c r="M600" s="28" t="s">
        <v>4663</v>
      </c>
      <c r="N600" s="28" t="s">
        <v>4661</v>
      </c>
    </row>
    <row r="601" spans="1:14">
      <c r="A601" t="s">
        <v>965</v>
      </c>
      <c r="B601" t="s">
        <v>58</v>
      </c>
      <c r="C601">
        <v>2029</v>
      </c>
      <c r="D601">
        <v>1274</v>
      </c>
      <c r="E601" t="s">
        <v>961</v>
      </c>
      <c r="F601" s="35" t="s">
        <v>980</v>
      </c>
      <c r="G601" s="28" t="s">
        <v>1589</v>
      </c>
      <c r="H601" s="28" t="s">
        <v>1587</v>
      </c>
      <c r="I601" s="28" t="s">
        <v>5033</v>
      </c>
      <c r="J601" s="28" t="s">
        <v>5030</v>
      </c>
      <c r="K601" s="28" t="s">
        <v>5034</v>
      </c>
      <c r="L601" s="28" t="s">
        <v>5032</v>
      </c>
      <c r="M601" s="28" t="s">
        <v>5035</v>
      </c>
      <c r="N601" s="28" t="s">
        <v>4661</v>
      </c>
    </row>
    <row r="602" spans="1:14">
      <c r="A602" t="s">
        <v>965</v>
      </c>
      <c r="B602" t="s">
        <v>58</v>
      </c>
      <c r="C602">
        <v>2030</v>
      </c>
      <c r="D602">
        <v>1090</v>
      </c>
      <c r="E602" t="s">
        <v>961</v>
      </c>
      <c r="F602" s="35" t="s">
        <v>980</v>
      </c>
      <c r="G602" s="28" t="s">
        <v>1609</v>
      </c>
      <c r="H602" s="28" t="s">
        <v>1587</v>
      </c>
      <c r="I602" s="28" t="s">
        <v>5036</v>
      </c>
      <c r="J602" s="28" t="s">
        <v>5030</v>
      </c>
      <c r="K602" s="28" t="s">
        <v>5037</v>
      </c>
      <c r="L602" s="28" t="s">
        <v>5032</v>
      </c>
      <c r="M602" s="28" t="s">
        <v>4665</v>
      </c>
      <c r="N602" s="28" t="s">
        <v>4661</v>
      </c>
    </row>
    <row r="603" spans="1:14">
      <c r="A603" t="s">
        <v>965</v>
      </c>
      <c r="B603" t="s">
        <v>58</v>
      </c>
      <c r="C603">
        <v>2031</v>
      </c>
      <c r="D603">
        <v>511</v>
      </c>
      <c r="E603" t="s">
        <v>961</v>
      </c>
      <c r="F603" s="35" t="s">
        <v>981</v>
      </c>
      <c r="G603" s="28" t="s">
        <v>1621</v>
      </c>
      <c r="H603" s="28" t="s">
        <v>1591</v>
      </c>
      <c r="I603" s="28" t="s">
        <v>5038</v>
      </c>
      <c r="J603" s="28" t="s">
        <v>5039</v>
      </c>
      <c r="K603" s="28" t="s">
        <v>5040</v>
      </c>
      <c r="L603" s="28" t="s">
        <v>5041</v>
      </c>
      <c r="M603" s="28" t="s">
        <v>4669</v>
      </c>
      <c r="N603" s="28" t="s">
        <v>4670</v>
      </c>
    </row>
    <row r="604" spans="1:14">
      <c r="A604" t="s">
        <v>965</v>
      </c>
      <c r="B604" t="s">
        <v>58</v>
      </c>
      <c r="C604">
        <v>2032</v>
      </c>
      <c r="D604">
        <v>365</v>
      </c>
      <c r="E604" t="s">
        <v>961</v>
      </c>
      <c r="F604" s="35" t="s">
        <v>981</v>
      </c>
      <c r="G604" s="28" t="s">
        <v>1590</v>
      </c>
      <c r="H604" s="28" t="s">
        <v>1591</v>
      </c>
      <c r="I604" s="28" t="s">
        <v>5042</v>
      </c>
      <c r="J604" s="28" t="s">
        <v>5039</v>
      </c>
      <c r="K604" s="28" t="s">
        <v>5043</v>
      </c>
      <c r="L604" s="28" t="s">
        <v>5041</v>
      </c>
      <c r="M604" s="28" t="s">
        <v>5044</v>
      </c>
      <c r="N604" s="28" t="s">
        <v>4670</v>
      </c>
    </row>
    <row r="605" spans="1:14">
      <c r="A605" t="s">
        <v>965</v>
      </c>
      <c r="B605" t="s">
        <v>58</v>
      </c>
      <c r="C605">
        <v>2033</v>
      </c>
      <c r="D605">
        <v>965</v>
      </c>
      <c r="E605" t="s">
        <v>961</v>
      </c>
      <c r="F605" s="35" t="s">
        <v>981</v>
      </c>
      <c r="G605" s="28" t="s">
        <v>1622</v>
      </c>
      <c r="H605" s="28" t="s">
        <v>1591</v>
      </c>
      <c r="I605" s="28" t="s">
        <v>5045</v>
      </c>
      <c r="J605" s="28" t="s">
        <v>5039</v>
      </c>
      <c r="K605" s="28" t="s">
        <v>5046</v>
      </c>
      <c r="L605" s="28" t="s">
        <v>5041</v>
      </c>
      <c r="M605" s="28" t="s">
        <v>4673</v>
      </c>
      <c r="N605" s="28" t="s">
        <v>4670</v>
      </c>
    </row>
    <row r="606" spans="1:14">
      <c r="A606" t="s">
        <v>965</v>
      </c>
      <c r="B606" t="s">
        <v>58</v>
      </c>
      <c r="C606">
        <v>2034</v>
      </c>
      <c r="D606">
        <v>162</v>
      </c>
      <c r="E606" t="s">
        <v>961</v>
      </c>
      <c r="F606" s="35" t="s">
        <v>981</v>
      </c>
      <c r="G606" s="28" t="s">
        <v>1610</v>
      </c>
      <c r="H606" s="28" t="s">
        <v>1591</v>
      </c>
      <c r="I606" s="28" t="s">
        <v>5047</v>
      </c>
      <c r="J606" s="28" t="s">
        <v>5039</v>
      </c>
      <c r="K606" s="28" t="s">
        <v>5048</v>
      </c>
      <c r="L606" s="28" t="s">
        <v>5041</v>
      </c>
      <c r="M606" s="28" t="s">
        <v>4675</v>
      </c>
      <c r="N606" s="28" t="s">
        <v>4670</v>
      </c>
    </row>
    <row r="607" spans="1:14">
      <c r="A607" t="s">
        <v>965</v>
      </c>
      <c r="B607" t="s">
        <v>58</v>
      </c>
      <c r="C607">
        <v>2035</v>
      </c>
      <c r="D607">
        <v>978</v>
      </c>
      <c r="E607" t="s">
        <v>961</v>
      </c>
      <c r="F607" s="35" t="s">
        <v>981</v>
      </c>
      <c r="G607" s="28" t="s">
        <v>1592</v>
      </c>
      <c r="H607" s="28" t="s">
        <v>1591</v>
      </c>
      <c r="I607" s="28" t="s">
        <v>5049</v>
      </c>
      <c r="J607" s="28" t="s">
        <v>5039</v>
      </c>
      <c r="K607" s="28" t="s">
        <v>5050</v>
      </c>
      <c r="L607" s="28" t="s">
        <v>5041</v>
      </c>
      <c r="M607" s="28" t="s">
        <v>4677</v>
      </c>
      <c r="N607" s="28" t="s">
        <v>4670</v>
      </c>
    </row>
    <row r="608" spans="1:14">
      <c r="A608" t="s">
        <v>965</v>
      </c>
      <c r="B608" t="s">
        <v>58</v>
      </c>
      <c r="C608">
        <v>2036</v>
      </c>
      <c r="D608">
        <v>1000</v>
      </c>
      <c r="E608" t="s">
        <v>961</v>
      </c>
      <c r="F608" s="35" t="s">
        <v>982</v>
      </c>
      <c r="G608" s="28" t="s">
        <v>1593</v>
      </c>
      <c r="H608" s="28" t="s">
        <v>1594</v>
      </c>
      <c r="I608" s="28" t="s">
        <v>5051</v>
      </c>
      <c r="J608" s="28" t="s">
        <v>5052</v>
      </c>
      <c r="K608" s="28" t="s">
        <v>5053</v>
      </c>
      <c r="L608" s="28" t="s">
        <v>5054</v>
      </c>
      <c r="M608" s="28" t="s">
        <v>4680</v>
      </c>
      <c r="N608" s="28" t="s">
        <v>4681</v>
      </c>
    </row>
    <row r="609" spans="1:14">
      <c r="A609" t="s">
        <v>965</v>
      </c>
      <c r="B609" t="s">
        <v>58</v>
      </c>
      <c r="C609">
        <v>2037</v>
      </c>
      <c r="D609">
        <v>302</v>
      </c>
      <c r="E609" t="s">
        <v>961</v>
      </c>
      <c r="F609" s="35" t="s">
        <v>982</v>
      </c>
      <c r="G609" s="28" t="s">
        <v>1611</v>
      </c>
      <c r="H609" s="28" t="s">
        <v>1594</v>
      </c>
      <c r="I609" s="28" t="s">
        <v>5055</v>
      </c>
      <c r="J609" s="28" t="s">
        <v>5052</v>
      </c>
      <c r="K609" s="28" t="s">
        <v>5056</v>
      </c>
      <c r="L609" s="28" t="s">
        <v>5054</v>
      </c>
      <c r="M609" s="28" t="s">
        <v>4683</v>
      </c>
      <c r="N609" s="28" t="s">
        <v>4681</v>
      </c>
    </row>
    <row r="610" spans="1:14">
      <c r="A610" t="s">
        <v>965</v>
      </c>
      <c r="B610" t="s">
        <v>58</v>
      </c>
      <c r="C610">
        <v>2038</v>
      </c>
      <c r="D610">
        <v>797</v>
      </c>
      <c r="E610" t="s">
        <v>961</v>
      </c>
      <c r="F610" s="35" t="s">
        <v>982</v>
      </c>
      <c r="G610" s="28" t="s">
        <v>1612</v>
      </c>
      <c r="H610" s="28" t="s">
        <v>1594</v>
      </c>
      <c r="I610" s="28" t="s">
        <v>5057</v>
      </c>
      <c r="J610" s="28" t="s">
        <v>5052</v>
      </c>
      <c r="K610" s="28" t="s">
        <v>5058</v>
      </c>
      <c r="L610" s="28" t="s">
        <v>5054</v>
      </c>
      <c r="M610" s="28" t="s">
        <v>4685</v>
      </c>
      <c r="N610" s="28" t="s">
        <v>4681</v>
      </c>
    </row>
    <row r="611" spans="1:14">
      <c r="A611" t="s">
        <v>965</v>
      </c>
      <c r="B611" t="s">
        <v>58</v>
      </c>
      <c r="C611">
        <v>2039</v>
      </c>
      <c r="D611">
        <v>728</v>
      </c>
      <c r="E611" t="s">
        <v>961</v>
      </c>
      <c r="F611" s="35" t="s">
        <v>982</v>
      </c>
      <c r="G611" s="28" t="s">
        <v>1613</v>
      </c>
      <c r="H611" s="28" t="s">
        <v>1594</v>
      </c>
      <c r="I611" s="28" t="s">
        <v>5059</v>
      </c>
      <c r="J611" s="28" t="s">
        <v>5052</v>
      </c>
      <c r="K611" s="28" t="s">
        <v>5060</v>
      </c>
      <c r="L611" s="28" t="s">
        <v>5054</v>
      </c>
      <c r="M611" s="28" t="s">
        <v>4687</v>
      </c>
      <c r="N611" s="28" t="s">
        <v>4681</v>
      </c>
    </row>
    <row r="612" spans="1:14">
      <c r="A612" t="s">
        <v>965</v>
      </c>
      <c r="B612" t="s">
        <v>58</v>
      </c>
      <c r="C612">
        <v>2040</v>
      </c>
      <c r="D612">
        <v>792</v>
      </c>
      <c r="E612" t="s">
        <v>961</v>
      </c>
      <c r="F612" s="35" t="s">
        <v>983</v>
      </c>
      <c r="G612" s="28" t="s">
        <v>1614</v>
      </c>
      <c r="H612" s="28" t="s">
        <v>1596</v>
      </c>
      <c r="I612" s="28" t="s">
        <v>5061</v>
      </c>
      <c r="J612" s="28" t="s">
        <v>5062</v>
      </c>
      <c r="K612" s="28" t="s">
        <v>5063</v>
      </c>
      <c r="L612" s="28" t="s">
        <v>5064</v>
      </c>
      <c r="M612" s="28" t="s">
        <v>4690</v>
      </c>
      <c r="N612" s="28" t="s">
        <v>4691</v>
      </c>
    </row>
    <row r="613" spans="1:14">
      <c r="A613" t="s">
        <v>965</v>
      </c>
      <c r="B613" t="s">
        <v>58</v>
      </c>
      <c r="C613">
        <v>2041</v>
      </c>
      <c r="D613">
        <v>449</v>
      </c>
      <c r="E613" t="s">
        <v>961</v>
      </c>
      <c r="F613" s="35" t="s">
        <v>983</v>
      </c>
      <c r="G613" s="28" t="s">
        <v>1595</v>
      </c>
      <c r="H613" s="28" t="s">
        <v>1596</v>
      </c>
      <c r="I613" s="28" t="s">
        <v>5065</v>
      </c>
      <c r="J613" s="28" t="s">
        <v>5062</v>
      </c>
      <c r="K613" s="28" t="s">
        <v>5066</v>
      </c>
      <c r="L613" s="28" t="s">
        <v>5064</v>
      </c>
      <c r="M613" s="28" t="s">
        <v>4693</v>
      </c>
      <c r="N613" s="28" t="s">
        <v>4691</v>
      </c>
    </row>
    <row r="614" spans="1:14">
      <c r="A614" t="s">
        <v>965</v>
      </c>
      <c r="B614" t="s">
        <v>58</v>
      </c>
      <c r="C614">
        <v>2042</v>
      </c>
      <c r="D614">
        <v>52</v>
      </c>
      <c r="E614" t="s">
        <v>961</v>
      </c>
      <c r="F614" s="35" t="s">
        <v>983</v>
      </c>
      <c r="G614" s="28" t="s">
        <v>1597</v>
      </c>
      <c r="H614" s="28" t="s">
        <v>1596</v>
      </c>
      <c r="I614" s="28" t="s">
        <v>5067</v>
      </c>
      <c r="J614" s="28" t="s">
        <v>5062</v>
      </c>
      <c r="K614" s="28" t="s">
        <v>5068</v>
      </c>
      <c r="L614" s="28" t="s">
        <v>5064</v>
      </c>
      <c r="M614" s="28" t="s">
        <v>4695</v>
      </c>
      <c r="N614" s="28" t="s">
        <v>4691</v>
      </c>
    </row>
    <row r="615" spans="1:14">
      <c r="A615" t="s">
        <v>965</v>
      </c>
      <c r="B615" t="s">
        <v>58</v>
      </c>
      <c r="C615">
        <v>2043</v>
      </c>
      <c r="D615">
        <v>2308</v>
      </c>
      <c r="E615" t="s">
        <v>961</v>
      </c>
      <c r="F615" s="35" t="s">
        <v>983</v>
      </c>
      <c r="G615" s="28" t="s">
        <v>1615</v>
      </c>
      <c r="H615" s="28" t="s">
        <v>1596</v>
      </c>
      <c r="I615" s="28" t="s">
        <v>5069</v>
      </c>
      <c r="J615" s="28" t="s">
        <v>5062</v>
      </c>
      <c r="K615" s="28" t="s">
        <v>5070</v>
      </c>
      <c r="L615" s="28" t="s">
        <v>5064</v>
      </c>
      <c r="M615" s="28" t="s">
        <v>4697</v>
      </c>
      <c r="N615" s="28" t="s">
        <v>4691</v>
      </c>
    </row>
    <row r="616" spans="1:14">
      <c r="A616" t="s">
        <v>965</v>
      </c>
      <c r="B616" t="s">
        <v>58</v>
      </c>
      <c r="C616">
        <v>2044</v>
      </c>
      <c r="D616">
        <v>1</v>
      </c>
      <c r="E616" t="s">
        <v>961</v>
      </c>
      <c r="F616" s="35" t="s">
        <v>984</v>
      </c>
      <c r="G616" s="28" t="s">
        <v>1598</v>
      </c>
      <c r="H616" s="28" t="s">
        <v>1599</v>
      </c>
      <c r="I616" s="28" t="s">
        <v>5071</v>
      </c>
      <c r="J616" s="28" t="s">
        <v>5072</v>
      </c>
      <c r="K616" s="28" t="s">
        <v>5073</v>
      </c>
      <c r="L616" s="28" t="s">
        <v>5074</v>
      </c>
      <c r="M616" s="28" t="s">
        <v>4700</v>
      </c>
      <c r="N616" s="28" t="s">
        <v>4701</v>
      </c>
    </row>
    <row r="617" spans="1:14">
      <c r="A617" t="s">
        <v>965</v>
      </c>
      <c r="B617" t="s">
        <v>58</v>
      </c>
      <c r="C617">
        <v>2047</v>
      </c>
      <c r="D617">
        <v>151</v>
      </c>
      <c r="E617" t="s">
        <v>961</v>
      </c>
      <c r="F617" s="35" t="s">
        <v>984</v>
      </c>
      <c r="G617" s="28" t="s">
        <v>1601</v>
      </c>
      <c r="H617" s="28" t="s">
        <v>1599</v>
      </c>
      <c r="I617" s="28" t="s">
        <v>5075</v>
      </c>
      <c r="J617" s="28" t="s">
        <v>5072</v>
      </c>
      <c r="K617" s="28" t="s">
        <v>5076</v>
      </c>
      <c r="L617" s="28" t="s">
        <v>5074</v>
      </c>
      <c r="M617" s="28" t="s">
        <v>4708</v>
      </c>
      <c r="N617" s="28" t="s">
        <v>4701</v>
      </c>
    </row>
    <row r="618" spans="1:14">
      <c r="A618" t="s">
        <v>965</v>
      </c>
      <c r="B618" t="s">
        <v>58</v>
      </c>
      <c r="C618">
        <v>2048</v>
      </c>
      <c r="D618">
        <v>47</v>
      </c>
      <c r="E618" t="s">
        <v>961</v>
      </c>
      <c r="F618" s="35" t="s">
        <v>984</v>
      </c>
      <c r="G618" s="28" t="s">
        <v>1625</v>
      </c>
      <c r="H618" s="28" t="s">
        <v>1599</v>
      </c>
      <c r="I618" s="28" t="s">
        <v>5077</v>
      </c>
      <c r="J618" s="28" t="s">
        <v>5072</v>
      </c>
      <c r="K618" s="28" t="s">
        <v>5078</v>
      </c>
      <c r="L618" s="28" t="s">
        <v>5074</v>
      </c>
      <c r="M618" s="28" t="s">
        <v>5079</v>
      </c>
      <c r="N618" s="28" t="s">
        <v>4701</v>
      </c>
    </row>
    <row r="619" spans="1:14">
      <c r="A619" t="s">
        <v>965</v>
      </c>
      <c r="B619" t="s">
        <v>58</v>
      </c>
      <c r="C619">
        <v>2049</v>
      </c>
      <c r="D619">
        <v>662</v>
      </c>
      <c r="E619" t="s">
        <v>961</v>
      </c>
      <c r="F619" s="35" t="s">
        <v>985</v>
      </c>
      <c r="G619" s="28" t="s">
        <v>1602</v>
      </c>
      <c r="H619" s="28" t="s">
        <v>1603</v>
      </c>
      <c r="I619" s="28" t="s">
        <v>5080</v>
      </c>
      <c r="J619" s="28" t="s">
        <v>5081</v>
      </c>
      <c r="K619" s="28" t="s">
        <v>5082</v>
      </c>
      <c r="L619" s="28" t="s">
        <v>5083</v>
      </c>
      <c r="M619" s="28" t="s">
        <v>4711</v>
      </c>
      <c r="N619" s="28" t="s">
        <v>4712</v>
      </c>
    </row>
    <row r="620" spans="1:14">
      <c r="A620" t="s">
        <v>965</v>
      </c>
      <c r="B620" t="s">
        <v>58</v>
      </c>
      <c r="C620">
        <v>2051</v>
      </c>
      <c r="D620">
        <v>975</v>
      </c>
      <c r="E620" t="s">
        <v>961</v>
      </c>
      <c r="F620" s="35" t="s">
        <v>985</v>
      </c>
      <c r="G620" s="28" t="s">
        <v>1604</v>
      </c>
      <c r="H620" s="28" t="s">
        <v>1603</v>
      </c>
      <c r="I620" s="28" t="s">
        <v>5084</v>
      </c>
      <c r="J620" s="28" t="s">
        <v>5081</v>
      </c>
      <c r="K620" s="28" t="s">
        <v>5085</v>
      </c>
      <c r="L620" s="28" t="s">
        <v>5083</v>
      </c>
      <c r="M620" s="28" t="s">
        <v>4716</v>
      </c>
      <c r="N620" s="28" t="s">
        <v>4712</v>
      </c>
    </row>
    <row r="621" spans="1:14">
      <c r="A621" t="s">
        <v>965</v>
      </c>
      <c r="B621" t="s">
        <v>58</v>
      </c>
      <c r="C621">
        <v>2052</v>
      </c>
      <c r="D621">
        <v>270</v>
      </c>
      <c r="E621" t="s">
        <v>961</v>
      </c>
      <c r="F621" s="35" t="s">
        <v>985</v>
      </c>
      <c r="G621" s="28" t="s">
        <v>1605</v>
      </c>
      <c r="H621" s="28" t="s">
        <v>1603</v>
      </c>
      <c r="I621" s="28" t="s">
        <v>5086</v>
      </c>
      <c r="J621" s="28" t="s">
        <v>5081</v>
      </c>
      <c r="K621" s="28" t="s">
        <v>5087</v>
      </c>
      <c r="L621" s="28" t="s">
        <v>5083</v>
      </c>
      <c r="M621" s="28" t="s">
        <v>4718</v>
      </c>
      <c r="N621" s="28" t="s">
        <v>4712</v>
      </c>
    </row>
    <row r="622" spans="1:14">
      <c r="A622" t="s">
        <v>965</v>
      </c>
      <c r="B622" t="s">
        <v>58</v>
      </c>
      <c r="C622">
        <v>2053</v>
      </c>
      <c r="D622">
        <v>727</v>
      </c>
      <c r="E622" t="s">
        <v>961</v>
      </c>
      <c r="F622" s="35" t="s">
        <v>976</v>
      </c>
      <c r="G622" s="28" t="s">
        <v>1631</v>
      </c>
      <c r="H622" s="28" t="s">
        <v>1544</v>
      </c>
      <c r="I622" s="28" t="s">
        <v>5088</v>
      </c>
      <c r="J622" s="28" t="s">
        <v>5089</v>
      </c>
      <c r="K622" s="28" t="s">
        <v>5090</v>
      </c>
      <c r="L622" s="28" t="s">
        <v>5091</v>
      </c>
      <c r="M622" s="28" t="s">
        <v>5092</v>
      </c>
      <c r="N622" s="28" t="s">
        <v>4223</v>
      </c>
    </row>
    <row r="623" spans="1:14">
      <c r="A623" t="s">
        <v>965</v>
      </c>
      <c r="B623" t="s">
        <v>58</v>
      </c>
      <c r="C623">
        <v>2101</v>
      </c>
      <c r="D623">
        <v>668</v>
      </c>
      <c r="E623" t="s">
        <v>961</v>
      </c>
      <c r="F623" s="35" t="s">
        <v>976</v>
      </c>
      <c r="G623" s="28" t="s">
        <v>1561</v>
      </c>
      <c r="H623" s="28" t="s">
        <v>1544</v>
      </c>
      <c r="I623" s="28" t="s">
        <v>5093</v>
      </c>
      <c r="J623" s="28" t="s">
        <v>5089</v>
      </c>
      <c r="K623" s="28" t="s">
        <v>5094</v>
      </c>
      <c r="L623" s="28" t="s">
        <v>5091</v>
      </c>
      <c r="M623" s="28" t="s">
        <v>4222</v>
      </c>
      <c r="N623" s="28" t="s">
        <v>4223</v>
      </c>
    </row>
    <row r="624" spans="1:14">
      <c r="A624" t="s">
        <v>965</v>
      </c>
      <c r="B624" t="s">
        <v>58</v>
      </c>
      <c r="C624">
        <v>2102</v>
      </c>
      <c r="D624">
        <v>287</v>
      </c>
      <c r="E624" t="s">
        <v>961</v>
      </c>
      <c r="F624" s="35" t="s">
        <v>976</v>
      </c>
      <c r="G624" s="28" t="s">
        <v>1543</v>
      </c>
      <c r="H624" s="28" t="s">
        <v>1544</v>
      </c>
      <c r="I624" s="28" t="s">
        <v>5095</v>
      </c>
      <c r="J624" s="28" t="s">
        <v>5089</v>
      </c>
      <c r="K624" s="28" t="s">
        <v>5096</v>
      </c>
      <c r="L624" s="28" t="s">
        <v>5091</v>
      </c>
      <c r="M624" s="28" t="s">
        <v>4225</v>
      </c>
      <c r="N624" s="28" t="s">
        <v>4223</v>
      </c>
    </row>
    <row r="625" spans="1:14">
      <c r="A625" t="s">
        <v>965</v>
      </c>
      <c r="B625" t="s">
        <v>58</v>
      </c>
      <c r="C625">
        <v>2103</v>
      </c>
      <c r="D625">
        <v>659</v>
      </c>
      <c r="E625" t="s">
        <v>961</v>
      </c>
      <c r="F625" s="35" t="s">
        <v>976</v>
      </c>
      <c r="G625" s="28" t="s">
        <v>1545</v>
      </c>
      <c r="H625" s="28" t="s">
        <v>1544</v>
      </c>
      <c r="I625" s="28" t="s">
        <v>5097</v>
      </c>
      <c r="J625" s="28" t="s">
        <v>5089</v>
      </c>
      <c r="K625" s="28" t="s">
        <v>5098</v>
      </c>
      <c r="L625" s="28" t="s">
        <v>5091</v>
      </c>
      <c r="M625" s="28" t="s">
        <v>4227</v>
      </c>
      <c r="N625" s="28" t="s">
        <v>4223</v>
      </c>
    </row>
    <row r="626" spans="1:14">
      <c r="A626" t="s">
        <v>965</v>
      </c>
      <c r="B626" t="s">
        <v>58</v>
      </c>
      <c r="C626">
        <v>2104</v>
      </c>
      <c r="D626">
        <v>991</v>
      </c>
      <c r="E626" t="s">
        <v>961</v>
      </c>
      <c r="F626" s="35" t="s">
        <v>976</v>
      </c>
      <c r="G626" s="28" t="s">
        <v>1546</v>
      </c>
      <c r="H626" s="28" t="s">
        <v>1544</v>
      </c>
      <c r="I626" s="28" t="s">
        <v>5099</v>
      </c>
      <c r="J626" s="28" t="s">
        <v>5089</v>
      </c>
      <c r="K626" s="28" t="s">
        <v>5100</v>
      </c>
      <c r="L626" s="28" t="s">
        <v>5091</v>
      </c>
      <c r="M626" s="28" t="s">
        <v>4229</v>
      </c>
      <c r="N626" s="28" t="s">
        <v>4223</v>
      </c>
    </row>
    <row r="627" spans="1:14">
      <c r="A627" t="s">
        <v>965</v>
      </c>
      <c r="B627" t="s">
        <v>58</v>
      </c>
      <c r="C627">
        <v>2105</v>
      </c>
      <c r="D627">
        <v>546</v>
      </c>
      <c r="E627" t="s">
        <v>961</v>
      </c>
      <c r="F627" s="35" t="s">
        <v>975</v>
      </c>
      <c r="G627" s="28" t="s">
        <v>1547</v>
      </c>
      <c r="H627" s="28" t="s">
        <v>1548</v>
      </c>
      <c r="I627" s="28" t="s">
        <v>5101</v>
      </c>
      <c r="J627" s="28" t="s">
        <v>5102</v>
      </c>
      <c r="K627" s="28" t="s">
        <v>5103</v>
      </c>
      <c r="L627" s="28" t="s">
        <v>5104</v>
      </c>
      <c r="M627" s="28" t="s">
        <v>4232</v>
      </c>
      <c r="N627" s="28" t="s">
        <v>4233</v>
      </c>
    </row>
    <row r="628" spans="1:14">
      <c r="A628" t="s">
        <v>965</v>
      </c>
      <c r="B628" t="s">
        <v>58</v>
      </c>
      <c r="C628">
        <v>2106</v>
      </c>
      <c r="D628">
        <v>285</v>
      </c>
      <c r="E628" t="s">
        <v>961</v>
      </c>
      <c r="F628" s="35" t="s">
        <v>975</v>
      </c>
      <c r="G628" s="28" t="s">
        <v>1549</v>
      </c>
      <c r="H628" s="28" t="s">
        <v>1548</v>
      </c>
      <c r="I628" s="28" t="s">
        <v>5105</v>
      </c>
      <c r="J628" s="28" t="s">
        <v>5102</v>
      </c>
      <c r="K628" s="28" t="s">
        <v>5106</v>
      </c>
      <c r="L628" s="28" t="s">
        <v>5104</v>
      </c>
      <c r="M628" s="28" t="s">
        <v>4235</v>
      </c>
      <c r="N628" s="28" t="s">
        <v>4233</v>
      </c>
    </row>
    <row r="629" spans="1:14">
      <c r="A629" t="s">
        <v>965</v>
      </c>
      <c r="B629" t="s">
        <v>58</v>
      </c>
      <c r="C629">
        <v>2107</v>
      </c>
      <c r="D629">
        <v>320</v>
      </c>
      <c r="E629" t="s">
        <v>961</v>
      </c>
      <c r="F629" s="35" t="s">
        <v>975</v>
      </c>
      <c r="G629" s="28" t="s">
        <v>1550</v>
      </c>
      <c r="H629" s="28" t="s">
        <v>1548</v>
      </c>
      <c r="I629" s="28" t="s">
        <v>5107</v>
      </c>
      <c r="J629" s="28" t="s">
        <v>5102</v>
      </c>
      <c r="K629" s="28" t="s">
        <v>5108</v>
      </c>
      <c r="L629" s="28" t="s">
        <v>5104</v>
      </c>
      <c r="M629" s="28" t="s">
        <v>4237</v>
      </c>
      <c r="N629" s="28" t="s">
        <v>4233</v>
      </c>
    </row>
    <row r="630" spans="1:14">
      <c r="A630" t="s">
        <v>965</v>
      </c>
      <c r="B630" t="s">
        <v>58</v>
      </c>
      <c r="C630">
        <v>2108</v>
      </c>
      <c r="D630">
        <v>677</v>
      </c>
      <c r="E630" t="s">
        <v>961</v>
      </c>
      <c r="F630" s="35" t="s">
        <v>975</v>
      </c>
      <c r="G630" s="28" t="s">
        <v>1551</v>
      </c>
      <c r="H630" s="28" t="s">
        <v>1548</v>
      </c>
      <c r="I630" s="28" t="s">
        <v>5109</v>
      </c>
      <c r="J630" s="28" t="s">
        <v>5102</v>
      </c>
      <c r="K630" s="28" t="s">
        <v>5110</v>
      </c>
      <c r="L630" s="28" t="s">
        <v>5104</v>
      </c>
      <c r="M630" s="28" t="s">
        <v>4239</v>
      </c>
      <c r="N630" s="28" t="s">
        <v>4233</v>
      </c>
    </row>
    <row r="631" spans="1:14">
      <c r="A631" t="s">
        <v>965</v>
      </c>
      <c r="B631" t="s">
        <v>58</v>
      </c>
      <c r="C631">
        <v>2109</v>
      </c>
      <c r="D631">
        <v>425</v>
      </c>
      <c r="E631" t="s">
        <v>961</v>
      </c>
      <c r="F631" s="35" t="s">
        <v>969</v>
      </c>
      <c r="G631" s="28" t="s">
        <v>1552</v>
      </c>
      <c r="H631" s="28" t="s">
        <v>1553</v>
      </c>
      <c r="I631" s="28" t="s">
        <v>5111</v>
      </c>
      <c r="J631" s="28" t="s">
        <v>5112</v>
      </c>
      <c r="K631" s="28" t="s">
        <v>5113</v>
      </c>
      <c r="L631" s="28" t="s">
        <v>5114</v>
      </c>
      <c r="M631" s="28" t="s">
        <v>4728</v>
      </c>
      <c r="N631" s="28" t="s">
        <v>4729</v>
      </c>
    </row>
    <row r="632" spans="1:14">
      <c r="A632" t="s">
        <v>965</v>
      </c>
      <c r="B632" t="s">
        <v>58</v>
      </c>
      <c r="C632">
        <v>2110</v>
      </c>
      <c r="D632">
        <v>30</v>
      </c>
      <c r="E632" t="s">
        <v>961</v>
      </c>
      <c r="F632" s="35" t="s">
        <v>969</v>
      </c>
      <c r="G632" s="28" t="s">
        <v>1554</v>
      </c>
      <c r="H632" s="28" t="s">
        <v>1553</v>
      </c>
      <c r="I632" s="28" t="s">
        <v>5115</v>
      </c>
      <c r="J632" s="28" t="s">
        <v>5112</v>
      </c>
      <c r="K632" s="28" t="s">
        <v>5116</v>
      </c>
      <c r="L632" s="28" t="s">
        <v>5114</v>
      </c>
      <c r="M632" s="28" t="s">
        <v>4731</v>
      </c>
      <c r="N632" s="28" t="s">
        <v>4729</v>
      </c>
    </row>
    <row r="633" spans="1:14">
      <c r="A633" t="s">
        <v>965</v>
      </c>
      <c r="B633" t="s">
        <v>58</v>
      </c>
      <c r="C633">
        <v>2111</v>
      </c>
      <c r="D633">
        <v>471</v>
      </c>
      <c r="E633" t="s">
        <v>961</v>
      </c>
      <c r="F633" s="35" t="s">
        <v>969</v>
      </c>
      <c r="G633" s="28" t="s">
        <v>1555</v>
      </c>
      <c r="H633" s="28" t="s">
        <v>1553</v>
      </c>
      <c r="I633" s="28" t="s">
        <v>5117</v>
      </c>
      <c r="J633" s="28" t="s">
        <v>5112</v>
      </c>
      <c r="K633" s="28" t="s">
        <v>5118</v>
      </c>
      <c r="L633" s="28" t="s">
        <v>5114</v>
      </c>
      <c r="M633" s="28" t="s">
        <v>4733</v>
      </c>
      <c r="N633" s="28" t="s">
        <v>4729</v>
      </c>
    </row>
    <row r="634" spans="1:14">
      <c r="A634" t="s">
        <v>965</v>
      </c>
      <c r="B634" t="s">
        <v>58</v>
      </c>
      <c r="C634">
        <v>2113</v>
      </c>
      <c r="D634">
        <v>199</v>
      </c>
      <c r="E634" t="s">
        <v>961</v>
      </c>
      <c r="F634" s="35" t="s">
        <v>969</v>
      </c>
      <c r="G634" s="28" t="s">
        <v>1557</v>
      </c>
      <c r="H634" s="28" t="s">
        <v>1553</v>
      </c>
      <c r="I634" s="28" t="s">
        <v>5119</v>
      </c>
      <c r="J634" s="28" t="s">
        <v>5112</v>
      </c>
      <c r="K634" s="28" t="s">
        <v>5120</v>
      </c>
      <c r="L634" s="28" t="s">
        <v>5114</v>
      </c>
      <c r="M634" s="28" t="s">
        <v>5121</v>
      </c>
      <c r="N634" s="28" t="s">
        <v>4729</v>
      </c>
    </row>
    <row r="635" spans="1:14">
      <c r="A635" t="s">
        <v>965</v>
      </c>
      <c r="B635" t="s">
        <v>58</v>
      </c>
      <c r="C635">
        <v>2114</v>
      </c>
      <c r="D635">
        <v>250</v>
      </c>
      <c r="E635" t="s">
        <v>961</v>
      </c>
      <c r="F635" s="35" t="s">
        <v>970</v>
      </c>
      <c r="G635" s="28" t="s">
        <v>1558</v>
      </c>
      <c r="H635" s="28" t="s">
        <v>1529</v>
      </c>
      <c r="I635" s="28" t="s">
        <v>5122</v>
      </c>
      <c r="J635" s="28" t="s">
        <v>5123</v>
      </c>
      <c r="K635" s="28" t="s">
        <v>5124</v>
      </c>
      <c r="L635" s="28" t="s">
        <v>5125</v>
      </c>
      <c r="M635" s="28" t="s">
        <v>4739</v>
      </c>
      <c r="N635" s="28" t="s">
        <v>4740</v>
      </c>
    </row>
    <row r="636" spans="1:14">
      <c r="A636" t="s">
        <v>965</v>
      </c>
      <c r="B636" t="s">
        <v>58</v>
      </c>
      <c r="C636">
        <v>2117</v>
      </c>
      <c r="D636">
        <v>88</v>
      </c>
      <c r="E636" t="s">
        <v>961</v>
      </c>
      <c r="F636" s="35" t="s">
        <v>970</v>
      </c>
      <c r="G636" s="28" t="s">
        <v>1560</v>
      </c>
      <c r="H636" s="28" t="s">
        <v>1529</v>
      </c>
      <c r="I636" s="28" t="s">
        <v>5126</v>
      </c>
      <c r="J636" s="28" t="s">
        <v>5123</v>
      </c>
      <c r="K636" s="28" t="s">
        <v>5127</v>
      </c>
      <c r="L636" s="28" t="s">
        <v>5125</v>
      </c>
      <c r="M636" s="28" t="s">
        <v>5128</v>
      </c>
      <c r="N636" s="28" t="s">
        <v>4740</v>
      </c>
    </row>
    <row r="637" spans="1:14">
      <c r="A637" t="s">
        <v>965</v>
      </c>
      <c r="B637" t="s">
        <v>58</v>
      </c>
      <c r="C637">
        <v>2120</v>
      </c>
      <c r="D637">
        <v>308</v>
      </c>
      <c r="E637" t="s">
        <v>961</v>
      </c>
      <c r="F637" s="35" t="s">
        <v>971</v>
      </c>
      <c r="G637" s="28" t="s">
        <v>1564</v>
      </c>
      <c r="H637" s="28" t="s">
        <v>1531</v>
      </c>
      <c r="I637" s="28" t="s">
        <v>5129</v>
      </c>
      <c r="J637" s="28" t="s">
        <v>5130</v>
      </c>
      <c r="K637" s="28" t="s">
        <v>5131</v>
      </c>
      <c r="L637" s="28" t="s">
        <v>5132</v>
      </c>
      <c r="M637" s="28" t="s">
        <v>5133</v>
      </c>
      <c r="N637" s="28" t="s">
        <v>4748</v>
      </c>
    </row>
    <row r="638" spans="1:14">
      <c r="A638" t="s">
        <v>965</v>
      </c>
      <c r="B638" t="s">
        <v>58</v>
      </c>
      <c r="C638">
        <v>2130</v>
      </c>
      <c r="D638">
        <v>348</v>
      </c>
      <c r="E638" t="s">
        <v>961</v>
      </c>
      <c r="F638" s="35" t="s">
        <v>973</v>
      </c>
      <c r="G638" s="28" t="s">
        <v>1626</v>
      </c>
      <c r="H638" s="28" t="s">
        <v>1541</v>
      </c>
      <c r="I638" s="28" t="s">
        <v>5134</v>
      </c>
      <c r="J638" s="28" t="s">
        <v>5135</v>
      </c>
      <c r="K638" s="28" t="s">
        <v>5136</v>
      </c>
      <c r="L638" s="28" t="s">
        <v>5137</v>
      </c>
      <c r="M638" s="28" t="s">
        <v>5138</v>
      </c>
      <c r="N638" s="28" t="s">
        <v>5139</v>
      </c>
    </row>
    <row r="639" spans="1:14">
      <c r="A639" t="s">
        <v>965</v>
      </c>
      <c r="B639" t="s">
        <v>58</v>
      </c>
      <c r="C639">
        <v>2132</v>
      </c>
      <c r="D639">
        <v>102</v>
      </c>
      <c r="E639" t="s">
        <v>961</v>
      </c>
      <c r="F639" s="35" t="s">
        <v>974</v>
      </c>
      <c r="G639" s="28" t="s">
        <v>1566</v>
      </c>
      <c r="H639" s="28" t="s">
        <v>1563</v>
      </c>
      <c r="I639" s="28" t="s">
        <v>5140</v>
      </c>
      <c r="J639" s="28" t="s">
        <v>5141</v>
      </c>
      <c r="K639" s="28" t="s">
        <v>5142</v>
      </c>
      <c r="L639" s="28" t="s">
        <v>5143</v>
      </c>
      <c r="M639" s="28" t="s">
        <v>5144</v>
      </c>
      <c r="N639" s="28" t="s">
        <v>4763</v>
      </c>
    </row>
    <row r="640" spans="1:14">
      <c r="A640" t="s">
        <v>965</v>
      </c>
      <c r="B640" t="s">
        <v>58</v>
      </c>
      <c r="C640">
        <v>2133</v>
      </c>
      <c r="D640">
        <v>5</v>
      </c>
      <c r="E640" t="s">
        <v>961</v>
      </c>
      <c r="F640" s="35" t="s">
        <v>974</v>
      </c>
      <c r="G640" s="28" t="s">
        <v>1562</v>
      </c>
      <c r="H640" s="28" t="s">
        <v>1563</v>
      </c>
      <c r="I640" s="28" t="s">
        <v>5145</v>
      </c>
      <c r="J640" s="28" t="s">
        <v>5141</v>
      </c>
      <c r="K640" s="28" t="s">
        <v>5146</v>
      </c>
      <c r="L640" s="28" t="s">
        <v>5143</v>
      </c>
      <c r="M640" s="28" t="s">
        <v>5147</v>
      </c>
      <c r="N640" s="28" t="s">
        <v>4763</v>
      </c>
    </row>
    <row r="641" spans="1:14">
      <c r="A641" t="s">
        <v>965</v>
      </c>
      <c r="B641" t="s">
        <v>58</v>
      </c>
      <c r="C641">
        <v>2134</v>
      </c>
      <c r="D641">
        <v>1</v>
      </c>
      <c r="E641" t="s">
        <v>961</v>
      </c>
      <c r="F641" s="35" t="s">
        <v>974</v>
      </c>
      <c r="G641" s="28" t="s">
        <v>6012</v>
      </c>
      <c r="H641" s="28" t="s">
        <v>1563</v>
      </c>
      <c r="I641" s="28" t="s">
        <v>6013</v>
      </c>
      <c r="J641" s="28" t="s">
        <v>5141</v>
      </c>
      <c r="K641" s="28" t="s">
        <v>6014</v>
      </c>
      <c r="L641" s="28" t="s">
        <v>5143</v>
      </c>
      <c r="M641" s="28" t="s">
        <v>6015</v>
      </c>
      <c r="N641" s="28" t="s">
        <v>4763</v>
      </c>
    </row>
    <row r="642" spans="1:14">
      <c r="A642" t="s">
        <v>965</v>
      </c>
      <c r="B642" t="s">
        <v>58</v>
      </c>
      <c r="C642">
        <v>2136</v>
      </c>
      <c r="D642">
        <v>114</v>
      </c>
      <c r="E642" t="s">
        <v>961</v>
      </c>
      <c r="F642" s="35" t="s">
        <v>997</v>
      </c>
      <c r="G642" s="28" t="s">
        <v>6310</v>
      </c>
      <c r="H642" s="28" t="s">
        <v>6311</v>
      </c>
      <c r="I642" s="28" t="s">
        <v>6334</v>
      </c>
      <c r="J642" s="28" t="s">
        <v>6335</v>
      </c>
      <c r="K642" s="28" t="s">
        <v>6336</v>
      </c>
      <c r="L642" s="28" t="s">
        <v>6337</v>
      </c>
      <c r="M642" s="28" t="s">
        <v>6338</v>
      </c>
      <c r="N642" s="28" t="s">
        <v>6339</v>
      </c>
    </row>
    <row r="643" spans="1:14">
      <c r="A643" t="s">
        <v>965</v>
      </c>
      <c r="B643" t="s">
        <v>61</v>
      </c>
      <c r="C643">
        <v>2007</v>
      </c>
      <c r="D643">
        <v>112</v>
      </c>
      <c r="E643" t="s">
        <v>961</v>
      </c>
      <c r="F643" s="35" t="s">
        <v>987</v>
      </c>
      <c r="G643" s="28" t="s">
        <v>1627</v>
      </c>
      <c r="H643" s="28" t="s">
        <v>1628</v>
      </c>
      <c r="I643" s="28" t="s">
        <v>4996</v>
      </c>
      <c r="J643" s="28" t="s">
        <v>4997</v>
      </c>
      <c r="K643" s="28" t="s">
        <v>5148</v>
      </c>
      <c r="L643" s="28" t="s">
        <v>5149</v>
      </c>
      <c r="M643" s="28" t="s">
        <v>5150</v>
      </c>
      <c r="N643" s="28" t="s">
        <v>5151</v>
      </c>
    </row>
    <row r="644" spans="1:14">
      <c r="A644" t="s">
        <v>965</v>
      </c>
      <c r="B644" t="s">
        <v>61</v>
      </c>
      <c r="C644">
        <v>2009</v>
      </c>
      <c r="D644">
        <v>70</v>
      </c>
      <c r="E644" t="s">
        <v>961</v>
      </c>
      <c r="F644" s="35" t="s">
        <v>986</v>
      </c>
      <c r="G644" s="28" t="s">
        <v>1629</v>
      </c>
      <c r="H644" s="28" t="s">
        <v>1618</v>
      </c>
      <c r="I644" s="28" t="s">
        <v>5002</v>
      </c>
      <c r="J644" s="28" t="s">
        <v>5003</v>
      </c>
      <c r="K644" s="28" t="s">
        <v>5152</v>
      </c>
      <c r="L644" s="28" t="s">
        <v>5153</v>
      </c>
      <c r="M644" s="28" t="s">
        <v>5154</v>
      </c>
      <c r="N644" s="28" t="s">
        <v>4767</v>
      </c>
    </row>
    <row r="645" spans="1:14">
      <c r="A645" t="s">
        <v>965</v>
      </c>
      <c r="B645" t="s">
        <v>61</v>
      </c>
      <c r="C645">
        <v>2010</v>
      </c>
      <c r="D645">
        <v>30</v>
      </c>
      <c r="E645" t="s">
        <v>961</v>
      </c>
      <c r="F645" s="35" t="s">
        <v>986</v>
      </c>
      <c r="G645" s="28" t="s">
        <v>1630</v>
      </c>
      <c r="H645" s="28" t="s">
        <v>1618</v>
      </c>
      <c r="I645" s="28" t="s">
        <v>5007</v>
      </c>
      <c r="J645" s="28" t="s">
        <v>5003</v>
      </c>
      <c r="K645" s="28" t="s">
        <v>5155</v>
      </c>
      <c r="L645" s="28" t="s">
        <v>5153</v>
      </c>
      <c r="M645" s="28" t="s">
        <v>5156</v>
      </c>
      <c r="N645" s="28" t="s">
        <v>4767</v>
      </c>
    </row>
    <row r="646" spans="1:14">
      <c r="A646" t="s">
        <v>965</v>
      </c>
      <c r="B646" t="s">
        <v>61</v>
      </c>
      <c r="C646">
        <v>2020</v>
      </c>
      <c r="D646">
        <v>20</v>
      </c>
      <c r="E646" t="s">
        <v>961</v>
      </c>
      <c r="F646" s="35" t="s">
        <v>978</v>
      </c>
      <c r="G646" s="28" t="s">
        <v>1579</v>
      </c>
      <c r="H646" s="28" t="s">
        <v>1580</v>
      </c>
      <c r="I646" s="28" t="s">
        <v>5010</v>
      </c>
      <c r="J646" s="28" t="s">
        <v>5011</v>
      </c>
      <c r="K646" s="28" t="s">
        <v>5157</v>
      </c>
      <c r="L646" s="28" t="s">
        <v>5158</v>
      </c>
      <c r="M646" s="28" t="s">
        <v>5159</v>
      </c>
      <c r="N646" s="28" t="s">
        <v>5160</v>
      </c>
    </row>
    <row r="647" spans="1:14">
      <c r="A647" t="s">
        <v>965</v>
      </c>
      <c r="B647" t="s">
        <v>61</v>
      </c>
      <c r="C647">
        <v>2021</v>
      </c>
      <c r="D647">
        <v>740</v>
      </c>
      <c r="E647" t="s">
        <v>961</v>
      </c>
      <c r="F647" s="35" t="s">
        <v>978</v>
      </c>
      <c r="G647" s="28" t="s">
        <v>1607</v>
      </c>
      <c r="H647" s="28" t="s">
        <v>1580</v>
      </c>
      <c r="I647" s="28" t="s">
        <v>5014</v>
      </c>
      <c r="J647" s="28" t="s">
        <v>5011</v>
      </c>
      <c r="K647" s="28" t="s">
        <v>5161</v>
      </c>
      <c r="L647" s="28" t="s">
        <v>5158</v>
      </c>
      <c r="M647" s="28" t="s">
        <v>5162</v>
      </c>
      <c r="N647" s="28" t="s">
        <v>5160</v>
      </c>
    </row>
    <row r="648" spans="1:14">
      <c r="A648" t="s">
        <v>965</v>
      </c>
      <c r="B648" t="s">
        <v>61</v>
      </c>
      <c r="C648">
        <v>2022</v>
      </c>
      <c r="D648">
        <v>145</v>
      </c>
      <c r="E648" t="s">
        <v>961</v>
      </c>
      <c r="F648" s="35" t="s">
        <v>979</v>
      </c>
      <c r="G648" s="28" t="s">
        <v>1581</v>
      </c>
      <c r="H648" s="28" t="s">
        <v>1582</v>
      </c>
      <c r="I648" s="28" t="s">
        <v>5016</v>
      </c>
      <c r="J648" s="28" t="s">
        <v>5017</v>
      </c>
      <c r="K648" s="28" t="s">
        <v>5163</v>
      </c>
      <c r="L648" s="28" t="s">
        <v>5164</v>
      </c>
      <c r="M648" s="28" t="s">
        <v>4776</v>
      </c>
      <c r="N648" s="28" t="s">
        <v>4777</v>
      </c>
    </row>
    <row r="649" spans="1:14">
      <c r="A649" t="s">
        <v>965</v>
      </c>
      <c r="B649" t="s">
        <v>61</v>
      </c>
      <c r="C649">
        <v>2023</v>
      </c>
      <c r="D649">
        <v>436</v>
      </c>
      <c r="E649" t="s">
        <v>961</v>
      </c>
      <c r="F649" s="35" t="s">
        <v>979</v>
      </c>
      <c r="G649" s="28" t="s">
        <v>1583</v>
      </c>
      <c r="H649" s="28" t="s">
        <v>1582</v>
      </c>
      <c r="I649" s="28" t="s">
        <v>5020</v>
      </c>
      <c r="J649" s="28" t="s">
        <v>5017</v>
      </c>
      <c r="K649" s="28" t="s">
        <v>5165</v>
      </c>
      <c r="L649" s="28" t="s">
        <v>5164</v>
      </c>
      <c r="M649" s="28" t="s">
        <v>5166</v>
      </c>
      <c r="N649" s="28" t="s">
        <v>4777</v>
      </c>
    </row>
    <row r="650" spans="1:14">
      <c r="A650" t="s">
        <v>965</v>
      </c>
      <c r="B650" t="s">
        <v>61</v>
      </c>
      <c r="C650">
        <v>2024</v>
      </c>
      <c r="D650">
        <v>521</v>
      </c>
      <c r="E650" t="s">
        <v>961</v>
      </c>
      <c r="F650" s="35" t="s">
        <v>979</v>
      </c>
      <c r="G650" s="28" t="s">
        <v>1584</v>
      </c>
      <c r="H650" s="28" t="s">
        <v>1582</v>
      </c>
      <c r="I650" s="28" t="s">
        <v>5022</v>
      </c>
      <c r="J650" s="28" t="s">
        <v>5017</v>
      </c>
      <c r="K650" s="28" t="s">
        <v>5167</v>
      </c>
      <c r="L650" s="28" t="s">
        <v>5164</v>
      </c>
      <c r="M650" s="28" t="s">
        <v>4779</v>
      </c>
      <c r="N650" s="28" t="s">
        <v>4777</v>
      </c>
    </row>
    <row r="651" spans="1:14">
      <c r="A651" t="s">
        <v>965</v>
      </c>
      <c r="B651" t="s">
        <v>61</v>
      </c>
      <c r="C651">
        <v>2025</v>
      </c>
      <c r="D651">
        <v>1272</v>
      </c>
      <c r="E651" t="s">
        <v>961</v>
      </c>
      <c r="F651" s="35" t="s">
        <v>979</v>
      </c>
      <c r="G651" s="28" t="s">
        <v>1585</v>
      </c>
      <c r="H651" s="28" t="s">
        <v>1582</v>
      </c>
      <c r="I651" s="28" t="s">
        <v>5025</v>
      </c>
      <c r="J651" s="28" t="s">
        <v>5017</v>
      </c>
      <c r="K651" s="28" t="s">
        <v>5168</v>
      </c>
      <c r="L651" s="28" t="s">
        <v>5164</v>
      </c>
      <c r="M651" s="28" t="s">
        <v>4781</v>
      </c>
      <c r="N651" s="28" t="s">
        <v>4777</v>
      </c>
    </row>
    <row r="652" spans="1:14">
      <c r="A652" t="s">
        <v>965</v>
      </c>
      <c r="B652" t="s">
        <v>61</v>
      </c>
      <c r="C652">
        <v>2026</v>
      </c>
      <c r="D652">
        <v>1447</v>
      </c>
      <c r="E652" t="s">
        <v>961</v>
      </c>
      <c r="F652" s="35" t="s">
        <v>979</v>
      </c>
      <c r="G652" s="28" t="s">
        <v>1608</v>
      </c>
      <c r="H652" s="28" t="s">
        <v>1582</v>
      </c>
      <c r="I652" s="28" t="s">
        <v>5027</v>
      </c>
      <c r="J652" s="28" t="s">
        <v>5017</v>
      </c>
      <c r="K652" s="28" t="s">
        <v>5169</v>
      </c>
      <c r="L652" s="28" t="s">
        <v>5164</v>
      </c>
      <c r="M652" s="28" t="s">
        <v>4783</v>
      </c>
      <c r="N652" s="28" t="s">
        <v>4777</v>
      </c>
    </row>
    <row r="653" spans="1:14">
      <c r="A653" t="s">
        <v>965</v>
      </c>
      <c r="B653" t="s">
        <v>61</v>
      </c>
      <c r="C653">
        <v>2028</v>
      </c>
      <c r="D653">
        <v>701</v>
      </c>
      <c r="E653" t="s">
        <v>961</v>
      </c>
      <c r="F653" s="35" t="s">
        <v>980</v>
      </c>
      <c r="G653" s="28" t="s">
        <v>1588</v>
      </c>
      <c r="H653" s="28" t="s">
        <v>1587</v>
      </c>
      <c r="I653" s="28" t="s">
        <v>5029</v>
      </c>
      <c r="J653" s="28" t="s">
        <v>5030</v>
      </c>
      <c r="K653" s="28" t="s">
        <v>5170</v>
      </c>
      <c r="L653" s="28" t="s">
        <v>5171</v>
      </c>
      <c r="M653" s="28" t="s">
        <v>4789</v>
      </c>
      <c r="N653" s="28" t="s">
        <v>4787</v>
      </c>
    </row>
    <row r="654" spans="1:14">
      <c r="A654" t="s">
        <v>965</v>
      </c>
      <c r="B654" t="s">
        <v>61</v>
      </c>
      <c r="C654">
        <v>2029</v>
      </c>
      <c r="D654">
        <v>790</v>
      </c>
      <c r="E654" t="s">
        <v>961</v>
      </c>
      <c r="F654" s="35" t="s">
        <v>980</v>
      </c>
      <c r="G654" s="28" t="s">
        <v>1589</v>
      </c>
      <c r="H654" s="28" t="s">
        <v>1587</v>
      </c>
      <c r="I654" s="28" t="s">
        <v>5033</v>
      </c>
      <c r="J654" s="28" t="s">
        <v>5030</v>
      </c>
      <c r="K654" s="28" t="s">
        <v>5172</v>
      </c>
      <c r="L654" s="28" t="s">
        <v>5171</v>
      </c>
      <c r="M654" s="28" t="s">
        <v>5173</v>
      </c>
      <c r="N654" s="28" t="s">
        <v>4787</v>
      </c>
    </row>
    <row r="655" spans="1:14">
      <c r="A655" t="s">
        <v>965</v>
      </c>
      <c r="B655" t="s">
        <v>61</v>
      </c>
      <c r="C655">
        <v>2031</v>
      </c>
      <c r="D655">
        <v>355</v>
      </c>
      <c r="E655" t="s">
        <v>961</v>
      </c>
      <c r="F655" s="35" t="s">
        <v>981</v>
      </c>
      <c r="G655" s="28" t="s">
        <v>1621</v>
      </c>
      <c r="H655" s="28" t="s">
        <v>1591</v>
      </c>
      <c r="I655" s="28" t="s">
        <v>5038</v>
      </c>
      <c r="J655" s="28" t="s">
        <v>5039</v>
      </c>
      <c r="K655" s="28" t="s">
        <v>5174</v>
      </c>
      <c r="L655" s="28" t="s">
        <v>5175</v>
      </c>
      <c r="M655" s="28" t="s">
        <v>4794</v>
      </c>
      <c r="N655" s="28" t="s">
        <v>4795</v>
      </c>
    </row>
    <row r="656" spans="1:14">
      <c r="A656" t="s">
        <v>965</v>
      </c>
      <c r="B656" t="s">
        <v>61</v>
      </c>
      <c r="C656">
        <v>2032</v>
      </c>
      <c r="D656">
        <v>782</v>
      </c>
      <c r="E656" t="s">
        <v>961</v>
      </c>
      <c r="F656" s="35" t="s">
        <v>981</v>
      </c>
      <c r="G656" s="28" t="s">
        <v>1590</v>
      </c>
      <c r="H656" s="28" t="s">
        <v>1591</v>
      </c>
      <c r="I656" s="28" t="s">
        <v>5042</v>
      </c>
      <c r="J656" s="28" t="s">
        <v>5039</v>
      </c>
      <c r="K656" s="28" t="s">
        <v>5176</v>
      </c>
      <c r="L656" s="28" t="s">
        <v>5175</v>
      </c>
      <c r="M656" s="28" t="s">
        <v>4797</v>
      </c>
      <c r="N656" s="28" t="s">
        <v>4795</v>
      </c>
    </row>
    <row r="657" spans="1:14">
      <c r="A657" t="s">
        <v>965</v>
      </c>
      <c r="B657" t="s">
        <v>61</v>
      </c>
      <c r="C657">
        <v>2033</v>
      </c>
      <c r="D657">
        <v>1078</v>
      </c>
      <c r="E657" t="s">
        <v>961</v>
      </c>
      <c r="F657" s="35" t="s">
        <v>981</v>
      </c>
      <c r="G657" s="28" t="s">
        <v>1622</v>
      </c>
      <c r="H657" s="28" t="s">
        <v>1591</v>
      </c>
      <c r="I657" s="28" t="s">
        <v>5045</v>
      </c>
      <c r="J657" s="28" t="s">
        <v>5039</v>
      </c>
      <c r="K657" s="28" t="s">
        <v>5177</v>
      </c>
      <c r="L657" s="28" t="s">
        <v>5175</v>
      </c>
      <c r="M657" s="28" t="s">
        <v>4799</v>
      </c>
      <c r="N657" s="28" t="s">
        <v>4795</v>
      </c>
    </row>
    <row r="658" spans="1:14">
      <c r="A658" t="s">
        <v>965</v>
      </c>
      <c r="B658" t="s">
        <v>61</v>
      </c>
      <c r="C658">
        <v>2035</v>
      </c>
      <c r="D658">
        <v>98</v>
      </c>
      <c r="E658" t="s">
        <v>961</v>
      </c>
      <c r="F658" s="35" t="s">
        <v>981</v>
      </c>
      <c r="G658" s="28" t="s">
        <v>1592</v>
      </c>
      <c r="H658" s="28" t="s">
        <v>1591</v>
      </c>
      <c r="I658" s="28" t="s">
        <v>5049</v>
      </c>
      <c r="J658" s="28" t="s">
        <v>5039</v>
      </c>
      <c r="K658" s="28" t="s">
        <v>5178</v>
      </c>
      <c r="L658" s="28" t="s">
        <v>5175</v>
      </c>
      <c r="M658" s="28" t="s">
        <v>4803</v>
      </c>
      <c r="N658" s="28" t="s">
        <v>4795</v>
      </c>
    </row>
    <row r="659" spans="1:14">
      <c r="A659" t="s">
        <v>965</v>
      </c>
      <c r="B659" t="s">
        <v>61</v>
      </c>
      <c r="C659">
        <v>2036</v>
      </c>
      <c r="D659">
        <v>1663</v>
      </c>
      <c r="E659" t="s">
        <v>961</v>
      </c>
      <c r="F659" s="35" t="s">
        <v>982</v>
      </c>
      <c r="G659" s="28" t="s">
        <v>1593</v>
      </c>
      <c r="H659" s="28" t="s">
        <v>1594</v>
      </c>
      <c r="I659" s="28" t="s">
        <v>5051</v>
      </c>
      <c r="J659" s="28" t="s">
        <v>5052</v>
      </c>
      <c r="K659" s="28" t="s">
        <v>5179</v>
      </c>
      <c r="L659" s="28" t="s">
        <v>5180</v>
      </c>
      <c r="M659" s="28" t="s">
        <v>4806</v>
      </c>
      <c r="N659" s="28" t="s">
        <v>4807</v>
      </c>
    </row>
    <row r="660" spans="1:14">
      <c r="A660" t="s">
        <v>965</v>
      </c>
      <c r="B660" t="s">
        <v>61</v>
      </c>
      <c r="C660">
        <v>2037</v>
      </c>
      <c r="D660">
        <v>413</v>
      </c>
      <c r="E660" t="s">
        <v>961</v>
      </c>
      <c r="F660" s="35" t="s">
        <v>982</v>
      </c>
      <c r="G660" s="28" t="s">
        <v>1611</v>
      </c>
      <c r="H660" s="28" t="s">
        <v>1594</v>
      </c>
      <c r="I660" s="28" t="s">
        <v>5055</v>
      </c>
      <c r="J660" s="28" t="s">
        <v>5052</v>
      </c>
      <c r="K660" s="28" t="s">
        <v>5181</v>
      </c>
      <c r="L660" s="28" t="s">
        <v>5180</v>
      </c>
      <c r="M660" s="28" t="s">
        <v>4809</v>
      </c>
      <c r="N660" s="28" t="s">
        <v>4807</v>
      </c>
    </row>
    <row r="661" spans="1:14">
      <c r="A661" t="s">
        <v>965</v>
      </c>
      <c r="B661" t="s">
        <v>61</v>
      </c>
      <c r="C661">
        <v>2038</v>
      </c>
      <c r="D661">
        <v>418</v>
      </c>
      <c r="E661" t="s">
        <v>961</v>
      </c>
      <c r="F661" s="35" t="s">
        <v>982</v>
      </c>
      <c r="G661" s="28" t="s">
        <v>1612</v>
      </c>
      <c r="H661" s="28" t="s">
        <v>1594</v>
      </c>
      <c r="I661" s="28" t="s">
        <v>5057</v>
      </c>
      <c r="J661" s="28" t="s">
        <v>5052</v>
      </c>
      <c r="K661" s="28" t="s">
        <v>5182</v>
      </c>
      <c r="L661" s="28" t="s">
        <v>5180</v>
      </c>
      <c r="M661" s="28" t="s">
        <v>4811</v>
      </c>
      <c r="N661" s="28" t="s">
        <v>4807</v>
      </c>
    </row>
    <row r="662" spans="1:14">
      <c r="A662" t="s">
        <v>965</v>
      </c>
      <c r="B662" t="s">
        <v>61</v>
      </c>
      <c r="C662">
        <v>2039</v>
      </c>
      <c r="D662">
        <v>642</v>
      </c>
      <c r="E662" t="s">
        <v>961</v>
      </c>
      <c r="F662" s="35" t="s">
        <v>982</v>
      </c>
      <c r="G662" s="28" t="s">
        <v>1613</v>
      </c>
      <c r="H662" s="28" t="s">
        <v>1594</v>
      </c>
      <c r="I662" s="28" t="s">
        <v>5059</v>
      </c>
      <c r="J662" s="28" t="s">
        <v>5052</v>
      </c>
      <c r="K662" s="28" t="s">
        <v>5183</v>
      </c>
      <c r="L662" s="28" t="s">
        <v>5180</v>
      </c>
      <c r="M662" s="28" t="s">
        <v>5184</v>
      </c>
      <c r="N662" s="28" t="s">
        <v>4807</v>
      </c>
    </row>
    <row r="663" spans="1:14">
      <c r="A663" t="s">
        <v>965</v>
      </c>
      <c r="B663" t="s">
        <v>61</v>
      </c>
      <c r="C663">
        <v>2041</v>
      </c>
      <c r="D663">
        <v>488</v>
      </c>
      <c r="E663" t="s">
        <v>961</v>
      </c>
      <c r="F663" s="35" t="s">
        <v>983</v>
      </c>
      <c r="G663" s="28" t="s">
        <v>1595</v>
      </c>
      <c r="H663" s="28" t="s">
        <v>1596</v>
      </c>
      <c r="I663" s="28" t="s">
        <v>5065</v>
      </c>
      <c r="J663" s="28" t="s">
        <v>5062</v>
      </c>
      <c r="K663" s="28" t="s">
        <v>5185</v>
      </c>
      <c r="L663" s="28" t="s">
        <v>5186</v>
      </c>
      <c r="M663" s="28" t="s">
        <v>4817</v>
      </c>
      <c r="N663" s="28" t="s">
        <v>4815</v>
      </c>
    </row>
    <row r="664" spans="1:14">
      <c r="A664" t="s">
        <v>965</v>
      </c>
      <c r="B664" t="s">
        <v>61</v>
      </c>
      <c r="C664">
        <v>2042</v>
      </c>
      <c r="D664">
        <v>237</v>
      </c>
      <c r="E664" t="s">
        <v>961</v>
      </c>
      <c r="F664" s="35" t="s">
        <v>983</v>
      </c>
      <c r="G664" s="28" t="s">
        <v>1597</v>
      </c>
      <c r="H664" s="28" t="s">
        <v>1596</v>
      </c>
      <c r="I664" s="28" t="s">
        <v>5067</v>
      </c>
      <c r="J664" s="28" t="s">
        <v>5062</v>
      </c>
      <c r="K664" s="28" t="s">
        <v>5187</v>
      </c>
      <c r="L664" s="28" t="s">
        <v>5186</v>
      </c>
      <c r="M664" s="28" t="s">
        <v>4819</v>
      </c>
      <c r="N664" s="28" t="s">
        <v>4815</v>
      </c>
    </row>
    <row r="665" spans="1:14">
      <c r="A665" t="s">
        <v>965</v>
      </c>
      <c r="B665" t="s">
        <v>61</v>
      </c>
      <c r="C665">
        <v>2043</v>
      </c>
      <c r="D665">
        <v>934</v>
      </c>
      <c r="E665" t="s">
        <v>961</v>
      </c>
      <c r="F665" s="35" t="s">
        <v>983</v>
      </c>
      <c r="G665" s="28" t="s">
        <v>1615</v>
      </c>
      <c r="H665" s="28" t="s">
        <v>1596</v>
      </c>
      <c r="I665" s="28" t="s">
        <v>5069</v>
      </c>
      <c r="J665" s="28" t="s">
        <v>5062</v>
      </c>
      <c r="K665" s="28" t="s">
        <v>5188</v>
      </c>
      <c r="L665" s="28" t="s">
        <v>5186</v>
      </c>
      <c r="M665" s="28" t="s">
        <v>4821</v>
      </c>
      <c r="N665" s="28" t="s">
        <v>4815</v>
      </c>
    </row>
    <row r="666" spans="1:14">
      <c r="A666" t="s">
        <v>965</v>
      </c>
      <c r="B666" t="s">
        <v>61</v>
      </c>
      <c r="C666">
        <v>2044</v>
      </c>
      <c r="D666">
        <v>301</v>
      </c>
      <c r="E666" t="s">
        <v>961</v>
      </c>
      <c r="F666" s="35" t="s">
        <v>984</v>
      </c>
      <c r="G666" s="28" t="s">
        <v>1598</v>
      </c>
      <c r="H666" s="28" t="s">
        <v>1599</v>
      </c>
      <c r="I666" s="28" t="s">
        <v>5071</v>
      </c>
      <c r="J666" s="28" t="s">
        <v>5072</v>
      </c>
      <c r="K666" s="28" t="s">
        <v>5189</v>
      </c>
      <c r="L666" s="28" t="s">
        <v>5190</v>
      </c>
      <c r="M666" s="28" t="s">
        <v>4824</v>
      </c>
      <c r="N666" s="28" t="s">
        <v>4825</v>
      </c>
    </row>
    <row r="667" spans="1:14">
      <c r="A667" t="s">
        <v>965</v>
      </c>
      <c r="B667" t="s">
        <v>61</v>
      </c>
      <c r="C667">
        <v>2048</v>
      </c>
      <c r="D667">
        <v>309</v>
      </c>
      <c r="E667" t="s">
        <v>961</v>
      </c>
      <c r="F667" s="35" t="s">
        <v>984</v>
      </c>
      <c r="G667" s="28" t="s">
        <v>1625</v>
      </c>
      <c r="H667" s="28" t="s">
        <v>1599</v>
      </c>
      <c r="I667" s="28" t="s">
        <v>5077</v>
      </c>
      <c r="J667" s="28" t="s">
        <v>5072</v>
      </c>
      <c r="K667" s="28" t="s">
        <v>5191</v>
      </c>
      <c r="L667" s="28" t="s">
        <v>5190</v>
      </c>
      <c r="M667" s="28" t="s">
        <v>4834</v>
      </c>
      <c r="N667" s="28" t="s">
        <v>4825</v>
      </c>
    </row>
    <row r="668" spans="1:14">
      <c r="A668" t="s">
        <v>965</v>
      </c>
      <c r="B668" t="s">
        <v>61</v>
      </c>
      <c r="C668">
        <v>2049</v>
      </c>
      <c r="D668">
        <v>1028</v>
      </c>
      <c r="E668" t="s">
        <v>961</v>
      </c>
      <c r="F668" s="35" t="s">
        <v>985</v>
      </c>
      <c r="G668" s="28" t="s">
        <v>1602</v>
      </c>
      <c r="H668" s="28" t="s">
        <v>1603</v>
      </c>
      <c r="I668" s="28" t="s">
        <v>5080</v>
      </c>
      <c r="J668" s="28" t="s">
        <v>5081</v>
      </c>
      <c r="K668" s="28" t="s">
        <v>5192</v>
      </c>
      <c r="L668" s="28" t="s">
        <v>5193</v>
      </c>
      <c r="M668" s="28" t="s">
        <v>4837</v>
      </c>
      <c r="N668" s="28" t="s">
        <v>4838</v>
      </c>
    </row>
    <row r="669" spans="1:14">
      <c r="A669" t="s">
        <v>965</v>
      </c>
      <c r="B669" t="s">
        <v>61</v>
      </c>
      <c r="C669">
        <v>2050</v>
      </c>
      <c r="D669">
        <v>262</v>
      </c>
      <c r="E669" t="s">
        <v>961</v>
      </c>
      <c r="F669" s="35" t="s">
        <v>985</v>
      </c>
      <c r="G669" s="28" t="s">
        <v>1616</v>
      </c>
      <c r="H669" s="28" t="s">
        <v>1603</v>
      </c>
      <c r="I669" s="28" t="s">
        <v>5194</v>
      </c>
      <c r="J669" s="28" t="s">
        <v>5081</v>
      </c>
      <c r="K669" s="28" t="s">
        <v>5195</v>
      </c>
      <c r="L669" s="28" t="s">
        <v>5193</v>
      </c>
      <c r="M669" s="28" t="s">
        <v>4840</v>
      </c>
      <c r="N669" s="28" t="s">
        <v>4838</v>
      </c>
    </row>
    <row r="670" spans="1:14">
      <c r="A670" t="s">
        <v>965</v>
      </c>
      <c r="B670" t="s">
        <v>61</v>
      </c>
      <c r="C670">
        <v>2051</v>
      </c>
      <c r="D670">
        <v>95</v>
      </c>
      <c r="E670" t="s">
        <v>961</v>
      </c>
      <c r="F670" s="35" t="s">
        <v>985</v>
      </c>
      <c r="G670" s="28" t="s">
        <v>1604</v>
      </c>
      <c r="H670" s="28" t="s">
        <v>1603</v>
      </c>
      <c r="I670" s="28" t="s">
        <v>5084</v>
      </c>
      <c r="J670" s="28" t="s">
        <v>5081</v>
      </c>
      <c r="K670" s="28" t="s">
        <v>5196</v>
      </c>
      <c r="L670" s="28" t="s">
        <v>5193</v>
      </c>
      <c r="M670" s="28" t="s">
        <v>4842</v>
      </c>
      <c r="N670" s="28" t="s">
        <v>4838</v>
      </c>
    </row>
    <row r="671" spans="1:14">
      <c r="A671" t="s">
        <v>965</v>
      </c>
      <c r="B671" t="s">
        <v>61</v>
      </c>
      <c r="C671">
        <v>2052</v>
      </c>
      <c r="D671">
        <v>648</v>
      </c>
      <c r="E671" t="s">
        <v>961</v>
      </c>
      <c r="F671" s="35" t="s">
        <v>985</v>
      </c>
      <c r="G671" s="28" t="s">
        <v>1605</v>
      </c>
      <c r="H671" s="28" t="s">
        <v>1603</v>
      </c>
      <c r="I671" s="28" t="s">
        <v>5086</v>
      </c>
      <c r="J671" s="28" t="s">
        <v>5081</v>
      </c>
      <c r="K671" s="28" t="s">
        <v>5197</v>
      </c>
      <c r="L671" s="28" t="s">
        <v>5193</v>
      </c>
      <c r="M671" s="28" t="s">
        <v>4844</v>
      </c>
      <c r="N671" s="28" t="s">
        <v>4838</v>
      </c>
    </row>
    <row r="672" spans="1:14">
      <c r="A672" t="s">
        <v>965</v>
      </c>
      <c r="B672" t="s">
        <v>61</v>
      </c>
      <c r="C672">
        <v>2053</v>
      </c>
      <c r="D672">
        <v>874</v>
      </c>
      <c r="E672" t="s">
        <v>961</v>
      </c>
      <c r="F672" s="35" t="s">
        <v>976</v>
      </c>
      <c r="G672" s="28" t="s">
        <v>1631</v>
      </c>
      <c r="H672" s="28" t="s">
        <v>1544</v>
      </c>
      <c r="I672" s="28" t="s">
        <v>5088</v>
      </c>
      <c r="J672" s="28" t="s">
        <v>5089</v>
      </c>
      <c r="K672" s="28" t="s">
        <v>5198</v>
      </c>
      <c r="L672" s="28" t="s">
        <v>5199</v>
      </c>
      <c r="M672" s="28" t="s">
        <v>5200</v>
      </c>
      <c r="N672" s="28" t="s">
        <v>4243</v>
      </c>
    </row>
    <row r="673" spans="1:14">
      <c r="A673" t="s">
        <v>965</v>
      </c>
      <c r="B673" t="s">
        <v>61</v>
      </c>
      <c r="C673">
        <v>2101</v>
      </c>
      <c r="D673">
        <v>1129</v>
      </c>
      <c r="E673" t="s">
        <v>961</v>
      </c>
      <c r="F673" s="35" t="s">
        <v>976</v>
      </c>
      <c r="G673" s="28" t="s">
        <v>1561</v>
      </c>
      <c r="H673" s="28" t="s">
        <v>1544</v>
      </c>
      <c r="I673" s="28" t="s">
        <v>5093</v>
      </c>
      <c r="J673" s="28" t="s">
        <v>5089</v>
      </c>
      <c r="K673" s="28" t="s">
        <v>5201</v>
      </c>
      <c r="L673" s="28" t="s">
        <v>5199</v>
      </c>
      <c r="M673" s="28" t="s">
        <v>4242</v>
      </c>
      <c r="N673" s="28" t="s">
        <v>4243</v>
      </c>
    </row>
    <row r="674" spans="1:14">
      <c r="A674" t="s">
        <v>965</v>
      </c>
      <c r="B674" t="s">
        <v>61</v>
      </c>
      <c r="C674">
        <v>2102</v>
      </c>
      <c r="D674">
        <v>24</v>
      </c>
      <c r="E674" t="s">
        <v>961</v>
      </c>
      <c r="F674" s="35" t="s">
        <v>976</v>
      </c>
      <c r="G674" s="28" t="s">
        <v>1543</v>
      </c>
      <c r="H674" s="28" t="s">
        <v>1544</v>
      </c>
      <c r="I674" s="28" t="s">
        <v>5095</v>
      </c>
      <c r="J674" s="28" t="s">
        <v>5089</v>
      </c>
      <c r="K674" s="28" t="s">
        <v>5202</v>
      </c>
      <c r="L674" s="28" t="s">
        <v>5199</v>
      </c>
      <c r="M674" s="28" t="s">
        <v>4245</v>
      </c>
      <c r="N674" s="28" t="s">
        <v>4243</v>
      </c>
    </row>
    <row r="675" spans="1:14">
      <c r="A675" t="s">
        <v>965</v>
      </c>
      <c r="B675" t="s">
        <v>61</v>
      </c>
      <c r="C675">
        <v>2103</v>
      </c>
      <c r="D675">
        <v>1420</v>
      </c>
      <c r="E675" t="s">
        <v>961</v>
      </c>
      <c r="F675" s="35" t="s">
        <v>976</v>
      </c>
      <c r="G675" s="28" t="s">
        <v>1545</v>
      </c>
      <c r="H675" s="28" t="s">
        <v>1544</v>
      </c>
      <c r="I675" s="28" t="s">
        <v>5097</v>
      </c>
      <c r="J675" s="28" t="s">
        <v>5089</v>
      </c>
      <c r="K675" s="28" t="s">
        <v>5203</v>
      </c>
      <c r="L675" s="28" t="s">
        <v>5199</v>
      </c>
      <c r="M675" s="28" t="s">
        <v>4247</v>
      </c>
      <c r="N675" s="28" t="s">
        <v>4243</v>
      </c>
    </row>
    <row r="676" spans="1:14">
      <c r="A676" t="s">
        <v>965</v>
      </c>
      <c r="B676" t="s">
        <v>61</v>
      </c>
      <c r="C676">
        <v>2104</v>
      </c>
      <c r="D676">
        <v>503</v>
      </c>
      <c r="E676" t="s">
        <v>961</v>
      </c>
      <c r="F676" s="35" t="s">
        <v>976</v>
      </c>
      <c r="G676" s="28" t="s">
        <v>1546</v>
      </c>
      <c r="H676" s="28" t="s">
        <v>1544</v>
      </c>
      <c r="I676" s="28" t="s">
        <v>5099</v>
      </c>
      <c r="J676" s="28" t="s">
        <v>5089</v>
      </c>
      <c r="K676" s="28" t="s">
        <v>5204</v>
      </c>
      <c r="L676" s="28" t="s">
        <v>5199</v>
      </c>
      <c r="M676" s="28" t="s">
        <v>4249</v>
      </c>
      <c r="N676" s="28" t="s">
        <v>4243</v>
      </c>
    </row>
    <row r="677" spans="1:14">
      <c r="A677" t="s">
        <v>965</v>
      </c>
      <c r="B677" t="s">
        <v>61</v>
      </c>
      <c r="C677">
        <v>2106</v>
      </c>
      <c r="D677">
        <v>503</v>
      </c>
      <c r="E677" t="s">
        <v>961</v>
      </c>
      <c r="F677" s="35" t="s">
        <v>975</v>
      </c>
      <c r="G677" s="28" t="s">
        <v>1549</v>
      </c>
      <c r="H677" s="28" t="s">
        <v>1548</v>
      </c>
      <c r="I677" s="28" t="s">
        <v>5105</v>
      </c>
      <c r="J677" s="28" t="s">
        <v>5102</v>
      </c>
      <c r="K677" s="28" t="s">
        <v>5205</v>
      </c>
      <c r="L677" s="28" t="s">
        <v>5206</v>
      </c>
      <c r="M677" s="28" t="s">
        <v>4255</v>
      </c>
      <c r="N677" s="28" t="s">
        <v>4253</v>
      </c>
    </row>
    <row r="678" spans="1:14">
      <c r="A678" t="s">
        <v>965</v>
      </c>
      <c r="B678" t="s">
        <v>61</v>
      </c>
      <c r="C678">
        <v>2107</v>
      </c>
      <c r="D678">
        <v>1035</v>
      </c>
      <c r="E678" t="s">
        <v>961</v>
      </c>
      <c r="F678" s="35" t="s">
        <v>975</v>
      </c>
      <c r="G678" s="28" t="s">
        <v>1550</v>
      </c>
      <c r="H678" s="28" t="s">
        <v>1548</v>
      </c>
      <c r="I678" s="28" t="s">
        <v>5107</v>
      </c>
      <c r="J678" s="28" t="s">
        <v>5102</v>
      </c>
      <c r="K678" s="28" t="s">
        <v>5207</v>
      </c>
      <c r="L678" s="28" t="s">
        <v>5206</v>
      </c>
      <c r="M678" s="28" t="s">
        <v>4257</v>
      </c>
      <c r="N678" s="28" t="s">
        <v>4253</v>
      </c>
    </row>
    <row r="679" spans="1:14">
      <c r="A679" t="s">
        <v>965</v>
      </c>
      <c r="B679" t="s">
        <v>61</v>
      </c>
      <c r="C679">
        <v>2108</v>
      </c>
      <c r="D679">
        <v>636</v>
      </c>
      <c r="E679" t="s">
        <v>961</v>
      </c>
      <c r="F679" s="35" t="s">
        <v>975</v>
      </c>
      <c r="G679" s="28" t="s">
        <v>1551</v>
      </c>
      <c r="H679" s="28" t="s">
        <v>1548</v>
      </c>
      <c r="I679" s="28" t="s">
        <v>5109</v>
      </c>
      <c r="J679" s="28" t="s">
        <v>5102</v>
      </c>
      <c r="K679" s="28" t="s">
        <v>5208</v>
      </c>
      <c r="L679" s="28" t="s">
        <v>5206</v>
      </c>
      <c r="M679" s="28" t="s">
        <v>4259</v>
      </c>
      <c r="N679" s="28" t="s">
        <v>4253</v>
      </c>
    </row>
    <row r="680" spans="1:14">
      <c r="A680" t="s">
        <v>965</v>
      </c>
      <c r="B680" t="s">
        <v>61</v>
      </c>
      <c r="C680">
        <v>2109</v>
      </c>
      <c r="D680">
        <v>532</v>
      </c>
      <c r="E680" t="s">
        <v>961</v>
      </c>
      <c r="F680" s="35" t="s">
        <v>969</v>
      </c>
      <c r="G680" s="28" t="s">
        <v>1552</v>
      </c>
      <c r="H680" s="28" t="s">
        <v>1553</v>
      </c>
      <c r="I680" s="28" t="s">
        <v>5111</v>
      </c>
      <c r="J680" s="28" t="s">
        <v>5112</v>
      </c>
      <c r="K680" s="28" t="s">
        <v>5209</v>
      </c>
      <c r="L680" s="28" t="s">
        <v>5210</v>
      </c>
      <c r="M680" s="28" t="s">
        <v>5211</v>
      </c>
      <c r="N680" s="28" t="s">
        <v>4857</v>
      </c>
    </row>
    <row r="681" spans="1:14">
      <c r="A681" t="s">
        <v>965</v>
      </c>
      <c r="B681" t="s">
        <v>61</v>
      </c>
      <c r="C681">
        <v>2110</v>
      </c>
      <c r="D681">
        <v>89</v>
      </c>
      <c r="E681" t="s">
        <v>961</v>
      </c>
      <c r="F681" s="35" t="s">
        <v>969</v>
      </c>
      <c r="G681" s="28" t="s">
        <v>1554</v>
      </c>
      <c r="H681" s="28" t="s">
        <v>1553</v>
      </c>
      <c r="I681" s="28" t="s">
        <v>5115</v>
      </c>
      <c r="J681" s="28" t="s">
        <v>5112</v>
      </c>
      <c r="K681" s="28" t="s">
        <v>5212</v>
      </c>
      <c r="L681" s="28" t="s">
        <v>5210</v>
      </c>
      <c r="M681" s="28" t="s">
        <v>4856</v>
      </c>
      <c r="N681" s="28" t="s">
        <v>4857</v>
      </c>
    </row>
    <row r="682" spans="1:14">
      <c r="A682" t="s">
        <v>965</v>
      </c>
      <c r="B682" t="s">
        <v>61</v>
      </c>
      <c r="C682">
        <v>2111</v>
      </c>
      <c r="D682">
        <v>45</v>
      </c>
      <c r="E682" t="s">
        <v>961</v>
      </c>
      <c r="F682" s="35" t="s">
        <v>969</v>
      </c>
      <c r="G682" s="28" t="s">
        <v>1555</v>
      </c>
      <c r="H682" s="28" t="s">
        <v>1553</v>
      </c>
      <c r="I682" s="28" t="s">
        <v>5117</v>
      </c>
      <c r="J682" s="28" t="s">
        <v>5112</v>
      </c>
      <c r="K682" s="28" t="s">
        <v>5213</v>
      </c>
      <c r="L682" s="28" t="s">
        <v>5210</v>
      </c>
      <c r="M682" s="28" t="s">
        <v>4859</v>
      </c>
      <c r="N682" s="28" t="s">
        <v>4857</v>
      </c>
    </row>
    <row r="683" spans="1:14">
      <c r="A683" t="s">
        <v>965</v>
      </c>
      <c r="B683" t="s">
        <v>61</v>
      </c>
      <c r="C683">
        <v>2112</v>
      </c>
      <c r="D683">
        <v>629</v>
      </c>
      <c r="E683" t="s">
        <v>961</v>
      </c>
      <c r="F683" s="35" t="s">
        <v>969</v>
      </c>
      <c r="G683" s="28" t="s">
        <v>1556</v>
      </c>
      <c r="H683" s="28" t="s">
        <v>1553</v>
      </c>
      <c r="I683" s="28" t="s">
        <v>5214</v>
      </c>
      <c r="J683" s="28" t="s">
        <v>5112</v>
      </c>
      <c r="K683" s="28" t="s">
        <v>5215</v>
      </c>
      <c r="L683" s="28" t="s">
        <v>5210</v>
      </c>
      <c r="M683" s="28" t="s">
        <v>4861</v>
      </c>
      <c r="N683" s="28" t="s">
        <v>4857</v>
      </c>
    </row>
    <row r="684" spans="1:14">
      <c r="A684" t="s">
        <v>965</v>
      </c>
      <c r="B684" t="s">
        <v>61</v>
      </c>
      <c r="C684">
        <v>2113</v>
      </c>
      <c r="D684">
        <v>874</v>
      </c>
      <c r="E684" t="s">
        <v>961</v>
      </c>
      <c r="F684" s="35" t="s">
        <v>969</v>
      </c>
      <c r="G684" s="28" t="s">
        <v>1557</v>
      </c>
      <c r="H684" s="28" t="s">
        <v>1553</v>
      </c>
      <c r="I684" s="28" t="s">
        <v>5119</v>
      </c>
      <c r="J684" s="28" t="s">
        <v>5112</v>
      </c>
      <c r="K684" s="28" t="s">
        <v>5216</v>
      </c>
      <c r="L684" s="28" t="s">
        <v>5210</v>
      </c>
      <c r="M684" s="28" t="s">
        <v>5217</v>
      </c>
      <c r="N684" s="28" t="s">
        <v>4857</v>
      </c>
    </row>
    <row r="685" spans="1:14">
      <c r="A685" t="s">
        <v>965</v>
      </c>
      <c r="B685" t="s">
        <v>61</v>
      </c>
      <c r="C685">
        <v>2114</v>
      </c>
      <c r="D685">
        <v>132</v>
      </c>
      <c r="E685" t="s">
        <v>961</v>
      </c>
      <c r="F685" s="35" t="s">
        <v>970</v>
      </c>
      <c r="G685" s="28" t="s">
        <v>1558</v>
      </c>
      <c r="H685" s="28" t="s">
        <v>1529</v>
      </c>
      <c r="I685" s="28" t="s">
        <v>5122</v>
      </c>
      <c r="J685" s="28" t="s">
        <v>5123</v>
      </c>
      <c r="K685" s="28" t="s">
        <v>5218</v>
      </c>
      <c r="L685" s="28" t="s">
        <v>5219</v>
      </c>
      <c r="M685" s="28" t="s">
        <v>4864</v>
      </c>
      <c r="N685" s="28" t="s">
        <v>4865</v>
      </c>
    </row>
    <row r="686" spans="1:14">
      <c r="A686" t="s">
        <v>965</v>
      </c>
      <c r="B686" t="s">
        <v>61</v>
      </c>
      <c r="C686">
        <v>2115</v>
      </c>
      <c r="D686">
        <v>510</v>
      </c>
      <c r="E686" t="s">
        <v>961</v>
      </c>
      <c r="F686" s="35" t="s">
        <v>970</v>
      </c>
      <c r="G686" s="28" t="s">
        <v>1559</v>
      </c>
      <c r="H686" s="28" t="s">
        <v>1529</v>
      </c>
      <c r="I686" s="28" t="s">
        <v>5220</v>
      </c>
      <c r="J686" s="28" t="s">
        <v>5123</v>
      </c>
      <c r="K686" s="28" t="s">
        <v>5221</v>
      </c>
      <c r="L686" s="28" t="s">
        <v>5219</v>
      </c>
      <c r="M686" s="28" t="s">
        <v>4867</v>
      </c>
      <c r="N686" s="28" t="s">
        <v>4865</v>
      </c>
    </row>
    <row r="687" spans="1:14">
      <c r="A687" t="s">
        <v>965</v>
      </c>
      <c r="B687" t="s">
        <v>61</v>
      </c>
      <c r="C687">
        <v>2116</v>
      </c>
      <c r="D687">
        <v>299</v>
      </c>
      <c r="E687" t="s">
        <v>961</v>
      </c>
      <c r="F687" s="35" t="s">
        <v>970</v>
      </c>
      <c r="G687" s="28" t="s">
        <v>1528</v>
      </c>
      <c r="H687" s="28" t="s">
        <v>1529</v>
      </c>
      <c r="I687" s="28" t="s">
        <v>5222</v>
      </c>
      <c r="J687" s="28" t="s">
        <v>5123</v>
      </c>
      <c r="K687" s="28" t="s">
        <v>5223</v>
      </c>
      <c r="L687" s="28" t="s">
        <v>5219</v>
      </c>
      <c r="M687" s="28" t="s">
        <v>4869</v>
      </c>
      <c r="N687" s="28" t="s">
        <v>4865</v>
      </c>
    </row>
    <row r="688" spans="1:14">
      <c r="A688" t="s">
        <v>965</v>
      </c>
      <c r="B688" t="s">
        <v>61</v>
      </c>
      <c r="C688">
        <v>2117</v>
      </c>
      <c r="D688">
        <v>338</v>
      </c>
      <c r="E688" t="s">
        <v>961</v>
      </c>
      <c r="F688" s="35" t="s">
        <v>970</v>
      </c>
      <c r="G688" s="28" t="s">
        <v>1560</v>
      </c>
      <c r="H688" s="28" t="s">
        <v>1529</v>
      </c>
      <c r="I688" s="28" t="s">
        <v>5126</v>
      </c>
      <c r="J688" s="28" t="s">
        <v>5123</v>
      </c>
      <c r="K688" s="28" t="s">
        <v>5224</v>
      </c>
      <c r="L688" s="28" t="s">
        <v>5219</v>
      </c>
      <c r="M688" s="28" t="s">
        <v>4872</v>
      </c>
      <c r="N688" s="28" t="s">
        <v>4865</v>
      </c>
    </row>
    <row r="689" spans="1:14">
      <c r="A689" t="s">
        <v>965</v>
      </c>
      <c r="B689" t="s">
        <v>61</v>
      </c>
      <c r="C689">
        <v>2118</v>
      </c>
      <c r="D689">
        <v>568</v>
      </c>
      <c r="E689" t="s">
        <v>961</v>
      </c>
      <c r="F689" s="35" t="s">
        <v>971</v>
      </c>
      <c r="G689" s="28" t="s">
        <v>1530</v>
      </c>
      <c r="H689" s="28" t="s">
        <v>1531</v>
      </c>
      <c r="I689" s="28" t="s">
        <v>5225</v>
      </c>
      <c r="J689" s="28" t="s">
        <v>5130</v>
      </c>
      <c r="K689" s="28" t="s">
        <v>5226</v>
      </c>
      <c r="L689" s="28" t="s">
        <v>5227</v>
      </c>
      <c r="M689" s="28" t="s">
        <v>4876</v>
      </c>
      <c r="N689" s="28" t="s">
        <v>4877</v>
      </c>
    </row>
    <row r="690" spans="1:14">
      <c r="A690" t="s">
        <v>965</v>
      </c>
      <c r="B690" t="s">
        <v>61</v>
      </c>
      <c r="C690">
        <v>2120</v>
      </c>
      <c r="D690">
        <v>153</v>
      </c>
      <c r="E690" t="s">
        <v>961</v>
      </c>
      <c r="F690" s="35" t="s">
        <v>971</v>
      </c>
      <c r="G690" s="28" t="s">
        <v>1564</v>
      </c>
      <c r="H690" s="28" t="s">
        <v>1531</v>
      </c>
      <c r="I690" s="28" t="s">
        <v>5129</v>
      </c>
      <c r="J690" s="28" t="s">
        <v>5130</v>
      </c>
      <c r="K690" s="28" t="s">
        <v>5228</v>
      </c>
      <c r="L690" s="28" t="s">
        <v>5227</v>
      </c>
      <c r="M690" s="28" t="s">
        <v>4881</v>
      </c>
      <c r="N690" s="28" t="s">
        <v>4877</v>
      </c>
    </row>
    <row r="691" spans="1:14">
      <c r="A691" t="s">
        <v>965</v>
      </c>
      <c r="B691" t="s">
        <v>61</v>
      </c>
      <c r="C691">
        <v>2121</v>
      </c>
      <c r="D691">
        <v>400</v>
      </c>
      <c r="E691" t="s">
        <v>961</v>
      </c>
      <c r="F691" s="35" t="s">
        <v>971</v>
      </c>
      <c r="G691" s="28" t="s">
        <v>1533</v>
      </c>
      <c r="H691" s="28" t="s">
        <v>1531</v>
      </c>
      <c r="I691" s="28" t="s">
        <v>5229</v>
      </c>
      <c r="J691" s="28" t="s">
        <v>5130</v>
      </c>
      <c r="K691" s="28" t="s">
        <v>5230</v>
      </c>
      <c r="L691" s="28" t="s">
        <v>5227</v>
      </c>
      <c r="M691" s="28" t="s">
        <v>4883</v>
      </c>
      <c r="N691" s="28" t="s">
        <v>4877</v>
      </c>
    </row>
    <row r="692" spans="1:14">
      <c r="A692" t="s">
        <v>965</v>
      </c>
      <c r="B692" t="s">
        <v>61</v>
      </c>
      <c r="C692">
        <v>2122</v>
      </c>
      <c r="D692">
        <v>351</v>
      </c>
      <c r="E692" t="s">
        <v>961</v>
      </c>
      <c r="F692" s="35" t="s">
        <v>971</v>
      </c>
      <c r="G692" s="28" t="s">
        <v>1534</v>
      </c>
      <c r="H692" s="28" t="s">
        <v>1531</v>
      </c>
      <c r="I692" s="28" t="s">
        <v>5231</v>
      </c>
      <c r="J692" s="28" t="s">
        <v>5130</v>
      </c>
      <c r="K692" s="28" t="s">
        <v>5232</v>
      </c>
      <c r="L692" s="28" t="s">
        <v>5227</v>
      </c>
      <c r="M692" s="28" t="s">
        <v>5233</v>
      </c>
      <c r="N692" s="28" t="s">
        <v>4877</v>
      </c>
    </row>
    <row r="693" spans="1:14">
      <c r="A693" t="s">
        <v>965</v>
      </c>
      <c r="B693" t="s">
        <v>61</v>
      </c>
      <c r="C693">
        <v>2123</v>
      </c>
      <c r="D693">
        <v>887</v>
      </c>
      <c r="E693" t="s">
        <v>961</v>
      </c>
      <c r="F693" s="35" t="s">
        <v>972</v>
      </c>
      <c r="G693" s="28" t="s">
        <v>1535</v>
      </c>
      <c r="H693" s="28" t="s">
        <v>1536</v>
      </c>
      <c r="I693" s="28" t="s">
        <v>5234</v>
      </c>
      <c r="J693" s="28" t="s">
        <v>5235</v>
      </c>
      <c r="K693" s="28" t="s">
        <v>5236</v>
      </c>
      <c r="L693" s="28" t="s">
        <v>5237</v>
      </c>
      <c r="M693" s="28" t="s">
        <v>4887</v>
      </c>
      <c r="N693" s="28" t="s">
        <v>4888</v>
      </c>
    </row>
    <row r="694" spans="1:14">
      <c r="A694" t="s">
        <v>965</v>
      </c>
      <c r="B694" t="s">
        <v>61</v>
      </c>
      <c r="C694">
        <v>2124</v>
      </c>
      <c r="D694">
        <v>251</v>
      </c>
      <c r="E694" t="s">
        <v>961</v>
      </c>
      <c r="F694" s="35" t="s">
        <v>972</v>
      </c>
      <c r="G694" s="28" t="s">
        <v>1537</v>
      </c>
      <c r="H694" s="28" t="s">
        <v>1536</v>
      </c>
      <c r="I694" s="28" t="s">
        <v>5238</v>
      </c>
      <c r="J694" s="28" t="s">
        <v>5235</v>
      </c>
      <c r="K694" s="28" t="s">
        <v>5239</v>
      </c>
      <c r="L694" s="28" t="s">
        <v>5237</v>
      </c>
      <c r="M694" s="28" t="s">
        <v>4890</v>
      </c>
      <c r="N694" s="28" t="s">
        <v>4888</v>
      </c>
    </row>
    <row r="695" spans="1:14">
      <c r="A695" t="s">
        <v>965</v>
      </c>
      <c r="B695" t="s">
        <v>61</v>
      </c>
      <c r="C695">
        <v>2125</v>
      </c>
      <c r="D695">
        <v>319</v>
      </c>
      <c r="E695" t="s">
        <v>961</v>
      </c>
      <c r="F695" s="35" t="s">
        <v>972</v>
      </c>
      <c r="G695" s="28" t="s">
        <v>1538</v>
      </c>
      <c r="H695" s="28" t="s">
        <v>1536</v>
      </c>
      <c r="I695" s="28" t="s">
        <v>5240</v>
      </c>
      <c r="J695" s="28" t="s">
        <v>5235</v>
      </c>
      <c r="K695" s="28" t="s">
        <v>5241</v>
      </c>
      <c r="L695" s="28" t="s">
        <v>5237</v>
      </c>
      <c r="M695" s="28" t="s">
        <v>4893</v>
      </c>
      <c r="N695" s="28" t="s">
        <v>4888</v>
      </c>
    </row>
    <row r="696" spans="1:14">
      <c r="A696" t="s">
        <v>965</v>
      </c>
      <c r="B696" t="s">
        <v>61</v>
      </c>
      <c r="C696">
        <v>2129</v>
      </c>
      <c r="D696">
        <v>561</v>
      </c>
      <c r="E696" t="s">
        <v>961</v>
      </c>
      <c r="F696" s="35" t="s">
        <v>973</v>
      </c>
      <c r="G696" s="28" t="s">
        <v>1542</v>
      </c>
      <c r="H696" s="28" t="s">
        <v>1541</v>
      </c>
      <c r="I696" s="28" t="s">
        <v>5242</v>
      </c>
      <c r="J696" s="28" t="s">
        <v>5135</v>
      </c>
      <c r="K696" s="28" t="s">
        <v>5243</v>
      </c>
      <c r="L696" s="28" t="s">
        <v>5244</v>
      </c>
      <c r="M696" s="28" t="s">
        <v>5245</v>
      </c>
      <c r="N696" s="28" t="s">
        <v>4898</v>
      </c>
    </row>
    <row r="697" spans="1:14">
      <c r="A697" t="s">
        <v>965</v>
      </c>
      <c r="B697" t="s">
        <v>61</v>
      </c>
      <c r="C697">
        <v>2131</v>
      </c>
      <c r="D697">
        <v>11</v>
      </c>
      <c r="E697" t="s">
        <v>961</v>
      </c>
      <c r="F697" s="35" t="s">
        <v>974</v>
      </c>
      <c r="G697" s="28" t="s">
        <v>1624</v>
      </c>
      <c r="H697" s="28" t="s">
        <v>1563</v>
      </c>
      <c r="I697" s="28" t="s">
        <v>5246</v>
      </c>
      <c r="J697" s="28" t="s">
        <v>5141</v>
      </c>
      <c r="K697" s="28" t="s">
        <v>5247</v>
      </c>
      <c r="L697" s="28" t="s">
        <v>5248</v>
      </c>
      <c r="M697" s="28" t="s">
        <v>4907</v>
      </c>
      <c r="N697" s="28" t="s">
        <v>4908</v>
      </c>
    </row>
    <row r="698" spans="1:14">
      <c r="A698" t="s">
        <v>965</v>
      </c>
      <c r="B698" t="s">
        <v>61</v>
      </c>
      <c r="C698">
        <v>2132</v>
      </c>
      <c r="D698">
        <v>191</v>
      </c>
      <c r="E698" t="s">
        <v>961</v>
      </c>
      <c r="F698" s="35" t="s">
        <v>974</v>
      </c>
      <c r="G698" s="28" t="s">
        <v>1566</v>
      </c>
      <c r="H698" s="28" t="s">
        <v>1563</v>
      </c>
      <c r="I698" s="28" t="s">
        <v>5140</v>
      </c>
      <c r="J698" s="28" t="s">
        <v>5141</v>
      </c>
      <c r="K698" s="28" t="s">
        <v>5249</v>
      </c>
      <c r="L698" s="28" t="s">
        <v>5248</v>
      </c>
      <c r="M698" s="28" t="s">
        <v>5250</v>
      </c>
      <c r="N698" s="28" t="s">
        <v>4908</v>
      </c>
    </row>
    <row r="699" spans="1:14">
      <c r="A699" t="s">
        <v>965</v>
      </c>
      <c r="B699" t="s">
        <v>61</v>
      </c>
      <c r="C699">
        <v>2133</v>
      </c>
      <c r="D699">
        <v>2</v>
      </c>
      <c r="E699" t="s">
        <v>961</v>
      </c>
      <c r="F699" s="35" t="s">
        <v>974</v>
      </c>
      <c r="G699" s="28" t="s">
        <v>1562</v>
      </c>
      <c r="H699" s="28" t="s">
        <v>1563</v>
      </c>
      <c r="I699" s="28" t="s">
        <v>5145</v>
      </c>
      <c r="J699" s="28" t="s">
        <v>5141</v>
      </c>
      <c r="K699" s="28" t="s">
        <v>5251</v>
      </c>
      <c r="L699" s="28" t="s">
        <v>5248</v>
      </c>
      <c r="M699" s="28" t="s">
        <v>4911</v>
      </c>
      <c r="N699" s="28" t="s">
        <v>4908</v>
      </c>
    </row>
    <row r="700" spans="1:14">
      <c r="A700" t="s">
        <v>965</v>
      </c>
      <c r="B700" t="s">
        <v>61</v>
      </c>
      <c r="C700">
        <v>2137</v>
      </c>
      <c r="D700">
        <v>615</v>
      </c>
      <c r="E700" t="s">
        <v>961</v>
      </c>
      <c r="F700" s="35" t="s">
        <v>997</v>
      </c>
      <c r="G700" s="28" t="s">
        <v>6455</v>
      </c>
      <c r="H700" s="28" t="s">
        <v>6311</v>
      </c>
      <c r="I700" s="28" t="s">
        <v>6465</v>
      </c>
      <c r="J700" s="28" t="s">
        <v>6335</v>
      </c>
      <c r="K700" s="28" t="s">
        <v>6466</v>
      </c>
      <c r="L700" s="28" t="s">
        <v>6467</v>
      </c>
      <c r="M700" s="28" t="s">
        <v>6468</v>
      </c>
      <c r="N700" s="28" t="s">
        <v>6469</v>
      </c>
    </row>
    <row r="701" spans="1:14">
      <c r="A701" t="s">
        <v>965</v>
      </c>
      <c r="B701" t="s">
        <v>57</v>
      </c>
      <c r="C701">
        <v>2002</v>
      </c>
      <c r="D701">
        <v>27</v>
      </c>
      <c r="E701" t="s">
        <v>961</v>
      </c>
      <c r="F701" s="35" t="s">
        <v>988</v>
      </c>
      <c r="G701" s="28" t="s">
        <v>1632</v>
      </c>
      <c r="H701" s="28" t="s">
        <v>1633</v>
      </c>
      <c r="I701" s="28" t="s">
        <v>5252</v>
      </c>
      <c r="J701" s="28" t="s">
        <v>5253</v>
      </c>
      <c r="K701" s="28" t="s">
        <v>5254</v>
      </c>
      <c r="L701" s="28" t="s">
        <v>5255</v>
      </c>
      <c r="M701" s="28" t="s">
        <v>5256</v>
      </c>
      <c r="N701" s="28" t="s">
        <v>5257</v>
      </c>
    </row>
    <row r="702" spans="1:14">
      <c r="A702" t="s">
        <v>965</v>
      </c>
      <c r="B702" t="s">
        <v>57</v>
      </c>
      <c r="C702">
        <v>2004</v>
      </c>
      <c r="D702">
        <v>20</v>
      </c>
      <c r="E702" t="s">
        <v>961</v>
      </c>
      <c r="F702" s="35" t="s">
        <v>988</v>
      </c>
      <c r="G702" s="28" t="s">
        <v>1634</v>
      </c>
      <c r="H702" s="28" t="s">
        <v>1633</v>
      </c>
      <c r="I702" s="28" t="s">
        <v>5258</v>
      </c>
      <c r="J702" s="28" t="s">
        <v>5253</v>
      </c>
      <c r="K702" s="28" t="s">
        <v>5259</v>
      </c>
      <c r="L702" s="28" t="s">
        <v>5255</v>
      </c>
      <c r="M702" s="28" t="s">
        <v>5260</v>
      </c>
      <c r="N702" s="28" t="s">
        <v>5257</v>
      </c>
    </row>
    <row r="703" spans="1:14">
      <c r="A703" t="s">
        <v>965</v>
      </c>
      <c r="B703" t="s">
        <v>57</v>
      </c>
      <c r="C703">
        <v>2007</v>
      </c>
      <c r="D703">
        <v>120</v>
      </c>
      <c r="E703" t="s">
        <v>961</v>
      </c>
      <c r="F703" s="35" t="s">
        <v>987</v>
      </c>
      <c r="G703" s="28" t="s">
        <v>1627</v>
      </c>
      <c r="H703" s="28" t="s">
        <v>1628</v>
      </c>
      <c r="I703" s="28" t="s">
        <v>4996</v>
      </c>
      <c r="J703" s="28" t="s">
        <v>4997</v>
      </c>
      <c r="K703" s="28" t="s">
        <v>5261</v>
      </c>
      <c r="L703" s="28" t="s">
        <v>5262</v>
      </c>
      <c r="M703" s="28" t="s">
        <v>5263</v>
      </c>
      <c r="N703" s="28" t="s">
        <v>5264</v>
      </c>
    </row>
    <row r="704" spans="1:14">
      <c r="A704" t="s">
        <v>965</v>
      </c>
      <c r="B704" t="s">
        <v>57</v>
      </c>
      <c r="C704">
        <v>2008</v>
      </c>
      <c r="D704">
        <v>240</v>
      </c>
      <c r="E704" t="s">
        <v>961</v>
      </c>
      <c r="F704" s="35" t="s">
        <v>987</v>
      </c>
      <c r="G704" s="28" t="s">
        <v>1635</v>
      </c>
      <c r="H704" s="28" t="s">
        <v>1628</v>
      </c>
      <c r="I704" s="28" t="s">
        <v>5265</v>
      </c>
      <c r="J704" s="28" t="s">
        <v>4997</v>
      </c>
      <c r="K704" s="28" t="s">
        <v>5266</v>
      </c>
      <c r="L704" s="28" t="s">
        <v>5262</v>
      </c>
      <c r="M704" s="28" t="s">
        <v>5267</v>
      </c>
      <c r="N704" s="28" t="s">
        <v>5264</v>
      </c>
    </row>
    <row r="705" spans="1:14">
      <c r="A705" t="s">
        <v>965</v>
      </c>
      <c r="B705" t="s">
        <v>57</v>
      </c>
      <c r="C705">
        <v>2009</v>
      </c>
      <c r="D705">
        <v>295</v>
      </c>
      <c r="E705" t="s">
        <v>961</v>
      </c>
      <c r="F705" s="35" t="s">
        <v>986</v>
      </c>
      <c r="G705" s="28" t="s">
        <v>1629</v>
      </c>
      <c r="H705" s="28" t="s">
        <v>1618</v>
      </c>
      <c r="I705" s="28" t="s">
        <v>5002</v>
      </c>
      <c r="J705" s="28" t="s">
        <v>5003</v>
      </c>
      <c r="K705" s="28" t="s">
        <v>5268</v>
      </c>
      <c r="L705" s="28" t="s">
        <v>5269</v>
      </c>
      <c r="M705" s="28" t="s">
        <v>5270</v>
      </c>
      <c r="N705" s="28" t="s">
        <v>5271</v>
      </c>
    </row>
    <row r="706" spans="1:14">
      <c r="A706" t="s">
        <v>965</v>
      </c>
      <c r="B706" t="s">
        <v>57</v>
      </c>
      <c r="C706">
        <v>2010</v>
      </c>
      <c r="D706">
        <v>23</v>
      </c>
      <c r="E706" t="s">
        <v>961</v>
      </c>
      <c r="F706" s="35" t="s">
        <v>986</v>
      </c>
      <c r="G706" s="28" t="s">
        <v>1630</v>
      </c>
      <c r="H706" s="28" t="s">
        <v>1618</v>
      </c>
      <c r="I706" s="28" t="s">
        <v>5007</v>
      </c>
      <c r="J706" s="28" t="s">
        <v>5003</v>
      </c>
      <c r="K706" s="28" t="s">
        <v>5272</v>
      </c>
      <c r="L706" s="28" t="s">
        <v>5269</v>
      </c>
      <c r="M706" s="28" t="s">
        <v>5273</v>
      </c>
      <c r="N706" s="28" t="s">
        <v>5271</v>
      </c>
    </row>
    <row r="707" spans="1:14">
      <c r="A707" t="s">
        <v>965</v>
      </c>
      <c r="B707" t="s">
        <v>57</v>
      </c>
      <c r="C707">
        <v>2011</v>
      </c>
      <c r="D707">
        <v>53</v>
      </c>
      <c r="E707" t="s">
        <v>961</v>
      </c>
      <c r="F707" s="35" t="s">
        <v>986</v>
      </c>
      <c r="G707" s="28" t="s">
        <v>1636</v>
      </c>
      <c r="H707" s="28" t="s">
        <v>1618</v>
      </c>
      <c r="I707" s="28" t="s">
        <v>5274</v>
      </c>
      <c r="J707" s="28" t="s">
        <v>5003</v>
      </c>
      <c r="K707" s="28" t="s">
        <v>5275</v>
      </c>
      <c r="L707" s="28" t="s">
        <v>5269</v>
      </c>
      <c r="M707" s="28" t="s">
        <v>5276</v>
      </c>
      <c r="N707" s="28" t="s">
        <v>5271</v>
      </c>
    </row>
    <row r="708" spans="1:14">
      <c r="A708" t="s">
        <v>965</v>
      </c>
      <c r="B708" t="s">
        <v>57</v>
      </c>
      <c r="C708">
        <v>2019</v>
      </c>
      <c r="D708">
        <v>9</v>
      </c>
      <c r="E708" t="s">
        <v>961</v>
      </c>
      <c r="F708" s="35" t="s">
        <v>978</v>
      </c>
      <c r="G708" s="28" t="s">
        <v>1620</v>
      </c>
      <c r="H708" s="28" t="s">
        <v>1580</v>
      </c>
      <c r="I708" s="28" t="s">
        <v>5277</v>
      </c>
      <c r="J708" s="28" t="s">
        <v>5011</v>
      </c>
      <c r="K708" s="28" t="s">
        <v>5278</v>
      </c>
      <c r="L708" s="28" t="s">
        <v>5279</v>
      </c>
      <c r="M708" s="28" t="s">
        <v>5280</v>
      </c>
      <c r="N708" s="28" t="s">
        <v>5281</v>
      </c>
    </row>
    <row r="709" spans="1:14">
      <c r="A709" t="s">
        <v>965</v>
      </c>
      <c r="B709" t="s">
        <v>57</v>
      </c>
      <c r="C709">
        <v>2021</v>
      </c>
      <c r="D709">
        <v>153</v>
      </c>
      <c r="E709" t="s">
        <v>961</v>
      </c>
      <c r="F709" s="35" t="s">
        <v>978</v>
      </c>
      <c r="G709" s="28" t="s">
        <v>1607</v>
      </c>
      <c r="H709" s="28" t="s">
        <v>1580</v>
      </c>
      <c r="I709" s="28" t="s">
        <v>5014</v>
      </c>
      <c r="J709" s="28" t="s">
        <v>5011</v>
      </c>
      <c r="K709" s="28" t="s">
        <v>5282</v>
      </c>
      <c r="L709" s="28" t="s">
        <v>5279</v>
      </c>
      <c r="M709" s="28" t="s">
        <v>5283</v>
      </c>
      <c r="N709" s="28" t="s">
        <v>5281</v>
      </c>
    </row>
    <row r="710" spans="1:14">
      <c r="A710" t="s">
        <v>965</v>
      </c>
      <c r="B710" t="s">
        <v>57</v>
      </c>
      <c r="C710">
        <v>2022</v>
      </c>
      <c r="D710">
        <v>586</v>
      </c>
      <c r="E710" t="s">
        <v>961</v>
      </c>
      <c r="F710" s="35" t="s">
        <v>979</v>
      </c>
      <c r="G710" s="28" t="s">
        <v>1581</v>
      </c>
      <c r="H710" s="28" t="s">
        <v>1582</v>
      </c>
      <c r="I710" s="28" t="s">
        <v>5016</v>
      </c>
      <c r="J710" s="28" t="s">
        <v>5017</v>
      </c>
      <c r="K710" s="28" t="s">
        <v>5284</v>
      </c>
      <c r="L710" s="28" t="s">
        <v>5285</v>
      </c>
      <c r="M710" s="28" t="s">
        <v>5286</v>
      </c>
      <c r="N710" s="28" t="s">
        <v>5287</v>
      </c>
    </row>
    <row r="711" spans="1:14">
      <c r="A711" t="s">
        <v>965</v>
      </c>
      <c r="B711" t="s">
        <v>57</v>
      </c>
      <c r="C711">
        <v>2023</v>
      </c>
      <c r="D711">
        <v>300</v>
      </c>
      <c r="E711" t="s">
        <v>961</v>
      </c>
      <c r="F711" s="35" t="s">
        <v>979</v>
      </c>
      <c r="G711" s="28" t="s">
        <v>1583</v>
      </c>
      <c r="H711" s="28" t="s">
        <v>1582</v>
      </c>
      <c r="I711" s="28" t="s">
        <v>5020</v>
      </c>
      <c r="J711" s="28" t="s">
        <v>5017</v>
      </c>
      <c r="K711" s="28" t="s">
        <v>5288</v>
      </c>
      <c r="L711" s="28" t="s">
        <v>5285</v>
      </c>
      <c r="M711" s="28" t="s">
        <v>5289</v>
      </c>
      <c r="N711" s="28" t="s">
        <v>5287</v>
      </c>
    </row>
    <row r="712" spans="1:14">
      <c r="A712" t="s">
        <v>965</v>
      </c>
      <c r="B712" t="s">
        <v>57</v>
      </c>
      <c r="C712">
        <v>2024</v>
      </c>
      <c r="D712">
        <v>562</v>
      </c>
      <c r="E712" t="s">
        <v>961</v>
      </c>
      <c r="F712" s="35" t="s">
        <v>979</v>
      </c>
      <c r="G712" s="28" t="s">
        <v>1584</v>
      </c>
      <c r="H712" s="28" t="s">
        <v>1582</v>
      </c>
      <c r="I712" s="28" t="s">
        <v>5022</v>
      </c>
      <c r="J712" s="28" t="s">
        <v>5017</v>
      </c>
      <c r="K712" s="28" t="s">
        <v>5290</v>
      </c>
      <c r="L712" s="28" t="s">
        <v>5285</v>
      </c>
      <c r="M712" s="28" t="s">
        <v>5291</v>
      </c>
      <c r="N712" s="28" t="s">
        <v>5287</v>
      </c>
    </row>
    <row r="713" spans="1:14">
      <c r="A713" t="s">
        <v>965</v>
      </c>
      <c r="B713" t="s">
        <v>57</v>
      </c>
      <c r="C713">
        <v>2025</v>
      </c>
      <c r="D713">
        <v>504</v>
      </c>
      <c r="E713" t="s">
        <v>961</v>
      </c>
      <c r="F713" s="35" t="s">
        <v>979</v>
      </c>
      <c r="G713" s="28" t="s">
        <v>1585</v>
      </c>
      <c r="H713" s="28" t="s">
        <v>1582</v>
      </c>
      <c r="I713" s="28" t="s">
        <v>5025</v>
      </c>
      <c r="J713" s="28" t="s">
        <v>5017</v>
      </c>
      <c r="K713" s="28" t="s">
        <v>5292</v>
      </c>
      <c r="L713" s="28" t="s">
        <v>5285</v>
      </c>
      <c r="M713" s="28" t="s">
        <v>5293</v>
      </c>
      <c r="N713" s="28" t="s">
        <v>5287</v>
      </c>
    </row>
    <row r="714" spans="1:14">
      <c r="A714" t="s">
        <v>965</v>
      </c>
      <c r="B714" t="s">
        <v>57</v>
      </c>
      <c r="C714">
        <v>2028</v>
      </c>
      <c r="D714">
        <v>540</v>
      </c>
      <c r="E714" t="s">
        <v>961</v>
      </c>
      <c r="F714" s="35" t="s">
        <v>980</v>
      </c>
      <c r="G714" s="28" t="s">
        <v>1588</v>
      </c>
      <c r="H714" s="28" t="s">
        <v>1587</v>
      </c>
      <c r="I714" s="28" t="s">
        <v>5029</v>
      </c>
      <c r="J714" s="28" t="s">
        <v>5030</v>
      </c>
      <c r="K714" s="28" t="s">
        <v>5294</v>
      </c>
      <c r="L714" s="28" t="s">
        <v>5295</v>
      </c>
      <c r="M714" s="28" t="s">
        <v>5296</v>
      </c>
      <c r="N714" s="28" t="s">
        <v>5297</v>
      </c>
    </row>
    <row r="715" spans="1:14">
      <c r="A715" t="s">
        <v>965</v>
      </c>
      <c r="B715" t="s">
        <v>57</v>
      </c>
      <c r="C715">
        <v>2030</v>
      </c>
      <c r="D715">
        <v>887</v>
      </c>
      <c r="E715" t="s">
        <v>961</v>
      </c>
      <c r="F715" s="35" t="s">
        <v>980</v>
      </c>
      <c r="G715" s="28" t="s">
        <v>1609</v>
      </c>
      <c r="H715" s="28" t="s">
        <v>1587</v>
      </c>
      <c r="I715" s="28" t="s">
        <v>5036</v>
      </c>
      <c r="J715" s="28" t="s">
        <v>5030</v>
      </c>
      <c r="K715" s="28" t="s">
        <v>5298</v>
      </c>
      <c r="L715" s="28" t="s">
        <v>5295</v>
      </c>
      <c r="M715" s="28" t="s">
        <v>5299</v>
      </c>
      <c r="N715" s="28" t="s">
        <v>5297</v>
      </c>
    </row>
    <row r="716" spans="1:14">
      <c r="A716" t="s">
        <v>965</v>
      </c>
      <c r="B716" t="s">
        <v>57</v>
      </c>
      <c r="C716">
        <v>2031</v>
      </c>
      <c r="D716">
        <v>139</v>
      </c>
      <c r="E716" t="s">
        <v>961</v>
      </c>
      <c r="F716" s="35" t="s">
        <v>981</v>
      </c>
      <c r="G716" s="28" t="s">
        <v>1621</v>
      </c>
      <c r="H716" s="28" t="s">
        <v>1591</v>
      </c>
      <c r="I716" s="28" t="s">
        <v>5038</v>
      </c>
      <c r="J716" s="28" t="s">
        <v>5039</v>
      </c>
      <c r="K716" s="28" t="s">
        <v>5300</v>
      </c>
      <c r="L716" s="28" t="s">
        <v>5301</v>
      </c>
      <c r="M716" s="28" t="s">
        <v>5302</v>
      </c>
      <c r="N716" s="28" t="s">
        <v>5303</v>
      </c>
    </row>
    <row r="717" spans="1:14">
      <c r="A717" t="s">
        <v>965</v>
      </c>
      <c r="B717" t="s">
        <v>57</v>
      </c>
      <c r="C717">
        <v>2032</v>
      </c>
      <c r="D717">
        <v>734</v>
      </c>
      <c r="E717" t="s">
        <v>961</v>
      </c>
      <c r="F717" s="35" t="s">
        <v>981</v>
      </c>
      <c r="G717" s="28" t="s">
        <v>1590</v>
      </c>
      <c r="H717" s="28" t="s">
        <v>1591</v>
      </c>
      <c r="I717" s="28" t="s">
        <v>5042</v>
      </c>
      <c r="J717" s="28" t="s">
        <v>5039</v>
      </c>
      <c r="K717" s="28" t="s">
        <v>5304</v>
      </c>
      <c r="L717" s="28" t="s">
        <v>5301</v>
      </c>
      <c r="M717" s="28" t="s">
        <v>5305</v>
      </c>
      <c r="N717" s="28" t="s">
        <v>5303</v>
      </c>
    </row>
    <row r="718" spans="1:14">
      <c r="A718" t="s">
        <v>965</v>
      </c>
      <c r="B718" t="s">
        <v>57</v>
      </c>
      <c r="C718">
        <v>2033</v>
      </c>
      <c r="D718">
        <v>219</v>
      </c>
      <c r="E718" t="s">
        <v>961</v>
      </c>
      <c r="F718" s="35" t="s">
        <v>981</v>
      </c>
      <c r="G718" s="28" t="s">
        <v>1622</v>
      </c>
      <c r="H718" s="28" t="s">
        <v>1591</v>
      </c>
      <c r="I718" s="28" t="s">
        <v>5045</v>
      </c>
      <c r="J718" s="28" t="s">
        <v>5039</v>
      </c>
      <c r="K718" s="28" t="s">
        <v>5306</v>
      </c>
      <c r="L718" s="28" t="s">
        <v>5301</v>
      </c>
      <c r="M718" s="28" t="s">
        <v>5307</v>
      </c>
      <c r="N718" s="28" t="s">
        <v>5303</v>
      </c>
    </row>
    <row r="719" spans="1:14">
      <c r="A719" t="s">
        <v>965</v>
      </c>
      <c r="B719" t="s">
        <v>57</v>
      </c>
      <c r="C719">
        <v>2034</v>
      </c>
      <c r="D719">
        <v>818</v>
      </c>
      <c r="E719" t="s">
        <v>961</v>
      </c>
      <c r="F719" s="35" t="s">
        <v>981</v>
      </c>
      <c r="G719" s="28" t="s">
        <v>1610</v>
      </c>
      <c r="H719" s="28" t="s">
        <v>1591</v>
      </c>
      <c r="I719" s="28" t="s">
        <v>5047</v>
      </c>
      <c r="J719" s="28" t="s">
        <v>5039</v>
      </c>
      <c r="K719" s="28" t="s">
        <v>5308</v>
      </c>
      <c r="L719" s="28" t="s">
        <v>5301</v>
      </c>
      <c r="M719" s="28" t="s">
        <v>5309</v>
      </c>
      <c r="N719" s="28" t="s">
        <v>5303</v>
      </c>
    </row>
    <row r="720" spans="1:14">
      <c r="A720" t="s">
        <v>965</v>
      </c>
      <c r="B720" t="s">
        <v>57</v>
      </c>
      <c r="C720">
        <v>2035</v>
      </c>
      <c r="D720">
        <v>496</v>
      </c>
      <c r="E720" t="s">
        <v>961</v>
      </c>
      <c r="F720" s="35" t="s">
        <v>981</v>
      </c>
      <c r="G720" s="28" t="s">
        <v>1592</v>
      </c>
      <c r="H720" s="28" t="s">
        <v>1591</v>
      </c>
      <c r="I720" s="28" t="s">
        <v>5049</v>
      </c>
      <c r="J720" s="28" t="s">
        <v>5039</v>
      </c>
      <c r="K720" s="28" t="s">
        <v>5310</v>
      </c>
      <c r="L720" s="28" t="s">
        <v>5301</v>
      </c>
      <c r="M720" s="28" t="s">
        <v>5311</v>
      </c>
      <c r="N720" s="28" t="s">
        <v>5303</v>
      </c>
    </row>
    <row r="721" spans="1:14">
      <c r="A721" t="s">
        <v>965</v>
      </c>
      <c r="B721" t="s">
        <v>57</v>
      </c>
      <c r="C721">
        <v>2036</v>
      </c>
      <c r="D721">
        <v>268</v>
      </c>
      <c r="E721" t="s">
        <v>961</v>
      </c>
      <c r="F721" s="35" t="s">
        <v>982</v>
      </c>
      <c r="G721" s="28" t="s">
        <v>1593</v>
      </c>
      <c r="H721" s="28" t="s">
        <v>1594</v>
      </c>
      <c r="I721" s="28" t="s">
        <v>5051</v>
      </c>
      <c r="J721" s="28" t="s">
        <v>5052</v>
      </c>
      <c r="K721" s="28" t="s">
        <v>5312</v>
      </c>
      <c r="L721" s="28" t="s">
        <v>5313</v>
      </c>
      <c r="M721" s="28" t="s">
        <v>5314</v>
      </c>
      <c r="N721" s="28" t="s">
        <v>5315</v>
      </c>
    </row>
    <row r="722" spans="1:14">
      <c r="A722" t="s">
        <v>965</v>
      </c>
      <c r="B722" t="s">
        <v>57</v>
      </c>
      <c r="C722">
        <v>2037</v>
      </c>
      <c r="D722">
        <v>205</v>
      </c>
      <c r="E722" t="s">
        <v>961</v>
      </c>
      <c r="F722" s="35" t="s">
        <v>982</v>
      </c>
      <c r="G722" s="28" t="s">
        <v>1611</v>
      </c>
      <c r="H722" s="28" t="s">
        <v>1594</v>
      </c>
      <c r="I722" s="28" t="s">
        <v>5055</v>
      </c>
      <c r="J722" s="28" t="s">
        <v>5052</v>
      </c>
      <c r="K722" s="28" t="s">
        <v>5316</v>
      </c>
      <c r="L722" s="28" t="s">
        <v>5313</v>
      </c>
      <c r="M722" s="28" t="s">
        <v>5317</v>
      </c>
      <c r="N722" s="28" t="s">
        <v>5315</v>
      </c>
    </row>
    <row r="723" spans="1:14">
      <c r="A723" t="s">
        <v>965</v>
      </c>
      <c r="B723" t="s">
        <v>57</v>
      </c>
      <c r="C723">
        <v>2038</v>
      </c>
      <c r="D723">
        <v>389</v>
      </c>
      <c r="E723" t="s">
        <v>961</v>
      </c>
      <c r="F723" s="35" t="s">
        <v>982</v>
      </c>
      <c r="G723" s="28" t="s">
        <v>1612</v>
      </c>
      <c r="H723" s="28" t="s">
        <v>1594</v>
      </c>
      <c r="I723" s="28" t="s">
        <v>5057</v>
      </c>
      <c r="J723" s="28" t="s">
        <v>5052</v>
      </c>
      <c r="K723" s="28" t="s">
        <v>5318</v>
      </c>
      <c r="L723" s="28" t="s">
        <v>5313</v>
      </c>
      <c r="M723" s="28" t="s">
        <v>5319</v>
      </c>
      <c r="N723" s="28" t="s">
        <v>5315</v>
      </c>
    </row>
    <row r="724" spans="1:14">
      <c r="A724" t="s">
        <v>965</v>
      </c>
      <c r="B724" t="s">
        <v>57</v>
      </c>
      <c r="C724">
        <v>2039</v>
      </c>
      <c r="D724">
        <v>130</v>
      </c>
      <c r="E724" t="s">
        <v>961</v>
      </c>
      <c r="F724" s="35" t="s">
        <v>982</v>
      </c>
      <c r="G724" s="28" t="s">
        <v>1613</v>
      </c>
      <c r="H724" s="28" t="s">
        <v>1594</v>
      </c>
      <c r="I724" s="28" t="s">
        <v>5059</v>
      </c>
      <c r="J724" s="28" t="s">
        <v>5052</v>
      </c>
      <c r="K724" s="28" t="s">
        <v>5320</v>
      </c>
      <c r="L724" s="28" t="s">
        <v>5313</v>
      </c>
      <c r="M724" s="28" t="s">
        <v>5321</v>
      </c>
      <c r="N724" s="28" t="s">
        <v>5315</v>
      </c>
    </row>
    <row r="725" spans="1:14">
      <c r="A725" t="s">
        <v>965</v>
      </c>
      <c r="B725" t="s">
        <v>57</v>
      </c>
      <c r="C725">
        <v>2040</v>
      </c>
      <c r="D725">
        <v>162</v>
      </c>
      <c r="E725" t="s">
        <v>961</v>
      </c>
      <c r="F725" s="35" t="s">
        <v>983</v>
      </c>
      <c r="G725" s="28" t="s">
        <v>1614</v>
      </c>
      <c r="H725" s="28" t="s">
        <v>1596</v>
      </c>
      <c r="I725" s="28" t="s">
        <v>5061</v>
      </c>
      <c r="J725" s="28" t="s">
        <v>5062</v>
      </c>
      <c r="K725" s="28" t="s">
        <v>5322</v>
      </c>
      <c r="L725" s="28" t="s">
        <v>5323</v>
      </c>
      <c r="M725" s="28" t="s">
        <v>5324</v>
      </c>
      <c r="N725" s="28" t="s">
        <v>5325</v>
      </c>
    </row>
    <row r="726" spans="1:14">
      <c r="A726" t="s">
        <v>965</v>
      </c>
      <c r="B726" t="s">
        <v>57</v>
      </c>
      <c r="C726">
        <v>2041</v>
      </c>
      <c r="D726">
        <v>216</v>
      </c>
      <c r="E726" t="s">
        <v>961</v>
      </c>
      <c r="F726" s="35" t="s">
        <v>983</v>
      </c>
      <c r="G726" s="28" t="s">
        <v>1595</v>
      </c>
      <c r="H726" s="28" t="s">
        <v>1596</v>
      </c>
      <c r="I726" s="28" t="s">
        <v>5065</v>
      </c>
      <c r="J726" s="28" t="s">
        <v>5062</v>
      </c>
      <c r="K726" s="28" t="s">
        <v>5326</v>
      </c>
      <c r="L726" s="28" t="s">
        <v>5323</v>
      </c>
      <c r="M726" s="28" t="s">
        <v>5327</v>
      </c>
      <c r="N726" s="28" t="s">
        <v>5325</v>
      </c>
    </row>
    <row r="727" spans="1:14">
      <c r="A727" t="s">
        <v>965</v>
      </c>
      <c r="B727" t="s">
        <v>57</v>
      </c>
      <c r="C727">
        <v>2043</v>
      </c>
      <c r="D727">
        <v>181</v>
      </c>
      <c r="E727" t="s">
        <v>961</v>
      </c>
      <c r="F727" s="35" t="s">
        <v>983</v>
      </c>
      <c r="G727" s="28" t="s">
        <v>1615</v>
      </c>
      <c r="H727" s="28" t="s">
        <v>1596</v>
      </c>
      <c r="I727" s="28" t="s">
        <v>5069</v>
      </c>
      <c r="J727" s="28" t="s">
        <v>5062</v>
      </c>
      <c r="K727" s="28" t="s">
        <v>5328</v>
      </c>
      <c r="L727" s="28" t="s">
        <v>5323</v>
      </c>
      <c r="M727" s="28" t="s">
        <v>5329</v>
      </c>
      <c r="N727" s="28" t="s">
        <v>5325</v>
      </c>
    </row>
    <row r="728" spans="1:14">
      <c r="A728" t="s">
        <v>965</v>
      </c>
      <c r="B728" t="s">
        <v>57</v>
      </c>
      <c r="C728">
        <v>2048</v>
      </c>
      <c r="D728">
        <v>165</v>
      </c>
      <c r="E728" t="s">
        <v>961</v>
      </c>
      <c r="F728" s="35" t="s">
        <v>984</v>
      </c>
      <c r="G728" s="28" t="s">
        <v>1625</v>
      </c>
      <c r="H728" s="28" t="s">
        <v>1599</v>
      </c>
      <c r="I728" s="28" t="s">
        <v>5077</v>
      </c>
      <c r="J728" s="28" t="s">
        <v>5072</v>
      </c>
      <c r="K728" s="28" t="s">
        <v>5330</v>
      </c>
      <c r="L728" s="28" t="s">
        <v>5331</v>
      </c>
      <c r="M728" s="28" t="s">
        <v>5332</v>
      </c>
      <c r="N728" s="28" t="s">
        <v>5333</v>
      </c>
    </row>
    <row r="729" spans="1:14">
      <c r="A729" t="s">
        <v>965</v>
      </c>
      <c r="B729" t="s">
        <v>57</v>
      </c>
      <c r="C729">
        <v>2049</v>
      </c>
      <c r="D729">
        <v>368</v>
      </c>
      <c r="E729" t="s">
        <v>961</v>
      </c>
      <c r="F729" s="35" t="s">
        <v>985</v>
      </c>
      <c r="G729" s="28" t="s">
        <v>1602</v>
      </c>
      <c r="H729" s="28" t="s">
        <v>1603</v>
      </c>
      <c r="I729" s="28" t="s">
        <v>5080</v>
      </c>
      <c r="J729" s="28" t="s">
        <v>5081</v>
      </c>
      <c r="K729" s="28" t="s">
        <v>5334</v>
      </c>
      <c r="L729" s="28" t="s">
        <v>5335</v>
      </c>
      <c r="M729" s="28" t="s">
        <v>5336</v>
      </c>
      <c r="N729" s="28" t="s">
        <v>5337</v>
      </c>
    </row>
    <row r="730" spans="1:14">
      <c r="A730" t="s">
        <v>965</v>
      </c>
      <c r="B730" t="s">
        <v>57</v>
      </c>
      <c r="C730">
        <v>2051</v>
      </c>
      <c r="D730">
        <v>900</v>
      </c>
      <c r="E730" t="s">
        <v>961</v>
      </c>
      <c r="F730" s="35" t="s">
        <v>985</v>
      </c>
      <c r="G730" s="28" t="s">
        <v>1604</v>
      </c>
      <c r="H730" s="28" t="s">
        <v>1603</v>
      </c>
      <c r="I730" s="28" t="s">
        <v>5084</v>
      </c>
      <c r="J730" s="28" t="s">
        <v>5081</v>
      </c>
      <c r="K730" s="28" t="s">
        <v>5338</v>
      </c>
      <c r="L730" s="28" t="s">
        <v>5335</v>
      </c>
      <c r="M730" s="28" t="s">
        <v>5339</v>
      </c>
      <c r="N730" s="28" t="s">
        <v>5337</v>
      </c>
    </row>
    <row r="731" spans="1:14">
      <c r="A731" t="s">
        <v>965</v>
      </c>
      <c r="B731" t="s">
        <v>57</v>
      </c>
      <c r="C731">
        <v>2052</v>
      </c>
      <c r="D731">
        <v>368</v>
      </c>
      <c r="E731" t="s">
        <v>961</v>
      </c>
      <c r="F731" s="35" t="s">
        <v>985</v>
      </c>
      <c r="G731" s="28" t="s">
        <v>1605</v>
      </c>
      <c r="H731" s="28" t="s">
        <v>1603</v>
      </c>
      <c r="I731" s="28" t="s">
        <v>5086</v>
      </c>
      <c r="J731" s="28" t="s">
        <v>5081</v>
      </c>
      <c r="K731" s="28" t="s">
        <v>5340</v>
      </c>
      <c r="L731" s="28" t="s">
        <v>5335</v>
      </c>
      <c r="M731" s="28" t="s">
        <v>5341</v>
      </c>
      <c r="N731" s="28" t="s">
        <v>5337</v>
      </c>
    </row>
    <row r="732" spans="1:14">
      <c r="A732" t="s">
        <v>965</v>
      </c>
      <c r="B732" t="s">
        <v>57</v>
      </c>
      <c r="C732">
        <v>2053</v>
      </c>
      <c r="D732">
        <v>292</v>
      </c>
      <c r="E732" t="s">
        <v>961</v>
      </c>
      <c r="F732" s="35" t="s">
        <v>976</v>
      </c>
      <c r="G732" s="28" t="s">
        <v>1631</v>
      </c>
      <c r="H732" s="28" t="s">
        <v>1544</v>
      </c>
      <c r="I732" s="28" t="s">
        <v>5088</v>
      </c>
      <c r="J732" s="28" t="s">
        <v>5089</v>
      </c>
      <c r="K732" s="28" t="s">
        <v>5342</v>
      </c>
      <c r="L732" s="28" t="s">
        <v>5343</v>
      </c>
      <c r="M732" s="28" t="s">
        <v>5344</v>
      </c>
      <c r="N732" s="28" t="s">
        <v>4109</v>
      </c>
    </row>
    <row r="733" spans="1:14">
      <c r="A733" t="s">
        <v>965</v>
      </c>
      <c r="B733" t="s">
        <v>57</v>
      </c>
      <c r="C733">
        <v>2101</v>
      </c>
      <c r="D733">
        <v>581</v>
      </c>
      <c r="E733" t="s">
        <v>961</v>
      </c>
      <c r="F733" s="35" t="s">
        <v>976</v>
      </c>
      <c r="G733" s="28" t="s">
        <v>1561</v>
      </c>
      <c r="H733" s="28" t="s">
        <v>1544</v>
      </c>
      <c r="I733" s="28" t="s">
        <v>5093</v>
      </c>
      <c r="J733" s="28" t="s">
        <v>5089</v>
      </c>
      <c r="K733" s="28" t="s">
        <v>5345</v>
      </c>
      <c r="L733" s="28" t="s">
        <v>5343</v>
      </c>
      <c r="M733" s="28" t="s">
        <v>4108</v>
      </c>
      <c r="N733" s="28" t="s">
        <v>4109</v>
      </c>
    </row>
    <row r="734" spans="1:14">
      <c r="A734" t="s">
        <v>965</v>
      </c>
      <c r="B734" t="s">
        <v>57</v>
      </c>
      <c r="C734">
        <v>2102</v>
      </c>
      <c r="D734">
        <v>133</v>
      </c>
      <c r="E734" t="s">
        <v>961</v>
      </c>
      <c r="F734" s="35" t="s">
        <v>976</v>
      </c>
      <c r="G734" s="28" t="s">
        <v>1543</v>
      </c>
      <c r="H734" s="28" t="s">
        <v>1544</v>
      </c>
      <c r="I734" s="28" t="s">
        <v>5095</v>
      </c>
      <c r="J734" s="28" t="s">
        <v>5089</v>
      </c>
      <c r="K734" s="28" t="s">
        <v>5346</v>
      </c>
      <c r="L734" s="28" t="s">
        <v>5343</v>
      </c>
      <c r="M734" s="28" t="s">
        <v>4111</v>
      </c>
      <c r="N734" s="28" t="s">
        <v>4109</v>
      </c>
    </row>
    <row r="735" spans="1:14">
      <c r="A735" t="s">
        <v>965</v>
      </c>
      <c r="B735" t="s">
        <v>57</v>
      </c>
      <c r="C735">
        <v>2103</v>
      </c>
      <c r="D735">
        <v>666</v>
      </c>
      <c r="E735" t="s">
        <v>961</v>
      </c>
      <c r="F735" s="35" t="s">
        <v>976</v>
      </c>
      <c r="G735" s="28" t="s">
        <v>1545</v>
      </c>
      <c r="H735" s="28" t="s">
        <v>1544</v>
      </c>
      <c r="I735" s="28" t="s">
        <v>5097</v>
      </c>
      <c r="J735" s="28" t="s">
        <v>5089</v>
      </c>
      <c r="K735" s="28" t="s">
        <v>5347</v>
      </c>
      <c r="L735" s="28" t="s">
        <v>5343</v>
      </c>
      <c r="M735" s="28" t="s">
        <v>4113</v>
      </c>
      <c r="N735" s="28" t="s">
        <v>4109</v>
      </c>
    </row>
    <row r="736" spans="1:14">
      <c r="A736" t="s">
        <v>965</v>
      </c>
      <c r="B736" t="s">
        <v>57</v>
      </c>
      <c r="C736">
        <v>2104</v>
      </c>
      <c r="D736">
        <v>866</v>
      </c>
      <c r="E736" t="s">
        <v>961</v>
      </c>
      <c r="F736" s="35" t="s">
        <v>976</v>
      </c>
      <c r="G736" s="28" t="s">
        <v>1546</v>
      </c>
      <c r="H736" s="28" t="s">
        <v>1544</v>
      </c>
      <c r="I736" s="28" t="s">
        <v>5099</v>
      </c>
      <c r="J736" s="28" t="s">
        <v>5089</v>
      </c>
      <c r="K736" s="28" t="s">
        <v>5348</v>
      </c>
      <c r="L736" s="28" t="s">
        <v>5343</v>
      </c>
      <c r="M736" s="28" t="s">
        <v>4115</v>
      </c>
      <c r="N736" s="28" t="s">
        <v>4109</v>
      </c>
    </row>
    <row r="737" spans="1:14">
      <c r="A737" t="s">
        <v>965</v>
      </c>
      <c r="B737" t="s">
        <v>57</v>
      </c>
      <c r="C737">
        <v>2106</v>
      </c>
      <c r="D737">
        <v>944</v>
      </c>
      <c r="E737" t="s">
        <v>961</v>
      </c>
      <c r="F737" s="35" t="s">
        <v>975</v>
      </c>
      <c r="G737" s="28" t="s">
        <v>1549</v>
      </c>
      <c r="H737" s="28" t="s">
        <v>1548</v>
      </c>
      <c r="I737" s="28" t="s">
        <v>5105</v>
      </c>
      <c r="J737" s="28" t="s">
        <v>5102</v>
      </c>
      <c r="K737" s="28" t="s">
        <v>5349</v>
      </c>
      <c r="L737" s="28" t="s">
        <v>5350</v>
      </c>
      <c r="M737" s="28" t="s">
        <v>4121</v>
      </c>
      <c r="N737" s="28" t="s">
        <v>4119</v>
      </c>
    </row>
    <row r="738" spans="1:14">
      <c r="A738" t="s">
        <v>965</v>
      </c>
      <c r="B738" t="s">
        <v>57</v>
      </c>
      <c r="C738">
        <v>2107</v>
      </c>
      <c r="D738">
        <v>111</v>
      </c>
      <c r="E738" t="s">
        <v>961</v>
      </c>
      <c r="F738" s="35" t="s">
        <v>975</v>
      </c>
      <c r="G738" s="28" t="s">
        <v>1550</v>
      </c>
      <c r="H738" s="28" t="s">
        <v>1548</v>
      </c>
      <c r="I738" s="28" t="s">
        <v>5107</v>
      </c>
      <c r="J738" s="28" t="s">
        <v>5102</v>
      </c>
      <c r="K738" s="28" t="s">
        <v>5351</v>
      </c>
      <c r="L738" s="28" t="s">
        <v>5350</v>
      </c>
      <c r="M738" s="28" t="s">
        <v>4123</v>
      </c>
      <c r="N738" s="28" t="s">
        <v>4119</v>
      </c>
    </row>
    <row r="739" spans="1:14">
      <c r="A739" t="s">
        <v>965</v>
      </c>
      <c r="B739" t="s">
        <v>57</v>
      </c>
      <c r="C739">
        <v>2108</v>
      </c>
      <c r="D739">
        <v>241</v>
      </c>
      <c r="E739" t="s">
        <v>961</v>
      </c>
      <c r="F739" s="35" t="s">
        <v>975</v>
      </c>
      <c r="G739" s="28" t="s">
        <v>1551</v>
      </c>
      <c r="H739" s="28" t="s">
        <v>1548</v>
      </c>
      <c r="I739" s="28" t="s">
        <v>5109</v>
      </c>
      <c r="J739" s="28" t="s">
        <v>5102</v>
      </c>
      <c r="K739" s="28" t="s">
        <v>5352</v>
      </c>
      <c r="L739" s="28" t="s">
        <v>5350</v>
      </c>
      <c r="M739" s="28" t="s">
        <v>4125</v>
      </c>
      <c r="N739" s="28" t="s">
        <v>4119</v>
      </c>
    </row>
    <row r="740" spans="1:14">
      <c r="A740" t="s">
        <v>965</v>
      </c>
      <c r="B740" t="s">
        <v>57</v>
      </c>
      <c r="C740">
        <v>2109</v>
      </c>
      <c r="D740">
        <v>217</v>
      </c>
      <c r="E740" t="s">
        <v>961</v>
      </c>
      <c r="F740" s="35" t="s">
        <v>969</v>
      </c>
      <c r="G740" s="28" t="s">
        <v>1552</v>
      </c>
      <c r="H740" s="28" t="s">
        <v>1553</v>
      </c>
      <c r="I740" s="28" t="s">
        <v>5111</v>
      </c>
      <c r="J740" s="28" t="s">
        <v>5112</v>
      </c>
      <c r="K740" s="28" t="s">
        <v>5353</v>
      </c>
      <c r="L740" s="28" t="s">
        <v>5354</v>
      </c>
      <c r="M740" s="28" t="s">
        <v>4128</v>
      </c>
      <c r="N740" s="28" t="s">
        <v>4129</v>
      </c>
    </row>
    <row r="741" spans="1:14">
      <c r="A741" t="s">
        <v>965</v>
      </c>
      <c r="B741" t="s">
        <v>57</v>
      </c>
      <c r="C741">
        <v>2110</v>
      </c>
      <c r="D741">
        <v>32</v>
      </c>
      <c r="E741" t="s">
        <v>961</v>
      </c>
      <c r="F741" s="35" t="s">
        <v>969</v>
      </c>
      <c r="G741" s="28" t="s">
        <v>1554</v>
      </c>
      <c r="H741" s="28" t="s">
        <v>1553</v>
      </c>
      <c r="I741" s="28" t="s">
        <v>5115</v>
      </c>
      <c r="J741" s="28" t="s">
        <v>5112</v>
      </c>
      <c r="K741" s="28" t="s">
        <v>5355</v>
      </c>
      <c r="L741" s="28" t="s">
        <v>5354</v>
      </c>
      <c r="M741" s="28" t="s">
        <v>4131</v>
      </c>
      <c r="N741" s="28" t="s">
        <v>4129</v>
      </c>
    </row>
    <row r="742" spans="1:14">
      <c r="A742" t="s">
        <v>965</v>
      </c>
      <c r="B742" t="s">
        <v>57</v>
      </c>
      <c r="C742">
        <v>2111</v>
      </c>
      <c r="D742">
        <v>59</v>
      </c>
      <c r="E742" t="s">
        <v>961</v>
      </c>
      <c r="F742" s="35" t="s">
        <v>969</v>
      </c>
      <c r="G742" s="28" t="s">
        <v>1555</v>
      </c>
      <c r="H742" s="28" t="s">
        <v>1553</v>
      </c>
      <c r="I742" s="28" t="s">
        <v>5117</v>
      </c>
      <c r="J742" s="28" t="s">
        <v>5112</v>
      </c>
      <c r="K742" s="28" t="s">
        <v>5356</v>
      </c>
      <c r="L742" s="28" t="s">
        <v>5354</v>
      </c>
      <c r="M742" s="28" t="s">
        <v>4133</v>
      </c>
      <c r="N742" s="28" t="s">
        <v>4129</v>
      </c>
    </row>
    <row r="743" spans="1:14">
      <c r="A743" t="s">
        <v>965</v>
      </c>
      <c r="B743" t="s">
        <v>57</v>
      </c>
      <c r="C743">
        <v>2112</v>
      </c>
      <c r="D743">
        <v>507</v>
      </c>
      <c r="E743" t="s">
        <v>961</v>
      </c>
      <c r="F743" s="35" t="s">
        <v>969</v>
      </c>
      <c r="G743" s="28" t="s">
        <v>1556</v>
      </c>
      <c r="H743" s="28" t="s">
        <v>1553</v>
      </c>
      <c r="I743" s="28" t="s">
        <v>5214</v>
      </c>
      <c r="J743" s="28" t="s">
        <v>5112</v>
      </c>
      <c r="K743" s="28" t="s">
        <v>5357</v>
      </c>
      <c r="L743" s="28" t="s">
        <v>5354</v>
      </c>
      <c r="M743" s="28" t="s">
        <v>4135</v>
      </c>
      <c r="N743" s="28" t="s">
        <v>4129</v>
      </c>
    </row>
    <row r="744" spans="1:14">
      <c r="A744" t="s">
        <v>965</v>
      </c>
      <c r="B744" t="s">
        <v>57</v>
      </c>
      <c r="C744">
        <v>2113</v>
      </c>
      <c r="D744">
        <v>376</v>
      </c>
      <c r="E744" t="s">
        <v>961</v>
      </c>
      <c r="F744" s="35" t="s">
        <v>969</v>
      </c>
      <c r="G744" s="28" t="s">
        <v>1557</v>
      </c>
      <c r="H744" s="28" t="s">
        <v>1553</v>
      </c>
      <c r="I744" s="28" t="s">
        <v>5119</v>
      </c>
      <c r="J744" s="28" t="s">
        <v>5112</v>
      </c>
      <c r="K744" s="28" t="s">
        <v>5358</v>
      </c>
      <c r="L744" s="28" t="s">
        <v>5354</v>
      </c>
      <c r="M744" s="28" t="s">
        <v>4137</v>
      </c>
      <c r="N744" s="28" t="s">
        <v>4129</v>
      </c>
    </row>
    <row r="745" spans="1:14">
      <c r="A745" t="s">
        <v>965</v>
      </c>
      <c r="B745" t="s">
        <v>57</v>
      </c>
      <c r="C745">
        <v>2114</v>
      </c>
      <c r="D745">
        <v>327</v>
      </c>
      <c r="E745" t="s">
        <v>961</v>
      </c>
      <c r="F745" s="35" t="s">
        <v>970</v>
      </c>
      <c r="G745" s="28" t="s">
        <v>1558</v>
      </c>
      <c r="H745" s="28" t="s">
        <v>1529</v>
      </c>
      <c r="I745" s="28" t="s">
        <v>5122</v>
      </c>
      <c r="J745" s="28" t="s">
        <v>5123</v>
      </c>
      <c r="K745" s="28" t="s">
        <v>5359</v>
      </c>
      <c r="L745" s="28" t="s">
        <v>5360</v>
      </c>
      <c r="M745" s="28" t="s">
        <v>4140</v>
      </c>
      <c r="N745" s="28" t="s">
        <v>4141</v>
      </c>
    </row>
    <row r="746" spans="1:14">
      <c r="A746" t="s">
        <v>965</v>
      </c>
      <c r="B746" t="s">
        <v>57</v>
      </c>
      <c r="C746">
        <v>2115</v>
      </c>
      <c r="D746">
        <v>519</v>
      </c>
      <c r="E746" t="s">
        <v>961</v>
      </c>
      <c r="F746" s="35" t="s">
        <v>970</v>
      </c>
      <c r="G746" s="28" t="s">
        <v>1559</v>
      </c>
      <c r="H746" s="28" t="s">
        <v>1529</v>
      </c>
      <c r="I746" s="28" t="s">
        <v>5220</v>
      </c>
      <c r="J746" s="28" t="s">
        <v>5123</v>
      </c>
      <c r="K746" s="28" t="s">
        <v>5361</v>
      </c>
      <c r="L746" s="28" t="s">
        <v>5360</v>
      </c>
      <c r="M746" s="28" t="s">
        <v>5362</v>
      </c>
      <c r="N746" s="28" t="s">
        <v>4141</v>
      </c>
    </row>
    <row r="747" spans="1:14">
      <c r="A747" t="s">
        <v>965</v>
      </c>
      <c r="B747" t="s">
        <v>57</v>
      </c>
      <c r="C747">
        <v>2117</v>
      </c>
      <c r="D747">
        <v>201</v>
      </c>
      <c r="E747" t="s">
        <v>961</v>
      </c>
      <c r="F747" s="35" t="s">
        <v>970</v>
      </c>
      <c r="G747" s="28" t="s">
        <v>1560</v>
      </c>
      <c r="H747" s="28" t="s">
        <v>1529</v>
      </c>
      <c r="I747" s="28" t="s">
        <v>5126</v>
      </c>
      <c r="J747" s="28" t="s">
        <v>5123</v>
      </c>
      <c r="K747" s="28" t="s">
        <v>5363</v>
      </c>
      <c r="L747" s="28" t="s">
        <v>5360</v>
      </c>
      <c r="M747" s="28" t="s">
        <v>4145</v>
      </c>
      <c r="N747" s="28" t="s">
        <v>4141</v>
      </c>
    </row>
    <row r="748" spans="1:14">
      <c r="A748" t="s">
        <v>965</v>
      </c>
      <c r="B748" t="s">
        <v>57</v>
      </c>
      <c r="C748">
        <v>2121</v>
      </c>
      <c r="D748">
        <v>57</v>
      </c>
      <c r="E748" t="s">
        <v>961</v>
      </c>
      <c r="F748" s="35" t="s">
        <v>971</v>
      </c>
      <c r="G748" s="28" t="s">
        <v>1533</v>
      </c>
      <c r="H748" s="28" t="s">
        <v>1531</v>
      </c>
      <c r="I748" s="28" t="s">
        <v>5229</v>
      </c>
      <c r="J748" s="28" t="s">
        <v>5130</v>
      </c>
      <c r="K748" s="28" t="s">
        <v>5364</v>
      </c>
      <c r="L748" s="28" t="s">
        <v>5365</v>
      </c>
      <c r="M748" s="28" t="s">
        <v>4153</v>
      </c>
      <c r="N748" s="28" t="s">
        <v>4149</v>
      </c>
    </row>
    <row r="749" spans="1:14">
      <c r="A749" t="s">
        <v>965</v>
      </c>
      <c r="B749" t="s">
        <v>57</v>
      </c>
      <c r="C749">
        <v>2122</v>
      </c>
      <c r="D749">
        <v>294</v>
      </c>
      <c r="E749" t="s">
        <v>961</v>
      </c>
      <c r="F749" s="35" t="s">
        <v>971</v>
      </c>
      <c r="G749" s="28" t="s">
        <v>1534</v>
      </c>
      <c r="H749" s="28" t="s">
        <v>1531</v>
      </c>
      <c r="I749" s="28" t="s">
        <v>5231</v>
      </c>
      <c r="J749" s="28" t="s">
        <v>5130</v>
      </c>
      <c r="K749" s="28" t="s">
        <v>5366</v>
      </c>
      <c r="L749" s="28" t="s">
        <v>5365</v>
      </c>
      <c r="M749" s="28" t="s">
        <v>4155</v>
      </c>
      <c r="N749" s="28" t="s">
        <v>4149</v>
      </c>
    </row>
    <row r="750" spans="1:14">
      <c r="A750" t="s">
        <v>965</v>
      </c>
      <c r="B750" t="s">
        <v>57</v>
      </c>
      <c r="C750">
        <v>2126</v>
      </c>
      <c r="D750">
        <v>69</v>
      </c>
      <c r="E750" t="s">
        <v>961</v>
      </c>
      <c r="F750" s="35" t="s">
        <v>972</v>
      </c>
      <c r="G750" s="28" t="s">
        <v>1539</v>
      </c>
      <c r="H750" s="28" t="s">
        <v>1536</v>
      </c>
      <c r="I750" s="28" t="s">
        <v>5367</v>
      </c>
      <c r="J750" s="28" t="s">
        <v>5235</v>
      </c>
      <c r="K750" s="28" t="s">
        <v>5368</v>
      </c>
      <c r="L750" s="28" t="s">
        <v>5369</v>
      </c>
      <c r="M750" s="28" t="s">
        <v>4165</v>
      </c>
      <c r="N750" s="28" t="s">
        <v>4159</v>
      </c>
    </row>
    <row r="751" spans="1:14">
      <c r="A751" t="s">
        <v>965</v>
      </c>
      <c r="B751" t="s">
        <v>57</v>
      </c>
      <c r="C751">
        <v>2130</v>
      </c>
      <c r="D751">
        <v>100</v>
      </c>
      <c r="E751" t="s">
        <v>961</v>
      </c>
      <c r="F751" s="35" t="s">
        <v>973</v>
      </c>
      <c r="G751" s="28" t="s">
        <v>1626</v>
      </c>
      <c r="H751" s="28" t="s">
        <v>1541</v>
      </c>
      <c r="I751" s="28" t="s">
        <v>5134</v>
      </c>
      <c r="J751" s="28" t="s">
        <v>5135</v>
      </c>
      <c r="K751" s="28" t="s">
        <v>5370</v>
      </c>
      <c r="L751" s="28" t="s">
        <v>5371</v>
      </c>
      <c r="M751" s="28" t="s">
        <v>5372</v>
      </c>
      <c r="N751" s="28" t="s">
        <v>5373</v>
      </c>
    </row>
    <row r="752" spans="1:14">
      <c r="A752" t="s">
        <v>965</v>
      </c>
      <c r="B752" t="s">
        <v>57</v>
      </c>
      <c r="C752">
        <v>2132</v>
      </c>
      <c r="D752">
        <v>220</v>
      </c>
      <c r="E752" t="s">
        <v>961</v>
      </c>
      <c r="F752" s="35" t="s">
        <v>974</v>
      </c>
      <c r="G752" s="28" t="s">
        <v>1566</v>
      </c>
      <c r="H752" s="28" t="s">
        <v>1563</v>
      </c>
      <c r="I752" s="28" t="s">
        <v>5140</v>
      </c>
      <c r="J752" s="28" t="s">
        <v>5141</v>
      </c>
      <c r="K752" s="28" t="s">
        <v>5374</v>
      </c>
      <c r="L752" s="28" t="s">
        <v>5375</v>
      </c>
      <c r="M752" s="28" t="s">
        <v>5376</v>
      </c>
      <c r="N752" s="28" t="s">
        <v>4171</v>
      </c>
    </row>
    <row r="753" spans="1:14">
      <c r="A753" t="s">
        <v>965</v>
      </c>
      <c r="B753" t="s">
        <v>57</v>
      </c>
      <c r="C753">
        <v>2133</v>
      </c>
      <c r="D753">
        <v>1</v>
      </c>
      <c r="E753" t="s">
        <v>961</v>
      </c>
      <c r="F753" s="35" t="s">
        <v>974</v>
      </c>
      <c r="G753" s="28" t="s">
        <v>1562</v>
      </c>
      <c r="H753" s="28" t="s">
        <v>1563</v>
      </c>
      <c r="I753" s="28" t="s">
        <v>5145</v>
      </c>
      <c r="J753" s="28" t="s">
        <v>5141</v>
      </c>
      <c r="K753" s="28" t="s">
        <v>5377</v>
      </c>
      <c r="L753" s="28" t="s">
        <v>5375</v>
      </c>
      <c r="M753" s="28" t="s">
        <v>4170</v>
      </c>
      <c r="N753" s="28" t="s">
        <v>4171</v>
      </c>
    </row>
    <row r="754" spans="1:14">
      <c r="A754" t="s">
        <v>965</v>
      </c>
      <c r="B754" t="s">
        <v>57</v>
      </c>
      <c r="C754">
        <v>2137</v>
      </c>
      <c r="D754">
        <v>1</v>
      </c>
      <c r="E754" t="s">
        <v>961</v>
      </c>
      <c r="F754" s="35" t="s">
        <v>997</v>
      </c>
      <c r="G754" s="28" t="s">
        <v>6455</v>
      </c>
      <c r="H754" s="28" t="s">
        <v>6311</v>
      </c>
      <c r="I754" s="28" t="s">
        <v>6465</v>
      </c>
      <c r="J754" s="28" t="s">
        <v>6335</v>
      </c>
      <c r="K754" s="28" t="s">
        <v>6470</v>
      </c>
      <c r="L754" s="28" t="s">
        <v>6471</v>
      </c>
      <c r="M754" s="28" t="s">
        <v>6458</v>
      </c>
      <c r="N754" s="28" t="s">
        <v>6317</v>
      </c>
    </row>
    <row r="755" spans="1:14">
      <c r="A755" t="s">
        <v>965</v>
      </c>
      <c r="B755" t="s">
        <v>64</v>
      </c>
      <c r="C755">
        <v>2026</v>
      </c>
      <c r="D755">
        <v>50</v>
      </c>
      <c r="E755" t="s">
        <v>961</v>
      </c>
      <c r="F755" s="35" t="s">
        <v>979</v>
      </c>
      <c r="G755" s="28" t="s">
        <v>1608</v>
      </c>
      <c r="H755" s="28" t="s">
        <v>1582</v>
      </c>
      <c r="I755" s="28" t="s">
        <v>5027</v>
      </c>
      <c r="J755" s="28" t="s">
        <v>5017</v>
      </c>
      <c r="K755" s="28" t="s">
        <v>5378</v>
      </c>
      <c r="L755" s="28" t="s">
        <v>5379</v>
      </c>
      <c r="M755" s="28" t="s">
        <v>5380</v>
      </c>
      <c r="N755" s="28" t="s">
        <v>5381</v>
      </c>
    </row>
    <row r="756" spans="1:14">
      <c r="A756" t="s">
        <v>965</v>
      </c>
      <c r="B756" t="s">
        <v>64</v>
      </c>
      <c r="C756">
        <v>2028</v>
      </c>
      <c r="D756">
        <v>35</v>
      </c>
      <c r="E756" t="s">
        <v>961</v>
      </c>
      <c r="F756" s="35" t="s">
        <v>980</v>
      </c>
      <c r="G756" s="28" t="s">
        <v>1588</v>
      </c>
      <c r="H756" s="28" t="s">
        <v>1587</v>
      </c>
      <c r="I756" s="28" t="s">
        <v>5029</v>
      </c>
      <c r="J756" s="28" t="s">
        <v>5030</v>
      </c>
      <c r="K756" s="28" t="s">
        <v>5382</v>
      </c>
      <c r="L756" s="28" t="s">
        <v>5383</v>
      </c>
      <c r="M756" s="28" t="s">
        <v>5384</v>
      </c>
      <c r="N756" s="28" t="s">
        <v>5385</v>
      </c>
    </row>
    <row r="757" spans="1:14">
      <c r="A757" t="s">
        <v>965</v>
      </c>
      <c r="B757" t="s">
        <v>64</v>
      </c>
      <c r="C757">
        <v>2029</v>
      </c>
      <c r="D757">
        <v>206</v>
      </c>
      <c r="E757" t="s">
        <v>961</v>
      </c>
      <c r="F757" s="35" t="s">
        <v>980</v>
      </c>
      <c r="G757" s="28" t="s">
        <v>1589</v>
      </c>
      <c r="H757" s="28" t="s">
        <v>1587</v>
      </c>
      <c r="I757" s="28" t="s">
        <v>5033</v>
      </c>
      <c r="J757" s="28" t="s">
        <v>5030</v>
      </c>
      <c r="K757" s="28" t="s">
        <v>5386</v>
      </c>
      <c r="L757" s="28" t="s">
        <v>5383</v>
      </c>
      <c r="M757" s="28" t="s">
        <v>5387</v>
      </c>
      <c r="N757" s="28" t="s">
        <v>5385</v>
      </c>
    </row>
    <row r="758" spans="1:14">
      <c r="A758" t="s">
        <v>965</v>
      </c>
      <c r="B758" t="s">
        <v>64</v>
      </c>
      <c r="C758">
        <v>2030</v>
      </c>
      <c r="D758">
        <v>436</v>
      </c>
      <c r="E758" t="s">
        <v>961</v>
      </c>
      <c r="F758" s="35" t="s">
        <v>980</v>
      </c>
      <c r="G758" s="28" t="s">
        <v>1609</v>
      </c>
      <c r="H758" s="28" t="s">
        <v>1587</v>
      </c>
      <c r="I758" s="28" t="s">
        <v>5036</v>
      </c>
      <c r="J758" s="28" t="s">
        <v>5030</v>
      </c>
      <c r="K758" s="28" t="s">
        <v>5388</v>
      </c>
      <c r="L758" s="28" t="s">
        <v>5383</v>
      </c>
      <c r="M758" s="28" t="s">
        <v>5389</v>
      </c>
      <c r="N758" s="28" t="s">
        <v>5385</v>
      </c>
    </row>
    <row r="759" spans="1:14">
      <c r="A759" t="s">
        <v>965</v>
      </c>
      <c r="B759" t="s">
        <v>64</v>
      </c>
      <c r="C759">
        <v>2031</v>
      </c>
      <c r="D759">
        <v>111</v>
      </c>
      <c r="E759" t="s">
        <v>961</v>
      </c>
      <c r="F759" s="35" t="s">
        <v>981</v>
      </c>
      <c r="G759" s="28" t="s">
        <v>1621</v>
      </c>
      <c r="H759" s="28" t="s">
        <v>1591</v>
      </c>
      <c r="I759" s="28" t="s">
        <v>5038</v>
      </c>
      <c r="J759" s="28" t="s">
        <v>5039</v>
      </c>
      <c r="K759" s="28" t="s">
        <v>5390</v>
      </c>
      <c r="L759" s="28" t="s">
        <v>5391</v>
      </c>
      <c r="M759" s="28" t="s">
        <v>5392</v>
      </c>
      <c r="N759" s="28" t="s">
        <v>5393</v>
      </c>
    </row>
    <row r="760" spans="1:14">
      <c r="A760" t="s">
        <v>965</v>
      </c>
      <c r="B760" t="s">
        <v>64</v>
      </c>
      <c r="C760">
        <v>2032</v>
      </c>
      <c r="D760">
        <v>314</v>
      </c>
      <c r="E760" t="s">
        <v>961</v>
      </c>
      <c r="F760" s="35" t="s">
        <v>981</v>
      </c>
      <c r="G760" s="28" t="s">
        <v>1590</v>
      </c>
      <c r="H760" s="28" t="s">
        <v>1591</v>
      </c>
      <c r="I760" s="28" t="s">
        <v>5042</v>
      </c>
      <c r="J760" s="28" t="s">
        <v>5039</v>
      </c>
      <c r="K760" s="28" t="s">
        <v>5394</v>
      </c>
      <c r="L760" s="28" t="s">
        <v>5391</v>
      </c>
      <c r="M760" s="28" t="s">
        <v>5395</v>
      </c>
      <c r="N760" s="28" t="s">
        <v>5393</v>
      </c>
    </row>
    <row r="761" spans="1:14">
      <c r="A761" t="s">
        <v>965</v>
      </c>
      <c r="B761" t="s">
        <v>64</v>
      </c>
      <c r="C761">
        <v>2033</v>
      </c>
      <c r="D761">
        <v>1881</v>
      </c>
      <c r="E761" t="s">
        <v>961</v>
      </c>
      <c r="F761" s="35" t="s">
        <v>981</v>
      </c>
      <c r="G761" s="28" t="s">
        <v>1622</v>
      </c>
      <c r="H761" s="28" t="s">
        <v>1591</v>
      </c>
      <c r="I761" s="28" t="s">
        <v>5045</v>
      </c>
      <c r="J761" s="28" t="s">
        <v>5039</v>
      </c>
      <c r="K761" s="28" t="s">
        <v>5396</v>
      </c>
      <c r="L761" s="28" t="s">
        <v>5391</v>
      </c>
      <c r="M761" s="28" t="s">
        <v>5397</v>
      </c>
      <c r="N761" s="28" t="s">
        <v>5393</v>
      </c>
    </row>
    <row r="762" spans="1:14">
      <c r="A762" t="s">
        <v>965</v>
      </c>
      <c r="B762" t="s">
        <v>64</v>
      </c>
      <c r="C762">
        <v>2034</v>
      </c>
      <c r="D762">
        <v>1025</v>
      </c>
      <c r="E762" t="s">
        <v>961</v>
      </c>
      <c r="F762" s="35" t="s">
        <v>981</v>
      </c>
      <c r="G762" s="28" t="s">
        <v>1610</v>
      </c>
      <c r="H762" s="28" t="s">
        <v>1591</v>
      </c>
      <c r="I762" s="28" t="s">
        <v>5047</v>
      </c>
      <c r="J762" s="28" t="s">
        <v>5039</v>
      </c>
      <c r="K762" s="28" t="s">
        <v>5398</v>
      </c>
      <c r="L762" s="28" t="s">
        <v>5391</v>
      </c>
      <c r="M762" s="28" t="s">
        <v>5399</v>
      </c>
      <c r="N762" s="28" t="s">
        <v>5393</v>
      </c>
    </row>
    <row r="763" spans="1:14">
      <c r="A763" t="s">
        <v>965</v>
      </c>
      <c r="B763" t="s">
        <v>64</v>
      </c>
      <c r="C763">
        <v>2035</v>
      </c>
      <c r="D763">
        <v>953</v>
      </c>
      <c r="E763" t="s">
        <v>961</v>
      </c>
      <c r="F763" s="35" t="s">
        <v>981</v>
      </c>
      <c r="G763" s="28" t="s">
        <v>1592</v>
      </c>
      <c r="H763" s="28" t="s">
        <v>1591</v>
      </c>
      <c r="I763" s="28" t="s">
        <v>5049</v>
      </c>
      <c r="J763" s="28" t="s">
        <v>5039</v>
      </c>
      <c r="K763" s="28" t="s">
        <v>5400</v>
      </c>
      <c r="L763" s="28" t="s">
        <v>5391</v>
      </c>
      <c r="M763" s="28" t="s">
        <v>5401</v>
      </c>
      <c r="N763" s="28" t="s">
        <v>5393</v>
      </c>
    </row>
    <row r="764" spans="1:14">
      <c r="A764" t="s">
        <v>965</v>
      </c>
      <c r="B764" t="s">
        <v>64</v>
      </c>
      <c r="C764">
        <v>2036</v>
      </c>
      <c r="D764">
        <v>19</v>
      </c>
      <c r="E764" t="s">
        <v>961</v>
      </c>
      <c r="F764" s="35" t="s">
        <v>982</v>
      </c>
      <c r="G764" s="28" t="s">
        <v>1593</v>
      </c>
      <c r="H764" s="28" t="s">
        <v>1594</v>
      </c>
      <c r="I764" s="28" t="s">
        <v>5051</v>
      </c>
      <c r="J764" s="28" t="s">
        <v>5052</v>
      </c>
      <c r="K764" s="28" t="s">
        <v>5402</v>
      </c>
      <c r="L764" s="28" t="s">
        <v>5403</v>
      </c>
      <c r="M764" s="28" t="s">
        <v>5404</v>
      </c>
      <c r="N764" s="28" t="s">
        <v>5405</v>
      </c>
    </row>
    <row r="765" spans="1:14">
      <c r="A765" t="s">
        <v>965</v>
      </c>
      <c r="B765" t="s">
        <v>64</v>
      </c>
      <c r="C765">
        <v>2037</v>
      </c>
      <c r="D765">
        <v>127</v>
      </c>
      <c r="E765" t="s">
        <v>961</v>
      </c>
      <c r="F765" s="35" t="s">
        <v>982</v>
      </c>
      <c r="G765" s="28" t="s">
        <v>1611</v>
      </c>
      <c r="H765" s="28" t="s">
        <v>1594</v>
      </c>
      <c r="I765" s="28" t="s">
        <v>5055</v>
      </c>
      <c r="J765" s="28" t="s">
        <v>5052</v>
      </c>
      <c r="K765" s="28" t="s">
        <v>5406</v>
      </c>
      <c r="L765" s="28" t="s">
        <v>5403</v>
      </c>
      <c r="M765" s="28" t="s">
        <v>5407</v>
      </c>
      <c r="N765" s="28" t="s">
        <v>5405</v>
      </c>
    </row>
    <row r="766" spans="1:14">
      <c r="A766" t="s">
        <v>965</v>
      </c>
      <c r="B766" t="s">
        <v>64</v>
      </c>
      <c r="C766">
        <v>2039</v>
      </c>
      <c r="D766">
        <v>371</v>
      </c>
      <c r="E766" t="s">
        <v>961</v>
      </c>
      <c r="F766" s="35" t="s">
        <v>982</v>
      </c>
      <c r="G766" s="28" t="s">
        <v>1613</v>
      </c>
      <c r="H766" s="28" t="s">
        <v>1594</v>
      </c>
      <c r="I766" s="28" t="s">
        <v>5059</v>
      </c>
      <c r="J766" s="28" t="s">
        <v>5052</v>
      </c>
      <c r="K766" s="28" t="s">
        <v>5408</v>
      </c>
      <c r="L766" s="28" t="s">
        <v>5403</v>
      </c>
      <c r="M766" s="28" t="s">
        <v>5409</v>
      </c>
      <c r="N766" s="28" t="s">
        <v>5405</v>
      </c>
    </row>
    <row r="767" spans="1:14">
      <c r="A767" t="s">
        <v>965</v>
      </c>
      <c r="B767" t="s">
        <v>64</v>
      </c>
      <c r="C767">
        <v>2040</v>
      </c>
      <c r="D767">
        <v>328</v>
      </c>
      <c r="E767" t="s">
        <v>961</v>
      </c>
      <c r="F767" s="35" t="s">
        <v>983</v>
      </c>
      <c r="G767" s="28" t="s">
        <v>1614</v>
      </c>
      <c r="H767" s="28" t="s">
        <v>1596</v>
      </c>
      <c r="I767" s="28" t="s">
        <v>5061</v>
      </c>
      <c r="J767" s="28" t="s">
        <v>5062</v>
      </c>
      <c r="K767" s="28" t="s">
        <v>5410</v>
      </c>
      <c r="L767" s="28" t="s">
        <v>5411</v>
      </c>
      <c r="M767" s="28" t="s">
        <v>5412</v>
      </c>
      <c r="N767" s="28" t="s">
        <v>5413</v>
      </c>
    </row>
    <row r="768" spans="1:14">
      <c r="A768" t="s">
        <v>965</v>
      </c>
      <c r="B768" t="s">
        <v>64</v>
      </c>
      <c r="C768">
        <v>2041</v>
      </c>
      <c r="D768">
        <v>312</v>
      </c>
      <c r="E768" t="s">
        <v>961</v>
      </c>
      <c r="F768" s="35" t="s">
        <v>983</v>
      </c>
      <c r="G768" s="28" t="s">
        <v>1595</v>
      </c>
      <c r="H768" s="28" t="s">
        <v>1596</v>
      </c>
      <c r="I768" s="28" t="s">
        <v>5065</v>
      </c>
      <c r="J768" s="28" t="s">
        <v>5062</v>
      </c>
      <c r="K768" s="28" t="s">
        <v>5414</v>
      </c>
      <c r="L768" s="28" t="s">
        <v>5411</v>
      </c>
      <c r="M768" s="28" t="s">
        <v>5415</v>
      </c>
      <c r="N768" s="28" t="s">
        <v>5413</v>
      </c>
    </row>
    <row r="769" spans="1:14">
      <c r="A769" t="s">
        <v>965</v>
      </c>
      <c r="B769" t="s">
        <v>64</v>
      </c>
      <c r="C769">
        <v>2042</v>
      </c>
      <c r="D769">
        <v>366</v>
      </c>
      <c r="E769" t="s">
        <v>961</v>
      </c>
      <c r="F769" s="35" t="s">
        <v>983</v>
      </c>
      <c r="G769" s="28" t="s">
        <v>1597</v>
      </c>
      <c r="H769" s="28" t="s">
        <v>1596</v>
      </c>
      <c r="I769" s="28" t="s">
        <v>5067</v>
      </c>
      <c r="J769" s="28" t="s">
        <v>5062</v>
      </c>
      <c r="K769" s="28" t="s">
        <v>5416</v>
      </c>
      <c r="L769" s="28" t="s">
        <v>5411</v>
      </c>
      <c r="M769" s="28" t="s">
        <v>5417</v>
      </c>
      <c r="N769" s="28" t="s">
        <v>5413</v>
      </c>
    </row>
    <row r="770" spans="1:14">
      <c r="A770" t="s">
        <v>965</v>
      </c>
      <c r="B770" t="s">
        <v>64</v>
      </c>
      <c r="C770">
        <v>2043</v>
      </c>
      <c r="D770">
        <v>506</v>
      </c>
      <c r="E770" t="s">
        <v>961</v>
      </c>
      <c r="F770" s="35" t="s">
        <v>983</v>
      </c>
      <c r="G770" s="28" t="s">
        <v>1615</v>
      </c>
      <c r="H770" s="28" t="s">
        <v>1596</v>
      </c>
      <c r="I770" s="28" t="s">
        <v>5069</v>
      </c>
      <c r="J770" s="28" t="s">
        <v>5062</v>
      </c>
      <c r="K770" s="28" t="s">
        <v>5418</v>
      </c>
      <c r="L770" s="28" t="s">
        <v>5411</v>
      </c>
      <c r="M770" s="28" t="s">
        <v>5419</v>
      </c>
      <c r="N770" s="28" t="s">
        <v>5413</v>
      </c>
    </row>
    <row r="771" spans="1:14">
      <c r="A771" t="s">
        <v>965</v>
      </c>
      <c r="B771" t="s">
        <v>64</v>
      </c>
      <c r="C771">
        <v>2049</v>
      </c>
      <c r="D771">
        <v>485</v>
      </c>
      <c r="E771" t="s">
        <v>961</v>
      </c>
      <c r="F771" s="35" t="s">
        <v>985</v>
      </c>
      <c r="G771" s="28" t="s">
        <v>1602</v>
      </c>
      <c r="H771" s="28" t="s">
        <v>1603</v>
      </c>
      <c r="I771" s="28" t="s">
        <v>5080</v>
      </c>
      <c r="J771" s="28" t="s">
        <v>5081</v>
      </c>
      <c r="K771" s="28" t="s">
        <v>5420</v>
      </c>
      <c r="L771" s="28" t="s">
        <v>5421</v>
      </c>
      <c r="M771" s="28" t="s">
        <v>5422</v>
      </c>
      <c r="N771" s="28" t="s">
        <v>5423</v>
      </c>
    </row>
    <row r="772" spans="1:14">
      <c r="A772" t="s">
        <v>965</v>
      </c>
      <c r="B772" t="s">
        <v>64</v>
      </c>
      <c r="C772">
        <v>2050</v>
      </c>
      <c r="D772">
        <v>442</v>
      </c>
      <c r="E772" t="s">
        <v>961</v>
      </c>
      <c r="F772" s="35" t="s">
        <v>985</v>
      </c>
      <c r="G772" s="28" t="s">
        <v>1616</v>
      </c>
      <c r="H772" s="28" t="s">
        <v>1603</v>
      </c>
      <c r="I772" s="28" t="s">
        <v>5194</v>
      </c>
      <c r="J772" s="28" t="s">
        <v>5081</v>
      </c>
      <c r="K772" s="28" t="s">
        <v>5424</v>
      </c>
      <c r="L772" s="28" t="s">
        <v>5421</v>
      </c>
      <c r="M772" s="28" t="s">
        <v>5425</v>
      </c>
      <c r="N772" s="28" t="s">
        <v>5423</v>
      </c>
    </row>
    <row r="773" spans="1:14">
      <c r="A773" t="s">
        <v>965</v>
      </c>
      <c r="B773" t="s">
        <v>64</v>
      </c>
      <c r="C773">
        <v>2051</v>
      </c>
      <c r="D773">
        <v>815</v>
      </c>
      <c r="E773" t="s">
        <v>961</v>
      </c>
      <c r="F773" s="35" t="s">
        <v>985</v>
      </c>
      <c r="G773" s="28" t="s">
        <v>1604</v>
      </c>
      <c r="H773" s="28" t="s">
        <v>1603</v>
      </c>
      <c r="I773" s="28" t="s">
        <v>5084</v>
      </c>
      <c r="J773" s="28" t="s">
        <v>5081</v>
      </c>
      <c r="K773" s="28" t="s">
        <v>5426</v>
      </c>
      <c r="L773" s="28" t="s">
        <v>5421</v>
      </c>
      <c r="M773" s="28" t="s">
        <v>5427</v>
      </c>
      <c r="N773" s="28" t="s">
        <v>5423</v>
      </c>
    </row>
    <row r="774" spans="1:14">
      <c r="A774" t="s">
        <v>965</v>
      </c>
      <c r="B774" t="s">
        <v>64</v>
      </c>
      <c r="C774">
        <v>2052</v>
      </c>
      <c r="D774">
        <v>620</v>
      </c>
      <c r="E774" t="s">
        <v>961</v>
      </c>
      <c r="F774" s="35" t="s">
        <v>985</v>
      </c>
      <c r="G774" s="28" t="s">
        <v>1605</v>
      </c>
      <c r="H774" s="28" t="s">
        <v>1603</v>
      </c>
      <c r="I774" s="28" t="s">
        <v>5086</v>
      </c>
      <c r="J774" s="28" t="s">
        <v>5081</v>
      </c>
      <c r="K774" s="28" t="s">
        <v>5428</v>
      </c>
      <c r="L774" s="28" t="s">
        <v>5421</v>
      </c>
      <c r="M774" s="28" t="s">
        <v>5429</v>
      </c>
      <c r="N774" s="28" t="s">
        <v>5423</v>
      </c>
    </row>
    <row r="775" spans="1:14">
      <c r="A775" t="s">
        <v>965</v>
      </c>
      <c r="B775" t="s">
        <v>64</v>
      </c>
      <c r="C775">
        <v>2053</v>
      </c>
      <c r="D775">
        <v>399</v>
      </c>
      <c r="E775" t="s">
        <v>961</v>
      </c>
      <c r="F775" s="35" t="s">
        <v>976</v>
      </c>
      <c r="G775" s="28" t="s">
        <v>1631</v>
      </c>
      <c r="H775" s="28" t="s">
        <v>1544</v>
      </c>
      <c r="I775" s="28" t="s">
        <v>5088</v>
      </c>
      <c r="J775" s="28" t="s">
        <v>5089</v>
      </c>
      <c r="K775" s="28" t="s">
        <v>5430</v>
      </c>
      <c r="L775" s="28" t="s">
        <v>5431</v>
      </c>
      <c r="M775" s="28" t="s">
        <v>5432</v>
      </c>
      <c r="N775" s="28" t="s">
        <v>4355</v>
      </c>
    </row>
    <row r="776" spans="1:14">
      <c r="A776" t="s">
        <v>965</v>
      </c>
      <c r="B776" t="s">
        <v>64</v>
      </c>
      <c r="C776">
        <v>2101</v>
      </c>
      <c r="D776">
        <v>224</v>
      </c>
      <c r="E776" t="s">
        <v>961</v>
      </c>
      <c r="F776" s="35" t="s">
        <v>976</v>
      </c>
      <c r="G776" s="28" t="s">
        <v>1561</v>
      </c>
      <c r="H776" s="28" t="s">
        <v>1544</v>
      </c>
      <c r="I776" s="28" t="s">
        <v>5093</v>
      </c>
      <c r="J776" s="28" t="s">
        <v>5089</v>
      </c>
      <c r="K776" s="28" t="s">
        <v>5433</v>
      </c>
      <c r="L776" s="28" t="s">
        <v>5431</v>
      </c>
      <c r="M776" s="28" t="s">
        <v>4354</v>
      </c>
      <c r="N776" s="28" t="s">
        <v>4355</v>
      </c>
    </row>
    <row r="777" spans="1:14">
      <c r="A777" t="s">
        <v>965</v>
      </c>
      <c r="B777" t="s">
        <v>64</v>
      </c>
      <c r="C777">
        <v>2102</v>
      </c>
      <c r="D777">
        <v>1056</v>
      </c>
      <c r="E777" t="s">
        <v>961</v>
      </c>
      <c r="F777" s="35" t="s">
        <v>976</v>
      </c>
      <c r="G777" s="28" t="s">
        <v>1543</v>
      </c>
      <c r="H777" s="28" t="s">
        <v>1544</v>
      </c>
      <c r="I777" s="28" t="s">
        <v>5095</v>
      </c>
      <c r="J777" s="28" t="s">
        <v>5089</v>
      </c>
      <c r="K777" s="28" t="s">
        <v>5434</v>
      </c>
      <c r="L777" s="28" t="s">
        <v>5431</v>
      </c>
      <c r="M777" s="28" t="s">
        <v>4357</v>
      </c>
      <c r="N777" s="28" t="s">
        <v>4355</v>
      </c>
    </row>
    <row r="778" spans="1:14">
      <c r="A778" t="s">
        <v>965</v>
      </c>
      <c r="B778" t="s">
        <v>64</v>
      </c>
      <c r="C778">
        <v>2104</v>
      </c>
      <c r="D778">
        <v>513</v>
      </c>
      <c r="E778" t="s">
        <v>961</v>
      </c>
      <c r="F778" s="35" t="s">
        <v>976</v>
      </c>
      <c r="G778" s="28" t="s">
        <v>1546</v>
      </c>
      <c r="H778" s="28" t="s">
        <v>1544</v>
      </c>
      <c r="I778" s="28" t="s">
        <v>5099</v>
      </c>
      <c r="J778" s="28" t="s">
        <v>5089</v>
      </c>
      <c r="K778" s="28" t="s">
        <v>5435</v>
      </c>
      <c r="L778" s="28" t="s">
        <v>5431</v>
      </c>
      <c r="M778" s="28" t="s">
        <v>5436</v>
      </c>
      <c r="N778" s="28" t="s">
        <v>4355</v>
      </c>
    </row>
    <row r="779" spans="1:14">
      <c r="A779" t="s">
        <v>965</v>
      </c>
      <c r="B779" t="s">
        <v>64</v>
      </c>
      <c r="C779">
        <v>2106</v>
      </c>
      <c r="D779">
        <v>876</v>
      </c>
      <c r="E779" t="s">
        <v>961</v>
      </c>
      <c r="F779" s="35" t="s">
        <v>975</v>
      </c>
      <c r="G779" s="28" t="s">
        <v>1549</v>
      </c>
      <c r="H779" s="28" t="s">
        <v>1548</v>
      </c>
      <c r="I779" s="28" t="s">
        <v>5105</v>
      </c>
      <c r="J779" s="28" t="s">
        <v>5102</v>
      </c>
      <c r="K779" s="28" t="s">
        <v>5437</v>
      </c>
      <c r="L779" s="28" t="s">
        <v>5438</v>
      </c>
      <c r="M779" s="28" t="s">
        <v>4365</v>
      </c>
      <c r="N779" s="28" t="s">
        <v>4363</v>
      </c>
    </row>
    <row r="780" spans="1:14">
      <c r="A780" t="s">
        <v>965</v>
      </c>
      <c r="B780" t="s">
        <v>64</v>
      </c>
      <c r="C780">
        <v>2107</v>
      </c>
      <c r="D780">
        <v>929</v>
      </c>
      <c r="E780" t="s">
        <v>961</v>
      </c>
      <c r="F780" s="35" t="s">
        <v>975</v>
      </c>
      <c r="G780" s="28" t="s">
        <v>1550</v>
      </c>
      <c r="H780" s="28" t="s">
        <v>1548</v>
      </c>
      <c r="I780" s="28" t="s">
        <v>5107</v>
      </c>
      <c r="J780" s="28" t="s">
        <v>5102</v>
      </c>
      <c r="K780" s="28" t="s">
        <v>5439</v>
      </c>
      <c r="L780" s="28" t="s">
        <v>5438</v>
      </c>
      <c r="M780" s="28" t="s">
        <v>4367</v>
      </c>
      <c r="N780" s="28" t="s">
        <v>4363</v>
      </c>
    </row>
    <row r="781" spans="1:14">
      <c r="A781" t="s">
        <v>965</v>
      </c>
      <c r="B781" t="s">
        <v>64</v>
      </c>
      <c r="C781">
        <v>2108</v>
      </c>
      <c r="D781">
        <v>418</v>
      </c>
      <c r="E781" t="s">
        <v>961</v>
      </c>
      <c r="F781" s="35" t="s">
        <v>975</v>
      </c>
      <c r="G781" s="28" t="s">
        <v>1551</v>
      </c>
      <c r="H781" s="28" t="s">
        <v>1548</v>
      </c>
      <c r="I781" s="28" t="s">
        <v>5109</v>
      </c>
      <c r="J781" s="28" t="s">
        <v>5102</v>
      </c>
      <c r="K781" s="28" t="s">
        <v>5440</v>
      </c>
      <c r="L781" s="28" t="s">
        <v>5438</v>
      </c>
      <c r="M781" s="28" t="s">
        <v>4369</v>
      </c>
      <c r="N781" s="28" t="s">
        <v>4363</v>
      </c>
    </row>
    <row r="782" spans="1:14">
      <c r="A782" t="s">
        <v>965</v>
      </c>
      <c r="B782" t="s">
        <v>64</v>
      </c>
      <c r="C782">
        <v>2109</v>
      </c>
      <c r="D782">
        <v>97</v>
      </c>
      <c r="E782" t="s">
        <v>961</v>
      </c>
      <c r="F782" s="35" t="s">
        <v>969</v>
      </c>
      <c r="G782" s="28" t="s">
        <v>1552</v>
      </c>
      <c r="H782" s="28" t="s">
        <v>1553</v>
      </c>
      <c r="I782" s="28" t="s">
        <v>5111</v>
      </c>
      <c r="J782" s="28" t="s">
        <v>5112</v>
      </c>
      <c r="K782" s="28" t="s">
        <v>5441</v>
      </c>
      <c r="L782" s="28" t="s">
        <v>5442</v>
      </c>
      <c r="M782" s="28" t="s">
        <v>4372</v>
      </c>
      <c r="N782" s="28" t="s">
        <v>4373</v>
      </c>
    </row>
    <row r="783" spans="1:14">
      <c r="A783" t="s">
        <v>965</v>
      </c>
      <c r="B783" t="s">
        <v>64</v>
      </c>
      <c r="C783">
        <v>2110</v>
      </c>
      <c r="D783">
        <v>576</v>
      </c>
      <c r="E783" t="s">
        <v>961</v>
      </c>
      <c r="F783" s="35" t="s">
        <v>969</v>
      </c>
      <c r="G783" s="28" t="s">
        <v>1554</v>
      </c>
      <c r="H783" s="28" t="s">
        <v>1553</v>
      </c>
      <c r="I783" s="28" t="s">
        <v>5115</v>
      </c>
      <c r="J783" s="28" t="s">
        <v>5112</v>
      </c>
      <c r="K783" s="28" t="s">
        <v>5443</v>
      </c>
      <c r="L783" s="28" t="s">
        <v>5442</v>
      </c>
      <c r="M783" s="28" t="s">
        <v>4375</v>
      </c>
      <c r="N783" s="28" t="s">
        <v>4373</v>
      </c>
    </row>
    <row r="784" spans="1:14">
      <c r="A784" t="s">
        <v>965</v>
      </c>
      <c r="B784" t="s">
        <v>64</v>
      </c>
      <c r="C784">
        <v>2111</v>
      </c>
      <c r="D784">
        <v>724</v>
      </c>
      <c r="E784" t="s">
        <v>961</v>
      </c>
      <c r="F784" s="35" t="s">
        <v>969</v>
      </c>
      <c r="G784" s="28" t="s">
        <v>1555</v>
      </c>
      <c r="H784" s="28" t="s">
        <v>1553</v>
      </c>
      <c r="I784" s="28" t="s">
        <v>5117</v>
      </c>
      <c r="J784" s="28" t="s">
        <v>5112</v>
      </c>
      <c r="K784" s="28" t="s">
        <v>5444</v>
      </c>
      <c r="L784" s="28" t="s">
        <v>5442</v>
      </c>
      <c r="M784" s="28" t="s">
        <v>4377</v>
      </c>
      <c r="N784" s="28" t="s">
        <v>4373</v>
      </c>
    </row>
    <row r="785" spans="1:14">
      <c r="A785" t="s">
        <v>965</v>
      </c>
      <c r="B785" t="s">
        <v>64</v>
      </c>
      <c r="C785">
        <v>2112</v>
      </c>
      <c r="D785">
        <v>160</v>
      </c>
      <c r="E785" t="s">
        <v>961</v>
      </c>
      <c r="F785" s="35" t="s">
        <v>969</v>
      </c>
      <c r="G785" s="28" t="s">
        <v>1556</v>
      </c>
      <c r="H785" s="28" t="s">
        <v>1553</v>
      </c>
      <c r="I785" s="28" t="s">
        <v>5214</v>
      </c>
      <c r="J785" s="28" t="s">
        <v>5112</v>
      </c>
      <c r="K785" s="28" t="s">
        <v>5445</v>
      </c>
      <c r="L785" s="28" t="s">
        <v>5442</v>
      </c>
      <c r="M785" s="28" t="s">
        <v>4379</v>
      </c>
      <c r="N785" s="28" t="s">
        <v>4373</v>
      </c>
    </row>
    <row r="786" spans="1:14">
      <c r="A786" t="s">
        <v>965</v>
      </c>
      <c r="B786" t="s">
        <v>64</v>
      </c>
      <c r="C786">
        <v>2113</v>
      </c>
      <c r="D786">
        <v>118</v>
      </c>
      <c r="E786" t="s">
        <v>961</v>
      </c>
      <c r="F786" s="35" t="s">
        <v>969</v>
      </c>
      <c r="G786" s="28" t="s">
        <v>1557</v>
      </c>
      <c r="H786" s="28" t="s">
        <v>1553</v>
      </c>
      <c r="I786" s="28" t="s">
        <v>5119</v>
      </c>
      <c r="J786" s="28" t="s">
        <v>5112</v>
      </c>
      <c r="K786" s="28" t="s">
        <v>5446</v>
      </c>
      <c r="L786" s="28" t="s">
        <v>5442</v>
      </c>
      <c r="M786" s="28" t="s">
        <v>4381</v>
      </c>
      <c r="N786" s="28" t="s">
        <v>4373</v>
      </c>
    </row>
    <row r="787" spans="1:14">
      <c r="A787" t="s">
        <v>965</v>
      </c>
      <c r="B787" t="s">
        <v>64</v>
      </c>
      <c r="C787">
        <v>2114</v>
      </c>
      <c r="D787">
        <v>102</v>
      </c>
      <c r="E787" t="s">
        <v>961</v>
      </c>
      <c r="F787" s="35" t="s">
        <v>970</v>
      </c>
      <c r="G787" s="28" t="s">
        <v>1558</v>
      </c>
      <c r="H787" s="28" t="s">
        <v>1529</v>
      </c>
      <c r="I787" s="28" t="s">
        <v>5122</v>
      </c>
      <c r="J787" s="28" t="s">
        <v>5123</v>
      </c>
      <c r="K787" s="28" t="s">
        <v>5447</v>
      </c>
      <c r="L787" s="28" t="s">
        <v>5448</v>
      </c>
      <c r="M787" s="28" t="s">
        <v>4384</v>
      </c>
      <c r="N787" s="28" t="s">
        <v>4385</v>
      </c>
    </row>
    <row r="788" spans="1:14">
      <c r="A788" t="s">
        <v>965</v>
      </c>
      <c r="B788" t="s">
        <v>64</v>
      </c>
      <c r="C788">
        <v>2115</v>
      </c>
      <c r="D788">
        <v>696</v>
      </c>
      <c r="E788" t="s">
        <v>961</v>
      </c>
      <c r="F788" s="35" t="s">
        <v>970</v>
      </c>
      <c r="G788" s="28" t="s">
        <v>1559</v>
      </c>
      <c r="H788" s="28" t="s">
        <v>1529</v>
      </c>
      <c r="I788" s="28" t="s">
        <v>5220</v>
      </c>
      <c r="J788" s="28" t="s">
        <v>5123</v>
      </c>
      <c r="K788" s="28" t="s">
        <v>5449</v>
      </c>
      <c r="L788" s="28" t="s">
        <v>5448</v>
      </c>
      <c r="M788" s="28" t="s">
        <v>4387</v>
      </c>
      <c r="N788" s="28" t="s">
        <v>4385</v>
      </c>
    </row>
    <row r="789" spans="1:14">
      <c r="A789" t="s">
        <v>965</v>
      </c>
      <c r="B789" t="s">
        <v>64</v>
      </c>
      <c r="C789">
        <v>2116</v>
      </c>
      <c r="D789">
        <v>314</v>
      </c>
      <c r="E789" t="s">
        <v>961</v>
      </c>
      <c r="F789" s="35" t="s">
        <v>970</v>
      </c>
      <c r="G789" s="28" t="s">
        <v>1528</v>
      </c>
      <c r="H789" s="28" t="s">
        <v>1529</v>
      </c>
      <c r="I789" s="28" t="s">
        <v>5222</v>
      </c>
      <c r="J789" s="28" t="s">
        <v>5123</v>
      </c>
      <c r="K789" s="28" t="s">
        <v>5450</v>
      </c>
      <c r="L789" s="28" t="s">
        <v>5448</v>
      </c>
      <c r="M789" s="28" t="s">
        <v>4389</v>
      </c>
      <c r="N789" s="28" t="s">
        <v>4385</v>
      </c>
    </row>
    <row r="790" spans="1:14">
      <c r="A790" t="s">
        <v>965</v>
      </c>
      <c r="B790" t="s">
        <v>64</v>
      </c>
      <c r="C790">
        <v>2118</v>
      </c>
      <c r="D790">
        <v>267</v>
      </c>
      <c r="E790" t="s">
        <v>961</v>
      </c>
      <c r="F790" s="35" t="s">
        <v>971</v>
      </c>
      <c r="G790" s="28" t="s">
        <v>1530</v>
      </c>
      <c r="H790" s="28" t="s">
        <v>1531</v>
      </c>
      <c r="I790" s="28" t="s">
        <v>5225</v>
      </c>
      <c r="J790" s="28" t="s">
        <v>5130</v>
      </c>
      <c r="K790" s="28" t="s">
        <v>5451</v>
      </c>
      <c r="L790" s="28" t="s">
        <v>5452</v>
      </c>
      <c r="M790" s="28" t="s">
        <v>4394</v>
      </c>
      <c r="N790" s="28" t="s">
        <v>4395</v>
      </c>
    </row>
    <row r="791" spans="1:14">
      <c r="A791" t="s">
        <v>965</v>
      </c>
      <c r="B791" t="s">
        <v>64</v>
      </c>
      <c r="C791">
        <v>2121</v>
      </c>
      <c r="D791">
        <v>167</v>
      </c>
      <c r="E791" t="s">
        <v>961</v>
      </c>
      <c r="F791" s="35" t="s">
        <v>971</v>
      </c>
      <c r="G791" s="28" t="s">
        <v>1533</v>
      </c>
      <c r="H791" s="28" t="s">
        <v>1531</v>
      </c>
      <c r="I791" s="28" t="s">
        <v>5229</v>
      </c>
      <c r="J791" s="28" t="s">
        <v>5130</v>
      </c>
      <c r="K791" s="28" t="s">
        <v>5453</v>
      </c>
      <c r="L791" s="28" t="s">
        <v>5452</v>
      </c>
      <c r="M791" s="28" t="s">
        <v>4401</v>
      </c>
      <c r="N791" s="28" t="s">
        <v>4395</v>
      </c>
    </row>
    <row r="792" spans="1:14">
      <c r="A792" t="s">
        <v>965</v>
      </c>
      <c r="B792" t="s">
        <v>64</v>
      </c>
      <c r="C792">
        <v>2122</v>
      </c>
      <c r="D792">
        <v>295</v>
      </c>
      <c r="E792" t="s">
        <v>961</v>
      </c>
      <c r="F792" s="35" t="s">
        <v>971</v>
      </c>
      <c r="G792" s="28" t="s">
        <v>1534</v>
      </c>
      <c r="H792" s="28" t="s">
        <v>1531</v>
      </c>
      <c r="I792" s="28" t="s">
        <v>5231</v>
      </c>
      <c r="J792" s="28" t="s">
        <v>5130</v>
      </c>
      <c r="K792" s="28" t="s">
        <v>5454</v>
      </c>
      <c r="L792" s="28" t="s">
        <v>5452</v>
      </c>
      <c r="M792" s="28" t="s">
        <v>4403</v>
      </c>
      <c r="N792" s="28" t="s">
        <v>4395</v>
      </c>
    </row>
    <row r="793" spans="1:14">
      <c r="A793" t="s">
        <v>965</v>
      </c>
      <c r="B793" t="s">
        <v>64</v>
      </c>
      <c r="C793">
        <v>2123</v>
      </c>
      <c r="D793">
        <v>209</v>
      </c>
      <c r="E793" t="s">
        <v>961</v>
      </c>
      <c r="F793" s="35" t="s">
        <v>972</v>
      </c>
      <c r="G793" s="28" t="s">
        <v>1535</v>
      </c>
      <c r="H793" s="28" t="s">
        <v>1536</v>
      </c>
      <c r="I793" s="28" t="s">
        <v>5234</v>
      </c>
      <c r="J793" s="28" t="s">
        <v>5235</v>
      </c>
      <c r="K793" s="28" t="s">
        <v>5455</v>
      </c>
      <c r="L793" s="28" t="s">
        <v>5456</v>
      </c>
      <c r="M793" s="28" t="s">
        <v>4406</v>
      </c>
      <c r="N793" s="28" t="s">
        <v>4407</v>
      </c>
    </row>
    <row r="794" spans="1:14">
      <c r="A794" t="s">
        <v>965</v>
      </c>
      <c r="B794" t="s">
        <v>64</v>
      </c>
      <c r="C794">
        <v>2125</v>
      </c>
      <c r="D794">
        <v>182</v>
      </c>
      <c r="E794" t="s">
        <v>961</v>
      </c>
      <c r="F794" s="35" t="s">
        <v>972</v>
      </c>
      <c r="G794" s="28" t="s">
        <v>1538</v>
      </c>
      <c r="H794" s="28" t="s">
        <v>1536</v>
      </c>
      <c r="I794" s="28" t="s">
        <v>5240</v>
      </c>
      <c r="J794" s="28" t="s">
        <v>5235</v>
      </c>
      <c r="K794" s="28" t="s">
        <v>5457</v>
      </c>
      <c r="L794" s="28" t="s">
        <v>5456</v>
      </c>
      <c r="M794" s="28" t="s">
        <v>4409</v>
      </c>
      <c r="N794" s="28" t="s">
        <v>4407</v>
      </c>
    </row>
    <row r="795" spans="1:14">
      <c r="A795" t="s">
        <v>965</v>
      </c>
      <c r="B795" t="s">
        <v>64</v>
      </c>
      <c r="C795">
        <v>2128</v>
      </c>
      <c r="D795">
        <v>52</v>
      </c>
      <c r="E795" t="s">
        <v>961</v>
      </c>
      <c r="F795" s="35" t="s">
        <v>973</v>
      </c>
      <c r="G795" s="28" t="s">
        <v>1540</v>
      </c>
      <c r="H795" s="28" t="s">
        <v>1541</v>
      </c>
      <c r="I795" s="28" t="s">
        <v>5458</v>
      </c>
      <c r="J795" s="28" t="s">
        <v>5135</v>
      </c>
      <c r="K795" s="28" t="s">
        <v>5459</v>
      </c>
      <c r="L795" s="28" t="s">
        <v>5460</v>
      </c>
      <c r="M795" s="28" t="s">
        <v>4417</v>
      </c>
      <c r="N795" s="28" t="s">
        <v>4415</v>
      </c>
    </row>
    <row r="796" spans="1:14">
      <c r="A796" t="s">
        <v>965</v>
      </c>
      <c r="B796" t="s">
        <v>64</v>
      </c>
      <c r="C796">
        <v>2129</v>
      </c>
      <c r="D796">
        <v>387</v>
      </c>
      <c r="E796" t="s">
        <v>961</v>
      </c>
      <c r="F796" s="35" t="s">
        <v>973</v>
      </c>
      <c r="G796" s="28" t="s">
        <v>1542</v>
      </c>
      <c r="H796" s="28" t="s">
        <v>1541</v>
      </c>
      <c r="I796" s="28" t="s">
        <v>5242</v>
      </c>
      <c r="J796" s="28" t="s">
        <v>5135</v>
      </c>
      <c r="K796" s="28" t="s">
        <v>5461</v>
      </c>
      <c r="L796" s="28" t="s">
        <v>5460</v>
      </c>
      <c r="M796" s="28" t="s">
        <v>4419</v>
      </c>
      <c r="N796" s="28" t="s">
        <v>4415</v>
      </c>
    </row>
    <row r="797" spans="1:14">
      <c r="A797" t="s">
        <v>965</v>
      </c>
      <c r="B797" t="s">
        <v>64</v>
      </c>
      <c r="C797">
        <v>2130</v>
      </c>
      <c r="D797">
        <v>188</v>
      </c>
      <c r="E797" t="s">
        <v>961</v>
      </c>
      <c r="F797" s="35" t="s">
        <v>973</v>
      </c>
      <c r="G797" s="28" t="s">
        <v>1626</v>
      </c>
      <c r="H797" s="28" t="s">
        <v>1541</v>
      </c>
      <c r="I797" s="28" t="s">
        <v>5134</v>
      </c>
      <c r="J797" s="28" t="s">
        <v>5135</v>
      </c>
      <c r="K797" s="28" t="s">
        <v>5462</v>
      </c>
      <c r="L797" s="28" t="s">
        <v>5460</v>
      </c>
      <c r="M797" s="28" t="s">
        <v>5463</v>
      </c>
      <c r="N797" s="28" t="s">
        <v>4415</v>
      </c>
    </row>
    <row r="798" spans="1:14">
      <c r="A798" t="s">
        <v>965</v>
      </c>
      <c r="B798" t="s">
        <v>64</v>
      </c>
      <c r="C798">
        <v>2132</v>
      </c>
      <c r="D798">
        <v>206</v>
      </c>
      <c r="E798" t="s">
        <v>961</v>
      </c>
      <c r="F798" s="35" t="s">
        <v>974</v>
      </c>
      <c r="G798" s="28" t="s">
        <v>1566</v>
      </c>
      <c r="H798" s="28" t="s">
        <v>1563</v>
      </c>
      <c r="I798" s="28" t="s">
        <v>5140</v>
      </c>
      <c r="J798" s="28" t="s">
        <v>5141</v>
      </c>
      <c r="K798" s="28" t="s">
        <v>5464</v>
      </c>
      <c r="L798" s="28" t="s">
        <v>5465</v>
      </c>
      <c r="M798" s="28" t="s">
        <v>4423</v>
      </c>
      <c r="N798" s="28" t="s">
        <v>4424</v>
      </c>
    </row>
    <row r="799" spans="1:14">
      <c r="A799" t="s">
        <v>965</v>
      </c>
      <c r="B799" t="s">
        <v>64</v>
      </c>
      <c r="C799">
        <v>2133</v>
      </c>
      <c r="D799">
        <v>64</v>
      </c>
      <c r="E799" t="s">
        <v>961</v>
      </c>
      <c r="F799" s="35" t="s">
        <v>974</v>
      </c>
      <c r="G799" s="28" t="s">
        <v>1562</v>
      </c>
      <c r="H799" s="28" t="s">
        <v>1563</v>
      </c>
      <c r="I799" s="28" t="s">
        <v>5145</v>
      </c>
      <c r="J799" s="28" t="s">
        <v>5141</v>
      </c>
      <c r="K799" s="28" t="s">
        <v>5466</v>
      </c>
      <c r="L799" s="28" t="s">
        <v>5465</v>
      </c>
      <c r="M799" s="28" t="s">
        <v>4426</v>
      </c>
      <c r="N799" s="28" t="s">
        <v>4424</v>
      </c>
    </row>
    <row r="800" spans="1:14">
      <c r="A800" t="s">
        <v>965</v>
      </c>
      <c r="B800" t="s">
        <v>63</v>
      </c>
      <c r="C800">
        <v>2030</v>
      </c>
      <c r="D800">
        <v>10</v>
      </c>
      <c r="E800" t="s">
        <v>961</v>
      </c>
      <c r="F800" s="35" t="s">
        <v>980</v>
      </c>
      <c r="G800" s="28" t="s">
        <v>1609</v>
      </c>
      <c r="H800" s="28" t="s">
        <v>1587</v>
      </c>
      <c r="I800" s="28" t="s">
        <v>5036</v>
      </c>
      <c r="J800" s="28" t="s">
        <v>5030</v>
      </c>
      <c r="K800" s="28" t="s">
        <v>5467</v>
      </c>
      <c r="L800" s="28" t="s">
        <v>5468</v>
      </c>
      <c r="M800" s="28" t="s">
        <v>5469</v>
      </c>
      <c r="N800" s="28" t="s">
        <v>5470</v>
      </c>
    </row>
    <row r="801" spans="1:14">
      <c r="A801" t="s">
        <v>965</v>
      </c>
      <c r="B801" t="s">
        <v>63</v>
      </c>
      <c r="C801">
        <v>2031</v>
      </c>
      <c r="D801">
        <v>215</v>
      </c>
      <c r="E801" t="s">
        <v>961</v>
      </c>
      <c r="F801" s="35" t="s">
        <v>981</v>
      </c>
      <c r="G801" s="28" t="s">
        <v>1621</v>
      </c>
      <c r="H801" s="28" t="s">
        <v>1591</v>
      </c>
      <c r="I801" s="28" t="s">
        <v>5038</v>
      </c>
      <c r="J801" s="28" t="s">
        <v>5039</v>
      </c>
      <c r="K801" s="28" t="s">
        <v>5471</v>
      </c>
      <c r="L801" s="28" t="s">
        <v>5472</v>
      </c>
      <c r="M801" s="28" t="s">
        <v>5473</v>
      </c>
      <c r="N801" s="28" t="s">
        <v>5474</v>
      </c>
    </row>
    <row r="802" spans="1:14">
      <c r="A802" t="s">
        <v>965</v>
      </c>
      <c r="B802" t="s">
        <v>63</v>
      </c>
      <c r="C802">
        <v>2032</v>
      </c>
      <c r="D802">
        <v>14</v>
      </c>
      <c r="E802" t="s">
        <v>961</v>
      </c>
      <c r="F802" s="35" t="s">
        <v>981</v>
      </c>
      <c r="G802" s="28" t="s">
        <v>1590</v>
      </c>
      <c r="H802" s="28" t="s">
        <v>1591</v>
      </c>
      <c r="I802" s="28" t="s">
        <v>5042</v>
      </c>
      <c r="J802" s="28" t="s">
        <v>5039</v>
      </c>
      <c r="K802" s="28" t="s">
        <v>5475</v>
      </c>
      <c r="L802" s="28" t="s">
        <v>5472</v>
      </c>
      <c r="M802" s="28" t="s">
        <v>5476</v>
      </c>
      <c r="N802" s="28" t="s">
        <v>5474</v>
      </c>
    </row>
    <row r="803" spans="1:14">
      <c r="A803" t="s">
        <v>965</v>
      </c>
      <c r="B803" t="s">
        <v>63</v>
      </c>
      <c r="C803">
        <v>2036</v>
      </c>
      <c r="D803">
        <v>6</v>
      </c>
      <c r="E803" t="s">
        <v>961</v>
      </c>
      <c r="F803" s="35" t="s">
        <v>982</v>
      </c>
      <c r="G803" s="28" t="s">
        <v>1593</v>
      </c>
      <c r="H803" s="28" t="s">
        <v>1594</v>
      </c>
      <c r="I803" s="28" t="s">
        <v>5051</v>
      </c>
      <c r="J803" s="28" t="s">
        <v>5052</v>
      </c>
      <c r="K803" s="28" t="s">
        <v>5477</v>
      </c>
      <c r="L803" s="28" t="s">
        <v>5478</v>
      </c>
      <c r="M803" s="28" t="s">
        <v>5479</v>
      </c>
      <c r="N803" s="28" t="s">
        <v>5480</v>
      </c>
    </row>
    <row r="804" spans="1:14">
      <c r="A804" t="s">
        <v>965</v>
      </c>
      <c r="B804" t="s">
        <v>63</v>
      </c>
      <c r="C804">
        <v>2037</v>
      </c>
      <c r="D804">
        <v>13</v>
      </c>
      <c r="E804" t="s">
        <v>961</v>
      </c>
      <c r="F804" s="35" t="s">
        <v>982</v>
      </c>
      <c r="G804" s="28" t="s">
        <v>1611</v>
      </c>
      <c r="H804" s="28" t="s">
        <v>1594</v>
      </c>
      <c r="I804" s="28" t="s">
        <v>5055</v>
      </c>
      <c r="J804" s="28" t="s">
        <v>5052</v>
      </c>
      <c r="K804" s="28" t="s">
        <v>5481</v>
      </c>
      <c r="L804" s="28" t="s">
        <v>5478</v>
      </c>
      <c r="M804" s="28" t="s">
        <v>5482</v>
      </c>
      <c r="N804" s="28" t="s">
        <v>5480</v>
      </c>
    </row>
    <row r="805" spans="1:14">
      <c r="A805" t="s">
        <v>965</v>
      </c>
      <c r="B805" t="s">
        <v>63</v>
      </c>
      <c r="C805">
        <v>2041</v>
      </c>
      <c r="D805">
        <v>32</v>
      </c>
      <c r="E805" t="s">
        <v>961</v>
      </c>
      <c r="F805" s="35" t="s">
        <v>983</v>
      </c>
      <c r="G805" s="28" t="s">
        <v>1595</v>
      </c>
      <c r="H805" s="28" t="s">
        <v>1596</v>
      </c>
      <c r="I805" s="28" t="s">
        <v>5065</v>
      </c>
      <c r="J805" s="28" t="s">
        <v>5062</v>
      </c>
      <c r="K805" s="28" t="s">
        <v>5483</v>
      </c>
      <c r="L805" s="28" t="s">
        <v>5484</v>
      </c>
      <c r="M805" s="28" t="s">
        <v>5485</v>
      </c>
      <c r="N805" s="28" t="s">
        <v>5486</v>
      </c>
    </row>
    <row r="806" spans="1:14">
      <c r="A806" t="s">
        <v>965</v>
      </c>
      <c r="B806" t="s">
        <v>63</v>
      </c>
      <c r="C806">
        <v>2049</v>
      </c>
      <c r="D806">
        <v>24</v>
      </c>
      <c r="E806" t="s">
        <v>961</v>
      </c>
      <c r="F806" s="35" t="s">
        <v>985</v>
      </c>
      <c r="G806" s="28" t="s">
        <v>1602</v>
      </c>
      <c r="H806" s="28" t="s">
        <v>1603</v>
      </c>
      <c r="I806" s="28" t="s">
        <v>5080</v>
      </c>
      <c r="J806" s="28" t="s">
        <v>5081</v>
      </c>
      <c r="K806" s="28" t="s">
        <v>5487</v>
      </c>
      <c r="L806" s="28" t="s">
        <v>5488</v>
      </c>
      <c r="M806" s="28" t="s">
        <v>5489</v>
      </c>
      <c r="N806" s="28" t="s">
        <v>5490</v>
      </c>
    </row>
    <row r="807" spans="1:14">
      <c r="A807" t="s">
        <v>965</v>
      </c>
      <c r="B807" t="s">
        <v>63</v>
      </c>
      <c r="C807">
        <v>2050</v>
      </c>
      <c r="D807">
        <v>59</v>
      </c>
      <c r="E807" t="s">
        <v>961</v>
      </c>
      <c r="F807" s="35" t="s">
        <v>985</v>
      </c>
      <c r="G807" s="28" t="s">
        <v>1616</v>
      </c>
      <c r="H807" s="28" t="s">
        <v>1603</v>
      </c>
      <c r="I807" s="28" t="s">
        <v>5194</v>
      </c>
      <c r="J807" s="28" t="s">
        <v>5081</v>
      </c>
      <c r="K807" s="28" t="s">
        <v>5491</v>
      </c>
      <c r="L807" s="28" t="s">
        <v>5488</v>
      </c>
      <c r="M807" s="28" t="s">
        <v>5492</v>
      </c>
      <c r="N807" s="28" t="s">
        <v>5490</v>
      </c>
    </row>
    <row r="808" spans="1:14">
      <c r="A808" t="s">
        <v>965</v>
      </c>
      <c r="B808" t="s">
        <v>63</v>
      </c>
      <c r="C808">
        <v>2102</v>
      </c>
      <c r="D808">
        <v>20</v>
      </c>
      <c r="E808" t="s">
        <v>961</v>
      </c>
      <c r="F808" s="35" t="s">
        <v>976</v>
      </c>
      <c r="G808" s="28" t="s">
        <v>1543</v>
      </c>
      <c r="H808" s="28" t="s">
        <v>1544</v>
      </c>
      <c r="I808" s="28" t="s">
        <v>5095</v>
      </c>
      <c r="J808" s="28" t="s">
        <v>5089</v>
      </c>
      <c r="K808" s="28" t="s">
        <v>5493</v>
      </c>
      <c r="L808" s="28" t="s">
        <v>5494</v>
      </c>
      <c r="M808" s="28" t="s">
        <v>4469</v>
      </c>
      <c r="N808" s="28" t="s">
        <v>4470</v>
      </c>
    </row>
    <row r="809" spans="1:14">
      <c r="A809" t="s">
        <v>965</v>
      </c>
      <c r="B809" t="s">
        <v>63</v>
      </c>
      <c r="C809">
        <v>2105</v>
      </c>
      <c r="D809">
        <v>24</v>
      </c>
      <c r="E809" t="s">
        <v>961</v>
      </c>
      <c r="F809" s="35" t="s">
        <v>975</v>
      </c>
      <c r="G809" s="28" t="s">
        <v>1547</v>
      </c>
      <c r="H809" s="28" t="s">
        <v>1548</v>
      </c>
      <c r="I809" s="28" t="s">
        <v>5101</v>
      </c>
      <c r="J809" s="28" t="s">
        <v>5102</v>
      </c>
      <c r="K809" s="28" t="s">
        <v>5495</v>
      </c>
      <c r="L809" s="28" t="s">
        <v>5496</v>
      </c>
      <c r="M809" s="28" t="s">
        <v>5497</v>
      </c>
      <c r="N809" s="28" t="s">
        <v>4476</v>
      </c>
    </row>
    <row r="810" spans="1:14">
      <c r="A810" t="s">
        <v>965</v>
      </c>
      <c r="B810" t="s">
        <v>63</v>
      </c>
      <c r="C810">
        <v>2122</v>
      </c>
      <c r="D810">
        <v>24</v>
      </c>
      <c r="E810" t="s">
        <v>961</v>
      </c>
      <c r="F810" s="35" t="s">
        <v>971</v>
      </c>
      <c r="G810" s="28" t="s">
        <v>1534</v>
      </c>
      <c r="H810" s="28" t="s">
        <v>1531</v>
      </c>
      <c r="I810" s="28" t="s">
        <v>5231</v>
      </c>
      <c r="J810" s="28" t="s">
        <v>5130</v>
      </c>
      <c r="K810" s="28" t="s">
        <v>5498</v>
      </c>
      <c r="L810" s="28" t="s">
        <v>5499</v>
      </c>
      <c r="M810" s="28" t="s">
        <v>4500</v>
      </c>
      <c r="N810" s="28" t="s">
        <v>4498</v>
      </c>
    </row>
    <row r="811" spans="1:14">
      <c r="A811" t="s">
        <v>965</v>
      </c>
      <c r="B811" t="s">
        <v>63</v>
      </c>
      <c r="C811">
        <v>2129</v>
      </c>
      <c r="D811">
        <v>16</v>
      </c>
      <c r="E811" t="s">
        <v>961</v>
      </c>
      <c r="F811" s="35" t="s">
        <v>973</v>
      </c>
      <c r="G811" s="28" t="s">
        <v>1542</v>
      </c>
      <c r="H811" s="28" t="s">
        <v>1541</v>
      </c>
      <c r="I811" s="28" t="s">
        <v>5242</v>
      </c>
      <c r="J811" s="28" t="s">
        <v>5135</v>
      </c>
      <c r="K811" s="28" t="s">
        <v>5500</v>
      </c>
      <c r="L811" s="28" t="s">
        <v>5501</v>
      </c>
      <c r="M811" s="28" t="s">
        <v>4514</v>
      </c>
      <c r="N811" s="28" t="s">
        <v>4510</v>
      </c>
    </row>
    <row r="812" spans="1:14">
      <c r="A812" t="s">
        <v>965</v>
      </c>
      <c r="B812" t="s">
        <v>63</v>
      </c>
      <c r="C812">
        <v>2131</v>
      </c>
      <c r="D812">
        <v>10</v>
      </c>
      <c r="E812" t="s">
        <v>961</v>
      </c>
      <c r="F812" s="35" t="s">
        <v>974</v>
      </c>
      <c r="G812" s="28" t="s">
        <v>1624</v>
      </c>
      <c r="H812" s="28" t="s">
        <v>1563</v>
      </c>
      <c r="I812" s="28" t="s">
        <v>5246</v>
      </c>
      <c r="J812" s="28" t="s">
        <v>5141</v>
      </c>
      <c r="K812" s="28" t="s">
        <v>5502</v>
      </c>
      <c r="L812" s="28" t="s">
        <v>5503</v>
      </c>
      <c r="M812" s="28" t="s">
        <v>5504</v>
      </c>
      <c r="N812" s="28" t="s">
        <v>4518</v>
      </c>
    </row>
    <row r="813" spans="1:14">
      <c r="A813" t="s">
        <v>965</v>
      </c>
      <c r="B813" t="s">
        <v>63</v>
      </c>
      <c r="C813">
        <v>2133</v>
      </c>
      <c r="D813">
        <v>32</v>
      </c>
      <c r="E813" t="s">
        <v>961</v>
      </c>
      <c r="F813" s="35" t="s">
        <v>974</v>
      </c>
      <c r="G813" s="28" t="s">
        <v>1562</v>
      </c>
      <c r="H813" s="28" t="s">
        <v>1563</v>
      </c>
      <c r="I813" s="28" t="s">
        <v>5145</v>
      </c>
      <c r="J813" s="28" t="s">
        <v>5141</v>
      </c>
      <c r="K813" s="28" t="s">
        <v>5505</v>
      </c>
      <c r="L813" s="28" t="s">
        <v>5503</v>
      </c>
      <c r="M813" s="28" t="s">
        <v>4517</v>
      </c>
      <c r="N813" s="28" t="s">
        <v>4518</v>
      </c>
    </row>
    <row r="814" spans="1:14">
      <c r="A814" t="s">
        <v>965</v>
      </c>
      <c r="B814" t="s">
        <v>63</v>
      </c>
      <c r="C814">
        <v>2135</v>
      </c>
      <c r="D814">
        <v>10</v>
      </c>
      <c r="E814" t="s">
        <v>961</v>
      </c>
      <c r="F814" s="35" t="s">
        <v>974</v>
      </c>
      <c r="G814" s="28" t="s">
        <v>6173</v>
      </c>
      <c r="H814" s="28" t="s">
        <v>1563</v>
      </c>
      <c r="I814" s="28" t="s">
        <v>6197</v>
      </c>
      <c r="J814" s="28" t="s">
        <v>5141</v>
      </c>
      <c r="K814" s="28" t="s">
        <v>6198</v>
      </c>
      <c r="L814" s="28" t="s">
        <v>5503</v>
      </c>
      <c r="M814" s="28" t="s">
        <v>6180</v>
      </c>
      <c r="N814" s="28" t="s">
        <v>4518</v>
      </c>
    </row>
    <row r="815" spans="1:14">
      <c r="A815" t="s">
        <v>965</v>
      </c>
      <c r="B815" t="s">
        <v>69</v>
      </c>
      <c r="C815">
        <v>2129</v>
      </c>
      <c r="D815">
        <v>49</v>
      </c>
      <c r="E815" t="s">
        <v>960</v>
      </c>
      <c r="F815" s="35" t="s">
        <v>973</v>
      </c>
      <c r="G815" s="28" t="s">
        <v>1510</v>
      </c>
      <c r="H815" s="28" t="s">
        <v>1508</v>
      </c>
      <c r="I815" s="28" t="s">
        <v>5506</v>
      </c>
      <c r="J815" s="28" t="s">
        <v>5507</v>
      </c>
      <c r="K815" s="28" t="s">
        <v>5508</v>
      </c>
      <c r="L815" s="28" t="s">
        <v>5509</v>
      </c>
      <c r="M815" s="28" t="s">
        <v>3636</v>
      </c>
      <c r="N815" s="28" t="s">
        <v>3637</v>
      </c>
    </row>
    <row r="816" spans="1:14">
      <c r="A816" t="s">
        <v>965</v>
      </c>
      <c r="B816" t="s">
        <v>69</v>
      </c>
      <c r="C816">
        <v>2131</v>
      </c>
      <c r="D816">
        <v>11</v>
      </c>
      <c r="E816" t="s">
        <v>960</v>
      </c>
      <c r="F816" s="35" t="s">
        <v>974</v>
      </c>
      <c r="G816" s="28" t="s">
        <v>1515</v>
      </c>
      <c r="H816" s="28" t="s">
        <v>1513</v>
      </c>
      <c r="I816" s="28" t="s">
        <v>5510</v>
      </c>
      <c r="J816" s="28" t="s">
        <v>5511</v>
      </c>
      <c r="K816" s="28" t="s">
        <v>5512</v>
      </c>
      <c r="L816" s="28" t="s">
        <v>5513</v>
      </c>
      <c r="M816" s="28" t="s">
        <v>3642</v>
      </c>
      <c r="N816" s="28" t="s">
        <v>3643</v>
      </c>
    </row>
    <row r="817" spans="1:14">
      <c r="A817" t="s">
        <v>965</v>
      </c>
      <c r="B817" t="s">
        <v>69</v>
      </c>
      <c r="C817">
        <v>2132</v>
      </c>
      <c r="D817">
        <v>196</v>
      </c>
      <c r="E817" t="s">
        <v>960</v>
      </c>
      <c r="F817" s="35" t="s">
        <v>974</v>
      </c>
      <c r="G817" s="28" t="s">
        <v>1516</v>
      </c>
      <c r="H817" s="28" t="s">
        <v>1513</v>
      </c>
      <c r="I817" s="28" t="s">
        <v>5514</v>
      </c>
      <c r="J817" s="28" t="s">
        <v>5511</v>
      </c>
      <c r="K817" s="28" t="s">
        <v>5515</v>
      </c>
      <c r="L817" s="28" t="s">
        <v>5513</v>
      </c>
      <c r="M817" s="28" t="s">
        <v>3646</v>
      </c>
      <c r="N817" s="28" t="s">
        <v>3643</v>
      </c>
    </row>
    <row r="818" spans="1:14">
      <c r="A818" t="s">
        <v>965</v>
      </c>
      <c r="B818" t="s">
        <v>69</v>
      </c>
      <c r="C818">
        <v>2133</v>
      </c>
      <c r="D818">
        <v>126</v>
      </c>
      <c r="E818" t="s">
        <v>960</v>
      </c>
      <c r="F818" s="35" t="s">
        <v>974</v>
      </c>
      <c r="G818" s="28" t="s">
        <v>1512</v>
      </c>
      <c r="H818" s="28" t="s">
        <v>1513</v>
      </c>
      <c r="I818" s="28" t="s">
        <v>5516</v>
      </c>
      <c r="J818" s="28" t="s">
        <v>5511</v>
      </c>
      <c r="K818" s="28" t="s">
        <v>5517</v>
      </c>
      <c r="L818" s="28" t="s">
        <v>5513</v>
      </c>
      <c r="M818" s="28" t="s">
        <v>3649</v>
      </c>
      <c r="N818" s="28" t="s">
        <v>3643</v>
      </c>
    </row>
    <row r="819" spans="1:14">
      <c r="A819" t="s">
        <v>965</v>
      </c>
      <c r="B819" t="s">
        <v>67</v>
      </c>
      <c r="C819">
        <v>2121</v>
      </c>
      <c r="D819">
        <v>49</v>
      </c>
      <c r="E819" t="s">
        <v>960</v>
      </c>
      <c r="F819" s="35" t="s">
        <v>971</v>
      </c>
      <c r="G819" s="28" t="s">
        <v>1518</v>
      </c>
      <c r="H819" s="28" t="s">
        <v>1503</v>
      </c>
      <c r="I819" s="28" t="s">
        <v>5518</v>
      </c>
      <c r="J819" s="28" t="s">
        <v>5519</v>
      </c>
      <c r="K819" s="28" t="s">
        <v>5520</v>
      </c>
      <c r="L819" s="28" t="s">
        <v>5521</v>
      </c>
      <c r="M819" s="28" t="s">
        <v>3658</v>
      </c>
      <c r="N819" s="28" t="s">
        <v>3655</v>
      </c>
    </row>
    <row r="820" spans="1:14">
      <c r="A820" t="s">
        <v>965</v>
      </c>
      <c r="B820" t="s">
        <v>67</v>
      </c>
      <c r="C820">
        <v>2122</v>
      </c>
      <c r="D820">
        <v>1</v>
      </c>
      <c r="E820" t="s">
        <v>960</v>
      </c>
      <c r="F820" s="35" t="s">
        <v>971</v>
      </c>
      <c r="G820" s="28" t="s">
        <v>1519</v>
      </c>
      <c r="H820" s="28" t="s">
        <v>1503</v>
      </c>
      <c r="I820" s="28" t="s">
        <v>5522</v>
      </c>
      <c r="J820" s="28" t="s">
        <v>5519</v>
      </c>
      <c r="K820" s="28" t="s">
        <v>5523</v>
      </c>
      <c r="L820" s="28" t="s">
        <v>5521</v>
      </c>
      <c r="M820" s="28" t="s">
        <v>3661</v>
      </c>
      <c r="N820" s="28" t="s">
        <v>3655</v>
      </c>
    </row>
    <row r="821" spans="1:14">
      <c r="A821" t="s">
        <v>965</v>
      </c>
      <c r="B821" t="s">
        <v>67</v>
      </c>
      <c r="C821">
        <v>2123</v>
      </c>
      <c r="D821">
        <v>31</v>
      </c>
      <c r="E821" t="s">
        <v>960</v>
      </c>
      <c r="F821" s="35" t="s">
        <v>972</v>
      </c>
      <c r="G821" s="28" t="s">
        <v>1505</v>
      </c>
      <c r="H821" s="28" t="s">
        <v>1506</v>
      </c>
      <c r="I821" s="28" t="s">
        <v>5524</v>
      </c>
      <c r="J821" s="28" t="s">
        <v>5525</v>
      </c>
      <c r="K821" s="28" t="s">
        <v>5526</v>
      </c>
      <c r="L821" s="28" t="s">
        <v>5527</v>
      </c>
      <c r="M821" s="28" t="s">
        <v>3666</v>
      </c>
      <c r="N821" s="28" t="s">
        <v>3667</v>
      </c>
    </row>
    <row r="822" spans="1:14">
      <c r="A822" t="s">
        <v>965</v>
      </c>
      <c r="B822" t="s">
        <v>67</v>
      </c>
      <c r="C822">
        <v>2125</v>
      </c>
      <c r="D822">
        <v>143</v>
      </c>
      <c r="E822" t="s">
        <v>960</v>
      </c>
      <c r="F822" s="35" t="s">
        <v>972</v>
      </c>
      <c r="G822" s="28" t="s">
        <v>1522</v>
      </c>
      <c r="H822" s="28" t="s">
        <v>1506</v>
      </c>
      <c r="I822" s="28" t="s">
        <v>5528</v>
      </c>
      <c r="J822" s="28" t="s">
        <v>5525</v>
      </c>
      <c r="K822" s="28" t="s">
        <v>5529</v>
      </c>
      <c r="L822" s="28" t="s">
        <v>5527</v>
      </c>
      <c r="M822" s="28" t="s">
        <v>3790</v>
      </c>
      <c r="N822" s="28" t="s">
        <v>3667</v>
      </c>
    </row>
    <row r="823" spans="1:14">
      <c r="A823" t="s">
        <v>965</v>
      </c>
      <c r="B823" t="s">
        <v>67</v>
      </c>
      <c r="C823">
        <v>2128</v>
      </c>
      <c r="D823">
        <v>98</v>
      </c>
      <c r="E823" t="s">
        <v>960</v>
      </c>
      <c r="F823" s="35" t="s">
        <v>973</v>
      </c>
      <c r="G823" s="28" t="s">
        <v>1509</v>
      </c>
      <c r="H823" s="28" t="s">
        <v>1508</v>
      </c>
      <c r="I823" s="28" t="s">
        <v>5530</v>
      </c>
      <c r="J823" s="28" t="s">
        <v>5507</v>
      </c>
      <c r="K823" s="28" t="s">
        <v>5531</v>
      </c>
      <c r="L823" s="28" t="s">
        <v>5532</v>
      </c>
      <c r="M823" s="28" t="s">
        <v>3671</v>
      </c>
      <c r="N823" s="28" t="s">
        <v>3672</v>
      </c>
    </row>
    <row r="824" spans="1:14">
      <c r="A824" t="s">
        <v>965</v>
      </c>
      <c r="B824" t="s">
        <v>67</v>
      </c>
      <c r="C824">
        <v>2129</v>
      </c>
      <c r="D824">
        <v>92</v>
      </c>
      <c r="E824" t="s">
        <v>960</v>
      </c>
      <c r="F824" s="35" t="s">
        <v>973</v>
      </c>
      <c r="G824" s="28" t="s">
        <v>1510</v>
      </c>
      <c r="H824" s="28" t="s">
        <v>1508</v>
      </c>
      <c r="I824" s="28" t="s">
        <v>5506</v>
      </c>
      <c r="J824" s="28" t="s">
        <v>5507</v>
      </c>
      <c r="K824" s="28" t="s">
        <v>5533</v>
      </c>
      <c r="L824" s="28" t="s">
        <v>5532</v>
      </c>
      <c r="M824" s="28" t="s">
        <v>3795</v>
      </c>
      <c r="N824" s="28" t="s">
        <v>3672</v>
      </c>
    </row>
    <row r="825" spans="1:14">
      <c r="A825" t="s">
        <v>965</v>
      </c>
      <c r="B825" t="s">
        <v>67</v>
      </c>
      <c r="C825">
        <v>2130</v>
      </c>
      <c r="D825">
        <v>224</v>
      </c>
      <c r="E825" t="s">
        <v>960</v>
      </c>
      <c r="F825" s="35" t="s">
        <v>973</v>
      </c>
      <c r="G825" s="28" t="s">
        <v>1511</v>
      </c>
      <c r="H825" s="28" t="s">
        <v>1508</v>
      </c>
      <c r="I825" s="28" t="s">
        <v>5534</v>
      </c>
      <c r="J825" s="28" t="s">
        <v>5507</v>
      </c>
      <c r="K825" s="28" t="s">
        <v>5535</v>
      </c>
      <c r="L825" s="28" t="s">
        <v>5532</v>
      </c>
      <c r="M825" s="28" t="s">
        <v>3675</v>
      </c>
      <c r="N825" s="28" t="s">
        <v>3672</v>
      </c>
    </row>
    <row r="826" spans="1:14">
      <c r="A826" t="s">
        <v>965</v>
      </c>
      <c r="B826" t="s">
        <v>67</v>
      </c>
      <c r="C826">
        <v>2131</v>
      </c>
      <c r="D826">
        <v>744</v>
      </c>
      <c r="E826" t="s">
        <v>960</v>
      </c>
      <c r="F826" s="35" t="s">
        <v>974</v>
      </c>
      <c r="G826" s="28" t="s">
        <v>1515</v>
      </c>
      <c r="H826" s="28" t="s">
        <v>1513</v>
      </c>
      <c r="I826" s="28" t="s">
        <v>5510</v>
      </c>
      <c r="J826" s="28" t="s">
        <v>5511</v>
      </c>
      <c r="K826" s="28" t="s">
        <v>5536</v>
      </c>
      <c r="L826" s="28" t="s">
        <v>5537</v>
      </c>
      <c r="M826" s="28" t="s">
        <v>4925</v>
      </c>
      <c r="N826" s="28" t="s">
        <v>3679</v>
      </c>
    </row>
    <row r="827" spans="1:14">
      <c r="A827" t="s">
        <v>965</v>
      </c>
      <c r="B827" t="s">
        <v>67</v>
      </c>
      <c r="C827">
        <v>2134</v>
      </c>
      <c r="D827">
        <v>9</v>
      </c>
      <c r="E827" t="s">
        <v>960</v>
      </c>
      <c r="F827" s="35" t="s">
        <v>974</v>
      </c>
      <c r="G827" s="28" t="s">
        <v>6016</v>
      </c>
      <c r="H827" s="28" t="s">
        <v>1513</v>
      </c>
      <c r="I827" s="28" t="s">
        <v>6017</v>
      </c>
      <c r="J827" s="28" t="s">
        <v>5511</v>
      </c>
      <c r="K827" s="28" t="s">
        <v>6018</v>
      </c>
      <c r="L827" s="28" t="s">
        <v>5537</v>
      </c>
      <c r="M827" s="28" t="s">
        <v>6019</v>
      </c>
      <c r="N827" s="28" t="s">
        <v>3679</v>
      </c>
    </row>
    <row r="828" spans="1:14">
      <c r="A828" t="s">
        <v>965</v>
      </c>
      <c r="B828" t="s">
        <v>67</v>
      </c>
      <c r="C828">
        <v>2135</v>
      </c>
      <c r="D828">
        <v>1</v>
      </c>
      <c r="E828" t="s">
        <v>960</v>
      </c>
      <c r="F828" s="35" t="s">
        <v>974</v>
      </c>
      <c r="G828" s="28" t="s">
        <v>6155</v>
      </c>
      <c r="H828" s="28" t="s">
        <v>1513</v>
      </c>
      <c r="I828" s="28" t="s">
        <v>6199</v>
      </c>
      <c r="J828" s="28" t="s">
        <v>5511</v>
      </c>
      <c r="K828" s="28" t="s">
        <v>6200</v>
      </c>
      <c r="L828" s="28" t="s">
        <v>5537</v>
      </c>
      <c r="M828" s="28" t="s">
        <v>6162</v>
      </c>
      <c r="N828" s="28" t="s">
        <v>3679</v>
      </c>
    </row>
    <row r="829" spans="1:14">
      <c r="A829" t="s">
        <v>965</v>
      </c>
      <c r="B829" t="s">
        <v>67</v>
      </c>
      <c r="C829">
        <v>2137</v>
      </c>
      <c r="D829">
        <v>701</v>
      </c>
      <c r="E829" t="s">
        <v>960</v>
      </c>
      <c r="F829" s="35" t="s">
        <v>997</v>
      </c>
      <c r="G829" s="28" t="s">
        <v>6435</v>
      </c>
      <c r="H829" s="28" t="s">
        <v>6271</v>
      </c>
      <c r="I829" s="28" t="s">
        <v>6472</v>
      </c>
      <c r="J829" s="28" t="s">
        <v>6341</v>
      </c>
      <c r="K829" s="28" t="s">
        <v>6473</v>
      </c>
      <c r="L829" s="28" t="s">
        <v>6474</v>
      </c>
      <c r="M829" s="28" t="s">
        <v>6442</v>
      </c>
      <c r="N829" s="28" t="s">
        <v>6285</v>
      </c>
    </row>
    <row r="830" spans="1:14">
      <c r="A830" t="s">
        <v>965</v>
      </c>
      <c r="B830" t="s">
        <v>68</v>
      </c>
      <c r="C830">
        <v>2114</v>
      </c>
      <c r="D830">
        <v>33</v>
      </c>
      <c r="E830" t="s">
        <v>960</v>
      </c>
      <c r="F830" s="35" t="s">
        <v>970</v>
      </c>
      <c r="G830" s="28" t="s">
        <v>1499</v>
      </c>
      <c r="H830" s="28" t="s">
        <v>1500</v>
      </c>
      <c r="I830" s="28" t="s">
        <v>5538</v>
      </c>
      <c r="J830" s="28" t="s">
        <v>5539</v>
      </c>
      <c r="K830" s="28" t="s">
        <v>5540</v>
      </c>
      <c r="L830" s="28" t="s">
        <v>5541</v>
      </c>
      <c r="M830" s="28" t="s">
        <v>5542</v>
      </c>
      <c r="N830" s="28" t="s">
        <v>3967</v>
      </c>
    </row>
    <row r="831" spans="1:14">
      <c r="A831" t="s">
        <v>965</v>
      </c>
      <c r="B831" t="s">
        <v>68</v>
      </c>
      <c r="C831">
        <v>2115</v>
      </c>
      <c r="D831">
        <v>40</v>
      </c>
      <c r="E831" t="s">
        <v>960</v>
      </c>
      <c r="F831" s="35" t="s">
        <v>970</v>
      </c>
      <c r="G831" s="28" t="s">
        <v>1520</v>
      </c>
      <c r="H831" s="28" t="s">
        <v>1500</v>
      </c>
      <c r="I831" s="28" t="s">
        <v>5543</v>
      </c>
      <c r="J831" s="28" t="s">
        <v>5539</v>
      </c>
      <c r="K831" s="28" t="s">
        <v>5544</v>
      </c>
      <c r="L831" s="28" t="s">
        <v>5541</v>
      </c>
      <c r="M831" s="28" t="s">
        <v>5545</v>
      </c>
      <c r="N831" s="28" t="s">
        <v>3967</v>
      </c>
    </row>
    <row r="832" spans="1:14">
      <c r="A832" t="s">
        <v>965</v>
      </c>
      <c r="B832" t="s">
        <v>68</v>
      </c>
      <c r="C832">
        <v>2116</v>
      </c>
      <c r="D832">
        <v>100</v>
      </c>
      <c r="E832" t="s">
        <v>960</v>
      </c>
      <c r="F832" s="35" t="s">
        <v>970</v>
      </c>
      <c r="G832" s="28" t="s">
        <v>1501</v>
      </c>
      <c r="H832" s="28" t="s">
        <v>1500</v>
      </c>
      <c r="I832" s="28" t="s">
        <v>5546</v>
      </c>
      <c r="J832" s="28" t="s">
        <v>5539</v>
      </c>
      <c r="K832" s="28" t="s">
        <v>5547</v>
      </c>
      <c r="L832" s="28" t="s">
        <v>5541</v>
      </c>
      <c r="M832" s="28" t="s">
        <v>3966</v>
      </c>
      <c r="N832" s="28" t="s">
        <v>3967</v>
      </c>
    </row>
    <row r="833" spans="1:14">
      <c r="A833" t="s">
        <v>965</v>
      </c>
      <c r="B833" t="s">
        <v>68</v>
      </c>
      <c r="C833">
        <v>2117</v>
      </c>
      <c r="D833">
        <v>181</v>
      </c>
      <c r="E833" t="s">
        <v>960</v>
      </c>
      <c r="F833" s="35" t="s">
        <v>970</v>
      </c>
      <c r="G833" s="28" t="s">
        <v>1527</v>
      </c>
      <c r="H833" s="28" t="s">
        <v>1500</v>
      </c>
      <c r="I833" s="28" t="s">
        <v>5548</v>
      </c>
      <c r="J833" s="28" t="s">
        <v>5539</v>
      </c>
      <c r="K833" s="28" t="s">
        <v>5549</v>
      </c>
      <c r="L833" s="28" t="s">
        <v>5541</v>
      </c>
      <c r="M833" s="28" t="s">
        <v>3969</v>
      </c>
      <c r="N833" s="28" t="s">
        <v>3967</v>
      </c>
    </row>
    <row r="834" spans="1:14">
      <c r="A834" t="s">
        <v>965</v>
      </c>
      <c r="B834" t="s">
        <v>68</v>
      </c>
      <c r="C834">
        <v>2118</v>
      </c>
      <c r="D834">
        <v>363</v>
      </c>
      <c r="E834" t="s">
        <v>960</v>
      </c>
      <c r="F834" s="35" t="s">
        <v>971</v>
      </c>
      <c r="G834" s="28" t="s">
        <v>1502</v>
      </c>
      <c r="H834" s="28" t="s">
        <v>1503</v>
      </c>
      <c r="I834" s="28" t="s">
        <v>5550</v>
      </c>
      <c r="J834" s="28" t="s">
        <v>5519</v>
      </c>
      <c r="K834" s="28" t="s">
        <v>5551</v>
      </c>
      <c r="L834" s="28" t="s">
        <v>5552</v>
      </c>
      <c r="M834" s="28" t="s">
        <v>3972</v>
      </c>
      <c r="N834" s="28" t="s">
        <v>3973</v>
      </c>
    </row>
    <row r="835" spans="1:14">
      <c r="A835" t="s">
        <v>965</v>
      </c>
      <c r="B835" t="s">
        <v>68</v>
      </c>
      <c r="C835">
        <v>2120</v>
      </c>
      <c r="D835">
        <v>1388</v>
      </c>
      <c r="E835" t="s">
        <v>960</v>
      </c>
      <c r="F835" s="35" t="s">
        <v>971</v>
      </c>
      <c r="G835" s="28" t="s">
        <v>1504</v>
      </c>
      <c r="H835" s="28" t="s">
        <v>1503</v>
      </c>
      <c r="I835" s="28" t="s">
        <v>5553</v>
      </c>
      <c r="J835" s="28" t="s">
        <v>5519</v>
      </c>
      <c r="K835" s="28" t="s">
        <v>5554</v>
      </c>
      <c r="L835" s="28" t="s">
        <v>5552</v>
      </c>
      <c r="M835" s="28" t="s">
        <v>3977</v>
      </c>
      <c r="N835" s="28" t="s">
        <v>3973</v>
      </c>
    </row>
    <row r="836" spans="1:14">
      <c r="A836" t="s">
        <v>965</v>
      </c>
      <c r="B836" t="s">
        <v>68</v>
      </c>
      <c r="C836">
        <v>2121</v>
      </c>
      <c r="D836">
        <v>470</v>
      </c>
      <c r="E836" t="s">
        <v>960</v>
      </c>
      <c r="F836" s="35" t="s">
        <v>971</v>
      </c>
      <c r="G836" s="28" t="s">
        <v>1518</v>
      </c>
      <c r="H836" s="28" t="s">
        <v>1503</v>
      </c>
      <c r="I836" s="28" t="s">
        <v>5518</v>
      </c>
      <c r="J836" s="28" t="s">
        <v>5519</v>
      </c>
      <c r="K836" s="28" t="s">
        <v>5555</v>
      </c>
      <c r="L836" s="28" t="s">
        <v>5552</v>
      </c>
      <c r="M836" s="28" t="s">
        <v>3979</v>
      </c>
      <c r="N836" s="28" t="s">
        <v>3973</v>
      </c>
    </row>
    <row r="837" spans="1:14">
      <c r="A837" t="s">
        <v>965</v>
      </c>
      <c r="B837" t="s">
        <v>68</v>
      </c>
      <c r="C837">
        <v>2122</v>
      </c>
      <c r="D837">
        <v>1486</v>
      </c>
      <c r="E837" t="s">
        <v>960</v>
      </c>
      <c r="F837" s="35" t="s">
        <v>971</v>
      </c>
      <c r="G837" s="28" t="s">
        <v>1519</v>
      </c>
      <c r="H837" s="28" t="s">
        <v>1503</v>
      </c>
      <c r="I837" s="28" t="s">
        <v>5522</v>
      </c>
      <c r="J837" s="28" t="s">
        <v>5519</v>
      </c>
      <c r="K837" s="28" t="s">
        <v>5556</v>
      </c>
      <c r="L837" s="28" t="s">
        <v>5552</v>
      </c>
      <c r="M837" s="28" t="s">
        <v>3981</v>
      </c>
      <c r="N837" s="28" t="s">
        <v>3973</v>
      </c>
    </row>
    <row r="838" spans="1:14">
      <c r="A838" t="s">
        <v>965</v>
      </c>
      <c r="B838" t="s">
        <v>68</v>
      </c>
      <c r="C838">
        <v>2123</v>
      </c>
      <c r="D838">
        <v>352</v>
      </c>
      <c r="E838" t="s">
        <v>960</v>
      </c>
      <c r="F838" s="35" t="s">
        <v>972</v>
      </c>
      <c r="G838" s="28" t="s">
        <v>1505</v>
      </c>
      <c r="H838" s="28" t="s">
        <v>1506</v>
      </c>
      <c r="I838" s="28" t="s">
        <v>5524</v>
      </c>
      <c r="J838" s="28" t="s">
        <v>5525</v>
      </c>
      <c r="K838" s="28" t="s">
        <v>5557</v>
      </c>
      <c r="L838" s="28" t="s">
        <v>5558</v>
      </c>
      <c r="M838" s="28" t="s">
        <v>3984</v>
      </c>
      <c r="N838" s="28" t="s">
        <v>3985</v>
      </c>
    </row>
    <row r="839" spans="1:14">
      <c r="A839" t="s">
        <v>965</v>
      </c>
      <c r="B839" t="s">
        <v>68</v>
      </c>
      <c r="C839">
        <v>2124</v>
      </c>
      <c r="D839">
        <v>1</v>
      </c>
      <c r="E839" t="s">
        <v>960</v>
      </c>
      <c r="F839" s="35" t="s">
        <v>972</v>
      </c>
      <c r="G839" s="28" t="s">
        <v>1521</v>
      </c>
      <c r="H839" s="28" t="s">
        <v>1506</v>
      </c>
      <c r="I839" s="28" t="s">
        <v>5559</v>
      </c>
      <c r="J839" s="28" t="s">
        <v>5525</v>
      </c>
      <c r="K839" s="28" t="s">
        <v>5560</v>
      </c>
      <c r="L839" s="28" t="s">
        <v>5558</v>
      </c>
      <c r="M839" s="28" t="s">
        <v>3987</v>
      </c>
      <c r="N839" s="28" t="s">
        <v>3985</v>
      </c>
    </row>
    <row r="840" spans="1:14">
      <c r="A840" t="s">
        <v>965</v>
      </c>
      <c r="B840" t="s">
        <v>68</v>
      </c>
      <c r="C840">
        <v>2125</v>
      </c>
      <c r="D840">
        <v>894</v>
      </c>
      <c r="E840" t="s">
        <v>960</v>
      </c>
      <c r="F840" s="35" t="s">
        <v>972</v>
      </c>
      <c r="G840" s="28" t="s">
        <v>1522</v>
      </c>
      <c r="H840" s="28" t="s">
        <v>1506</v>
      </c>
      <c r="I840" s="28" t="s">
        <v>5528</v>
      </c>
      <c r="J840" s="28" t="s">
        <v>5525</v>
      </c>
      <c r="K840" s="28" t="s">
        <v>5561</v>
      </c>
      <c r="L840" s="28" t="s">
        <v>5558</v>
      </c>
      <c r="M840" s="28" t="s">
        <v>3989</v>
      </c>
      <c r="N840" s="28" t="s">
        <v>3985</v>
      </c>
    </row>
    <row r="841" spans="1:14">
      <c r="A841" t="s">
        <v>965</v>
      </c>
      <c r="B841" t="s">
        <v>68</v>
      </c>
      <c r="C841">
        <v>2126</v>
      </c>
      <c r="D841">
        <v>1111</v>
      </c>
      <c r="E841" t="s">
        <v>960</v>
      </c>
      <c r="F841" s="35" t="s">
        <v>972</v>
      </c>
      <c r="G841" s="28" t="s">
        <v>1514</v>
      </c>
      <c r="H841" s="28" t="s">
        <v>1506</v>
      </c>
      <c r="I841" s="28" t="s">
        <v>5562</v>
      </c>
      <c r="J841" s="28" t="s">
        <v>5525</v>
      </c>
      <c r="K841" s="28" t="s">
        <v>5563</v>
      </c>
      <c r="L841" s="28" t="s">
        <v>5558</v>
      </c>
      <c r="M841" s="28" t="s">
        <v>3991</v>
      </c>
      <c r="N841" s="28" t="s">
        <v>3985</v>
      </c>
    </row>
    <row r="842" spans="1:14">
      <c r="A842" t="s">
        <v>965</v>
      </c>
      <c r="B842" t="s">
        <v>68</v>
      </c>
      <c r="C842">
        <v>2128</v>
      </c>
      <c r="D842">
        <v>891</v>
      </c>
      <c r="E842" t="s">
        <v>960</v>
      </c>
      <c r="F842" s="35" t="s">
        <v>973</v>
      </c>
      <c r="G842" s="28" t="s">
        <v>1509</v>
      </c>
      <c r="H842" s="28" t="s">
        <v>1508</v>
      </c>
      <c r="I842" s="28" t="s">
        <v>5530</v>
      </c>
      <c r="J842" s="28" t="s">
        <v>5507</v>
      </c>
      <c r="K842" s="28" t="s">
        <v>5564</v>
      </c>
      <c r="L842" s="28" t="s">
        <v>5565</v>
      </c>
      <c r="M842" s="28" t="s">
        <v>3997</v>
      </c>
      <c r="N842" s="28" t="s">
        <v>3995</v>
      </c>
    </row>
    <row r="843" spans="1:14">
      <c r="A843" t="s">
        <v>965</v>
      </c>
      <c r="B843" t="s">
        <v>68</v>
      </c>
      <c r="C843">
        <v>2129</v>
      </c>
      <c r="D843">
        <v>11</v>
      </c>
      <c r="E843" t="s">
        <v>960</v>
      </c>
      <c r="F843" s="35" t="s">
        <v>973</v>
      </c>
      <c r="G843" s="28" t="s">
        <v>1510</v>
      </c>
      <c r="H843" s="28" t="s">
        <v>1508</v>
      </c>
      <c r="I843" s="28" t="s">
        <v>5506</v>
      </c>
      <c r="J843" s="28" t="s">
        <v>5507</v>
      </c>
      <c r="K843" s="28" t="s">
        <v>5566</v>
      </c>
      <c r="L843" s="28" t="s">
        <v>5565</v>
      </c>
      <c r="M843" s="28" t="s">
        <v>3999</v>
      </c>
      <c r="N843" s="28" t="s">
        <v>3995</v>
      </c>
    </row>
    <row r="844" spans="1:14">
      <c r="A844" t="s">
        <v>965</v>
      </c>
      <c r="B844" t="s">
        <v>68</v>
      </c>
      <c r="C844">
        <v>2130</v>
      </c>
      <c r="D844">
        <v>19</v>
      </c>
      <c r="E844" t="s">
        <v>960</v>
      </c>
      <c r="F844" s="35" t="s">
        <v>973</v>
      </c>
      <c r="G844" s="28" t="s">
        <v>1511</v>
      </c>
      <c r="H844" s="28" t="s">
        <v>1508</v>
      </c>
      <c r="I844" s="28" t="s">
        <v>5534</v>
      </c>
      <c r="J844" s="28" t="s">
        <v>5507</v>
      </c>
      <c r="K844" s="28" t="s">
        <v>5567</v>
      </c>
      <c r="L844" s="28" t="s">
        <v>5565</v>
      </c>
      <c r="M844" s="28" t="s">
        <v>5568</v>
      </c>
      <c r="N844" s="28" t="s">
        <v>3995</v>
      </c>
    </row>
    <row r="845" spans="1:14">
      <c r="A845" t="s">
        <v>965</v>
      </c>
      <c r="B845" t="s">
        <v>68</v>
      </c>
      <c r="C845">
        <v>2133</v>
      </c>
      <c r="D845">
        <v>1678</v>
      </c>
      <c r="E845" t="s">
        <v>960</v>
      </c>
      <c r="F845" s="35" t="s">
        <v>974</v>
      </c>
      <c r="G845" s="28" t="s">
        <v>1512</v>
      </c>
      <c r="H845" s="28" t="s">
        <v>1513</v>
      </c>
      <c r="I845" s="28" t="s">
        <v>5516</v>
      </c>
      <c r="J845" s="28" t="s">
        <v>5511</v>
      </c>
      <c r="K845" s="28" t="s">
        <v>5569</v>
      </c>
      <c r="L845" s="28" t="s">
        <v>5570</v>
      </c>
      <c r="M845" s="28" t="s">
        <v>4005</v>
      </c>
      <c r="N845" s="28" t="s">
        <v>4003</v>
      </c>
    </row>
    <row r="846" spans="1:14">
      <c r="A846" t="s">
        <v>965</v>
      </c>
      <c r="B846" t="s">
        <v>68</v>
      </c>
      <c r="C846">
        <v>2134</v>
      </c>
      <c r="D846">
        <v>281</v>
      </c>
      <c r="E846" t="s">
        <v>960</v>
      </c>
      <c r="F846" s="35" t="s">
        <v>974</v>
      </c>
      <c r="G846" s="28" t="s">
        <v>6016</v>
      </c>
      <c r="H846" s="28" t="s">
        <v>1513</v>
      </c>
      <c r="I846" s="28" t="s">
        <v>6017</v>
      </c>
      <c r="J846" s="28" t="s">
        <v>5511</v>
      </c>
      <c r="K846" s="28" t="s">
        <v>6020</v>
      </c>
      <c r="L846" s="28" t="s">
        <v>5570</v>
      </c>
      <c r="M846" s="28" t="s">
        <v>6021</v>
      </c>
      <c r="N846" s="28" t="s">
        <v>4003</v>
      </c>
    </row>
    <row r="847" spans="1:14">
      <c r="A847" t="s">
        <v>965</v>
      </c>
      <c r="B847" t="s">
        <v>68</v>
      </c>
      <c r="C847">
        <v>2135</v>
      </c>
      <c r="D847">
        <v>117</v>
      </c>
      <c r="E847" t="s">
        <v>960</v>
      </c>
      <c r="F847" s="35" t="s">
        <v>974</v>
      </c>
      <c r="G847" s="28" t="s">
        <v>6155</v>
      </c>
      <c r="H847" s="28" t="s">
        <v>1513</v>
      </c>
      <c r="I847" s="28" t="s">
        <v>6199</v>
      </c>
      <c r="J847" s="28" t="s">
        <v>5511</v>
      </c>
      <c r="K847" s="28" t="s">
        <v>6201</v>
      </c>
      <c r="L847" s="28" t="s">
        <v>5570</v>
      </c>
      <c r="M847" s="28" t="s">
        <v>6172</v>
      </c>
      <c r="N847" s="28" t="s">
        <v>4003</v>
      </c>
    </row>
    <row r="848" spans="1:14">
      <c r="A848" t="s">
        <v>965</v>
      </c>
      <c r="B848" t="s">
        <v>68</v>
      </c>
      <c r="C848">
        <v>2137</v>
      </c>
      <c r="D848">
        <v>115</v>
      </c>
      <c r="E848" t="s">
        <v>960</v>
      </c>
      <c r="F848" s="35" t="s">
        <v>997</v>
      </c>
      <c r="G848" s="28" t="s">
        <v>6435</v>
      </c>
      <c r="H848" s="28" t="s">
        <v>6271</v>
      </c>
      <c r="I848" s="28" t="s">
        <v>6472</v>
      </c>
      <c r="J848" s="28" t="s">
        <v>6341</v>
      </c>
      <c r="K848" s="28" t="s">
        <v>6475</v>
      </c>
      <c r="L848" s="28" t="s">
        <v>6476</v>
      </c>
      <c r="M848" s="28" t="s">
        <v>6454</v>
      </c>
      <c r="N848" s="28" t="s">
        <v>6309</v>
      </c>
    </row>
    <row r="849" spans="1:14">
      <c r="A849" t="s">
        <v>965</v>
      </c>
      <c r="B849" t="s">
        <v>60</v>
      </c>
      <c r="C849">
        <v>2036</v>
      </c>
      <c r="D849">
        <v>487</v>
      </c>
      <c r="E849" t="s">
        <v>961</v>
      </c>
      <c r="F849" s="35" t="s">
        <v>982</v>
      </c>
      <c r="G849" s="28" t="s">
        <v>1593</v>
      </c>
      <c r="H849" s="28" t="s">
        <v>1594</v>
      </c>
      <c r="I849" s="28" t="s">
        <v>5051</v>
      </c>
      <c r="J849" s="28" t="s">
        <v>5052</v>
      </c>
      <c r="K849" s="28" t="s">
        <v>5571</v>
      </c>
      <c r="L849" s="28" t="s">
        <v>5572</v>
      </c>
      <c r="M849" s="28" t="s">
        <v>5573</v>
      </c>
      <c r="N849" s="28" t="s">
        <v>5574</v>
      </c>
    </row>
    <row r="850" spans="1:14">
      <c r="A850" t="s">
        <v>965</v>
      </c>
      <c r="B850" t="s">
        <v>60</v>
      </c>
      <c r="C850">
        <v>2037</v>
      </c>
      <c r="D850">
        <v>1314</v>
      </c>
      <c r="E850" t="s">
        <v>961</v>
      </c>
      <c r="F850" s="35" t="s">
        <v>982</v>
      </c>
      <c r="G850" s="28" t="s">
        <v>1611</v>
      </c>
      <c r="H850" s="28" t="s">
        <v>1594</v>
      </c>
      <c r="I850" s="28" t="s">
        <v>5055</v>
      </c>
      <c r="J850" s="28" t="s">
        <v>5052</v>
      </c>
      <c r="K850" s="28" t="s">
        <v>5575</v>
      </c>
      <c r="L850" s="28" t="s">
        <v>5572</v>
      </c>
      <c r="M850" s="28" t="s">
        <v>5576</v>
      </c>
      <c r="N850" s="28" t="s">
        <v>5574</v>
      </c>
    </row>
    <row r="851" spans="1:14">
      <c r="A851" t="s">
        <v>965</v>
      </c>
      <c r="B851" t="s">
        <v>60</v>
      </c>
      <c r="C851">
        <v>2038</v>
      </c>
      <c r="D851">
        <v>866</v>
      </c>
      <c r="E851" t="s">
        <v>961</v>
      </c>
      <c r="F851" s="35" t="s">
        <v>982</v>
      </c>
      <c r="G851" s="28" t="s">
        <v>1612</v>
      </c>
      <c r="H851" s="28" t="s">
        <v>1594</v>
      </c>
      <c r="I851" s="28" t="s">
        <v>5057</v>
      </c>
      <c r="J851" s="28" t="s">
        <v>5052</v>
      </c>
      <c r="K851" s="28" t="s">
        <v>5577</v>
      </c>
      <c r="L851" s="28" t="s">
        <v>5572</v>
      </c>
      <c r="M851" s="28" t="s">
        <v>5578</v>
      </c>
      <c r="N851" s="28" t="s">
        <v>5574</v>
      </c>
    </row>
    <row r="852" spans="1:14">
      <c r="A852" t="s">
        <v>965</v>
      </c>
      <c r="B852" t="s">
        <v>60</v>
      </c>
      <c r="C852">
        <v>2039</v>
      </c>
      <c r="D852">
        <v>404</v>
      </c>
      <c r="E852" t="s">
        <v>961</v>
      </c>
      <c r="F852" s="35" t="s">
        <v>982</v>
      </c>
      <c r="G852" s="28" t="s">
        <v>1613</v>
      </c>
      <c r="H852" s="28" t="s">
        <v>1594</v>
      </c>
      <c r="I852" s="28" t="s">
        <v>5059</v>
      </c>
      <c r="J852" s="28" t="s">
        <v>5052</v>
      </c>
      <c r="K852" s="28" t="s">
        <v>5579</v>
      </c>
      <c r="L852" s="28" t="s">
        <v>5572</v>
      </c>
      <c r="M852" s="28" t="s">
        <v>5580</v>
      </c>
      <c r="N852" s="28" t="s">
        <v>5574</v>
      </c>
    </row>
    <row r="853" spans="1:14">
      <c r="A853" t="s">
        <v>965</v>
      </c>
      <c r="B853" t="s">
        <v>60</v>
      </c>
      <c r="C853">
        <v>2040</v>
      </c>
      <c r="D853">
        <v>641</v>
      </c>
      <c r="E853" t="s">
        <v>961</v>
      </c>
      <c r="F853" s="35" t="s">
        <v>983</v>
      </c>
      <c r="G853" s="28" t="s">
        <v>1614</v>
      </c>
      <c r="H853" s="28" t="s">
        <v>1596</v>
      </c>
      <c r="I853" s="28" t="s">
        <v>5061</v>
      </c>
      <c r="J853" s="28" t="s">
        <v>5062</v>
      </c>
      <c r="K853" s="28" t="s">
        <v>5581</v>
      </c>
      <c r="L853" s="28" t="s">
        <v>5582</v>
      </c>
      <c r="M853" s="28" t="s">
        <v>5583</v>
      </c>
      <c r="N853" s="28" t="s">
        <v>5584</v>
      </c>
    </row>
    <row r="854" spans="1:14">
      <c r="A854" t="s">
        <v>965</v>
      </c>
      <c r="B854" t="s">
        <v>60</v>
      </c>
      <c r="C854">
        <v>2041</v>
      </c>
      <c r="D854">
        <v>838</v>
      </c>
      <c r="E854" t="s">
        <v>961</v>
      </c>
      <c r="F854" s="35" t="s">
        <v>983</v>
      </c>
      <c r="G854" s="28" t="s">
        <v>1595</v>
      </c>
      <c r="H854" s="28" t="s">
        <v>1596</v>
      </c>
      <c r="I854" s="28" t="s">
        <v>5065</v>
      </c>
      <c r="J854" s="28" t="s">
        <v>5062</v>
      </c>
      <c r="K854" s="28" t="s">
        <v>5585</v>
      </c>
      <c r="L854" s="28" t="s">
        <v>5582</v>
      </c>
      <c r="M854" s="28" t="s">
        <v>5586</v>
      </c>
      <c r="N854" s="28" t="s">
        <v>5584</v>
      </c>
    </row>
    <row r="855" spans="1:14">
      <c r="A855" t="s">
        <v>965</v>
      </c>
      <c r="B855" t="s">
        <v>60</v>
      </c>
      <c r="C855">
        <v>2042</v>
      </c>
      <c r="D855">
        <v>588</v>
      </c>
      <c r="E855" t="s">
        <v>961</v>
      </c>
      <c r="F855" s="35" t="s">
        <v>983</v>
      </c>
      <c r="G855" s="28" t="s">
        <v>1597</v>
      </c>
      <c r="H855" s="28" t="s">
        <v>1596</v>
      </c>
      <c r="I855" s="28" t="s">
        <v>5067</v>
      </c>
      <c r="J855" s="28" t="s">
        <v>5062</v>
      </c>
      <c r="K855" s="28" t="s">
        <v>5587</v>
      </c>
      <c r="L855" s="28" t="s">
        <v>5582</v>
      </c>
      <c r="M855" s="28" t="s">
        <v>5588</v>
      </c>
      <c r="N855" s="28" t="s">
        <v>5584</v>
      </c>
    </row>
    <row r="856" spans="1:14">
      <c r="A856" t="s">
        <v>965</v>
      </c>
      <c r="B856" t="s">
        <v>60</v>
      </c>
      <c r="C856">
        <v>2043</v>
      </c>
      <c r="D856">
        <v>334</v>
      </c>
      <c r="E856" t="s">
        <v>961</v>
      </c>
      <c r="F856" s="35" t="s">
        <v>983</v>
      </c>
      <c r="G856" s="28" t="s">
        <v>1615</v>
      </c>
      <c r="H856" s="28" t="s">
        <v>1596</v>
      </c>
      <c r="I856" s="28" t="s">
        <v>5069</v>
      </c>
      <c r="J856" s="28" t="s">
        <v>5062</v>
      </c>
      <c r="K856" s="28" t="s">
        <v>5589</v>
      </c>
      <c r="L856" s="28" t="s">
        <v>5582</v>
      </c>
      <c r="M856" s="28" t="s">
        <v>5590</v>
      </c>
      <c r="N856" s="28" t="s">
        <v>5584</v>
      </c>
    </row>
    <row r="857" spans="1:14">
      <c r="A857" t="s">
        <v>965</v>
      </c>
      <c r="B857" t="s">
        <v>60</v>
      </c>
      <c r="C857">
        <v>2044</v>
      </c>
      <c r="D857">
        <v>508</v>
      </c>
      <c r="E857" t="s">
        <v>961</v>
      </c>
      <c r="F857" s="35" t="s">
        <v>984</v>
      </c>
      <c r="G857" s="28" t="s">
        <v>1598</v>
      </c>
      <c r="H857" s="28" t="s">
        <v>1599</v>
      </c>
      <c r="I857" s="28" t="s">
        <v>5071</v>
      </c>
      <c r="J857" s="28" t="s">
        <v>5072</v>
      </c>
      <c r="K857" s="28" t="s">
        <v>5591</v>
      </c>
      <c r="L857" s="28" t="s">
        <v>5592</v>
      </c>
      <c r="M857" s="28" t="s">
        <v>5593</v>
      </c>
      <c r="N857" s="28" t="s">
        <v>5594</v>
      </c>
    </row>
    <row r="858" spans="1:14">
      <c r="A858" t="s">
        <v>965</v>
      </c>
      <c r="B858" t="s">
        <v>60</v>
      </c>
      <c r="C858">
        <v>2049</v>
      </c>
      <c r="D858">
        <v>517</v>
      </c>
      <c r="E858" t="s">
        <v>961</v>
      </c>
      <c r="F858" s="35" t="s">
        <v>985</v>
      </c>
      <c r="G858" s="28" t="s">
        <v>1602</v>
      </c>
      <c r="H858" s="28" t="s">
        <v>1603</v>
      </c>
      <c r="I858" s="28" t="s">
        <v>5080</v>
      </c>
      <c r="J858" s="28" t="s">
        <v>5081</v>
      </c>
      <c r="K858" s="28" t="s">
        <v>5595</v>
      </c>
      <c r="L858" s="28" t="s">
        <v>5596</v>
      </c>
      <c r="M858" s="28" t="s">
        <v>5597</v>
      </c>
      <c r="N858" s="28" t="s">
        <v>5598</v>
      </c>
    </row>
    <row r="859" spans="1:14">
      <c r="A859" t="s">
        <v>965</v>
      </c>
      <c r="B859" t="s">
        <v>60</v>
      </c>
      <c r="C859">
        <v>2050</v>
      </c>
      <c r="D859">
        <v>836</v>
      </c>
      <c r="E859" t="s">
        <v>961</v>
      </c>
      <c r="F859" s="35" t="s">
        <v>985</v>
      </c>
      <c r="G859" s="28" t="s">
        <v>1616</v>
      </c>
      <c r="H859" s="28" t="s">
        <v>1603</v>
      </c>
      <c r="I859" s="28" t="s">
        <v>5194</v>
      </c>
      <c r="J859" s="28" t="s">
        <v>5081</v>
      </c>
      <c r="K859" s="28" t="s">
        <v>5599</v>
      </c>
      <c r="L859" s="28" t="s">
        <v>5596</v>
      </c>
      <c r="M859" s="28" t="s">
        <v>5600</v>
      </c>
      <c r="N859" s="28" t="s">
        <v>5598</v>
      </c>
    </row>
    <row r="860" spans="1:14">
      <c r="A860" t="s">
        <v>965</v>
      </c>
      <c r="B860" t="s">
        <v>60</v>
      </c>
      <c r="C860">
        <v>2051</v>
      </c>
      <c r="D860">
        <v>841</v>
      </c>
      <c r="E860" t="s">
        <v>961</v>
      </c>
      <c r="F860" s="35" t="s">
        <v>985</v>
      </c>
      <c r="G860" s="28" t="s">
        <v>1604</v>
      </c>
      <c r="H860" s="28" t="s">
        <v>1603</v>
      </c>
      <c r="I860" s="28" t="s">
        <v>5084</v>
      </c>
      <c r="J860" s="28" t="s">
        <v>5081</v>
      </c>
      <c r="K860" s="28" t="s">
        <v>5601</v>
      </c>
      <c r="L860" s="28" t="s">
        <v>5596</v>
      </c>
      <c r="M860" s="28" t="s">
        <v>5602</v>
      </c>
      <c r="N860" s="28" t="s">
        <v>5598</v>
      </c>
    </row>
    <row r="861" spans="1:14">
      <c r="A861" t="s">
        <v>965</v>
      </c>
      <c r="B861" t="s">
        <v>60</v>
      </c>
      <c r="C861">
        <v>2052</v>
      </c>
      <c r="D861">
        <v>953</v>
      </c>
      <c r="E861" t="s">
        <v>961</v>
      </c>
      <c r="F861" s="35" t="s">
        <v>985</v>
      </c>
      <c r="G861" s="28" t="s">
        <v>1605</v>
      </c>
      <c r="H861" s="28" t="s">
        <v>1603</v>
      </c>
      <c r="I861" s="28" t="s">
        <v>5086</v>
      </c>
      <c r="J861" s="28" t="s">
        <v>5081</v>
      </c>
      <c r="K861" s="28" t="s">
        <v>5603</v>
      </c>
      <c r="L861" s="28" t="s">
        <v>5596</v>
      </c>
      <c r="M861" s="28" t="s">
        <v>5604</v>
      </c>
      <c r="N861" s="28" t="s">
        <v>5598</v>
      </c>
    </row>
    <row r="862" spans="1:14">
      <c r="A862" t="s">
        <v>965</v>
      </c>
      <c r="B862" t="s">
        <v>60</v>
      </c>
      <c r="C862">
        <v>2053</v>
      </c>
      <c r="D862">
        <v>216</v>
      </c>
      <c r="E862" t="s">
        <v>961</v>
      </c>
      <c r="F862" s="35" t="s">
        <v>976</v>
      </c>
      <c r="G862" s="28" t="s">
        <v>1631</v>
      </c>
      <c r="H862" s="28" t="s">
        <v>1544</v>
      </c>
      <c r="I862" s="28" t="s">
        <v>5088</v>
      </c>
      <c r="J862" s="28" t="s">
        <v>5089</v>
      </c>
      <c r="K862" s="28" t="s">
        <v>5605</v>
      </c>
      <c r="L862" s="28" t="s">
        <v>5606</v>
      </c>
      <c r="M862" s="28" t="s">
        <v>5607</v>
      </c>
      <c r="N862" s="28" t="s">
        <v>4056</v>
      </c>
    </row>
    <row r="863" spans="1:14">
      <c r="A863" t="s">
        <v>965</v>
      </c>
      <c r="B863" t="s">
        <v>60</v>
      </c>
      <c r="C863">
        <v>2101</v>
      </c>
      <c r="D863">
        <v>1604</v>
      </c>
      <c r="E863" t="s">
        <v>961</v>
      </c>
      <c r="F863" s="35" t="s">
        <v>976</v>
      </c>
      <c r="G863" s="28" t="s">
        <v>1561</v>
      </c>
      <c r="H863" s="28" t="s">
        <v>1544</v>
      </c>
      <c r="I863" s="28" t="s">
        <v>5093</v>
      </c>
      <c r="J863" s="28" t="s">
        <v>5089</v>
      </c>
      <c r="K863" s="28" t="s">
        <v>5608</v>
      </c>
      <c r="L863" s="28" t="s">
        <v>5606</v>
      </c>
      <c r="M863" s="28" t="s">
        <v>5609</v>
      </c>
      <c r="N863" s="28" t="s">
        <v>4056</v>
      </c>
    </row>
    <row r="864" spans="1:14">
      <c r="A864" t="s">
        <v>965</v>
      </c>
      <c r="B864" t="s">
        <v>60</v>
      </c>
      <c r="C864">
        <v>2102</v>
      </c>
      <c r="D864">
        <v>1113</v>
      </c>
      <c r="E864" t="s">
        <v>961</v>
      </c>
      <c r="F864" s="35" t="s">
        <v>976</v>
      </c>
      <c r="G864" s="28" t="s">
        <v>1543</v>
      </c>
      <c r="H864" s="28" t="s">
        <v>1544</v>
      </c>
      <c r="I864" s="28" t="s">
        <v>5095</v>
      </c>
      <c r="J864" s="28" t="s">
        <v>5089</v>
      </c>
      <c r="K864" s="28" t="s">
        <v>5610</v>
      </c>
      <c r="L864" s="28" t="s">
        <v>5606</v>
      </c>
      <c r="M864" s="28" t="s">
        <v>4055</v>
      </c>
      <c r="N864" s="28" t="s">
        <v>4056</v>
      </c>
    </row>
    <row r="865" spans="1:14">
      <c r="A865" t="s">
        <v>965</v>
      </c>
      <c r="B865" t="s">
        <v>60</v>
      </c>
      <c r="C865">
        <v>2105</v>
      </c>
      <c r="D865">
        <v>1839</v>
      </c>
      <c r="E865" t="s">
        <v>961</v>
      </c>
      <c r="F865" s="35" t="s">
        <v>975</v>
      </c>
      <c r="G865" s="28" t="s">
        <v>1547</v>
      </c>
      <c r="H865" s="28" t="s">
        <v>1548</v>
      </c>
      <c r="I865" s="28" t="s">
        <v>5101</v>
      </c>
      <c r="J865" s="28" t="s">
        <v>5102</v>
      </c>
      <c r="K865" s="28" t="s">
        <v>5611</v>
      </c>
      <c r="L865" s="28" t="s">
        <v>5612</v>
      </c>
      <c r="M865" s="28" t="s">
        <v>4067</v>
      </c>
      <c r="N865" s="28" t="s">
        <v>4068</v>
      </c>
    </row>
    <row r="866" spans="1:14">
      <c r="A866" t="s">
        <v>965</v>
      </c>
      <c r="B866" t="s">
        <v>60</v>
      </c>
      <c r="C866">
        <v>2106</v>
      </c>
      <c r="D866">
        <v>669</v>
      </c>
      <c r="E866" t="s">
        <v>961</v>
      </c>
      <c r="F866" s="35" t="s">
        <v>975</v>
      </c>
      <c r="G866" s="28" t="s">
        <v>1549</v>
      </c>
      <c r="H866" s="28" t="s">
        <v>1548</v>
      </c>
      <c r="I866" s="28" t="s">
        <v>5105</v>
      </c>
      <c r="J866" s="28" t="s">
        <v>5102</v>
      </c>
      <c r="K866" s="28" t="s">
        <v>5613</v>
      </c>
      <c r="L866" s="28" t="s">
        <v>5612</v>
      </c>
      <c r="M866" s="28" t="s">
        <v>4071</v>
      </c>
      <c r="N866" s="28" t="s">
        <v>4068</v>
      </c>
    </row>
    <row r="867" spans="1:14">
      <c r="A867" t="s">
        <v>965</v>
      </c>
      <c r="B867" t="s">
        <v>60</v>
      </c>
      <c r="C867">
        <v>2107</v>
      </c>
      <c r="D867">
        <v>836</v>
      </c>
      <c r="E867" t="s">
        <v>961</v>
      </c>
      <c r="F867" s="35" t="s">
        <v>975</v>
      </c>
      <c r="G867" s="28" t="s">
        <v>1550</v>
      </c>
      <c r="H867" s="28" t="s">
        <v>1548</v>
      </c>
      <c r="I867" s="28" t="s">
        <v>5107</v>
      </c>
      <c r="J867" s="28" t="s">
        <v>5102</v>
      </c>
      <c r="K867" s="28" t="s">
        <v>5614</v>
      </c>
      <c r="L867" s="28" t="s">
        <v>5612</v>
      </c>
      <c r="M867" s="28" t="s">
        <v>4074</v>
      </c>
      <c r="N867" s="28" t="s">
        <v>4068</v>
      </c>
    </row>
    <row r="868" spans="1:14">
      <c r="A868" t="s">
        <v>965</v>
      </c>
      <c r="B868" t="s">
        <v>60</v>
      </c>
      <c r="C868">
        <v>2108</v>
      </c>
      <c r="D868">
        <v>461</v>
      </c>
      <c r="E868" t="s">
        <v>961</v>
      </c>
      <c r="F868" s="35" t="s">
        <v>975</v>
      </c>
      <c r="G868" s="28" t="s">
        <v>1551</v>
      </c>
      <c r="H868" s="28" t="s">
        <v>1548</v>
      </c>
      <c r="I868" s="28" t="s">
        <v>5109</v>
      </c>
      <c r="J868" s="28" t="s">
        <v>5102</v>
      </c>
      <c r="K868" s="28" t="s">
        <v>5615</v>
      </c>
      <c r="L868" s="28" t="s">
        <v>5612</v>
      </c>
      <c r="M868" s="28" t="s">
        <v>4077</v>
      </c>
      <c r="N868" s="28" t="s">
        <v>4068</v>
      </c>
    </row>
    <row r="869" spans="1:14">
      <c r="A869" t="s">
        <v>965</v>
      </c>
      <c r="B869" t="s">
        <v>60</v>
      </c>
      <c r="C869">
        <v>2109</v>
      </c>
      <c r="D869">
        <v>186</v>
      </c>
      <c r="E869" t="s">
        <v>961</v>
      </c>
      <c r="F869" s="35" t="s">
        <v>969</v>
      </c>
      <c r="G869" s="28" t="s">
        <v>1552</v>
      </c>
      <c r="H869" s="28" t="s">
        <v>1553</v>
      </c>
      <c r="I869" s="28" t="s">
        <v>5111</v>
      </c>
      <c r="J869" s="28" t="s">
        <v>5112</v>
      </c>
      <c r="K869" s="28" t="s">
        <v>5616</v>
      </c>
      <c r="L869" s="28" t="s">
        <v>5617</v>
      </c>
      <c r="M869" s="28" t="s">
        <v>4082</v>
      </c>
      <c r="N869" s="28" t="s">
        <v>4083</v>
      </c>
    </row>
    <row r="870" spans="1:14">
      <c r="A870" t="s">
        <v>965</v>
      </c>
      <c r="B870" t="s">
        <v>60</v>
      </c>
      <c r="C870">
        <v>2110</v>
      </c>
      <c r="D870">
        <v>243</v>
      </c>
      <c r="E870" t="s">
        <v>961</v>
      </c>
      <c r="F870" s="35" t="s">
        <v>969</v>
      </c>
      <c r="G870" s="28" t="s">
        <v>1554</v>
      </c>
      <c r="H870" s="28" t="s">
        <v>1553</v>
      </c>
      <c r="I870" s="28" t="s">
        <v>5115</v>
      </c>
      <c r="J870" s="28" t="s">
        <v>5112</v>
      </c>
      <c r="K870" s="28" t="s">
        <v>5618</v>
      </c>
      <c r="L870" s="28" t="s">
        <v>5617</v>
      </c>
      <c r="M870" s="28" t="s">
        <v>4086</v>
      </c>
      <c r="N870" s="28" t="s">
        <v>4083</v>
      </c>
    </row>
    <row r="871" spans="1:14">
      <c r="A871" t="s">
        <v>965</v>
      </c>
      <c r="B871" t="s">
        <v>60</v>
      </c>
      <c r="C871">
        <v>2111</v>
      </c>
      <c r="D871">
        <v>23</v>
      </c>
      <c r="E871" t="s">
        <v>961</v>
      </c>
      <c r="F871" s="35" t="s">
        <v>969</v>
      </c>
      <c r="G871" s="28" t="s">
        <v>1555</v>
      </c>
      <c r="H871" s="28" t="s">
        <v>1553</v>
      </c>
      <c r="I871" s="28" t="s">
        <v>5117</v>
      </c>
      <c r="J871" s="28" t="s">
        <v>5112</v>
      </c>
      <c r="K871" s="28" t="s">
        <v>5619</v>
      </c>
      <c r="L871" s="28" t="s">
        <v>5617</v>
      </c>
      <c r="M871" s="28" t="s">
        <v>4089</v>
      </c>
      <c r="N871" s="28" t="s">
        <v>4083</v>
      </c>
    </row>
    <row r="872" spans="1:14">
      <c r="A872" t="s">
        <v>965</v>
      </c>
      <c r="B872" t="s">
        <v>60</v>
      </c>
      <c r="C872">
        <v>2112</v>
      </c>
      <c r="D872">
        <v>553</v>
      </c>
      <c r="E872" t="s">
        <v>961</v>
      </c>
      <c r="F872" s="35" t="s">
        <v>969</v>
      </c>
      <c r="G872" s="28" t="s">
        <v>1556</v>
      </c>
      <c r="H872" s="28" t="s">
        <v>1553</v>
      </c>
      <c r="I872" s="28" t="s">
        <v>5214</v>
      </c>
      <c r="J872" s="28" t="s">
        <v>5112</v>
      </c>
      <c r="K872" s="28" t="s">
        <v>5620</v>
      </c>
      <c r="L872" s="28" t="s">
        <v>5617</v>
      </c>
      <c r="M872" s="28" t="s">
        <v>4092</v>
      </c>
      <c r="N872" s="28" t="s">
        <v>4083</v>
      </c>
    </row>
    <row r="873" spans="1:14">
      <c r="A873" t="s">
        <v>965</v>
      </c>
      <c r="B873" t="s">
        <v>60</v>
      </c>
      <c r="C873">
        <v>2113</v>
      </c>
      <c r="D873">
        <v>253</v>
      </c>
      <c r="E873" t="s">
        <v>961</v>
      </c>
      <c r="F873" s="35" t="s">
        <v>969</v>
      </c>
      <c r="G873" s="28" t="s">
        <v>1557</v>
      </c>
      <c r="H873" s="28" t="s">
        <v>1553</v>
      </c>
      <c r="I873" s="28" t="s">
        <v>5119</v>
      </c>
      <c r="J873" s="28" t="s">
        <v>5112</v>
      </c>
      <c r="K873" s="28" t="s">
        <v>5621</v>
      </c>
      <c r="L873" s="28" t="s">
        <v>5617</v>
      </c>
      <c r="M873" s="28" t="s">
        <v>4095</v>
      </c>
      <c r="N873" s="28" t="s">
        <v>4083</v>
      </c>
    </row>
    <row r="874" spans="1:14">
      <c r="A874" t="s">
        <v>965</v>
      </c>
      <c r="B874" t="s">
        <v>60</v>
      </c>
      <c r="C874">
        <v>2115</v>
      </c>
      <c r="D874">
        <v>29</v>
      </c>
      <c r="E874" t="s">
        <v>961</v>
      </c>
      <c r="F874" s="35" t="s">
        <v>970</v>
      </c>
      <c r="G874" s="28" t="s">
        <v>1559</v>
      </c>
      <c r="H874" s="28" t="s">
        <v>1529</v>
      </c>
      <c r="I874" s="28" t="s">
        <v>5220</v>
      </c>
      <c r="J874" s="28" t="s">
        <v>5123</v>
      </c>
      <c r="K874" s="28" t="s">
        <v>5622</v>
      </c>
      <c r="L874" s="28" t="s">
        <v>5623</v>
      </c>
      <c r="M874" s="28" t="s">
        <v>4101</v>
      </c>
      <c r="N874" s="28" t="s">
        <v>4011</v>
      </c>
    </row>
    <row r="875" spans="1:14">
      <c r="A875" t="s">
        <v>965</v>
      </c>
      <c r="B875" t="s">
        <v>60</v>
      </c>
      <c r="C875">
        <v>2116</v>
      </c>
      <c r="D875">
        <v>523</v>
      </c>
      <c r="E875" t="s">
        <v>961</v>
      </c>
      <c r="F875" s="35" t="s">
        <v>970</v>
      </c>
      <c r="G875" s="28" t="s">
        <v>1528</v>
      </c>
      <c r="H875" s="28" t="s">
        <v>1529</v>
      </c>
      <c r="I875" s="28" t="s">
        <v>5222</v>
      </c>
      <c r="J875" s="28" t="s">
        <v>5123</v>
      </c>
      <c r="K875" s="28" t="s">
        <v>5624</v>
      </c>
      <c r="L875" s="28" t="s">
        <v>5623</v>
      </c>
      <c r="M875" s="28" t="s">
        <v>4010</v>
      </c>
      <c r="N875" s="28" t="s">
        <v>4011</v>
      </c>
    </row>
    <row r="876" spans="1:14">
      <c r="A876" t="s">
        <v>965</v>
      </c>
      <c r="B876" t="s">
        <v>60</v>
      </c>
      <c r="C876">
        <v>2117</v>
      </c>
      <c r="D876">
        <v>1</v>
      </c>
      <c r="E876" t="s">
        <v>961</v>
      </c>
      <c r="F876" s="35" t="s">
        <v>970</v>
      </c>
      <c r="G876" s="28" t="s">
        <v>1560</v>
      </c>
      <c r="H876" s="28" t="s">
        <v>1529</v>
      </c>
      <c r="I876" s="28" t="s">
        <v>5126</v>
      </c>
      <c r="J876" s="28" t="s">
        <v>5123</v>
      </c>
      <c r="K876" s="28" t="s">
        <v>5625</v>
      </c>
      <c r="L876" s="28" t="s">
        <v>5623</v>
      </c>
      <c r="M876" s="28" t="s">
        <v>4104</v>
      </c>
      <c r="N876" s="28" t="s">
        <v>4011</v>
      </c>
    </row>
    <row r="877" spans="1:14">
      <c r="A877" t="s">
        <v>965</v>
      </c>
      <c r="B877" t="s">
        <v>52</v>
      </c>
      <c r="C877">
        <v>2109</v>
      </c>
      <c r="D877">
        <v>52</v>
      </c>
      <c r="E877" t="s">
        <v>960</v>
      </c>
      <c r="F877" s="35" t="s">
        <v>969</v>
      </c>
      <c r="G877" s="28" t="s">
        <v>1525</v>
      </c>
      <c r="H877" s="28" t="s">
        <v>1497</v>
      </c>
      <c r="I877" s="28" t="s">
        <v>5626</v>
      </c>
      <c r="J877" s="28" t="s">
        <v>5627</v>
      </c>
      <c r="K877" s="28" t="s">
        <v>5628</v>
      </c>
      <c r="L877" s="28" t="s">
        <v>5629</v>
      </c>
      <c r="M877" s="28" t="s">
        <v>3810</v>
      </c>
      <c r="N877" s="28" t="s">
        <v>3570</v>
      </c>
    </row>
    <row r="878" spans="1:14">
      <c r="A878" t="s">
        <v>965</v>
      </c>
      <c r="B878" t="s">
        <v>52</v>
      </c>
      <c r="C878">
        <v>2111</v>
      </c>
      <c r="D878">
        <v>90</v>
      </c>
      <c r="E878" t="s">
        <v>960</v>
      </c>
      <c r="F878" s="35" t="s">
        <v>969</v>
      </c>
      <c r="G878" s="28" t="s">
        <v>1526</v>
      </c>
      <c r="H878" s="28" t="s">
        <v>1497</v>
      </c>
      <c r="I878" s="28" t="s">
        <v>5630</v>
      </c>
      <c r="J878" s="28" t="s">
        <v>5627</v>
      </c>
      <c r="K878" s="28" t="s">
        <v>5631</v>
      </c>
      <c r="L878" s="28" t="s">
        <v>5629</v>
      </c>
      <c r="M878" s="28" t="s">
        <v>3813</v>
      </c>
      <c r="N878" s="28" t="s">
        <v>3570</v>
      </c>
    </row>
    <row r="879" spans="1:14">
      <c r="A879" t="s">
        <v>965</v>
      </c>
      <c r="B879" t="s">
        <v>52</v>
      </c>
      <c r="C879">
        <v>2112</v>
      </c>
      <c r="D879">
        <v>35</v>
      </c>
      <c r="E879" t="s">
        <v>960</v>
      </c>
      <c r="F879" s="35" t="s">
        <v>969</v>
      </c>
      <c r="G879" s="28" t="s">
        <v>1496</v>
      </c>
      <c r="H879" s="28" t="s">
        <v>1497</v>
      </c>
      <c r="I879" s="28" t="s">
        <v>5632</v>
      </c>
      <c r="J879" s="28" t="s">
        <v>5627</v>
      </c>
      <c r="K879" s="28" t="s">
        <v>5633</v>
      </c>
      <c r="L879" s="28" t="s">
        <v>5629</v>
      </c>
      <c r="M879" s="28" t="s">
        <v>3569</v>
      </c>
      <c r="N879" s="28" t="s">
        <v>3570</v>
      </c>
    </row>
    <row r="880" spans="1:14">
      <c r="A880" t="s">
        <v>965</v>
      </c>
      <c r="B880" t="s">
        <v>52</v>
      </c>
      <c r="C880">
        <v>2113</v>
      </c>
      <c r="D880">
        <v>20</v>
      </c>
      <c r="E880" t="s">
        <v>960</v>
      </c>
      <c r="F880" s="35" t="s">
        <v>969</v>
      </c>
      <c r="G880" s="28" t="s">
        <v>1498</v>
      </c>
      <c r="H880" s="28" t="s">
        <v>1497</v>
      </c>
      <c r="I880" s="28" t="s">
        <v>5634</v>
      </c>
      <c r="J880" s="28" t="s">
        <v>5627</v>
      </c>
      <c r="K880" s="28" t="s">
        <v>5635</v>
      </c>
      <c r="L880" s="28" t="s">
        <v>5629</v>
      </c>
      <c r="M880" s="28" t="s">
        <v>3573</v>
      </c>
      <c r="N880" s="28" t="s">
        <v>3570</v>
      </c>
    </row>
    <row r="881" spans="1:14">
      <c r="A881" t="s">
        <v>965</v>
      </c>
      <c r="B881" t="s">
        <v>52</v>
      </c>
      <c r="C881">
        <v>2114</v>
      </c>
      <c r="D881">
        <v>407</v>
      </c>
      <c r="E881" t="s">
        <v>960</v>
      </c>
      <c r="F881" s="35" t="s">
        <v>970</v>
      </c>
      <c r="G881" s="28" t="s">
        <v>1499</v>
      </c>
      <c r="H881" s="28" t="s">
        <v>1500</v>
      </c>
      <c r="I881" s="28" t="s">
        <v>5538</v>
      </c>
      <c r="J881" s="28" t="s">
        <v>5539</v>
      </c>
      <c r="K881" s="28" t="s">
        <v>5636</v>
      </c>
      <c r="L881" s="28" t="s">
        <v>5637</v>
      </c>
      <c r="M881" s="28" t="s">
        <v>3578</v>
      </c>
      <c r="N881" s="28" t="s">
        <v>3579</v>
      </c>
    </row>
    <row r="882" spans="1:14">
      <c r="A882" t="s">
        <v>965</v>
      </c>
      <c r="B882" t="s">
        <v>52</v>
      </c>
      <c r="C882">
        <v>2115</v>
      </c>
      <c r="D882">
        <v>1143</v>
      </c>
      <c r="E882" t="s">
        <v>960</v>
      </c>
      <c r="F882" s="35" t="s">
        <v>970</v>
      </c>
      <c r="G882" s="28" t="s">
        <v>1520</v>
      </c>
      <c r="H882" s="28" t="s">
        <v>1500</v>
      </c>
      <c r="I882" s="28" t="s">
        <v>5543</v>
      </c>
      <c r="J882" s="28" t="s">
        <v>5539</v>
      </c>
      <c r="K882" s="28" t="s">
        <v>5638</v>
      </c>
      <c r="L882" s="28" t="s">
        <v>5637</v>
      </c>
      <c r="M882" s="28" t="s">
        <v>3824</v>
      </c>
      <c r="N882" s="28" t="s">
        <v>3579</v>
      </c>
    </row>
    <row r="883" spans="1:14">
      <c r="A883" t="s">
        <v>965</v>
      </c>
      <c r="B883" t="s">
        <v>52</v>
      </c>
      <c r="C883">
        <v>2116</v>
      </c>
      <c r="D883">
        <v>2098</v>
      </c>
      <c r="E883" t="s">
        <v>960</v>
      </c>
      <c r="F883" s="35" t="s">
        <v>970</v>
      </c>
      <c r="G883" s="28" t="s">
        <v>1501</v>
      </c>
      <c r="H883" s="28" t="s">
        <v>1500</v>
      </c>
      <c r="I883" s="28" t="s">
        <v>5546</v>
      </c>
      <c r="J883" s="28" t="s">
        <v>5539</v>
      </c>
      <c r="K883" s="28" t="s">
        <v>5639</v>
      </c>
      <c r="L883" s="28" t="s">
        <v>5637</v>
      </c>
      <c r="M883" s="28" t="s">
        <v>3582</v>
      </c>
      <c r="N883" s="28" t="s">
        <v>3579</v>
      </c>
    </row>
    <row r="884" spans="1:14">
      <c r="A884" t="s">
        <v>965</v>
      </c>
      <c r="B884" t="s">
        <v>52</v>
      </c>
      <c r="C884">
        <v>2117</v>
      </c>
      <c r="D884">
        <v>1254</v>
      </c>
      <c r="E884" t="s">
        <v>960</v>
      </c>
      <c r="F884" s="35" t="s">
        <v>970</v>
      </c>
      <c r="G884" s="28" t="s">
        <v>1527</v>
      </c>
      <c r="H884" s="28" t="s">
        <v>1500</v>
      </c>
      <c r="I884" s="28" t="s">
        <v>5548</v>
      </c>
      <c r="J884" s="28" t="s">
        <v>5539</v>
      </c>
      <c r="K884" s="28" t="s">
        <v>5640</v>
      </c>
      <c r="L884" s="28" t="s">
        <v>5637</v>
      </c>
      <c r="M884" s="28" t="s">
        <v>3829</v>
      </c>
      <c r="N884" s="28" t="s">
        <v>3579</v>
      </c>
    </row>
    <row r="885" spans="1:14">
      <c r="A885" t="s">
        <v>965</v>
      </c>
      <c r="B885" t="s">
        <v>52</v>
      </c>
      <c r="C885">
        <v>2118</v>
      </c>
      <c r="D885">
        <v>858</v>
      </c>
      <c r="E885" t="s">
        <v>960</v>
      </c>
      <c r="F885" s="35" t="s">
        <v>971</v>
      </c>
      <c r="G885" s="28" t="s">
        <v>1502</v>
      </c>
      <c r="H885" s="28" t="s">
        <v>1503</v>
      </c>
      <c r="I885" s="28" t="s">
        <v>5550</v>
      </c>
      <c r="J885" s="28" t="s">
        <v>5519</v>
      </c>
      <c r="K885" s="28" t="s">
        <v>5641</v>
      </c>
      <c r="L885" s="28" t="s">
        <v>5642</v>
      </c>
      <c r="M885" s="28" t="s">
        <v>3587</v>
      </c>
      <c r="N885" s="28" t="s">
        <v>3588</v>
      </c>
    </row>
    <row r="886" spans="1:14">
      <c r="A886" t="s">
        <v>965</v>
      </c>
      <c r="B886" t="s">
        <v>52</v>
      </c>
      <c r="C886">
        <v>2120</v>
      </c>
      <c r="D886">
        <v>559</v>
      </c>
      <c r="E886" t="s">
        <v>960</v>
      </c>
      <c r="F886" s="35" t="s">
        <v>971</v>
      </c>
      <c r="G886" s="28" t="s">
        <v>1504</v>
      </c>
      <c r="H886" s="28" t="s">
        <v>1503</v>
      </c>
      <c r="I886" s="28" t="s">
        <v>5553</v>
      </c>
      <c r="J886" s="28" t="s">
        <v>5519</v>
      </c>
      <c r="K886" s="28" t="s">
        <v>5643</v>
      </c>
      <c r="L886" s="28" t="s">
        <v>5642</v>
      </c>
      <c r="M886" s="28" t="s">
        <v>3591</v>
      </c>
      <c r="N886" s="28" t="s">
        <v>3588</v>
      </c>
    </row>
    <row r="887" spans="1:14">
      <c r="A887" t="s">
        <v>965</v>
      </c>
      <c r="B887" t="s">
        <v>52</v>
      </c>
      <c r="C887">
        <v>2121</v>
      </c>
      <c r="D887">
        <v>882</v>
      </c>
      <c r="E887" t="s">
        <v>960</v>
      </c>
      <c r="F887" s="35" t="s">
        <v>971</v>
      </c>
      <c r="G887" s="28" t="s">
        <v>1518</v>
      </c>
      <c r="H887" s="28" t="s">
        <v>1503</v>
      </c>
      <c r="I887" s="28" t="s">
        <v>5518</v>
      </c>
      <c r="J887" s="28" t="s">
        <v>5519</v>
      </c>
      <c r="K887" s="28" t="s">
        <v>5644</v>
      </c>
      <c r="L887" s="28" t="s">
        <v>5642</v>
      </c>
      <c r="M887" s="28" t="s">
        <v>3838</v>
      </c>
      <c r="N887" s="28" t="s">
        <v>3588</v>
      </c>
    </row>
    <row r="888" spans="1:14">
      <c r="A888" t="s">
        <v>965</v>
      </c>
      <c r="B888" t="s">
        <v>52</v>
      </c>
      <c r="C888">
        <v>2122</v>
      </c>
      <c r="D888">
        <v>1317</v>
      </c>
      <c r="E888" t="s">
        <v>960</v>
      </c>
      <c r="F888" s="35" t="s">
        <v>971</v>
      </c>
      <c r="G888" s="28" t="s">
        <v>1519</v>
      </c>
      <c r="H888" s="28" t="s">
        <v>1503</v>
      </c>
      <c r="I888" s="28" t="s">
        <v>5522</v>
      </c>
      <c r="J888" s="28" t="s">
        <v>5519</v>
      </c>
      <c r="K888" s="28" t="s">
        <v>5645</v>
      </c>
      <c r="L888" s="28" t="s">
        <v>5642</v>
      </c>
      <c r="M888" s="28" t="s">
        <v>3840</v>
      </c>
      <c r="N888" s="28" t="s">
        <v>3588</v>
      </c>
    </row>
    <row r="889" spans="1:14">
      <c r="A889" t="s">
        <v>965</v>
      </c>
      <c r="B889" t="s">
        <v>52</v>
      </c>
      <c r="C889">
        <v>2123</v>
      </c>
      <c r="D889">
        <v>783</v>
      </c>
      <c r="E889" t="s">
        <v>960</v>
      </c>
      <c r="F889" s="35" t="s">
        <v>972</v>
      </c>
      <c r="G889" s="28" t="s">
        <v>1505</v>
      </c>
      <c r="H889" s="28" t="s">
        <v>1506</v>
      </c>
      <c r="I889" s="28" t="s">
        <v>5524</v>
      </c>
      <c r="J889" s="28" t="s">
        <v>5525</v>
      </c>
      <c r="K889" s="28" t="s">
        <v>5646</v>
      </c>
      <c r="L889" s="28" t="s">
        <v>5647</v>
      </c>
      <c r="M889" s="28" t="s">
        <v>3596</v>
      </c>
      <c r="N889" s="28" t="s">
        <v>3597</v>
      </c>
    </row>
    <row r="890" spans="1:14">
      <c r="A890" t="s">
        <v>965</v>
      </c>
      <c r="B890" t="s">
        <v>52</v>
      </c>
      <c r="C890">
        <v>2124</v>
      </c>
      <c r="D890">
        <v>897</v>
      </c>
      <c r="E890" t="s">
        <v>960</v>
      </c>
      <c r="F890" s="35" t="s">
        <v>972</v>
      </c>
      <c r="G890" s="28" t="s">
        <v>1521</v>
      </c>
      <c r="H890" s="28" t="s">
        <v>1506</v>
      </c>
      <c r="I890" s="28" t="s">
        <v>5559</v>
      </c>
      <c r="J890" s="28" t="s">
        <v>5525</v>
      </c>
      <c r="K890" s="28" t="s">
        <v>5648</v>
      </c>
      <c r="L890" s="28" t="s">
        <v>5647</v>
      </c>
      <c r="M890" s="28" t="s">
        <v>3844</v>
      </c>
      <c r="N890" s="28" t="s">
        <v>3597</v>
      </c>
    </row>
    <row r="891" spans="1:14">
      <c r="A891" t="s">
        <v>965</v>
      </c>
      <c r="B891" t="s">
        <v>52</v>
      </c>
      <c r="C891">
        <v>2125</v>
      </c>
      <c r="D891">
        <v>353</v>
      </c>
      <c r="E891" t="s">
        <v>960</v>
      </c>
      <c r="F891" s="35" t="s">
        <v>972</v>
      </c>
      <c r="G891" s="28" t="s">
        <v>1522</v>
      </c>
      <c r="H891" s="28" t="s">
        <v>1506</v>
      </c>
      <c r="I891" s="28" t="s">
        <v>5528</v>
      </c>
      <c r="J891" s="28" t="s">
        <v>5525</v>
      </c>
      <c r="K891" s="28" t="s">
        <v>5649</v>
      </c>
      <c r="L891" s="28" t="s">
        <v>5647</v>
      </c>
      <c r="M891" s="28" t="s">
        <v>3846</v>
      </c>
      <c r="N891" s="28" t="s">
        <v>3597</v>
      </c>
    </row>
    <row r="892" spans="1:14">
      <c r="A892" t="s">
        <v>965</v>
      </c>
      <c r="B892" t="s">
        <v>52</v>
      </c>
      <c r="C892">
        <v>2126</v>
      </c>
      <c r="D892">
        <v>179</v>
      </c>
      <c r="E892" t="s">
        <v>960</v>
      </c>
      <c r="F892" s="35" t="s">
        <v>972</v>
      </c>
      <c r="G892" s="28" t="s">
        <v>1514</v>
      </c>
      <c r="H892" s="28" t="s">
        <v>1506</v>
      </c>
      <c r="I892" s="28" t="s">
        <v>5562</v>
      </c>
      <c r="J892" s="28" t="s">
        <v>5525</v>
      </c>
      <c r="K892" s="28" t="s">
        <v>5650</v>
      </c>
      <c r="L892" s="28" t="s">
        <v>5647</v>
      </c>
      <c r="M892" s="28" t="s">
        <v>3848</v>
      </c>
      <c r="N892" s="28" t="s">
        <v>3597</v>
      </c>
    </row>
    <row r="893" spans="1:14">
      <c r="A893" t="s">
        <v>965</v>
      </c>
      <c r="B893" t="s">
        <v>52</v>
      </c>
      <c r="C893">
        <v>2128</v>
      </c>
      <c r="D893">
        <v>453</v>
      </c>
      <c r="E893" t="s">
        <v>960</v>
      </c>
      <c r="F893" s="35" t="s">
        <v>973</v>
      </c>
      <c r="G893" s="28" t="s">
        <v>1509</v>
      </c>
      <c r="H893" s="28" t="s">
        <v>1508</v>
      </c>
      <c r="I893" s="28" t="s">
        <v>5530</v>
      </c>
      <c r="J893" s="28" t="s">
        <v>5507</v>
      </c>
      <c r="K893" s="28" t="s">
        <v>5651</v>
      </c>
      <c r="L893" s="28" t="s">
        <v>5652</v>
      </c>
      <c r="M893" s="28" t="s">
        <v>3606</v>
      </c>
      <c r="N893" s="28" t="s">
        <v>3603</v>
      </c>
    </row>
    <row r="894" spans="1:14">
      <c r="A894" t="s">
        <v>965</v>
      </c>
      <c r="B894" t="s">
        <v>52</v>
      </c>
      <c r="C894">
        <v>2129</v>
      </c>
      <c r="D894">
        <v>1772</v>
      </c>
      <c r="E894" t="s">
        <v>960</v>
      </c>
      <c r="F894" s="35" t="s">
        <v>973</v>
      </c>
      <c r="G894" s="28" t="s">
        <v>1510</v>
      </c>
      <c r="H894" s="28" t="s">
        <v>1508</v>
      </c>
      <c r="I894" s="28" t="s">
        <v>5506</v>
      </c>
      <c r="J894" s="28" t="s">
        <v>5507</v>
      </c>
      <c r="K894" s="28" t="s">
        <v>5653</v>
      </c>
      <c r="L894" s="28" t="s">
        <v>5652</v>
      </c>
      <c r="M894" s="28" t="s">
        <v>3609</v>
      </c>
      <c r="N894" s="28" t="s">
        <v>3603</v>
      </c>
    </row>
    <row r="895" spans="1:14">
      <c r="A895" t="s">
        <v>965</v>
      </c>
      <c r="B895" t="s">
        <v>52</v>
      </c>
      <c r="C895">
        <v>2130</v>
      </c>
      <c r="D895">
        <v>773</v>
      </c>
      <c r="E895" t="s">
        <v>960</v>
      </c>
      <c r="F895" s="35" t="s">
        <v>973</v>
      </c>
      <c r="G895" s="28" t="s">
        <v>1511</v>
      </c>
      <c r="H895" s="28" t="s">
        <v>1508</v>
      </c>
      <c r="I895" s="28" t="s">
        <v>5534</v>
      </c>
      <c r="J895" s="28" t="s">
        <v>5507</v>
      </c>
      <c r="K895" s="28" t="s">
        <v>5654</v>
      </c>
      <c r="L895" s="28" t="s">
        <v>5652</v>
      </c>
      <c r="M895" s="28" t="s">
        <v>3612</v>
      </c>
      <c r="N895" s="28" t="s">
        <v>3603</v>
      </c>
    </row>
    <row r="896" spans="1:14">
      <c r="A896" t="s">
        <v>965</v>
      </c>
      <c r="B896" t="s">
        <v>52</v>
      </c>
      <c r="C896">
        <v>2131</v>
      </c>
      <c r="D896">
        <v>45</v>
      </c>
      <c r="E896" t="s">
        <v>960</v>
      </c>
      <c r="F896" s="35" t="s">
        <v>974</v>
      </c>
      <c r="G896" s="28" t="s">
        <v>1515</v>
      </c>
      <c r="H896" s="28" t="s">
        <v>1513</v>
      </c>
      <c r="I896" s="28" t="s">
        <v>5510</v>
      </c>
      <c r="J896" s="28" t="s">
        <v>5511</v>
      </c>
      <c r="K896" s="28" t="s">
        <v>5655</v>
      </c>
      <c r="L896" s="28" t="s">
        <v>5656</v>
      </c>
      <c r="M896" s="28" t="s">
        <v>5657</v>
      </c>
      <c r="N896" s="28" t="s">
        <v>3618</v>
      </c>
    </row>
    <row r="897" spans="1:14">
      <c r="A897" t="s">
        <v>965</v>
      </c>
      <c r="B897" t="s">
        <v>52</v>
      </c>
      <c r="C897">
        <v>2132</v>
      </c>
      <c r="D897">
        <v>1826</v>
      </c>
      <c r="E897" t="s">
        <v>960</v>
      </c>
      <c r="F897" s="35" t="s">
        <v>974</v>
      </c>
      <c r="G897" s="28" t="s">
        <v>1516</v>
      </c>
      <c r="H897" s="28" t="s">
        <v>1513</v>
      </c>
      <c r="I897" s="28" t="s">
        <v>5514</v>
      </c>
      <c r="J897" s="28" t="s">
        <v>5511</v>
      </c>
      <c r="K897" s="28" t="s">
        <v>5658</v>
      </c>
      <c r="L897" s="28" t="s">
        <v>5656</v>
      </c>
      <c r="M897" s="28" t="s">
        <v>3856</v>
      </c>
      <c r="N897" s="28" t="s">
        <v>3618</v>
      </c>
    </row>
    <row r="898" spans="1:14">
      <c r="A898" t="s">
        <v>965</v>
      </c>
      <c r="B898" t="s">
        <v>52</v>
      </c>
      <c r="C898">
        <v>2133</v>
      </c>
      <c r="D898">
        <v>600</v>
      </c>
      <c r="E898" t="s">
        <v>960</v>
      </c>
      <c r="F898" s="35" t="s">
        <v>974</v>
      </c>
      <c r="G898" s="28" t="s">
        <v>1512</v>
      </c>
      <c r="H898" s="28" t="s">
        <v>1513</v>
      </c>
      <c r="I898" s="28" t="s">
        <v>5516</v>
      </c>
      <c r="J898" s="28" t="s">
        <v>5511</v>
      </c>
      <c r="K898" s="28" t="s">
        <v>5659</v>
      </c>
      <c r="L898" s="28" t="s">
        <v>5656</v>
      </c>
      <c r="M898" s="28" t="s">
        <v>3617</v>
      </c>
      <c r="N898" s="28" t="s">
        <v>3618</v>
      </c>
    </row>
    <row r="899" spans="1:14">
      <c r="A899" t="s">
        <v>965</v>
      </c>
      <c r="B899" t="s">
        <v>52</v>
      </c>
      <c r="C899">
        <v>2134</v>
      </c>
      <c r="D899">
        <v>1385</v>
      </c>
      <c r="E899" t="s">
        <v>960</v>
      </c>
      <c r="F899" s="35" t="s">
        <v>974</v>
      </c>
      <c r="G899" s="28" t="s">
        <v>6016</v>
      </c>
      <c r="H899" s="28" t="s">
        <v>1513</v>
      </c>
      <c r="I899" s="28" t="s">
        <v>6017</v>
      </c>
      <c r="J899" s="28" t="s">
        <v>5511</v>
      </c>
      <c r="K899" s="28" t="s">
        <v>6022</v>
      </c>
      <c r="L899" s="28" t="s">
        <v>5656</v>
      </c>
      <c r="M899" s="28" t="s">
        <v>6023</v>
      </c>
      <c r="N899" s="28" t="s">
        <v>3618</v>
      </c>
    </row>
    <row r="900" spans="1:14">
      <c r="A900" t="s">
        <v>965</v>
      </c>
      <c r="B900" t="s">
        <v>52</v>
      </c>
      <c r="C900">
        <v>2136</v>
      </c>
      <c r="D900">
        <v>1399</v>
      </c>
      <c r="E900" t="s">
        <v>960</v>
      </c>
      <c r="F900" s="35" t="s">
        <v>997</v>
      </c>
      <c r="G900" s="28" t="s">
        <v>6270</v>
      </c>
      <c r="H900" s="28" t="s">
        <v>6271</v>
      </c>
      <c r="I900" s="28" t="s">
        <v>6340</v>
      </c>
      <c r="J900" s="28" t="s">
        <v>6341</v>
      </c>
      <c r="K900" s="28" t="s">
        <v>6342</v>
      </c>
      <c r="L900" s="28" t="s">
        <v>6343</v>
      </c>
      <c r="M900" s="28" t="s">
        <v>6288</v>
      </c>
      <c r="N900" s="28" t="s">
        <v>6289</v>
      </c>
    </row>
    <row r="901" spans="1:14">
      <c r="A901" t="s">
        <v>965</v>
      </c>
      <c r="B901" t="s">
        <v>52</v>
      </c>
      <c r="C901">
        <v>2137</v>
      </c>
      <c r="D901">
        <v>8</v>
      </c>
      <c r="E901" t="s">
        <v>960</v>
      </c>
      <c r="F901" s="35" t="s">
        <v>997</v>
      </c>
      <c r="G901" s="28" t="s">
        <v>6435</v>
      </c>
      <c r="H901" s="28" t="s">
        <v>6271</v>
      </c>
      <c r="I901" s="28" t="s">
        <v>6472</v>
      </c>
      <c r="J901" s="28" t="s">
        <v>6341</v>
      </c>
      <c r="K901" s="28" t="s">
        <v>6477</v>
      </c>
      <c r="L901" s="28" t="s">
        <v>6343</v>
      </c>
      <c r="M901" s="28" t="s">
        <v>6444</v>
      </c>
      <c r="N901" s="28" t="s">
        <v>6289</v>
      </c>
    </row>
    <row r="902" spans="1:14">
      <c r="A902" t="s">
        <v>965</v>
      </c>
      <c r="B902" t="s">
        <v>62</v>
      </c>
      <c r="C902">
        <v>2120</v>
      </c>
      <c r="D902">
        <v>347</v>
      </c>
      <c r="E902" t="s">
        <v>961</v>
      </c>
      <c r="F902" s="35" t="s">
        <v>971</v>
      </c>
      <c r="G902" s="28" t="s">
        <v>1564</v>
      </c>
      <c r="H902" s="28" t="s">
        <v>1531</v>
      </c>
      <c r="I902" s="28" t="s">
        <v>5129</v>
      </c>
      <c r="J902" s="28" t="s">
        <v>5130</v>
      </c>
      <c r="K902" s="28" t="s">
        <v>5660</v>
      </c>
      <c r="L902" s="28" t="s">
        <v>5661</v>
      </c>
      <c r="M902" s="28" t="s">
        <v>4326</v>
      </c>
      <c r="N902" s="28" t="s">
        <v>4321</v>
      </c>
    </row>
    <row r="903" spans="1:14">
      <c r="A903" t="s">
        <v>965</v>
      </c>
      <c r="B903" t="s">
        <v>62</v>
      </c>
      <c r="C903">
        <v>2121</v>
      </c>
      <c r="D903">
        <v>1</v>
      </c>
      <c r="E903" t="s">
        <v>961</v>
      </c>
      <c r="F903" s="35" t="s">
        <v>971</v>
      </c>
      <c r="G903" s="28" t="s">
        <v>1533</v>
      </c>
      <c r="H903" s="28" t="s">
        <v>1531</v>
      </c>
      <c r="I903" s="28" t="s">
        <v>5229</v>
      </c>
      <c r="J903" s="28" t="s">
        <v>5130</v>
      </c>
      <c r="K903" s="28" t="s">
        <v>5662</v>
      </c>
      <c r="L903" s="28" t="s">
        <v>5661</v>
      </c>
      <c r="M903" s="28" t="s">
        <v>4328</v>
      </c>
      <c r="N903" s="28" t="s">
        <v>4321</v>
      </c>
    </row>
    <row r="904" spans="1:14">
      <c r="A904" t="s">
        <v>965</v>
      </c>
      <c r="B904" t="s">
        <v>62</v>
      </c>
      <c r="C904">
        <v>2134</v>
      </c>
      <c r="D904">
        <v>1</v>
      </c>
      <c r="E904" t="s">
        <v>961</v>
      </c>
      <c r="F904" s="35" t="s">
        <v>974</v>
      </c>
      <c r="G904" s="28" t="s">
        <v>6012</v>
      </c>
      <c r="H904" s="28" t="s">
        <v>1563</v>
      </c>
      <c r="I904" s="28" t="s">
        <v>6013</v>
      </c>
      <c r="J904" s="28" t="s">
        <v>5141</v>
      </c>
      <c r="K904" s="28" t="s">
        <v>6024</v>
      </c>
      <c r="L904" s="28" t="s">
        <v>5883</v>
      </c>
      <c r="M904" s="28" t="s">
        <v>6025</v>
      </c>
      <c r="N904" s="28" t="s">
        <v>4351</v>
      </c>
    </row>
    <row r="905" spans="1:14">
      <c r="A905" t="s">
        <v>965</v>
      </c>
      <c r="B905" t="s">
        <v>65</v>
      </c>
      <c r="C905">
        <v>2122</v>
      </c>
      <c r="D905">
        <v>60</v>
      </c>
      <c r="E905" t="s">
        <v>961</v>
      </c>
      <c r="F905" s="35" t="s">
        <v>971</v>
      </c>
      <c r="G905" s="28" t="s">
        <v>1534</v>
      </c>
      <c r="H905" s="28" t="s">
        <v>1531</v>
      </c>
      <c r="I905" s="28" t="s">
        <v>5231</v>
      </c>
      <c r="J905" s="28" t="s">
        <v>5130</v>
      </c>
      <c r="K905" s="28" t="s">
        <v>5663</v>
      </c>
      <c r="L905" s="28" t="s">
        <v>5664</v>
      </c>
      <c r="M905" s="28" t="s">
        <v>5665</v>
      </c>
      <c r="N905" s="28" t="s">
        <v>5666</v>
      </c>
    </row>
    <row r="906" spans="1:14">
      <c r="A906" t="s">
        <v>965</v>
      </c>
      <c r="B906" t="s">
        <v>65</v>
      </c>
      <c r="C906">
        <v>2126</v>
      </c>
      <c r="D906">
        <v>137</v>
      </c>
      <c r="E906" t="s">
        <v>961</v>
      </c>
      <c r="F906" s="35" t="s">
        <v>972</v>
      </c>
      <c r="G906" s="28" t="s">
        <v>1539</v>
      </c>
      <c r="H906" s="28" t="s">
        <v>1536</v>
      </c>
      <c r="I906" s="28" t="s">
        <v>5367</v>
      </c>
      <c r="J906" s="28" t="s">
        <v>5235</v>
      </c>
      <c r="K906" s="28" t="s">
        <v>5667</v>
      </c>
      <c r="L906" s="28" t="s">
        <v>5668</v>
      </c>
      <c r="M906" s="28" t="s">
        <v>5669</v>
      </c>
      <c r="N906" s="28" t="s">
        <v>4452</v>
      </c>
    </row>
    <row r="907" spans="1:14">
      <c r="A907" t="s">
        <v>965</v>
      </c>
      <c r="B907" t="s">
        <v>65</v>
      </c>
      <c r="C907">
        <v>2129</v>
      </c>
      <c r="D907">
        <v>16</v>
      </c>
      <c r="E907" t="s">
        <v>961</v>
      </c>
      <c r="F907" s="35" t="s">
        <v>973</v>
      </c>
      <c r="G907" s="28" t="s">
        <v>1542</v>
      </c>
      <c r="H907" s="28" t="s">
        <v>1541</v>
      </c>
      <c r="I907" s="28" t="s">
        <v>5242</v>
      </c>
      <c r="J907" s="28" t="s">
        <v>5135</v>
      </c>
      <c r="K907" s="28" t="s">
        <v>5670</v>
      </c>
      <c r="L907" s="28" t="s">
        <v>5671</v>
      </c>
      <c r="M907" s="28" t="s">
        <v>4462</v>
      </c>
      <c r="N907" s="28" t="s">
        <v>4458</v>
      </c>
    </row>
    <row r="908" spans="1:14">
      <c r="A908" t="s">
        <v>965</v>
      </c>
      <c r="B908" t="s">
        <v>65</v>
      </c>
      <c r="C908">
        <v>2131</v>
      </c>
      <c r="D908">
        <v>135</v>
      </c>
      <c r="E908" t="s">
        <v>961</v>
      </c>
      <c r="F908" s="35" t="s">
        <v>974</v>
      </c>
      <c r="G908" s="28" t="s">
        <v>1624</v>
      </c>
      <c r="H908" s="28" t="s">
        <v>1563</v>
      </c>
      <c r="I908" s="28" t="s">
        <v>5246</v>
      </c>
      <c r="J908" s="28" t="s">
        <v>5141</v>
      </c>
      <c r="K908" s="28" t="s">
        <v>5672</v>
      </c>
      <c r="L908" s="28" t="s">
        <v>5673</v>
      </c>
      <c r="M908" s="28" t="s">
        <v>5674</v>
      </c>
      <c r="N908" s="28" t="s">
        <v>4466</v>
      </c>
    </row>
    <row r="909" spans="1:14">
      <c r="A909" t="s">
        <v>965</v>
      </c>
      <c r="B909" t="s">
        <v>65</v>
      </c>
      <c r="C909">
        <v>2133</v>
      </c>
      <c r="D909">
        <v>155</v>
      </c>
      <c r="E909" t="s">
        <v>961</v>
      </c>
      <c r="F909" s="35" t="s">
        <v>974</v>
      </c>
      <c r="G909" s="28" t="s">
        <v>1562</v>
      </c>
      <c r="H909" s="28" t="s">
        <v>1563</v>
      </c>
      <c r="I909" s="28" t="s">
        <v>5145</v>
      </c>
      <c r="J909" s="28" t="s">
        <v>5141</v>
      </c>
      <c r="K909" s="28" t="s">
        <v>5675</v>
      </c>
      <c r="L909" s="28" t="s">
        <v>5673</v>
      </c>
      <c r="M909" s="28" t="s">
        <v>4465</v>
      </c>
      <c r="N909" s="28" t="s">
        <v>4466</v>
      </c>
    </row>
    <row r="910" spans="1:14">
      <c r="A910" t="s">
        <v>965</v>
      </c>
      <c r="B910" t="s">
        <v>65</v>
      </c>
      <c r="C910">
        <v>2137</v>
      </c>
      <c r="D910">
        <v>362</v>
      </c>
      <c r="E910" t="s">
        <v>961</v>
      </c>
      <c r="F910" s="35" t="s">
        <v>997</v>
      </c>
      <c r="G910" s="28" t="s">
        <v>6455</v>
      </c>
      <c r="H910" s="28" t="s">
        <v>6311</v>
      </c>
      <c r="I910" s="28" t="s">
        <v>6465</v>
      </c>
      <c r="J910" s="28" t="s">
        <v>6335</v>
      </c>
      <c r="K910" s="28" t="s">
        <v>6478</v>
      </c>
      <c r="L910" s="28" t="s">
        <v>6479</v>
      </c>
      <c r="M910" s="28" t="s">
        <v>6462</v>
      </c>
      <c r="N910" s="28" t="s">
        <v>6329</v>
      </c>
    </row>
    <row r="911" spans="1:14">
      <c r="A911" t="s">
        <v>965</v>
      </c>
      <c r="B911" t="s">
        <v>56</v>
      </c>
      <c r="C911">
        <v>2123</v>
      </c>
      <c r="D911">
        <v>25</v>
      </c>
      <c r="E911" t="s">
        <v>960</v>
      </c>
      <c r="F911" s="35" t="s">
        <v>972</v>
      </c>
      <c r="G911" s="28" t="s">
        <v>1505</v>
      </c>
      <c r="H911" s="28" t="s">
        <v>1506</v>
      </c>
      <c r="I911" s="28" t="s">
        <v>5524</v>
      </c>
      <c r="J911" s="28" t="s">
        <v>5525</v>
      </c>
      <c r="K911" s="28" t="s">
        <v>5676</v>
      </c>
      <c r="L911" s="28" t="s">
        <v>5677</v>
      </c>
      <c r="M911" s="28" t="s">
        <v>3726</v>
      </c>
      <c r="N911" s="28" t="s">
        <v>3727</v>
      </c>
    </row>
    <row r="912" spans="1:14">
      <c r="A912" t="s">
        <v>965</v>
      </c>
      <c r="B912" t="s">
        <v>56</v>
      </c>
      <c r="C912">
        <v>2125</v>
      </c>
      <c r="D912">
        <v>50</v>
      </c>
      <c r="E912" t="s">
        <v>960</v>
      </c>
      <c r="F912" s="35" t="s">
        <v>972</v>
      </c>
      <c r="G912" s="28" t="s">
        <v>1522</v>
      </c>
      <c r="H912" s="28" t="s">
        <v>1506</v>
      </c>
      <c r="I912" s="28" t="s">
        <v>5528</v>
      </c>
      <c r="J912" s="28" t="s">
        <v>5525</v>
      </c>
      <c r="K912" s="28" t="s">
        <v>5678</v>
      </c>
      <c r="L912" s="28" t="s">
        <v>5677</v>
      </c>
      <c r="M912" s="28" t="s">
        <v>3772</v>
      </c>
      <c r="N912" s="28" t="s">
        <v>3727</v>
      </c>
    </row>
    <row r="913" spans="1:14">
      <c r="A913" t="s">
        <v>965</v>
      </c>
      <c r="B913" t="s">
        <v>56</v>
      </c>
      <c r="C913">
        <v>2130</v>
      </c>
      <c r="D913">
        <v>359</v>
      </c>
      <c r="E913" t="s">
        <v>960</v>
      </c>
      <c r="F913" s="35" t="s">
        <v>973</v>
      </c>
      <c r="G913" s="28" t="s">
        <v>1511</v>
      </c>
      <c r="H913" s="28" t="s">
        <v>1508</v>
      </c>
      <c r="I913" s="28" t="s">
        <v>5534</v>
      </c>
      <c r="J913" s="28" t="s">
        <v>5507</v>
      </c>
      <c r="K913" s="28" t="s">
        <v>5679</v>
      </c>
      <c r="L913" s="28" t="s">
        <v>5680</v>
      </c>
      <c r="M913" s="28" t="s">
        <v>3738</v>
      </c>
      <c r="N913" s="28" t="s">
        <v>3734</v>
      </c>
    </row>
    <row r="914" spans="1:14">
      <c r="A914" t="s">
        <v>965</v>
      </c>
      <c r="B914" t="s">
        <v>56</v>
      </c>
      <c r="C914">
        <v>2131</v>
      </c>
      <c r="D914">
        <v>300</v>
      </c>
      <c r="E914" t="s">
        <v>960</v>
      </c>
      <c r="F914" s="35" t="s">
        <v>974</v>
      </c>
      <c r="G914" s="28" t="s">
        <v>1515</v>
      </c>
      <c r="H914" s="28" t="s">
        <v>1513</v>
      </c>
      <c r="I914" s="28" t="s">
        <v>5510</v>
      </c>
      <c r="J914" s="28" t="s">
        <v>5511</v>
      </c>
      <c r="K914" s="28" t="s">
        <v>5681</v>
      </c>
      <c r="L914" s="28" t="s">
        <v>5682</v>
      </c>
      <c r="M914" s="28" t="s">
        <v>3741</v>
      </c>
      <c r="N914" s="28" t="s">
        <v>3742</v>
      </c>
    </row>
    <row r="915" spans="1:14">
      <c r="A915" t="s">
        <v>965</v>
      </c>
      <c r="B915" t="s">
        <v>56</v>
      </c>
      <c r="C915">
        <v>2133</v>
      </c>
      <c r="D915">
        <v>229</v>
      </c>
      <c r="E915" t="s">
        <v>960</v>
      </c>
      <c r="F915" s="35" t="s">
        <v>974</v>
      </c>
      <c r="G915" s="28" t="s">
        <v>1512</v>
      </c>
      <c r="H915" s="28" t="s">
        <v>1513</v>
      </c>
      <c r="I915" s="28" t="s">
        <v>5516</v>
      </c>
      <c r="J915" s="28" t="s">
        <v>5511</v>
      </c>
      <c r="K915" s="28" t="s">
        <v>5683</v>
      </c>
      <c r="L915" s="28" t="s">
        <v>5682</v>
      </c>
      <c r="M915" s="28" t="s">
        <v>3746</v>
      </c>
      <c r="N915" s="28" t="s">
        <v>3742</v>
      </c>
    </row>
    <row r="916" spans="1:14">
      <c r="A916" t="s">
        <v>965</v>
      </c>
      <c r="B916" t="s">
        <v>56</v>
      </c>
      <c r="C916">
        <v>2134</v>
      </c>
      <c r="D916">
        <v>3</v>
      </c>
      <c r="E916" t="s">
        <v>960</v>
      </c>
      <c r="F916" s="35" t="s">
        <v>974</v>
      </c>
      <c r="G916" s="28" t="s">
        <v>6016</v>
      </c>
      <c r="H916" s="28" t="s">
        <v>1513</v>
      </c>
      <c r="I916" s="28" t="s">
        <v>6017</v>
      </c>
      <c r="J916" s="28" t="s">
        <v>5511</v>
      </c>
      <c r="K916" s="28" t="s">
        <v>6026</v>
      </c>
      <c r="L916" s="28" t="s">
        <v>5682</v>
      </c>
      <c r="M916" s="28" t="s">
        <v>6027</v>
      </c>
      <c r="N916" s="28" t="s">
        <v>3742</v>
      </c>
    </row>
    <row r="917" spans="1:14">
      <c r="A917" t="s">
        <v>965</v>
      </c>
      <c r="B917" t="s">
        <v>56</v>
      </c>
      <c r="C917">
        <v>2135</v>
      </c>
      <c r="D917">
        <v>273</v>
      </c>
      <c r="E917" t="s">
        <v>960</v>
      </c>
      <c r="F917" s="35" t="s">
        <v>974</v>
      </c>
      <c r="G917" s="28" t="s">
        <v>6155</v>
      </c>
      <c r="H917" s="28" t="s">
        <v>1513</v>
      </c>
      <c r="I917" s="28" t="s">
        <v>6199</v>
      </c>
      <c r="J917" s="28" t="s">
        <v>5511</v>
      </c>
      <c r="K917" s="28" t="s">
        <v>6202</v>
      </c>
      <c r="L917" s="28" t="s">
        <v>5682</v>
      </c>
      <c r="M917" s="28" t="s">
        <v>6160</v>
      </c>
      <c r="N917" s="28" t="s">
        <v>3742</v>
      </c>
    </row>
    <row r="918" spans="1:14">
      <c r="A918" t="s">
        <v>965</v>
      </c>
      <c r="B918" t="s">
        <v>56</v>
      </c>
      <c r="C918">
        <v>2136</v>
      </c>
      <c r="D918">
        <v>228</v>
      </c>
      <c r="E918" t="s">
        <v>960</v>
      </c>
      <c r="F918" s="35" t="s">
        <v>997</v>
      </c>
      <c r="G918" s="28" t="s">
        <v>6270</v>
      </c>
      <c r="H918" s="28" t="s">
        <v>6271</v>
      </c>
      <c r="I918" s="28" t="s">
        <v>6340</v>
      </c>
      <c r="J918" s="28" t="s">
        <v>6341</v>
      </c>
      <c r="K918" s="28" t="s">
        <v>6344</v>
      </c>
      <c r="L918" s="28" t="s">
        <v>6345</v>
      </c>
      <c r="M918" s="28" t="s">
        <v>6280</v>
      </c>
      <c r="N918" s="28" t="s">
        <v>6281</v>
      </c>
    </row>
    <row r="919" spans="1:14">
      <c r="A919" t="s">
        <v>965</v>
      </c>
      <c r="B919" t="s">
        <v>56</v>
      </c>
      <c r="C919">
        <v>2137</v>
      </c>
      <c r="D919">
        <v>5</v>
      </c>
      <c r="E919" t="s">
        <v>960</v>
      </c>
      <c r="F919" s="35" t="s">
        <v>997</v>
      </c>
      <c r="G919" s="28" t="s">
        <v>6435</v>
      </c>
      <c r="H919" s="28" t="s">
        <v>6271</v>
      </c>
      <c r="I919" s="28" t="s">
        <v>6472</v>
      </c>
      <c r="J919" s="28" t="s">
        <v>6341</v>
      </c>
      <c r="K919" s="28" t="s">
        <v>6480</v>
      </c>
      <c r="L919" s="28" t="s">
        <v>6345</v>
      </c>
      <c r="M919" s="28" t="s">
        <v>6440</v>
      </c>
      <c r="N919" s="28" t="s">
        <v>6281</v>
      </c>
    </row>
    <row r="920" spans="1:14">
      <c r="A920" t="s">
        <v>965</v>
      </c>
      <c r="B920" t="s">
        <v>53</v>
      </c>
      <c r="C920">
        <v>2115</v>
      </c>
      <c r="D920">
        <v>80</v>
      </c>
      <c r="E920" t="s">
        <v>960</v>
      </c>
      <c r="F920" s="35" t="s">
        <v>970</v>
      </c>
      <c r="G920" s="28" t="s">
        <v>1520</v>
      </c>
      <c r="H920" s="28" t="s">
        <v>1500</v>
      </c>
      <c r="I920" s="28" t="s">
        <v>5543</v>
      </c>
      <c r="J920" s="28" t="s">
        <v>5539</v>
      </c>
      <c r="K920" s="28" t="s">
        <v>5684</v>
      </c>
      <c r="L920" s="28" t="s">
        <v>5685</v>
      </c>
      <c r="M920" s="28" t="s">
        <v>5686</v>
      </c>
      <c r="N920" s="28" t="s">
        <v>3622</v>
      </c>
    </row>
    <row r="921" spans="1:14">
      <c r="A921" t="s">
        <v>965</v>
      </c>
      <c r="B921" t="s">
        <v>53</v>
      </c>
      <c r="C921">
        <v>2117</v>
      </c>
      <c r="D921">
        <v>160</v>
      </c>
      <c r="E921" t="s">
        <v>960</v>
      </c>
      <c r="F921" s="35" t="s">
        <v>970</v>
      </c>
      <c r="G921" s="28" t="s">
        <v>1527</v>
      </c>
      <c r="H921" s="28" t="s">
        <v>1500</v>
      </c>
      <c r="I921" s="28" t="s">
        <v>5548</v>
      </c>
      <c r="J921" s="28" t="s">
        <v>5539</v>
      </c>
      <c r="K921" s="28" t="s">
        <v>5687</v>
      </c>
      <c r="L921" s="28" t="s">
        <v>5685</v>
      </c>
      <c r="M921" s="28" t="s">
        <v>3925</v>
      </c>
      <c r="N921" s="28" t="s">
        <v>3622</v>
      </c>
    </row>
    <row r="922" spans="1:14">
      <c r="A922" t="s">
        <v>965</v>
      </c>
      <c r="B922" t="s">
        <v>53</v>
      </c>
      <c r="C922">
        <v>2118</v>
      </c>
      <c r="D922">
        <v>1699</v>
      </c>
      <c r="E922" t="s">
        <v>960</v>
      </c>
      <c r="F922" s="35" t="s">
        <v>971</v>
      </c>
      <c r="G922" s="28" t="s">
        <v>1502</v>
      </c>
      <c r="H922" s="28" t="s">
        <v>1503</v>
      </c>
      <c r="I922" s="28" t="s">
        <v>5550</v>
      </c>
      <c r="J922" s="28" t="s">
        <v>5519</v>
      </c>
      <c r="K922" s="28" t="s">
        <v>5688</v>
      </c>
      <c r="L922" s="28" t="s">
        <v>5689</v>
      </c>
      <c r="M922" s="28" t="s">
        <v>3897</v>
      </c>
      <c r="N922" s="28" t="s">
        <v>3898</v>
      </c>
    </row>
    <row r="923" spans="1:14">
      <c r="A923" t="s">
        <v>965</v>
      </c>
      <c r="B923" t="s">
        <v>53</v>
      </c>
      <c r="C923">
        <v>2120</v>
      </c>
      <c r="D923">
        <v>1026</v>
      </c>
      <c r="E923" t="s">
        <v>960</v>
      </c>
      <c r="F923" s="35" t="s">
        <v>971</v>
      </c>
      <c r="G923" s="28" t="s">
        <v>1504</v>
      </c>
      <c r="H923" s="28" t="s">
        <v>1503</v>
      </c>
      <c r="I923" s="28" t="s">
        <v>5553</v>
      </c>
      <c r="J923" s="28" t="s">
        <v>5519</v>
      </c>
      <c r="K923" s="28" t="s">
        <v>5690</v>
      </c>
      <c r="L923" s="28" t="s">
        <v>5689</v>
      </c>
      <c r="M923" s="28" t="s">
        <v>3900</v>
      </c>
      <c r="N923" s="28" t="s">
        <v>3898</v>
      </c>
    </row>
    <row r="924" spans="1:14">
      <c r="A924" t="s">
        <v>965</v>
      </c>
      <c r="B924" t="s">
        <v>53</v>
      </c>
      <c r="C924">
        <v>2121</v>
      </c>
      <c r="D924">
        <v>1351</v>
      </c>
      <c r="E924" t="s">
        <v>960</v>
      </c>
      <c r="F924" s="35" t="s">
        <v>971</v>
      </c>
      <c r="G924" s="28" t="s">
        <v>1518</v>
      </c>
      <c r="H924" s="28" t="s">
        <v>1503</v>
      </c>
      <c r="I924" s="28" t="s">
        <v>5518</v>
      </c>
      <c r="J924" s="28" t="s">
        <v>5519</v>
      </c>
      <c r="K924" s="28" t="s">
        <v>5691</v>
      </c>
      <c r="L924" s="28" t="s">
        <v>5689</v>
      </c>
      <c r="M924" s="28" t="s">
        <v>3902</v>
      </c>
      <c r="N924" s="28" t="s">
        <v>3898</v>
      </c>
    </row>
    <row r="925" spans="1:14">
      <c r="A925" t="s">
        <v>965</v>
      </c>
      <c r="B925" t="s">
        <v>53</v>
      </c>
      <c r="C925">
        <v>2122</v>
      </c>
      <c r="D925">
        <v>511</v>
      </c>
      <c r="E925" t="s">
        <v>960</v>
      </c>
      <c r="F925" s="35" t="s">
        <v>971</v>
      </c>
      <c r="G925" s="28" t="s">
        <v>1519</v>
      </c>
      <c r="H925" s="28" t="s">
        <v>1503</v>
      </c>
      <c r="I925" s="28" t="s">
        <v>5522</v>
      </c>
      <c r="J925" s="28" t="s">
        <v>5519</v>
      </c>
      <c r="K925" s="28" t="s">
        <v>5692</v>
      </c>
      <c r="L925" s="28" t="s">
        <v>5689</v>
      </c>
      <c r="M925" s="28" t="s">
        <v>3929</v>
      </c>
      <c r="N925" s="28" t="s">
        <v>3898</v>
      </c>
    </row>
    <row r="926" spans="1:14">
      <c r="A926" t="s">
        <v>965</v>
      </c>
      <c r="B926" t="s">
        <v>53</v>
      </c>
      <c r="C926">
        <v>2123</v>
      </c>
      <c r="D926">
        <v>1173</v>
      </c>
      <c r="E926" t="s">
        <v>960</v>
      </c>
      <c r="F926" s="35" t="s">
        <v>972</v>
      </c>
      <c r="G926" s="28" t="s">
        <v>1505</v>
      </c>
      <c r="H926" s="28" t="s">
        <v>1506</v>
      </c>
      <c r="I926" s="28" t="s">
        <v>5524</v>
      </c>
      <c r="J926" s="28" t="s">
        <v>5525</v>
      </c>
      <c r="K926" s="28" t="s">
        <v>5693</v>
      </c>
      <c r="L926" s="28" t="s">
        <v>5694</v>
      </c>
      <c r="M926" s="28" t="s">
        <v>3905</v>
      </c>
      <c r="N926" s="28" t="s">
        <v>3627</v>
      </c>
    </row>
    <row r="927" spans="1:14">
      <c r="A927" t="s">
        <v>965</v>
      </c>
      <c r="B927" t="s">
        <v>53</v>
      </c>
      <c r="C927">
        <v>2124</v>
      </c>
      <c r="D927">
        <v>345</v>
      </c>
      <c r="E927" t="s">
        <v>960</v>
      </c>
      <c r="F927" s="35" t="s">
        <v>972</v>
      </c>
      <c r="G927" s="28" t="s">
        <v>1521</v>
      </c>
      <c r="H927" s="28" t="s">
        <v>1506</v>
      </c>
      <c r="I927" s="28" t="s">
        <v>5559</v>
      </c>
      <c r="J927" s="28" t="s">
        <v>5525</v>
      </c>
      <c r="K927" s="28" t="s">
        <v>5695</v>
      </c>
      <c r="L927" s="28" t="s">
        <v>5694</v>
      </c>
      <c r="M927" s="28" t="s">
        <v>3907</v>
      </c>
      <c r="N927" s="28" t="s">
        <v>3627</v>
      </c>
    </row>
    <row r="928" spans="1:14">
      <c r="A928" t="s">
        <v>965</v>
      </c>
      <c r="B928" t="s">
        <v>53</v>
      </c>
      <c r="C928">
        <v>2128</v>
      </c>
      <c r="D928">
        <v>932</v>
      </c>
      <c r="E928" t="s">
        <v>960</v>
      </c>
      <c r="F928" s="35" t="s">
        <v>973</v>
      </c>
      <c r="G928" s="28" t="s">
        <v>1509</v>
      </c>
      <c r="H928" s="28" t="s">
        <v>1508</v>
      </c>
      <c r="I928" s="28" t="s">
        <v>5530</v>
      </c>
      <c r="J928" s="28" t="s">
        <v>5507</v>
      </c>
      <c r="K928" s="28" t="s">
        <v>5696</v>
      </c>
      <c r="L928" s="28" t="s">
        <v>5697</v>
      </c>
      <c r="M928" s="28" t="s">
        <v>3914</v>
      </c>
      <c r="N928" s="28" t="s">
        <v>3631</v>
      </c>
    </row>
    <row r="929" spans="1:14">
      <c r="A929" t="s">
        <v>965</v>
      </c>
      <c r="B929" t="s">
        <v>53</v>
      </c>
      <c r="C929">
        <v>2129</v>
      </c>
      <c r="D929">
        <v>300</v>
      </c>
      <c r="E929" t="s">
        <v>960</v>
      </c>
      <c r="F929" s="35" t="s">
        <v>973</v>
      </c>
      <c r="G929" s="28" t="s">
        <v>1510</v>
      </c>
      <c r="H929" s="28" t="s">
        <v>1508</v>
      </c>
      <c r="I929" s="28" t="s">
        <v>5506</v>
      </c>
      <c r="J929" s="28" t="s">
        <v>5507</v>
      </c>
      <c r="K929" s="28" t="s">
        <v>5698</v>
      </c>
      <c r="L929" s="28" t="s">
        <v>5697</v>
      </c>
      <c r="M929" s="28" t="s">
        <v>3916</v>
      </c>
      <c r="N929" s="28" t="s">
        <v>3631</v>
      </c>
    </row>
    <row r="930" spans="1:14">
      <c r="A930" t="s">
        <v>965</v>
      </c>
      <c r="B930" t="s">
        <v>53</v>
      </c>
      <c r="C930">
        <v>2130</v>
      </c>
      <c r="D930">
        <v>189</v>
      </c>
      <c r="E930" t="s">
        <v>960</v>
      </c>
      <c r="F930" s="35" t="s">
        <v>973</v>
      </c>
      <c r="G930" s="28" t="s">
        <v>1511</v>
      </c>
      <c r="H930" s="28" t="s">
        <v>1508</v>
      </c>
      <c r="I930" s="28" t="s">
        <v>5534</v>
      </c>
      <c r="J930" s="28" t="s">
        <v>5507</v>
      </c>
      <c r="K930" s="28" t="s">
        <v>5699</v>
      </c>
      <c r="L930" s="28" t="s">
        <v>5697</v>
      </c>
      <c r="M930" s="28" t="s">
        <v>4991</v>
      </c>
      <c r="N930" s="28" t="s">
        <v>3631</v>
      </c>
    </row>
    <row r="931" spans="1:14">
      <c r="A931" t="s">
        <v>965</v>
      </c>
      <c r="B931" t="s">
        <v>53</v>
      </c>
      <c r="C931">
        <v>2131</v>
      </c>
      <c r="D931">
        <v>851</v>
      </c>
      <c r="E931" t="s">
        <v>960</v>
      </c>
      <c r="F931" s="35" t="s">
        <v>974</v>
      </c>
      <c r="G931" s="28" t="s">
        <v>1515</v>
      </c>
      <c r="H931" s="28" t="s">
        <v>1513</v>
      </c>
      <c r="I931" s="28" t="s">
        <v>5510</v>
      </c>
      <c r="J931" s="28" t="s">
        <v>5511</v>
      </c>
      <c r="K931" s="28" t="s">
        <v>5700</v>
      </c>
      <c r="L931" s="28" t="s">
        <v>5701</v>
      </c>
      <c r="M931" s="28" t="s">
        <v>4994</v>
      </c>
      <c r="N931" s="28" t="s">
        <v>3920</v>
      </c>
    </row>
    <row r="932" spans="1:14">
      <c r="A932" t="s">
        <v>965</v>
      </c>
      <c r="B932" t="s">
        <v>53</v>
      </c>
      <c r="C932">
        <v>2132</v>
      </c>
      <c r="D932">
        <v>179</v>
      </c>
      <c r="E932" t="s">
        <v>960</v>
      </c>
      <c r="F932" s="35" t="s">
        <v>974</v>
      </c>
      <c r="G932" s="28" t="s">
        <v>1516</v>
      </c>
      <c r="H932" s="28" t="s">
        <v>1513</v>
      </c>
      <c r="I932" s="28" t="s">
        <v>5514</v>
      </c>
      <c r="J932" s="28" t="s">
        <v>5511</v>
      </c>
      <c r="K932" s="28" t="s">
        <v>5702</v>
      </c>
      <c r="L932" s="28" t="s">
        <v>5701</v>
      </c>
      <c r="M932" s="28" t="s">
        <v>3919</v>
      </c>
      <c r="N932" s="28" t="s">
        <v>3920</v>
      </c>
    </row>
    <row r="933" spans="1:14">
      <c r="A933" t="s">
        <v>965</v>
      </c>
      <c r="B933" t="s">
        <v>53</v>
      </c>
      <c r="C933">
        <v>2134</v>
      </c>
      <c r="D933">
        <v>723</v>
      </c>
      <c r="E933" t="s">
        <v>960</v>
      </c>
      <c r="F933" s="35" t="s">
        <v>974</v>
      </c>
      <c r="G933" s="28" t="s">
        <v>6016</v>
      </c>
      <c r="H933" s="28" t="s">
        <v>1513</v>
      </c>
      <c r="I933" s="28" t="s">
        <v>6017</v>
      </c>
      <c r="J933" s="28" t="s">
        <v>5511</v>
      </c>
      <c r="K933" s="28" t="s">
        <v>6028</v>
      </c>
      <c r="L933" s="28" t="s">
        <v>5701</v>
      </c>
      <c r="M933" s="28" t="s">
        <v>6029</v>
      </c>
      <c r="N933" s="28" t="s">
        <v>3920</v>
      </c>
    </row>
    <row r="934" spans="1:14">
      <c r="A934" t="s">
        <v>965</v>
      </c>
      <c r="B934" t="s">
        <v>53</v>
      </c>
      <c r="C934">
        <v>2135</v>
      </c>
      <c r="D934">
        <v>71</v>
      </c>
      <c r="E934" t="s">
        <v>960</v>
      </c>
      <c r="F934" s="35" t="s">
        <v>974</v>
      </c>
      <c r="G934" s="28" t="s">
        <v>6155</v>
      </c>
      <c r="H934" s="28" t="s">
        <v>1513</v>
      </c>
      <c r="I934" s="28" t="s">
        <v>6199</v>
      </c>
      <c r="J934" s="28" t="s">
        <v>5511</v>
      </c>
      <c r="K934" s="28" t="s">
        <v>6203</v>
      </c>
      <c r="L934" s="28" t="s">
        <v>5701</v>
      </c>
      <c r="M934" s="28" t="s">
        <v>6168</v>
      </c>
      <c r="N934" s="28" t="s">
        <v>3920</v>
      </c>
    </row>
    <row r="935" spans="1:14">
      <c r="A935" t="s">
        <v>965</v>
      </c>
      <c r="B935" t="s">
        <v>53</v>
      </c>
      <c r="C935">
        <v>2136</v>
      </c>
      <c r="D935">
        <v>532</v>
      </c>
      <c r="E935" t="s">
        <v>960</v>
      </c>
      <c r="F935" s="35" t="s">
        <v>997</v>
      </c>
      <c r="G935" s="28" t="s">
        <v>6270</v>
      </c>
      <c r="H935" s="28" t="s">
        <v>6271</v>
      </c>
      <c r="I935" s="28" t="s">
        <v>6340</v>
      </c>
      <c r="J935" s="28" t="s">
        <v>6341</v>
      </c>
      <c r="K935" s="28" t="s">
        <v>6346</v>
      </c>
      <c r="L935" s="28" t="s">
        <v>6347</v>
      </c>
      <c r="M935" s="28" t="s">
        <v>6300</v>
      </c>
      <c r="N935" s="28" t="s">
        <v>6301</v>
      </c>
    </row>
    <row r="936" spans="1:14">
      <c r="A936" t="s">
        <v>965</v>
      </c>
      <c r="B936" t="s">
        <v>53</v>
      </c>
      <c r="C936">
        <v>2137</v>
      </c>
      <c r="D936">
        <v>1954</v>
      </c>
      <c r="E936" t="s">
        <v>960</v>
      </c>
      <c r="F936" s="35" t="s">
        <v>997</v>
      </c>
      <c r="G936" s="28" t="s">
        <v>6435</v>
      </c>
      <c r="H936" s="28" t="s">
        <v>6271</v>
      </c>
      <c r="I936" s="28" t="s">
        <v>6472</v>
      </c>
      <c r="J936" s="28" t="s">
        <v>6341</v>
      </c>
      <c r="K936" s="28" t="s">
        <v>6481</v>
      </c>
      <c r="L936" s="28" t="s">
        <v>6347</v>
      </c>
      <c r="M936" s="28" t="s">
        <v>6450</v>
      </c>
      <c r="N936" s="28" t="s">
        <v>6301</v>
      </c>
    </row>
    <row r="937" spans="1:14">
      <c r="A937" t="s">
        <v>965</v>
      </c>
      <c r="B937" t="s">
        <v>66</v>
      </c>
      <c r="C937">
        <v>2114</v>
      </c>
      <c r="D937">
        <v>30</v>
      </c>
      <c r="E937" t="s">
        <v>960</v>
      </c>
      <c r="F937" s="35" t="s">
        <v>970</v>
      </c>
      <c r="G937" s="28" t="s">
        <v>1499</v>
      </c>
      <c r="H937" s="28" t="s">
        <v>1500</v>
      </c>
      <c r="I937" s="28" t="s">
        <v>5538</v>
      </c>
      <c r="J937" s="28" t="s">
        <v>5539</v>
      </c>
      <c r="K937" s="28" t="s">
        <v>5703</v>
      </c>
      <c r="L937" s="28" t="s">
        <v>5704</v>
      </c>
      <c r="M937" s="28" t="s">
        <v>5705</v>
      </c>
      <c r="N937" s="28" t="s">
        <v>5706</v>
      </c>
    </row>
    <row r="938" spans="1:14">
      <c r="A938" t="s">
        <v>965</v>
      </c>
      <c r="B938" t="s">
        <v>66</v>
      </c>
      <c r="C938">
        <v>2116</v>
      </c>
      <c r="D938">
        <v>50</v>
      </c>
      <c r="E938" t="s">
        <v>960</v>
      </c>
      <c r="F938" s="35" t="s">
        <v>970</v>
      </c>
      <c r="G938" s="28" t="s">
        <v>1501</v>
      </c>
      <c r="H938" s="28" t="s">
        <v>1500</v>
      </c>
      <c r="I938" s="28" t="s">
        <v>5546</v>
      </c>
      <c r="J938" s="28" t="s">
        <v>5539</v>
      </c>
      <c r="K938" s="28" t="s">
        <v>5707</v>
      </c>
      <c r="L938" s="28" t="s">
        <v>5704</v>
      </c>
      <c r="M938" s="28" t="s">
        <v>5708</v>
      </c>
      <c r="N938" s="28" t="s">
        <v>5706</v>
      </c>
    </row>
    <row r="939" spans="1:14">
      <c r="A939" t="s">
        <v>965</v>
      </c>
      <c r="B939" t="s">
        <v>66</v>
      </c>
      <c r="C939">
        <v>2117</v>
      </c>
      <c r="D939">
        <v>10</v>
      </c>
      <c r="E939" t="s">
        <v>960</v>
      </c>
      <c r="F939" s="35" t="s">
        <v>970</v>
      </c>
      <c r="G939" s="28" t="s">
        <v>1527</v>
      </c>
      <c r="H939" s="28" t="s">
        <v>1500</v>
      </c>
      <c r="I939" s="28" t="s">
        <v>5548</v>
      </c>
      <c r="J939" s="28" t="s">
        <v>5539</v>
      </c>
      <c r="K939" s="28" t="s">
        <v>5709</v>
      </c>
      <c r="L939" s="28" t="s">
        <v>5704</v>
      </c>
      <c r="M939" s="28" t="s">
        <v>5710</v>
      </c>
      <c r="N939" s="28" t="s">
        <v>5706</v>
      </c>
    </row>
    <row r="940" spans="1:14">
      <c r="A940" t="s">
        <v>965</v>
      </c>
      <c r="B940" t="s">
        <v>66</v>
      </c>
      <c r="C940">
        <v>2118</v>
      </c>
      <c r="D940">
        <v>330</v>
      </c>
      <c r="E940" t="s">
        <v>960</v>
      </c>
      <c r="F940" s="35" t="s">
        <v>971</v>
      </c>
      <c r="G940" s="28" t="s">
        <v>1502</v>
      </c>
      <c r="H940" s="28" t="s">
        <v>1503</v>
      </c>
      <c r="I940" s="28" t="s">
        <v>5550</v>
      </c>
      <c r="J940" s="28" t="s">
        <v>5519</v>
      </c>
      <c r="K940" s="28" t="s">
        <v>5711</v>
      </c>
      <c r="L940" s="28" t="s">
        <v>5712</v>
      </c>
      <c r="M940" s="28" t="s">
        <v>3961</v>
      </c>
      <c r="N940" s="28" t="s">
        <v>3933</v>
      </c>
    </row>
    <row r="941" spans="1:14">
      <c r="A941" t="s">
        <v>965</v>
      </c>
      <c r="B941" t="s">
        <v>66</v>
      </c>
      <c r="C941">
        <v>2120</v>
      </c>
      <c r="D941">
        <v>317</v>
      </c>
      <c r="E941" t="s">
        <v>960</v>
      </c>
      <c r="F941" s="35" t="s">
        <v>971</v>
      </c>
      <c r="G941" s="28" t="s">
        <v>1504</v>
      </c>
      <c r="H941" s="28" t="s">
        <v>1503</v>
      </c>
      <c r="I941" s="28" t="s">
        <v>5553</v>
      </c>
      <c r="J941" s="28" t="s">
        <v>5519</v>
      </c>
      <c r="K941" s="28" t="s">
        <v>5713</v>
      </c>
      <c r="L941" s="28" t="s">
        <v>5712</v>
      </c>
      <c r="M941" s="28" t="s">
        <v>5714</v>
      </c>
      <c r="N941" s="28" t="s">
        <v>3933</v>
      </c>
    </row>
    <row r="942" spans="1:14">
      <c r="A942" t="s">
        <v>965</v>
      </c>
      <c r="B942" t="s">
        <v>66</v>
      </c>
      <c r="C942">
        <v>2121</v>
      </c>
      <c r="D942">
        <v>899</v>
      </c>
      <c r="E942" t="s">
        <v>960</v>
      </c>
      <c r="F942" s="35" t="s">
        <v>971</v>
      </c>
      <c r="G942" s="28" t="s">
        <v>1518</v>
      </c>
      <c r="H942" s="28" t="s">
        <v>1503</v>
      </c>
      <c r="I942" s="28" t="s">
        <v>5518</v>
      </c>
      <c r="J942" s="28" t="s">
        <v>5519</v>
      </c>
      <c r="K942" s="28" t="s">
        <v>5715</v>
      </c>
      <c r="L942" s="28" t="s">
        <v>5712</v>
      </c>
      <c r="M942" s="28" t="s">
        <v>3935</v>
      </c>
      <c r="N942" s="28" t="s">
        <v>3933</v>
      </c>
    </row>
    <row r="943" spans="1:14">
      <c r="A943" t="s">
        <v>965</v>
      </c>
      <c r="B943" t="s">
        <v>66</v>
      </c>
      <c r="C943">
        <v>2122</v>
      </c>
      <c r="D943">
        <v>469</v>
      </c>
      <c r="E943" t="s">
        <v>960</v>
      </c>
      <c r="F943" s="35" t="s">
        <v>971</v>
      </c>
      <c r="G943" s="28" t="s">
        <v>1519</v>
      </c>
      <c r="H943" s="28" t="s">
        <v>1503</v>
      </c>
      <c r="I943" s="28" t="s">
        <v>5522</v>
      </c>
      <c r="J943" s="28" t="s">
        <v>5519</v>
      </c>
      <c r="K943" s="28" t="s">
        <v>5716</v>
      </c>
      <c r="L943" s="28" t="s">
        <v>5712</v>
      </c>
      <c r="M943" s="28" t="s">
        <v>3937</v>
      </c>
      <c r="N943" s="28" t="s">
        <v>3933</v>
      </c>
    </row>
    <row r="944" spans="1:14">
      <c r="A944" t="s">
        <v>965</v>
      </c>
      <c r="B944" t="s">
        <v>66</v>
      </c>
      <c r="C944">
        <v>2123</v>
      </c>
      <c r="D944">
        <v>1622</v>
      </c>
      <c r="E944" t="s">
        <v>960</v>
      </c>
      <c r="F944" s="35" t="s">
        <v>972</v>
      </c>
      <c r="G944" s="28" t="s">
        <v>1505</v>
      </c>
      <c r="H944" s="28" t="s">
        <v>1506</v>
      </c>
      <c r="I944" s="28" t="s">
        <v>5524</v>
      </c>
      <c r="J944" s="28" t="s">
        <v>5525</v>
      </c>
      <c r="K944" s="28" t="s">
        <v>5717</v>
      </c>
      <c r="L944" s="28" t="s">
        <v>5718</v>
      </c>
      <c r="M944" s="28" t="s">
        <v>3940</v>
      </c>
      <c r="N944" s="28" t="s">
        <v>3941</v>
      </c>
    </row>
    <row r="945" spans="1:14">
      <c r="A945" t="s">
        <v>965</v>
      </c>
      <c r="B945" t="s">
        <v>66</v>
      </c>
      <c r="C945">
        <v>2124</v>
      </c>
      <c r="D945">
        <v>552</v>
      </c>
      <c r="E945" t="s">
        <v>960</v>
      </c>
      <c r="F945" s="35" t="s">
        <v>972</v>
      </c>
      <c r="G945" s="28" t="s">
        <v>1521</v>
      </c>
      <c r="H945" s="28" t="s">
        <v>1506</v>
      </c>
      <c r="I945" s="28" t="s">
        <v>5559</v>
      </c>
      <c r="J945" s="28" t="s">
        <v>5525</v>
      </c>
      <c r="K945" s="28" t="s">
        <v>5719</v>
      </c>
      <c r="L945" s="28" t="s">
        <v>5718</v>
      </c>
      <c r="M945" s="28" t="s">
        <v>3943</v>
      </c>
      <c r="N945" s="28" t="s">
        <v>3941</v>
      </c>
    </row>
    <row r="946" spans="1:14">
      <c r="A946" t="s">
        <v>965</v>
      </c>
      <c r="B946" t="s">
        <v>66</v>
      </c>
      <c r="C946">
        <v>2126</v>
      </c>
      <c r="D946">
        <v>453</v>
      </c>
      <c r="E946" t="s">
        <v>960</v>
      </c>
      <c r="F946" s="35" t="s">
        <v>972</v>
      </c>
      <c r="G946" s="28" t="s">
        <v>1514</v>
      </c>
      <c r="H946" s="28" t="s">
        <v>1506</v>
      </c>
      <c r="I946" s="28" t="s">
        <v>5562</v>
      </c>
      <c r="J946" s="28" t="s">
        <v>5525</v>
      </c>
      <c r="K946" s="28" t="s">
        <v>5720</v>
      </c>
      <c r="L946" s="28" t="s">
        <v>5718</v>
      </c>
      <c r="M946" s="28" t="s">
        <v>3947</v>
      </c>
      <c r="N946" s="28" t="s">
        <v>3941</v>
      </c>
    </row>
    <row r="947" spans="1:14">
      <c r="A947" t="s">
        <v>965</v>
      </c>
      <c r="B947" t="s">
        <v>66</v>
      </c>
      <c r="C947">
        <v>2128</v>
      </c>
      <c r="D947">
        <v>239</v>
      </c>
      <c r="E947" t="s">
        <v>960</v>
      </c>
      <c r="F947" s="35" t="s">
        <v>973</v>
      </c>
      <c r="G947" s="28" t="s">
        <v>1509</v>
      </c>
      <c r="H947" s="28" t="s">
        <v>1508</v>
      </c>
      <c r="I947" s="28" t="s">
        <v>5530</v>
      </c>
      <c r="J947" s="28" t="s">
        <v>5507</v>
      </c>
      <c r="K947" s="28" t="s">
        <v>5721</v>
      </c>
      <c r="L947" s="28" t="s">
        <v>5722</v>
      </c>
      <c r="M947" s="28" t="s">
        <v>3963</v>
      </c>
      <c r="N947" s="28" t="s">
        <v>3951</v>
      </c>
    </row>
    <row r="948" spans="1:14">
      <c r="A948" t="s">
        <v>965</v>
      </c>
      <c r="B948" t="s">
        <v>66</v>
      </c>
      <c r="C948">
        <v>2130</v>
      </c>
      <c r="D948">
        <v>411</v>
      </c>
      <c r="E948" t="s">
        <v>960</v>
      </c>
      <c r="F948" s="35" t="s">
        <v>973</v>
      </c>
      <c r="G948" s="28" t="s">
        <v>1511</v>
      </c>
      <c r="H948" s="28" t="s">
        <v>1508</v>
      </c>
      <c r="I948" s="28" t="s">
        <v>5534</v>
      </c>
      <c r="J948" s="28" t="s">
        <v>5507</v>
      </c>
      <c r="K948" s="28" t="s">
        <v>5723</v>
      </c>
      <c r="L948" s="28" t="s">
        <v>5722</v>
      </c>
      <c r="M948" s="28" t="s">
        <v>5724</v>
      </c>
      <c r="N948" s="28" t="s">
        <v>3951</v>
      </c>
    </row>
    <row r="949" spans="1:14">
      <c r="A949" t="s">
        <v>965</v>
      </c>
      <c r="B949" t="s">
        <v>66</v>
      </c>
      <c r="C949">
        <v>2132</v>
      </c>
      <c r="D949">
        <v>377</v>
      </c>
      <c r="E949" t="s">
        <v>960</v>
      </c>
      <c r="F949" s="35" t="s">
        <v>974</v>
      </c>
      <c r="G949" s="28" t="s">
        <v>1516</v>
      </c>
      <c r="H949" s="28" t="s">
        <v>1513</v>
      </c>
      <c r="I949" s="28" t="s">
        <v>5514</v>
      </c>
      <c r="J949" s="28" t="s">
        <v>5511</v>
      </c>
      <c r="K949" s="28" t="s">
        <v>5725</v>
      </c>
      <c r="L949" s="28" t="s">
        <v>5726</v>
      </c>
      <c r="M949" s="28" t="s">
        <v>3956</v>
      </c>
      <c r="N949" s="28" t="s">
        <v>3957</v>
      </c>
    </row>
    <row r="950" spans="1:14">
      <c r="A950" t="s">
        <v>965</v>
      </c>
      <c r="B950" t="s">
        <v>66</v>
      </c>
      <c r="C950">
        <v>2133</v>
      </c>
      <c r="D950">
        <v>169</v>
      </c>
      <c r="E950" t="s">
        <v>960</v>
      </c>
      <c r="F950" s="35" t="s">
        <v>974</v>
      </c>
      <c r="G950" s="28" t="s">
        <v>1512</v>
      </c>
      <c r="H950" s="28" t="s">
        <v>1513</v>
      </c>
      <c r="I950" s="28" t="s">
        <v>5516</v>
      </c>
      <c r="J950" s="28" t="s">
        <v>5511</v>
      </c>
      <c r="K950" s="28" t="s">
        <v>5727</v>
      </c>
      <c r="L950" s="28" t="s">
        <v>5726</v>
      </c>
      <c r="M950" s="28" t="s">
        <v>3959</v>
      </c>
      <c r="N950" s="28" t="s">
        <v>3957</v>
      </c>
    </row>
    <row r="951" spans="1:14">
      <c r="A951" t="s">
        <v>965</v>
      </c>
      <c r="B951" t="s">
        <v>66</v>
      </c>
      <c r="C951">
        <v>2134</v>
      </c>
      <c r="D951">
        <v>462</v>
      </c>
      <c r="E951" t="s">
        <v>960</v>
      </c>
      <c r="F951" s="35" t="s">
        <v>974</v>
      </c>
      <c r="G951" s="28" t="s">
        <v>6016</v>
      </c>
      <c r="H951" s="28" t="s">
        <v>1513</v>
      </c>
      <c r="I951" s="28" t="s">
        <v>6017</v>
      </c>
      <c r="J951" s="28" t="s">
        <v>5511</v>
      </c>
      <c r="K951" s="28" t="s">
        <v>6030</v>
      </c>
      <c r="L951" s="28" t="s">
        <v>5726</v>
      </c>
      <c r="M951" s="28" t="s">
        <v>6031</v>
      </c>
      <c r="N951" s="28" t="s">
        <v>3957</v>
      </c>
    </row>
    <row r="952" spans="1:14">
      <c r="A952" t="s">
        <v>965</v>
      </c>
      <c r="B952" t="s">
        <v>66</v>
      </c>
      <c r="C952">
        <v>2137</v>
      </c>
      <c r="D952">
        <v>1465</v>
      </c>
      <c r="E952" t="s">
        <v>960</v>
      </c>
      <c r="F952" s="35" t="s">
        <v>997</v>
      </c>
      <c r="G952" s="28" t="s">
        <v>6435</v>
      </c>
      <c r="H952" s="28" t="s">
        <v>6271</v>
      </c>
      <c r="I952" s="28" t="s">
        <v>6472</v>
      </c>
      <c r="J952" s="28" t="s">
        <v>6341</v>
      </c>
      <c r="K952" s="28" t="s">
        <v>6482</v>
      </c>
      <c r="L952" s="28" t="s">
        <v>6483</v>
      </c>
      <c r="M952" s="28" t="s">
        <v>6452</v>
      </c>
      <c r="N952" s="28" t="s">
        <v>6305</v>
      </c>
    </row>
    <row r="953" spans="1:14">
      <c r="A953" t="s">
        <v>965</v>
      </c>
      <c r="B953" t="s">
        <v>60</v>
      </c>
      <c r="C953">
        <v>2002</v>
      </c>
      <c r="D953">
        <v>27</v>
      </c>
      <c r="E953" t="s">
        <v>961</v>
      </c>
      <c r="F953" s="35" t="s">
        <v>988</v>
      </c>
      <c r="G953" s="28" t="s">
        <v>1632</v>
      </c>
      <c r="H953" s="28" t="s">
        <v>1633</v>
      </c>
      <c r="I953" s="28" t="s">
        <v>5252</v>
      </c>
      <c r="J953" s="28" t="s">
        <v>5253</v>
      </c>
      <c r="K953" s="28" t="s">
        <v>5728</v>
      </c>
      <c r="L953" s="28" t="s">
        <v>5729</v>
      </c>
      <c r="M953" s="28" t="s">
        <v>5730</v>
      </c>
      <c r="N953" s="28" t="s">
        <v>5731</v>
      </c>
    </row>
    <row r="954" spans="1:14">
      <c r="A954" t="s">
        <v>965</v>
      </c>
      <c r="B954" t="s">
        <v>60</v>
      </c>
      <c r="C954">
        <v>2004</v>
      </c>
      <c r="D954">
        <v>20</v>
      </c>
      <c r="E954" t="s">
        <v>961</v>
      </c>
      <c r="F954" s="35" t="s">
        <v>988</v>
      </c>
      <c r="G954" s="28" t="s">
        <v>1634</v>
      </c>
      <c r="H954" s="28" t="s">
        <v>1633</v>
      </c>
      <c r="I954" s="28" t="s">
        <v>5258</v>
      </c>
      <c r="J954" s="28" t="s">
        <v>5253</v>
      </c>
      <c r="K954" s="28" t="s">
        <v>5732</v>
      </c>
      <c r="L954" s="28" t="s">
        <v>5729</v>
      </c>
      <c r="M954" s="28" t="s">
        <v>5733</v>
      </c>
      <c r="N954" s="28" t="s">
        <v>5731</v>
      </c>
    </row>
    <row r="955" spans="1:14">
      <c r="A955" t="s">
        <v>965</v>
      </c>
      <c r="B955" t="s">
        <v>60</v>
      </c>
      <c r="C955">
        <v>2007</v>
      </c>
      <c r="D955">
        <v>243</v>
      </c>
      <c r="E955" t="s">
        <v>961</v>
      </c>
      <c r="F955" s="35" t="s">
        <v>987</v>
      </c>
      <c r="G955" s="28" t="s">
        <v>1627</v>
      </c>
      <c r="H955" s="28" t="s">
        <v>1628</v>
      </c>
      <c r="I955" s="28" t="s">
        <v>4996</v>
      </c>
      <c r="J955" s="28" t="s">
        <v>4997</v>
      </c>
      <c r="K955" s="28" t="s">
        <v>5734</v>
      </c>
      <c r="L955" s="28" t="s">
        <v>5735</v>
      </c>
      <c r="M955" s="28" t="s">
        <v>5736</v>
      </c>
      <c r="N955" s="28" t="s">
        <v>5737</v>
      </c>
    </row>
    <row r="956" spans="1:14">
      <c r="A956" t="s">
        <v>965</v>
      </c>
      <c r="B956" t="s">
        <v>60</v>
      </c>
      <c r="C956">
        <v>2008</v>
      </c>
      <c r="D956">
        <v>220</v>
      </c>
      <c r="E956" t="s">
        <v>961</v>
      </c>
      <c r="F956" s="35" t="s">
        <v>987</v>
      </c>
      <c r="G956" s="28" t="s">
        <v>1635</v>
      </c>
      <c r="H956" s="28" t="s">
        <v>1628</v>
      </c>
      <c r="I956" s="28" t="s">
        <v>5265</v>
      </c>
      <c r="J956" s="28" t="s">
        <v>4997</v>
      </c>
      <c r="K956" s="28" t="s">
        <v>5738</v>
      </c>
      <c r="L956" s="28" t="s">
        <v>5735</v>
      </c>
      <c r="M956" s="28" t="s">
        <v>5739</v>
      </c>
      <c r="N956" s="28" t="s">
        <v>5737</v>
      </c>
    </row>
    <row r="957" spans="1:14">
      <c r="A957" t="s">
        <v>965</v>
      </c>
      <c r="B957" t="s">
        <v>60</v>
      </c>
      <c r="C957">
        <v>2009</v>
      </c>
      <c r="D957">
        <v>10</v>
      </c>
      <c r="E957" t="s">
        <v>961</v>
      </c>
      <c r="F957" s="35" t="s">
        <v>986</v>
      </c>
      <c r="G957" s="28" t="s">
        <v>1629</v>
      </c>
      <c r="H957" s="28" t="s">
        <v>1618</v>
      </c>
      <c r="I957" s="28" t="s">
        <v>5002</v>
      </c>
      <c r="J957" s="28" t="s">
        <v>5003</v>
      </c>
      <c r="K957" s="28" t="s">
        <v>5740</v>
      </c>
      <c r="L957" s="28" t="s">
        <v>5741</v>
      </c>
      <c r="M957" s="28" t="s">
        <v>5742</v>
      </c>
      <c r="N957" s="28" t="s">
        <v>5743</v>
      </c>
    </row>
    <row r="958" spans="1:14">
      <c r="A958" t="s">
        <v>965</v>
      </c>
      <c r="B958" t="s">
        <v>60</v>
      </c>
      <c r="C958">
        <v>2010</v>
      </c>
      <c r="D958">
        <v>30</v>
      </c>
      <c r="E958" t="s">
        <v>961</v>
      </c>
      <c r="F958" s="35" t="s">
        <v>986</v>
      </c>
      <c r="G958" s="28" t="s">
        <v>1630</v>
      </c>
      <c r="H958" s="28" t="s">
        <v>1618</v>
      </c>
      <c r="I958" s="28" t="s">
        <v>5007</v>
      </c>
      <c r="J958" s="28" t="s">
        <v>5003</v>
      </c>
      <c r="K958" s="28" t="s">
        <v>5744</v>
      </c>
      <c r="L958" s="28" t="s">
        <v>5741</v>
      </c>
      <c r="M958" s="28" t="s">
        <v>5745</v>
      </c>
      <c r="N958" s="28" t="s">
        <v>5743</v>
      </c>
    </row>
    <row r="959" spans="1:14">
      <c r="A959" t="s">
        <v>965</v>
      </c>
      <c r="B959" t="s">
        <v>60</v>
      </c>
      <c r="C959">
        <v>2012</v>
      </c>
      <c r="D959">
        <v>298</v>
      </c>
      <c r="E959" t="s">
        <v>961</v>
      </c>
      <c r="F959" s="35" t="s">
        <v>986</v>
      </c>
      <c r="G959" s="28" t="s">
        <v>1637</v>
      </c>
      <c r="H959" s="28" t="s">
        <v>1618</v>
      </c>
      <c r="I959" s="28" t="s">
        <v>5746</v>
      </c>
      <c r="J959" s="28" t="s">
        <v>5003</v>
      </c>
      <c r="K959" s="28" t="s">
        <v>5747</v>
      </c>
      <c r="L959" s="28" t="s">
        <v>5741</v>
      </c>
      <c r="M959" s="28" t="s">
        <v>5748</v>
      </c>
      <c r="N959" s="28" t="s">
        <v>5743</v>
      </c>
    </row>
    <row r="960" spans="1:14">
      <c r="A960" t="s">
        <v>965</v>
      </c>
      <c r="B960" t="s">
        <v>60</v>
      </c>
      <c r="C960">
        <v>2019</v>
      </c>
      <c r="D960">
        <v>284</v>
      </c>
      <c r="E960" t="s">
        <v>961</v>
      </c>
      <c r="F960" s="35" t="s">
        <v>978</v>
      </c>
      <c r="G960" s="28" t="s">
        <v>1620</v>
      </c>
      <c r="H960" s="28" t="s">
        <v>1580</v>
      </c>
      <c r="I960" s="28" t="s">
        <v>5277</v>
      </c>
      <c r="J960" s="28" t="s">
        <v>5011</v>
      </c>
      <c r="K960" s="28" t="s">
        <v>5749</v>
      </c>
      <c r="L960" s="28" t="s">
        <v>5750</v>
      </c>
      <c r="M960" s="28" t="s">
        <v>5751</v>
      </c>
      <c r="N960" s="28" t="s">
        <v>5752</v>
      </c>
    </row>
    <row r="961" spans="1:14">
      <c r="A961" t="s">
        <v>965</v>
      </c>
      <c r="B961" t="s">
        <v>60</v>
      </c>
      <c r="C961">
        <v>2020</v>
      </c>
      <c r="D961">
        <v>128</v>
      </c>
      <c r="E961" t="s">
        <v>961</v>
      </c>
      <c r="F961" s="35" t="s">
        <v>978</v>
      </c>
      <c r="G961" s="28" t="s">
        <v>1579</v>
      </c>
      <c r="H961" s="28" t="s">
        <v>1580</v>
      </c>
      <c r="I961" s="28" t="s">
        <v>5010</v>
      </c>
      <c r="J961" s="28" t="s">
        <v>5011</v>
      </c>
      <c r="K961" s="28" t="s">
        <v>5753</v>
      </c>
      <c r="L961" s="28" t="s">
        <v>5750</v>
      </c>
      <c r="M961" s="28" t="s">
        <v>5754</v>
      </c>
      <c r="N961" s="28" t="s">
        <v>5752</v>
      </c>
    </row>
    <row r="962" spans="1:14">
      <c r="A962" t="s">
        <v>965</v>
      </c>
      <c r="B962" t="s">
        <v>60</v>
      </c>
      <c r="C962">
        <v>2021</v>
      </c>
      <c r="D962">
        <v>420</v>
      </c>
      <c r="E962" t="s">
        <v>961</v>
      </c>
      <c r="F962" s="35" t="s">
        <v>978</v>
      </c>
      <c r="G962" s="28" t="s">
        <v>1607</v>
      </c>
      <c r="H962" s="28" t="s">
        <v>1580</v>
      </c>
      <c r="I962" s="28" t="s">
        <v>5014</v>
      </c>
      <c r="J962" s="28" t="s">
        <v>5011</v>
      </c>
      <c r="K962" s="28" t="s">
        <v>5755</v>
      </c>
      <c r="L962" s="28" t="s">
        <v>5750</v>
      </c>
      <c r="M962" s="28" t="s">
        <v>5756</v>
      </c>
      <c r="N962" s="28" t="s">
        <v>5752</v>
      </c>
    </row>
    <row r="963" spans="1:14">
      <c r="A963" t="s">
        <v>965</v>
      </c>
      <c r="B963" t="s">
        <v>60</v>
      </c>
      <c r="C963">
        <v>2022</v>
      </c>
      <c r="D963">
        <v>320</v>
      </c>
      <c r="E963" t="s">
        <v>961</v>
      </c>
      <c r="F963" s="35" t="s">
        <v>979</v>
      </c>
      <c r="G963" s="28" t="s">
        <v>1581</v>
      </c>
      <c r="H963" s="28" t="s">
        <v>1582</v>
      </c>
      <c r="I963" s="28" t="s">
        <v>5016</v>
      </c>
      <c r="J963" s="28" t="s">
        <v>5017</v>
      </c>
      <c r="K963" s="28" t="s">
        <v>5757</v>
      </c>
      <c r="L963" s="28" t="s">
        <v>5758</v>
      </c>
      <c r="M963" s="28" t="s">
        <v>5759</v>
      </c>
      <c r="N963" s="28" t="s">
        <v>5760</v>
      </c>
    </row>
    <row r="964" spans="1:14">
      <c r="A964" t="s">
        <v>965</v>
      </c>
      <c r="B964" t="s">
        <v>60</v>
      </c>
      <c r="C964">
        <v>2023</v>
      </c>
      <c r="D964">
        <v>388</v>
      </c>
      <c r="E964" t="s">
        <v>961</v>
      </c>
      <c r="F964" s="35" t="s">
        <v>979</v>
      </c>
      <c r="G964" s="28" t="s">
        <v>1583</v>
      </c>
      <c r="H964" s="28" t="s">
        <v>1582</v>
      </c>
      <c r="I964" s="28" t="s">
        <v>5020</v>
      </c>
      <c r="J964" s="28" t="s">
        <v>5017</v>
      </c>
      <c r="K964" s="28" t="s">
        <v>5761</v>
      </c>
      <c r="L964" s="28" t="s">
        <v>5758</v>
      </c>
      <c r="M964" s="28" t="s">
        <v>5762</v>
      </c>
      <c r="N964" s="28" t="s">
        <v>5760</v>
      </c>
    </row>
    <row r="965" spans="1:14">
      <c r="A965" t="s">
        <v>965</v>
      </c>
      <c r="B965" t="s">
        <v>60</v>
      </c>
      <c r="C965">
        <v>2024</v>
      </c>
      <c r="D965">
        <v>1237</v>
      </c>
      <c r="E965" t="s">
        <v>961</v>
      </c>
      <c r="F965" s="35" t="s">
        <v>979</v>
      </c>
      <c r="G965" s="28" t="s">
        <v>1584</v>
      </c>
      <c r="H965" s="28" t="s">
        <v>1582</v>
      </c>
      <c r="I965" s="28" t="s">
        <v>5022</v>
      </c>
      <c r="J965" s="28" t="s">
        <v>5017</v>
      </c>
      <c r="K965" s="28" t="s">
        <v>5763</v>
      </c>
      <c r="L965" s="28" t="s">
        <v>5758</v>
      </c>
      <c r="M965" s="28" t="s">
        <v>5764</v>
      </c>
      <c r="N965" s="28" t="s">
        <v>5760</v>
      </c>
    </row>
    <row r="966" spans="1:14">
      <c r="A966" t="s">
        <v>965</v>
      </c>
      <c r="B966" t="s">
        <v>60</v>
      </c>
      <c r="C966">
        <v>2025</v>
      </c>
      <c r="D966">
        <v>748</v>
      </c>
      <c r="E966" t="s">
        <v>961</v>
      </c>
      <c r="F966" s="35" t="s">
        <v>979</v>
      </c>
      <c r="G966" s="28" t="s">
        <v>1585</v>
      </c>
      <c r="H966" s="28" t="s">
        <v>1582</v>
      </c>
      <c r="I966" s="28" t="s">
        <v>5025</v>
      </c>
      <c r="J966" s="28" t="s">
        <v>5017</v>
      </c>
      <c r="K966" s="28" t="s">
        <v>5765</v>
      </c>
      <c r="L966" s="28" t="s">
        <v>5758</v>
      </c>
      <c r="M966" s="28" t="s">
        <v>5766</v>
      </c>
      <c r="N966" s="28" t="s">
        <v>5760</v>
      </c>
    </row>
    <row r="967" spans="1:14">
      <c r="A967" t="s">
        <v>965</v>
      </c>
      <c r="B967" t="s">
        <v>60</v>
      </c>
      <c r="C967">
        <v>2026</v>
      </c>
      <c r="D967">
        <v>566</v>
      </c>
      <c r="E967" t="s">
        <v>961</v>
      </c>
      <c r="F967" s="35" t="s">
        <v>979</v>
      </c>
      <c r="G967" s="28" t="s">
        <v>1608</v>
      </c>
      <c r="H967" s="28" t="s">
        <v>1582</v>
      </c>
      <c r="I967" s="28" t="s">
        <v>5027</v>
      </c>
      <c r="J967" s="28" t="s">
        <v>5017</v>
      </c>
      <c r="K967" s="28" t="s">
        <v>5767</v>
      </c>
      <c r="L967" s="28" t="s">
        <v>5758</v>
      </c>
      <c r="M967" s="28" t="s">
        <v>5768</v>
      </c>
      <c r="N967" s="28" t="s">
        <v>5760</v>
      </c>
    </row>
    <row r="968" spans="1:14">
      <c r="A968" t="s">
        <v>965</v>
      </c>
      <c r="B968" t="s">
        <v>60</v>
      </c>
      <c r="C968">
        <v>2027</v>
      </c>
      <c r="D968">
        <v>288</v>
      </c>
      <c r="E968" t="s">
        <v>961</v>
      </c>
      <c r="F968" s="35" t="s">
        <v>980</v>
      </c>
      <c r="G968" s="28" t="s">
        <v>1586</v>
      </c>
      <c r="H968" s="28" t="s">
        <v>1587</v>
      </c>
      <c r="I968" s="28" t="s">
        <v>5769</v>
      </c>
      <c r="J968" s="28" t="s">
        <v>5030</v>
      </c>
      <c r="K968" s="28" t="s">
        <v>5770</v>
      </c>
      <c r="L968" s="28" t="s">
        <v>5771</v>
      </c>
      <c r="M968" s="28" t="s">
        <v>5772</v>
      </c>
      <c r="N968" s="28" t="s">
        <v>5773</v>
      </c>
    </row>
    <row r="969" spans="1:14">
      <c r="A969" t="s">
        <v>965</v>
      </c>
      <c r="B969" t="s">
        <v>60</v>
      </c>
      <c r="C969">
        <v>2028</v>
      </c>
      <c r="D969">
        <v>786</v>
      </c>
      <c r="E969" t="s">
        <v>961</v>
      </c>
      <c r="F969" s="35" t="s">
        <v>980</v>
      </c>
      <c r="G969" s="28" t="s">
        <v>1588</v>
      </c>
      <c r="H969" s="28" t="s">
        <v>1587</v>
      </c>
      <c r="I969" s="28" t="s">
        <v>5029</v>
      </c>
      <c r="J969" s="28" t="s">
        <v>5030</v>
      </c>
      <c r="K969" s="28" t="s">
        <v>5774</v>
      </c>
      <c r="L969" s="28" t="s">
        <v>5771</v>
      </c>
      <c r="M969" s="28" t="s">
        <v>5775</v>
      </c>
      <c r="N969" s="28" t="s">
        <v>5773</v>
      </c>
    </row>
    <row r="970" spans="1:14">
      <c r="A970" t="s">
        <v>965</v>
      </c>
      <c r="B970" t="s">
        <v>60</v>
      </c>
      <c r="C970">
        <v>2029</v>
      </c>
      <c r="D970">
        <v>1218</v>
      </c>
      <c r="E970" t="s">
        <v>961</v>
      </c>
      <c r="F970" s="35" t="s">
        <v>980</v>
      </c>
      <c r="G970" s="28" t="s">
        <v>1589</v>
      </c>
      <c r="H970" s="28" t="s">
        <v>1587</v>
      </c>
      <c r="I970" s="28" t="s">
        <v>5033</v>
      </c>
      <c r="J970" s="28" t="s">
        <v>5030</v>
      </c>
      <c r="K970" s="28" t="s">
        <v>5776</v>
      </c>
      <c r="L970" s="28" t="s">
        <v>5771</v>
      </c>
      <c r="M970" s="28" t="s">
        <v>5777</v>
      </c>
      <c r="N970" s="28" t="s">
        <v>5773</v>
      </c>
    </row>
    <row r="971" spans="1:14">
      <c r="A971" t="s">
        <v>965</v>
      </c>
      <c r="B971" t="s">
        <v>60</v>
      </c>
      <c r="C971">
        <v>2030</v>
      </c>
      <c r="D971">
        <v>866</v>
      </c>
      <c r="E971" t="s">
        <v>961</v>
      </c>
      <c r="F971" s="35" t="s">
        <v>980</v>
      </c>
      <c r="G971" s="28" t="s">
        <v>1609</v>
      </c>
      <c r="H971" s="28" t="s">
        <v>1587</v>
      </c>
      <c r="I971" s="28" t="s">
        <v>5036</v>
      </c>
      <c r="J971" s="28" t="s">
        <v>5030</v>
      </c>
      <c r="K971" s="28" t="s">
        <v>5778</v>
      </c>
      <c r="L971" s="28" t="s">
        <v>5771</v>
      </c>
      <c r="M971" s="28" t="s">
        <v>5779</v>
      </c>
      <c r="N971" s="28" t="s">
        <v>5773</v>
      </c>
    </row>
    <row r="972" spans="1:14">
      <c r="A972" t="s">
        <v>965</v>
      </c>
      <c r="B972" t="s">
        <v>60</v>
      </c>
      <c r="C972">
        <v>2031</v>
      </c>
      <c r="D972">
        <v>25</v>
      </c>
      <c r="E972" t="s">
        <v>961</v>
      </c>
      <c r="F972" s="35" t="s">
        <v>981</v>
      </c>
      <c r="G972" s="28" t="s">
        <v>1621</v>
      </c>
      <c r="H972" s="28" t="s">
        <v>1591</v>
      </c>
      <c r="I972" s="28" t="s">
        <v>5038</v>
      </c>
      <c r="J972" s="28" t="s">
        <v>5039</v>
      </c>
      <c r="K972" s="28" t="s">
        <v>5780</v>
      </c>
      <c r="L972" s="28" t="s">
        <v>5781</v>
      </c>
      <c r="M972" s="28" t="s">
        <v>5782</v>
      </c>
      <c r="N972" s="28" t="s">
        <v>5783</v>
      </c>
    </row>
    <row r="973" spans="1:14">
      <c r="A973" t="s">
        <v>965</v>
      </c>
      <c r="B973" t="s">
        <v>60</v>
      </c>
      <c r="C973">
        <v>2032</v>
      </c>
      <c r="D973">
        <v>2359</v>
      </c>
      <c r="E973" t="s">
        <v>961</v>
      </c>
      <c r="F973" s="35" t="s">
        <v>981</v>
      </c>
      <c r="G973" s="28" t="s">
        <v>1590</v>
      </c>
      <c r="H973" s="28" t="s">
        <v>1591</v>
      </c>
      <c r="I973" s="28" t="s">
        <v>5042</v>
      </c>
      <c r="J973" s="28" t="s">
        <v>5039</v>
      </c>
      <c r="K973" s="28" t="s">
        <v>5784</v>
      </c>
      <c r="L973" s="28" t="s">
        <v>5781</v>
      </c>
      <c r="M973" s="28" t="s">
        <v>5785</v>
      </c>
      <c r="N973" s="28" t="s">
        <v>5783</v>
      </c>
    </row>
    <row r="974" spans="1:14">
      <c r="A974" t="s">
        <v>965</v>
      </c>
      <c r="B974" t="s">
        <v>60</v>
      </c>
      <c r="C974">
        <v>2033</v>
      </c>
      <c r="D974">
        <v>795</v>
      </c>
      <c r="E974" t="s">
        <v>961</v>
      </c>
      <c r="F974" s="35" t="s">
        <v>981</v>
      </c>
      <c r="G974" s="28" t="s">
        <v>1622</v>
      </c>
      <c r="H974" s="28" t="s">
        <v>1591</v>
      </c>
      <c r="I974" s="28" t="s">
        <v>5045</v>
      </c>
      <c r="J974" s="28" t="s">
        <v>5039</v>
      </c>
      <c r="K974" s="28" t="s">
        <v>5786</v>
      </c>
      <c r="L974" s="28" t="s">
        <v>5781</v>
      </c>
      <c r="M974" s="28" t="s">
        <v>5787</v>
      </c>
      <c r="N974" s="28" t="s">
        <v>5783</v>
      </c>
    </row>
    <row r="975" spans="1:14">
      <c r="A975" t="s">
        <v>965</v>
      </c>
      <c r="B975" t="s">
        <v>60</v>
      </c>
      <c r="C975">
        <v>2034</v>
      </c>
      <c r="D975">
        <v>1151</v>
      </c>
      <c r="E975" t="s">
        <v>961</v>
      </c>
      <c r="F975" s="35" t="s">
        <v>981</v>
      </c>
      <c r="G975" s="28" t="s">
        <v>1610</v>
      </c>
      <c r="H975" s="28" t="s">
        <v>1591</v>
      </c>
      <c r="I975" s="28" t="s">
        <v>5047</v>
      </c>
      <c r="J975" s="28" t="s">
        <v>5039</v>
      </c>
      <c r="K975" s="28" t="s">
        <v>5788</v>
      </c>
      <c r="L975" s="28" t="s">
        <v>5781</v>
      </c>
      <c r="M975" s="28" t="s">
        <v>5789</v>
      </c>
      <c r="N975" s="28" t="s">
        <v>5783</v>
      </c>
    </row>
    <row r="976" spans="1:14">
      <c r="A976" t="s">
        <v>965</v>
      </c>
      <c r="B976" t="s">
        <v>60</v>
      </c>
      <c r="C976">
        <v>2035</v>
      </c>
      <c r="D976">
        <v>809</v>
      </c>
      <c r="E976" t="s">
        <v>961</v>
      </c>
      <c r="F976" s="35" t="s">
        <v>981</v>
      </c>
      <c r="G976" s="28" t="s">
        <v>1592</v>
      </c>
      <c r="H976" s="28" t="s">
        <v>1591</v>
      </c>
      <c r="I976" s="28" t="s">
        <v>5049</v>
      </c>
      <c r="J976" s="28" t="s">
        <v>5039</v>
      </c>
      <c r="K976" s="28" t="s">
        <v>5790</v>
      </c>
      <c r="L976" s="28" t="s">
        <v>5781</v>
      </c>
      <c r="M976" s="28" t="s">
        <v>5791</v>
      </c>
      <c r="N976" s="28" t="s">
        <v>5783</v>
      </c>
    </row>
    <row r="977" spans="1:14">
      <c r="A977" t="s">
        <v>965</v>
      </c>
      <c r="B977" t="s">
        <v>60</v>
      </c>
      <c r="C977">
        <v>2036</v>
      </c>
      <c r="D977">
        <v>573</v>
      </c>
      <c r="E977" t="s">
        <v>961</v>
      </c>
      <c r="F977" s="35" t="s">
        <v>982</v>
      </c>
      <c r="G977" s="28" t="s">
        <v>1593</v>
      </c>
      <c r="H977" s="28" t="s">
        <v>1594</v>
      </c>
      <c r="I977" s="28" t="s">
        <v>5051</v>
      </c>
      <c r="J977" s="28" t="s">
        <v>5052</v>
      </c>
      <c r="K977" s="28" t="s">
        <v>5571</v>
      </c>
      <c r="L977" s="28" t="s">
        <v>5572</v>
      </c>
      <c r="M977" s="28" t="s">
        <v>5573</v>
      </c>
      <c r="N977" s="28" t="s">
        <v>5574</v>
      </c>
    </row>
    <row r="978" spans="1:14">
      <c r="A978" t="s">
        <v>965</v>
      </c>
      <c r="B978" t="s">
        <v>60</v>
      </c>
      <c r="C978">
        <v>2037</v>
      </c>
      <c r="D978">
        <v>140</v>
      </c>
      <c r="E978" t="s">
        <v>961</v>
      </c>
      <c r="F978" s="35" t="s">
        <v>982</v>
      </c>
      <c r="G978" s="28" t="s">
        <v>1611</v>
      </c>
      <c r="H978" s="28" t="s">
        <v>1594</v>
      </c>
      <c r="I978" s="28" t="s">
        <v>5055</v>
      </c>
      <c r="J978" s="28" t="s">
        <v>5052</v>
      </c>
      <c r="K978" s="28" t="s">
        <v>5575</v>
      </c>
      <c r="L978" s="28" t="s">
        <v>5572</v>
      </c>
      <c r="M978" s="28" t="s">
        <v>5576</v>
      </c>
      <c r="N978" s="28" t="s">
        <v>5574</v>
      </c>
    </row>
    <row r="979" spans="1:14">
      <c r="A979" t="s">
        <v>965</v>
      </c>
      <c r="B979" t="s">
        <v>60</v>
      </c>
      <c r="C979">
        <v>2039</v>
      </c>
      <c r="D979">
        <v>150</v>
      </c>
      <c r="E979" t="s">
        <v>961</v>
      </c>
      <c r="F979" s="35" t="s">
        <v>982</v>
      </c>
      <c r="G979" s="28" t="s">
        <v>1613</v>
      </c>
      <c r="H979" s="28" t="s">
        <v>1594</v>
      </c>
      <c r="I979" s="28" t="s">
        <v>5059</v>
      </c>
      <c r="J979" s="28" t="s">
        <v>5052</v>
      </c>
      <c r="K979" s="28" t="s">
        <v>5579</v>
      </c>
      <c r="L979" s="28" t="s">
        <v>5572</v>
      </c>
      <c r="M979" s="28" t="s">
        <v>5580</v>
      </c>
      <c r="N979" s="28" t="s">
        <v>5574</v>
      </c>
    </row>
    <row r="980" spans="1:14">
      <c r="A980" t="s">
        <v>965</v>
      </c>
      <c r="B980" t="s">
        <v>60</v>
      </c>
      <c r="C980">
        <v>2040</v>
      </c>
      <c r="D980">
        <v>288</v>
      </c>
      <c r="E980" t="s">
        <v>961</v>
      </c>
      <c r="F980" s="35" t="s">
        <v>983</v>
      </c>
      <c r="G980" s="28" t="s">
        <v>1614</v>
      </c>
      <c r="H980" s="28" t="s">
        <v>1596</v>
      </c>
      <c r="I980" s="28" t="s">
        <v>5061</v>
      </c>
      <c r="J980" s="28" t="s">
        <v>5062</v>
      </c>
      <c r="K980" s="28" t="s">
        <v>5581</v>
      </c>
      <c r="L980" s="28" t="s">
        <v>5582</v>
      </c>
      <c r="M980" s="28" t="s">
        <v>5583</v>
      </c>
      <c r="N980" s="28" t="s">
        <v>5584</v>
      </c>
    </row>
    <row r="981" spans="1:14">
      <c r="A981" t="s">
        <v>965</v>
      </c>
      <c r="B981" t="s">
        <v>60</v>
      </c>
      <c r="C981">
        <v>2051</v>
      </c>
      <c r="D981">
        <v>326</v>
      </c>
      <c r="E981" t="s">
        <v>961</v>
      </c>
      <c r="F981" s="35" t="s">
        <v>985</v>
      </c>
      <c r="G981" s="28" t="s">
        <v>1604</v>
      </c>
      <c r="H981" s="28" t="s">
        <v>1603</v>
      </c>
      <c r="I981" s="28" t="s">
        <v>5084</v>
      </c>
      <c r="J981" s="28" t="s">
        <v>5081</v>
      </c>
      <c r="K981" s="28" t="s">
        <v>5601</v>
      </c>
      <c r="L981" s="28" t="s">
        <v>5596</v>
      </c>
      <c r="M981" s="28" t="s">
        <v>5602</v>
      </c>
      <c r="N981" s="28" t="s">
        <v>5598</v>
      </c>
    </row>
    <row r="982" spans="1:14">
      <c r="A982" t="s">
        <v>965</v>
      </c>
      <c r="B982" t="s">
        <v>60</v>
      </c>
      <c r="C982">
        <v>2052</v>
      </c>
      <c r="D982">
        <v>161</v>
      </c>
      <c r="E982" t="s">
        <v>961</v>
      </c>
      <c r="F982" s="35" t="s">
        <v>985</v>
      </c>
      <c r="G982" s="28" t="s">
        <v>1605</v>
      </c>
      <c r="H982" s="28" t="s">
        <v>1603</v>
      </c>
      <c r="I982" s="28" t="s">
        <v>5086</v>
      </c>
      <c r="J982" s="28" t="s">
        <v>5081</v>
      </c>
      <c r="K982" s="28" t="s">
        <v>5603</v>
      </c>
      <c r="L982" s="28" t="s">
        <v>5596</v>
      </c>
      <c r="M982" s="28" t="s">
        <v>5604</v>
      </c>
      <c r="N982" s="28" t="s">
        <v>5598</v>
      </c>
    </row>
    <row r="983" spans="1:14">
      <c r="A983" t="s">
        <v>965</v>
      </c>
      <c r="B983" t="s">
        <v>60</v>
      </c>
      <c r="C983">
        <v>2109</v>
      </c>
      <c r="D983">
        <v>248</v>
      </c>
      <c r="E983" t="s">
        <v>961</v>
      </c>
      <c r="F983" s="35" t="s">
        <v>969</v>
      </c>
      <c r="G983" s="28" t="s">
        <v>1552</v>
      </c>
      <c r="H983" s="28" t="s">
        <v>1553</v>
      </c>
      <c r="I983" s="28" t="s">
        <v>5111</v>
      </c>
      <c r="J983" s="28" t="s">
        <v>5112</v>
      </c>
      <c r="K983" s="28" t="s">
        <v>5616</v>
      </c>
      <c r="L983" s="28" t="s">
        <v>5617</v>
      </c>
      <c r="M983" s="28" t="s">
        <v>4082</v>
      </c>
      <c r="N983" s="28" t="s">
        <v>4083</v>
      </c>
    </row>
    <row r="984" spans="1:14">
      <c r="A984" t="s">
        <v>965</v>
      </c>
      <c r="B984" t="s">
        <v>60</v>
      </c>
      <c r="C984">
        <v>2113</v>
      </c>
      <c r="D984">
        <v>339</v>
      </c>
      <c r="E984" t="s">
        <v>961</v>
      </c>
      <c r="F984" s="35" t="s">
        <v>969</v>
      </c>
      <c r="G984" s="28" t="s">
        <v>1557</v>
      </c>
      <c r="H984" s="28" t="s">
        <v>1553</v>
      </c>
      <c r="I984" s="28" t="s">
        <v>5119</v>
      </c>
      <c r="J984" s="28" t="s">
        <v>5112</v>
      </c>
      <c r="K984" s="28" t="s">
        <v>5621</v>
      </c>
      <c r="L984" s="28" t="s">
        <v>5617</v>
      </c>
      <c r="M984" s="28" t="s">
        <v>4095</v>
      </c>
      <c r="N984" s="28" t="s">
        <v>4083</v>
      </c>
    </row>
    <row r="985" spans="1:14">
      <c r="A985" t="s">
        <v>965</v>
      </c>
      <c r="B985" t="s">
        <v>60</v>
      </c>
      <c r="C985">
        <v>2114</v>
      </c>
      <c r="D985">
        <v>883</v>
      </c>
      <c r="E985" t="s">
        <v>961</v>
      </c>
      <c r="F985" s="35" t="s">
        <v>970</v>
      </c>
      <c r="G985" s="28" t="s">
        <v>1558</v>
      </c>
      <c r="H985" s="28" t="s">
        <v>1529</v>
      </c>
      <c r="I985" s="28" t="s">
        <v>5122</v>
      </c>
      <c r="J985" s="28" t="s">
        <v>5123</v>
      </c>
      <c r="K985" s="28" t="s">
        <v>5792</v>
      </c>
      <c r="L985" s="28" t="s">
        <v>5623</v>
      </c>
      <c r="M985" s="28" t="s">
        <v>4098</v>
      </c>
      <c r="N985" s="28" t="s">
        <v>4011</v>
      </c>
    </row>
    <row r="986" spans="1:14">
      <c r="A986" t="s">
        <v>965</v>
      </c>
      <c r="B986" t="s">
        <v>60</v>
      </c>
      <c r="C986">
        <v>2115</v>
      </c>
      <c r="D986">
        <v>873</v>
      </c>
      <c r="E986" t="s">
        <v>961</v>
      </c>
      <c r="F986" s="35" t="s">
        <v>970</v>
      </c>
      <c r="G986" s="28" t="s">
        <v>1559</v>
      </c>
      <c r="H986" s="28" t="s">
        <v>1529</v>
      </c>
      <c r="I986" s="28" t="s">
        <v>5220</v>
      </c>
      <c r="J986" s="28" t="s">
        <v>5123</v>
      </c>
      <c r="K986" s="28" t="s">
        <v>5622</v>
      </c>
      <c r="L986" s="28" t="s">
        <v>5623</v>
      </c>
      <c r="M986" s="28" t="s">
        <v>4101</v>
      </c>
      <c r="N986" s="28" t="s">
        <v>4011</v>
      </c>
    </row>
    <row r="987" spans="1:14">
      <c r="A987" t="s">
        <v>965</v>
      </c>
      <c r="B987" t="s">
        <v>60</v>
      </c>
      <c r="C987">
        <v>2116</v>
      </c>
      <c r="D987">
        <v>16</v>
      </c>
      <c r="E987" t="s">
        <v>961</v>
      </c>
      <c r="F987" s="35" t="s">
        <v>970</v>
      </c>
      <c r="G987" s="28" t="s">
        <v>1528</v>
      </c>
      <c r="H987" s="28" t="s">
        <v>1529</v>
      </c>
      <c r="I987" s="28" t="s">
        <v>5222</v>
      </c>
      <c r="J987" s="28" t="s">
        <v>5123</v>
      </c>
      <c r="K987" s="28" t="s">
        <v>5624</v>
      </c>
      <c r="L987" s="28" t="s">
        <v>5623</v>
      </c>
      <c r="M987" s="28" t="s">
        <v>4010</v>
      </c>
      <c r="N987" s="28" t="s">
        <v>4011</v>
      </c>
    </row>
    <row r="988" spans="1:14">
      <c r="A988" t="s">
        <v>965</v>
      </c>
      <c r="B988" t="s">
        <v>60</v>
      </c>
      <c r="C988">
        <v>2117</v>
      </c>
      <c r="D988">
        <v>359</v>
      </c>
      <c r="E988" t="s">
        <v>961</v>
      </c>
      <c r="F988" s="35" t="s">
        <v>970</v>
      </c>
      <c r="G988" s="28" t="s">
        <v>1560</v>
      </c>
      <c r="H988" s="28" t="s">
        <v>1529</v>
      </c>
      <c r="I988" s="28" t="s">
        <v>5126</v>
      </c>
      <c r="J988" s="28" t="s">
        <v>5123</v>
      </c>
      <c r="K988" s="28" t="s">
        <v>5625</v>
      </c>
      <c r="L988" s="28" t="s">
        <v>5623</v>
      </c>
      <c r="M988" s="28" t="s">
        <v>4104</v>
      </c>
      <c r="N988" s="28" t="s">
        <v>4011</v>
      </c>
    </row>
    <row r="989" spans="1:14">
      <c r="A989" t="s">
        <v>965</v>
      </c>
      <c r="B989" t="s">
        <v>60</v>
      </c>
      <c r="C989">
        <v>2121</v>
      </c>
      <c r="D989">
        <v>420</v>
      </c>
      <c r="E989" t="s">
        <v>961</v>
      </c>
      <c r="F989" s="35" t="s">
        <v>971</v>
      </c>
      <c r="G989" s="28" t="s">
        <v>1533</v>
      </c>
      <c r="H989" s="28" t="s">
        <v>1531</v>
      </c>
      <c r="I989" s="28" t="s">
        <v>5229</v>
      </c>
      <c r="J989" s="28" t="s">
        <v>5130</v>
      </c>
      <c r="K989" s="28" t="s">
        <v>5793</v>
      </c>
      <c r="L989" s="28" t="s">
        <v>5794</v>
      </c>
      <c r="M989" s="28" t="s">
        <v>4023</v>
      </c>
      <c r="N989" s="28" t="s">
        <v>4017</v>
      </c>
    </row>
    <row r="990" spans="1:14">
      <c r="A990" t="s">
        <v>965</v>
      </c>
      <c r="B990" t="s">
        <v>60</v>
      </c>
      <c r="C990">
        <v>2122</v>
      </c>
      <c r="D990">
        <v>149</v>
      </c>
      <c r="E990" t="s">
        <v>961</v>
      </c>
      <c r="F990" s="35" t="s">
        <v>971</v>
      </c>
      <c r="G990" s="28" t="s">
        <v>1534</v>
      </c>
      <c r="H990" s="28" t="s">
        <v>1531</v>
      </c>
      <c r="I990" s="28" t="s">
        <v>5231</v>
      </c>
      <c r="J990" s="28" t="s">
        <v>5130</v>
      </c>
      <c r="K990" s="28" t="s">
        <v>5795</v>
      </c>
      <c r="L990" s="28" t="s">
        <v>5794</v>
      </c>
      <c r="M990" s="28" t="s">
        <v>4026</v>
      </c>
      <c r="N990" s="28" t="s">
        <v>4017</v>
      </c>
    </row>
    <row r="991" spans="1:14">
      <c r="A991" t="s">
        <v>965</v>
      </c>
      <c r="B991" t="s">
        <v>60</v>
      </c>
      <c r="C991">
        <v>2124</v>
      </c>
      <c r="D991">
        <v>274</v>
      </c>
      <c r="E991" t="s">
        <v>961</v>
      </c>
      <c r="F991" s="35" t="s">
        <v>972</v>
      </c>
      <c r="G991" s="28" t="s">
        <v>1537</v>
      </c>
      <c r="H991" s="28" t="s">
        <v>1536</v>
      </c>
      <c r="I991" s="28" t="s">
        <v>5238</v>
      </c>
      <c r="J991" s="28" t="s">
        <v>5235</v>
      </c>
      <c r="K991" s="28" t="s">
        <v>5796</v>
      </c>
      <c r="L991" s="28" t="s">
        <v>5797</v>
      </c>
      <c r="M991" s="28" t="s">
        <v>4035</v>
      </c>
      <c r="N991" s="28" t="s">
        <v>4032</v>
      </c>
    </row>
    <row r="992" spans="1:14">
      <c r="A992" t="s">
        <v>965</v>
      </c>
      <c r="B992" t="s">
        <v>60</v>
      </c>
      <c r="C992">
        <v>2133</v>
      </c>
      <c r="D992">
        <v>210</v>
      </c>
      <c r="E992" t="s">
        <v>961</v>
      </c>
      <c r="F992" s="35" t="s">
        <v>974</v>
      </c>
      <c r="G992" s="28" t="s">
        <v>1562</v>
      </c>
      <c r="H992" s="28" t="s">
        <v>1563</v>
      </c>
      <c r="I992" s="28" t="s">
        <v>5145</v>
      </c>
      <c r="J992" s="28" t="s">
        <v>5141</v>
      </c>
      <c r="K992" s="28" t="s">
        <v>5798</v>
      </c>
      <c r="L992" s="28" t="s">
        <v>5799</v>
      </c>
      <c r="M992" s="28" t="s">
        <v>5800</v>
      </c>
      <c r="N992" s="28" t="s">
        <v>5801</v>
      </c>
    </row>
    <row r="993" spans="1:14">
      <c r="A993" t="s">
        <v>965</v>
      </c>
      <c r="B993" t="s">
        <v>60</v>
      </c>
      <c r="C993">
        <v>2137</v>
      </c>
      <c r="D993">
        <v>315</v>
      </c>
      <c r="E993" t="s">
        <v>961</v>
      </c>
      <c r="F993" s="35" t="s">
        <v>997</v>
      </c>
      <c r="G993" s="28" t="s">
        <v>6455</v>
      </c>
      <c r="H993" s="28" t="s">
        <v>6311</v>
      </c>
      <c r="I993" s="28" t="s">
        <v>6465</v>
      </c>
      <c r="J993" s="28" t="s">
        <v>6335</v>
      </c>
      <c r="K993" s="28" t="s">
        <v>6484</v>
      </c>
      <c r="L993" s="28" t="s">
        <v>6485</v>
      </c>
      <c r="M993" s="28" t="s">
        <v>6486</v>
      </c>
      <c r="N993" s="28" t="s">
        <v>6487</v>
      </c>
    </row>
    <row r="994" spans="1:14">
      <c r="A994" t="s">
        <v>965</v>
      </c>
      <c r="B994" t="s">
        <v>62</v>
      </c>
      <c r="C994">
        <v>2025</v>
      </c>
      <c r="D994">
        <v>50</v>
      </c>
      <c r="E994" t="s">
        <v>961</v>
      </c>
      <c r="F994" s="35" t="s">
        <v>979</v>
      </c>
      <c r="G994" s="28" t="s">
        <v>1585</v>
      </c>
      <c r="H994" s="28" t="s">
        <v>1582</v>
      </c>
      <c r="I994" s="28" t="s">
        <v>5025</v>
      </c>
      <c r="J994" s="28" t="s">
        <v>5017</v>
      </c>
      <c r="K994" s="28" t="s">
        <v>5802</v>
      </c>
      <c r="L994" s="28" t="s">
        <v>5803</v>
      </c>
      <c r="M994" s="28" t="s">
        <v>5804</v>
      </c>
      <c r="N994" s="28" t="s">
        <v>5805</v>
      </c>
    </row>
    <row r="995" spans="1:14">
      <c r="A995" t="s">
        <v>965</v>
      </c>
      <c r="B995" t="s">
        <v>62</v>
      </c>
      <c r="C995">
        <v>2028</v>
      </c>
      <c r="D995">
        <v>70</v>
      </c>
      <c r="E995" t="s">
        <v>961</v>
      </c>
      <c r="F995" s="35" t="s">
        <v>980</v>
      </c>
      <c r="G995" s="28" t="s">
        <v>1588</v>
      </c>
      <c r="H995" s="28" t="s">
        <v>1587</v>
      </c>
      <c r="I995" s="28" t="s">
        <v>5029</v>
      </c>
      <c r="J995" s="28" t="s">
        <v>5030</v>
      </c>
      <c r="K995" s="28" t="s">
        <v>5806</v>
      </c>
      <c r="L995" s="28" t="s">
        <v>5807</v>
      </c>
      <c r="M995" s="28" t="s">
        <v>5808</v>
      </c>
      <c r="N995" s="28" t="s">
        <v>5809</v>
      </c>
    </row>
    <row r="996" spans="1:14">
      <c r="A996" t="s">
        <v>965</v>
      </c>
      <c r="B996" t="s">
        <v>62</v>
      </c>
      <c r="C996">
        <v>2029</v>
      </c>
      <c r="D996">
        <v>1068</v>
      </c>
      <c r="E996" t="s">
        <v>961</v>
      </c>
      <c r="F996" s="35" t="s">
        <v>980</v>
      </c>
      <c r="G996" s="28" t="s">
        <v>1589</v>
      </c>
      <c r="H996" s="28" t="s">
        <v>1587</v>
      </c>
      <c r="I996" s="28" t="s">
        <v>5033</v>
      </c>
      <c r="J996" s="28" t="s">
        <v>5030</v>
      </c>
      <c r="K996" s="28" t="s">
        <v>5810</v>
      </c>
      <c r="L996" s="28" t="s">
        <v>5807</v>
      </c>
      <c r="M996" s="28" t="s">
        <v>5811</v>
      </c>
      <c r="N996" s="28" t="s">
        <v>5809</v>
      </c>
    </row>
    <row r="997" spans="1:14">
      <c r="A997" t="s">
        <v>965</v>
      </c>
      <c r="B997" t="s">
        <v>62</v>
      </c>
      <c r="C997">
        <v>2030</v>
      </c>
      <c r="D997">
        <v>535</v>
      </c>
      <c r="E997" t="s">
        <v>961</v>
      </c>
      <c r="F997" s="35" t="s">
        <v>980</v>
      </c>
      <c r="G997" s="28" t="s">
        <v>1609</v>
      </c>
      <c r="H997" s="28" t="s">
        <v>1587</v>
      </c>
      <c r="I997" s="28" t="s">
        <v>5036</v>
      </c>
      <c r="J997" s="28" t="s">
        <v>5030</v>
      </c>
      <c r="K997" s="28" t="s">
        <v>5812</v>
      </c>
      <c r="L997" s="28" t="s">
        <v>5807</v>
      </c>
      <c r="M997" s="28" t="s">
        <v>5813</v>
      </c>
      <c r="N997" s="28" t="s">
        <v>5809</v>
      </c>
    </row>
    <row r="998" spans="1:14">
      <c r="A998" t="s">
        <v>965</v>
      </c>
      <c r="B998" t="s">
        <v>62</v>
      </c>
      <c r="C998">
        <v>2031</v>
      </c>
      <c r="D998">
        <v>382</v>
      </c>
      <c r="E998" t="s">
        <v>961</v>
      </c>
      <c r="F998" s="35" t="s">
        <v>981</v>
      </c>
      <c r="G998" s="28" t="s">
        <v>1621</v>
      </c>
      <c r="H998" s="28" t="s">
        <v>1591</v>
      </c>
      <c r="I998" s="28" t="s">
        <v>5038</v>
      </c>
      <c r="J998" s="28" t="s">
        <v>5039</v>
      </c>
      <c r="K998" s="28" t="s">
        <v>5814</v>
      </c>
      <c r="L998" s="28" t="s">
        <v>5815</v>
      </c>
      <c r="M998" s="28" t="s">
        <v>5816</v>
      </c>
      <c r="N998" s="28" t="s">
        <v>5817</v>
      </c>
    </row>
    <row r="999" spans="1:14">
      <c r="A999" t="s">
        <v>965</v>
      </c>
      <c r="B999" t="s">
        <v>62</v>
      </c>
      <c r="C999">
        <v>2032</v>
      </c>
      <c r="D999">
        <v>487</v>
      </c>
      <c r="E999" t="s">
        <v>961</v>
      </c>
      <c r="F999" s="35" t="s">
        <v>981</v>
      </c>
      <c r="G999" s="28" t="s">
        <v>1590</v>
      </c>
      <c r="H999" s="28" t="s">
        <v>1591</v>
      </c>
      <c r="I999" s="28" t="s">
        <v>5042</v>
      </c>
      <c r="J999" s="28" t="s">
        <v>5039</v>
      </c>
      <c r="K999" s="28" t="s">
        <v>5818</v>
      </c>
      <c r="L999" s="28" t="s">
        <v>5815</v>
      </c>
      <c r="M999" s="28" t="s">
        <v>5819</v>
      </c>
      <c r="N999" s="28" t="s">
        <v>5817</v>
      </c>
    </row>
    <row r="1000" spans="1:14">
      <c r="A1000" t="s">
        <v>965</v>
      </c>
      <c r="B1000" t="s">
        <v>62</v>
      </c>
      <c r="C1000">
        <v>2033</v>
      </c>
      <c r="D1000">
        <v>1775</v>
      </c>
      <c r="E1000" t="s">
        <v>961</v>
      </c>
      <c r="F1000" s="35" t="s">
        <v>981</v>
      </c>
      <c r="G1000" s="28" t="s">
        <v>1622</v>
      </c>
      <c r="H1000" s="28" t="s">
        <v>1591</v>
      </c>
      <c r="I1000" s="28" t="s">
        <v>5045</v>
      </c>
      <c r="J1000" s="28" t="s">
        <v>5039</v>
      </c>
      <c r="K1000" s="28" t="s">
        <v>5820</v>
      </c>
      <c r="L1000" s="28" t="s">
        <v>5815</v>
      </c>
      <c r="M1000" s="28" t="s">
        <v>5821</v>
      </c>
      <c r="N1000" s="28" t="s">
        <v>5817</v>
      </c>
    </row>
    <row r="1001" spans="1:14">
      <c r="A1001" t="s">
        <v>965</v>
      </c>
      <c r="B1001" t="s">
        <v>62</v>
      </c>
      <c r="C1001">
        <v>2034</v>
      </c>
      <c r="D1001">
        <v>1869</v>
      </c>
      <c r="E1001" t="s">
        <v>961</v>
      </c>
      <c r="F1001" s="35" t="s">
        <v>981</v>
      </c>
      <c r="G1001" s="28" t="s">
        <v>1610</v>
      </c>
      <c r="H1001" s="28" t="s">
        <v>1591</v>
      </c>
      <c r="I1001" s="28" t="s">
        <v>5047</v>
      </c>
      <c r="J1001" s="28" t="s">
        <v>5039</v>
      </c>
      <c r="K1001" s="28" t="s">
        <v>5822</v>
      </c>
      <c r="L1001" s="28" t="s">
        <v>5815</v>
      </c>
      <c r="M1001" s="28" t="s">
        <v>5823</v>
      </c>
      <c r="N1001" s="28" t="s">
        <v>5817</v>
      </c>
    </row>
    <row r="1002" spans="1:14">
      <c r="A1002" t="s">
        <v>965</v>
      </c>
      <c r="B1002" t="s">
        <v>62</v>
      </c>
      <c r="C1002">
        <v>2035</v>
      </c>
      <c r="D1002">
        <v>1380</v>
      </c>
      <c r="E1002" t="s">
        <v>961</v>
      </c>
      <c r="F1002" s="35" t="s">
        <v>981</v>
      </c>
      <c r="G1002" s="28" t="s">
        <v>1592</v>
      </c>
      <c r="H1002" s="28" t="s">
        <v>1591</v>
      </c>
      <c r="I1002" s="28" t="s">
        <v>5049</v>
      </c>
      <c r="J1002" s="28" t="s">
        <v>5039</v>
      </c>
      <c r="K1002" s="28" t="s">
        <v>5824</v>
      </c>
      <c r="L1002" s="28" t="s">
        <v>5815</v>
      </c>
      <c r="M1002" s="28" t="s">
        <v>5825</v>
      </c>
      <c r="N1002" s="28" t="s">
        <v>5817</v>
      </c>
    </row>
    <row r="1003" spans="1:14">
      <c r="A1003" t="s">
        <v>965</v>
      </c>
      <c r="B1003" t="s">
        <v>62</v>
      </c>
      <c r="C1003">
        <v>2036</v>
      </c>
      <c r="D1003">
        <v>188</v>
      </c>
      <c r="E1003" t="s">
        <v>961</v>
      </c>
      <c r="F1003" s="35" t="s">
        <v>982</v>
      </c>
      <c r="G1003" s="28" t="s">
        <v>1593</v>
      </c>
      <c r="H1003" s="28" t="s">
        <v>1594</v>
      </c>
      <c r="I1003" s="28" t="s">
        <v>5051</v>
      </c>
      <c r="J1003" s="28" t="s">
        <v>5052</v>
      </c>
      <c r="K1003" s="28" t="s">
        <v>5826</v>
      </c>
      <c r="L1003" s="28" t="s">
        <v>5827</v>
      </c>
      <c r="M1003" s="28" t="s">
        <v>5828</v>
      </c>
      <c r="N1003" s="28" t="s">
        <v>5829</v>
      </c>
    </row>
    <row r="1004" spans="1:14">
      <c r="A1004" t="s">
        <v>965</v>
      </c>
      <c r="B1004" t="s">
        <v>62</v>
      </c>
      <c r="C1004">
        <v>2037</v>
      </c>
      <c r="D1004">
        <v>1160</v>
      </c>
      <c r="E1004" t="s">
        <v>961</v>
      </c>
      <c r="F1004" s="35" t="s">
        <v>982</v>
      </c>
      <c r="G1004" s="28" t="s">
        <v>1611</v>
      </c>
      <c r="H1004" s="28" t="s">
        <v>1594</v>
      </c>
      <c r="I1004" s="28" t="s">
        <v>5055</v>
      </c>
      <c r="J1004" s="28" t="s">
        <v>5052</v>
      </c>
      <c r="K1004" s="28" t="s">
        <v>5830</v>
      </c>
      <c r="L1004" s="28" t="s">
        <v>5827</v>
      </c>
      <c r="M1004" s="28" t="s">
        <v>5831</v>
      </c>
      <c r="N1004" s="28" t="s">
        <v>5829</v>
      </c>
    </row>
    <row r="1005" spans="1:14">
      <c r="A1005" t="s">
        <v>965</v>
      </c>
      <c r="B1005" t="s">
        <v>62</v>
      </c>
      <c r="C1005">
        <v>2039</v>
      </c>
      <c r="D1005">
        <v>73</v>
      </c>
      <c r="E1005" t="s">
        <v>961</v>
      </c>
      <c r="F1005" s="35" t="s">
        <v>982</v>
      </c>
      <c r="G1005" s="28" t="s">
        <v>1613</v>
      </c>
      <c r="H1005" s="28" t="s">
        <v>1594</v>
      </c>
      <c r="I1005" s="28" t="s">
        <v>5059</v>
      </c>
      <c r="J1005" s="28" t="s">
        <v>5052</v>
      </c>
      <c r="K1005" s="28" t="s">
        <v>5832</v>
      </c>
      <c r="L1005" s="28" t="s">
        <v>5827</v>
      </c>
      <c r="M1005" s="28" t="s">
        <v>5833</v>
      </c>
      <c r="N1005" s="28" t="s">
        <v>5829</v>
      </c>
    </row>
    <row r="1006" spans="1:14">
      <c r="A1006" t="s">
        <v>965</v>
      </c>
      <c r="B1006" t="s">
        <v>62</v>
      </c>
      <c r="C1006">
        <v>2040</v>
      </c>
      <c r="D1006">
        <v>859</v>
      </c>
      <c r="E1006" t="s">
        <v>961</v>
      </c>
      <c r="F1006" s="35" t="s">
        <v>983</v>
      </c>
      <c r="G1006" s="28" t="s">
        <v>1614</v>
      </c>
      <c r="H1006" s="28" t="s">
        <v>1596</v>
      </c>
      <c r="I1006" s="28" t="s">
        <v>5061</v>
      </c>
      <c r="J1006" s="28" t="s">
        <v>5062</v>
      </c>
      <c r="K1006" s="28" t="s">
        <v>5834</v>
      </c>
      <c r="L1006" s="28" t="s">
        <v>5835</v>
      </c>
      <c r="M1006" s="28" t="s">
        <v>5836</v>
      </c>
      <c r="N1006" s="28" t="s">
        <v>5837</v>
      </c>
    </row>
    <row r="1007" spans="1:14">
      <c r="A1007" t="s">
        <v>965</v>
      </c>
      <c r="B1007" t="s">
        <v>62</v>
      </c>
      <c r="C1007">
        <v>2041</v>
      </c>
      <c r="D1007">
        <v>208</v>
      </c>
      <c r="E1007" t="s">
        <v>961</v>
      </c>
      <c r="F1007" s="35" t="s">
        <v>983</v>
      </c>
      <c r="G1007" s="28" t="s">
        <v>1595</v>
      </c>
      <c r="H1007" s="28" t="s">
        <v>1596</v>
      </c>
      <c r="I1007" s="28" t="s">
        <v>5065</v>
      </c>
      <c r="J1007" s="28" t="s">
        <v>5062</v>
      </c>
      <c r="K1007" s="28" t="s">
        <v>5838</v>
      </c>
      <c r="L1007" s="28" t="s">
        <v>5835</v>
      </c>
      <c r="M1007" s="28" t="s">
        <v>5839</v>
      </c>
      <c r="N1007" s="28" t="s">
        <v>5837</v>
      </c>
    </row>
    <row r="1008" spans="1:14">
      <c r="A1008" t="s">
        <v>965</v>
      </c>
      <c r="B1008" t="s">
        <v>62</v>
      </c>
      <c r="C1008">
        <v>2042</v>
      </c>
      <c r="D1008">
        <v>808</v>
      </c>
      <c r="E1008" t="s">
        <v>961</v>
      </c>
      <c r="F1008" s="35" t="s">
        <v>983</v>
      </c>
      <c r="G1008" s="28" t="s">
        <v>1597</v>
      </c>
      <c r="H1008" s="28" t="s">
        <v>1596</v>
      </c>
      <c r="I1008" s="28" t="s">
        <v>5067</v>
      </c>
      <c r="J1008" s="28" t="s">
        <v>5062</v>
      </c>
      <c r="K1008" s="28" t="s">
        <v>5840</v>
      </c>
      <c r="L1008" s="28" t="s">
        <v>5835</v>
      </c>
      <c r="M1008" s="28" t="s">
        <v>5841</v>
      </c>
      <c r="N1008" s="28" t="s">
        <v>5837</v>
      </c>
    </row>
    <row r="1009" spans="1:14">
      <c r="A1009" t="s">
        <v>965</v>
      </c>
      <c r="B1009" t="s">
        <v>62</v>
      </c>
      <c r="C1009">
        <v>2043</v>
      </c>
      <c r="D1009">
        <v>1155</v>
      </c>
      <c r="E1009" t="s">
        <v>961</v>
      </c>
      <c r="F1009" s="35" t="s">
        <v>983</v>
      </c>
      <c r="G1009" s="28" t="s">
        <v>1615</v>
      </c>
      <c r="H1009" s="28" t="s">
        <v>1596</v>
      </c>
      <c r="I1009" s="28" t="s">
        <v>5069</v>
      </c>
      <c r="J1009" s="28" t="s">
        <v>5062</v>
      </c>
      <c r="K1009" s="28" t="s">
        <v>5842</v>
      </c>
      <c r="L1009" s="28" t="s">
        <v>5835</v>
      </c>
      <c r="M1009" s="28" t="s">
        <v>5843</v>
      </c>
      <c r="N1009" s="28" t="s">
        <v>5837</v>
      </c>
    </row>
    <row r="1010" spans="1:14">
      <c r="A1010" t="s">
        <v>965</v>
      </c>
      <c r="B1010" t="s">
        <v>62</v>
      </c>
      <c r="C1010">
        <v>2048</v>
      </c>
      <c r="D1010">
        <v>267</v>
      </c>
      <c r="E1010" t="s">
        <v>961</v>
      </c>
      <c r="F1010" s="35" t="s">
        <v>984</v>
      </c>
      <c r="G1010" s="28" t="s">
        <v>1625</v>
      </c>
      <c r="H1010" s="28" t="s">
        <v>1599</v>
      </c>
      <c r="I1010" s="28" t="s">
        <v>5077</v>
      </c>
      <c r="J1010" s="28" t="s">
        <v>5072</v>
      </c>
      <c r="K1010" s="28" t="s">
        <v>5844</v>
      </c>
      <c r="L1010" s="28" t="s">
        <v>5845</v>
      </c>
      <c r="M1010" s="28" t="s">
        <v>5846</v>
      </c>
      <c r="N1010" s="28" t="s">
        <v>5847</v>
      </c>
    </row>
    <row r="1011" spans="1:14">
      <c r="A1011" t="s">
        <v>965</v>
      </c>
      <c r="B1011" t="s">
        <v>62</v>
      </c>
      <c r="C1011">
        <v>2049</v>
      </c>
      <c r="D1011">
        <v>282</v>
      </c>
      <c r="E1011" t="s">
        <v>961</v>
      </c>
      <c r="F1011" s="35" t="s">
        <v>985</v>
      </c>
      <c r="G1011" s="28" t="s">
        <v>1602</v>
      </c>
      <c r="H1011" s="28" t="s">
        <v>1603</v>
      </c>
      <c r="I1011" s="28" t="s">
        <v>5080</v>
      </c>
      <c r="J1011" s="28" t="s">
        <v>5081</v>
      </c>
      <c r="K1011" s="28" t="s">
        <v>5848</v>
      </c>
      <c r="L1011" s="28" t="s">
        <v>5849</v>
      </c>
      <c r="M1011" s="28" t="s">
        <v>5850</v>
      </c>
      <c r="N1011" s="28" t="s">
        <v>5851</v>
      </c>
    </row>
    <row r="1012" spans="1:14">
      <c r="A1012" t="s">
        <v>965</v>
      </c>
      <c r="B1012" t="s">
        <v>62</v>
      </c>
      <c r="C1012">
        <v>2050</v>
      </c>
      <c r="D1012">
        <v>1454</v>
      </c>
      <c r="E1012" t="s">
        <v>961</v>
      </c>
      <c r="F1012" s="35" t="s">
        <v>985</v>
      </c>
      <c r="G1012" s="28" t="s">
        <v>1616</v>
      </c>
      <c r="H1012" s="28" t="s">
        <v>1603</v>
      </c>
      <c r="I1012" s="28" t="s">
        <v>5194</v>
      </c>
      <c r="J1012" s="28" t="s">
        <v>5081</v>
      </c>
      <c r="K1012" s="28" t="s">
        <v>5852</v>
      </c>
      <c r="L1012" s="28" t="s">
        <v>5849</v>
      </c>
      <c r="M1012" s="28" t="s">
        <v>5853</v>
      </c>
      <c r="N1012" s="28" t="s">
        <v>5851</v>
      </c>
    </row>
    <row r="1013" spans="1:14">
      <c r="A1013" t="s">
        <v>965</v>
      </c>
      <c r="B1013" t="s">
        <v>62</v>
      </c>
      <c r="C1013">
        <v>2051</v>
      </c>
      <c r="D1013">
        <v>247</v>
      </c>
      <c r="E1013" t="s">
        <v>961</v>
      </c>
      <c r="F1013" s="35" t="s">
        <v>985</v>
      </c>
      <c r="G1013" s="28" t="s">
        <v>1604</v>
      </c>
      <c r="H1013" s="28" t="s">
        <v>1603</v>
      </c>
      <c r="I1013" s="28" t="s">
        <v>5084</v>
      </c>
      <c r="J1013" s="28" t="s">
        <v>5081</v>
      </c>
      <c r="K1013" s="28" t="s">
        <v>5854</v>
      </c>
      <c r="L1013" s="28" t="s">
        <v>5849</v>
      </c>
      <c r="M1013" s="28" t="s">
        <v>5855</v>
      </c>
      <c r="N1013" s="28" t="s">
        <v>5851</v>
      </c>
    </row>
    <row r="1014" spans="1:14">
      <c r="A1014" t="s">
        <v>965</v>
      </c>
      <c r="B1014" t="s">
        <v>62</v>
      </c>
      <c r="C1014">
        <v>2052</v>
      </c>
      <c r="D1014">
        <v>1071</v>
      </c>
      <c r="E1014" t="s">
        <v>961</v>
      </c>
      <c r="F1014" s="35" t="s">
        <v>985</v>
      </c>
      <c r="G1014" s="28" t="s">
        <v>1605</v>
      </c>
      <c r="H1014" s="28" t="s">
        <v>1603</v>
      </c>
      <c r="I1014" s="28" t="s">
        <v>5086</v>
      </c>
      <c r="J1014" s="28" t="s">
        <v>5081</v>
      </c>
      <c r="K1014" s="28" t="s">
        <v>5856</v>
      </c>
      <c r="L1014" s="28" t="s">
        <v>5849</v>
      </c>
      <c r="M1014" s="28" t="s">
        <v>5857</v>
      </c>
      <c r="N1014" s="28" t="s">
        <v>5851</v>
      </c>
    </row>
    <row r="1015" spans="1:14">
      <c r="A1015" t="s">
        <v>965</v>
      </c>
      <c r="B1015" t="s">
        <v>62</v>
      </c>
      <c r="C1015">
        <v>2053</v>
      </c>
      <c r="D1015">
        <v>295</v>
      </c>
      <c r="E1015" t="s">
        <v>961</v>
      </c>
      <c r="F1015" s="35" t="s">
        <v>976</v>
      </c>
      <c r="G1015" s="28" t="s">
        <v>1631</v>
      </c>
      <c r="H1015" s="28" t="s">
        <v>1544</v>
      </c>
      <c r="I1015" s="28" t="s">
        <v>5088</v>
      </c>
      <c r="J1015" s="28" t="s">
        <v>5089</v>
      </c>
      <c r="K1015" s="28" t="s">
        <v>5858</v>
      </c>
      <c r="L1015" s="28" t="s">
        <v>5859</v>
      </c>
      <c r="M1015" s="28" t="s">
        <v>5860</v>
      </c>
      <c r="N1015" s="28" t="s">
        <v>4279</v>
      </c>
    </row>
    <row r="1016" spans="1:14">
      <c r="A1016" t="s">
        <v>965</v>
      </c>
      <c r="B1016" t="s">
        <v>62</v>
      </c>
      <c r="C1016">
        <v>2101</v>
      </c>
      <c r="D1016">
        <v>727</v>
      </c>
      <c r="E1016" t="s">
        <v>961</v>
      </c>
      <c r="F1016" s="35" t="s">
        <v>976</v>
      </c>
      <c r="G1016" s="28" t="s">
        <v>1561</v>
      </c>
      <c r="H1016" s="28" t="s">
        <v>1544</v>
      </c>
      <c r="I1016" s="28" t="s">
        <v>5093</v>
      </c>
      <c r="J1016" s="28" t="s">
        <v>5089</v>
      </c>
      <c r="K1016" s="28" t="s">
        <v>5861</v>
      </c>
      <c r="L1016" s="28" t="s">
        <v>5859</v>
      </c>
      <c r="M1016" s="28" t="s">
        <v>4278</v>
      </c>
      <c r="N1016" s="28" t="s">
        <v>4279</v>
      </c>
    </row>
    <row r="1017" spans="1:14">
      <c r="A1017" t="s">
        <v>965</v>
      </c>
      <c r="B1017" t="s">
        <v>62</v>
      </c>
      <c r="C1017">
        <v>2102</v>
      </c>
      <c r="D1017">
        <v>3</v>
      </c>
      <c r="E1017" t="s">
        <v>961</v>
      </c>
      <c r="F1017" s="35" t="s">
        <v>976</v>
      </c>
      <c r="G1017" s="28" t="s">
        <v>1543</v>
      </c>
      <c r="H1017" s="28" t="s">
        <v>1544</v>
      </c>
      <c r="I1017" s="28" t="s">
        <v>5095</v>
      </c>
      <c r="J1017" s="28" t="s">
        <v>5089</v>
      </c>
      <c r="K1017" s="28" t="s">
        <v>5862</v>
      </c>
      <c r="L1017" s="28" t="s">
        <v>5859</v>
      </c>
      <c r="M1017" s="28" t="s">
        <v>4281</v>
      </c>
      <c r="N1017" s="28" t="s">
        <v>4279</v>
      </c>
    </row>
    <row r="1018" spans="1:14">
      <c r="A1018" t="s">
        <v>965</v>
      </c>
      <c r="B1018" t="s">
        <v>62</v>
      </c>
      <c r="C1018">
        <v>2103</v>
      </c>
      <c r="D1018">
        <v>1162</v>
      </c>
      <c r="E1018" t="s">
        <v>961</v>
      </c>
      <c r="F1018" s="35" t="s">
        <v>976</v>
      </c>
      <c r="G1018" s="28" t="s">
        <v>1545</v>
      </c>
      <c r="H1018" s="28" t="s">
        <v>1544</v>
      </c>
      <c r="I1018" s="28" t="s">
        <v>5097</v>
      </c>
      <c r="J1018" s="28" t="s">
        <v>5089</v>
      </c>
      <c r="K1018" s="28" t="s">
        <v>5863</v>
      </c>
      <c r="L1018" s="28" t="s">
        <v>5859</v>
      </c>
      <c r="M1018" s="28" t="s">
        <v>4289</v>
      </c>
      <c r="N1018" s="28" t="s">
        <v>4279</v>
      </c>
    </row>
    <row r="1019" spans="1:14">
      <c r="A1019" t="s">
        <v>965</v>
      </c>
      <c r="B1019" t="s">
        <v>62</v>
      </c>
      <c r="C1019">
        <v>2104</v>
      </c>
      <c r="D1019">
        <v>328</v>
      </c>
      <c r="E1019" t="s">
        <v>961</v>
      </c>
      <c r="F1019" s="35" t="s">
        <v>976</v>
      </c>
      <c r="G1019" s="28" t="s">
        <v>1546</v>
      </c>
      <c r="H1019" s="28" t="s">
        <v>1544</v>
      </c>
      <c r="I1019" s="28" t="s">
        <v>5099</v>
      </c>
      <c r="J1019" s="28" t="s">
        <v>5089</v>
      </c>
      <c r="K1019" s="28" t="s">
        <v>5864</v>
      </c>
      <c r="L1019" s="28" t="s">
        <v>5859</v>
      </c>
      <c r="M1019" s="28" t="s">
        <v>4291</v>
      </c>
      <c r="N1019" s="28" t="s">
        <v>4279</v>
      </c>
    </row>
    <row r="1020" spans="1:14">
      <c r="A1020" t="s">
        <v>965</v>
      </c>
      <c r="B1020" t="s">
        <v>62</v>
      </c>
      <c r="C1020">
        <v>2105</v>
      </c>
      <c r="D1020">
        <v>1461</v>
      </c>
      <c r="E1020" t="s">
        <v>961</v>
      </c>
      <c r="F1020" s="35" t="s">
        <v>975</v>
      </c>
      <c r="G1020" s="28" t="s">
        <v>1547</v>
      </c>
      <c r="H1020" s="28" t="s">
        <v>1548</v>
      </c>
      <c r="I1020" s="28" t="s">
        <v>5101</v>
      </c>
      <c r="J1020" s="28" t="s">
        <v>5102</v>
      </c>
      <c r="K1020" s="28" t="s">
        <v>5865</v>
      </c>
      <c r="L1020" s="28" t="s">
        <v>5866</v>
      </c>
      <c r="M1020" s="28" t="s">
        <v>4284</v>
      </c>
      <c r="N1020" s="28" t="s">
        <v>4285</v>
      </c>
    </row>
    <row r="1021" spans="1:14">
      <c r="A1021" t="s">
        <v>965</v>
      </c>
      <c r="B1021" t="s">
        <v>62</v>
      </c>
      <c r="C1021">
        <v>2106</v>
      </c>
      <c r="D1021">
        <v>230</v>
      </c>
      <c r="E1021" t="s">
        <v>961</v>
      </c>
      <c r="F1021" s="35" t="s">
        <v>975</v>
      </c>
      <c r="G1021" s="28" t="s">
        <v>1549</v>
      </c>
      <c r="H1021" s="28" t="s">
        <v>1548</v>
      </c>
      <c r="I1021" s="28" t="s">
        <v>5105</v>
      </c>
      <c r="J1021" s="28" t="s">
        <v>5102</v>
      </c>
      <c r="K1021" s="28" t="s">
        <v>5867</v>
      </c>
      <c r="L1021" s="28" t="s">
        <v>5866</v>
      </c>
      <c r="M1021" s="28" t="s">
        <v>4287</v>
      </c>
      <c r="N1021" s="28" t="s">
        <v>4285</v>
      </c>
    </row>
    <row r="1022" spans="1:14">
      <c r="A1022" t="s">
        <v>965</v>
      </c>
      <c r="B1022" t="s">
        <v>62</v>
      </c>
      <c r="C1022">
        <v>2107</v>
      </c>
      <c r="D1022">
        <v>593</v>
      </c>
      <c r="E1022" t="s">
        <v>961</v>
      </c>
      <c r="F1022" s="35" t="s">
        <v>975</v>
      </c>
      <c r="G1022" s="28" t="s">
        <v>1550</v>
      </c>
      <c r="H1022" s="28" t="s">
        <v>1548</v>
      </c>
      <c r="I1022" s="28" t="s">
        <v>5107</v>
      </c>
      <c r="J1022" s="28" t="s">
        <v>5102</v>
      </c>
      <c r="K1022" s="28" t="s">
        <v>5868</v>
      </c>
      <c r="L1022" s="28" t="s">
        <v>5866</v>
      </c>
      <c r="M1022" s="28" t="s">
        <v>4293</v>
      </c>
      <c r="N1022" s="28" t="s">
        <v>4285</v>
      </c>
    </row>
    <row r="1023" spans="1:14">
      <c r="A1023" t="s">
        <v>965</v>
      </c>
      <c r="B1023" t="s">
        <v>62</v>
      </c>
      <c r="C1023">
        <v>2108</v>
      </c>
      <c r="D1023">
        <v>125</v>
      </c>
      <c r="E1023" t="s">
        <v>961</v>
      </c>
      <c r="F1023" s="35" t="s">
        <v>975</v>
      </c>
      <c r="G1023" s="28" t="s">
        <v>1551</v>
      </c>
      <c r="H1023" s="28" t="s">
        <v>1548</v>
      </c>
      <c r="I1023" s="28" t="s">
        <v>5109</v>
      </c>
      <c r="J1023" s="28" t="s">
        <v>5102</v>
      </c>
      <c r="K1023" s="28" t="s">
        <v>5869</v>
      </c>
      <c r="L1023" s="28" t="s">
        <v>5866</v>
      </c>
      <c r="M1023" s="28" t="s">
        <v>4295</v>
      </c>
      <c r="N1023" s="28" t="s">
        <v>4285</v>
      </c>
    </row>
    <row r="1024" spans="1:14">
      <c r="A1024" t="s">
        <v>965</v>
      </c>
      <c r="B1024" t="s">
        <v>62</v>
      </c>
      <c r="C1024">
        <v>2109</v>
      </c>
      <c r="D1024">
        <v>423</v>
      </c>
      <c r="E1024" t="s">
        <v>961</v>
      </c>
      <c r="F1024" s="35" t="s">
        <v>969</v>
      </c>
      <c r="G1024" s="28" t="s">
        <v>1552</v>
      </c>
      <c r="H1024" s="28" t="s">
        <v>1553</v>
      </c>
      <c r="I1024" s="28" t="s">
        <v>5111</v>
      </c>
      <c r="J1024" s="28" t="s">
        <v>5112</v>
      </c>
      <c r="K1024" s="28" t="s">
        <v>5870</v>
      </c>
      <c r="L1024" s="28" t="s">
        <v>5871</v>
      </c>
      <c r="M1024" s="28" t="s">
        <v>4298</v>
      </c>
      <c r="N1024" s="28" t="s">
        <v>4299</v>
      </c>
    </row>
    <row r="1025" spans="1:14">
      <c r="A1025" t="s">
        <v>965</v>
      </c>
      <c r="B1025" t="s">
        <v>62</v>
      </c>
      <c r="C1025">
        <v>2110</v>
      </c>
      <c r="D1025">
        <v>1289</v>
      </c>
      <c r="E1025" t="s">
        <v>961</v>
      </c>
      <c r="F1025" s="35" t="s">
        <v>969</v>
      </c>
      <c r="G1025" s="28" t="s">
        <v>1554</v>
      </c>
      <c r="H1025" s="28" t="s">
        <v>1553</v>
      </c>
      <c r="I1025" s="28" t="s">
        <v>5115</v>
      </c>
      <c r="J1025" s="28" t="s">
        <v>5112</v>
      </c>
      <c r="K1025" s="28" t="s">
        <v>5872</v>
      </c>
      <c r="L1025" s="28" t="s">
        <v>5871</v>
      </c>
      <c r="M1025" s="28" t="s">
        <v>4301</v>
      </c>
      <c r="N1025" s="28" t="s">
        <v>4299</v>
      </c>
    </row>
    <row r="1026" spans="1:14">
      <c r="A1026" t="s">
        <v>965</v>
      </c>
      <c r="B1026" t="s">
        <v>62</v>
      </c>
      <c r="C1026">
        <v>2112</v>
      </c>
      <c r="D1026">
        <v>460</v>
      </c>
      <c r="E1026" t="s">
        <v>961</v>
      </c>
      <c r="F1026" s="35" t="s">
        <v>969</v>
      </c>
      <c r="G1026" s="28" t="s">
        <v>1556</v>
      </c>
      <c r="H1026" s="28" t="s">
        <v>1553</v>
      </c>
      <c r="I1026" s="28" t="s">
        <v>5214</v>
      </c>
      <c r="J1026" s="28" t="s">
        <v>5112</v>
      </c>
      <c r="K1026" s="28" t="s">
        <v>5873</v>
      </c>
      <c r="L1026" s="28" t="s">
        <v>5871</v>
      </c>
      <c r="M1026" s="28" t="s">
        <v>4305</v>
      </c>
      <c r="N1026" s="28" t="s">
        <v>4299</v>
      </c>
    </row>
    <row r="1027" spans="1:14">
      <c r="A1027" t="s">
        <v>965</v>
      </c>
      <c r="B1027" t="s">
        <v>62</v>
      </c>
      <c r="C1027">
        <v>2113</v>
      </c>
      <c r="D1027">
        <v>163</v>
      </c>
      <c r="E1027" t="s">
        <v>961</v>
      </c>
      <c r="F1027" s="35" t="s">
        <v>969</v>
      </c>
      <c r="G1027" s="28" t="s">
        <v>1557</v>
      </c>
      <c r="H1027" s="28" t="s">
        <v>1553</v>
      </c>
      <c r="I1027" s="28" t="s">
        <v>5119</v>
      </c>
      <c r="J1027" s="28" t="s">
        <v>5112</v>
      </c>
      <c r="K1027" s="28" t="s">
        <v>5874</v>
      </c>
      <c r="L1027" s="28" t="s">
        <v>5871</v>
      </c>
      <c r="M1027" s="28" t="s">
        <v>4307</v>
      </c>
      <c r="N1027" s="28" t="s">
        <v>4299</v>
      </c>
    </row>
    <row r="1028" spans="1:14">
      <c r="A1028" t="s">
        <v>965</v>
      </c>
      <c r="B1028" t="s">
        <v>62</v>
      </c>
      <c r="C1028">
        <v>2114</v>
      </c>
      <c r="D1028">
        <v>576</v>
      </c>
      <c r="E1028" t="s">
        <v>961</v>
      </c>
      <c r="F1028" s="35" t="s">
        <v>970</v>
      </c>
      <c r="G1028" s="28" t="s">
        <v>1558</v>
      </c>
      <c r="H1028" s="28" t="s">
        <v>1529</v>
      </c>
      <c r="I1028" s="28" t="s">
        <v>5122</v>
      </c>
      <c r="J1028" s="28" t="s">
        <v>5123</v>
      </c>
      <c r="K1028" s="28" t="s">
        <v>5875</v>
      </c>
      <c r="L1028" s="28" t="s">
        <v>5876</v>
      </c>
      <c r="M1028" s="28" t="s">
        <v>4310</v>
      </c>
      <c r="N1028" s="28" t="s">
        <v>4311</v>
      </c>
    </row>
    <row r="1029" spans="1:14">
      <c r="A1029" t="s">
        <v>965</v>
      </c>
      <c r="B1029" t="s">
        <v>62</v>
      </c>
      <c r="C1029">
        <v>2115</v>
      </c>
      <c r="D1029">
        <v>411</v>
      </c>
      <c r="E1029" t="s">
        <v>961</v>
      </c>
      <c r="F1029" s="35" t="s">
        <v>970</v>
      </c>
      <c r="G1029" s="28" t="s">
        <v>1559</v>
      </c>
      <c r="H1029" s="28" t="s">
        <v>1529</v>
      </c>
      <c r="I1029" s="28" t="s">
        <v>5220</v>
      </c>
      <c r="J1029" s="28" t="s">
        <v>5123</v>
      </c>
      <c r="K1029" s="28" t="s">
        <v>5877</v>
      </c>
      <c r="L1029" s="28" t="s">
        <v>5876</v>
      </c>
      <c r="M1029" s="28" t="s">
        <v>4313</v>
      </c>
      <c r="N1029" s="28" t="s">
        <v>4311</v>
      </c>
    </row>
    <row r="1030" spans="1:14">
      <c r="A1030" t="s">
        <v>965</v>
      </c>
      <c r="B1030" t="s">
        <v>62</v>
      </c>
      <c r="C1030">
        <v>2116</v>
      </c>
      <c r="D1030">
        <v>250</v>
      </c>
      <c r="E1030" t="s">
        <v>961</v>
      </c>
      <c r="F1030" s="35" t="s">
        <v>970</v>
      </c>
      <c r="G1030" s="28" t="s">
        <v>1528</v>
      </c>
      <c r="H1030" s="28" t="s">
        <v>1529</v>
      </c>
      <c r="I1030" s="28" t="s">
        <v>5222</v>
      </c>
      <c r="J1030" s="28" t="s">
        <v>5123</v>
      </c>
      <c r="K1030" s="28" t="s">
        <v>5878</v>
      </c>
      <c r="L1030" s="28" t="s">
        <v>5876</v>
      </c>
      <c r="M1030" s="28" t="s">
        <v>4315</v>
      </c>
      <c r="N1030" s="28" t="s">
        <v>4311</v>
      </c>
    </row>
    <row r="1031" spans="1:14">
      <c r="A1031" t="s">
        <v>965</v>
      </c>
      <c r="B1031" t="s">
        <v>62</v>
      </c>
      <c r="C1031">
        <v>2120</v>
      </c>
      <c r="D1031">
        <v>50</v>
      </c>
      <c r="E1031" t="s">
        <v>961</v>
      </c>
      <c r="F1031" s="35" t="s">
        <v>971</v>
      </c>
      <c r="G1031" s="28" t="s">
        <v>1564</v>
      </c>
      <c r="H1031" s="28" t="s">
        <v>1531</v>
      </c>
      <c r="I1031" s="28" t="s">
        <v>5129</v>
      </c>
      <c r="J1031" s="28" t="s">
        <v>5130</v>
      </c>
      <c r="K1031" s="28" t="s">
        <v>5660</v>
      </c>
      <c r="L1031" s="28" t="s">
        <v>5661</v>
      </c>
      <c r="M1031" s="28" t="s">
        <v>4326</v>
      </c>
      <c r="N1031" s="28" t="s">
        <v>4321</v>
      </c>
    </row>
    <row r="1032" spans="1:14">
      <c r="A1032" t="s">
        <v>965</v>
      </c>
      <c r="B1032" t="s">
        <v>62</v>
      </c>
      <c r="C1032">
        <v>2122</v>
      </c>
      <c r="D1032">
        <v>115</v>
      </c>
      <c r="E1032" t="s">
        <v>961</v>
      </c>
      <c r="F1032" s="35" t="s">
        <v>971</v>
      </c>
      <c r="G1032" s="28" t="s">
        <v>1534</v>
      </c>
      <c r="H1032" s="28" t="s">
        <v>1531</v>
      </c>
      <c r="I1032" s="28" t="s">
        <v>5231</v>
      </c>
      <c r="J1032" s="28" t="s">
        <v>5130</v>
      </c>
      <c r="K1032" s="28" t="s">
        <v>5879</v>
      </c>
      <c r="L1032" s="28" t="s">
        <v>5661</v>
      </c>
      <c r="M1032" s="28" t="s">
        <v>4330</v>
      </c>
      <c r="N1032" s="28" t="s">
        <v>4321</v>
      </c>
    </row>
    <row r="1033" spans="1:14">
      <c r="A1033" t="s">
        <v>965</v>
      </c>
      <c r="B1033" t="s">
        <v>62</v>
      </c>
      <c r="C1033">
        <v>2124</v>
      </c>
      <c r="D1033">
        <v>1</v>
      </c>
      <c r="E1033" t="s">
        <v>961</v>
      </c>
      <c r="F1033" s="35" t="s">
        <v>972</v>
      </c>
      <c r="G1033" s="28" t="s">
        <v>1537</v>
      </c>
      <c r="H1033" s="28" t="s">
        <v>1536</v>
      </c>
      <c r="I1033" s="28" t="s">
        <v>5238</v>
      </c>
      <c r="J1033" s="28" t="s">
        <v>5235</v>
      </c>
      <c r="K1033" s="28" t="s">
        <v>5880</v>
      </c>
      <c r="L1033" s="28" t="s">
        <v>5881</v>
      </c>
      <c r="M1033" s="28" t="s">
        <v>4336</v>
      </c>
      <c r="N1033" s="28" t="s">
        <v>4334</v>
      </c>
    </row>
    <row r="1034" spans="1:14">
      <c r="A1034" t="s">
        <v>965</v>
      </c>
      <c r="B1034" t="s">
        <v>62</v>
      </c>
      <c r="C1034">
        <v>2131</v>
      </c>
      <c r="D1034">
        <v>16</v>
      </c>
      <c r="E1034" t="s">
        <v>961</v>
      </c>
      <c r="F1034" s="35" t="s">
        <v>974</v>
      </c>
      <c r="G1034" s="28" t="s">
        <v>1624</v>
      </c>
      <c r="H1034" s="28" t="s">
        <v>1563</v>
      </c>
      <c r="I1034" s="28" t="s">
        <v>5246</v>
      </c>
      <c r="J1034" s="28" t="s">
        <v>5141</v>
      </c>
      <c r="K1034" s="28" t="s">
        <v>5882</v>
      </c>
      <c r="L1034" s="28" t="s">
        <v>5883</v>
      </c>
      <c r="M1034" s="28" t="s">
        <v>5884</v>
      </c>
      <c r="N1034" s="28" t="s">
        <v>4351</v>
      </c>
    </row>
    <row r="1035" spans="1:14">
      <c r="A1035" t="s">
        <v>965</v>
      </c>
      <c r="B1035" t="s">
        <v>62</v>
      </c>
      <c r="C1035">
        <v>2134</v>
      </c>
      <c r="D1035">
        <v>5</v>
      </c>
      <c r="E1035" t="s">
        <v>961</v>
      </c>
      <c r="F1035" s="35" t="s">
        <v>974</v>
      </c>
      <c r="G1035" s="28" t="s">
        <v>6012</v>
      </c>
      <c r="H1035" s="28" t="s">
        <v>1563</v>
      </c>
      <c r="I1035" s="28" t="s">
        <v>6013</v>
      </c>
      <c r="J1035" s="28" t="s">
        <v>5141</v>
      </c>
      <c r="K1035" s="28" t="s">
        <v>6024</v>
      </c>
      <c r="L1035" s="28" t="s">
        <v>5883</v>
      </c>
      <c r="M1035" s="28" t="s">
        <v>6025</v>
      </c>
      <c r="N1035" s="28" t="s">
        <v>4351</v>
      </c>
    </row>
    <row r="1036" spans="1:14">
      <c r="A1036" t="s">
        <v>965</v>
      </c>
      <c r="B1036" t="s">
        <v>65</v>
      </c>
      <c r="C1036">
        <v>2030</v>
      </c>
      <c r="D1036">
        <v>10</v>
      </c>
      <c r="E1036" t="s">
        <v>961</v>
      </c>
      <c r="F1036" s="35" t="s">
        <v>980</v>
      </c>
      <c r="G1036" s="28" t="s">
        <v>1609</v>
      </c>
      <c r="H1036" s="28" t="s">
        <v>1587</v>
      </c>
      <c r="I1036" s="28" t="s">
        <v>5036</v>
      </c>
      <c r="J1036" s="28" t="s">
        <v>5030</v>
      </c>
      <c r="K1036" s="28" t="s">
        <v>5885</v>
      </c>
      <c r="L1036" s="28" t="s">
        <v>5886</v>
      </c>
      <c r="M1036" s="28" t="s">
        <v>5887</v>
      </c>
      <c r="N1036" s="28" t="s">
        <v>5888</v>
      </c>
    </row>
    <row r="1037" spans="1:14">
      <c r="A1037" t="s">
        <v>965</v>
      </c>
      <c r="B1037" t="s">
        <v>65</v>
      </c>
      <c r="C1037">
        <v>2031</v>
      </c>
      <c r="D1037">
        <v>240</v>
      </c>
      <c r="E1037" t="s">
        <v>961</v>
      </c>
      <c r="F1037" s="35" t="s">
        <v>981</v>
      </c>
      <c r="G1037" s="28" t="s">
        <v>1621</v>
      </c>
      <c r="H1037" s="28" t="s">
        <v>1591</v>
      </c>
      <c r="I1037" s="28" t="s">
        <v>5038</v>
      </c>
      <c r="J1037" s="28" t="s">
        <v>5039</v>
      </c>
      <c r="K1037" s="28" t="s">
        <v>5889</v>
      </c>
      <c r="L1037" s="28" t="s">
        <v>5890</v>
      </c>
      <c r="M1037" s="28" t="s">
        <v>5891</v>
      </c>
      <c r="N1037" s="28" t="s">
        <v>5892</v>
      </c>
    </row>
    <row r="1038" spans="1:14">
      <c r="A1038" t="s">
        <v>965</v>
      </c>
      <c r="B1038" t="s">
        <v>65</v>
      </c>
      <c r="C1038">
        <v>2032</v>
      </c>
      <c r="D1038">
        <v>14</v>
      </c>
      <c r="E1038" t="s">
        <v>961</v>
      </c>
      <c r="F1038" s="35" t="s">
        <v>981</v>
      </c>
      <c r="G1038" s="28" t="s">
        <v>1590</v>
      </c>
      <c r="H1038" s="28" t="s">
        <v>1591</v>
      </c>
      <c r="I1038" s="28" t="s">
        <v>5042</v>
      </c>
      <c r="J1038" s="28" t="s">
        <v>5039</v>
      </c>
      <c r="K1038" s="28" t="s">
        <v>5893</v>
      </c>
      <c r="L1038" s="28" t="s">
        <v>5890</v>
      </c>
      <c r="M1038" s="28" t="s">
        <v>5894</v>
      </c>
      <c r="N1038" s="28" t="s">
        <v>5892</v>
      </c>
    </row>
    <row r="1039" spans="1:14">
      <c r="A1039" t="s">
        <v>965</v>
      </c>
      <c r="B1039" t="s">
        <v>65</v>
      </c>
      <c r="C1039">
        <v>2036</v>
      </c>
      <c r="D1039">
        <v>5</v>
      </c>
      <c r="E1039" t="s">
        <v>961</v>
      </c>
      <c r="F1039" s="35" t="s">
        <v>982</v>
      </c>
      <c r="G1039" s="28" t="s">
        <v>1593</v>
      </c>
      <c r="H1039" s="28" t="s">
        <v>1594</v>
      </c>
      <c r="I1039" s="28" t="s">
        <v>5051</v>
      </c>
      <c r="J1039" s="28" t="s">
        <v>5052</v>
      </c>
      <c r="K1039" s="28" t="s">
        <v>5895</v>
      </c>
      <c r="L1039" s="28" t="s">
        <v>5896</v>
      </c>
      <c r="M1039" s="28" t="s">
        <v>5897</v>
      </c>
      <c r="N1039" s="28" t="s">
        <v>5898</v>
      </c>
    </row>
    <row r="1040" spans="1:14">
      <c r="A1040" t="s">
        <v>965</v>
      </c>
      <c r="B1040" t="s">
        <v>65</v>
      </c>
      <c r="C1040">
        <v>2037</v>
      </c>
      <c r="D1040">
        <v>26</v>
      </c>
      <c r="E1040" t="s">
        <v>961</v>
      </c>
      <c r="F1040" s="35" t="s">
        <v>982</v>
      </c>
      <c r="G1040" s="28" t="s">
        <v>1611</v>
      </c>
      <c r="H1040" s="28" t="s">
        <v>1594</v>
      </c>
      <c r="I1040" s="28" t="s">
        <v>5055</v>
      </c>
      <c r="J1040" s="28" t="s">
        <v>5052</v>
      </c>
      <c r="K1040" s="28" t="s">
        <v>5899</v>
      </c>
      <c r="L1040" s="28" t="s">
        <v>5896</v>
      </c>
      <c r="M1040" s="28" t="s">
        <v>5900</v>
      </c>
      <c r="N1040" s="28" t="s">
        <v>5898</v>
      </c>
    </row>
    <row r="1041" spans="1:14">
      <c r="A1041" t="s">
        <v>965</v>
      </c>
      <c r="B1041" t="s">
        <v>65</v>
      </c>
      <c r="C1041">
        <v>2041</v>
      </c>
      <c r="D1041">
        <v>24</v>
      </c>
      <c r="E1041" t="s">
        <v>961</v>
      </c>
      <c r="F1041" s="35" t="s">
        <v>983</v>
      </c>
      <c r="G1041" s="28" t="s">
        <v>1595</v>
      </c>
      <c r="H1041" s="28" t="s">
        <v>1596</v>
      </c>
      <c r="I1041" s="28" t="s">
        <v>5065</v>
      </c>
      <c r="J1041" s="28" t="s">
        <v>5062</v>
      </c>
      <c r="K1041" s="28" t="s">
        <v>5901</v>
      </c>
      <c r="L1041" s="28" t="s">
        <v>5902</v>
      </c>
      <c r="M1041" s="28" t="s">
        <v>5903</v>
      </c>
      <c r="N1041" s="28" t="s">
        <v>5904</v>
      </c>
    </row>
    <row r="1042" spans="1:14">
      <c r="A1042" t="s">
        <v>965</v>
      </c>
      <c r="B1042" t="s">
        <v>65</v>
      </c>
      <c r="C1042">
        <v>2049</v>
      </c>
      <c r="D1042">
        <v>22</v>
      </c>
      <c r="E1042" t="s">
        <v>961</v>
      </c>
      <c r="F1042" s="35" t="s">
        <v>985</v>
      </c>
      <c r="G1042" s="28" t="s">
        <v>1602</v>
      </c>
      <c r="H1042" s="28" t="s">
        <v>1603</v>
      </c>
      <c r="I1042" s="28" t="s">
        <v>5080</v>
      </c>
      <c r="J1042" s="28" t="s">
        <v>5081</v>
      </c>
      <c r="K1042" s="28" t="s">
        <v>5905</v>
      </c>
      <c r="L1042" s="28" t="s">
        <v>5906</v>
      </c>
      <c r="M1042" s="28" t="s">
        <v>5907</v>
      </c>
      <c r="N1042" s="28" t="s">
        <v>5908</v>
      </c>
    </row>
    <row r="1043" spans="1:14">
      <c r="A1043" t="s">
        <v>965</v>
      </c>
      <c r="B1043" t="s">
        <v>65</v>
      </c>
      <c r="C1043">
        <v>2050</v>
      </c>
      <c r="D1043">
        <v>36</v>
      </c>
      <c r="E1043" t="s">
        <v>961</v>
      </c>
      <c r="F1043" s="35" t="s">
        <v>985</v>
      </c>
      <c r="G1043" s="28" t="s">
        <v>1616</v>
      </c>
      <c r="H1043" s="28" t="s">
        <v>1603</v>
      </c>
      <c r="I1043" s="28" t="s">
        <v>5194</v>
      </c>
      <c r="J1043" s="28" t="s">
        <v>5081</v>
      </c>
      <c r="K1043" s="28" t="s">
        <v>5909</v>
      </c>
      <c r="L1043" s="28" t="s">
        <v>5906</v>
      </c>
      <c r="M1043" s="28" t="s">
        <v>5910</v>
      </c>
      <c r="N1043" s="28" t="s">
        <v>5908</v>
      </c>
    </row>
    <row r="1044" spans="1:14">
      <c r="A1044" t="s">
        <v>965</v>
      </c>
      <c r="B1044" t="s">
        <v>65</v>
      </c>
      <c r="C1044">
        <v>2102</v>
      </c>
      <c r="D1044">
        <v>20</v>
      </c>
      <c r="E1044" t="s">
        <v>961</v>
      </c>
      <c r="F1044" s="35" t="s">
        <v>976</v>
      </c>
      <c r="G1044" s="28" t="s">
        <v>1543</v>
      </c>
      <c r="H1044" s="28" t="s">
        <v>1544</v>
      </c>
      <c r="I1044" s="28" t="s">
        <v>5095</v>
      </c>
      <c r="J1044" s="28" t="s">
        <v>5089</v>
      </c>
      <c r="K1044" s="28" t="s">
        <v>5911</v>
      </c>
      <c r="L1044" s="28" t="s">
        <v>5912</v>
      </c>
      <c r="M1044" s="28" t="s">
        <v>5913</v>
      </c>
      <c r="N1044" s="28" t="s">
        <v>4430</v>
      </c>
    </row>
    <row r="1045" spans="1:14">
      <c r="A1045" t="s">
        <v>965</v>
      </c>
      <c r="B1045" t="s">
        <v>65</v>
      </c>
      <c r="C1045">
        <v>2107</v>
      </c>
      <c r="D1045">
        <v>13</v>
      </c>
      <c r="E1045" t="s">
        <v>961</v>
      </c>
      <c r="F1045" s="35" t="s">
        <v>975</v>
      </c>
      <c r="G1045" s="28" t="s">
        <v>1550</v>
      </c>
      <c r="H1045" s="28" t="s">
        <v>1548</v>
      </c>
      <c r="I1045" s="28" t="s">
        <v>5107</v>
      </c>
      <c r="J1045" s="28" t="s">
        <v>5102</v>
      </c>
      <c r="K1045" s="28" t="s">
        <v>5914</v>
      </c>
      <c r="L1045" s="28" t="s">
        <v>5915</v>
      </c>
      <c r="M1045" s="28" t="s">
        <v>4433</v>
      </c>
      <c r="N1045" s="28" t="s">
        <v>4434</v>
      </c>
    </row>
    <row r="1046" spans="1:14">
      <c r="A1046" t="s">
        <v>965</v>
      </c>
      <c r="B1046" t="s">
        <v>65</v>
      </c>
      <c r="C1046">
        <v>2118</v>
      </c>
      <c r="D1046">
        <v>15</v>
      </c>
      <c r="E1046" t="s">
        <v>961</v>
      </c>
      <c r="F1046" s="35" t="s">
        <v>971</v>
      </c>
      <c r="G1046" s="28" t="s">
        <v>1530</v>
      </c>
      <c r="H1046" s="28" t="s">
        <v>1531</v>
      </c>
      <c r="I1046" s="28" t="s">
        <v>5225</v>
      </c>
      <c r="J1046" s="28" t="s">
        <v>5130</v>
      </c>
      <c r="K1046" s="28" t="s">
        <v>5916</v>
      </c>
      <c r="L1046" s="28" t="s">
        <v>5664</v>
      </c>
      <c r="M1046" s="28" t="s">
        <v>5917</v>
      </c>
      <c r="N1046" s="28" t="s">
        <v>5666</v>
      </c>
    </row>
    <row r="1047" spans="1:14">
      <c r="A1047" t="s">
        <v>965</v>
      </c>
      <c r="B1047" t="s">
        <v>65</v>
      </c>
      <c r="C1047">
        <v>2122</v>
      </c>
      <c r="D1047">
        <v>192</v>
      </c>
      <c r="E1047" t="s">
        <v>961</v>
      </c>
      <c r="F1047" s="35" t="s">
        <v>971</v>
      </c>
      <c r="G1047" s="28" t="s">
        <v>1534</v>
      </c>
      <c r="H1047" s="28" t="s">
        <v>1531</v>
      </c>
      <c r="I1047" s="28" t="s">
        <v>5231</v>
      </c>
      <c r="J1047" s="28" t="s">
        <v>5130</v>
      </c>
      <c r="K1047" s="28" t="s">
        <v>5663</v>
      </c>
      <c r="L1047" s="28" t="s">
        <v>5664</v>
      </c>
      <c r="M1047" s="28" t="s">
        <v>5665</v>
      </c>
      <c r="N1047" s="28" t="s">
        <v>5666</v>
      </c>
    </row>
    <row r="1048" spans="1:14">
      <c r="A1048" t="s">
        <v>25</v>
      </c>
      <c r="B1048" t="s">
        <v>69</v>
      </c>
      <c r="C1048">
        <v>2135</v>
      </c>
      <c r="D1048">
        <v>950</v>
      </c>
      <c r="E1048" t="s">
        <v>960</v>
      </c>
      <c r="F1048" s="35" t="s">
        <v>974</v>
      </c>
      <c r="G1048" s="28" t="s">
        <v>6155</v>
      </c>
      <c r="H1048" s="28" t="s">
        <v>1513</v>
      </c>
      <c r="I1048" s="28" t="s">
        <v>6500</v>
      </c>
      <c r="J1048" s="28" t="s">
        <v>3639</v>
      </c>
      <c r="K1048" s="28" t="s">
        <v>6501</v>
      </c>
      <c r="L1048" s="28" t="s">
        <v>3641</v>
      </c>
      <c r="M1048" s="28" t="s">
        <v>6158</v>
      </c>
      <c r="N1048" s="28" t="s">
        <v>3643</v>
      </c>
    </row>
    <row r="1049" spans="1:14">
      <c r="A1049" t="s">
        <v>25</v>
      </c>
      <c r="B1049" t="s">
        <v>69</v>
      </c>
      <c r="C1049">
        <v>2136</v>
      </c>
      <c r="D1049">
        <v>545</v>
      </c>
      <c r="E1049" t="s">
        <v>960</v>
      </c>
      <c r="F1049" s="35" t="s">
        <v>997</v>
      </c>
      <c r="G1049" s="28" t="s">
        <v>6270</v>
      </c>
      <c r="H1049" s="28" t="s">
        <v>6271</v>
      </c>
      <c r="I1049" s="28" t="s">
        <v>6502</v>
      </c>
      <c r="J1049" s="28" t="s">
        <v>6503</v>
      </c>
      <c r="K1049" s="28" t="s">
        <v>6504</v>
      </c>
      <c r="L1049" s="28" t="s">
        <v>6505</v>
      </c>
      <c r="M1049" s="28" t="s">
        <v>6276</v>
      </c>
      <c r="N1049" s="28" t="s">
        <v>6277</v>
      </c>
    </row>
    <row r="1050" spans="1:14">
      <c r="A1050" t="s">
        <v>25</v>
      </c>
      <c r="B1050" t="s">
        <v>69</v>
      </c>
      <c r="C1050">
        <v>2137</v>
      </c>
      <c r="D1050">
        <v>658</v>
      </c>
      <c r="E1050" t="s">
        <v>960</v>
      </c>
      <c r="F1050" s="35" t="s">
        <v>997</v>
      </c>
      <c r="G1050" s="28" t="s">
        <v>6435</v>
      </c>
      <c r="H1050" s="28" t="s">
        <v>6271</v>
      </c>
      <c r="I1050" s="28" t="s">
        <v>6506</v>
      </c>
      <c r="J1050" s="28" t="s">
        <v>6503</v>
      </c>
      <c r="K1050" s="28" t="s">
        <v>6507</v>
      </c>
      <c r="L1050" s="28" t="s">
        <v>6505</v>
      </c>
      <c r="M1050" s="28" t="s">
        <v>6438</v>
      </c>
      <c r="N1050" s="28" t="s">
        <v>6277</v>
      </c>
    </row>
    <row r="1051" spans="1:14">
      <c r="A1051" t="s">
        <v>25</v>
      </c>
      <c r="B1051" t="s">
        <v>67</v>
      </c>
      <c r="C1051">
        <v>2135</v>
      </c>
      <c r="D1051">
        <v>796</v>
      </c>
      <c r="E1051" t="s">
        <v>960</v>
      </c>
      <c r="F1051" s="35" t="s">
        <v>974</v>
      </c>
      <c r="G1051" s="28" t="s">
        <v>6155</v>
      </c>
      <c r="H1051" s="28" t="s">
        <v>1513</v>
      </c>
      <c r="I1051" s="28" t="s">
        <v>6500</v>
      </c>
      <c r="J1051" s="28" t="s">
        <v>3639</v>
      </c>
      <c r="K1051" s="28" t="s">
        <v>6508</v>
      </c>
      <c r="L1051" s="28" t="s">
        <v>3677</v>
      </c>
      <c r="M1051" s="28" t="s">
        <v>6162</v>
      </c>
      <c r="N1051" s="28" t="s">
        <v>3679</v>
      </c>
    </row>
    <row r="1052" spans="1:14">
      <c r="A1052" t="s">
        <v>25</v>
      </c>
      <c r="B1052" t="s">
        <v>67</v>
      </c>
      <c r="C1052">
        <v>2136</v>
      </c>
      <c r="D1052">
        <v>597</v>
      </c>
      <c r="E1052" t="s">
        <v>960</v>
      </c>
      <c r="F1052" s="35" t="s">
        <v>997</v>
      </c>
      <c r="G1052" s="28" t="s">
        <v>6270</v>
      </c>
      <c r="H1052" s="28" t="s">
        <v>6271</v>
      </c>
      <c r="I1052" s="28" t="s">
        <v>6502</v>
      </c>
      <c r="J1052" s="28" t="s">
        <v>6503</v>
      </c>
      <c r="K1052" s="28" t="s">
        <v>6509</v>
      </c>
      <c r="L1052" s="28" t="s">
        <v>6510</v>
      </c>
      <c r="M1052" s="28" t="s">
        <v>6284</v>
      </c>
      <c r="N1052" s="28" t="s">
        <v>6285</v>
      </c>
    </row>
    <row r="1053" spans="1:14">
      <c r="A1053" t="s">
        <v>25</v>
      </c>
      <c r="B1053" t="s">
        <v>67</v>
      </c>
      <c r="C1053">
        <v>2137</v>
      </c>
      <c r="D1053">
        <v>189</v>
      </c>
      <c r="E1053" t="s">
        <v>960</v>
      </c>
      <c r="F1053" s="35" t="s">
        <v>997</v>
      </c>
      <c r="G1053" s="28" t="s">
        <v>6435</v>
      </c>
      <c r="H1053" s="28" t="s">
        <v>6271</v>
      </c>
      <c r="I1053" s="28" t="s">
        <v>6506</v>
      </c>
      <c r="J1053" s="28" t="s">
        <v>6503</v>
      </c>
      <c r="K1053" s="28" t="s">
        <v>6511</v>
      </c>
      <c r="L1053" s="28" t="s">
        <v>6510</v>
      </c>
      <c r="M1053" s="28" t="s">
        <v>6442</v>
      </c>
      <c r="N1053" s="28" t="s">
        <v>6285</v>
      </c>
    </row>
    <row r="1054" spans="1:14">
      <c r="A1054" t="s">
        <v>25</v>
      </c>
      <c r="B1054" t="s">
        <v>54</v>
      </c>
      <c r="C1054">
        <v>2135</v>
      </c>
      <c r="D1054">
        <v>162</v>
      </c>
      <c r="E1054" t="s">
        <v>960</v>
      </c>
      <c r="F1054" s="35" t="s">
        <v>974</v>
      </c>
      <c r="G1054" s="28" t="s">
        <v>6155</v>
      </c>
      <c r="H1054" s="28" t="s">
        <v>1513</v>
      </c>
      <c r="I1054" s="28" t="s">
        <v>6500</v>
      </c>
      <c r="J1054" s="28" t="s">
        <v>3639</v>
      </c>
      <c r="K1054" s="28" t="s">
        <v>6512</v>
      </c>
      <c r="L1054" s="28" t="s">
        <v>3697</v>
      </c>
      <c r="M1054" s="28" t="s">
        <v>6166</v>
      </c>
      <c r="N1054" s="28" t="s">
        <v>3699</v>
      </c>
    </row>
    <row r="1055" spans="1:14">
      <c r="A1055" t="s">
        <v>25</v>
      </c>
      <c r="B1055" t="s">
        <v>55</v>
      </c>
      <c r="C1055">
        <v>2137</v>
      </c>
      <c r="D1055">
        <v>35</v>
      </c>
      <c r="E1055" t="s">
        <v>960</v>
      </c>
      <c r="F1055" s="35" t="s">
        <v>997</v>
      </c>
      <c r="G1055" s="28" t="s">
        <v>6435</v>
      </c>
      <c r="H1055" s="28" t="s">
        <v>6271</v>
      </c>
      <c r="I1055" s="28" t="s">
        <v>6506</v>
      </c>
      <c r="J1055" s="28" t="s">
        <v>6503</v>
      </c>
      <c r="K1055" s="28" t="s">
        <v>6513</v>
      </c>
      <c r="L1055" s="28" t="s">
        <v>6514</v>
      </c>
      <c r="M1055" s="28" t="s">
        <v>6448</v>
      </c>
      <c r="N1055" s="28" t="s">
        <v>6297</v>
      </c>
    </row>
    <row r="1056" spans="1:14">
      <c r="A1056" t="s">
        <v>25</v>
      </c>
      <c r="B1056" t="s">
        <v>56</v>
      </c>
      <c r="C1056">
        <v>2136</v>
      </c>
      <c r="D1056">
        <v>848</v>
      </c>
      <c r="E1056" t="s">
        <v>960</v>
      </c>
      <c r="F1056" s="35" t="s">
        <v>997</v>
      </c>
      <c r="G1056" s="28" t="s">
        <v>6270</v>
      </c>
      <c r="H1056" s="28" t="s">
        <v>6271</v>
      </c>
      <c r="I1056" s="28" t="s">
        <v>6502</v>
      </c>
      <c r="J1056" s="28" t="s">
        <v>6503</v>
      </c>
      <c r="K1056" s="28" t="s">
        <v>6515</v>
      </c>
      <c r="L1056" s="28" t="s">
        <v>6516</v>
      </c>
      <c r="M1056" s="28" t="s">
        <v>6280</v>
      </c>
      <c r="N1056" s="28" t="s">
        <v>6281</v>
      </c>
    </row>
    <row r="1057" spans="1:14">
      <c r="A1057" t="s">
        <v>25</v>
      </c>
      <c r="B1057" t="s">
        <v>56</v>
      </c>
      <c r="C1057">
        <v>2137</v>
      </c>
      <c r="D1057">
        <v>1008</v>
      </c>
      <c r="E1057" t="s">
        <v>960</v>
      </c>
      <c r="F1057" s="35" t="s">
        <v>997</v>
      </c>
      <c r="G1057" s="28" t="s">
        <v>6435</v>
      </c>
      <c r="H1057" s="28" t="s">
        <v>6271</v>
      </c>
      <c r="I1057" s="28" t="s">
        <v>6506</v>
      </c>
      <c r="J1057" s="28" t="s">
        <v>6503</v>
      </c>
      <c r="K1057" s="28" t="s">
        <v>6517</v>
      </c>
      <c r="L1057" s="28" t="s">
        <v>6516</v>
      </c>
      <c r="M1057" s="28" t="s">
        <v>6440</v>
      </c>
      <c r="N1057" s="28" t="s">
        <v>6281</v>
      </c>
    </row>
    <row r="1058" spans="1:14">
      <c r="A1058" t="s">
        <v>26</v>
      </c>
      <c r="B1058" t="s">
        <v>69</v>
      </c>
      <c r="C1058">
        <v>2138</v>
      </c>
      <c r="D1058">
        <v>1142</v>
      </c>
      <c r="E1058" t="s">
        <v>960</v>
      </c>
      <c r="F1058" s="35" t="s">
        <v>997</v>
      </c>
      <c r="G1058" s="28" t="s">
        <v>6612</v>
      </c>
      <c r="H1058" s="28" t="s">
        <v>6271</v>
      </c>
      <c r="I1058" s="28" t="s">
        <v>6613</v>
      </c>
      <c r="J1058" s="28" t="s">
        <v>6273</v>
      </c>
      <c r="K1058" s="28" t="s">
        <v>6614</v>
      </c>
      <c r="L1058" s="28" t="s">
        <v>6275</v>
      </c>
      <c r="M1058" s="28" t="s">
        <v>6615</v>
      </c>
      <c r="N1058" s="28" t="s">
        <v>6277</v>
      </c>
    </row>
    <row r="1059" spans="1:14">
      <c r="A1059" t="s">
        <v>26</v>
      </c>
      <c r="B1059" t="s">
        <v>56</v>
      </c>
      <c r="C1059">
        <v>2138</v>
      </c>
      <c r="D1059">
        <v>139</v>
      </c>
      <c r="E1059" t="s">
        <v>960</v>
      </c>
      <c r="F1059" s="35" t="s">
        <v>997</v>
      </c>
      <c r="G1059" s="28" t="s">
        <v>6612</v>
      </c>
      <c r="H1059" s="28" t="s">
        <v>6271</v>
      </c>
      <c r="I1059" s="28" t="s">
        <v>6613</v>
      </c>
      <c r="J1059" s="28" t="s">
        <v>6273</v>
      </c>
      <c r="K1059" s="28" t="s">
        <v>6616</v>
      </c>
      <c r="L1059" s="28" t="s">
        <v>6279</v>
      </c>
      <c r="M1059" s="28" t="s">
        <v>6617</v>
      </c>
      <c r="N1059" s="28" t="s">
        <v>6281</v>
      </c>
    </row>
    <row r="1060" spans="1:14">
      <c r="A1060" t="s">
        <v>26</v>
      </c>
      <c r="B1060" t="s">
        <v>67</v>
      </c>
      <c r="C1060">
        <v>2138</v>
      </c>
      <c r="D1060">
        <v>100</v>
      </c>
      <c r="E1060" t="s">
        <v>960</v>
      </c>
      <c r="F1060" s="35" t="s">
        <v>997</v>
      </c>
      <c r="G1060" s="28" t="s">
        <v>6612</v>
      </c>
      <c r="H1060" s="28" t="s">
        <v>6271</v>
      </c>
      <c r="I1060" s="28" t="s">
        <v>6613</v>
      </c>
      <c r="J1060" s="28" t="s">
        <v>6273</v>
      </c>
      <c r="K1060" s="28" t="s">
        <v>6618</v>
      </c>
      <c r="L1060" s="28" t="s">
        <v>6283</v>
      </c>
      <c r="M1060" s="28" t="s">
        <v>6619</v>
      </c>
      <c r="N1060" s="28" t="s">
        <v>6285</v>
      </c>
    </row>
    <row r="1061" spans="1:14">
      <c r="A1061" t="s">
        <v>26</v>
      </c>
      <c r="B1061" t="s">
        <v>52</v>
      </c>
      <c r="C1061">
        <v>2138</v>
      </c>
      <c r="D1061">
        <v>1253</v>
      </c>
      <c r="E1061" t="s">
        <v>960</v>
      </c>
      <c r="F1061" s="35" t="s">
        <v>997</v>
      </c>
      <c r="G1061" s="28" t="s">
        <v>6612</v>
      </c>
      <c r="H1061" s="28" t="s">
        <v>6271</v>
      </c>
      <c r="I1061" s="28" t="s">
        <v>6613</v>
      </c>
      <c r="J1061" s="28" t="s">
        <v>6273</v>
      </c>
      <c r="K1061" s="28" t="s">
        <v>6620</v>
      </c>
      <c r="L1061" s="28" t="s">
        <v>6287</v>
      </c>
      <c r="M1061" s="28" t="s">
        <v>6621</v>
      </c>
      <c r="N1061" s="28" t="s">
        <v>6289</v>
      </c>
    </row>
    <row r="1062" spans="1:14">
      <c r="A1062" t="s">
        <v>26</v>
      </c>
      <c r="B1062" t="s">
        <v>54</v>
      </c>
      <c r="C1062">
        <v>2138</v>
      </c>
      <c r="D1062">
        <v>40</v>
      </c>
      <c r="E1062" t="s">
        <v>960</v>
      </c>
      <c r="F1062" s="35" t="s">
        <v>997</v>
      </c>
      <c r="G1062" s="28" t="s">
        <v>6612</v>
      </c>
      <c r="H1062" s="28" t="s">
        <v>6271</v>
      </c>
      <c r="I1062" s="28" t="s">
        <v>6613</v>
      </c>
      <c r="J1062" s="28" t="s">
        <v>6273</v>
      </c>
      <c r="K1062" s="28" t="s">
        <v>6622</v>
      </c>
      <c r="L1062" s="28" t="s">
        <v>6291</v>
      </c>
      <c r="M1062" s="28" t="s">
        <v>6623</v>
      </c>
      <c r="N1062" s="28" t="s">
        <v>6293</v>
      </c>
    </row>
    <row r="1063" spans="1:14">
      <c r="A1063" t="s">
        <v>26</v>
      </c>
      <c r="B1063" t="s">
        <v>55</v>
      </c>
      <c r="C1063">
        <v>2138</v>
      </c>
      <c r="D1063">
        <v>31</v>
      </c>
      <c r="E1063" t="s">
        <v>960</v>
      </c>
      <c r="F1063" s="35" t="s">
        <v>997</v>
      </c>
      <c r="G1063" s="28" t="s">
        <v>6612</v>
      </c>
      <c r="H1063" s="28" t="s">
        <v>6271</v>
      </c>
      <c r="I1063" s="28" t="s">
        <v>6613</v>
      </c>
      <c r="J1063" s="28" t="s">
        <v>6273</v>
      </c>
      <c r="K1063" s="28" t="s">
        <v>6624</v>
      </c>
      <c r="L1063" s="28" t="s">
        <v>6295</v>
      </c>
      <c r="M1063" s="28" t="s">
        <v>6625</v>
      </c>
      <c r="N1063" s="28" t="s">
        <v>6297</v>
      </c>
    </row>
    <row r="1064" spans="1:14">
      <c r="A1064" t="s">
        <v>26</v>
      </c>
      <c r="B1064" t="s">
        <v>53</v>
      </c>
      <c r="C1064">
        <v>2138</v>
      </c>
      <c r="D1064">
        <v>427</v>
      </c>
      <c r="E1064" t="s">
        <v>960</v>
      </c>
      <c r="F1064" s="35" t="s">
        <v>997</v>
      </c>
      <c r="G1064" s="28" t="s">
        <v>6612</v>
      </c>
      <c r="H1064" s="28" t="s">
        <v>6271</v>
      </c>
      <c r="I1064" s="28" t="s">
        <v>6613</v>
      </c>
      <c r="J1064" s="28" t="s">
        <v>6273</v>
      </c>
      <c r="K1064" s="28" t="s">
        <v>6626</v>
      </c>
      <c r="L1064" s="28" t="s">
        <v>6299</v>
      </c>
      <c r="M1064" s="28" t="s">
        <v>6627</v>
      </c>
      <c r="N1064" s="28" t="s">
        <v>6301</v>
      </c>
    </row>
    <row r="1065" spans="1:14">
      <c r="A1065" t="s">
        <v>26</v>
      </c>
      <c r="B1065" t="s">
        <v>53</v>
      </c>
      <c r="C1065">
        <v>2138</v>
      </c>
      <c r="D1065">
        <v>1955</v>
      </c>
      <c r="E1065" t="s">
        <v>960</v>
      </c>
      <c r="F1065" s="35" t="s">
        <v>997</v>
      </c>
      <c r="G1065" s="28" t="s">
        <v>6612</v>
      </c>
      <c r="H1065" s="28" t="s">
        <v>6271</v>
      </c>
      <c r="I1065" s="28" t="s">
        <v>6613</v>
      </c>
      <c r="J1065" s="28" t="s">
        <v>6273</v>
      </c>
      <c r="K1065" s="28" t="s">
        <v>6626</v>
      </c>
      <c r="L1065" s="28" t="s">
        <v>6299</v>
      </c>
      <c r="M1065" s="28" t="s">
        <v>6627</v>
      </c>
      <c r="N1065" s="28" t="s">
        <v>6301</v>
      </c>
    </row>
    <row r="1066" spans="1:14">
      <c r="A1066" t="s">
        <v>26</v>
      </c>
      <c r="B1066" t="s">
        <v>66</v>
      </c>
      <c r="C1066">
        <v>2138</v>
      </c>
      <c r="D1066">
        <v>308</v>
      </c>
      <c r="E1066" t="s">
        <v>960</v>
      </c>
      <c r="F1066" s="35" t="s">
        <v>997</v>
      </c>
      <c r="G1066" s="28" t="s">
        <v>6612</v>
      </c>
      <c r="H1066" s="28" t="s">
        <v>6271</v>
      </c>
      <c r="I1066" s="28" t="s">
        <v>6613</v>
      </c>
      <c r="J1066" s="28" t="s">
        <v>6273</v>
      </c>
      <c r="K1066" s="28" t="s">
        <v>6628</v>
      </c>
      <c r="L1066" s="28" t="s">
        <v>6303</v>
      </c>
      <c r="M1066" s="28" t="s">
        <v>6629</v>
      </c>
      <c r="N1066" s="28" t="s">
        <v>6305</v>
      </c>
    </row>
    <row r="1067" spans="1:14">
      <c r="A1067" t="s">
        <v>26</v>
      </c>
      <c r="B1067" t="s">
        <v>66</v>
      </c>
      <c r="C1067">
        <v>2138</v>
      </c>
      <c r="D1067">
        <v>1274</v>
      </c>
      <c r="E1067" t="s">
        <v>960</v>
      </c>
      <c r="F1067" s="35" t="s">
        <v>997</v>
      </c>
      <c r="G1067" s="28" t="s">
        <v>6612</v>
      </c>
      <c r="H1067" s="28" t="s">
        <v>6271</v>
      </c>
      <c r="I1067" s="28" t="s">
        <v>6613</v>
      </c>
      <c r="J1067" s="28" t="s">
        <v>6273</v>
      </c>
      <c r="K1067" s="28" t="s">
        <v>6628</v>
      </c>
      <c r="L1067" s="28" t="s">
        <v>6303</v>
      </c>
      <c r="M1067" s="28" t="s">
        <v>6629</v>
      </c>
      <c r="N1067" s="28" t="s">
        <v>6305</v>
      </c>
    </row>
    <row r="1068" spans="1:14">
      <c r="A1068" t="s">
        <v>26</v>
      </c>
      <c r="B1068" t="s">
        <v>68</v>
      </c>
      <c r="C1068">
        <v>2138</v>
      </c>
      <c r="D1068">
        <v>717</v>
      </c>
      <c r="E1068" t="s">
        <v>960</v>
      </c>
      <c r="F1068" s="35" t="s">
        <v>997</v>
      </c>
      <c r="G1068" s="28" t="s">
        <v>6612</v>
      </c>
      <c r="H1068" s="28" t="s">
        <v>6271</v>
      </c>
      <c r="I1068" s="28" t="s">
        <v>6613</v>
      </c>
      <c r="J1068" s="28" t="s">
        <v>6273</v>
      </c>
      <c r="K1068" s="28" t="s">
        <v>6630</v>
      </c>
      <c r="L1068" s="28" t="s">
        <v>6307</v>
      </c>
      <c r="M1068" s="28" t="s">
        <v>6631</v>
      </c>
      <c r="N1068" s="28" t="s">
        <v>6309</v>
      </c>
    </row>
    <row r="1069" spans="1:14">
      <c r="A1069" t="s">
        <v>26</v>
      </c>
      <c r="B1069" t="s">
        <v>65</v>
      </c>
      <c r="C1069">
        <v>2138</v>
      </c>
      <c r="D1069">
        <v>91</v>
      </c>
      <c r="E1069" t="s">
        <v>961</v>
      </c>
      <c r="F1069" s="35" t="s">
        <v>997</v>
      </c>
      <c r="G1069" s="28" t="s">
        <v>6632</v>
      </c>
      <c r="H1069" s="28" t="s">
        <v>6311</v>
      </c>
      <c r="I1069" s="28" t="s">
        <v>6633</v>
      </c>
      <c r="J1069" s="28" t="s">
        <v>6313</v>
      </c>
      <c r="K1069" s="28" t="s">
        <v>6634</v>
      </c>
      <c r="L1069" s="28" t="s">
        <v>6327</v>
      </c>
      <c r="M1069" s="28" t="s">
        <v>6635</v>
      </c>
      <c r="N1069" s="28" t="s">
        <v>6329</v>
      </c>
    </row>
    <row r="1070" spans="1:14">
      <c r="A1070" t="s">
        <v>26</v>
      </c>
      <c r="B1070" t="s">
        <v>63</v>
      </c>
      <c r="C1070">
        <v>2138</v>
      </c>
      <c r="D1070">
        <v>114</v>
      </c>
      <c r="E1070" t="s">
        <v>961</v>
      </c>
      <c r="F1070" s="35" t="s">
        <v>997</v>
      </c>
      <c r="G1070" s="28" t="s">
        <v>6632</v>
      </c>
      <c r="H1070" s="28" t="s">
        <v>6311</v>
      </c>
      <c r="I1070" s="28" t="s">
        <v>6633</v>
      </c>
      <c r="J1070" s="28" t="s">
        <v>6313</v>
      </c>
      <c r="K1070" s="28" t="s">
        <v>6636</v>
      </c>
      <c r="L1070" s="28" t="s">
        <v>6331</v>
      </c>
      <c r="M1070" s="28" t="s">
        <v>6637</v>
      </c>
      <c r="N1070" s="28" t="s">
        <v>6333</v>
      </c>
    </row>
    <row r="1071" spans="1:14">
      <c r="A1071" t="s">
        <v>965</v>
      </c>
      <c r="B1071" t="s">
        <v>58</v>
      </c>
      <c r="C1071">
        <v>2138</v>
      </c>
      <c r="D1071">
        <v>107</v>
      </c>
      <c r="E1071" t="s">
        <v>961</v>
      </c>
      <c r="F1071" s="35" t="s">
        <v>997</v>
      </c>
      <c r="G1071" s="28" t="s">
        <v>6632</v>
      </c>
      <c r="H1071" s="28" t="s">
        <v>6311</v>
      </c>
      <c r="I1071" s="28" t="s">
        <v>6658</v>
      </c>
      <c r="J1071" s="28" t="s">
        <v>6335</v>
      </c>
      <c r="K1071" s="28" t="s">
        <v>6659</v>
      </c>
      <c r="L1071" s="28" t="s">
        <v>6337</v>
      </c>
      <c r="M1071" s="28" t="s">
        <v>6660</v>
      </c>
      <c r="N1071" s="28" t="s">
        <v>6339</v>
      </c>
    </row>
    <row r="1072" spans="1:14">
      <c r="A1072" t="s">
        <v>965</v>
      </c>
      <c r="B1072" t="s">
        <v>61</v>
      </c>
      <c r="C1072">
        <v>2138</v>
      </c>
      <c r="D1072">
        <v>281</v>
      </c>
      <c r="E1072" t="s">
        <v>961</v>
      </c>
      <c r="F1072" s="35" t="s">
        <v>997</v>
      </c>
      <c r="G1072" s="28" t="s">
        <v>6632</v>
      </c>
      <c r="H1072" s="28" t="s">
        <v>6311</v>
      </c>
      <c r="I1072" s="28" t="s">
        <v>6658</v>
      </c>
      <c r="J1072" s="28" t="s">
        <v>6335</v>
      </c>
      <c r="K1072" s="28" t="s">
        <v>6661</v>
      </c>
      <c r="L1072" s="28" t="s">
        <v>6467</v>
      </c>
      <c r="M1072" s="28" t="s">
        <v>6662</v>
      </c>
      <c r="N1072" s="28" t="s">
        <v>6469</v>
      </c>
    </row>
    <row r="1073" spans="1:14">
      <c r="A1073" t="s">
        <v>965</v>
      </c>
      <c r="B1073" t="s">
        <v>64</v>
      </c>
      <c r="C1073">
        <v>2138</v>
      </c>
      <c r="D1073">
        <v>285</v>
      </c>
      <c r="E1073" t="s">
        <v>961</v>
      </c>
      <c r="F1073" s="35" t="s">
        <v>997</v>
      </c>
      <c r="G1073" s="28" t="s">
        <v>6632</v>
      </c>
      <c r="H1073" s="28" t="s">
        <v>6311</v>
      </c>
      <c r="I1073" s="28" t="s">
        <v>6658</v>
      </c>
      <c r="J1073" s="28" t="s">
        <v>6335</v>
      </c>
      <c r="K1073" s="28" t="s">
        <v>6663</v>
      </c>
      <c r="L1073" s="28" t="s">
        <v>6664</v>
      </c>
      <c r="M1073" s="28" t="s">
        <v>6665</v>
      </c>
      <c r="N1073" s="28" t="s">
        <v>6325</v>
      </c>
    </row>
    <row r="1074" spans="1:14">
      <c r="A1074" t="s">
        <v>965</v>
      </c>
      <c r="B1074" t="s">
        <v>63</v>
      </c>
      <c r="C1074">
        <v>2138</v>
      </c>
      <c r="D1074">
        <v>5</v>
      </c>
      <c r="E1074" t="s">
        <v>961</v>
      </c>
      <c r="F1074" s="35" t="s">
        <v>997</v>
      </c>
      <c r="G1074" s="28" t="s">
        <v>6632</v>
      </c>
      <c r="H1074" s="28" t="s">
        <v>6311</v>
      </c>
      <c r="I1074" s="28" t="s">
        <v>6658</v>
      </c>
      <c r="J1074" s="28" t="s">
        <v>6335</v>
      </c>
      <c r="K1074" s="28" t="s">
        <v>6666</v>
      </c>
      <c r="L1074" s="28" t="s">
        <v>6667</v>
      </c>
      <c r="M1074" s="28" t="s">
        <v>6637</v>
      </c>
      <c r="N1074" s="28" t="s">
        <v>6333</v>
      </c>
    </row>
    <row r="1075" spans="1:14">
      <c r="A1075" t="s">
        <v>965</v>
      </c>
      <c r="B1075" t="s">
        <v>69</v>
      </c>
      <c r="C1075">
        <v>2138</v>
      </c>
      <c r="D1075">
        <v>1</v>
      </c>
      <c r="E1075" t="s">
        <v>960</v>
      </c>
      <c r="F1075" s="35" t="s">
        <v>997</v>
      </c>
      <c r="G1075" s="28" t="s">
        <v>6612</v>
      </c>
      <c r="H1075" s="28" t="s">
        <v>6271</v>
      </c>
      <c r="I1075" s="28" t="s">
        <v>6668</v>
      </c>
      <c r="J1075" s="28" t="s">
        <v>6341</v>
      </c>
      <c r="K1075" s="28" t="s">
        <v>6669</v>
      </c>
      <c r="L1075" s="28" t="s">
        <v>6670</v>
      </c>
      <c r="M1075" s="28" t="s">
        <v>6615</v>
      </c>
      <c r="N1075" s="28" t="s">
        <v>6277</v>
      </c>
    </row>
    <row r="1076" spans="1:14">
      <c r="A1076" t="s">
        <v>965</v>
      </c>
      <c r="B1076" t="s">
        <v>68</v>
      </c>
      <c r="C1076">
        <v>2138</v>
      </c>
      <c r="D1076">
        <v>2147</v>
      </c>
      <c r="E1076" t="s">
        <v>960</v>
      </c>
      <c r="F1076" s="35" t="s">
        <v>997</v>
      </c>
      <c r="G1076" s="28" t="s">
        <v>6612</v>
      </c>
      <c r="H1076" s="28" t="s">
        <v>6271</v>
      </c>
      <c r="I1076" s="28" t="s">
        <v>6668</v>
      </c>
      <c r="J1076" s="28" t="s">
        <v>6341</v>
      </c>
      <c r="K1076" s="28" t="s">
        <v>6671</v>
      </c>
      <c r="L1076" s="28" t="s">
        <v>6476</v>
      </c>
      <c r="M1076" s="28" t="s">
        <v>6631</v>
      </c>
      <c r="N1076" s="28" t="s">
        <v>6309</v>
      </c>
    </row>
    <row r="1077" spans="1:14">
      <c r="A1077" t="s">
        <v>965</v>
      </c>
      <c r="B1077" t="s">
        <v>52</v>
      </c>
      <c r="C1077">
        <v>2138</v>
      </c>
      <c r="D1077">
        <v>393</v>
      </c>
      <c r="E1077" t="s">
        <v>960</v>
      </c>
      <c r="F1077" s="35" t="s">
        <v>997</v>
      </c>
      <c r="G1077" s="28" t="s">
        <v>6612</v>
      </c>
      <c r="H1077" s="28" t="s">
        <v>6271</v>
      </c>
      <c r="I1077" s="28" t="s">
        <v>6668</v>
      </c>
      <c r="J1077" s="28" t="s">
        <v>6341</v>
      </c>
      <c r="K1077" s="28" t="s">
        <v>6672</v>
      </c>
      <c r="L1077" s="28" t="s">
        <v>6343</v>
      </c>
      <c r="M1077" s="28" t="s">
        <v>6621</v>
      </c>
      <c r="N1077" s="28" t="s">
        <v>6289</v>
      </c>
    </row>
    <row r="1078" spans="1:14">
      <c r="A1078" t="s">
        <v>965</v>
      </c>
      <c r="B1078" t="s">
        <v>65</v>
      </c>
      <c r="C1078">
        <v>2138</v>
      </c>
      <c r="D1078">
        <v>4</v>
      </c>
      <c r="E1078" t="s">
        <v>961</v>
      </c>
      <c r="F1078" s="35" t="s">
        <v>997</v>
      </c>
      <c r="G1078" s="28" t="s">
        <v>6632</v>
      </c>
      <c r="H1078" s="28" t="s">
        <v>6311</v>
      </c>
      <c r="I1078" s="28" t="s">
        <v>6658</v>
      </c>
      <c r="J1078" s="28" t="s">
        <v>6335</v>
      </c>
      <c r="K1078" s="28" t="s">
        <v>6673</v>
      </c>
      <c r="L1078" s="28" t="s">
        <v>6479</v>
      </c>
      <c r="M1078" s="28" t="s">
        <v>6635</v>
      </c>
      <c r="N1078" s="28" t="s">
        <v>6329</v>
      </c>
    </row>
    <row r="1079" spans="1:14">
      <c r="A1079" t="s">
        <v>965</v>
      </c>
      <c r="B1079" t="s">
        <v>53</v>
      </c>
      <c r="C1079">
        <v>2138</v>
      </c>
      <c r="D1079">
        <v>393</v>
      </c>
      <c r="E1079" t="s">
        <v>960</v>
      </c>
      <c r="F1079" s="35" t="s">
        <v>997</v>
      </c>
      <c r="G1079" s="28" t="s">
        <v>6612</v>
      </c>
      <c r="H1079" s="28" t="s">
        <v>6271</v>
      </c>
      <c r="I1079" s="28" t="s">
        <v>6668</v>
      </c>
      <c r="J1079" s="28" t="s">
        <v>6341</v>
      </c>
      <c r="K1079" s="28" t="s">
        <v>6674</v>
      </c>
      <c r="L1079" s="28" t="s">
        <v>6347</v>
      </c>
      <c r="M1079" s="28" t="s">
        <v>6627</v>
      </c>
      <c r="N1079" s="28" t="s">
        <v>6301</v>
      </c>
    </row>
    <row r="1080" spans="1:14">
      <c r="A1080" t="s">
        <v>965</v>
      </c>
      <c r="B1080" t="s">
        <v>66</v>
      </c>
      <c r="C1080">
        <v>2138</v>
      </c>
      <c r="D1080">
        <v>134</v>
      </c>
      <c r="E1080" t="s">
        <v>960</v>
      </c>
      <c r="F1080" s="35" t="s">
        <v>997</v>
      </c>
      <c r="G1080" s="28" t="s">
        <v>6612</v>
      </c>
      <c r="H1080" s="28" t="s">
        <v>6271</v>
      </c>
      <c r="I1080" s="28" t="s">
        <v>6668</v>
      </c>
      <c r="J1080" s="28" t="s">
        <v>6341</v>
      </c>
      <c r="K1080" s="28" t="s">
        <v>6675</v>
      </c>
      <c r="L1080" s="28" t="s">
        <v>6483</v>
      </c>
      <c r="M1080" s="28" t="s">
        <v>6629</v>
      </c>
      <c r="N1080" s="28" t="s">
        <v>6305</v>
      </c>
    </row>
    <row r="1081" spans="1:14">
      <c r="A1081" t="s">
        <v>26</v>
      </c>
      <c r="B1081" t="s">
        <v>52</v>
      </c>
      <c r="C1081">
        <v>2139</v>
      </c>
      <c r="D1081">
        <v>1658</v>
      </c>
      <c r="E1081" t="s">
        <v>960</v>
      </c>
      <c r="F1081" s="35" t="s">
        <v>997</v>
      </c>
      <c r="G1081" s="28" t="s">
        <v>6776</v>
      </c>
      <c r="H1081" s="28" t="s">
        <v>6271</v>
      </c>
      <c r="I1081" s="28" t="s">
        <v>6777</v>
      </c>
      <c r="J1081" s="28" t="s">
        <v>6273</v>
      </c>
      <c r="K1081" s="28" t="s">
        <v>6778</v>
      </c>
      <c r="L1081" s="28" t="s">
        <v>6287</v>
      </c>
      <c r="M1081" s="28" t="s">
        <v>6779</v>
      </c>
      <c r="N1081" s="28" t="s">
        <v>6289</v>
      </c>
    </row>
    <row r="1082" spans="1:14">
      <c r="A1082" t="s">
        <v>26</v>
      </c>
      <c r="B1082" t="s">
        <v>52</v>
      </c>
      <c r="C1082">
        <v>2140</v>
      </c>
      <c r="D1082">
        <v>774</v>
      </c>
      <c r="E1082" t="s">
        <v>960</v>
      </c>
      <c r="F1082" s="35" t="s">
        <v>998</v>
      </c>
      <c r="G1082" s="28" t="s">
        <v>6780</v>
      </c>
      <c r="H1082" s="28" t="s">
        <v>6781</v>
      </c>
      <c r="I1082" s="28" t="s">
        <v>6782</v>
      </c>
      <c r="J1082" s="28" t="s">
        <v>6783</v>
      </c>
      <c r="K1082" s="28" t="s">
        <v>6784</v>
      </c>
      <c r="L1082" s="28" t="s">
        <v>6785</v>
      </c>
      <c r="M1082" s="28" t="s">
        <v>6786</v>
      </c>
      <c r="N1082" s="28" t="s">
        <v>6787</v>
      </c>
    </row>
    <row r="1083" spans="1:14">
      <c r="A1083" t="s">
        <v>26</v>
      </c>
      <c r="B1083" t="s">
        <v>54</v>
      </c>
      <c r="C1083">
        <v>2139</v>
      </c>
      <c r="D1083">
        <v>50</v>
      </c>
      <c r="E1083" t="s">
        <v>960</v>
      </c>
      <c r="F1083" s="35" t="s">
        <v>997</v>
      </c>
      <c r="G1083" s="28" t="s">
        <v>6776</v>
      </c>
      <c r="H1083" s="28" t="s">
        <v>6271</v>
      </c>
      <c r="I1083" s="28" t="s">
        <v>6777</v>
      </c>
      <c r="J1083" s="28" t="s">
        <v>6273</v>
      </c>
      <c r="K1083" s="28" t="s">
        <v>6788</v>
      </c>
      <c r="L1083" s="28" t="s">
        <v>6291</v>
      </c>
      <c r="M1083" s="28" t="s">
        <v>6789</v>
      </c>
      <c r="N1083" s="28" t="s">
        <v>6293</v>
      </c>
    </row>
    <row r="1084" spans="1:14">
      <c r="A1084" t="s">
        <v>26</v>
      </c>
      <c r="B1084" t="s">
        <v>54</v>
      </c>
      <c r="C1084">
        <v>2140</v>
      </c>
      <c r="D1084">
        <v>15</v>
      </c>
      <c r="E1084" t="s">
        <v>960</v>
      </c>
      <c r="F1084" s="35" t="s">
        <v>998</v>
      </c>
      <c r="G1084" s="28" t="s">
        <v>6780</v>
      </c>
      <c r="H1084" s="28" t="s">
        <v>6781</v>
      </c>
      <c r="I1084" s="28" t="s">
        <v>6782</v>
      </c>
      <c r="J1084" s="28" t="s">
        <v>6783</v>
      </c>
      <c r="K1084" s="28" t="s">
        <v>6790</v>
      </c>
      <c r="L1084" s="28" t="s">
        <v>6791</v>
      </c>
      <c r="M1084" s="28" t="s">
        <v>6792</v>
      </c>
      <c r="N1084" s="28" t="s">
        <v>6793</v>
      </c>
    </row>
    <row r="1085" spans="1:14">
      <c r="A1085" t="s">
        <v>26</v>
      </c>
      <c r="B1085" t="s">
        <v>55</v>
      </c>
      <c r="C1085">
        <v>2139</v>
      </c>
      <c r="D1085">
        <v>22</v>
      </c>
      <c r="E1085" t="s">
        <v>960</v>
      </c>
      <c r="F1085" s="35" t="s">
        <v>997</v>
      </c>
      <c r="G1085" s="28" t="s">
        <v>6776</v>
      </c>
      <c r="H1085" s="28" t="s">
        <v>6271</v>
      </c>
      <c r="I1085" s="28" t="s">
        <v>6777</v>
      </c>
      <c r="J1085" s="28" t="s">
        <v>6273</v>
      </c>
      <c r="K1085" s="28" t="s">
        <v>6794</v>
      </c>
      <c r="L1085" s="28" t="s">
        <v>6295</v>
      </c>
      <c r="M1085" s="28" t="s">
        <v>6795</v>
      </c>
      <c r="N1085" s="28" t="s">
        <v>6297</v>
      </c>
    </row>
    <row r="1086" spans="1:14">
      <c r="A1086" t="s">
        <v>26</v>
      </c>
      <c r="B1086" t="s">
        <v>55</v>
      </c>
      <c r="C1086">
        <v>2140</v>
      </c>
      <c r="D1086">
        <v>3</v>
      </c>
      <c r="E1086" t="s">
        <v>960</v>
      </c>
      <c r="F1086" s="35" t="s">
        <v>998</v>
      </c>
      <c r="G1086" s="28" t="s">
        <v>6780</v>
      </c>
      <c r="H1086" s="28" t="s">
        <v>6781</v>
      </c>
      <c r="I1086" s="28" t="s">
        <v>6782</v>
      </c>
      <c r="J1086" s="28" t="s">
        <v>6783</v>
      </c>
      <c r="K1086" s="28" t="s">
        <v>6796</v>
      </c>
      <c r="L1086" s="28" t="s">
        <v>6797</v>
      </c>
      <c r="M1086" s="28" t="s">
        <v>6798</v>
      </c>
      <c r="N1086" s="28" t="s">
        <v>6799</v>
      </c>
    </row>
    <row r="1087" spans="1:14">
      <c r="A1087" t="s">
        <v>26</v>
      </c>
      <c r="B1087" t="s">
        <v>53</v>
      </c>
      <c r="C1087">
        <v>2139</v>
      </c>
      <c r="D1087">
        <v>675</v>
      </c>
      <c r="E1087" t="s">
        <v>960</v>
      </c>
      <c r="F1087" s="35" t="s">
        <v>997</v>
      </c>
      <c r="G1087" s="28" t="s">
        <v>6776</v>
      </c>
      <c r="H1087" s="28" t="s">
        <v>6271</v>
      </c>
      <c r="I1087" s="28" t="s">
        <v>6777</v>
      </c>
      <c r="J1087" s="28" t="s">
        <v>6273</v>
      </c>
      <c r="K1087" s="28" t="s">
        <v>6800</v>
      </c>
      <c r="L1087" s="28" t="s">
        <v>6299</v>
      </c>
      <c r="M1087" s="28" t="s">
        <v>6801</v>
      </c>
      <c r="N1087" s="28" t="s">
        <v>6301</v>
      </c>
    </row>
    <row r="1088" spans="1:14">
      <c r="A1088" t="s">
        <v>26</v>
      </c>
      <c r="B1088" t="s">
        <v>53</v>
      </c>
      <c r="C1088">
        <v>2140</v>
      </c>
      <c r="D1088">
        <v>570</v>
      </c>
      <c r="E1088" t="s">
        <v>960</v>
      </c>
      <c r="F1088" s="35" t="s">
        <v>998</v>
      </c>
      <c r="G1088" s="28" t="s">
        <v>6780</v>
      </c>
      <c r="H1088" s="28" t="s">
        <v>6781</v>
      </c>
      <c r="I1088" s="28" t="s">
        <v>6782</v>
      </c>
      <c r="J1088" s="28" t="s">
        <v>6783</v>
      </c>
      <c r="K1088" s="28" t="s">
        <v>6802</v>
      </c>
      <c r="L1088" s="28" t="s">
        <v>6803</v>
      </c>
      <c r="M1088" s="28" t="s">
        <v>6804</v>
      </c>
      <c r="N1088" s="28" t="s">
        <v>6805</v>
      </c>
    </row>
    <row r="1089" spans="1:14">
      <c r="A1089" t="s">
        <v>26</v>
      </c>
      <c r="B1089" t="s">
        <v>53</v>
      </c>
      <c r="C1089">
        <v>2139</v>
      </c>
      <c r="D1089">
        <v>1637</v>
      </c>
      <c r="E1089" t="s">
        <v>960</v>
      </c>
      <c r="F1089" s="35" t="s">
        <v>997</v>
      </c>
      <c r="G1089" s="28" t="s">
        <v>6776</v>
      </c>
      <c r="H1089" s="28" t="s">
        <v>6271</v>
      </c>
      <c r="I1089" s="28" t="s">
        <v>6777</v>
      </c>
      <c r="J1089" s="28" t="s">
        <v>6273</v>
      </c>
      <c r="K1089" s="28" t="s">
        <v>6800</v>
      </c>
      <c r="L1089" s="28" t="s">
        <v>6299</v>
      </c>
      <c r="M1089" s="28" t="s">
        <v>6801</v>
      </c>
      <c r="N1089" s="28" t="s">
        <v>6301</v>
      </c>
    </row>
    <row r="1090" spans="1:14">
      <c r="A1090" t="s">
        <v>26</v>
      </c>
      <c r="B1090" t="s">
        <v>53</v>
      </c>
      <c r="C1090">
        <v>2140</v>
      </c>
      <c r="D1090">
        <v>36</v>
      </c>
      <c r="E1090" t="s">
        <v>960</v>
      </c>
      <c r="F1090" s="35" t="s">
        <v>998</v>
      </c>
      <c r="G1090" s="28" t="s">
        <v>6780</v>
      </c>
      <c r="H1090" s="28" t="s">
        <v>6781</v>
      </c>
      <c r="I1090" s="28" t="s">
        <v>6782</v>
      </c>
      <c r="J1090" s="28" t="s">
        <v>6783</v>
      </c>
      <c r="K1090" s="28" t="s">
        <v>6802</v>
      </c>
      <c r="L1090" s="28" t="s">
        <v>6803</v>
      </c>
      <c r="M1090" s="28" t="s">
        <v>6804</v>
      </c>
      <c r="N1090" s="28" t="s">
        <v>6805</v>
      </c>
    </row>
    <row r="1091" spans="1:14">
      <c r="A1091" t="s">
        <v>26</v>
      </c>
      <c r="B1091" t="s">
        <v>66</v>
      </c>
      <c r="C1091">
        <v>2139</v>
      </c>
      <c r="D1091">
        <v>300</v>
      </c>
      <c r="E1091" t="s">
        <v>960</v>
      </c>
      <c r="F1091" s="35" t="s">
        <v>997</v>
      </c>
      <c r="G1091" s="28" t="s">
        <v>6776</v>
      </c>
      <c r="H1091" s="28" t="s">
        <v>6271</v>
      </c>
      <c r="I1091" s="28" t="s">
        <v>6777</v>
      </c>
      <c r="J1091" s="28" t="s">
        <v>6273</v>
      </c>
      <c r="K1091" s="28" t="s">
        <v>6806</v>
      </c>
      <c r="L1091" s="28" t="s">
        <v>6303</v>
      </c>
      <c r="M1091" s="28" t="s">
        <v>6807</v>
      </c>
      <c r="N1091" s="28" t="s">
        <v>6305</v>
      </c>
    </row>
    <row r="1092" spans="1:14">
      <c r="A1092" t="s">
        <v>26</v>
      </c>
      <c r="B1092" t="s">
        <v>66</v>
      </c>
      <c r="C1092">
        <v>2140</v>
      </c>
      <c r="D1092">
        <v>355</v>
      </c>
      <c r="E1092" t="s">
        <v>960</v>
      </c>
      <c r="F1092" s="35" t="s">
        <v>998</v>
      </c>
      <c r="G1092" s="28" t="s">
        <v>6780</v>
      </c>
      <c r="H1092" s="28" t="s">
        <v>6781</v>
      </c>
      <c r="I1092" s="28" t="s">
        <v>6782</v>
      </c>
      <c r="J1092" s="28" t="s">
        <v>6783</v>
      </c>
      <c r="K1092" s="28" t="s">
        <v>6808</v>
      </c>
      <c r="L1092" s="28" t="s">
        <v>6809</v>
      </c>
      <c r="M1092" s="28" t="s">
        <v>6810</v>
      </c>
      <c r="N1092" s="28" t="s">
        <v>6811</v>
      </c>
    </row>
    <row r="1093" spans="1:14">
      <c r="A1093" t="s">
        <v>26</v>
      </c>
      <c r="B1093" t="s">
        <v>66</v>
      </c>
      <c r="C1093">
        <v>2139</v>
      </c>
      <c r="D1093">
        <v>881</v>
      </c>
      <c r="E1093" t="s">
        <v>960</v>
      </c>
      <c r="F1093" s="35" t="s">
        <v>997</v>
      </c>
      <c r="G1093" s="28" t="s">
        <v>6776</v>
      </c>
      <c r="H1093" s="28" t="s">
        <v>6271</v>
      </c>
      <c r="I1093" s="28" t="s">
        <v>6777</v>
      </c>
      <c r="J1093" s="28" t="s">
        <v>6273</v>
      </c>
      <c r="K1093" s="28" t="s">
        <v>6806</v>
      </c>
      <c r="L1093" s="28" t="s">
        <v>6303</v>
      </c>
      <c r="M1093" s="28" t="s">
        <v>6807</v>
      </c>
      <c r="N1093" s="28" t="s">
        <v>6305</v>
      </c>
    </row>
    <row r="1094" spans="1:14">
      <c r="A1094" t="s">
        <v>26</v>
      </c>
      <c r="B1094" t="s">
        <v>66</v>
      </c>
      <c r="C1094">
        <v>2140</v>
      </c>
      <c r="D1094">
        <v>65</v>
      </c>
      <c r="E1094" t="s">
        <v>960</v>
      </c>
      <c r="F1094" s="35" t="s">
        <v>998</v>
      </c>
      <c r="G1094" s="28" t="s">
        <v>6780</v>
      </c>
      <c r="H1094" s="28" t="s">
        <v>6781</v>
      </c>
      <c r="I1094" s="28" t="s">
        <v>6782</v>
      </c>
      <c r="J1094" s="28" t="s">
        <v>6783</v>
      </c>
      <c r="K1094" s="28" t="s">
        <v>6808</v>
      </c>
      <c r="L1094" s="28" t="s">
        <v>6809</v>
      </c>
      <c r="M1094" s="28" t="s">
        <v>6810</v>
      </c>
      <c r="N1094" s="28" t="s">
        <v>6811</v>
      </c>
    </row>
    <row r="1095" spans="1:14">
      <c r="A1095" t="s">
        <v>26</v>
      </c>
      <c r="B1095" t="s">
        <v>68</v>
      </c>
      <c r="C1095">
        <v>2139</v>
      </c>
      <c r="D1095">
        <v>844</v>
      </c>
      <c r="E1095" t="s">
        <v>960</v>
      </c>
      <c r="F1095" s="35" t="s">
        <v>997</v>
      </c>
      <c r="G1095" s="28" t="s">
        <v>6776</v>
      </c>
      <c r="H1095" s="28" t="s">
        <v>6271</v>
      </c>
      <c r="I1095" s="28" t="s">
        <v>6777</v>
      </c>
      <c r="J1095" s="28" t="s">
        <v>6273</v>
      </c>
      <c r="K1095" s="28" t="s">
        <v>6812</v>
      </c>
      <c r="L1095" s="28" t="s">
        <v>6307</v>
      </c>
      <c r="M1095" s="28" t="s">
        <v>6813</v>
      </c>
      <c r="N1095" s="28" t="s">
        <v>6309</v>
      </c>
    </row>
    <row r="1096" spans="1:14">
      <c r="A1096" t="s">
        <v>26</v>
      </c>
      <c r="B1096" t="s">
        <v>68</v>
      </c>
      <c r="C1096">
        <v>2140</v>
      </c>
      <c r="D1096">
        <v>185</v>
      </c>
      <c r="E1096" t="s">
        <v>960</v>
      </c>
      <c r="F1096" s="35" t="s">
        <v>998</v>
      </c>
      <c r="G1096" s="28" t="s">
        <v>6780</v>
      </c>
      <c r="H1096" s="28" t="s">
        <v>6781</v>
      </c>
      <c r="I1096" s="28" t="s">
        <v>6782</v>
      </c>
      <c r="J1096" s="28" t="s">
        <v>6783</v>
      </c>
      <c r="K1096" s="28" t="s">
        <v>6814</v>
      </c>
      <c r="L1096" s="28" t="s">
        <v>6815</v>
      </c>
      <c r="M1096" s="28" t="s">
        <v>6816</v>
      </c>
      <c r="N1096" s="28" t="s">
        <v>6817</v>
      </c>
    </row>
    <row r="1097" spans="1:14">
      <c r="A1097" t="s">
        <v>26</v>
      </c>
      <c r="B1097" t="s">
        <v>62</v>
      </c>
      <c r="C1097">
        <v>2139</v>
      </c>
      <c r="D1097">
        <v>112</v>
      </c>
      <c r="E1097" t="s">
        <v>961</v>
      </c>
      <c r="F1097" s="35" t="s">
        <v>997</v>
      </c>
      <c r="G1097" s="28" t="s">
        <v>6818</v>
      </c>
      <c r="H1097" s="28" t="s">
        <v>6311</v>
      </c>
      <c r="I1097" s="28" t="s">
        <v>6819</v>
      </c>
      <c r="J1097" s="28" t="s">
        <v>6313</v>
      </c>
      <c r="K1097" s="28" t="s">
        <v>6820</v>
      </c>
      <c r="L1097" s="28" t="s">
        <v>6319</v>
      </c>
      <c r="M1097" s="28" t="s">
        <v>6821</v>
      </c>
      <c r="N1097" s="28" t="s">
        <v>6321</v>
      </c>
    </row>
    <row r="1098" spans="1:14">
      <c r="A1098" t="s">
        <v>26</v>
      </c>
      <c r="B1098" t="s">
        <v>62</v>
      </c>
      <c r="C1098">
        <v>2140</v>
      </c>
      <c r="D1098">
        <v>145</v>
      </c>
      <c r="E1098" t="s">
        <v>961</v>
      </c>
      <c r="F1098" s="35" t="s">
        <v>998</v>
      </c>
      <c r="G1098" s="28" t="s">
        <v>6822</v>
      </c>
      <c r="H1098" s="28" t="s">
        <v>6823</v>
      </c>
      <c r="I1098" s="28" t="s">
        <v>6824</v>
      </c>
      <c r="J1098" s="28" t="s">
        <v>6825</v>
      </c>
      <c r="K1098" s="28" t="s">
        <v>6826</v>
      </c>
      <c r="L1098" s="28" t="s">
        <v>6827</v>
      </c>
      <c r="M1098" s="28" t="s">
        <v>6828</v>
      </c>
      <c r="N1098" s="28" t="s">
        <v>6829</v>
      </c>
    </row>
    <row r="1099" spans="1:14">
      <c r="A1099" t="s">
        <v>26</v>
      </c>
      <c r="B1099" t="s">
        <v>64</v>
      </c>
      <c r="C1099">
        <v>2139</v>
      </c>
      <c r="D1099">
        <v>706</v>
      </c>
      <c r="E1099" t="s">
        <v>961</v>
      </c>
      <c r="F1099" s="35" t="s">
        <v>997</v>
      </c>
      <c r="G1099" s="28" t="s">
        <v>6818</v>
      </c>
      <c r="H1099" s="28" t="s">
        <v>6311</v>
      </c>
      <c r="I1099" s="28" t="s">
        <v>6819</v>
      </c>
      <c r="J1099" s="28" t="s">
        <v>6313</v>
      </c>
      <c r="K1099" s="28" t="s">
        <v>6830</v>
      </c>
      <c r="L1099" s="28" t="s">
        <v>6323</v>
      </c>
      <c r="M1099" s="28" t="s">
        <v>6831</v>
      </c>
      <c r="N1099" s="28" t="s">
        <v>6325</v>
      </c>
    </row>
    <row r="1100" spans="1:14">
      <c r="A1100" t="s">
        <v>26</v>
      </c>
      <c r="B1100" t="s">
        <v>65</v>
      </c>
      <c r="C1100">
        <v>2139</v>
      </c>
      <c r="D1100">
        <v>161</v>
      </c>
      <c r="E1100" t="s">
        <v>961</v>
      </c>
      <c r="F1100" s="35" t="s">
        <v>997</v>
      </c>
      <c r="G1100" s="28" t="s">
        <v>6818</v>
      </c>
      <c r="H1100" s="28" t="s">
        <v>6311</v>
      </c>
      <c r="I1100" s="28" t="s">
        <v>6819</v>
      </c>
      <c r="J1100" s="28" t="s">
        <v>6313</v>
      </c>
      <c r="K1100" s="28" t="s">
        <v>6832</v>
      </c>
      <c r="L1100" s="28" t="s">
        <v>6327</v>
      </c>
      <c r="M1100" s="28" t="s">
        <v>6833</v>
      </c>
      <c r="N1100" s="28" t="s">
        <v>6329</v>
      </c>
    </row>
    <row r="1101" spans="1:14">
      <c r="A1101" t="s">
        <v>26</v>
      </c>
      <c r="B1101" t="s">
        <v>65</v>
      </c>
      <c r="C1101">
        <v>2140</v>
      </c>
      <c r="D1101">
        <v>100</v>
      </c>
      <c r="E1101" t="s">
        <v>961</v>
      </c>
      <c r="F1101" s="35" t="s">
        <v>998</v>
      </c>
      <c r="G1101" s="28" t="s">
        <v>6822</v>
      </c>
      <c r="H1101" s="28" t="s">
        <v>6823</v>
      </c>
      <c r="I1101" s="28" t="s">
        <v>6824</v>
      </c>
      <c r="J1101" s="28" t="s">
        <v>6825</v>
      </c>
      <c r="K1101" s="28" t="s">
        <v>6834</v>
      </c>
      <c r="L1101" s="28" t="s">
        <v>6835</v>
      </c>
      <c r="M1101" s="28" t="s">
        <v>6836</v>
      </c>
      <c r="N1101" s="28" t="s">
        <v>6837</v>
      </c>
    </row>
    <row r="1102" spans="1:14">
      <c r="A1102" t="s">
        <v>26</v>
      </c>
      <c r="B1102" t="s">
        <v>63</v>
      </c>
      <c r="C1102">
        <v>2139</v>
      </c>
      <c r="D1102">
        <v>79</v>
      </c>
      <c r="E1102" t="s">
        <v>961</v>
      </c>
      <c r="F1102" s="35" t="s">
        <v>997</v>
      </c>
      <c r="G1102" s="28" t="s">
        <v>6818</v>
      </c>
      <c r="H1102" s="28" t="s">
        <v>6311</v>
      </c>
      <c r="I1102" s="28" t="s">
        <v>6819</v>
      </c>
      <c r="J1102" s="28" t="s">
        <v>6313</v>
      </c>
      <c r="K1102" s="28" t="s">
        <v>6838</v>
      </c>
      <c r="L1102" s="28" t="s">
        <v>6331</v>
      </c>
      <c r="M1102" s="28" t="s">
        <v>6839</v>
      </c>
      <c r="N1102" s="28" t="s">
        <v>6333</v>
      </c>
    </row>
    <row r="1103" spans="1:14">
      <c r="A1103" t="s">
        <v>965</v>
      </c>
      <c r="B1103" t="s">
        <v>58</v>
      </c>
      <c r="C1103">
        <v>2139</v>
      </c>
      <c r="D1103">
        <v>38</v>
      </c>
      <c r="E1103" t="s">
        <v>961</v>
      </c>
      <c r="F1103" s="35" t="s">
        <v>997</v>
      </c>
      <c r="G1103" s="28" t="s">
        <v>6818</v>
      </c>
      <c r="H1103" s="28" t="s">
        <v>6311</v>
      </c>
      <c r="I1103" s="28" t="s">
        <v>6840</v>
      </c>
      <c r="J1103" s="28" t="s">
        <v>6335</v>
      </c>
      <c r="K1103" s="28" t="s">
        <v>6841</v>
      </c>
      <c r="L1103" s="28" t="s">
        <v>6337</v>
      </c>
      <c r="M1103" s="28" t="s">
        <v>6842</v>
      </c>
      <c r="N1103" s="28" t="s">
        <v>6339</v>
      </c>
    </row>
    <row r="1104" spans="1:14">
      <c r="A1104" t="s">
        <v>965</v>
      </c>
      <c r="B1104" t="s">
        <v>57</v>
      </c>
      <c r="C1104">
        <v>2139</v>
      </c>
      <c r="D1104">
        <v>98</v>
      </c>
      <c r="E1104" t="s">
        <v>961</v>
      </c>
      <c r="F1104" s="35" t="s">
        <v>997</v>
      </c>
      <c r="G1104" s="28" t="s">
        <v>6818</v>
      </c>
      <c r="H1104" s="28" t="s">
        <v>6311</v>
      </c>
      <c r="I1104" s="28" t="s">
        <v>6840</v>
      </c>
      <c r="J1104" s="28" t="s">
        <v>6335</v>
      </c>
      <c r="K1104" s="28" t="s">
        <v>6843</v>
      </c>
      <c r="L1104" s="28" t="s">
        <v>6471</v>
      </c>
      <c r="M1104" s="28" t="s">
        <v>6844</v>
      </c>
      <c r="N1104" s="28" t="s">
        <v>6317</v>
      </c>
    </row>
    <row r="1105" spans="1:14">
      <c r="A1105" t="s">
        <v>965</v>
      </c>
      <c r="B1105" t="s">
        <v>63</v>
      </c>
      <c r="C1105">
        <v>2139</v>
      </c>
      <c r="D1105">
        <v>11</v>
      </c>
      <c r="E1105" t="s">
        <v>961</v>
      </c>
      <c r="F1105" s="35" t="s">
        <v>997</v>
      </c>
      <c r="G1105" s="28" t="s">
        <v>6818</v>
      </c>
      <c r="H1105" s="28" t="s">
        <v>6311</v>
      </c>
      <c r="I1105" s="28" t="s">
        <v>6840</v>
      </c>
      <c r="J1105" s="28" t="s">
        <v>6335</v>
      </c>
      <c r="K1105" s="28" t="s">
        <v>6845</v>
      </c>
      <c r="L1105" s="28" t="s">
        <v>6667</v>
      </c>
      <c r="M1105" s="28" t="s">
        <v>6839</v>
      </c>
      <c r="N1105" s="28" t="s">
        <v>6333</v>
      </c>
    </row>
    <row r="1106" spans="1:14">
      <c r="A1106" t="s">
        <v>965</v>
      </c>
      <c r="B1106" t="s">
        <v>69</v>
      </c>
      <c r="C1106">
        <v>2139</v>
      </c>
      <c r="D1106">
        <v>754</v>
      </c>
      <c r="E1106" t="s">
        <v>960</v>
      </c>
      <c r="F1106" s="35" t="s">
        <v>997</v>
      </c>
      <c r="G1106" s="28" t="s">
        <v>6776</v>
      </c>
      <c r="H1106" s="28" t="s">
        <v>6271</v>
      </c>
      <c r="I1106" s="28" t="s">
        <v>6846</v>
      </c>
      <c r="J1106" s="28" t="s">
        <v>6341</v>
      </c>
      <c r="K1106" s="28" t="s">
        <v>6847</v>
      </c>
      <c r="L1106" s="28" t="s">
        <v>6670</v>
      </c>
      <c r="M1106" s="28" t="s">
        <v>6848</v>
      </c>
      <c r="N1106" s="28" t="s">
        <v>6277</v>
      </c>
    </row>
    <row r="1107" spans="1:14">
      <c r="A1107" t="s">
        <v>965</v>
      </c>
      <c r="B1107" t="s">
        <v>67</v>
      </c>
      <c r="C1107">
        <v>2139</v>
      </c>
      <c r="D1107">
        <v>81</v>
      </c>
      <c r="E1107" t="s">
        <v>960</v>
      </c>
      <c r="F1107" s="35" t="s">
        <v>997</v>
      </c>
      <c r="G1107" s="28" t="s">
        <v>6776</v>
      </c>
      <c r="H1107" s="28" t="s">
        <v>6271</v>
      </c>
      <c r="I1107" s="28" t="s">
        <v>6846</v>
      </c>
      <c r="J1107" s="28" t="s">
        <v>6341</v>
      </c>
      <c r="K1107" s="28" t="s">
        <v>6849</v>
      </c>
      <c r="L1107" s="28" t="s">
        <v>6474</v>
      </c>
      <c r="M1107" s="28" t="s">
        <v>6850</v>
      </c>
      <c r="N1107" s="28" t="s">
        <v>6285</v>
      </c>
    </row>
    <row r="1108" spans="1:14">
      <c r="A1108" t="s">
        <v>965</v>
      </c>
      <c r="B1108" t="s">
        <v>68</v>
      </c>
      <c r="C1108">
        <v>2139</v>
      </c>
      <c r="D1108">
        <v>1</v>
      </c>
      <c r="E1108" t="s">
        <v>960</v>
      </c>
      <c r="F1108" s="35" t="s">
        <v>997</v>
      </c>
      <c r="G1108" s="28" t="s">
        <v>6776</v>
      </c>
      <c r="H1108" s="28" t="s">
        <v>6271</v>
      </c>
      <c r="I1108" s="28" t="s">
        <v>6846</v>
      </c>
      <c r="J1108" s="28" t="s">
        <v>6341</v>
      </c>
      <c r="K1108" s="28" t="s">
        <v>6851</v>
      </c>
      <c r="L1108" s="28" t="s">
        <v>6476</v>
      </c>
      <c r="M1108" s="28" t="s">
        <v>6813</v>
      </c>
      <c r="N1108" s="28" t="s">
        <v>6309</v>
      </c>
    </row>
    <row r="1109" spans="1:14">
      <c r="A1109" t="s">
        <v>965</v>
      </c>
      <c r="B1109" t="s">
        <v>52</v>
      </c>
      <c r="C1109">
        <v>2139</v>
      </c>
      <c r="D1109">
        <v>868</v>
      </c>
      <c r="E1109" t="s">
        <v>960</v>
      </c>
      <c r="F1109" s="35" t="s">
        <v>997</v>
      </c>
      <c r="G1109" s="28" t="s">
        <v>6776</v>
      </c>
      <c r="H1109" s="28" t="s">
        <v>6271</v>
      </c>
      <c r="I1109" s="28" t="s">
        <v>6846</v>
      </c>
      <c r="J1109" s="28" t="s">
        <v>6341</v>
      </c>
      <c r="K1109" s="28" t="s">
        <v>6852</v>
      </c>
      <c r="L1109" s="28" t="s">
        <v>6343</v>
      </c>
      <c r="M1109" s="28" t="s">
        <v>6779</v>
      </c>
      <c r="N1109" s="28" t="s">
        <v>6289</v>
      </c>
    </row>
    <row r="1110" spans="1:14">
      <c r="A1110" t="s">
        <v>965</v>
      </c>
      <c r="B1110" t="s">
        <v>65</v>
      </c>
      <c r="C1110">
        <v>2139</v>
      </c>
      <c r="D1110">
        <v>358</v>
      </c>
      <c r="E1110" t="s">
        <v>961</v>
      </c>
      <c r="F1110" s="35" t="s">
        <v>997</v>
      </c>
      <c r="G1110" s="28" t="s">
        <v>6818</v>
      </c>
      <c r="H1110" s="28" t="s">
        <v>6311</v>
      </c>
      <c r="I1110" s="28" t="s">
        <v>6840</v>
      </c>
      <c r="J1110" s="28" t="s">
        <v>6335</v>
      </c>
      <c r="K1110" s="28" t="s">
        <v>6853</v>
      </c>
      <c r="L1110" s="28" t="s">
        <v>6479</v>
      </c>
      <c r="M1110" s="28" t="s">
        <v>6833</v>
      </c>
      <c r="N1110" s="28" t="s">
        <v>6329</v>
      </c>
    </row>
    <row r="1111" spans="1:14">
      <c r="A1111" t="s">
        <v>965</v>
      </c>
      <c r="B1111" t="s">
        <v>56</v>
      </c>
      <c r="C1111">
        <v>2139</v>
      </c>
      <c r="D1111">
        <v>150</v>
      </c>
      <c r="E1111" t="s">
        <v>960</v>
      </c>
      <c r="F1111" s="35" t="s">
        <v>997</v>
      </c>
      <c r="G1111" s="28" t="s">
        <v>6776</v>
      </c>
      <c r="H1111" s="28" t="s">
        <v>6271</v>
      </c>
      <c r="I1111" s="28" t="s">
        <v>6846</v>
      </c>
      <c r="J1111" s="28" t="s">
        <v>6341</v>
      </c>
      <c r="K1111" s="28" t="s">
        <v>6854</v>
      </c>
      <c r="L1111" s="28" t="s">
        <v>6345</v>
      </c>
      <c r="M1111" s="28" t="s">
        <v>6855</v>
      </c>
      <c r="N1111" s="28" t="s">
        <v>6281</v>
      </c>
    </row>
    <row r="1112" spans="1:14">
      <c r="A1112" t="s">
        <v>965</v>
      </c>
      <c r="B1112" t="s">
        <v>53</v>
      </c>
      <c r="C1112">
        <v>2139</v>
      </c>
      <c r="D1112">
        <v>134</v>
      </c>
      <c r="E1112" t="s">
        <v>960</v>
      </c>
      <c r="F1112" s="35" t="s">
        <v>997</v>
      </c>
      <c r="G1112" s="28" t="s">
        <v>6776</v>
      </c>
      <c r="H1112" s="28" t="s">
        <v>6271</v>
      </c>
      <c r="I1112" s="28" t="s">
        <v>6846</v>
      </c>
      <c r="J1112" s="28" t="s">
        <v>6341</v>
      </c>
      <c r="K1112" s="28" t="s">
        <v>6856</v>
      </c>
      <c r="L1112" s="28" t="s">
        <v>6347</v>
      </c>
      <c r="M1112" s="28" t="s">
        <v>6801</v>
      </c>
      <c r="N1112" s="28" t="s">
        <v>6301</v>
      </c>
    </row>
    <row r="1113" spans="1:14">
      <c r="A1113" t="s">
        <v>965</v>
      </c>
      <c r="B1113" t="s">
        <v>66</v>
      </c>
      <c r="C1113">
        <v>2139</v>
      </c>
      <c r="D1113">
        <v>505</v>
      </c>
      <c r="E1113" t="s">
        <v>960</v>
      </c>
      <c r="F1113" s="35" t="s">
        <v>997</v>
      </c>
      <c r="G1113" s="28" t="s">
        <v>6776</v>
      </c>
      <c r="H1113" s="28" t="s">
        <v>6271</v>
      </c>
      <c r="I1113" s="28" t="s">
        <v>6846</v>
      </c>
      <c r="J1113" s="28" t="s">
        <v>6341</v>
      </c>
      <c r="K1113" s="28" t="s">
        <v>6857</v>
      </c>
      <c r="L1113" s="28" t="s">
        <v>6483</v>
      </c>
      <c r="M1113" s="28" t="s">
        <v>6807</v>
      </c>
      <c r="N1113" s="28" t="s">
        <v>6305</v>
      </c>
    </row>
    <row r="1114" spans="1:14">
      <c r="A1114" t="s">
        <v>24</v>
      </c>
      <c r="B1114" t="s">
        <v>52</v>
      </c>
      <c r="C1114">
        <v>2134</v>
      </c>
      <c r="D1114">
        <v>246</v>
      </c>
      <c r="E1114" t="s">
        <v>960</v>
      </c>
      <c r="F1114" s="35" t="s">
        <v>974</v>
      </c>
      <c r="G1114" s="28" t="s">
        <v>6016</v>
      </c>
      <c r="H1114" s="28" t="s">
        <v>1513</v>
      </c>
      <c r="I1114" s="28" t="s">
        <v>6917</v>
      </c>
      <c r="J1114" s="28" t="s">
        <v>3614</v>
      </c>
      <c r="K1114" s="28" t="s">
        <v>6918</v>
      </c>
      <c r="L1114" s="28" t="s">
        <v>3616</v>
      </c>
      <c r="M1114" s="28" t="s">
        <v>6023</v>
      </c>
      <c r="N1114" s="28" t="s">
        <v>3618</v>
      </c>
    </row>
    <row r="1115" spans="1:14">
      <c r="A1115" t="s">
        <v>24</v>
      </c>
      <c r="B1115" t="s">
        <v>52</v>
      </c>
      <c r="C1115">
        <v>2137</v>
      </c>
      <c r="D1115">
        <v>675</v>
      </c>
      <c r="E1115" t="s">
        <v>960</v>
      </c>
      <c r="F1115" s="35" t="s">
        <v>997</v>
      </c>
      <c r="G1115" s="28" t="s">
        <v>6435</v>
      </c>
      <c r="H1115" s="28" t="s">
        <v>6271</v>
      </c>
      <c r="I1115" s="28" t="s">
        <v>6919</v>
      </c>
      <c r="J1115" s="28" t="s">
        <v>6920</v>
      </c>
      <c r="K1115" s="28" t="s">
        <v>6921</v>
      </c>
      <c r="L1115" s="28" t="s">
        <v>6922</v>
      </c>
      <c r="M1115" s="28" t="s">
        <v>6444</v>
      </c>
      <c r="N1115" s="28" t="s">
        <v>6289</v>
      </c>
    </row>
    <row r="1116" spans="1:14">
      <c r="A1116" t="s">
        <v>24</v>
      </c>
      <c r="B1116" t="s">
        <v>52</v>
      </c>
      <c r="C1116">
        <v>2138</v>
      </c>
      <c r="D1116">
        <v>630</v>
      </c>
      <c r="E1116" t="s">
        <v>960</v>
      </c>
      <c r="F1116" s="35" t="s">
        <v>997</v>
      </c>
      <c r="G1116" s="28" t="s">
        <v>6612</v>
      </c>
      <c r="H1116" s="28" t="s">
        <v>6271</v>
      </c>
      <c r="I1116" s="28" t="s">
        <v>6923</v>
      </c>
      <c r="J1116" s="28" t="s">
        <v>6920</v>
      </c>
      <c r="K1116" s="28" t="s">
        <v>6924</v>
      </c>
      <c r="L1116" s="28" t="s">
        <v>6922</v>
      </c>
      <c r="M1116" s="28" t="s">
        <v>6621</v>
      </c>
      <c r="N1116" s="28" t="s">
        <v>6289</v>
      </c>
    </row>
    <row r="1117" spans="1:14">
      <c r="A1117" t="s">
        <v>24</v>
      </c>
      <c r="B1117" t="s">
        <v>52</v>
      </c>
      <c r="C1117">
        <v>2139</v>
      </c>
      <c r="D1117">
        <v>432</v>
      </c>
      <c r="E1117" t="s">
        <v>960</v>
      </c>
      <c r="F1117" s="35" t="s">
        <v>997</v>
      </c>
      <c r="G1117" s="28" t="s">
        <v>6776</v>
      </c>
      <c r="H1117" s="28" t="s">
        <v>6271</v>
      </c>
      <c r="I1117" s="28" t="s">
        <v>6925</v>
      </c>
      <c r="J1117" s="28" t="s">
        <v>6920</v>
      </c>
      <c r="K1117" s="28" t="s">
        <v>6926</v>
      </c>
      <c r="L1117" s="28" t="s">
        <v>6922</v>
      </c>
      <c r="M1117" s="28" t="s">
        <v>6779</v>
      </c>
      <c r="N1117" s="28" t="s">
        <v>6289</v>
      </c>
    </row>
    <row r="1118" spans="1:14">
      <c r="A1118" t="s">
        <v>25</v>
      </c>
      <c r="B1118" t="s">
        <v>69</v>
      </c>
      <c r="C1118">
        <v>2138</v>
      </c>
      <c r="D1118">
        <v>2680</v>
      </c>
      <c r="E1118" t="s">
        <v>960</v>
      </c>
      <c r="F1118" s="35" t="s">
        <v>997</v>
      </c>
      <c r="G1118" s="28" t="s">
        <v>6612</v>
      </c>
      <c r="H1118" s="28" t="s">
        <v>6271</v>
      </c>
      <c r="I1118" s="28" t="s">
        <v>6927</v>
      </c>
      <c r="J1118" s="28" t="s">
        <v>6503</v>
      </c>
      <c r="K1118" s="28" t="s">
        <v>6928</v>
      </c>
      <c r="L1118" s="28" t="s">
        <v>6505</v>
      </c>
      <c r="M1118" s="28" t="s">
        <v>6615</v>
      </c>
      <c r="N1118" s="28" t="s">
        <v>6277</v>
      </c>
    </row>
    <row r="1119" spans="1:14">
      <c r="A1119" t="s">
        <v>25</v>
      </c>
      <c r="B1119" t="s">
        <v>67</v>
      </c>
      <c r="C1119">
        <v>2138</v>
      </c>
      <c r="D1119">
        <v>463</v>
      </c>
      <c r="E1119" t="s">
        <v>960</v>
      </c>
      <c r="F1119" s="35" t="s">
        <v>997</v>
      </c>
      <c r="G1119" s="28" t="s">
        <v>6612</v>
      </c>
      <c r="H1119" s="28" t="s">
        <v>6271</v>
      </c>
      <c r="I1119" s="28" t="s">
        <v>6927</v>
      </c>
      <c r="J1119" s="28" t="s">
        <v>6503</v>
      </c>
      <c r="K1119" s="28" t="s">
        <v>6929</v>
      </c>
      <c r="L1119" s="28" t="s">
        <v>6510</v>
      </c>
      <c r="M1119" s="28" t="s">
        <v>6619</v>
      </c>
      <c r="N1119" s="28" t="s">
        <v>6285</v>
      </c>
    </row>
    <row r="1120" spans="1:14">
      <c r="A1120" t="s">
        <v>25</v>
      </c>
      <c r="B1120" t="s">
        <v>54</v>
      </c>
      <c r="C1120">
        <v>2138</v>
      </c>
      <c r="D1120">
        <v>120</v>
      </c>
      <c r="E1120" t="s">
        <v>960</v>
      </c>
      <c r="F1120" s="35" t="s">
        <v>997</v>
      </c>
      <c r="G1120" s="28" t="s">
        <v>6612</v>
      </c>
      <c r="H1120" s="28" t="s">
        <v>6271</v>
      </c>
      <c r="I1120" s="28" t="s">
        <v>6927</v>
      </c>
      <c r="J1120" s="28" t="s">
        <v>6503</v>
      </c>
      <c r="K1120" s="28" t="s">
        <v>6930</v>
      </c>
      <c r="L1120" s="28" t="s">
        <v>6931</v>
      </c>
      <c r="M1120" s="28" t="s">
        <v>6623</v>
      </c>
      <c r="N1120" s="28" t="s">
        <v>6293</v>
      </c>
    </row>
    <row r="1121" spans="1:14">
      <c r="A1121" t="s">
        <v>25</v>
      </c>
      <c r="B1121" t="s">
        <v>55</v>
      </c>
      <c r="C1121">
        <v>2138</v>
      </c>
      <c r="D1121">
        <v>10</v>
      </c>
      <c r="E1121" t="s">
        <v>960</v>
      </c>
      <c r="F1121" s="35" t="s">
        <v>997</v>
      </c>
      <c r="G1121" s="28" t="s">
        <v>6612</v>
      </c>
      <c r="H1121" s="28" t="s">
        <v>6271</v>
      </c>
      <c r="I1121" s="28" t="s">
        <v>6927</v>
      </c>
      <c r="J1121" s="28" t="s">
        <v>6503</v>
      </c>
      <c r="K1121" s="28" t="s">
        <v>6932</v>
      </c>
      <c r="L1121" s="28" t="s">
        <v>6514</v>
      </c>
      <c r="M1121" s="28" t="s">
        <v>6625</v>
      </c>
      <c r="N1121" s="28" t="s">
        <v>6297</v>
      </c>
    </row>
    <row r="1122" spans="1:14">
      <c r="A1122" t="s">
        <v>27</v>
      </c>
      <c r="B1122" t="s">
        <v>69</v>
      </c>
      <c r="C1122">
        <v>2137</v>
      </c>
      <c r="D1122">
        <v>146</v>
      </c>
      <c r="E1122" t="s">
        <v>960</v>
      </c>
      <c r="F1122" s="35" t="s">
        <v>997</v>
      </c>
      <c r="G1122" s="28" t="s">
        <v>6435</v>
      </c>
      <c r="H1122" s="28" t="s">
        <v>6271</v>
      </c>
      <c r="I1122" s="28" t="s">
        <v>6933</v>
      </c>
      <c r="J1122" s="28" t="s">
        <v>6934</v>
      </c>
      <c r="K1122" s="28" t="s">
        <v>6935</v>
      </c>
      <c r="L1122" s="28" t="s">
        <v>6936</v>
      </c>
      <c r="M1122" s="28" t="s">
        <v>6438</v>
      </c>
      <c r="N1122" s="28" t="s">
        <v>6277</v>
      </c>
    </row>
    <row r="1123" spans="1:14">
      <c r="A1123" t="s">
        <v>27</v>
      </c>
      <c r="B1123" t="s">
        <v>69</v>
      </c>
      <c r="C1123">
        <v>2138</v>
      </c>
      <c r="D1123">
        <v>14</v>
      </c>
      <c r="E1123" t="s">
        <v>960</v>
      </c>
      <c r="F1123" s="35" t="s">
        <v>997</v>
      </c>
      <c r="G1123" s="28" t="s">
        <v>6612</v>
      </c>
      <c r="H1123" s="28" t="s">
        <v>6271</v>
      </c>
      <c r="I1123" s="28" t="s">
        <v>6937</v>
      </c>
      <c r="J1123" s="28" t="s">
        <v>6934</v>
      </c>
      <c r="K1123" s="28" t="s">
        <v>6938</v>
      </c>
      <c r="L1123" s="28" t="s">
        <v>6936</v>
      </c>
      <c r="M1123" s="28" t="s">
        <v>6615</v>
      </c>
      <c r="N1123" s="28" t="s">
        <v>6277</v>
      </c>
    </row>
    <row r="1124" spans="1:14">
      <c r="A1124" t="s">
        <v>27</v>
      </c>
      <c r="B1124" t="s">
        <v>69</v>
      </c>
      <c r="C1124">
        <v>2139</v>
      </c>
      <c r="D1124">
        <v>104</v>
      </c>
      <c r="E1124" t="s">
        <v>960</v>
      </c>
      <c r="F1124" s="35" t="s">
        <v>997</v>
      </c>
      <c r="G1124" s="28" t="s">
        <v>6776</v>
      </c>
      <c r="H1124" s="28" t="s">
        <v>6271</v>
      </c>
      <c r="I1124" s="28" t="s">
        <v>6939</v>
      </c>
      <c r="J1124" s="28" t="s">
        <v>6934</v>
      </c>
      <c r="K1124" s="28" t="s">
        <v>6940</v>
      </c>
      <c r="L1124" s="28" t="s">
        <v>6936</v>
      </c>
      <c r="M1124" s="28" t="s">
        <v>6848</v>
      </c>
      <c r="N1124" s="28" t="s">
        <v>6277</v>
      </c>
    </row>
    <row r="1125" spans="1:14">
      <c r="A1125" t="s">
        <v>27</v>
      </c>
      <c r="B1125" t="s">
        <v>53</v>
      </c>
      <c r="C1125">
        <v>2136</v>
      </c>
      <c r="D1125">
        <v>82</v>
      </c>
      <c r="E1125" t="s">
        <v>960</v>
      </c>
      <c r="F1125" s="35" t="s">
        <v>997</v>
      </c>
      <c r="G1125" s="28" t="s">
        <v>6270</v>
      </c>
      <c r="H1125" s="28" t="s">
        <v>6271</v>
      </c>
      <c r="I1125" s="28" t="s">
        <v>6941</v>
      </c>
      <c r="J1125" s="28" t="s">
        <v>6934</v>
      </c>
      <c r="K1125" s="28" t="s">
        <v>6942</v>
      </c>
      <c r="L1125" s="28" t="s">
        <v>6943</v>
      </c>
      <c r="M1125" s="28" t="s">
        <v>6300</v>
      </c>
      <c r="N1125" s="28" t="s">
        <v>6301</v>
      </c>
    </row>
    <row r="1126" spans="1:14">
      <c r="A1126" t="s">
        <v>27</v>
      </c>
      <c r="B1126" t="s">
        <v>53</v>
      </c>
      <c r="C1126">
        <v>2137</v>
      </c>
      <c r="D1126">
        <v>123</v>
      </c>
      <c r="E1126" t="s">
        <v>960</v>
      </c>
      <c r="F1126" s="35" t="s">
        <v>997</v>
      </c>
      <c r="G1126" s="28" t="s">
        <v>6435</v>
      </c>
      <c r="H1126" s="28" t="s">
        <v>6271</v>
      </c>
      <c r="I1126" s="28" t="s">
        <v>6933</v>
      </c>
      <c r="J1126" s="28" t="s">
        <v>6934</v>
      </c>
      <c r="K1126" s="28" t="s">
        <v>6944</v>
      </c>
      <c r="L1126" s="28" t="s">
        <v>6943</v>
      </c>
      <c r="M1126" s="28" t="s">
        <v>6450</v>
      </c>
      <c r="N1126" s="28" t="s">
        <v>6301</v>
      </c>
    </row>
    <row r="1127" spans="1:14">
      <c r="A1127" t="s">
        <v>27</v>
      </c>
      <c r="B1127" t="s">
        <v>53</v>
      </c>
      <c r="C1127">
        <v>2138</v>
      </c>
      <c r="D1127">
        <v>62</v>
      </c>
      <c r="E1127" t="s">
        <v>960</v>
      </c>
      <c r="F1127" s="35" t="s">
        <v>997</v>
      </c>
      <c r="G1127" s="28" t="s">
        <v>6612</v>
      </c>
      <c r="H1127" s="28" t="s">
        <v>6271</v>
      </c>
      <c r="I1127" s="28" t="s">
        <v>6937</v>
      </c>
      <c r="J1127" s="28" t="s">
        <v>6934</v>
      </c>
      <c r="K1127" s="28" t="s">
        <v>6945</v>
      </c>
      <c r="L1127" s="28" t="s">
        <v>6943</v>
      </c>
      <c r="M1127" s="28" t="s">
        <v>6627</v>
      </c>
      <c r="N1127" s="28" t="s">
        <v>6301</v>
      </c>
    </row>
    <row r="1128" spans="1:14">
      <c r="A1128" t="s">
        <v>27</v>
      </c>
      <c r="B1128" t="s">
        <v>53</v>
      </c>
      <c r="C1128">
        <v>2139</v>
      </c>
      <c r="D1128">
        <v>207</v>
      </c>
      <c r="E1128" t="s">
        <v>960</v>
      </c>
      <c r="F1128" s="35" t="s">
        <v>997</v>
      </c>
      <c r="G1128" s="28" t="s">
        <v>6776</v>
      </c>
      <c r="H1128" s="28" t="s">
        <v>6271</v>
      </c>
      <c r="I1128" s="28" t="s">
        <v>6939</v>
      </c>
      <c r="J1128" s="28" t="s">
        <v>6934</v>
      </c>
      <c r="K1128" s="28" t="s">
        <v>6946</v>
      </c>
      <c r="L1128" s="28" t="s">
        <v>6943</v>
      </c>
      <c r="M1128" s="28" t="s">
        <v>6801</v>
      </c>
      <c r="N1128" s="28" t="s">
        <v>6301</v>
      </c>
    </row>
    <row r="1129" spans="1:14">
      <c r="A1129" t="s">
        <v>27</v>
      </c>
      <c r="B1129" t="s">
        <v>53</v>
      </c>
      <c r="C1129">
        <v>2140</v>
      </c>
      <c r="D1129">
        <v>241</v>
      </c>
      <c r="E1129" t="s">
        <v>960</v>
      </c>
      <c r="F1129" s="35" t="s">
        <v>998</v>
      </c>
      <c r="G1129" s="28" t="s">
        <v>6780</v>
      </c>
      <c r="H1129" s="28" t="s">
        <v>6781</v>
      </c>
      <c r="I1129" s="28" t="s">
        <v>6947</v>
      </c>
      <c r="J1129" s="28" t="s">
        <v>6948</v>
      </c>
      <c r="K1129" s="28" t="s">
        <v>6949</v>
      </c>
      <c r="L1129" s="28" t="s">
        <v>6950</v>
      </c>
      <c r="M1129" s="28" t="s">
        <v>6804</v>
      </c>
      <c r="N1129" s="28" t="s">
        <v>6805</v>
      </c>
    </row>
    <row r="1130" spans="1:14">
      <c r="A1130" t="s">
        <v>965</v>
      </c>
      <c r="B1130" t="s">
        <v>61</v>
      </c>
      <c r="C1130">
        <v>2140</v>
      </c>
      <c r="D1130">
        <v>1</v>
      </c>
      <c r="E1130" t="s">
        <v>961</v>
      </c>
      <c r="F1130" s="35" t="s">
        <v>998</v>
      </c>
      <c r="G1130" s="28" t="s">
        <v>6822</v>
      </c>
      <c r="H1130" s="28" t="s">
        <v>6823</v>
      </c>
      <c r="I1130" s="28" t="s">
        <v>6980</v>
      </c>
      <c r="J1130" s="28" t="s">
        <v>6981</v>
      </c>
      <c r="K1130" s="28" t="s">
        <v>6982</v>
      </c>
      <c r="L1130" s="28" t="s">
        <v>6983</v>
      </c>
      <c r="M1130" s="28" t="s">
        <v>6984</v>
      </c>
      <c r="N1130" s="28" t="s">
        <v>6985</v>
      </c>
    </row>
    <row r="1131" spans="1:14">
      <c r="A1131" t="s">
        <v>965</v>
      </c>
      <c r="B1131" t="s">
        <v>63</v>
      </c>
      <c r="C1131">
        <v>2140</v>
      </c>
      <c r="D1131">
        <v>19</v>
      </c>
      <c r="E1131" t="s">
        <v>961</v>
      </c>
      <c r="F1131" s="35" t="s">
        <v>998</v>
      </c>
      <c r="G1131" s="28" t="s">
        <v>6822</v>
      </c>
      <c r="H1131" s="28" t="s">
        <v>6823</v>
      </c>
      <c r="I1131" s="28" t="s">
        <v>6980</v>
      </c>
      <c r="J1131" s="28" t="s">
        <v>6981</v>
      </c>
      <c r="K1131" s="28" t="s">
        <v>6986</v>
      </c>
      <c r="L1131" s="28" t="s">
        <v>6987</v>
      </c>
      <c r="M1131" s="28" t="s">
        <v>6988</v>
      </c>
      <c r="N1131" s="28" t="s">
        <v>6989</v>
      </c>
    </row>
    <row r="1132" spans="1:14">
      <c r="A1132" t="s">
        <v>965</v>
      </c>
      <c r="B1132" t="s">
        <v>68</v>
      </c>
      <c r="C1132">
        <v>2140</v>
      </c>
      <c r="D1132">
        <v>911</v>
      </c>
      <c r="E1132" t="s">
        <v>960</v>
      </c>
      <c r="F1132" s="35" t="s">
        <v>998</v>
      </c>
      <c r="G1132" s="28" t="s">
        <v>6780</v>
      </c>
      <c r="H1132" s="28" t="s">
        <v>6781</v>
      </c>
      <c r="I1132" s="28" t="s">
        <v>6990</v>
      </c>
      <c r="J1132" s="28" t="s">
        <v>6991</v>
      </c>
      <c r="K1132" s="28" t="s">
        <v>6992</v>
      </c>
      <c r="L1132" s="28" t="s">
        <v>6993</v>
      </c>
      <c r="M1132" s="28" t="s">
        <v>6816</v>
      </c>
      <c r="N1132" s="28" t="s">
        <v>6817</v>
      </c>
    </row>
    <row r="1133" spans="1:14">
      <c r="A1133" t="s">
        <v>965</v>
      </c>
      <c r="B1133" t="s">
        <v>52</v>
      </c>
      <c r="C1133">
        <v>2140</v>
      </c>
      <c r="D1133">
        <v>1121</v>
      </c>
      <c r="E1133" t="s">
        <v>960</v>
      </c>
      <c r="F1133" s="35" t="s">
        <v>998</v>
      </c>
      <c r="G1133" s="28" t="s">
        <v>6780</v>
      </c>
      <c r="H1133" s="28" t="s">
        <v>6781</v>
      </c>
      <c r="I1133" s="28" t="s">
        <v>6990</v>
      </c>
      <c r="J1133" s="28" t="s">
        <v>6991</v>
      </c>
      <c r="K1133" s="28" t="s">
        <v>6994</v>
      </c>
      <c r="L1133" s="28" t="s">
        <v>6995</v>
      </c>
      <c r="M1133" s="28" t="s">
        <v>6786</v>
      </c>
      <c r="N1133" s="28" t="s">
        <v>6787</v>
      </c>
    </row>
    <row r="1134" spans="1:14">
      <c r="A1134" t="s">
        <v>965</v>
      </c>
      <c r="B1134" t="s">
        <v>65</v>
      </c>
      <c r="C1134">
        <v>2140</v>
      </c>
      <c r="D1134">
        <v>1</v>
      </c>
      <c r="E1134" t="s">
        <v>961</v>
      </c>
      <c r="F1134" s="35" t="s">
        <v>998</v>
      </c>
      <c r="G1134" s="28" t="s">
        <v>6822</v>
      </c>
      <c r="H1134" s="28" t="s">
        <v>6823</v>
      </c>
      <c r="I1134" s="28" t="s">
        <v>6980</v>
      </c>
      <c r="J1134" s="28" t="s">
        <v>6981</v>
      </c>
      <c r="K1134" s="28" t="s">
        <v>6996</v>
      </c>
      <c r="L1134" s="28" t="s">
        <v>6997</v>
      </c>
      <c r="M1134" s="28" t="s">
        <v>6836</v>
      </c>
      <c r="N1134" s="28" t="s">
        <v>6837</v>
      </c>
    </row>
    <row r="1135" spans="1:14">
      <c r="A1135" t="s">
        <v>965</v>
      </c>
      <c r="B1135" t="s">
        <v>53</v>
      </c>
      <c r="C1135">
        <v>2140</v>
      </c>
      <c r="D1135">
        <v>55</v>
      </c>
      <c r="E1135" t="s">
        <v>960</v>
      </c>
      <c r="F1135" s="35" t="s">
        <v>998</v>
      </c>
      <c r="G1135" s="28" t="s">
        <v>6780</v>
      </c>
      <c r="H1135" s="28" t="s">
        <v>6781</v>
      </c>
      <c r="I1135" s="28" t="s">
        <v>6990</v>
      </c>
      <c r="J1135" s="28" t="s">
        <v>6991</v>
      </c>
      <c r="K1135" s="28" t="s">
        <v>6998</v>
      </c>
      <c r="L1135" s="28" t="s">
        <v>6999</v>
      </c>
      <c r="M1135" s="28" t="s">
        <v>6804</v>
      </c>
      <c r="N1135" s="28" t="s">
        <v>6805</v>
      </c>
    </row>
    <row r="1136" spans="1:14">
      <c r="A1136" t="s">
        <v>965</v>
      </c>
      <c r="B1136" t="s">
        <v>66</v>
      </c>
      <c r="C1136">
        <v>2140</v>
      </c>
      <c r="D1136">
        <v>855</v>
      </c>
      <c r="E1136" t="s">
        <v>960</v>
      </c>
      <c r="F1136" s="35" t="s">
        <v>998</v>
      </c>
      <c r="G1136" s="28" t="s">
        <v>6780</v>
      </c>
      <c r="H1136" s="28" t="s">
        <v>6781</v>
      </c>
      <c r="I1136" s="28" t="s">
        <v>6990</v>
      </c>
      <c r="J1136" s="28" t="s">
        <v>6991</v>
      </c>
      <c r="K1136" s="28" t="s">
        <v>7000</v>
      </c>
      <c r="L1136" s="28" t="s">
        <v>7001</v>
      </c>
      <c r="M1136" s="28" t="s">
        <v>6810</v>
      </c>
      <c r="N1136" s="28" t="s">
        <v>6811</v>
      </c>
    </row>
    <row r="1137" spans="1:14">
      <c r="A1137" t="s">
        <v>26</v>
      </c>
      <c r="B1137" t="s">
        <v>52</v>
      </c>
      <c r="C1137">
        <v>2141</v>
      </c>
      <c r="D1137">
        <v>1249</v>
      </c>
      <c r="E1137" t="s">
        <v>960</v>
      </c>
      <c r="F1137" s="35" t="s">
        <v>998</v>
      </c>
      <c r="G1137" s="28" t="s">
        <v>7099</v>
      </c>
      <c r="H1137" s="28" t="s">
        <v>6781</v>
      </c>
      <c r="I1137" s="28" t="s">
        <v>7100</v>
      </c>
      <c r="J1137" s="28" t="s">
        <v>6783</v>
      </c>
      <c r="K1137" s="28" t="s">
        <v>7101</v>
      </c>
      <c r="L1137" s="28" t="s">
        <v>6785</v>
      </c>
      <c r="M1137" s="28" t="s">
        <v>7102</v>
      </c>
      <c r="N1137" s="28" t="s">
        <v>6787</v>
      </c>
    </row>
    <row r="1138" spans="1:14">
      <c r="A1138" t="s">
        <v>26</v>
      </c>
      <c r="B1138" t="s">
        <v>55</v>
      </c>
      <c r="C1138">
        <v>2141</v>
      </c>
      <c r="D1138">
        <v>52</v>
      </c>
      <c r="E1138" t="s">
        <v>960</v>
      </c>
      <c r="F1138" s="35" t="s">
        <v>998</v>
      </c>
      <c r="G1138" s="28" t="s">
        <v>7099</v>
      </c>
      <c r="H1138" s="28" t="s">
        <v>6781</v>
      </c>
      <c r="I1138" s="28" t="s">
        <v>7100</v>
      </c>
      <c r="J1138" s="28" t="s">
        <v>6783</v>
      </c>
      <c r="K1138" s="28" t="s">
        <v>7103</v>
      </c>
      <c r="L1138" s="28" t="s">
        <v>6797</v>
      </c>
      <c r="M1138" s="28" t="s">
        <v>7104</v>
      </c>
      <c r="N1138" s="28" t="s">
        <v>6799</v>
      </c>
    </row>
    <row r="1139" spans="1:14">
      <c r="A1139" t="s">
        <v>26</v>
      </c>
      <c r="B1139" t="s">
        <v>53</v>
      </c>
      <c r="C1139">
        <v>2141</v>
      </c>
      <c r="D1139">
        <v>1518</v>
      </c>
      <c r="E1139" t="s">
        <v>960</v>
      </c>
      <c r="F1139" s="35" t="s">
        <v>998</v>
      </c>
      <c r="G1139" s="28" t="s">
        <v>7099</v>
      </c>
      <c r="H1139" s="28" t="s">
        <v>6781</v>
      </c>
      <c r="I1139" s="28" t="s">
        <v>7100</v>
      </c>
      <c r="J1139" s="28" t="s">
        <v>6783</v>
      </c>
      <c r="K1139" s="28" t="s">
        <v>7105</v>
      </c>
      <c r="L1139" s="28" t="s">
        <v>6803</v>
      </c>
      <c r="M1139" s="28" t="s">
        <v>7106</v>
      </c>
      <c r="N1139" s="28" t="s">
        <v>6805</v>
      </c>
    </row>
    <row r="1140" spans="1:14">
      <c r="A1140" t="s">
        <v>26</v>
      </c>
      <c r="B1140" t="s">
        <v>53</v>
      </c>
      <c r="C1140">
        <v>2141</v>
      </c>
      <c r="D1140">
        <v>1686</v>
      </c>
      <c r="E1140" t="s">
        <v>960</v>
      </c>
      <c r="F1140" s="35" t="s">
        <v>998</v>
      </c>
      <c r="G1140" s="28" t="s">
        <v>7099</v>
      </c>
      <c r="H1140" s="28" t="s">
        <v>6781</v>
      </c>
      <c r="I1140" s="28" t="s">
        <v>7100</v>
      </c>
      <c r="J1140" s="28" t="s">
        <v>6783</v>
      </c>
      <c r="K1140" s="28" t="s">
        <v>7105</v>
      </c>
      <c r="L1140" s="28" t="s">
        <v>6803</v>
      </c>
      <c r="M1140" s="28" t="s">
        <v>7106</v>
      </c>
      <c r="N1140" s="28" t="s">
        <v>6805</v>
      </c>
    </row>
    <row r="1141" spans="1:14">
      <c r="A1141" t="s">
        <v>26</v>
      </c>
      <c r="B1141" t="s">
        <v>66</v>
      </c>
      <c r="C1141">
        <v>2141</v>
      </c>
      <c r="D1141">
        <v>250</v>
      </c>
      <c r="E1141" t="s">
        <v>960</v>
      </c>
      <c r="F1141" s="35" t="s">
        <v>998</v>
      </c>
      <c r="G1141" s="28" t="s">
        <v>7099</v>
      </c>
      <c r="H1141" s="28" t="s">
        <v>6781</v>
      </c>
      <c r="I1141" s="28" t="s">
        <v>7100</v>
      </c>
      <c r="J1141" s="28" t="s">
        <v>6783</v>
      </c>
      <c r="K1141" s="28" t="s">
        <v>7107</v>
      </c>
      <c r="L1141" s="28" t="s">
        <v>6809</v>
      </c>
      <c r="M1141" s="28" t="s">
        <v>7108</v>
      </c>
      <c r="N1141" s="28" t="s">
        <v>6811</v>
      </c>
    </row>
    <row r="1142" spans="1:14">
      <c r="A1142" t="s">
        <v>26</v>
      </c>
      <c r="B1142" t="s">
        <v>66</v>
      </c>
      <c r="C1142">
        <v>2141</v>
      </c>
      <c r="D1142">
        <v>691</v>
      </c>
      <c r="E1142" t="s">
        <v>960</v>
      </c>
      <c r="F1142" s="35" t="s">
        <v>998</v>
      </c>
      <c r="G1142" s="28" t="s">
        <v>7099</v>
      </c>
      <c r="H1142" s="28" t="s">
        <v>6781</v>
      </c>
      <c r="I1142" s="28" t="s">
        <v>7100</v>
      </c>
      <c r="J1142" s="28" t="s">
        <v>6783</v>
      </c>
      <c r="K1142" s="28" t="s">
        <v>7107</v>
      </c>
      <c r="L1142" s="28" t="s">
        <v>6809</v>
      </c>
      <c r="M1142" s="28" t="s">
        <v>7108</v>
      </c>
      <c r="N1142" s="28" t="s">
        <v>6811</v>
      </c>
    </row>
    <row r="1143" spans="1:14">
      <c r="A1143" t="s">
        <v>26</v>
      </c>
      <c r="B1143" t="s">
        <v>68</v>
      </c>
      <c r="C1143">
        <v>2141</v>
      </c>
      <c r="D1143">
        <v>170</v>
      </c>
      <c r="E1143" t="s">
        <v>960</v>
      </c>
      <c r="F1143" s="35" t="s">
        <v>998</v>
      </c>
      <c r="G1143" s="28" t="s">
        <v>7099</v>
      </c>
      <c r="H1143" s="28" t="s">
        <v>6781</v>
      </c>
      <c r="I1143" s="28" t="s">
        <v>7100</v>
      </c>
      <c r="J1143" s="28" t="s">
        <v>6783</v>
      </c>
      <c r="K1143" s="28" t="s">
        <v>7109</v>
      </c>
      <c r="L1143" s="28" t="s">
        <v>6815</v>
      </c>
      <c r="M1143" s="28" t="s">
        <v>7110</v>
      </c>
      <c r="N1143" s="28" t="s">
        <v>6817</v>
      </c>
    </row>
    <row r="1144" spans="1:14">
      <c r="A1144" t="s">
        <v>26</v>
      </c>
      <c r="B1144" t="s">
        <v>62</v>
      </c>
      <c r="C1144">
        <v>2141</v>
      </c>
      <c r="D1144">
        <v>105</v>
      </c>
      <c r="E1144" t="s">
        <v>961</v>
      </c>
      <c r="F1144" s="35" t="s">
        <v>998</v>
      </c>
      <c r="G1144" s="28" t="s">
        <v>7111</v>
      </c>
      <c r="H1144" s="28" t="s">
        <v>6823</v>
      </c>
      <c r="I1144" s="28" t="s">
        <v>7112</v>
      </c>
      <c r="J1144" s="28" t="s">
        <v>6825</v>
      </c>
      <c r="K1144" s="28" t="s">
        <v>7113</v>
      </c>
      <c r="L1144" s="28" t="s">
        <v>6827</v>
      </c>
      <c r="M1144" s="28" t="s">
        <v>7114</v>
      </c>
      <c r="N1144" s="28" t="s">
        <v>6829</v>
      </c>
    </row>
    <row r="1145" spans="1:14">
      <c r="A1145" t="s">
        <v>26</v>
      </c>
      <c r="B1145" t="s">
        <v>64</v>
      </c>
      <c r="C1145">
        <v>2141</v>
      </c>
      <c r="D1145">
        <v>1019</v>
      </c>
      <c r="E1145" t="s">
        <v>961</v>
      </c>
      <c r="F1145" s="35" t="s">
        <v>998</v>
      </c>
      <c r="G1145" s="28" t="s">
        <v>7111</v>
      </c>
      <c r="H1145" s="28" t="s">
        <v>6823</v>
      </c>
      <c r="I1145" s="28" t="s">
        <v>7112</v>
      </c>
      <c r="J1145" s="28" t="s">
        <v>6825</v>
      </c>
      <c r="K1145" s="28" t="s">
        <v>7115</v>
      </c>
      <c r="L1145" s="28" t="s">
        <v>7116</v>
      </c>
      <c r="M1145" s="28" t="s">
        <v>7117</v>
      </c>
      <c r="N1145" s="28" t="s">
        <v>7118</v>
      </c>
    </row>
    <row r="1146" spans="1:14">
      <c r="A1146" t="s">
        <v>26</v>
      </c>
      <c r="B1146" t="s">
        <v>65</v>
      </c>
      <c r="C1146">
        <v>2141</v>
      </c>
      <c r="D1146">
        <v>42</v>
      </c>
      <c r="E1146" t="s">
        <v>961</v>
      </c>
      <c r="F1146" s="35" t="s">
        <v>998</v>
      </c>
      <c r="G1146" s="28" t="s">
        <v>7111</v>
      </c>
      <c r="H1146" s="28" t="s">
        <v>6823</v>
      </c>
      <c r="I1146" s="28" t="s">
        <v>7112</v>
      </c>
      <c r="J1146" s="28" t="s">
        <v>6825</v>
      </c>
      <c r="K1146" s="28" t="s">
        <v>7119</v>
      </c>
      <c r="L1146" s="28" t="s">
        <v>6835</v>
      </c>
      <c r="M1146" s="28" t="s">
        <v>7120</v>
      </c>
      <c r="N1146" s="28" t="s">
        <v>6837</v>
      </c>
    </row>
    <row r="1147" spans="1:14">
      <c r="A1147" t="s">
        <v>965</v>
      </c>
      <c r="B1147" t="s">
        <v>58</v>
      </c>
      <c r="C1147">
        <v>2141</v>
      </c>
      <c r="D1147">
        <v>323</v>
      </c>
      <c r="E1147" t="s">
        <v>961</v>
      </c>
      <c r="F1147" s="35" t="s">
        <v>998</v>
      </c>
      <c r="G1147" s="28" t="s">
        <v>7111</v>
      </c>
      <c r="H1147" s="28" t="s">
        <v>6823</v>
      </c>
      <c r="I1147" s="28" t="s">
        <v>7121</v>
      </c>
      <c r="J1147" s="28" t="s">
        <v>6981</v>
      </c>
      <c r="K1147" s="28" t="s">
        <v>7122</v>
      </c>
      <c r="L1147" s="28" t="s">
        <v>7123</v>
      </c>
      <c r="M1147" s="28" t="s">
        <v>7124</v>
      </c>
      <c r="N1147" s="28" t="s">
        <v>7125</v>
      </c>
    </row>
    <row r="1148" spans="1:14">
      <c r="A1148" t="s">
        <v>965</v>
      </c>
      <c r="B1148" t="s">
        <v>67</v>
      </c>
      <c r="C1148">
        <v>2141</v>
      </c>
      <c r="D1148">
        <v>9</v>
      </c>
      <c r="E1148" t="s">
        <v>960</v>
      </c>
      <c r="F1148" s="35" t="s">
        <v>998</v>
      </c>
      <c r="G1148" s="28" t="s">
        <v>7099</v>
      </c>
      <c r="H1148" s="28" t="s">
        <v>6781</v>
      </c>
      <c r="I1148" s="28" t="s">
        <v>7126</v>
      </c>
      <c r="J1148" s="28" t="s">
        <v>6991</v>
      </c>
      <c r="K1148" s="28" t="s">
        <v>7127</v>
      </c>
      <c r="L1148" s="28" t="s">
        <v>7128</v>
      </c>
      <c r="M1148" s="28" t="s">
        <v>7129</v>
      </c>
      <c r="N1148" s="28" t="s">
        <v>7130</v>
      </c>
    </row>
    <row r="1149" spans="1:14">
      <c r="A1149" t="s">
        <v>965</v>
      </c>
      <c r="B1149" t="s">
        <v>68</v>
      </c>
      <c r="C1149">
        <v>2141</v>
      </c>
      <c r="D1149">
        <v>115</v>
      </c>
      <c r="E1149" t="s">
        <v>960</v>
      </c>
      <c r="F1149" s="35" t="s">
        <v>998</v>
      </c>
      <c r="G1149" s="28" t="s">
        <v>7099</v>
      </c>
      <c r="H1149" s="28" t="s">
        <v>6781</v>
      </c>
      <c r="I1149" s="28" t="s">
        <v>7126</v>
      </c>
      <c r="J1149" s="28" t="s">
        <v>6991</v>
      </c>
      <c r="K1149" s="28" t="s">
        <v>7131</v>
      </c>
      <c r="L1149" s="28" t="s">
        <v>6993</v>
      </c>
      <c r="M1149" s="28" t="s">
        <v>7110</v>
      </c>
      <c r="N1149" s="28" t="s">
        <v>6817</v>
      </c>
    </row>
    <row r="1150" spans="1:14">
      <c r="A1150" t="s">
        <v>965</v>
      </c>
      <c r="B1150" t="s">
        <v>52</v>
      </c>
      <c r="C1150">
        <v>2141</v>
      </c>
      <c r="D1150">
        <v>132</v>
      </c>
      <c r="E1150" t="s">
        <v>960</v>
      </c>
      <c r="F1150" s="35" t="s">
        <v>998</v>
      </c>
      <c r="G1150" s="28" t="s">
        <v>7099</v>
      </c>
      <c r="H1150" s="28" t="s">
        <v>6781</v>
      </c>
      <c r="I1150" s="28" t="s">
        <v>7126</v>
      </c>
      <c r="J1150" s="28" t="s">
        <v>6991</v>
      </c>
      <c r="K1150" s="28" t="s">
        <v>7132</v>
      </c>
      <c r="L1150" s="28" t="s">
        <v>6995</v>
      </c>
      <c r="M1150" s="28" t="s">
        <v>7102</v>
      </c>
      <c r="N1150" s="28" t="s">
        <v>6787</v>
      </c>
    </row>
    <row r="1151" spans="1:14">
      <c r="A1151" t="s">
        <v>965</v>
      </c>
      <c r="B1151" t="s">
        <v>53</v>
      </c>
      <c r="C1151">
        <v>2141</v>
      </c>
      <c r="D1151">
        <v>487</v>
      </c>
      <c r="E1151" t="s">
        <v>960</v>
      </c>
      <c r="F1151" s="35" t="s">
        <v>998</v>
      </c>
      <c r="G1151" s="28" t="s">
        <v>7099</v>
      </c>
      <c r="H1151" s="28" t="s">
        <v>6781</v>
      </c>
      <c r="I1151" s="28" t="s">
        <v>7126</v>
      </c>
      <c r="J1151" s="28" t="s">
        <v>6991</v>
      </c>
      <c r="K1151" s="28" t="s">
        <v>7133</v>
      </c>
      <c r="L1151" s="28" t="s">
        <v>6999</v>
      </c>
      <c r="M1151" s="28" t="s">
        <v>7106</v>
      </c>
      <c r="N1151" s="28" t="s">
        <v>6805</v>
      </c>
    </row>
    <row r="1152" spans="1:14">
      <c r="A1152" t="s">
        <v>965</v>
      </c>
      <c r="B1152" t="s">
        <v>66</v>
      </c>
      <c r="C1152">
        <v>2141</v>
      </c>
      <c r="D1152">
        <v>130</v>
      </c>
      <c r="E1152" t="s">
        <v>960</v>
      </c>
      <c r="F1152" s="35" t="s">
        <v>998</v>
      </c>
      <c r="G1152" s="28" t="s">
        <v>7099</v>
      </c>
      <c r="H1152" s="28" t="s">
        <v>6781</v>
      </c>
      <c r="I1152" s="28" t="s">
        <v>7126</v>
      </c>
      <c r="J1152" s="28" t="s">
        <v>6991</v>
      </c>
      <c r="K1152" s="28" t="s">
        <v>7134</v>
      </c>
      <c r="L1152" s="28" t="s">
        <v>7001</v>
      </c>
      <c r="M1152" s="28" t="s">
        <v>7108</v>
      </c>
      <c r="N1152" s="28" t="s">
        <v>6811</v>
      </c>
    </row>
    <row r="1153" spans="1:14">
      <c r="A1153" t="s">
        <v>26</v>
      </c>
      <c r="B1153" t="s">
        <v>52</v>
      </c>
      <c r="C1153">
        <v>2142</v>
      </c>
      <c r="D1153">
        <v>1243</v>
      </c>
      <c r="E1153" t="s">
        <v>960</v>
      </c>
      <c r="F1153" s="35" t="s">
        <v>998</v>
      </c>
      <c r="G1153" s="28" t="s">
        <v>7187</v>
      </c>
      <c r="H1153" s="28" t="s">
        <v>6781</v>
      </c>
      <c r="I1153" s="28" t="s">
        <v>7188</v>
      </c>
      <c r="J1153" s="28" t="s">
        <v>6783</v>
      </c>
      <c r="K1153" s="28" t="s">
        <v>7189</v>
      </c>
      <c r="L1153" s="28" t="s">
        <v>6785</v>
      </c>
      <c r="M1153" s="28" t="s">
        <v>7190</v>
      </c>
      <c r="N1153" s="28" t="s">
        <v>6787</v>
      </c>
    </row>
    <row r="1154" spans="1:14">
      <c r="A1154" t="s">
        <v>26</v>
      </c>
      <c r="B1154" t="s">
        <v>54</v>
      </c>
      <c r="C1154">
        <v>2142</v>
      </c>
      <c r="D1154">
        <v>9</v>
      </c>
      <c r="E1154" t="s">
        <v>960</v>
      </c>
      <c r="F1154" s="35" t="s">
        <v>998</v>
      </c>
      <c r="G1154" s="28" t="s">
        <v>7187</v>
      </c>
      <c r="H1154" s="28" t="s">
        <v>6781</v>
      </c>
      <c r="I1154" s="28" t="s">
        <v>7188</v>
      </c>
      <c r="J1154" s="28" t="s">
        <v>6783</v>
      </c>
      <c r="K1154" s="28" t="s">
        <v>7191</v>
      </c>
      <c r="L1154" s="28" t="s">
        <v>6791</v>
      </c>
      <c r="M1154" s="28" t="s">
        <v>7192</v>
      </c>
      <c r="N1154" s="28" t="s">
        <v>6793</v>
      </c>
    </row>
    <row r="1155" spans="1:14">
      <c r="A1155" t="s">
        <v>26</v>
      </c>
      <c r="B1155" t="s">
        <v>55</v>
      </c>
      <c r="C1155">
        <v>2142</v>
      </c>
      <c r="D1155">
        <v>35</v>
      </c>
      <c r="E1155" t="s">
        <v>960</v>
      </c>
      <c r="F1155" s="35" t="s">
        <v>998</v>
      </c>
      <c r="G1155" s="28" t="s">
        <v>7187</v>
      </c>
      <c r="H1155" s="28" t="s">
        <v>6781</v>
      </c>
      <c r="I1155" s="28" t="s">
        <v>7188</v>
      </c>
      <c r="J1155" s="28" t="s">
        <v>6783</v>
      </c>
      <c r="K1155" s="28" t="s">
        <v>7193</v>
      </c>
      <c r="L1155" s="28" t="s">
        <v>6797</v>
      </c>
      <c r="M1155" s="28" t="s">
        <v>7194</v>
      </c>
      <c r="N1155" s="28" t="s">
        <v>6799</v>
      </c>
    </row>
    <row r="1156" spans="1:14">
      <c r="A1156" t="s">
        <v>26</v>
      </c>
      <c r="B1156" t="s">
        <v>53</v>
      </c>
      <c r="C1156">
        <v>2142</v>
      </c>
      <c r="D1156">
        <v>801</v>
      </c>
      <c r="E1156" t="s">
        <v>960</v>
      </c>
      <c r="F1156" s="35" t="s">
        <v>998</v>
      </c>
      <c r="G1156" s="28" t="s">
        <v>7187</v>
      </c>
      <c r="H1156" s="28" t="s">
        <v>6781</v>
      </c>
      <c r="I1156" s="28" t="s">
        <v>7188</v>
      </c>
      <c r="J1156" s="28" t="s">
        <v>6783</v>
      </c>
      <c r="K1156" s="28" t="s">
        <v>7195</v>
      </c>
      <c r="L1156" s="28" t="s">
        <v>6803</v>
      </c>
      <c r="M1156" s="28" t="s">
        <v>7196</v>
      </c>
      <c r="N1156" s="28" t="s">
        <v>6805</v>
      </c>
    </row>
    <row r="1157" spans="1:14">
      <c r="A1157" t="s">
        <v>26</v>
      </c>
      <c r="B1157" t="s">
        <v>53</v>
      </c>
      <c r="C1157">
        <v>2142</v>
      </c>
      <c r="D1157">
        <v>2004</v>
      </c>
      <c r="E1157" t="s">
        <v>960</v>
      </c>
      <c r="F1157" s="35" t="s">
        <v>998</v>
      </c>
      <c r="G1157" s="28" t="s">
        <v>7187</v>
      </c>
      <c r="H1157" s="28" t="s">
        <v>6781</v>
      </c>
      <c r="I1157" s="28" t="s">
        <v>7188</v>
      </c>
      <c r="J1157" s="28" t="s">
        <v>6783</v>
      </c>
      <c r="K1157" s="28" t="s">
        <v>7195</v>
      </c>
      <c r="L1157" s="28" t="s">
        <v>6803</v>
      </c>
      <c r="M1157" s="28" t="s">
        <v>7196</v>
      </c>
      <c r="N1157" s="28" t="s">
        <v>6805</v>
      </c>
    </row>
    <row r="1158" spans="1:14">
      <c r="A1158" t="s">
        <v>26</v>
      </c>
      <c r="B1158" t="s">
        <v>66</v>
      </c>
      <c r="C1158">
        <v>2142</v>
      </c>
      <c r="D1158">
        <v>436</v>
      </c>
      <c r="E1158" t="s">
        <v>960</v>
      </c>
      <c r="F1158" s="35" t="s">
        <v>998</v>
      </c>
      <c r="G1158" s="28" t="s">
        <v>7187</v>
      </c>
      <c r="H1158" s="28" t="s">
        <v>6781</v>
      </c>
      <c r="I1158" s="28" t="s">
        <v>7188</v>
      </c>
      <c r="J1158" s="28" t="s">
        <v>6783</v>
      </c>
      <c r="K1158" s="28" t="s">
        <v>7197</v>
      </c>
      <c r="L1158" s="28" t="s">
        <v>6809</v>
      </c>
      <c r="M1158" s="28" t="s">
        <v>7198</v>
      </c>
      <c r="N1158" s="28" t="s">
        <v>6811</v>
      </c>
    </row>
    <row r="1159" spans="1:14">
      <c r="A1159" t="s">
        <v>26</v>
      </c>
      <c r="B1159" t="s">
        <v>66</v>
      </c>
      <c r="C1159">
        <v>2142</v>
      </c>
      <c r="D1159">
        <v>992</v>
      </c>
      <c r="E1159" t="s">
        <v>960</v>
      </c>
      <c r="F1159" s="35" t="s">
        <v>998</v>
      </c>
      <c r="G1159" s="28" t="s">
        <v>7187</v>
      </c>
      <c r="H1159" s="28" t="s">
        <v>6781</v>
      </c>
      <c r="I1159" s="28" t="s">
        <v>7188</v>
      </c>
      <c r="J1159" s="28" t="s">
        <v>6783</v>
      </c>
      <c r="K1159" s="28" t="s">
        <v>7197</v>
      </c>
      <c r="L1159" s="28" t="s">
        <v>6809</v>
      </c>
      <c r="M1159" s="28" t="s">
        <v>7198</v>
      </c>
      <c r="N1159" s="28" t="s">
        <v>6811</v>
      </c>
    </row>
    <row r="1160" spans="1:14">
      <c r="A1160" t="s">
        <v>26</v>
      </c>
      <c r="B1160" t="s">
        <v>68</v>
      </c>
      <c r="C1160">
        <v>2142</v>
      </c>
      <c r="D1160">
        <v>783</v>
      </c>
      <c r="E1160" t="s">
        <v>960</v>
      </c>
      <c r="F1160" s="35" t="s">
        <v>998</v>
      </c>
      <c r="G1160" s="28" t="s">
        <v>7187</v>
      </c>
      <c r="H1160" s="28" t="s">
        <v>6781</v>
      </c>
      <c r="I1160" s="28" t="s">
        <v>7188</v>
      </c>
      <c r="J1160" s="28" t="s">
        <v>6783</v>
      </c>
      <c r="K1160" s="28" t="s">
        <v>7199</v>
      </c>
      <c r="L1160" s="28" t="s">
        <v>6815</v>
      </c>
      <c r="M1160" s="28" t="s">
        <v>7200</v>
      </c>
      <c r="N1160" s="28" t="s">
        <v>6817</v>
      </c>
    </row>
    <row r="1161" spans="1:14">
      <c r="A1161" t="s">
        <v>26</v>
      </c>
      <c r="B1161" t="s">
        <v>57</v>
      </c>
      <c r="C1161">
        <v>2142</v>
      </c>
      <c r="D1161">
        <v>13</v>
      </c>
      <c r="E1161" t="s">
        <v>961</v>
      </c>
      <c r="F1161" s="35" t="s">
        <v>998</v>
      </c>
      <c r="G1161" s="28" t="s">
        <v>7201</v>
      </c>
      <c r="H1161" s="28" t="s">
        <v>6823</v>
      </c>
      <c r="I1161" s="28" t="s">
        <v>7202</v>
      </c>
      <c r="J1161" s="28" t="s">
        <v>6825</v>
      </c>
      <c r="K1161" s="28" t="s">
        <v>7203</v>
      </c>
      <c r="L1161" s="28" t="s">
        <v>7204</v>
      </c>
      <c r="M1161" s="28" t="s">
        <v>7205</v>
      </c>
      <c r="N1161" s="28" t="s">
        <v>7206</v>
      </c>
    </row>
    <row r="1162" spans="1:14">
      <c r="A1162" t="s">
        <v>26</v>
      </c>
      <c r="B1162" t="s">
        <v>62</v>
      </c>
      <c r="C1162">
        <v>2142</v>
      </c>
      <c r="D1162">
        <v>601</v>
      </c>
      <c r="E1162" t="s">
        <v>961</v>
      </c>
      <c r="F1162" s="35" t="s">
        <v>998</v>
      </c>
      <c r="G1162" s="28" t="s">
        <v>7201</v>
      </c>
      <c r="H1162" s="28" t="s">
        <v>6823</v>
      </c>
      <c r="I1162" s="28" t="s">
        <v>7202</v>
      </c>
      <c r="J1162" s="28" t="s">
        <v>6825</v>
      </c>
      <c r="K1162" s="28" t="s">
        <v>7207</v>
      </c>
      <c r="L1162" s="28" t="s">
        <v>6827</v>
      </c>
      <c r="M1162" s="28" t="s">
        <v>7208</v>
      </c>
      <c r="N1162" s="28" t="s">
        <v>6829</v>
      </c>
    </row>
    <row r="1163" spans="1:14">
      <c r="A1163" t="s">
        <v>965</v>
      </c>
      <c r="B1163" t="s">
        <v>58</v>
      </c>
      <c r="C1163">
        <v>2142</v>
      </c>
      <c r="D1163">
        <v>60</v>
      </c>
      <c r="E1163" t="s">
        <v>961</v>
      </c>
      <c r="F1163" s="35" t="s">
        <v>998</v>
      </c>
      <c r="G1163" s="28" t="s">
        <v>7201</v>
      </c>
      <c r="H1163" s="28" t="s">
        <v>6823</v>
      </c>
      <c r="I1163" s="28" t="s">
        <v>7209</v>
      </c>
      <c r="J1163" s="28" t="s">
        <v>6981</v>
      </c>
      <c r="K1163" s="28" t="s">
        <v>7210</v>
      </c>
      <c r="L1163" s="28" t="s">
        <v>7123</v>
      </c>
      <c r="M1163" s="28" t="s">
        <v>7211</v>
      </c>
      <c r="N1163" s="28" t="s">
        <v>7125</v>
      </c>
    </row>
    <row r="1164" spans="1:14">
      <c r="A1164" t="s">
        <v>965</v>
      </c>
      <c r="B1164" t="s">
        <v>61</v>
      </c>
      <c r="C1164">
        <v>2142</v>
      </c>
      <c r="D1164">
        <v>1</v>
      </c>
      <c r="E1164" t="s">
        <v>961</v>
      </c>
      <c r="F1164" s="35" t="s">
        <v>998</v>
      </c>
      <c r="G1164" s="28" t="s">
        <v>7201</v>
      </c>
      <c r="H1164" s="28" t="s">
        <v>6823</v>
      </c>
      <c r="I1164" s="28" t="s">
        <v>7209</v>
      </c>
      <c r="J1164" s="28" t="s">
        <v>6981</v>
      </c>
      <c r="K1164" s="28" t="s">
        <v>7212</v>
      </c>
      <c r="L1164" s="28" t="s">
        <v>6983</v>
      </c>
      <c r="M1164" s="28" t="s">
        <v>7213</v>
      </c>
      <c r="N1164" s="28" t="s">
        <v>6985</v>
      </c>
    </row>
    <row r="1165" spans="1:14">
      <c r="A1165" t="s">
        <v>965</v>
      </c>
      <c r="B1165" t="s">
        <v>63</v>
      </c>
      <c r="C1165">
        <v>2142</v>
      </c>
      <c r="D1165">
        <v>13</v>
      </c>
      <c r="E1165" t="s">
        <v>961</v>
      </c>
      <c r="F1165" s="35" t="s">
        <v>998</v>
      </c>
      <c r="G1165" s="28" t="s">
        <v>7201</v>
      </c>
      <c r="H1165" s="28" t="s">
        <v>6823</v>
      </c>
      <c r="I1165" s="28" t="s">
        <v>7209</v>
      </c>
      <c r="J1165" s="28" t="s">
        <v>6981</v>
      </c>
      <c r="K1165" s="28" t="s">
        <v>7214</v>
      </c>
      <c r="L1165" s="28" t="s">
        <v>6987</v>
      </c>
      <c r="M1165" s="28" t="s">
        <v>7215</v>
      </c>
      <c r="N1165" s="28" t="s">
        <v>6989</v>
      </c>
    </row>
    <row r="1166" spans="1:14">
      <c r="A1166" t="s">
        <v>965</v>
      </c>
      <c r="B1166" t="s">
        <v>67</v>
      </c>
      <c r="C1166">
        <v>2142</v>
      </c>
      <c r="D1166">
        <v>141</v>
      </c>
      <c r="E1166" t="s">
        <v>960</v>
      </c>
      <c r="F1166" s="35" t="s">
        <v>998</v>
      </c>
      <c r="G1166" s="28" t="s">
        <v>7187</v>
      </c>
      <c r="H1166" s="28" t="s">
        <v>6781</v>
      </c>
      <c r="I1166" s="28" t="s">
        <v>7216</v>
      </c>
      <c r="J1166" s="28" t="s">
        <v>6991</v>
      </c>
      <c r="K1166" s="28" t="s">
        <v>7217</v>
      </c>
      <c r="L1166" s="28" t="s">
        <v>7128</v>
      </c>
      <c r="M1166" s="28" t="s">
        <v>7218</v>
      </c>
      <c r="N1166" s="28" t="s">
        <v>7130</v>
      </c>
    </row>
    <row r="1167" spans="1:14">
      <c r="A1167" t="s">
        <v>965</v>
      </c>
      <c r="B1167" t="s">
        <v>68</v>
      </c>
      <c r="C1167">
        <v>2142</v>
      </c>
      <c r="D1167">
        <v>121</v>
      </c>
      <c r="E1167" t="s">
        <v>960</v>
      </c>
      <c r="F1167" s="35" t="s">
        <v>998</v>
      </c>
      <c r="G1167" s="28" t="s">
        <v>7187</v>
      </c>
      <c r="H1167" s="28" t="s">
        <v>6781</v>
      </c>
      <c r="I1167" s="28" t="s">
        <v>7216</v>
      </c>
      <c r="J1167" s="28" t="s">
        <v>6991</v>
      </c>
      <c r="K1167" s="28" t="s">
        <v>7219</v>
      </c>
      <c r="L1167" s="28" t="s">
        <v>6993</v>
      </c>
      <c r="M1167" s="28" t="s">
        <v>7200</v>
      </c>
      <c r="N1167" s="28" t="s">
        <v>6817</v>
      </c>
    </row>
    <row r="1168" spans="1:14">
      <c r="A1168" t="s">
        <v>965</v>
      </c>
      <c r="B1168" t="s">
        <v>52</v>
      </c>
      <c r="C1168">
        <v>2142</v>
      </c>
      <c r="D1168">
        <v>214</v>
      </c>
      <c r="E1168" t="s">
        <v>960</v>
      </c>
      <c r="F1168" s="35" t="s">
        <v>998</v>
      </c>
      <c r="G1168" s="28" t="s">
        <v>7187</v>
      </c>
      <c r="H1168" s="28" t="s">
        <v>6781</v>
      </c>
      <c r="I1168" s="28" t="s">
        <v>7216</v>
      </c>
      <c r="J1168" s="28" t="s">
        <v>6991</v>
      </c>
      <c r="K1168" s="28" t="s">
        <v>7220</v>
      </c>
      <c r="L1168" s="28" t="s">
        <v>6995</v>
      </c>
      <c r="M1168" s="28" t="s">
        <v>7190</v>
      </c>
      <c r="N1168" s="28" t="s">
        <v>6787</v>
      </c>
    </row>
    <row r="1169" spans="1:14">
      <c r="A1169" t="s">
        <v>965</v>
      </c>
      <c r="B1169" t="s">
        <v>65</v>
      </c>
      <c r="C1169">
        <v>2142</v>
      </c>
      <c r="D1169">
        <v>166</v>
      </c>
      <c r="E1169" t="s">
        <v>961</v>
      </c>
      <c r="F1169" s="35" t="s">
        <v>998</v>
      </c>
      <c r="G1169" s="28" t="s">
        <v>7201</v>
      </c>
      <c r="H1169" s="28" t="s">
        <v>6823</v>
      </c>
      <c r="I1169" s="28" t="s">
        <v>7209</v>
      </c>
      <c r="J1169" s="28" t="s">
        <v>6981</v>
      </c>
      <c r="K1169" s="28" t="s">
        <v>7221</v>
      </c>
      <c r="L1169" s="28" t="s">
        <v>6997</v>
      </c>
      <c r="M1169" s="28" t="s">
        <v>7222</v>
      </c>
      <c r="N1169" s="28" t="s">
        <v>6837</v>
      </c>
    </row>
    <row r="1170" spans="1:14">
      <c r="A1170" t="s">
        <v>965</v>
      </c>
      <c r="B1170" t="s">
        <v>56</v>
      </c>
      <c r="C1170">
        <v>2142</v>
      </c>
      <c r="D1170">
        <v>6</v>
      </c>
      <c r="E1170" t="s">
        <v>960</v>
      </c>
      <c r="F1170" s="35" t="s">
        <v>998</v>
      </c>
      <c r="G1170" s="28" t="s">
        <v>7187</v>
      </c>
      <c r="H1170" s="28" t="s">
        <v>6781</v>
      </c>
      <c r="I1170" s="28" t="s">
        <v>7216</v>
      </c>
      <c r="J1170" s="28" t="s">
        <v>6991</v>
      </c>
      <c r="K1170" s="28" t="s">
        <v>7223</v>
      </c>
      <c r="L1170" s="28" t="s">
        <v>7224</v>
      </c>
      <c r="M1170" s="28" t="s">
        <v>7225</v>
      </c>
      <c r="N1170" s="28" t="s">
        <v>7226</v>
      </c>
    </row>
    <row r="1171" spans="1:14">
      <c r="A1171" t="s">
        <v>965</v>
      </c>
      <c r="B1171" t="s">
        <v>53</v>
      </c>
      <c r="C1171">
        <v>2142</v>
      </c>
      <c r="D1171">
        <v>279</v>
      </c>
      <c r="E1171" t="s">
        <v>960</v>
      </c>
      <c r="F1171" s="35" t="s">
        <v>998</v>
      </c>
      <c r="G1171" s="28" t="s">
        <v>7187</v>
      </c>
      <c r="H1171" s="28" t="s">
        <v>6781</v>
      </c>
      <c r="I1171" s="28" t="s">
        <v>7216</v>
      </c>
      <c r="J1171" s="28" t="s">
        <v>6991</v>
      </c>
      <c r="K1171" s="28" t="s">
        <v>7227</v>
      </c>
      <c r="L1171" s="28" t="s">
        <v>6999</v>
      </c>
      <c r="M1171" s="28" t="s">
        <v>7196</v>
      </c>
      <c r="N1171" s="28" t="s">
        <v>6805</v>
      </c>
    </row>
    <row r="1172" spans="1:14">
      <c r="A1172" t="s">
        <v>965</v>
      </c>
      <c r="B1172" t="s">
        <v>66</v>
      </c>
      <c r="C1172">
        <v>2142</v>
      </c>
      <c r="D1172">
        <v>82</v>
      </c>
      <c r="E1172" t="s">
        <v>960</v>
      </c>
      <c r="F1172" s="35" t="s">
        <v>998</v>
      </c>
      <c r="G1172" s="28" t="s">
        <v>7187</v>
      </c>
      <c r="H1172" s="28" t="s">
        <v>6781</v>
      </c>
      <c r="I1172" s="28" t="s">
        <v>7216</v>
      </c>
      <c r="J1172" s="28" t="s">
        <v>6991</v>
      </c>
      <c r="K1172" s="28" t="s">
        <v>7228</v>
      </c>
      <c r="L1172" s="28" t="s">
        <v>7001</v>
      </c>
      <c r="M1172" s="28" t="s">
        <v>7198</v>
      </c>
      <c r="N1172" s="28" t="s">
        <v>6811</v>
      </c>
    </row>
    <row r="1173" spans="1:14">
      <c r="A1173" t="s">
        <v>24</v>
      </c>
      <c r="B1173" t="s">
        <v>53</v>
      </c>
      <c r="C1173">
        <v>2135</v>
      </c>
      <c r="D1173">
        <v>52</v>
      </c>
      <c r="E1173" t="s">
        <v>960</v>
      </c>
      <c r="F1173" s="35" t="s">
        <v>974</v>
      </c>
      <c r="G1173" s="28" t="s">
        <v>6155</v>
      </c>
      <c r="H1173" s="28" t="s">
        <v>1513</v>
      </c>
      <c r="I1173" s="28" t="s">
        <v>7248</v>
      </c>
      <c r="J1173" s="28" t="s">
        <v>3614</v>
      </c>
      <c r="K1173" s="28" t="s">
        <v>7249</v>
      </c>
      <c r="L1173" s="28" t="s">
        <v>7250</v>
      </c>
      <c r="M1173" s="28" t="s">
        <v>6168</v>
      </c>
      <c r="N1173" s="28" t="s">
        <v>3920</v>
      </c>
    </row>
    <row r="1174" spans="1:14">
      <c r="A1174" t="s">
        <v>24</v>
      </c>
      <c r="B1174" t="s">
        <v>53</v>
      </c>
      <c r="C1174">
        <v>2138</v>
      </c>
      <c r="D1174">
        <v>139</v>
      </c>
      <c r="E1174" t="s">
        <v>960</v>
      </c>
      <c r="F1174" s="35" t="s">
        <v>997</v>
      </c>
      <c r="G1174" s="28" t="s">
        <v>6612</v>
      </c>
      <c r="H1174" s="28" t="s">
        <v>6271</v>
      </c>
      <c r="I1174" s="28" t="s">
        <v>6923</v>
      </c>
      <c r="J1174" s="28" t="s">
        <v>6920</v>
      </c>
      <c r="K1174" s="28" t="s">
        <v>7251</v>
      </c>
      <c r="L1174" s="28" t="s">
        <v>7252</v>
      </c>
      <c r="M1174" s="28" t="s">
        <v>6627</v>
      </c>
      <c r="N1174" s="28" t="s">
        <v>6301</v>
      </c>
    </row>
    <row r="1175" spans="1:14">
      <c r="A1175" t="s">
        <v>27</v>
      </c>
      <c r="B1175" t="s">
        <v>69</v>
      </c>
      <c r="C1175">
        <v>2141</v>
      </c>
      <c r="D1175">
        <v>28</v>
      </c>
      <c r="E1175" t="s">
        <v>960</v>
      </c>
      <c r="F1175" s="35" t="s">
        <v>998</v>
      </c>
      <c r="G1175" s="28" t="s">
        <v>7099</v>
      </c>
      <c r="H1175" s="28" t="s">
        <v>6781</v>
      </c>
      <c r="I1175" s="28" t="s">
        <v>7253</v>
      </c>
      <c r="J1175" s="28" t="s">
        <v>6948</v>
      </c>
      <c r="K1175" s="28" t="s">
        <v>7254</v>
      </c>
      <c r="L1175" s="28" t="s">
        <v>7255</v>
      </c>
      <c r="M1175" s="28" t="s">
        <v>7256</v>
      </c>
      <c r="N1175" s="28" t="s">
        <v>7257</v>
      </c>
    </row>
    <row r="1176" spans="1:14">
      <c r="A1176" t="s">
        <v>27</v>
      </c>
      <c r="B1176" t="s">
        <v>54</v>
      </c>
      <c r="C1176">
        <v>2136</v>
      </c>
      <c r="D1176">
        <v>12</v>
      </c>
      <c r="E1176" t="s">
        <v>960</v>
      </c>
      <c r="F1176" s="35" t="s">
        <v>997</v>
      </c>
      <c r="G1176" s="28" t="s">
        <v>6270</v>
      </c>
      <c r="H1176" s="28" t="s">
        <v>6271</v>
      </c>
      <c r="I1176" s="28" t="s">
        <v>6941</v>
      </c>
      <c r="J1176" s="28" t="s">
        <v>6934</v>
      </c>
      <c r="K1176" s="28" t="s">
        <v>7258</v>
      </c>
      <c r="L1176" s="28" t="s">
        <v>7259</v>
      </c>
      <c r="M1176" s="28" t="s">
        <v>6292</v>
      </c>
      <c r="N1176" s="28" t="s">
        <v>6293</v>
      </c>
    </row>
    <row r="1177" spans="1:14">
      <c r="A1177" t="s">
        <v>27</v>
      </c>
      <c r="B1177" t="s">
        <v>55</v>
      </c>
      <c r="C1177">
        <v>2136</v>
      </c>
      <c r="D1177">
        <v>4</v>
      </c>
      <c r="E1177" t="s">
        <v>960</v>
      </c>
      <c r="F1177" s="35" t="s">
        <v>997</v>
      </c>
      <c r="G1177" s="28" t="s">
        <v>6270</v>
      </c>
      <c r="H1177" s="28" t="s">
        <v>6271</v>
      </c>
      <c r="I1177" s="28" t="s">
        <v>6941</v>
      </c>
      <c r="J1177" s="28" t="s">
        <v>6934</v>
      </c>
      <c r="K1177" s="28" t="s">
        <v>7260</v>
      </c>
      <c r="L1177" s="28" t="s">
        <v>7261</v>
      </c>
      <c r="M1177" s="28" t="s">
        <v>6296</v>
      </c>
      <c r="N1177" s="28" t="s">
        <v>6297</v>
      </c>
    </row>
    <row r="1178" spans="1:14">
      <c r="A1178" t="s">
        <v>27</v>
      </c>
      <c r="B1178" t="s">
        <v>55</v>
      </c>
      <c r="C1178">
        <v>2137</v>
      </c>
      <c r="D1178">
        <v>20</v>
      </c>
      <c r="E1178" t="s">
        <v>960</v>
      </c>
      <c r="F1178" s="35" t="s">
        <v>997</v>
      </c>
      <c r="G1178" s="28" t="s">
        <v>6435</v>
      </c>
      <c r="H1178" s="28" t="s">
        <v>6271</v>
      </c>
      <c r="I1178" s="28" t="s">
        <v>6933</v>
      </c>
      <c r="J1178" s="28" t="s">
        <v>6934</v>
      </c>
      <c r="K1178" s="28" t="s">
        <v>7262</v>
      </c>
      <c r="L1178" s="28" t="s">
        <v>7261</v>
      </c>
      <c r="M1178" s="28" t="s">
        <v>6448</v>
      </c>
      <c r="N1178" s="28" t="s">
        <v>6297</v>
      </c>
    </row>
    <row r="1179" spans="1:14">
      <c r="A1179" t="s">
        <v>27</v>
      </c>
      <c r="B1179" t="s">
        <v>55</v>
      </c>
      <c r="C1179">
        <v>2138</v>
      </c>
      <c r="D1179">
        <v>12</v>
      </c>
      <c r="E1179" t="s">
        <v>960</v>
      </c>
      <c r="F1179" s="35" t="s">
        <v>997</v>
      </c>
      <c r="G1179" s="28" t="s">
        <v>6612</v>
      </c>
      <c r="H1179" s="28" t="s">
        <v>6271</v>
      </c>
      <c r="I1179" s="28" t="s">
        <v>6937</v>
      </c>
      <c r="J1179" s="28" t="s">
        <v>6934</v>
      </c>
      <c r="K1179" s="28" t="s">
        <v>7263</v>
      </c>
      <c r="L1179" s="28" t="s">
        <v>7261</v>
      </c>
      <c r="M1179" s="28" t="s">
        <v>6625</v>
      </c>
      <c r="N1179" s="28" t="s">
        <v>6297</v>
      </c>
    </row>
    <row r="1180" spans="1:14">
      <c r="A1180" t="s">
        <v>27</v>
      </c>
      <c r="B1180" t="s">
        <v>55</v>
      </c>
      <c r="C1180">
        <v>2141</v>
      </c>
      <c r="D1180">
        <v>12</v>
      </c>
      <c r="E1180" t="s">
        <v>960</v>
      </c>
      <c r="F1180" s="35" t="s">
        <v>998</v>
      </c>
      <c r="G1180" s="28" t="s">
        <v>7099</v>
      </c>
      <c r="H1180" s="28" t="s">
        <v>6781</v>
      </c>
      <c r="I1180" s="28" t="s">
        <v>7253</v>
      </c>
      <c r="J1180" s="28" t="s">
        <v>6948</v>
      </c>
      <c r="K1180" s="28" t="s">
        <v>7264</v>
      </c>
      <c r="L1180" s="28" t="s">
        <v>7265</v>
      </c>
      <c r="M1180" s="28" t="s">
        <v>7104</v>
      </c>
      <c r="N1180" s="28" t="s">
        <v>6799</v>
      </c>
    </row>
    <row r="1181" spans="1:14">
      <c r="A1181" t="s">
        <v>27</v>
      </c>
      <c r="B1181" t="s">
        <v>53</v>
      </c>
      <c r="C1181">
        <v>2141</v>
      </c>
      <c r="D1181">
        <v>95</v>
      </c>
      <c r="E1181" t="s">
        <v>960</v>
      </c>
      <c r="F1181" s="35" t="s">
        <v>998</v>
      </c>
      <c r="G1181" s="28" t="s">
        <v>7099</v>
      </c>
      <c r="H1181" s="28" t="s">
        <v>6781</v>
      </c>
      <c r="I1181" s="28" t="s">
        <v>7253</v>
      </c>
      <c r="J1181" s="28" t="s">
        <v>6948</v>
      </c>
      <c r="K1181" s="28" t="s">
        <v>7266</v>
      </c>
      <c r="L1181" s="28" t="s">
        <v>6950</v>
      </c>
      <c r="M1181" s="28" t="s">
        <v>7106</v>
      </c>
      <c r="N1181" s="28" t="s">
        <v>6805</v>
      </c>
    </row>
    <row r="1182" spans="1:14">
      <c r="A1182" t="s">
        <v>27</v>
      </c>
      <c r="B1182" t="s">
        <v>53</v>
      </c>
      <c r="C1182">
        <v>2142</v>
      </c>
      <c r="D1182">
        <v>210</v>
      </c>
      <c r="E1182" t="s">
        <v>960</v>
      </c>
      <c r="F1182" s="35" t="s">
        <v>998</v>
      </c>
      <c r="G1182" s="28" t="s">
        <v>7187</v>
      </c>
      <c r="H1182" s="28" t="s">
        <v>6781</v>
      </c>
      <c r="I1182" s="28" t="s">
        <v>7267</v>
      </c>
      <c r="J1182" s="28" t="s">
        <v>6948</v>
      </c>
      <c r="K1182" s="28" t="s">
        <v>7268</v>
      </c>
      <c r="L1182" s="28" t="s">
        <v>6950</v>
      </c>
      <c r="M1182" s="28" t="s">
        <v>7196</v>
      </c>
      <c r="N1182" s="28" t="s">
        <v>6805</v>
      </c>
    </row>
    <row r="1183" spans="1:14">
      <c r="A1183" t="s">
        <v>26</v>
      </c>
      <c r="B1183" t="s">
        <v>52</v>
      </c>
      <c r="C1183">
        <v>2143</v>
      </c>
      <c r="D1183">
        <v>2091</v>
      </c>
      <c r="E1183" t="s">
        <v>960</v>
      </c>
      <c r="F1183" s="35" t="s">
        <v>998</v>
      </c>
      <c r="G1183" s="28" t="s">
        <v>7412</v>
      </c>
      <c r="H1183" s="28" t="s">
        <v>6781</v>
      </c>
      <c r="I1183" s="28" t="s">
        <v>7413</v>
      </c>
      <c r="J1183" s="28" t="s">
        <v>6783</v>
      </c>
      <c r="K1183" s="28" t="s">
        <v>7414</v>
      </c>
      <c r="L1183" s="28" t="s">
        <v>6785</v>
      </c>
      <c r="M1183" s="28" t="s">
        <v>7415</v>
      </c>
      <c r="N1183" s="28" t="s">
        <v>6787</v>
      </c>
    </row>
    <row r="1184" spans="1:14">
      <c r="A1184" t="s">
        <v>26</v>
      </c>
      <c r="B1184" t="s">
        <v>54</v>
      </c>
      <c r="C1184">
        <v>2143</v>
      </c>
      <c r="D1184">
        <v>51</v>
      </c>
      <c r="E1184" t="s">
        <v>960</v>
      </c>
      <c r="F1184" s="35" t="s">
        <v>998</v>
      </c>
      <c r="G1184" s="28" t="s">
        <v>7412</v>
      </c>
      <c r="H1184" s="28" t="s">
        <v>6781</v>
      </c>
      <c r="I1184" s="28" t="s">
        <v>7413</v>
      </c>
      <c r="J1184" s="28" t="s">
        <v>6783</v>
      </c>
      <c r="K1184" s="28" t="s">
        <v>7416</v>
      </c>
      <c r="L1184" s="28" t="s">
        <v>6791</v>
      </c>
      <c r="M1184" s="28" t="s">
        <v>7417</v>
      </c>
      <c r="N1184" s="28" t="s">
        <v>6793</v>
      </c>
    </row>
    <row r="1185" spans="1:14">
      <c r="A1185" t="s">
        <v>26</v>
      </c>
      <c r="B1185" t="s">
        <v>55</v>
      </c>
      <c r="C1185">
        <v>2143</v>
      </c>
      <c r="D1185">
        <v>25</v>
      </c>
      <c r="E1185" t="s">
        <v>960</v>
      </c>
      <c r="F1185" s="35" t="s">
        <v>998</v>
      </c>
      <c r="G1185" s="28" t="s">
        <v>7412</v>
      </c>
      <c r="H1185" s="28" t="s">
        <v>6781</v>
      </c>
      <c r="I1185" s="28" t="s">
        <v>7413</v>
      </c>
      <c r="J1185" s="28" t="s">
        <v>6783</v>
      </c>
      <c r="K1185" s="28" t="s">
        <v>7418</v>
      </c>
      <c r="L1185" s="28" t="s">
        <v>6797</v>
      </c>
      <c r="M1185" s="28" t="s">
        <v>7419</v>
      </c>
      <c r="N1185" s="28" t="s">
        <v>6799</v>
      </c>
    </row>
    <row r="1186" spans="1:14">
      <c r="A1186" t="s">
        <v>26</v>
      </c>
      <c r="B1186" t="s">
        <v>53</v>
      </c>
      <c r="C1186">
        <v>2143</v>
      </c>
      <c r="D1186">
        <v>844</v>
      </c>
      <c r="E1186" t="s">
        <v>960</v>
      </c>
      <c r="F1186" s="35" t="s">
        <v>998</v>
      </c>
      <c r="G1186" s="28" t="s">
        <v>7412</v>
      </c>
      <c r="H1186" s="28" t="s">
        <v>6781</v>
      </c>
      <c r="I1186" s="28" t="s">
        <v>7413</v>
      </c>
      <c r="J1186" s="28" t="s">
        <v>6783</v>
      </c>
      <c r="K1186" s="28" t="s">
        <v>7420</v>
      </c>
      <c r="L1186" s="28" t="s">
        <v>6803</v>
      </c>
      <c r="M1186" s="28" t="s">
        <v>7421</v>
      </c>
      <c r="N1186" s="28" t="s">
        <v>6805</v>
      </c>
    </row>
    <row r="1187" spans="1:14">
      <c r="A1187" t="s">
        <v>26</v>
      </c>
      <c r="B1187" t="s">
        <v>66</v>
      </c>
      <c r="C1187">
        <v>2143</v>
      </c>
      <c r="D1187">
        <v>356</v>
      </c>
      <c r="E1187" t="s">
        <v>960</v>
      </c>
      <c r="F1187" s="35" t="s">
        <v>998</v>
      </c>
      <c r="G1187" s="28" t="s">
        <v>7412</v>
      </c>
      <c r="H1187" s="28" t="s">
        <v>6781</v>
      </c>
      <c r="I1187" s="28" t="s">
        <v>7413</v>
      </c>
      <c r="J1187" s="28" t="s">
        <v>6783</v>
      </c>
      <c r="K1187" s="28" t="s">
        <v>7422</v>
      </c>
      <c r="L1187" s="28" t="s">
        <v>6809</v>
      </c>
      <c r="M1187" s="28" t="s">
        <v>7423</v>
      </c>
      <c r="N1187" s="28" t="s">
        <v>6811</v>
      </c>
    </row>
    <row r="1188" spans="1:14">
      <c r="A1188" t="s">
        <v>26</v>
      </c>
      <c r="B1188" t="s">
        <v>66</v>
      </c>
      <c r="C1188">
        <v>2143</v>
      </c>
      <c r="D1188">
        <v>329</v>
      </c>
      <c r="E1188" t="s">
        <v>960</v>
      </c>
      <c r="F1188" s="35" t="s">
        <v>998</v>
      </c>
      <c r="G1188" s="28" t="s">
        <v>7412</v>
      </c>
      <c r="H1188" s="28" t="s">
        <v>6781</v>
      </c>
      <c r="I1188" s="28" t="s">
        <v>7413</v>
      </c>
      <c r="J1188" s="28" t="s">
        <v>6783</v>
      </c>
      <c r="K1188" s="28" t="s">
        <v>7422</v>
      </c>
      <c r="L1188" s="28" t="s">
        <v>6809</v>
      </c>
      <c r="M1188" s="28" t="s">
        <v>7423</v>
      </c>
      <c r="N1188" s="28" t="s">
        <v>6811</v>
      </c>
    </row>
    <row r="1189" spans="1:14">
      <c r="A1189" t="s">
        <v>26</v>
      </c>
      <c r="B1189" t="s">
        <v>68</v>
      </c>
      <c r="C1189">
        <v>2143</v>
      </c>
      <c r="D1189">
        <v>603</v>
      </c>
      <c r="E1189" t="s">
        <v>960</v>
      </c>
      <c r="F1189" s="35" t="s">
        <v>998</v>
      </c>
      <c r="G1189" s="28" t="s">
        <v>7412</v>
      </c>
      <c r="H1189" s="28" t="s">
        <v>6781</v>
      </c>
      <c r="I1189" s="28" t="s">
        <v>7413</v>
      </c>
      <c r="J1189" s="28" t="s">
        <v>6783</v>
      </c>
      <c r="K1189" s="28" t="s">
        <v>7424</v>
      </c>
      <c r="L1189" s="28" t="s">
        <v>6815</v>
      </c>
      <c r="M1189" s="28" t="s">
        <v>7425</v>
      </c>
      <c r="N1189" s="28" t="s">
        <v>6817</v>
      </c>
    </row>
    <row r="1190" spans="1:14">
      <c r="A1190" t="s">
        <v>26</v>
      </c>
      <c r="B1190" t="s">
        <v>57</v>
      </c>
      <c r="C1190">
        <v>2143</v>
      </c>
      <c r="D1190">
        <v>17</v>
      </c>
      <c r="E1190" t="s">
        <v>961</v>
      </c>
      <c r="F1190" s="35" t="s">
        <v>998</v>
      </c>
      <c r="G1190" s="28" t="s">
        <v>7426</v>
      </c>
      <c r="H1190" s="28" t="s">
        <v>6823</v>
      </c>
      <c r="I1190" s="28" t="s">
        <v>7427</v>
      </c>
      <c r="J1190" s="28" t="s">
        <v>6825</v>
      </c>
      <c r="K1190" s="28" t="s">
        <v>7428</v>
      </c>
      <c r="L1190" s="28" t="s">
        <v>7204</v>
      </c>
      <c r="M1190" s="28" t="s">
        <v>7429</v>
      </c>
      <c r="N1190" s="28" t="s">
        <v>7206</v>
      </c>
    </row>
    <row r="1191" spans="1:14">
      <c r="A1191" t="s">
        <v>26</v>
      </c>
      <c r="B1191" t="s">
        <v>62</v>
      </c>
      <c r="C1191">
        <v>2143</v>
      </c>
      <c r="D1191">
        <v>548</v>
      </c>
      <c r="E1191" t="s">
        <v>961</v>
      </c>
      <c r="F1191" s="35" t="s">
        <v>998</v>
      </c>
      <c r="G1191" s="28" t="s">
        <v>7426</v>
      </c>
      <c r="H1191" s="28" t="s">
        <v>6823</v>
      </c>
      <c r="I1191" s="28" t="s">
        <v>7427</v>
      </c>
      <c r="J1191" s="28" t="s">
        <v>6825</v>
      </c>
      <c r="K1191" s="28" t="s">
        <v>7430</v>
      </c>
      <c r="L1191" s="28" t="s">
        <v>6827</v>
      </c>
      <c r="M1191" s="28" t="s">
        <v>7431</v>
      </c>
      <c r="N1191" s="28" t="s">
        <v>6829</v>
      </c>
    </row>
    <row r="1192" spans="1:14">
      <c r="A1192" t="s">
        <v>26</v>
      </c>
      <c r="B1192" t="s">
        <v>64</v>
      </c>
      <c r="C1192">
        <v>2143</v>
      </c>
      <c r="D1192">
        <v>2074</v>
      </c>
      <c r="E1192" t="s">
        <v>961</v>
      </c>
      <c r="F1192" s="35" t="s">
        <v>998</v>
      </c>
      <c r="G1192" s="28" t="s">
        <v>7426</v>
      </c>
      <c r="H1192" s="28" t="s">
        <v>6823</v>
      </c>
      <c r="I1192" s="28" t="s">
        <v>7427</v>
      </c>
      <c r="J1192" s="28" t="s">
        <v>6825</v>
      </c>
      <c r="K1192" s="28" t="s">
        <v>7432</v>
      </c>
      <c r="L1192" s="28" t="s">
        <v>7116</v>
      </c>
      <c r="M1192" s="28" t="s">
        <v>7433</v>
      </c>
      <c r="N1192" s="28" t="s">
        <v>7118</v>
      </c>
    </row>
    <row r="1193" spans="1:14">
      <c r="A1193" t="s">
        <v>965</v>
      </c>
      <c r="B1193" t="s">
        <v>58</v>
      </c>
      <c r="C1193">
        <v>2143</v>
      </c>
      <c r="D1193">
        <v>84</v>
      </c>
      <c r="E1193" t="s">
        <v>961</v>
      </c>
      <c r="F1193" s="35" t="s">
        <v>998</v>
      </c>
      <c r="G1193" s="28" t="s">
        <v>7426</v>
      </c>
      <c r="H1193" s="28" t="s">
        <v>6823</v>
      </c>
      <c r="I1193" s="28" t="s">
        <v>7434</v>
      </c>
      <c r="J1193" s="28" t="s">
        <v>6981</v>
      </c>
      <c r="K1193" s="28" t="s">
        <v>7435</v>
      </c>
      <c r="L1193" s="28" t="s">
        <v>7123</v>
      </c>
      <c r="M1193" s="28" t="s">
        <v>7436</v>
      </c>
      <c r="N1193" s="28" t="s">
        <v>7125</v>
      </c>
    </row>
    <row r="1194" spans="1:14">
      <c r="A1194" t="s">
        <v>965</v>
      </c>
      <c r="B1194" t="s">
        <v>61</v>
      </c>
      <c r="C1194">
        <v>2143</v>
      </c>
      <c r="D1194">
        <v>273</v>
      </c>
      <c r="E1194" t="s">
        <v>961</v>
      </c>
      <c r="F1194" s="35" t="s">
        <v>998</v>
      </c>
      <c r="G1194" s="28" t="s">
        <v>7426</v>
      </c>
      <c r="H1194" s="28" t="s">
        <v>6823</v>
      </c>
      <c r="I1194" s="28" t="s">
        <v>7434</v>
      </c>
      <c r="J1194" s="28" t="s">
        <v>6981</v>
      </c>
      <c r="K1194" s="28" t="s">
        <v>7437</v>
      </c>
      <c r="L1194" s="28" t="s">
        <v>6983</v>
      </c>
      <c r="M1194" s="28" t="s">
        <v>7438</v>
      </c>
      <c r="N1194" s="28" t="s">
        <v>6985</v>
      </c>
    </row>
    <row r="1195" spans="1:14">
      <c r="A1195" t="s">
        <v>965</v>
      </c>
      <c r="B1195" t="s">
        <v>63</v>
      </c>
      <c r="C1195">
        <v>2143</v>
      </c>
      <c r="D1195">
        <v>45</v>
      </c>
      <c r="E1195" t="s">
        <v>961</v>
      </c>
      <c r="F1195" s="35" t="s">
        <v>998</v>
      </c>
      <c r="G1195" s="28" t="s">
        <v>7426</v>
      </c>
      <c r="H1195" s="28" t="s">
        <v>6823</v>
      </c>
      <c r="I1195" s="28" t="s">
        <v>7434</v>
      </c>
      <c r="J1195" s="28" t="s">
        <v>6981</v>
      </c>
      <c r="K1195" s="28" t="s">
        <v>7439</v>
      </c>
      <c r="L1195" s="28" t="s">
        <v>6987</v>
      </c>
      <c r="M1195" s="28" t="s">
        <v>7440</v>
      </c>
      <c r="N1195" s="28" t="s">
        <v>6989</v>
      </c>
    </row>
    <row r="1196" spans="1:14">
      <c r="A1196" t="s">
        <v>965</v>
      </c>
      <c r="B1196" t="s">
        <v>69</v>
      </c>
      <c r="C1196">
        <v>2143</v>
      </c>
      <c r="D1196">
        <v>12</v>
      </c>
      <c r="E1196" t="s">
        <v>960</v>
      </c>
      <c r="F1196" s="35" t="s">
        <v>998</v>
      </c>
      <c r="G1196" s="28" t="s">
        <v>7412</v>
      </c>
      <c r="H1196" s="28" t="s">
        <v>6781</v>
      </c>
      <c r="I1196" s="28" t="s">
        <v>7441</v>
      </c>
      <c r="J1196" s="28" t="s">
        <v>6991</v>
      </c>
      <c r="K1196" s="28" t="s">
        <v>7442</v>
      </c>
      <c r="L1196" s="28" t="s">
        <v>7443</v>
      </c>
      <c r="M1196" s="28" t="s">
        <v>7444</v>
      </c>
      <c r="N1196" s="28" t="s">
        <v>7257</v>
      </c>
    </row>
    <row r="1197" spans="1:14">
      <c r="A1197" t="s">
        <v>965</v>
      </c>
      <c r="B1197" t="s">
        <v>67</v>
      </c>
      <c r="C1197">
        <v>2143</v>
      </c>
      <c r="D1197">
        <v>26</v>
      </c>
      <c r="E1197" t="s">
        <v>960</v>
      </c>
      <c r="F1197" s="35" t="s">
        <v>998</v>
      </c>
      <c r="G1197" s="28" t="s">
        <v>7412</v>
      </c>
      <c r="H1197" s="28" t="s">
        <v>6781</v>
      </c>
      <c r="I1197" s="28" t="s">
        <v>7441</v>
      </c>
      <c r="J1197" s="28" t="s">
        <v>6991</v>
      </c>
      <c r="K1197" s="28" t="s">
        <v>7445</v>
      </c>
      <c r="L1197" s="28" t="s">
        <v>7128</v>
      </c>
      <c r="M1197" s="28" t="s">
        <v>7446</v>
      </c>
      <c r="N1197" s="28" t="s">
        <v>7130</v>
      </c>
    </row>
    <row r="1198" spans="1:14">
      <c r="A1198" t="s">
        <v>965</v>
      </c>
      <c r="B1198" t="s">
        <v>68</v>
      </c>
      <c r="C1198">
        <v>2143</v>
      </c>
      <c r="D1198">
        <v>660</v>
      </c>
      <c r="E1198" t="s">
        <v>960</v>
      </c>
      <c r="F1198" s="35" t="s">
        <v>998</v>
      </c>
      <c r="G1198" s="28" t="s">
        <v>7412</v>
      </c>
      <c r="H1198" s="28" t="s">
        <v>6781</v>
      </c>
      <c r="I1198" s="28" t="s">
        <v>7441</v>
      </c>
      <c r="J1198" s="28" t="s">
        <v>6991</v>
      </c>
      <c r="K1198" s="28" t="s">
        <v>7447</v>
      </c>
      <c r="L1198" s="28" t="s">
        <v>6993</v>
      </c>
      <c r="M1198" s="28" t="s">
        <v>7425</v>
      </c>
      <c r="N1198" s="28" t="s">
        <v>6817</v>
      </c>
    </row>
    <row r="1199" spans="1:14">
      <c r="A1199" t="s">
        <v>965</v>
      </c>
      <c r="B1199" t="s">
        <v>52</v>
      </c>
      <c r="C1199">
        <v>2143</v>
      </c>
      <c r="D1199">
        <v>1654</v>
      </c>
      <c r="E1199" t="s">
        <v>960</v>
      </c>
      <c r="F1199" s="35" t="s">
        <v>998</v>
      </c>
      <c r="G1199" s="28" t="s">
        <v>7412</v>
      </c>
      <c r="H1199" s="28" t="s">
        <v>6781</v>
      </c>
      <c r="I1199" s="28" t="s">
        <v>7441</v>
      </c>
      <c r="J1199" s="28" t="s">
        <v>6991</v>
      </c>
      <c r="K1199" s="28" t="s">
        <v>7448</v>
      </c>
      <c r="L1199" s="28" t="s">
        <v>6995</v>
      </c>
      <c r="M1199" s="28" t="s">
        <v>7415</v>
      </c>
      <c r="N1199" s="28" t="s">
        <v>6787</v>
      </c>
    </row>
    <row r="1200" spans="1:14">
      <c r="A1200" t="s">
        <v>965</v>
      </c>
      <c r="B1200" t="s">
        <v>65</v>
      </c>
      <c r="C1200">
        <v>2143</v>
      </c>
      <c r="D1200">
        <v>50</v>
      </c>
      <c r="E1200" t="s">
        <v>961</v>
      </c>
      <c r="F1200" s="35" t="s">
        <v>998</v>
      </c>
      <c r="G1200" s="28" t="s">
        <v>7426</v>
      </c>
      <c r="H1200" s="28" t="s">
        <v>6823</v>
      </c>
      <c r="I1200" s="28" t="s">
        <v>7434</v>
      </c>
      <c r="J1200" s="28" t="s">
        <v>6981</v>
      </c>
      <c r="K1200" s="28" t="s">
        <v>7449</v>
      </c>
      <c r="L1200" s="28" t="s">
        <v>6997</v>
      </c>
      <c r="M1200" s="28" t="s">
        <v>7450</v>
      </c>
      <c r="N1200" s="28" t="s">
        <v>6837</v>
      </c>
    </row>
    <row r="1201" spans="1:14">
      <c r="A1201" t="s">
        <v>965</v>
      </c>
      <c r="B1201" t="s">
        <v>56</v>
      </c>
      <c r="C1201">
        <v>2143</v>
      </c>
      <c r="D1201">
        <v>80</v>
      </c>
      <c r="E1201" t="s">
        <v>960</v>
      </c>
      <c r="F1201" s="35" t="s">
        <v>998</v>
      </c>
      <c r="G1201" s="28" t="s">
        <v>7412</v>
      </c>
      <c r="H1201" s="28" t="s">
        <v>6781</v>
      </c>
      <c r="I1201" s="28" t="s">
        <v>7441</v>
      </c>
      <c r="J1201" s="28" t="s">
        <v>6991</v>
      </c>
      <c r="K1201" s="28" t="s">
        <v>7451</v>
      </c>
      <c r="L1201" s="28" t="s">
        <v>7224</v>
      </c>
      <c r="M1201" s="28" t="s">
        <v>7452</v>
      </c>
      <c r="N1201" s="28" t="s">
        <v>7226</v>
      </c>
    </row>
    <row r="1202" spans="1:14">
      <c r="A1202" t="s">
        <v>965</v>
      </c>
      <c r="B1202" t="s">
        <v>53</v>
      </c>
      <c r="C1202">
        <v>2143</v>
      </c>
      <c r="D1202">
        <v>978</v>
      </c>
      <c r="E1202" t="s">
        <v>960</v>
      </c>
      <c r="F1202" s="35" t="s">
        <v>998</v>
      </c>
      <c r="G1202" s="28" t="s">
        <v>7412</v>
      </c>
      <c r="H1202" s="28" t="s">
        <v>6781</v>
      </c>
      <c r="I1202" s="28" t="s">
        <v>7441</v>
      </c>
      <c r="J1202" s="28" t="s">
        <v>6991</v>
      </c>
      <c r="K1202" s="28" t="s">
        <v>7453</v>
      </c>
      <c r="L1202" s="28" t="s">
        <v>6999</v>
      </c>
      <c r="M1202" s="28" t="s">
        <v>7421</v>
      </c>
      <c r="N1202" s="28" t="s">
        <v>6805</v>
      </c>
    </row>
    <row r="1203" spans="1:14">
      <c r="A1203" t="s">
        <v>965</v>
      </c>
      <c r="B1203" t="s">
        <v>66</v>
      </c>
      <c r="C1203">
        <v>2143</v>
      </c>
      <c r="D1203">
        <v>410</v>
      </c>
      <c r="E1203" t="s">
        <v>960</v>
      </c>
      <c r="F1203" s="35" t="s">
        <v>998</v>
      </c>
      <c r="G1203" s="28" t="s">
        <v>7412</v>
      </c>
      <c r="H1203" s="28" t="s">
        <v>6781</v>
      </c>
      <c r="I1203" s="28" t="s">
        <v>7441</v>
      </c>
      <c r="J1203" s="28" t="s">
        <v>6991</v>
      </c>
      <c r="K1203" s="28" t="s">
        <v>7454</v>
      </c>
      <c r="L1203" s="28" t="s">
        <v>7001</v>
      </c>
      <c r="M1203" s="28" t="s">
        <v>7423</v>
      </c>
      <c r="N1203" s="28" t="s">
        <v>6811</v>
      </c>
    </row>
    <row r="1204" spans="1:14">
      <c r="A1204" t="s">
        <v>26</v>
      </c>
      <c r="B1204" t="s">
        <v>52</v>
      </c>
      <c r="C1204">
        <v>2144</v>
      </c>
      <c r="D1204">
        <v>720</v>
      </c>
      <c r="E1204" t="s">
        <v>960</v>
      </c>
      <c r="F1204" s="35" t="s">
        <v>999</v>
      </c>
      <c r="G1204" s="28" t="s">
        <v>7487</v>
      </c>
      <c r="H1204" s="28" t="s">
        <v>7488</v>
      </c>
      <c r="I1204" s="28" t="s">
        <v>7489</v>
      </c>
      <c r="J1204" s="28" t="s">
        <v>7490</v>
      </c>
      <c r="K1204" s="28" t="s">
        <v>7491</v>
      </c>
      <c r="L1204" s="28" t="s">
        <v>7492</v>
      </c>
      <c r="M1204" s="28" t="s">
        <v>7493</v>
      </c>
      <c r="N1204" s="28" t="s">
        <v>7494</v>
      </c>
    </row>
    <row r="1205" spans="1:14">
      <c r="A1205" t="s">
        <v>26</v>
      </c>
      <c r="B1205" t="s">
        <v>54</v>
      </c>
      <c r="C1205">
        <v>2144</v>
      </c>
      <c r="D1205">
        <v>137</v>
      </c>
      <c r="E1205" t="s">
        <v>960</v>
      </c>
      <c r="F1205" s="35" t="s">
        <v>999</v>
      </c>
      <c r="G1205" s="28" t="s">
        <v>7487</v>
      </c>
      <c r="H1205" s="28" t="s">
        <v>7488</v>
      </c>
      <c r="I1205" s="28" t="s">
        <v>7489</v>
      </c>
      <c r="J1205" s="28" t="s">
        <v>7490</v>
      </c>
      <c r="K1205" s="28" t="s">
        <v>7495</v>
      </c>
      <c r="L1205" s="28" t="s">
        <v>7496</v>
      </c>
      <c r="M1205" s="28" t="s">
        <v>7497</v>
      </c>
      <c r="N1205" s="28" t="s">
        <v>7498</v>
      </c>
    </row>
    <row r="1206" spans="1:14">
      <c r="A1206" t="s">
        <v>26</v>
      </c>
      <c r="B1206" t="s">
        <v>53</v>
      </c>
      <c r="C1206">
        <v>2144</v>
      </c>
      <c r="D1206">
        <v>285</v>
      </c>
      <c r="E1206" t="s">
        <v>960</v>
      </c>
      <c r="F1206" s="35" t="s">
        <v>999</v>
      </c>
      <c r="G1206" s="28" t="s">
        <v>7487</v>
      </c>
      <c r="H1206" s="28" t="s">
        <v>7488</v>
      </c>
      <c r="I1206" s="28" t="s">
        <v>7489</v>
      </c>
      <c r="J1206" s="28" t="s">
        <v>7490</v>
      </c>
      <c r="K1206" s="28" t="s">
        <v>7499</v>
      </c>
      <c r="L1206" s="28" t="s">
        <v>7500</v>
      </c>
      <c r="M1206" s="28" t="s">
        <v>7501</v>
      </c>
      <c r="N1206" s="28" t="s">
        <v>7502</v>
      </c>
    </row>
    <row r="1207" spans="1:14">
      <c r="A1207" t="s">
        <v>26</v>
      </c>
      <c r="B1207" t="s">
        <v>53</v>
      </c>
      <c r="C1207">
        <v>2144</v>
      </c>
      <c r="D1207">
        <v>1057</v>
      </c>
      <c r="E1207" t="s">
        <v>960</v>
      </c>
      <c r="F1207" s="35" t="s">
        <v>999</v>
      </c>
      <c r="G1207" s="28" t="s">
        <v>7487</v>
      </c>
      <c r="H1207" s="28" t="s">
        <v>7488</v>
      </c>
      <c r="I1207" s="28" t="s">
        <v>7489</v>
      </c>
      <c r="J1207" s="28" t="s">
        <v>7490</v>
      </c>
      <c r="K1207" s="28" t="s">
        <v>7499</v>
      </c>
      <c r="L1207" s="28" t="s">
        <v>7500</v>
      </c>
      <c r="M1207" s="28" t="s">
        <v>7501</v>
      </c>
      <c r="N1207" s="28" t="s">
        <v>7502</v>
      </c>
    </row>
    <row r="1208" spans="1:14">
      <c r="A1208" t="s">
        <v>26</v>
      </c>
      <c r="B1208" t="s">
        <v>66</v>
      </c>
      <c r="C1208">
        <v>2144</v>
      </c>
      <c r="D1208">
        <v>300</v>
      </c>
      <c r="E1208" t="s">
        <v>960</v>
      </c>
      <c r="F1208" s="35" t="s">
        <v>999</v>
      </c>
      <c r="G1208" s="28" t="s">
        <v>7487</v>
      </c>
      <c r="H1208" s="28" t="s">
        <v>7488</v>
      </c>
      <c r="I1208" s="28" t="s">
        <v>7489</v>
      </c>
      <c r="J1208" s="28" t="s">
        <v>7490</v>
      </c>
      <c r="K1208" s="28" t="s">
        <v>7503</v>
      </c>
      <c r="L1208" s="28" t="s">
        <v>7504</v>
      </c>
      <c r="M1208" s="28" t="s">
        <v>7505</v>
      </c>
      <c r="N1208" s="28" t="s">
        <v>7506</v>
      </c>
    </row>
    <row r="1209" spans="1:14">
      <c r="A1209" t="s">
        <v>26</v>
      </c>
      <c r="B1209" t="s">
        <v>66</v>
      </c>
      <c r="C1209">
        <v>2144</v>
      </c>
      <c r="D1209">
        <v>741</v>
      </c>
      <c r="E1209" t="s">
        <v>960</v>
      </c>
      <c r="F1209" s="35" t="s">
        <v>999</v>
      </c>
      <c r="G1209" s="28" t="s">
        <v>7487</v>
      </c>
      <c r="H1209" s="28" t="s">
        <v>7488</v>
      </c>
      <c r="I1209" s="28" t="s">
        <v>7489</v>
      </c>
      <c r="J1209" s="28" t="s">
        <v>7490</v>
      </c>
      <c r="K1209" s="28" t="s">
        <v>7503</v>
      </c>
      <c r="L1209" s="28" t="s">
        <v>7504</v>
      </c>
      <c r="M1209" s="28" t="s">
        <v>7505</v>
      </c>
      <c r="N1209" s="28" t="s">
        <v>7506</v>
      </c>
    </row>
    <row r="1210" spans="1:14">
      <c r="A1210" t="s">
        <v>26</v>
      </c>
      <c r="B1210" t="s">
        <v>68</v>
      </c>
      <c r="C1210">
        <v>2144</v>
      </c>
      <c r="D1210">
        <v>152</v>
      </c>
      <c r="E1210" t="s">
        <v>960</v>
      </c>
      <c r="F1210" s="35" t="s">
        <v>999</v>
      </c>
      <c r="G1210" s="28" t="s">
        <v>7487</v>
      </c>
      <c r="H1210" s="28" t="s">
        <v>7488</v>
      </c>
      <c r="I1210" s="28" t="s">
        <v>7489</v>
      </c>
      <c r="J1210" s="28" t="s">
        <v>7490</v>
      </c>
      <c r="K1210" s="28" t="s">
        <v>7507</v>
      </c>
      <c r="L1210" s="28" t="s">
        <v>7508</v>
      </c>
      <c r="M1210" s="28" t="s">
        <v>7509</v>
      </c>
      <c r="N1210" s="28" t="s">
        <v>7510</v>
      </c>
    </row>
    <row r="1211" spans="1:14">
      <c r="A1211" t="s">
        <v>26</v>
      </c>
      <c r="B1211" t="s">
        <v>64</v>
      </c>
      <c r="C1211">
        <v>2144</v>
      </c>
      <c r="D1211">
        <v>200</v>
      </c>
      <c r="E1211" t="s">
        <v>961</v>
      </c>
      <c r="F1211" s="35" t="s">
        <v>999</v>
      </c>
      <c r="G1211" s="28" t="s">
        <v>7511</v>
      </c>
      <c r="H1211" s="28" t="s">
        <v>7512</v>
      </c>
      <c r="I1211" s="28" t="s">
        <v>7513</v>
      </c>
      <c r="J1211" s="28" t="s">
        <v>7514</v>
      </c>
      <c r="K1211" s="28" t="s">
        <v>7515</v>
      </c>
      <c r="L1211" s="28" t="s">
        <v>7516</v>
      </c>
      <c r="M1211" s="28" t="s">
        <v>7517</v>
      </c>
      <c r="N1211" s="28" t="s">
        <v>7518</v>
      </c>
    </row>
    <row r="1212" spans="1:14">
      <c r="A1212" t="s">
        <v>26</v>
      </c>
      <c r="B1212" t="s">
        <v>65</v>
      </c>
      <c r="C1212">
        <v>2144</v>
      </c>
      <c r="D1212">
        <v>5</v>
      </c>
      <c r="E1212" t="s">
        <v>961</v>
      </c>
      <c r="F1212" s="35" t="s">
        <v>999</v>
      </c>
      <c r="G1212" s="28" t="s">
        <v>7511</v>
      </c>
      <c r="H1212" s="28" t="s">
        <v>7512</v>
      </c>
      <c r="I1212" s="28" t="s">
        <v>7513</v>
      </c>
      <c r="J1212" s="28" t="s">
        <v>7514</v>
      </c>
      <c r="K1212" s="28" t="s">
        <v>7519</v>
      </c>
      <c r="L1212" s="28" t="s">
        <v>7520</v>
      </c>
      <c r="M1212" s="28" t="s">
        <v>7521</v>
      </c>
      <c r="N1212" s="28" t="s">
        <v>7522</v>
      </c>
    </row>
    <row r="1213" spans="1:14">
      <c r="A1213" t="s">
        <v>26</v>
      </c>
      <c r="B1213" t="s">
        <v>63</v>
      </c>
      <c r="C1213">
        <v>2144</v>
      </c>
      <c r="D1213">
        <v>29</v>
      </c>
      <c r="E1213" t="s">
        <v>961</v>
      </c>
      <c r="F1213" s="35" t="s">
        <v>999</v>
      </c>
      <c r="G1213" s="28" t="s">
        <v>7511</v>
      </c>
      <c r="H1213" s="28" t="s">
        <v>7512</v>
      </c>
      <c r="I1213" s="28" t="s">
        <v>7513</v>
      </c>
      <c r="J1213" s="28" t="s">
        <v>7514</v>
      </c>
      <c r="K1213" s="28" t="s">
        <v>7523</v>
      </c>
      <c r="L1213" s="28" t="s">
        <v>7524</v>
      </c>
      <c r="M1213" s="28" t="s">
        <v>7525</v>
      </c>
      <c r="N1213" s="28" t="s">
        <v>7526</v>
      </c>
    </row>
    <row r="1214" spans="1:14">
      <c r="A1214" t="s">
        <v>965</v>
      </c>
      <c r="B1214" t="s">
        <v>69</v>
      </c>
      <c r="C1214">
        <v>2144</v>
      </c>
      <c r="D1214">
        <v>849</v>
      </c>
      <c r="E1214" t="s">
        <v>960</v>
      </c>
      <c r="F1214" s="35" t="s">
        <v>999</v>
      </c>
      <c r="G1214" s="28" t="s">
        <v>7487</v>
      </c>
      <c r="H1214" s="28" t="s">
        <v>7488</v>
      </c>
      <c r="I1214" s="28" t="s">
        <v>7527</v>
      </c>
      <c r="J1214" s="28" t="s">
        <v>7528</v>
      </c>
      <c r="K1214" s="28" t="s">
        <v>7529</v>
      </c>
      <c r="L1214" s="28" t="s">
        <v>7530</v>
      </c>
      <c r="M1214" s="28" t="s">
        <v>7531</v>
      </c>
      <c r="N1214" s="28" t="s">
        <v>7532</v>
      </c>
    </row>
    <row r="1215" spans="1:14">
      <c r="A1215" t="s">
        <v>965</v>
      </c>
      <c r="B1215" t="s">
        <v>68</v>
      </c>
      <c r="C1215">
        <v>2144</v>
      </c>
      <c r="D1215">
        <v>586</v>
      </c>
      <c r="E1215" t="s">
        <v>960</v>
      </c>
      <c r="F1215" s="35" t="s">
        <v>999</v>
      </c>
      <c r="G1215" s="28" t="s">
        <v>7487</v>
      </c>
      <c r="H1215" s="28" t="s">
        <v>7488</v>
      </c>
      <c r="I1215" s="28" t="s">
        <v>7527</v>
      </c>
      <c r="J1215" s="28" t="s">
        <v>7528</v>
      </c>
      <c r="K1215" s="28" t="s">
        <v>7533</v>
      </c>
      <c r="L1215" s="28" t="s">
        <v>7534</v>
      </c>
      <c r="M1215" s="28" t="s">
        <v>7509</v>
      </c>
      <c r="N1215" s="28" t="s">
        <v>7510</v>
      </c>
    </row>
    <row r="1216" spans="1:14">
      <c r="A1216" t="s">
        <v>965</v>
      </c>
      <c r="B1216" t="s">
        <v>52</v>
      </c>
      <c r="C1216">
        <v>2144</v>
      </c>
      <c r="D1216">
        <v>83</v>
      </c>
      <c r="E1216" t="s">
        <v>960</v>
      </c>
      <c r="F1216" s="35" t="s">
        <v>999</v>
      </c>
      <c r="G1216" s="28" t="s">
        <v>7487</v>
      </c>
      <c r="H1216" s="28" t="s">
        <v>7488</v>
      </c>
      <c r="I1216" s="28" t="s">
        <v>7527</v>
      </c>
      <c r="J1216" s="28" t="s">
        <v>7528</v>
      </c>
      <c r="K1216" s="28" t="s">
        <v>7535</v>
      </c>
      <c r="L1216" s="28" t="s">
        <v>7536</v>
      </c>
      <c r="M1216" s="28" t="s">
        <v>7493</v>
      </c>
      <c r="N1216" s="28" t="s">
        <v>7494</v>
      </c>
    </row>
    <row r="1217" spans="1:14">
      <c r="A1217" t="s">
        <v>25</v>
      </c>
      <c r="B1217" t="s">
        <v>69</v>
      </c>
      <c r="C1217">
        <v>2139</v>
      </c>
      <c r="D1217">
        <v>290</v>
      </c>
      <c r="E1217" t="s">
        <v>960</v>
      </c>
      <c r="F1217" s="35" t="s">
        <v>997</v>
      </c>
      <c r="G1217" s="28" t="s">
        <v>6776</v>
      </c>
      <c r="H1217" s="28" t="s">
        <v>6271</v>
      </c>
      <c r="I1217" s="28" t="s">
        <v>7586</v>
      </c>
      <c r="J1217" s="28" t="s">
        <v>6503</v>
      </c>
      <c r="K1217" s="28" t="s">
        <v>7587</v>
      </c>
      <c r="L1217" s="28" t="s">
        <v>6505</v>
      </c>
      <c r="M1217" s="28" t="s">
        <v>6848</v>
      </c>
      <c r="N1217" s="28" t="s">
        <v>6277</v>
      </c>
    </row>
    <row r="1218" spans="1:14">
      <c r="A1218" t="s">
        <v>25</v>
      </c>
      <c r="B1218" t="s">
        <v>69</v>
      </c>
      <c r="C1218">
        <v>2140</v>
      </c>
      <c r="D1218">
        <v>1041</v>
      </c>
      <c r="E1218" t="s">
        <v>960</v>
      </c>
      <c r="F1218" s="35" t="s">
        <v>998</v>
      </c>
      <c r="G1218" s="28" t="s">
        <v>6780</v>
      </c>
      <c r="H1218" s="28" t="s">
        <v>6781</v>
      </c>
      <c r="I1218" s="28" t="s">
        <v>7588</v>
      </c>
      <c r="J1218" s="28" t="s">
        <v>7589</v>
      </c>
      <c r="K1218" s="28" t="s">
        <v>7590</v>
      </c>
      <c r="L1218" s="28" t="s">
        <v>7591</v>
      </c>
      <c r="M1218" s="28" t="s">
        <v>7592</v>
      </c>
      <c r="N1218" s="28" t="s">
        <v>7257</v>
      </c>
    </row>
    <row r="1219" spans="1:14">
      <c r="A1219" t="s">
        <v>25</v>
      </c>
      <c r="B1219" t="s">
        <v>67</v>
      </c>
      <c r="C1219">
        <v>2139</v>
      </c>
      <c r="D1219">
        <v>85</v>
      </c>
      <c r="E1219" t="s">
        <v>960</v>
      </c>
      <c r="F1219" s="35" t="s">
        <v>997</v>
      </c>
      <c r="G1219" s="28" t="s">
        <v>6776</v>
      </c>
      <c r="H1219" s="28" t="s">
        <v>6271</v>
      </c>
      <c r="I1219" s="28" t="s">
        <v>7586</v>
      </c>
      <c r="J1219" s="28" t="s">
        <v>6503</v>
      </c>
      <c r="K1219" s="28" t="s">
        <v>7593</v>
      </c>
      <c r="L1219" s="28" t="s">
        <v>6510</v>
      </c>
      <c r="M1219" s="28" t="s">
        <v>6850</v>
      </c>
      <c r="N1219" s="28" t="s">
        <v>6285</v>
      </c>
    </row>
    <row r="1220" spans="1:14">
      <c r="A1220" t="s">
        <v>25</v>
      </c>
      <c r="B1220" t="s">
        <v>67</v>
      </c>
      <c r="C1220">
        <v>2141</v>
      </c>
      <c r="D1220">
        <v>467</v>
      </c>
      <c r="E1220" t="s">
        <v>960</v>
      </c>
      <c r="F1220" s="35" t="s">
        <v>998</v>
      </c>
      <c r="G1220" s="28" t="s">
        <v>7099</v>
      </c>
      <c r="H1220" s="28" t="s">
        <v>6781</v>
      </c>
      <c r="I1220" s="28" t="s">
        <v>7594</v>
      </c>
      <c r="J1220" s="28" t="s">
        <v>7589</v>
      </c>
      <c r="K1220" s="28" t="s">
        <v>7595</v>
      </c>
      <c r="L1220" s="28" t="s">
        <v>7596</v>
      </c>
      <c r="M1220" s="28" t="s">
        <v>7129</v>
      </c>
      <c r="N1220" s="28" t="s">
        <v>7130</v>
      </c>
    </row>
    <row r="1221" spans="1:14">
      <c r="A1221" t="s">
        <v>25</v>
      </c>
      <c r="B1221" t="s">
        <v>67</v>
      </c>
      <c r="C1221">
        <v>2142</v>
      </c>
      <c r="D1221">
        <v>252</v>
      </c>
      <c r="E1221" t="s">
        <v>960</v>
      </c>
      <c r="F1221" s="35" t="s">
        <v>998</v>
      </c>
      <c r="G1221" s="28" t="s">
        <v>7187</v>
      </c>
      <c r="H1221" s="28" t="s">
        <v>6781</v>
      </c>
      <c r="I1221" s="28" t="s">
        <v>7597</v>
      </c>
      <c r="J1221" s="28" t="s">
        <v>7589</v>
      </c>
      <c r="K1221" s="28" t="s">
        <v>7598</v>
      </c>
      <c r="L1221" s="28" t="s">
        <v>7596</v>
      </c>
      <c r="M1221" s="28" t="s">
        <v>7218</v>
      </c>
      <c r="N1221" s="28" t="s">
        <v>7130</v>
      </c>
    </row>
    <row r="1222" spans="1:14">
      <c r="A1222" t="s">
        <v>25</v>
      </c>
      <c r="B1222" t="s">
        <v>54</v>
      </c>
      <c r="C1222">
        <v>2139</v>
      </c>
      <c r="D1222">
        <v>120</v>
      </c>
      <c r="E1222" t="s">
        <v>960</v>
      </c>
      <c r="F1222" s="35" t="s">
        <v>997</v>
      </c>
      <c r="G1222" s="28" t="s">
        <v>6776</v>
      </c>
      <c r="H1222" s="28" t="s">
        <v>6271</v>
      </c>
      <c r="I1222" s="28" t="s">
        <v>7586</v>
      </c>
      <c r="J1222" s="28" t="s">
        <v>6503</v>
      </c>
      <c r="K1222" s="28" t="s">
        <v>7599</v>
      </c>
      <c r="L1222" s="28" t="s">
        <v>6931</v>
      </c>
      <c r="M1222" s="28" t="s">
        <v>6789</v>
      </c>
      <c r="N1222" s="28" t="s">
        <v>6293</v>
      </c>
    </row>
    <row r="1223" spans="1:14">
      <c r="A1223" t="s">
        <v>25</v>
      </c>
      <c r="B1223" t="s">
        <v>54</v>
      </c>
      <c r="C1223">
        <v>2142</v>
      </c>
      <c r="D1223">
        <v>228</v>
      </c>
      <c r="E1223" t="s">
        <v>960</v>
      </c>
      <c r="F1223" s="35" t="s">
        <v>998</v>
      </c>
      <c r="G1223" s="28" t="s">
        <v>7187</v>
      </c>
      <c r="H1223" s="28" t="s">
        <v>6781</v>
      </c>
      <c r="I1223" s="28" t="s">
        <v>7597</v>
      </c>
      <c r="J1223" s="28" t="s">
        <v>7589</v>
      </c>
      <c r="K1223" s="28" t="s">
        <v>7600</v>
      </c>
      <c r="L1223" s="28" t="s">
        <v>7601</v>
      </c>
      <c r="M1223" s="28" t="s">
        <v>7192</v>
      </c>
      <c r="N1223" s="28" t="s">
        <v>6793</v>
      </c>
    </row>
    <row r="1224" spans="1:14">
      <c r="A1224" t="s">
        <v>25</v>
      </c>
      <c r="B1224" t="s">
        <v>54</v>
      </c>
      <c r="C1224">
        <v>2143</v>
      </c>
      <c r="D1224">
        <v>251</v>
      </c>
      <c r="E1224" t="s">
        <v>960</v>
      </c>
      <c r="F1224" s="35" t="s">
        <v>998</v>
      </c>
      <c r="G1224" s="28" t="s">
        <v>7412</v>
      </c>
      <c r="H1224" s="28" t="s">
        <v>6781</v>
      </c>
      <c r="I1224" s="28" t="s">
        <v>7602</v>
      </c>
      <c r="J1224" s="28" t="s">
        <v>7589</v>
      </c>
      <c r="K1224" s="28" t="s">
        <v>7603</v>
      </c>
      <c r="L1224" s="28" t="s">
        <v>7601</v>
      </c>
      <c r="M1224" s="28" t="s">
        <v>7417</v>
      </c>
      <c r="N1224" s="28" t="s">
        <v>6793</v>
      </c>
    </row>
    <row r="1225" spans="1:14">
      <c r="A1225" t="s">
        <v>25</v>
      </c>
      <c r="B1225" t="s">
        <v>55</v>
      </c>
      <c r="C1225">
        <v>2139</v>
      </c>
      <c r="D1225">
        <v>140</v>
      </c>
      <c r="E1225" t="s">
        <v>960</v>
      </c>
      <c r="F1225" s="35" t="s">
        <v>997</v>
      </c>
      <c r="G1225" s="28" t="s">
        <v>6776</v>
      </c>
      <c r="H1225" s="28" t="s">
        <v>6271</v>
      </c>
      <c r="I1225" s="28" t="s">
        <v>7586</v>
      </c>
      <c r="J1225" s="28" t="s">
        <v>6503</v>
      </c>
      <c r="K1225" s="28" t="s">
        <v>7604</v>
      </c>
      <c r="L1225" s="28" t="s">
        <v>6514</v>
      </c>
      <c r="M1225" s="28" t="s">
        <v>6795</v>
      </c>
      <c r="N1225" s="28" t="s">
        <v>6297</v>
      </c>
    </row>
    <row r="1226" spans="1:14">
      <c r="A1226" t="s">
        <v>25</v>
      </c>
      <c r="B1226" t="s">
        <v>55</v>
      </c>
      <c r="C1226">
        <v>2142</v>
      </c>
      <c r="D1226">
        <v>221</v>
      </c>
      <c r="E1226" t="s">
        <v>960</v>
      </c>
      <c r="F1226" s="35" t="s">
        <v>998</v>
      </c>
      <c r="G1226" s="28" t="s">
        <v>7187</v>
      </c>
      <c r="H1226" s="28" t="s">
        <v>6781</v>
      </c>
      <c r="I1226" s="28" t="s">
        <v>7597</v>
      </c>
      <c r="J1226" s="28" t="s">
        <v>7589</v>
      </c>
      <c r="K1226" s="28" t="s">
        <v>7605</v>
      </c>
      <c r="L1226" s="28" t="s">
        <v>7606</v>
      </c>
      <c r="M1226" s="28" t="s">
        <v>7194</v>
      </c>
      <c r="N1226" s="28" t="s">
        <v>6799</v>
      </c>
    </row>
    <row r="1227" spans="1:14">
      <c r="A1227" t="s">
        <v>25</v>
      </c>
      <c r="B1227" t="s">
        <v>55</v>
      </c>
      <c r="C1227">
        <v>2143</v>
      </c>
      <c r="D1227">
        <v>78</v>
      </c>
      <c r="E1227" t="s">
        <v>960</v>
      </c>
      <c r="F1227" s="35" t="s">
        <v>998</v>
      </c>
      <c r="G1227" s="28" t="s">
        <v>7412</v>
      </c>
      <c r="H1227" s="28" t="s">
        <v>6781</v>
      </c>
      <c r="I1227" s="28" t="s">
        <v>7602</v>
      </c>
      <c r="J1227" s="28" t="s">
        <v>7589</v>
      </c>
      <c r="K1227" s="28" t="s">
        <v>7607</v>
      </c>
      <c r="L1227" s="28" t="s">
        <v>7606</v>
      </c>
      <c r="M1227" s="28" t="s">
        <v>7419</v>
      </c>
      <c r="N1227" s="28" t="s">
        <v>6799</v>
      </c>
    </row>
    <row r="1228" spans="1:14">
      <c r="A1228" t="s">
        <v>25</v>
      </c>
      <c r="B1228" t="s">
        <v>56</v>
      </c>
      <c r="C1228">
        <v>2139</v>
      </c>
      <c r="D1228">
        <v>898</v>
      </c>
      <c r="E1228" t="s">
        <v>960</v>
      </c>
      <c r="F1228" s="35" t="s">
        <v>997</v>
      </c>
      <c r="G1228" s="28" t="s">
        <v>6776</v>
      </c>
      <c r="H1228" s="28" t="s">
        <v>6271</v>
      </c>
      <c r="I1228" s="28" t="s">
        <v>7586</v>
      </c>
      <c r="J1228" s="28" t="s">
        <v>6503</v>
      </c>
      <c r="K1228" s="28" t="s">
        <v>7608</v>
      </c>
      <c r="L1228" s="28" t="s">
        <v>6516</v>
      </c>
      <c r="M1228" s="28" t="s">
        <v>6855</v>
      </c>
      <c r="N1228" s="28" t="s">
        <v>6281</v>
      </c>
    </row>
    <row r="1229" spans="1:14">
      <c r="A1229" t="s">
        <v>25</v>
      </c>
      <c r="B1229" t="s">
        <v>56</v>
      </c>
      <c r="C1229">
        <v>2142</v>
      </c>
      <c r="D1229">
        <v>23</v>
      </c>
      <c r="E1229" t="s">
        <v>960</v>
      </c>
      <c r="F1229" s="35" t="s">
        <v>998</v>
      </c>
      <c r="G1229" s="28" t="s">
        <v>7187</v>
      </c>
      <c r="H1229" s="28" t="s">
        <v>6781</v>
      </c>
      <c r="I1229" s="28" t="s">
        <v>7597</v>
      </c>
      <c r="J1229" s="28" t="s">
        <v>7589</v>
      </c>
      <c r="K1229" s="28" t="s">
        <v>7609</v>
      </c>
      <c r="L1229" s="28" t="s">
        <v>7610</v>
      </c>
      <c r="M1229" s="28" t="s">
        <v>7225</v>
      </c>
      <c r="N1229" s="28" t="s">
        <v>7226</v>
      </c>
    </row>
    <row r="1230" spans="1:14">
      <c r="A1230" t="s">
        <v>25</v>
      </c>
      <c r="B1230" t="s">
        <v>56</v>
      </c>
      <c r="C1230">
        <v>2143</v>
      </c>
      <c r="D1230">
        <v>1032</v>
      </c>
      <c r="E1230" t="s">
        <v>960</v>
      </c>
      <c r="F1230" s="35" t="s">
        <v>998</v>
      </c>
      <c r="G1230" s="28" t="s">
        <v>7412</v>
      </c>
      <c r="H1230" s="28" t="s">
        <v>6781</v>
      </c>
      <c r="I1230" s="28" t="s">
        <v>7602</v>
      </c>
      <c r="J1230" s="28" t="s">
        <v>7589</v>
      </c>
      <c r="K1230" s="28" t="s">
        <v>7611</v>
      </c>
      <c r="L1230" s="28" t="s">
        <v>7610</v>
      </c>
      <c r="M1230" s="28" t="s">
        <v>7452</v>
      </c>
      <c r="N1230" s="28" t="s">
        <v>7226</v>
      </c>
    </row>
    <row r="1231" spans="1:14">
      <c r="A1231" t="s">
        <v>27</v>
      </c>
      <c r="B1231" t="s">
        <v>54</v>
      </c>
      <c r="C1231">
        <v>2143</v>
      </c>
      <c r="D1231">
        <v>5</v>
      </c>
      <c r="E1231" t="s">
        <v>960</v>
      </c>
      <c r="F1231" s="35" t="s">
        <v>998</v>
      </c>
      <c r="G1231" s="28" t="s">
        <v>7412</v>
      </c>
      <c r="H1231" s="28" t="s">
        <v>6781</v>
      </c>
      <c r="I1231" s="28" t="s">
        <v>7612</v>
      </c>
      <c r="J1231" s="28" t="s">
        <v>6948</v>
      </c>
      <c r="K1231" s="28" t="s">
        <v>7613</v>
      </c>
      <c r="L1231" s="28" t="s">
        <v>7614</v>
      </c>
      <c r="M1231" s="28" t="s">
        <v>7417</v>
      </c>
      <c r="N1231" s="28" t="s">
        <v>6793</v>
      </c>
    </row>
    <row r="1232" spans="1:14">
      <c r="A1232" t="s">
        <v>27</v>
      </c>
      <c r="B1232" t="s">
        <v>55</v>
      </c>
      <c r="C1232">
        <v>2143</v>
      </c>
      <c r="D1232">
        <v>19</v>
      </c>
      <c r="E1232" t="s">
        <v>960</v>
      </c>
      <c r="F1232" s="35" t="s">
        <v>998</v>
      </c>
      <c r="G1232" s="28" t="s">
        <v>7412</v>
      </c>
      <c r="H1232" s="28" t="s">
        <v>6781</v>
      </c>
      <c r="I1232" s="28" t="s">
        <v>7612</v>
      </c>
      <c r="J1232" s="28" t="s">
        <v>6948</v>
      </c>
      <c r="K1232" s="28" t="s">
        <v>7615</v>
      </c>
      <c r="L1232" s="28" t="s">
        <v>7265</v>
      </c>
      <c r="M1232" s="28" t="s">
        <v>7419</v>
      </c>
      <c r="N1232" s="28" t="s">
        <v>6799</v>
      </c>
    </row>
    <row r="1233" spans="1:14">
      <c r="A1233" t="s">
        <v>27</v>
      </c>
      <c r="B1233" t="s">
        <v>56</v>
      </c>
      <c r="C1233">
        <v>2138</v>
      </c>
      <c r="D1233">
        <v>36</v>
      </c>
      <c r="E1233" t="s">
        <v>960</v>
      </c>
      <c r="F1233" s="35" t="s">
        <v>997</v>
      </c>
      <c r="G1233" s="28" t="s">
        <v>6612</v>
      </c>
      <c r="H1233" s="28" t="s">
        <v>6271</v>
      </c>
      <c r="I1233" s="28" t="s">
        <v>6937</v>
      </c>
      <c r="J1233" s="28" t="s">
        <v>6934</v>
      </c>
      <c r="K1233" s="28" t="s">
        <v>7616</v>
      </c>
      <c r="L1233" s="28" t="s">
        <v>7617</v>
      </c>
      <c r="M1233" s="28" t="s">
        <v>6617</v>
      </c>
      <c r="N1233" s="28" t="s">
        <v>6281</v>
      </c>
    </row>
    <row r="1234" spans="1:14">
      <c r="A1234" t="s">
        <v>27</v>
      </c>
      <c r="B1234" t="s">
        <v>56</v>
      </c>
      <c r="C1234">
        <v>2143</v>
      </c>
      <c r="D1234">
        <v>18</v>
      </c>
      <c r="E1234" t="s">
        <v>960</v>
      </c>
      <c r="F1234" s="35" t="s">
        <v>998</v>
      </c>
      <c r="G1234" s="28" t="s">
        <v>7412</v>
      </c>
      <c r="H1234" s="28" t="s">
        <v>6781</v>
      </c>
      <c r="I1234" s="28" t="s">
        <v>7612</v>
      </c>
      <c r="J1234" s="28" t="s">
        <v>6948</v>
      </c>
      <c r="K1234" s="28" t="s">
        <v>7618</v>
      </c>
      <c r="L1234" s="28" t="s">
        <v>7619</v>
      </c>
      <c r="M1234" s="28" t="s">
        <v>7452</v>
      </c>
      <c r="N1234" s="28" t="s">
        <v>7226</v>
      </c>
    </row>
    <row r="1235" spans="1:14">
      <c r="A1235" t="s">
        <v>27</v>
      </c>
      <c r="B1235" t="s">
        <v>56</v>
      </c>
      <c r="C1235">
        <v>2144</v>
      </c>
      <c r="D1235">
        <v>9</v>
      </c>
      <c r="E1235" t="s">
        <v>960</v>
      </c>
      <c r="F1235" s="35" t="s">
        <v>999</v>
      </c>
      <c r="G1235" s="28" t="s">
        <v>7487</v>
      </c>
      <c r="H1235" s="28" t="s">
        <v>7488</v>
      </c>
      <c r="I1235" s="28" t="s">
        <v>7620</v>
      </c>
      <c r="J1235" s="28" t="s">
        <v>7621</v>
      </c>
      <c r="K1235" s="28" t="s">
        <v>7622</v>
      </c>
      <c r="L1235" s="28" t="s">
        <v>7623</v>
      </c>
      <c r="M1235" s="28" t="s">
        <v>7624</v>
      </c>
      <c r="N1235" s="28" t="s">
        <v>7625</v>
      </c>
    </row>
    <row r="1236" spans="1:14">
      <c r="A1236" t="s">
        <v>27</v>
      </c>
      <c r="B1236" t="s">
        <v>53</v>
      </c>
      <c r="C1236">
        <v>2143</v>
      </c>
      <c r="D1236">
        <v>12</v>
      </c>
      <c r="E1236" t="s">
        <v>960</v>
      </c>
      <c r="F1236" s="35" t="s">
        <v>998</v>
      </c>
      <c r="G1236" s="28" t="s">
        <v>7412</v>
      </c>
      <c r="H1236" s="28" t="s">
        <v>6781</v>
      </c>
      <c r="I1236" s="28" t="s">
        <v>7612</v>
      </c>
      <c r="J1236" s="28" t="s">
        <v>6948</v>
      </c>
      <c r="K1236" s="28" t="s">
        <v>7626</v>
      </c>
      <c r="L1236" s="28" t="s">
        <v>6950</v>
      </c>
      <c r="M1236" s="28" t="s">
        <v>7421</v>
      </c>
      <c r="N1236" s="28" t="s">
        <v>6805</v>
      </c>
    </row>
    <row r="1237" spans="1:14">
      <c r="A1237" t="s">
        <v>27</v>
      </c>
      <c r="B1237" t="s">
        <v>53</v>
      </c>
      <c r="C1237">
        <v>2144</v>
      </c>
      <c r="D1237">
        <v>325</v>
      </c>
      <c r="E1237" t="s">
        <v>960</v>
      </c>
      <c r="F1237" s="35" t="s">
        <v>999</v>
      </c>
      <c r="G1237" s="28" t="s">
        <v>7487</v>
      </c>
      <c r="H1237" s="28" t="s">
        <v>7488</v>
      </c>
      <c r="I1237" s="28" t="s">
        <v>7620</v>
      </c>
      <c r="J1237" s="28" t="s">
        <v>7621</v>
      </c>
      <c r="K1237" s="28" t="s">
        <v>7627</v>
      </c>
      <c r="L1237" s="28" t="s">
        <v>7628</v>
      </c>
      <c r="M1237" s="28" t="s">
        <v>7501</v>
      </c>
      <c r="N1237" s="28" t="s">
        <v>7502</v>
      </c>
    </row>
    <row r="1238" spans="1:14">
      <c r="A1238" t="s">
        <v>26</v>
      </c>
      <c r="B1238" t="s">
        <v>69</v>
      </c>
      <c r="C1238">
        <v>2145</v>
      </c>
      <c r="D1238">
        <v>868</v>
      </c>
      <c r="E1238" t="s">
        <v>960</v>
      </c>
      <c r="F1238" s="35" t="s">
        <v>999</v>
      </c>
      <c r="G1238" s="28" t="s">
        <v>7667</v>
      </c>
      <c r="H1238" s="28" t="s">
        <v>7488</v>
      </c>
      <c r="I1238" s="28" t="s">
        <v>7668</v>
      </c>
      <c r="J1238" s="28" t="s">
        <v>7490</v>
      </c>
      <c r="K1238" s="28" t="s">
        <v>7669</v>
      </c>
      <c r="L1238" s="28" t="s">
        <v>7670</v>
      </c>
      <c r="M1238" s="28" t="s">
        <v>7671</v>
      </c>
      <c r="N1238" s="28" t="s">
        <v>7532</v>
      </c>
    </row>
    <row r="1239" spans="1:14">
      <c r="A1239" t="s">
        <v>26</v>
      </c>
      <c r="B1239" t="s">
        <v>56</v>
      </c>
      <c r="C1239">
        <v>2145</v>
      </c>
      <c r="D1239">
        <v>535</v>
      </c>
      <c r="E1239" t="s">
        <v>960</v>
      </c>
      <c r="F1239" s="35" t="s">
        <v>999</v>
      </c>
      <c r="G1239" s="28" t="s">
        <v>7667</v>
      </c>
      <c r="H1239" s="28" t="s">
        <v>7488</v>
      </c>
      <c r="I1239" s="28" t="s">
        <v>7668</v>
      </c>
      <c r="J1239" s="28" t="s">
        <v>7490</v>
      </c>
      <c r="K1239" s="28" t="s">
        <v>7672</v>
      </c>
      <c r="L1239" s="28" t="s">
        <v>7673</v>
      </c>
      <c r="M1239" s="28" t="s">
        <v>7674</v>
      </c>
      <c r="N1239" s="28" t="s">
        <v>7625</v>
      </c>
    </row>
    <row r="1240" spans="1:14">
      <c r="A1240" t="s">
        <v>26</v>
      </c>
      <c r="B1240" t="s">
        <v>67</v>
      </c>
      <c r="C1240">
        <v>2145</v>
      </c>
      <c r="D1240">
        <v>119</v>
      </c>
      <c r="E1240" t="s">
        <v>960</v>
      </c>
      <c r="F1240" s="35" t="s">
        <v>999</v>
      </c>
      <c r="G1240" s="28" t="s">
        <v>7667</v>
      </c>
      <c r="H1240" s="28" t="s">
        <v>7488</v>
      </c>
      <c r="I1240" s="28" t="s">
        <v>7668</v>
      </c>
      <c r="J1240" s="28" t="s">
        <v>7490</v>
      </c>
      <c r="K1240" s="28" t="s">
        <v>7675</v>
      </c>
      <c r="L1240" s="28" t="s">
        <v>7676</v>
      </c>
      <c r="M1240" s="28" t="s">
        <v>7677</v>
      </c>
      <c r="N1240" s="28" t="s">
        <v>7678</v>
      </c>
    </row>
    <row r="1241" spans="1:14">
      <c r="A1241" t="s">
        <v>26</v>
      </c>
      <c r="B1241" t="s">
        <v>52</v>
      </c>
      <c r="C1241">
        <v>2145</v>
      </c>
      <c r="D1241">
        <v>146</v>
      </c>
      <c r="E1241" t="s">
        <v>960</v>
      </c>
      <c r="F1241" s="35" t="s">
        <v>999</v>
      </c>
      <c r="G1241" s="28" t="s">
        <v>7667</v>
      </c>
      <c r="H1241" s="28" t="s">
        <v>7488</v>
      </c>
      <c r="I1241" s="28" t="s">
        <v>7668</v>
      </c>
      <c r="J1241" s="28" t="s">
        <v>7490</v>
      </c>
      <c r="K1241" s="28" t="s">
        <v>7679</v>
      </c>
      <c r="L1241" s="28" t="s">
        <v>7492</v>
      </c>
      <c r="M1241" s="28" t="s">
        <v>7680</v>
      </c>
      <c r="N1241" s="28" t="s">
        <v>7494</v>
      </c>
    </row>
    <row r="1242" spans="1:14">
      <c r="A1242" t="s">
        <v>26</v>
      </c>
      <c r="B1242" t="s">
        <v>54</v>
      </c>
      <c r="C1242">
        <v>2145</v>
      </c>
      <c r="D1242">
        <v>38</v>
      </c>
      <c r="E1242" t="s">
        <v>960</v>
      </c>
      <c r="F1242" s="35" t="s">
        <v>999</v>
      </c>
      <c r="G1242" s="28" t="s">
        <v>7667</v>
      </c>
      <c r="H1242" s="28" t="s">
        <v>7488</v>
      </c>
      <c r="I1242" s="28" t="s">
        <v>7668</v>
      </c>
      <c r="J1242" s="28" t="s">
        <v>7490</v>
      </c>
      <c r="K1242" s="28" t="s">
        <v>7681</v>
      </c>
      <c r="L1242" s="28" t="s">
        <v>7496</v>
      </c>
      <c r="M1242" s="28" t="s">
        <v>7682</v>
      </c>
      <c r="N1242" s="28" t="s">
        <v>7498</v>
      </c>
    </row>
    <row r="1243" spans="1:14">
      <c r="A1243" t="s">
        <v>26</v>
      </c>
      <c r="B1243" t="s">
        <v>55</v>
      </c>
      <c r="C1243">
        <v>2145</v>
      </c>
      <c r="D1243">
        <v>100</v>
      </c>
      <c r="E1243" t="s">
        <v>960</v>
      </c>
      <c r="F1243" s="35" t="s">
        <v>999</v>
      </c>
      <c r="G1243" s="28" t="s">
        <v>7667</v>
      </c>
      <c r="H1243" s="28" t="s">
        <v>7488</v>
      </c>
      <c r="I1243" s="28" t="s">
        <v>7668</v>
      </c>
      <c r="J1243" s="28" t="s">
        <v>7490</v>
      </c>
      <c r="K1243" s="28" t="s">
        <v>7683</v>
      </c>
      <c r="L1243" s="28" t="s">
        <v>7684</v>
      </c>
      <c r="M1243" s="28" t="s">
        <v>7685</v>
      </c>
      <c r="N1243" s="28" t="s">
        <v>7686</v>
      </c>
    </row>
    <row r="1244" spans="1:14">
      <c r="A1244" t="s">
        <v>26</v>
      </c>
      <c r="B1244" t="s">
        <v>53</v>
      </c>
      <c r="C1244">
        <v>2145</v>
      </c>
      <c r="D1244">
        <v>432</v>
      </c>
      <c r="E1244" t="s">
        <v>960</v>
      </c>
      <c r="F1244" s="35" t="s">
        <v>999</v>
      </c>
      <c r="G1244" s="28" t="s">
        <v>7667</v>
      </c>
      <c r="H1244" s="28" t="s">
        <v>7488</v>
      </c>
      <c r="I1244" s="28" t="s">
        <v>7668</v>
      </c>
      <c r="J1244" s="28" t="s">
        <v>7490</v>
      </c>
      <c r="K1244" s="28" t="s">
        <v>7687</v>
      </c>
      <c r="L1244" s="28" t="s">
        <v>7500</v>
      </c>
      <c r="M1244" s="28" t="s">
        <v>7688</v>
      </c>
      <c r="N1244" s="28" t="s">
        <v>7502</v>
      </c>
    </row>
    <row r="1245" spans="1:14">
      <c r="A1245" t="s">
        <v>26</v>
      </c>
      <c r="B1245" t="s">
        <v>68</v>
      </c>
      <c r="C1245">
        <v>2145</v>
      </c>
      <c r="D1245">
        <v>210</v>
      </c>
      <c r="E1245" t="s">
        <v>960</v>
      </c>
      <c r="F1245" s="35" t="s">
        <v>999</v>
      </c>
      <c r="G1245" s="28" t="s">
        <v>7667</v>
      </c>
      <c r="H1245" s="28" t="s">
        <v>7488</v>
      </c>
      <c r="I1245" s="28" t="s">
        <v>7668</v>
      </c>
      <c r="J1245" s="28" t="s">
        <v>7490</v>
      </c>
      <c r="K1245" s="28" t="s">
        <v>7689</v>
      </c>
      <c r="L1245" s="28" t="s">
        <v>7508</v>
      </c>
      <c r="M1245" s="28" t="s">
        <v>7690</v>
      </c>
      <c r="N1245" s="28" t="s">
        <v>7510</v>
      </c>
    </row>
    <row r="1246" spans="1:14">
      <c r="A1246" t="s">
        <v>26</v>
      </c>
      <c r="B1246" t="s">
        <v>64</v>
      </c>
      <c r="C1246">
        <v>2145</v>
      </c>
      <c r="D1246">
        <v>428</v>
      </c>
      <c r="E1246" t="s">
        <v>961</v>
      </c>
      <c r="F1246" s="35" t="s">
        <v>999</v>
      </c>
      <c r="G1246" s="28" t="s">
        <v>7691</v>
      </c>
      <c r="H1246" s="28" t="s">
        <v>7512</v>
      </c>
      <c r="I1246" s="28" t="s">
        <v>7692</v>
      </c>
      <c r="J1246" s="28" t="s">
        <v>7514</v>
      </c>
      <c r="K1246" s="28" t="s">
        <v>7693</v>
      </c>
      <c r="L1246" s="28" t="s">
        <v>7516</v>
      </c>
      <c r="M1246" s="28" t="s">
        <v>7694</v>
      </c>
      <c r="N1246" s="28" t="s">
        <v>7518</v>
      </c>
    </row>
    <row r="1247" spans="1:14">
      <c r="A1247" t="s">
        <v>26</v>
      </c>
      <c r="B1247" t="s">
        <v>65</v>
      </c>
      <c r="C1247">
        <v>2145</v>
      </c>
      <c r="D1247">
        <v>25</v>
      </c>
      <c r="E1247" t="s">
        <v>961</v>
      </c>
      <c r="F1247" s="35" t="s">
        <v>999</v>
      </c>
      <c r="G1247" s="28" t="s">
        <v>7691</v>
      </c>
      <c r="H1247" s="28" t="s">
        <v>7512</v>
      </c>
      <c r="I1247" s="28" t="s">
        <v>7692</v>
      </c>
      <c r="J1247" s="28" t="s">
        <v>7514</v>
      </c>
      <c r="K1247" s="28" t="s">
        <v>7695</v>
      </c>
      <c r="L1247" s="28" t="s">
        <v>7520</v>
      </c>
      <c r="M1247" s="28" t="s">
        <v>7696</v>
      </c>
      <c r="N1247" s="28" t="s">
        <v>7522</v>
      </c>
    </row>
    <row r="1248" spans="1:14">
      <c r="A1248" t="s">
        <v>26</v>
      </c>
      <c r="B1248" t="s">
        <v>63</v>
      </c>
      <c r="C1248">
        <v>2145</v>
      </c>
      <c r="D1248">
        <v>125</v>
      </c>
      <c r="E1248" t="s">
        <v>961</v>
      </c>
      <c r="F1248" s="35" t="s">
        <v>999</v>
      </c>
      <c r="G1248" s="28" t="s">
        <v>7691</v>
      </c>
      <c r="H1248" s="28" t="s">
        <v>7512</v>
      </c>
      <c r="I1248" s="28" t="s">
        <v>7692</v>
      </c>
      <c r="J1248" s="28" t="s">
        <v>7514</v>
      </c>
      <c r="K1248" s="28" t="s">
        <v>7697</v>
      </c>
      <c r="L1248" s="28" t="s">
        <v>7524</v>
      </c>
      <c r="M1248" s="28" t="s">
        <v>7698</v>
      </c>
      <c r="N1248" s="28" t="s">
        <v>7526</v>
      </c>
    </row>
    <row r="1249" spans="1:14">
      <c r="A1249" t="s">
        <v>965</v>
      </c>
      <c r="B1249" t="s">
        <v>58</v>
      </c>
      <c r="C1249">
        <v>2145</v>
      </c>
      <c r="D1249">
        <v>143</v>
      </c>
      <c r="E1249" t="s">
        <v>961</v>
      </c>
      <c r="F1249" s="35" t="s">
        <v>999</v>
      </c>
      <c r="G1249" s="28" t="s">
        <v>7691</v>
      </c>
      <c r="H1249" s="28" t="s">
        <v>7512</v>
      </c>
      <c r="I1249" s="28" t="s">
        <v>7699</v>
      </c>
      <c r="J1249" s="28" t="s">
        <v>7700</v>
      </c>
      <c r="K1249" s="28" t="s">
        <v>7701</v>
      </c>
      <c r="L1249" s="28" t="s">
        <v>7702</v>
      </c>
      <c r="M1249" s="28" t="s">
        <v>7703</v>
      </c>
      <c r="N1249" s="28" t="s">
        <v>7704</v>
      </c>
    </row>
    <row r="1250" spans="1:14">
      <c r="A1250" t="s">
        <v>965</v>
      </c>
      <c r="B1250" t="s">
        <v>69</v>
      </c>
      <c r="C1250">
        <v>2145</v>
      </c>
      <c r="D1250">
        <v>896</v>
      </c>
      <c r="E1250" t="s">
        <v>960</v>
      </c>
      <c r="F1250" s="35" t="s">
        <v>999</v>
      </c>
      <c r="G1250" s="28" t="s">
        <v>7667</v>
      </c>
      <c r="H1250" s="28" t="s">
        <v>7488</v>
      </c>
      <c r="I1250" s="28" t="s">
        <v>7705</v>
      </c>
      <c r="J1250" s="28" t="s">
        <v>7528</v>
      </c>
      <c r="K1250" s="28" t="s">
        <v>7706</v>
      </c>
      <c r="L1250" s="28" t="s">
        <v>7530</v>
      </c>
      <c r="M1250" s="28" t="s">
        <v>7671</v>
      </c>
      <c r="N1250" s="28" t="s">
        <v>7532</v>
      </c>
    </row>
    <row r="1251" spans="1:14">
      <c r="A1251" t="s">
        <v>965</v>
      </c>
      <c r="B1251" t="s">
        <v>67</v>
      </c>
      <c r="C1251">
        <v>2145</v>
      </c>
      <c r="D1251">
        <v>27</v>
      </c>
      <c r="E1251" t="s">
        <v>960</v>
      </c>
      <c r="F1251" s="35" t="s">
        <v>999</v>
      </c>
      <c r="G1251" s="28" t="s">
        <v>7667</v>
      </c>
      <c r="H1251" s="28" t="s">
        <v>7488</v>
      </c>
      <c r="I1251" s="28" t="s">
        <v>7705</v>
      </c>
      <c r="J1251" s="28" t="s">
        <v>7528</v>
      </c>
      <c r="K1251" s="28" t="s">
        <v>7707</v>
      </c>
      <c r="L1251" s="28" t="s">
        <v>7708</v>
      </c>
      <c r="M1251" s="28" t="s">
        <v>7677</v>
      </c>
      <c r="N1251" s="28" t="s">
        <v>7678</v>
      </c>
    </row>
    <row r="1252" spans="1:14">
      <c r="A1252" t="s">
        <v>965</v>
      </c>
      <c r="B1252" t="s">
        <v>68</v>
      </c>
      <c r="C1252">
        <v>2145</v>
      </c>
      <c r="D1252">
        <v>177</v>
      </c>
      <c r="E1252" t="s">
        <v>960</v>
      </c>
      <c r="F1252" s="35" t="s">
        <v>999</v>
      </c>
      <c r="G1252" s="28" t="s">
        <v>7667</v>
      </c>
      <c r="H1252" s="28" t="s">
        <v>7488</v>
      </c>
      <c r="I1252" s="28" t="s">
        <v>7705</v>
      </c>
      <c r="J1252" s="28" t="s">
        <v>7528</v>
      </c>
      <c r="K1252" s="28" t="s">
        <v>7709</v>
      </c>
      <c r="L1252" s="28" t="s">
        <v>7534</v>
      </c>
      <c r="M1252" s="28" t="s">
        <v>7690</v>
      </c>
      <c r="N1252" s="28" t="s">
        <v>7510</v>
      </c>
    </row>
    <row r="1253" spans="1:14">
      <c r="A1253" t="s">
        <v>965</v>
      </c>
      <c r="B1253" t="s">
        <v>52</v>
      </c>
      <c r="C1253">
        <v>2145</v>
      </c>
      <c r="D1253">
        <v>837</v>
      </c>
      <c r="E1253" t="s">
        <v>960</v>
      </c>
      <c r="F1253" s="35" t="s">
        <v>999</v>
      </c>
      <c r="G1253" s="28" t="s">
        <v>7667</v>
      </c>
      <c r="H1253" s="28" t="s">
        <v>7488</v>
      </c>
      <c r="I1253" s="28" t="s">
        <v>7705</v>
      </c>
      <c r="J1253" s="28" t="s">
        <v>7528</v>
      </c>
      <c r="K1253" s="28" t="s">
        <v>7710</v>
      </c>
      <c r="L1253" s="28" t="s">
        <v>7536</v>
      </c>
      <c r="M1253" s="28" t="s">
        <v>7680</v>
      </c>
      <c r="N1253" s="28" t="s">
        <v>7494</v>
      </c>
    </row>
    <row r="1254" spans="1:14">
      <c r="A1254" t="s">
        <v>965</v>
      </c>
      <c r="B1254" t="s">
        <v>56</v>
      </c>
      <c r="C1254">
        <v>2145</v>
      </c>
      <c r="D1254">
        <v>70</v>
      </c>
      <c r="E1254" t="s">
        <v>960</v>
      </c>
      <c r="F1254" s="35" t="s">
        <v>999</v>
      </c>
      <c r="G1254" s="28" t="s">
        <v>7667</v>
      </c>
      <c r="H1254" s="28" t="s">
        <v>7488</v>
      </c>
      <c r="I1254" s="28" t="s">
        <v>7705</v>
      </c>
      <c r="J1254" s="28" t="s">
        <v>7528</v>
      </c>
      <c r="K1254" s="28" t="s">
        <v>7711</v>
      </c>
      <c r="L1254" s="28" t="s">
        <v>7712</v>
      </c>
      <c r="M1254" s="28" t="s">
        <v>7674</v>
      </c>
      <c r="N1254" s="28" t="s">
        <v>7625</v>
      </c>
    </row>
    <row r="1255" spans="1:14">
      <c r="A1255" t="s">
        <v>965</v>
      </c>
      <c r="B1255" t="s">
        <v>53</v>
      </c>
      <c r="C1255">
        <v>2145</v>
      </c>
      <c r="D1255">
        <v>369</v>
      </c>
      <c r="E1255" t="s">
        <v>960</v>
      </c>
      <c r="F1255" s="35" t="s">
        <v>999</v>
      </c>
      <c r="G1255" s="28" t="s">
        <v>7667</v>
      </c>
      <c r="H1255" s="28" t="s">
        <v>7488</v>
      </c>
      <c r="I1255" s="28" t="s">
        <v>7705</v>
      </c>
      <c r="J1255" s="28" t="s">
        <v>7528</v>
      </c>
      <c r="K1255" s="28" t="s">
        <v>7713</v>
      </c>
      <c r="L1255" s="28" t="s">
        <v>7714</v>
      </c>
      <c r="M1255" s="28" t="s">
        <v>7688</v>
      </c>
      <c r="N1255" s="28" t="s">
        <v>7502</v>
      </c>
    </row>
    <row r="1256" spans="1:14">
      <c r="A1256" t="s">
        <v>965</v>
      </c>
      <c r="B1256" t="s">
        <v>66</v>
      </c>
      <c r="C1256">
        <v>2145</v>
      </c>
      <c r="D1256">
        <v>210</v>
      </c>
      <c r="E1256" t="s">
        <v>960</v>
      </c>
      <c r="F1256" s="35" t="s">
        <v>999</v>
      </c>
      <c r="G1256" s="28" t="s">
        <v>7667</v>
      </c>
      <c r="H1256" s="28" t="s">
        <v>7488</v>
      </c>
      <c r="I1256" s="28" t="s">
        <v>7705</v>
      </c>
      <c r="J1256" s="28" t="s">
        <v>7528</v>
      </c>
      <c r="K1256" s="28" t="s">
        <v>7715</v>
      </c>
      <c r="L1256" s="28" t="s">
        <v>7716</v>
      </c>
      <c r="M1256" s="28" t="s">
        <v>7717</v>
      </c>
      <c r="N1256" s="28" t="s">
        <v>7506</v>
      </c>
    </row>
    <row r="1257" spans="1:14">
      <c r="A1257" t="s">
        <v>24</v>
      </c>
      <c r="B1257" t="s">
        <v>52</v>
      </c>
      <c r="C1257">
        <v>2139</v>
      </c>
      <c r="D1257">
        <v>435</v>
      </c>
      <c r="E1257" t="s">
        <v>960</v>
      </c>
      <c r="F1257" s="35" t="s">
        <v>997</v>
      </c>
      <c r="G1257" s="28" t="s">
        <v>6776</v>
      </c>
      <c r="H1257" s="28" t="s">
        <v>6271</v>
      </c>
      <c r="I1257" s="28" t="s">
        <v>6925</v>
      </c>
      <c r="J1257" s="28" t="s">
        <v>6920</v>
      </c>
      <c r="K1257" s="28" t="s">
        <v>6926</v>
      </c>
      <c r="L1257" s="28" t="s">
        <v>6922</v>
      </c>
      <c r="M1257" s="28" t="s">
        <v>6779</v>
      </c>
      <c r="N1257" s="28" t="s">
        <v>6289</v>
      </c>
    </row>
    <row r="1258" spans="1:14">
      <c r="A1258" t="s">
        <v>24</v>
      </c>
      <c r="B1258" t="s">
        <v>52</v>
      </c>
      <c r="C1258">
        <v>2141</v>
      </c>
      <c r="D1258">
        <v>597</v>
      </c>
      <c r="E1258" t="s">
        <v>960</v>
      </c>
      <c r="F1258" s="35" t="s">
        <v>998</v>
      </c>
      <c r="G1258" s="28" t="s">
        <v>7099</v>
      </c>
      <c r="H1258" s="28" t="s">
        <v>6781</v>
      </c>
      <c r="I1258" s="28" t="s">
        <v>7790</v>
      </c>
      <c r="J1258" s="28" t="s">
        <v>7791</v>
      </c>
      <c r="K1258" s="28" t="s">
        <v>7792</v>
      </c>
      <c r="L1258" s="28" t="s">
        <v>7793</v>
      </c>
      <c r="M1258" s="28" t="s">
        <v>7102</v>
      </c>
      <c r="N1258" s="28" t="s">
        <v>6787</v>
      </c>
    </row>
    <row r="1259" spans="1:14">
      <c r="A1259" t="s">
        <v>24</v>
      </c>
      <c r="B1259" t="s">
        <v>52</v>
      </c>
      <c r="C1259">
        <v>2142</v>
      </c>
      <c r="D1259">
        <v>1091</v>
      </c>
      <c r="E1259" t="s">
        <v>960</v>
      </c>
      <c r="F1259" s="35" t="s">
        <v>998</v>
      </c>
      <c r="G1259" s="28" t="s">
        <v>7187</v>
      </c>
      <c r="H1259" s="28" t="s">
        <v>6781</v>
      </c>
      <c r="I1259" s="28" t="s">
        <v>7794</v>
      </c>
      <c r="J1259" s="28" t="s">
        <v>7791</v>
      </c>
      <c r="K1259" s="28" t="s">
        <v>7795</v>
      </c>
      <c r="L1259" s="28" t="s">
        <v>7793</v>
      </c>
      <c r="M1259" s="28" t="s">
        <v>7190</v>
      </c>
      <c r="N1259" s="28" t="s">
        <v>6787</v>
      </c>
    </row>
    <row r="1260" spans="1:14">
      <c r="A1260" t="s">
        <v>24</v>
      </c>
      <c r="B1260" t="s">
        <v>52</v>
      </c>
      <c r="C1260">
        <v>2143</v>
      </c>
      <c r="D1260">
        <v>327</v>
      </c>
      <c r="E1260" t="s">
        <v>960</v>
      </c>
      <c r="F1260" s="35" t="s">
        <v>998</v>
      </c>
      <c r="G1260" s="28" t="s">
        <v>7412</v>
      </c>
      <c r="H1260" s="28" t="s">
        <v>6781</v>
      </c>
      <c r="I1260" s="28" t="s">
        <v>7796</v>
      </c>
      <c r="J1260" s="28" t="s">
        <v>7791</v>
      </c>
      <c r="K1260" s="28" t="s">
        <v>7797</v>
      </c>
      <c r="L1260" s="28" t="s">
        <v>7793</v>
      </c>
      <c r="M1260" s="28" t="s">
        <v>7415</v>
      </c>
      <c r="N1260" s="28" t="s">
        <v>6787</v>
      </c>
    </row>
    <row r="1261" spans="1:14">
      <c r="A1261" t="s">
        <v>24</v>
      </c>
      <c r="B1261" t="s">
        <v>52</v>
      </c>
      <c r="C1261">
        <v>2145</v>
      </c>
      <c r="D1261">
        <v>91</v>
      </c>
      <c r="E1261" t="s">
        <v>960</v>
      </c>
      <c r="F1261" s="35" t="s">
        <v>999</v>
      </c>
      <c r="G1261" s="28" t="s">
        <v>7667</v>
      </c>
      <c r="H1261" s="28" t="s">
        <v>7488</v>
      </c>
      <c r="I1261" s="28" t="s">
        <v>7798</v>
      </c>
      <c r="J1261" s="28" t="s">
        <v>7799</v>
      </c>
      <c r="K1261" s="28" t="s">
        <v>7800</v>
      </c>
      <c r="L1261" s="28" t="s">
        <v>7801</v>
      </c>
      <c r="M1261" s="28" t="s">
        <v>7680</v>
      </c>
      <c r="N1261" s="28" t="s">
        <v>7494</v>
      </c>
    </row>
    <row r="1262" spans="1:14">
      <c r="A1262" t="s">
        <v>24</v>
      </c>
      <c r="B1262" t="s">
        <v>53</v>
      </c>
      <c r="C1262">
        <v>2142</v>
      </c>
      <c r="D1262">
        <v>84</v>
      </c>
      <c r="E1262" t="s">
        <v>960</v>
      </c>
      <c r="F1262" s="35" t="s">
        <v>998</v>
      </c>
      <c r="G1262" s="28" t="s">
        <v>7187</v>
      </c>
      <c r="H1262" s="28" t="s">
        <v>6781</v>
      </c>
      <c r="I1262" s="28" t="s">
        <v>7794</v>
      </c>
      <c r="J1262" s="28" t="s">
        <v>7791</v>
      </c>
      <c r="K1262" s="28" t="s">
        <v>7802</v>
      </c>
      <c r="L1262" s="28" t="s">
        <v>7803</v>
      </c>
      <c r="M1262" s="28" t="s">
        <v>7196</v>
      </c>
      <c r="N1262" s="28" t="s">
        <v>6805</v>
      </c>
    </row>
    <row r="1263" spans="1:14">
      <c r="A1263" t="s">
        <v>24</v>
      </c>
      <c r="B1263" t="s">
        <v>53</v>
      </c>
      <c r="C1263">
        <v>2145</v>
      </c>
      <c r="D1263">
        <v>70</v>
      </c>
      <c r="E1263" t="s">
        <v>960</v>
      </c>
      <c r="F1263" s="35" t="s">
        <v>999</v>
      </c>
      <c r="G1263" s="28" t="s">
        <v>7667</v>
      </c>
      <c r="H1263" s="28" t="s">
        <v>7488</v>
      </c>
      <c r="I1263" s="28" t="s">
        <v>7798</v>
      </c>
      <c r="J1263" s="28" t="s">
        <v>7799</v>
      </c>
      <c r="K1263" s="28" t="s">
        <v>7804</v>
      </c>
      <c r="L1263" s="28" t="s">
        <v>7805</v>
      </c>
      <c r="M1263" s="28" t="s">
        <v>7688</v>
      </c>
      <c r="N1263" s="28" t="s">
        <v>7502</v>
      </c>
    </row>
    <row r="1264" spans="1:14">
      <c r="A1264" t="s">
        <v>26</v>
      </c>
      <c r="B1264" t="s">
        <v>69</v>
      </c>
      <c r="C1264">
        <v>2146</v>
      </c>
      <c r="D1264">
        <v>414</v>
      </c>
      <c r="E1264" t="s">
        <v>960</v>
      </c>
      <c r="F1264" s="35" t="s">
        <v>999</v>
      </c>
      <c r="G1264" s="28" t="s">
        <v>7806</v>
      </c>
      <c r="H1264" s="28" t="s">
        <v>7488</v>
      </c>
      <c r="I1264" s="28" t="s">
        <v>7807</v>
      </c>
      <c r="J1264" s="28" t="s">
        <v>7490</v>
      </c>
      <c r="K1264" s="28" t="s">
        <v>7808</v>
      </c>
      <c r="L1264" s="28" t="s">
        <v>7670</v>
      </c>
      <c r="M1264" s="28" t="s">
        <v>7809</v>
      </c>
      <c r="N1264" s="28" t="s">
        <v>7532</v>
      </c>
    </row>
    <row r="1265" spans="1:14">
      <c r="A1265" t="s">
        <v>26</v>
      </c>
      <c r="B1265" t="s">
        <v>52</v>
      </c>
      <c r="C1265">
        <v>2146</v>
      </c>
      <c r="D1265">
        <v>70</v>
      </c>
      <c r="E1265" t="s">
        <v>960</v>
      </c>
      <c r="F1265" s="35" t="s">
        <v>999</v>
      </c>
      <c r="G1265" s="28" t="s">
        <v>7806</v>
      </c>
      <c r="H1265" s="28" t="s">
        <v>7488</v>
      </c>
      <c r="I1265" s="28" t="s">
        <v>7807</v>
      </c>
      <c r="J1265" s="28" t="s">
        <v>7490</v>
      </c>
      <c r="K1265" s="28" t="s">
        <v>7810</v>
      </c>
      <c r="L1265" s="28" t="s">
        <v>7492</v>
      </c>
      <c r="M1265" s="28" t="s">
        <v>7811</v>
      </c>
      <c r="N1265" s="28" t="s">
        <v>7494</v>
      </c>
    </row>
    <row r="1266" spans="1:14">
      <c r="A1266" t="s">
        <v>26</v>
      </c>
      <c r="B1266" t="s">
        <v>54</v>
      </c>
      <c r="C1266">
        <v>2146</v>
      </c>
      <c r="D1266">
        <v>5</v>
      </c>
      <c r="E1266" t="s">
        <v>960</v>
      </c>
      <c r="F1266" s="35" t="s">
        <v>999</v>
      </c>
      <c r="G1266" s="28" t="s">
        <v>7806</v>
      </c>
      <c r="H1266" s="28" t="s">
        <v>7488</v>
      </c>
      <c r="I1266" s="28" t="s">
        <v>7807</v>
      </c>
      <c r="J1266" s="28" t="s">
        <v>7490</v>
      </c>
      <c r="K1266" s="28" t="s">
        <v>7812</v>
      </c>
      <c r="L1266" s="28" t="s">
        <v>7496</v>
      </c>
      <c r="M1266" s="28" t="s">
        <v>7813</v>
      </c>
      <c r="N1266" s="28" t="s">
        <v>7498</v>
      </c>
    </row>
    <row r="1267" spans="1:14">
      <c r="A1267" t="s">
        <v>26</v>
      </c>
      <c r="B1267" t="s">
        <v>53</v>
      </c>
      <c r="C1267">
        <v>2146</v>
      </c>
      <c r="D1267">
        <v>458</v>
      </c>
      <c r="E1267" t="s">
        <v>960</v>
      </c>
      <c r="F1267" s="35" t="s">
        <v>999</v>
      </c>
      <c r="G1267" s="28" t="s">
        <v>7806</v>
      </c>
      <c r="H1267" s="28" t="s">
        <v>7488</v>
      </c>
      <c r="I1267" s="28" t="s">
        <v>7807</v>
      </c>
      <c r="J1267" s="28" t="s">
        <v>7490</v>
      </c>
      <c r="K1267" s="28" t="s">
        <v>7814</v>
      </c>
      <c r="L1267" s="28" t="s">
        <v>7500</v>
      </c>
      <c r="M1267" s="28" t="s">
        <v>7815</v>
      </c>
      <c r="N1267" s="28" t="s">
        <v>7502</v>
      </c>
    </row>
    <row r="1268" spans="1:14">
      <c r="A1268" t="s">
        <v>26</v>
      </c>
      <c r="B1268" t="s">
        <v>53</v>
      </c>
      <c r="C1268">
        <v>2146</v>
      </c>
      <c r="D1268">
        <v>220</v>
      </c>
      <c r="E1268" t="s">
        <v>960</v>
      </c>
      <c r="F1268" s="35" t="s">
        <v>999</v>
      </c>
      <c r="G1268" s="28" t="s">
        <v>7806</v>
      </c>
      <c r="H1268" s="28" t="s">
        <v>7488</v>
      </c>
      <c r="I1268" s="28" t="s">
        <v>7807</v>
      </c>
      <c r="J1268" s="28" t="s">
        <v>7490</v>
      </c>
      <c r="K1268" s="28" t="s">
        <v>7814</v>
      </c>
      <c r="L1268" s="28" t="s">
        <v>7500</v>
      </c>
      <c r="M1268" s="28" t="s">
        <v>7815</v>
      </c>
      <c r="N1268" s="28" t="s">
        <v>7502</v>
      </c>
    </row>
    <row r="1269" spans="1:14">
      <c r="A1269" t="s">
        <v>26</v>
      </c>
      <c r="B1269" t="s">
        <v>64</v>
      </c>
      <c r="C1269">
        <v>2146</v>
      </c>
      <c r="D1269">
        <v>354</v>
      </c>
      <c r="E1269" t="s">
        <v>961</v>
      </c>
      <c r="F1269" s="35" t="s">
        <v>999</v>
      </c>
      <c r="G1269" s="28" t="s">
        <v>7816</v>
      </c>
      <c r="H1269" s="28" t="s">
        <v>7512</v>
      </c>
      <c r="I1269" s="28" t="s">
        <v>7817</v>
      </c>
      <c r="J1269" s="28" t="s">
        <v>7514</v>
      </c>
      <c r="K1269" s="28" t="s">
        <v>7818</v>
      </c>
      <c r="L1269" s="28" t="s">
        <v>7516</v>
      </c>
      <c r="M1269" s="28" t="s">
        <v>7819</v>
      </c>
      <c r="N1269" s="28" t="s">
        <v>7518</v>
      </c>
    </row>
    <row r="1270" spans="1:14">
      <c r="A1270" t="s">
        <v>26</v>
      </c>
      <c r="B1270" t="s">
        <v>65</v>
      </c>
      <c r="C1270">
        <v>2146</v>
      </c>
      <c r="D1270">
        <v>6</v>
      </c>
      <c r="E1270" t="s">
        <v>961</v>
      </c>
      <c r="F1270" s="35" t="s">
        <v>999</v>
      </c>
      <c r="G1270" s="28" t="s">
        <v>7816</v>
      </c>
      <c r="H1270" s="28" t="s">
        <v>7512</v>
      </c>
      <c r="I1270" s="28" t="s">
        <v>7817</v>
      </c>
      <c r="J1270" s="28" t="s">
        <v>7514</v>
      </c>
      <c r="K1270" s="28" t="s">
        <v>7820</v>
      </c>
      <c r="L1270" s="28" t="s">
        <v>7520</v>
      </c>
      <c r="M1270" s="28" t="s">
        <v>7821</v>
      </c>
      <c r="N1270" s="28" t="s">
        <v>7522</v>
      </c>
    </row>
    <row r="1271" spans="1:14">
      <c r="A1271" t="s">
        <v>965</v>
      </c>
      <c r="B1271" t="s">
        <v>58</v>
      </c>
      <c r="C1271">
        <v>2146</v>
      </c>
      <c r="D1271">
        <v>56</v>
      </c>
      <c r="E1271" t="s">
        <v>961</v>
      </c>
      <c r="F1271" s="35" t="s">
        <v>999</v>
      </c>
      <c r="G1271" s="28" t="s">
        <v>7816</v>
      </c>
      <c r="H1271" s="28" t="s">
        <v>7512</v>
      </c>
      <c r="I1271" s="28" t="s">
        <v>7822</v>
      </c>
      <c r="J1271" s="28" t="s">
        <v>7700</v>
      </c>
      <c r="K1271" s="28" t="s">
        <v>7823</v>
      </c>
      <c r="L1271" s="28" t="s">
        <v>7702</v>
      </c>
      <c r="M1271" s="28" t="s">
        <v>7824</v>
      </c>
      <c r="N1271" s="28" t="s">
        <v>7704</v>
      </c>
    </row>
    <row r="1272" spans="1:14">
      <c r="A1272" t="s">
        <v>965</v>
      </c>
      <c r="B1272" t="s">
        <v>61</v>
      </c>
      <c r="C1272">
        <v>2146</v>
      </c>
      <c r="D1272">
        <v>60</v>
      </c>
      <c r="E1272" t="s">
        <v>961</v>
      </c>
      <c r="F1272" s="35" t="s">
        <v>999</v>
      </c>
      <c r="G1272" s="28" t="s">
        <v>7816</v>
      </c>
      <c r="H1272" s="28" t="s">
        <v>7512</v>
      </c>
      <c r="I1272" s="28" t="s">
        <v>7822</v>
      </c>
      <c r="J1272" s="28" t="s">
        <v>7700</v>
      </c>
      <c r="K1272" s="28" t="s">
        <v>7825</v>
      </c>
      <c r="L1272" s="28" t="s">
        <v>7826</v>
      </c>
      <c r="M1272" s="28" t="s">
        <v>7827</v>
      </c>
      <c r="N1272" s="28" t="s">
        <v>7828</v>
      </c>
    </row>
    <row r="1273" spans="1:14">
      <c r="A1273" t="s">
        <v>965</v>
      </c>
      <c r="B1273" t="s">
        <v>63</v>
      </c>
      <c r="C1273">
        <v>2146</v>
      </c>
      <c r="D1273">
        <v>5</v>
      </c>
      <c r="E1273" t="s">
        <v>961</v>
      </c>
      <c r="F1273" s="35" t="s">
        <v>999</v>
      </c>
      <c r="G1273" s="28" t="s">
        <v>7816</v>
      </c>
      <c r="H1273" s="28" t="s">
        <v>7512</v>
      </c>
      <c r="I1273" s="28" t="s">
        <v>7822</v>
      </c>
      <c r="J1273" s="28" t="s">
        <v>7700</v>
      </c>
      <c r="K1273" s="28" t="s">
        <v>7829</v>
      </c>
      <c r="L1273" s="28" t="s">
        <v>7830</v>
      </c>
      <c r="M1273" s="28" t="s">
        <v>7831</v>
      </c>
      <c r="N1273" s="28" t="s">
        <v>7526</v>
      </c>
    </row>
    <row r="1274" spans="1:14">
      <c r="A1274" t="s">
        <v>965</v>
      </c>
      <c r="B1274" t="s">
        <v>69</v>
      </c>
      <c r="C1274">
        <v>2146</v>
      </c>
      <c r="D1274">
        <v>148</v>
      </c>
      <c r="E1274" t="s">
        <v>960</v>
      </c>
      <c r="F1274" s="35" t="s">
        <v>999</v>
      </c>
      <c r="G1274" s="28" t="s">
        <v>7806</v>
      </c>
      <c r="H1274" s="28" t="s">
        <v>7488</v>
      </c>
      <c r="I1274" s="28" t="s">
        <v>7832</v>
      </c>
      <c r="J1274" s="28" t="s">
        <v>7528</v>
      </c>
      <c r="K1274" s="28" t="s">
        <v>7833</v>
      </c>
      <c r="L1274" s="28" t="s">
        <v>7530</v>
      </c>
      <c r="M1274" s="28" t="s">
        <v>7809</v>
      </c>
      <c r="N1274" s="28" t="s">
        <v>7532</v>
      </c>
    </row>
    <row r="1275" spans="1:14">
      <c r="A1275" t="s">
        <v>965</v>
      </c>
      <c r="B1275" t="s">
        <v>67</v>
      </c>
      <c r="C1275">
        <v>2146</v>
      </c>
      <c r="D1275">
        <v>78</v>
      </c>
      <c r="E1275" t="s">
        <v>960</v>
      </c>
      <c r="F1275" s="35" t="s">
        <v>999</v>
      </c>
      <c r="G1275" s="28" t="s">
        <v>7806</v>
      </c>
      <c r="H1275" s="28" t="s">
        <v>7488</v>
      </c>
      <c r="I1275" s="28" t="s">
        <v>7832</v>
      </c>
      <c r="J1275" s="28" t="s">
        <v>7528</v>
      </c>
      <c r="K1275" s="28" t="s">
        <v>7834</v>
      </c>
      <c r="L1275" s="28" t="s">
        <v>7708</v>
      </c>
      <c r="M1275" s="28" t="s">
        <v>7835</v>
      </c>
      <c r="N1275" s="28" t="s">
        <v>7678</v>
      </c>
    </row>
    <row r="1276" spans="1:14">
      <c r="A1276" t="s">
        <v>965</v>
      </c>
      <c r="B1276" t="s">
        <v>68</v>
      </c>
      <c r="C1276">
        <v>2146</v>
      </c>
      <c r="D1276">
        <v>313</v>
      </c>
      <c r="E1276" t="s">
        <v>960</v>
      </c>
      <c r="F1276" s="35" t="s">
        <v>999</v>
      </c>
      <c r="G1276" s="28" t="s">
        <v>7806</v>
      </c>
      <c r="H1276" s="28" t="s">
        <v>7488</v>
      </c>
      <c r="I1276" s="28" t="s">
        <v>7832</v>
      </c>
      <c r="J1276" s="28" t="s">
        <v>7528</v>
      </c>
      <c r="K1276" s="28" t="s">
        <v>7836</v>
      </c>
      <c r="L1276" s="28" t="s">
        <v>7534</v>
      </c>
      <c r="M1276" s="28" t="s">
        <v>7837</v>
      </c>
      <c r="N1276" s="28" t="s">
        <v>7510</v>
      </c>
    </row>
    <row r="1277" spans="1:14">
      <c r="A1277" t="s">
        <v>965</v>
      </c>
      <c r="B1277" t="s">
        <v>52</v>
      </c>
      <c r="C1277">
        <v>2146</v>
      </c>
      <c r="D1277">
        <v>985</v>
      </c>
      <c r="E1277" t="s">
        <v>960</v>
      </c>
      <c r="F1277" s="35" t="s">
        <v>999</v>
      </c>
      <c r="G1277" s="28" t="s">
        <v>7806</v>
      </c>
      <c r="H1277" s="28" t="s">
        <v>7488</v>
      </c>
      <c r="I1277" s="28" t="s">
        <v>7832</v>
      </c>
      <c r="J1277" s="28" t="s">
        <v>7528</v>
      </c>
      <c r="K1277" s="28" t="s">
        <v>7838</v>
      </c>
      <c r="L1277" s="28" t="s">
        <v>7536</v>
      </c>
      <c r="M1277" s="28" t="s">
        <v>7811</v>
      </c>
      <c r="N1277" s="28" t="s">
        <v>7494</v>
      </c>
    </row>
    <row r="1278" spans="1:14">
      <c r="A1278" t="s">
        <v>965</v>
      </c>
      <c r="B1278" t="s">
        <v>56</v>
      </c>
      <c r="C1278">
        <v>2146</v>
      </c>
      <c r="D1278">
        <v>38</v>
      </c>
      <c r="E1278" t="s">
        <v>960</v>
      </c>
      <c r="F1278" s="35" t="s">
        <v>999</v>
      </c>
      <c r="G1278" s="28" t="s">
        <v>7806</v>
      </c>
      <c r="H1278" s="28" t="s">
        <v>7488</v>
      </c>
      <c r="I1278" s="28" t="s">
        <v>7832</v>
      </c>
      <c r="J1278" s="28" t="s">
        <v>7528</v>
      </c>
      <c r="K1278" s="28" t="s">
        <v>7839</v>
      </c>
      <c r="L1278" s="28" t="s">
        <v>7712</v>
      </c>
      <c r="M1278" s="28" t="s">
        <v>7840</v>
      </c>
      <c r="N1278" s="28" t="s">
        <v>7625</v>
      </c>
    </row>
    <row r="1279" spans="1:14">
      <c r="A1279" t="s">
        <v>965</v>
      </c>
      <c r="B1279" t="s">
        <v>53</v>
      </c>
      <c r="C1279">
        <v>2146</v>
      </c>
      <c r="D1279">
        <v>613</v>
      </c>
      <c r="E1279" t="s">
        <v>960</v>
      </c>
      <c r="F1279" s="35" t="s">
        <v>999</v>
      </c>
      <c r="G1279" s="28" t="s">
        <v>7806</v>
      </c>
      <c r="H1279" s="28" t="s">
        <v>7488</v>
      </c>
      <c r="I1279" s="28" t="s">
        <v>7832</v>
      </c>
      <c r="J1279" s="28" t="s">
        <v>7528</v>
      </c>
      <c r="K1279" s="28" t="s">
        <v>7841</v>
      </c>
      <c r="L1279" s="28" t="s">
        <v>7714</v>
      </c>
      <c r="M1279" s="28" t="s">
        <v>7815</v>
      </c>
      <c r="N1279" s="28" t="s">
        <v>7502</v>
      </c>
    </row>
    <row r="1280" spans="1:14">
      <c r="A1280" t="s">
        <v>965</v>
      </c>
      <c r="B1280" t="s">
        <v>66</v>
      </c>
      <c r="C1280">
        <v>2146</v>
      </c>
      <c r="D1280">
        <v>249</v>
      </c>
      <c r="E1280" t="s">
        <v>960</v>
      </c>
      <c r="F1280" s="35" t="s">
        <v>999</v>
      </c>
      <c r="G1280" s="28" t="s">
        <v>7806</v>
      </c>
      <c r="H1280" s="28" t="s">
        <v>7488</v>
      </c>
      <c r="I1280" s="28" t="s">
        <v>7832</v>
      </c>
      <c r="J1280" s="28" t="s">
        <v>7528</v>
      </c>
      <c r="K1280" s="28" t="s">
        <v>7842</v>
      </c>
      <c r="L1280" s="28" t="s">
        <v>7716</v>
      </c>
      <c r="M1280" s="28" t="s">
        <v>7843</v>
      </c>
      <c r="N1280" s="28" t="s">
        <v>7506</v>
      </c>
    </row>
    <row r="1281" spans="1:14">
      <c r="A1281" t="s">
        <v>25</v>
      </c>
      <c r="B1281" t="s">
        <v>54</v>
      </c>
      <c r="C1281">
        <v>2145</v>
      </c>
      <c r="D1281">
        <v>77</v>
      </c>
      <c r="E1281" t="s">
        <v>960</v>
      </c>
      <c r="F1281" s="35" t="s">
        <v>999</v>
      </c>
      <c r="G1281" s="28" t="s">
        <v>7667</v>
      </c>
      <c r="H1281" s="28" t="s">
        <v>7488</v>
      </c>
      <c r="I1281" s="28" t="s">
        <v>7844</v>
      </c>
      <c r="J1281" s="28" t="s">
        <v>7845</v>
      </c>
      <c r="K1281" s="28" t="s">
        <v>7846</v>
      </c>
      <c r="L1281" s="28" t="s">
        <v>7847</v>
      </c>
      <c r="M1281" s="28" t="s">
        <v>7682</v>
      </c>
      <c r="N1281" s="28" t="s">
        <v>7498</v>
      </c>
    </row>
    <row r="1282" spans="1:14">
      <c r="A1282" t="s">
        <v>25</v>
      </c>
      <c r="B1282" t="s">
        <v>55</v>
      </c>
      <c r="C1282">
        <v>2144</v>
      </c>
      <c r="D1282">
        <v>72</v>
      </c>
      <c r="E1282" t="s">
        <v>960</v>
      </c>
      <c r="F1282" s="35" t="s">
        <v>999</v>
      </c>
      <c r="G1282" s="28" t="s">
        <v>7487</v>
      </c>
      <c r="H1282" s="28" t="s">
        <v>7488</v>
      </c>
      <c r="I1282" s="28" t="s">
        <v>7848</v>
      </c>
      <c r="J1282" s="28" t="s">
        <v>7845</v>
      </c>
      <c r="K1282" s="28" t="s">
        <v>7849</v>
      </c>
      <c r="L1282" s="28" t="s">
        <v>7850</v>
      </c>
      <c r="M1282" s="28" t="s">
        <v>7851</v>
      </c>
      <c r="N1282" s="28" t="s">
        <v>7686</v>
      </c>
    </row>
    <row r="1283" spans="1:14">
      <c r="A1283" t="s">
        <v>25</v>
      </c>
      <c r="B1283" t="s">
        <v>56</v>
      </c>
      <c r="C1283">
        <v>2144</v>
      </c>
      <c r="D1283">
        <v>96</v>
      </c>
      <c r="E1283" t="s">
        <v>960</v>
      </c>
      <c r="F1283" s="35" t="s">
        <v>999</v>
      </c>
      <c r="G1283" s="28" t="s">
        <v>7487</v>
      </c>
      <c r="H1283" s="28" t="s">
        <v>7488</v>
      </c>
      <c r="I1283" s="28" t="s">
        <v>7848</v>
      </c>
      <c r="J1283" s="28" t="s">
        <v>7845</v>
      </c>
      <c r="K1283" s="28" t="s">
        <v>7852</v>
      </c>
      <c r="L1283" s="28" t="s">
        <v>7853</v>
      </c>
      <c r="M1283" s="28" t="s">
        <v>7624</v>
      </c>
      <c r="N1283" s="28" t="s">
        <v>7625</v>
      </c>
    </row>
    <row r="1284" spans="1:14">
      <c r="A1284" t="s">
        <v>24</v>
      </c>
      <c r="B1284" t="s">
        <v>52</v>
      </c>
      <c r="C1284">
        <v>2146</v>
      </c>
      <c r="D1284">
        <v>482</v>
      </c>
      <c r="E1284" t="s">
        <v>960</v>
      </c>
      <c r="F1284" s="35" t="s">
        <v>999</v>
      </c>
      <c r="G1284" s="28" t="s">
        <v>7806</v>
      </c>
      <c r="H1284" s="28" t="s">
        <v>7488</v>
      </c>
      <c r="I1284" s="28" t="s">
        <v>7854</v>
      </c>
      <c r="J1284" s="28" t="s">
        <v>7799</v>
      </c>
      <c r="K1284" s="28" t="s">
        <v>7855</v>
      </c>
      <c r="L1284" s="28" t="s">
        <v>7801</v>
      </c>
      <c r="M1284" s="28" t="s">
        <v>7811</v>
      </c>
      <c r="N1284" s="28" t="s">
        <v>7494</v>
      </c>
    </row>
    <row r="1285" spans="1:14">
      <c r="A1285" t="s">
        <v>24</v>
      </c>
      <c r="B1285" t="s">
        <v>53</v>
      </c>
      <c r="C1285">
        <v>2145</v>
      </c>
      <c r="D1285">
        <v>71</v>
      </c>
      <c r="E1285" t="s">
        <v>960</v>
      </c>
      <c r="F1285" s="35" t="s">
        <v>999</v>
      </c>
      <c r="G1285" s="28" t="s">
        <v>7667</v>
      </c>
      <c r="H1285" s="28" t="s">
        <v>7488</v>
      </c>
      <c r="I1285" s="28" t="s">
        <v>7798</v>
      </c>
      <c r="J1285" s="28" t="s">
        <v>7799</v>
      </c>
      <c r="K1285" s="28" t="s">
        <v>7804</v>
      </c>
      <c r="L1285" s="28" t="s">
        <v>7805</v>
      </c>
      <c r="M1285" s="28" t="s">
        <v>7688</v>
      </c>
      <c r="N1285" s="28" t="s">
        <v>7502</v>
      </c>
    </row>
    <row r="1286" spans="1:14">
      <c r="A1286" t="s">
        <v>27</v>
      </c>
      <c r="B1286" t="s">
        <v>69</v>
      </c>
      <c r="C1286">
        <v>2145</v>
      </c>
      <c r="D1286">
        <v>128</v>
      </c>
      <c r="E1286" t="s">
        <v>960</v>
      </c>
      <c r="F1286" s="35" t="s">
        <v>999</v>
      </c>
      <c r="G1286" s="28" t="s">
        <v>7667</v>
      </c>
      <c r="H1286" s="28" t="s">
        <v>7488</v>
      </c>
      <c r="I1286" s="28" t="s">
        <v>7864</v>
      </c>
      <c r="J1286" s="28" t="s">
        <v>7621</v>
      </c>
      <c r="K1286" s="28" t="s">
        <v>7865</v>
      </c>
      <c r="L1286" s="28" t="s">
        <v>7866</v>
      </c>
      <c r="M1286" s="28" t="s">
        <v>7671</v>
      </c>
      <c r="N1286" s="28" t="s">
        <v>7532</v>
      </c>
    </row>
    <row r="1287" spans="1:14">
      <c r="A1287" t="s">
        <v>27</v>
      </c>
      <c r="B1287" t="s">
        <v>67</v>
      </c>
      <c r="C1287">
        <v>2145</v>
      </c>
      <c r="D1287">
        <v>32</v>
      </c>
      <c r="E1287" t="s">
        <v>960</v>
      </c>
      <c r="F1287" s="35" t="s">
        <v>999</v>
      </c>
      <c r="G1287" s="28" t="s">
        <v>7667</v>
      </c>
      <c r="H1287" s="28" t="s">
        <v>7488</v>
      </c>
      <c r="I1287" s="28" t="s">
        <v>7864</v>
      </c>
      <c r="J1287" s="28" t="s">
        <v>7621</v>
      </c>
      <c r="K1287" s="28" t="s">
        <v>7867</v>
      </c>
      <c r="L1287" s="28" t="s">
        <v>7868</v>
      </c>
      <c r="M1287" s="28" t="s">
        <v>7677</v>
      </c>
      <c r="N1287" s="28" t="s">
        <v>7678</v>
      </c>
    </row>
    <row r="1288" spans="1:14">
      <c r="A1288" t="s">
        <v>27</v>
      </c>
      <c r="B1288" t="s">
        <v>67</v>
      </c>
      <c r="C1288">
        <v>2146</v>
      </c>
      <c r="D1288">
        <v>40</v>
      </c>
      <c r="E1288" t="s">
        <v>960</v>
      </c>
      <c r="F1288" s="35" t="s">
        <v>999</v>
      </c>
      <c r="G1288" s="28" t="s">
        <v>7806</v>
      </c>
      <c r="H1288" s="28" t="s">
        <v>7488</v>
      </c>
      <c r="I1288" s="28" t="s">
        <v>7869</v>
      </c>
      <c r="J1288" s="28" t="s">
        <v>7621</v>
      </c>
      <c r="K1288" s="28" t="s">
        <v>7870</v>
      </c>
      <c r="L1288" s="28" t="s">
        <v>7868</v>
      </c>
      <c r="M1288" s="28" t="s">
        <v>7835</v>
      </c>
      <c r="N1288" s="28" t="s">
        <v>7678</v>
      </c>
    </row>
    <row r="1289" spans="1:14">
      <c r="A1289" t="s">
        <v>27</v>
      </c>
      <c r="B1289" t="s">
        <v>54</v>
      </c>
      <c r="C1289">
        <v>2146</v>
      </c>
      <c r="D1289">
        <v>10</v>
      </c>
      <c r="E1289" t="s">
        <v>960</v>
      </c>
      <c r="F1289" s="35" t="s">
        <v>999</v>
      </c>
      <c r="G1289" s="28" t="s">
        <v>7806</v>
      </c>
      <c r="H1289" s="28" t="s">
        <v>7488</v>
      </c>
      <c r="I1289" s="28" t="s">
        <v>7869</v>
      </c>
      <c r="J1289" s="28" t="s">
        <v>7621</v>
      </c>
      <c r="K1289" s="28" t="s">
        <v>7871</v>
      </c>
      <c r="L1289" s="28" t="s">
        <v>7872</v>
      </c>
      <c r="M1289" s="28" t="s">
        <v>7813</v>
      </c>
      <c r="N1289" s="28" t="s">
        <v>7498</v>
      </c>
    </row>
    <row r="1290" spans="1:14">
      <c r="A1290" t="s">
        <v>27</v>
      </c>
      <c r="B1290" t="s">
        <v>55</v>
      </c>
      <c r="C1290">
        <v>2146</v>
      </c>
      <c r="D1290">
        <v>32</v>
      </c>
      <c r="E1290" t="s">
        <v>960</v>
      </c>
      <c r="F1290" s="35" t="s">
        <v>999</v>
      </c>
      <c r="G1290" s="28" t="s">
        <v>7806</v>
      </c>
      <c r="H1290" s="28" t="s">
        <v>7488</v>
      </c>
      <c r="I1290" s="28" t="s">
        <v>7869</v>
      </c>
      <c r="J1290" s="28" t="s">
        <v>7621</v>
      </c>
      <c r="K1290" s="28" t="s">
        <v>7873</v>
      </c>
      <c r="L1290" s="28" t="s">
        <v>7874</v>
      </c>
      <c r="M1290" s="28" t="s">
        <v>7875</v>
      </c>
      <c r="N1290" s="28" t="s">
        <v>7686</v>
      </c>
    </row>
    <row r="1291" spans="1:14">
      <c r="A1291" t="s">
        <v>27</v>
      </c>
      <c r="B1291" t="s">
        <v>56</v>
      </c>
      <c r="C1291">
        <v>2145</v>
      </c>
      <c r="D1291">
        <v>48</v>
      </c>
      <c r="E1291" t="s">
        <v>960</v>
      </c>
      <c r="F1291" s="35" t="s">
        <v>999</v>
      </c>
      <c r="G1291" s="28" t="s">
        <v>7667</v>
      </c>
      <c r="H1291" s="28" t="s">
        <v>7488</v>
      </c>
      <c r="I1291" s="28" t="s">
        <v>7864</v>
      </c>
      <c r="J1291" s="28" t="s">
        <v>7621</v>
      </c>
      <c r="K1291" s="28" t="s">
        <v>7876</v>
      </c>
      <c r="L1291" s="28" t="s">
        <v>7623</v>
      </c>
      <c r="M1291" s="28" t="s">
        <v>7674</v>
      </c>
      <c r="N1291" s="28" t="s">
        <v>7625</v>
      </c>
    </row>
    <row r="1292" spans="1:14">
      <c r="A1292" t="s">
        <v>27</v>
      </c>
      <c r="B1292" t="s">
        <v>56</v>
      </c>
      <c r="C1292">
        <v>2146</v>
      </c>
      <c r="D1292">
        <v>23</v>
      </c>
      <c r="E1292" t="s">
        <v>960</v>
      </c>
      <c r="F1292" s="35" t="s">
        <v>999</v>
      </c>
      <c r="G1292" s="28" t="s">
        <v>7806</v>
      </c>
      <c r="H1292" s="28" t="s">
        <v>7488</v>
      </c>
      <c r="I1292" s="28" t="s">
        <v>7869</v>
      </c>
      <c r="J1292" s="28" t="s">
        <v>7621</v>
      </c>
      <c r="K1292" s="28" t="s">
        <v>7877</v>
      </c>
      <c r="L1292" s="28" t="s">
        <v>7623</v>
      </c>
      <c r="M1292" s="28" t="s">
        <v>7840</v>
      </c>
      <c r="N1292" s="28" t="s">
        <v>7625</v>
      </c>
    </row>
    <row r="1293" spans="1:14">
      <c r="A1293" t="s">
        <v>27</v>
      </c>
      <c r="B1293" t="s">
        <v>53</v>
      </c>
      <c r="C1293">
        <v>2145</v>
      </c>
      <c r="D1293">
        <v>66</v>
      </c>
      <c r="E1293" t="s">
        <v>960</v>
      </c>
      <c r="F1293" s="35" t="s">
        <v>999</v>
      </c>
      <c r="G1293" s="28" t="s">
        <v>7667</v>
      </c>
      <c r="H1293" s="28" t="s">
        <v>7488</v>
      </c>
      <c r="I1293" s="28" t="s">
        <v>7864</v>
      </c>
      <c r="J1293" s="28" t="s">
        <v>7621</v>
      </c>
      <c r="K1293" s="28" t="s">
        <v>7878</v>
      </c>
      <c r="L1293" s="28" t="s">
        <v>7628</v>
      </c>
      <c r="M1293" s="28" t="s">
        <v>7688</v>
      </c>
      <c r="N1293" s="28" t="s">
        <v>7502</v>
      </c>
    </row>
    <row r="1294" spans="1:14">
      <c r="A1294" t="s">
        <v>27</v>
      </c>
      <c r="B1294" t="s">
        <v>53</v>
      </c>
      <c r="C1294">
        <v>2146</v>
      </c>
      <c r="D1294">
        <v>89</v>
      </c>
      <c r="E1294" t="s">
        <v>960</v>
      </c>
      <c r="F1294" s="35" t="s">
        <v>999</v>
      </c>
      <c r="G1294" s="28" t="s">
        <v>7806</v>
      </c>
      <c r="H1294" s="28" t="s">
        <v>7488</v>
      </c>
      <c r="I1294" s="28" t="s">
        <v>7869</v>
      </c>
      <c r="J1294" s="28" t="s">
        <v>7621</v>
      </c>
      <c r="K1294" s="28" t="s">
        <v>7879</v>
      </c>
      <c r="L1294" s="28" t="s">
        <v>7628</v>
      </c>
      <c r="M1294" s="28" t="s">
        <v>7815</v>
      </c>
      <c r="N1294" s="28" t="s">
        <v>7502</v>
      </c>
    </row>
    <row r="1295" spans="1:14">
      <c r="A1295" t="s">
        <v>24</v>
      </c>
      <c r="B1295" t="s">
        <v>52</v>
      </c>
      <c r="C1295">
        <v>2146</v>
      </c>
      <c r="D1295">
        <v>484</v>
      </c>
      <c r="E1295" t="s">
        <v>960</v>
      </c>
      <c r="F1295" s="35" t="s">
        <v>999</v>
      </c>
      <c r="G1295" s="28" t="s">
        <v>7806</v>
      </c>
      <c r="H1295" s="28" t="s">
        <v>7488</v>
      </c>
      <c r="I1295" s="28" t="s">
        <v>7854</v>
      </c>
      <c r="J1295" s="28" t="s">
        <v>7799</v>
      </c>
      <c r="K1295" s="28" t="s">
        <v>7855</v>
      </c>
      <c r="L1295" s="28" t="s">
        <v>7801</v>
      </c>
      <c r="M1295" s="28" t="s">
        <v>7811</v>
      </c>
      <c r="N1295" s="28" t="s">
        <v>7494</v>
      </c>
    </row>
    <row r="1296" spans="1:14">
      <c r="A1296" t="s">
        <v>24</v>
      </c>
      <c r="B1296" t="s">
        <v>53</v>
      </c>
      <c r="C1296">
        <v>2147</v>
      </c>
      <c r="D1296">
        <v>129</v>
      </c>
      <c r="E1296" t="s">
        <v>960</v>
      </c>
      <c r="F1296" s="35" t="s">
        <v>999</v>
      </c>
      <c r="G1296" s="28" t="s">
        <v>7939</v>
      </c>
      <c r="H1296" s="28" t="s">
        <v>7488</v>
      </c>
      <c r="I1296" s="28" t="s">
        <v>7940</v>
      </c>
      <c r="J1296" s="28" t="s">
        <v>7799</v>
      </c>
      <c r="K1296" s="28" t="s">
        <v>7941</v>
      </c>
      <c r="L1296" s="28" t="s">
        <v>7805</v>
      </c>
      <c r="M1296" s="28" t="s">
        <v>7942</v>
      </c>
      <c r="N1296" s="28" t="s">
        <v>7502</v>
      </c>
    </row>
    <row r="1297" spans="1:14">
      <c r="A1297" t="s">
        <v>26</v>
      </c>
      <c r="B1297" t="s">
        <v>69</v>
      </c>
      <c r="C1297">
        <v>2147</v>
      </c>
      <c r="D1297">
        <v>718</v>
      </c>
      <c r="E1297" t="s">
        <v>960</v>
      </c>
      <c r="F1297" s="35" t="s">
        <v>999</v>
      </c>
      <c r="G1297" s="28" t="s">
        <v>7939</v>
      </c>
      <c r="H1297" s="28" t="s">
        <v>7488</v>
      </c>
      <c r="I1297" s="28" t="s">
        <v>7943</v>
      </c>
      <c r="J1297" s="28" t="s">
        <v>7490</v>
      </c>
      <c r="K1297" s="28" t="s">
        <v>7944</v>
      </c>
      <c r="L1297" s="28" t="s">
        <v>7670</v>
      </c>
      <c r="M1297" s="28" t="s">
        <v>7945</v>
      </c>
      <c r="N1297" s="28" t="s">
        <v>7532</v>
      </c>
    </row>
    <row r="1298" spans="1:14">
      <c r="A1298" t="s">
        <v>26</v>
      </c>
      <c r="B1298" t="s">
        <v>56</v>
      </c>
      <c r="C1298">
        <v>2147</v>
      </c>
      <c r="D1298">
        <v>1108</v>
      </c>
      <c r="E1298" t="s">
        <v>960</v>
      </c>
      <c r="F1298" s="35" t="s">
        <v>999</v>
      </c>
      <c r="G1298" s="28" t="s">
        <v>7939</v>
      </c>
      <c r="H1298" s="28" t="s">
        <v>7488</v>
      </c>
      <c r="I1298" s="28" t="s">
        <v>7943</v>
      </c>
      <c r="J1298" s="28" t="s">
        <v>7490</v>
      </c>
      <c r="K1298" s="28" t="s">
        <v>7946</v>
      </c>
      <c r="L1298" s="28" t="s">
        <v>7673</v>
      </c>
      <c r="M1298" s="28" t="s">
        <v>7947</v>
      </c>
      <c r="N1298" s="28" t="s">
        <v>7625</v>
      </c>
    </row>
    <row r="1299" spans="1:14">
      <c r="A1299" t="s">
        <v>26</v>
      </c>
      <c r="B1299" t="s">
        <v>67</v>
      </c>
      <c r="C1299">
        <v>2147</v>
      </c>
      <c r="D1299">
        <v>195</v>
      </c>
      <c r="E1299" t="s">
        <v>960</v>
      </c>
      <c r="F1299" s="35" t="s">
        <v>999</v>
      </c>
      <c r="G1299" s="28" t="s">
        <v>7939</v>
      </c>
      <c r="H1299" s="28" t="s">
        <v>7488</v>
      </c>
      <c r="I1299" s="28" t="s">
        <v>7943</v>
      </c>
      <c r="J1299" s="28" t="s">
        <v>7490</v>
      </c>
      <c r="K1299" s="28" t="s">
        <v>7948</v>
      </c>
      <c r="L1299" s="28" t="s">
        <v>7676</v>
      </c>
      <c r="M1299" s="28" t="s">
        <v>7949</v>
      </c>
      <c r="N1299" s="28" t="s">
        <v>7678</v>
      </c>
    </row>
    <row r="1300" spans="1:14">
      <c r="A1300" t="s">
        <v>26</v>
      </c>
      <c r="B1300" t="s">
        <v>52</v>
      </c>
      <c r="C1300">
        <v>2147</v>
      </c>
      <c r="D1300">
        <v>15</v>
      </c>
      <c r="E1300" t="s">
        <v>960</v>
      </c>
      <c r="F1300" s="35" t="s">
        <v>999</v>
      </c>
      <c r="G1300" s="28" t="s">
        <v>7939</v>
      </c>
      <c r="H1300" s="28" t="s">
        <v>7488</v>
      </c>
      <c r="I1300" s="28" t="s">
        <v>7943</v>
      </c>
      <c r="J1300" s="28" t="s">
        <v>7490</v>
      </c>
      <c r="K1300" s="28" t="s">
        <v>7950</v>
      </c>
      <c r="L1300" s="28" t="s">
        <v>7492</v>
      </c>
      <c r="M1300" s="28" t="s">
        <v>7951</v>
      </c>
      <c r="N1300" s="28" t="s">
        <v>7494</v>
      </c>
    </row>
    <row r="1301" spans="1:14">
      <c r="A1301" t="s">
        <v>26</v>
      </c>
      <c r="B1301" t="s">
        <v>53</v>
      </c>
      <c r="C1301">
        <v>2147</v>
      </c>
      <c r="D1301">
        <v>138</v>
      </c>
      <c r="E1301" t="s">
        <v>960</v>
      </c>
      <c r="F1301" s="35" t="s">
        <v>999</v>
      </c>
      <c r="G1301" s="28" t="s">
        <v>7939</v>
      </c>
      <c r="H1301" s="28" t="s">
        <v>7488</v>
      </c>
      <c r="I1301" s="28" t="s">
        <v>7943</v>
      </c>
      <c r="J1301" s="28" t="s">
        <v>7490</v>
      </c>
      <c r="K1301" s="28" t="s">
        <v>7952</v>
      </c>
      <c r="L1301" s="28" t="s">
        <v>7500</v>
      </c>
      <c r="M1301" s="28" t="s">
        <v>7942</v>
      </c>
      <c r="N1301" s="28" t="s">
        <v>7502</v>
      </c>
    </row>
    <row r="1302" spans="1:14">
      <c r="A1302" t="s">
        <v>26</v>
      </c>
      <c r="B1302" t="s">
        <v>53</v>
      </c>
      <c r="C1302">
        <v>2147</v>
      </c>
      <c r="D1302">
        <v>927</v>
      </c>
      <c r="E1302" t="s">
        <v>960</v>
      </c>
      <c r="F1302" s="35" t="s">
        <v>999</v>
      </c>
      <c r="G1302" s="28" t="s">
        <v>7939</v>
      </c>
      <c r="H1302" s="28" t="s">
        <v>7488</v>
      </c>
      <c r="I1302" s="28" t="s">
        <v>7943</v>
      </c>
      <c r="J1302" s="28" t="s">
        <v>7490</v>
      </c>
      <c r="K1302" s="28" t="s">
        <v>7952</v>
      </c>
      <c r="L1302" s="28" t="s">
        <v>7500</v>
      </c>
      <c r="M1302" s="28" t="s">
        <v>7942</v>
      </c>
      <c r="N1302" s="28" t="s">
        <v>7502</v>
      </c>
    </row>
    <row r="1303" spans="1:14">
      <c r="A1303" t="s">
        <v>26</v>
      </c>
      <c r="B1303" t="s">
        <v>68</v>
      </c>
      <c r="C1303">
        <v>2147</v>
      </c>
      <c r="D1303">
        <v>289</v>
      </c>
      <c r="E1303" t="s">
        <v>960</v>
      </c>
      <c r="F1303" s="35" t="s">
        <v>999</v>
      </c>
      <c r="G1303" s="28" t="s">
        <v>7939</v>
      </c>
      <c r="H1303" s="28" t="s">
        <v>7488</v>
      </c>
      <c r="I1303" s="28" t="s">
        <v>7943</v>
      </c>
      <c r="J1303" s="28" t="s">
        <v>7490</v>
      </c>
      <c r="K1303" s="28" t="s">
        <v>7953</v>
      </c>
      <c r="L1303" s="28" t="s">
        <v>7508</v>
      </c>
      <c r="M1303" s="28" t="s">
        <v>7954</v>
      </c>
      <c r="N1303" s="28" t="s">
        <v>7510</v>
      </c>
    </row>
    <row r="1304" spans="1:14">
      <c r="A1304" t="s">
        <v>26</v>
      </c>
      <c r="B1304" t="s">
        <v>62</v>
      </c>
      <c r="C1304">
        <v>2147</v>
      </c>
      <c r="D1304">
        <v>75</v>
      </c>
      <c r="E1304" t="s">
        <v>961</v>
      </c>
      <c r="F1304" s="35" t="s">
        <v>999</v>
      </c>
      <c r="G1304" s="28" t="s">
        <v>7955</v>
      </c>
      <c r="H1304" s="28" t="s">
        <v>7512</v>
      </c>
      <c r="I1304" s="28" t="s">
        <v>7956</v>
      </c>
      <c r="J1304" s="28" t="s">
        <v>7514</v>
      </c>
      <c r="K1304" s="28" t="s">
        <v>7957</v>
      </c>
      <c r="L1304" s="28" t="s">
        <v>7958</v>
      </c>
      <c r="M1304" s="28" t="s">
        <v>7959</v>
      </c>
      <c r="N1304" s="28" t="s">
        <v>7960</v>
      </c>
    </row>
    <row r="1305" spans="1:14">
      <c r="A1305" t="s">
        <v>26</v>
      </c>
      <c r="B1305" t="s">
        <v>65</v>
      </c>
      <c r="C1305">
        <v>2147</v>
      </c>
      <c r="D1305">
        <v>87</v>
      </c>
      <c r="E1305" t="s">
        <v>961</v>
      </c>
      <c r="F1305" s="35" t="s">
        <v>999</v>
      </c>
      <c r="G1305" s="28" t="s">
        <v>7955</v>
      </c>
      <c r="H1305" s="28" t="s">
        <v>7512</v>
      </c>
      <c r="I1305" s="28" t="s">
        <v>7956</v>
      </c>
      <c r="J1305" s="28" t="s">
        <v>7514</v>
      </c>
      <c r="K1305" s="28" t="s">
        <v>7961</v>
      </c>
      <c r="L1305" s="28" t="s">
        <v>7520</v>
      </c>
      <c r="M1305" s="28" t="s">
        <v>7962</v>
      </c>
      <c r="N1305" s="28" t="s">
        <v>7522</v>
      </c>
    </row>
    <row r="1306" spans="1:14">
      <c r="A1306" t="s">
        <v>26</v>
      </c>
      <c r="B1306" t="s">
        <v>63</v>
      </c>
      <c r="C1306">
        <v>2147</v>
      </c>
      <c r="D1306">
        <v>65</v>
      </c>
      <c r="E1306" t="s">
        <v>961</v>
      </c>
      <c r="F1306" s="35" t="s">
        <v>999</v>
      </c>
      <c r="G1306" s="28" t="s">
        <v>7955</v>
      </c>
      <c r="H1306" s="28" t="s">
        <v>7512</v>
      </c>
      <c r="I1306" s="28" t="s">
        <v>7956</v>
      </c>
      <c r="J1306" s="28" t="s">
        <v>7514</v>
      </c>
      <c r="K1306" s="28" t="s">
        <v>7963</v>
      </c>
      <c r="L1306" s="28" t="s">
        <v>7524</v>
      </c>
      <c r="M1306" s="28" t="s">
        <v>7964</v>
      </c>
      <c r="N1306" s="28" t="s">
        <v>7526</v>
      </c>
    </row>
    <row r="1307" spans="1:14">
      <c r="A1307" t="s">
        <v>965</v>
      </c>
      <c r="B1307" t="s">
        <v>63</v>
      </c>
      <c r="C1307">
        <v>2147</v>
      </c>
      <c r="D1307">
        <v>34</v>
      </c>
      <c r="E1307" t="s">
        <v>961</v>
      </c>
      <c r="F1307" s="35" t="s">
        <v>999</v>
      </c>
      <c r="G1307" s="28" t="s">
        <v>7955</v>
      </c>
      <c r="H1307" s="28" t="s">
        <v>7512</v>
      </c>
      <c r="I1307" s="28" t="s">
        <v>7965</v>
      </c>
      <c r="J1307" s="28" t="s">
        <v>7700</v>
      </c>
      <c r="K1307" s="28" t="s">
        <v>7966</v>
      </c>
      <c r="L1307" s="28" t="s">
        <v>7830</v>
      </c>
      <c r="M1307" s="28" t="s">
        <v>7964</v>
      </c>
      <c r="N1307" s="28" t="s">
        <v>7526</v>
      </c>
    </row>
    <row r="1308" spans="1:14">
      <c r="A1308" t="s">
        <v>965</v>
      </c>
      <c r="B1308" t="s">
        <v>69</v>
      </c>
      <c r="C1308">
        <v>2147</v>
      </c>
      <c r="D1308">
        <v>204</v>
      </c>
      <c r="E1308" t="s">
        <v>960</v>
      </c>
      <c r="F1308" s="35" t="s">
        <v>999</v>
      </c>
      <c r="G1308" s="28" t="s">
        <v>7939</v>
      </c>
      <c r="H1308" s="28" t="s">
        <v>7488</v>
      </c>
      <c r="I1308" s="28" t="s">
        <v>7967</v>
      </c>
      <c r="J1308" s="28" t="s">
        <v>7528</v>
      </c>
      <c r="K1308" s="28" t="s">
        <v>7968</v>
      </c>
      <c r="L1308" s="28" t="s">
        <v>7530</v>
      </c>
      <c r="M1308" s="28" t="s">
        <v>7945</v>
      </c>
      <c r="N1308" s="28" t="s">
        <v>7532</v>
      </c>
    </row>
    <row r="1309" spans="1:14">
      <c r="A1309" t="s">
        <v>965</v>
      </c>
      <c r="B1309" t="s">
        <v>67</v>
      </c>
      <c r="C1309">
        <v>2147</v>
      </c>
      <c r="D1309">
        <v>323</v>
      </c>
      <c r="E1309" t="s">
        <v>960</v>
      </c>
      <c r="F1309" s="35" t="s">
        <v>999</v>
      </c>
      <c r="G1309" s="28" t="s">
        <v>7939</v>
      </c>
      <c r="H1309" s="28" t="s">
        <v>7488</v>
      </c>
      <c r="I1309" s="28" t="s">
        <v>7967</v>
      </c>
      <c r="J1309" s="28" t="s">
        <v>7528</v>
      </c>
      <c r="K1309" s="28" t="s">
        <v>7969</v>
      </c>
      <c r="L1309" s="28" t="s">
        <v>7708</v>
      </c>
      <c r="M1309" s="28" t="s">
        <v>7949</v>
      </c>
      <c r="N1309" s="28" t="s">
        <v>7678</v>
      </c>
    </row>
    <row r="1310" spans="1:14">
      <c r="A1310" t="s">
        <v>965</v>
      </c>
      <c r="B1310" t="s">
        <v>68</v>
      </c>
      <c r="C1310">
        <v>2147</v>
      </c>
      <c r="D1310">
        <v>751</v>
      </c>
      <c r="E1310" t="s">
        <v>960</v>
      </c>
      <c r="F1310" s="35" t="s">
        <v>999</v>
      </c>
      <c r="G1310" s="28" t="s">
        <v>7939</v>
      </c>
      <c r="H1310" s="28" t="s">
        <v>7488</v>
      </c>
      <c r="I1310" s="28" t="s">
        <v>7967</v>
      </c>
      <c r="J1310" s="28" t="s">
        <v>7528</v>
      </c>
      <c r="K1310" s="28" t="s">
        <v>7970</v>
      </c>
      <c r="L1310" s="28" t="s">
        <v>7534</v>
      </c>
      <c r="M1310" s="28" t="s">
        <v>7954</v>
      </c>
      <c r="N1310" s="28" t="s">
        <v>7510</v>
      </c>
    </row>
    <row r="1311" spans="1:14">
      <c r="A1311" t="s">
        <v>965</v>
      </c>
      <c r="B1311" t="s">
        <v>52</v>
      </c>
      <c r="C1311">
        <v>2147</v>
      </c>
      <c r="D1311">
        <v>300</v>
      </c>
      <c r="E1311" t="s">
        <v>960</v>
      </c>
      <c r="F1311" s="35" t="s">
        <v>999</v>
      </c>
      <c r="G1311" s="28" t="s">
        <v>7939</v>
      </c>
      <c r="H1311" s="28" t="s">
        <v>7488</v>
      </c>
      <c r="I1311" s="28" t="s">
        <v>7967</v>
      </c>
      <c r="J1311" s="28" t="s">
        <v>7528</v>
      </c>
      <c r="K1311" s="28" t="s">
        <v>7971</v>
      </c>
      <c r="L1311" s="28" t="s">
        <v>7536</v>
      </c>
      <c r="M1311" s="28" t="s">
        <v>7951</v>
      </c>
      <c r="N1311" s="28" t="s">
        <v>7494</v>
      </c>
    </row>
    <row r="1312" spans="1:14">
      <c r="A1312" t="s">
        <v>965</v>
      </c>
      <c r="B1312" t="s">
        <v>65</v>
      </c>
      <c r="C1312">
        <v>2147</v>
      </c>
      <c r="D1312">
        <v>18</v>
      </c>
      <c r="E1312" t="s">
        <v>961</v>
      </c>
      <c r="F1312" s="35" t="s">
        <v>999</v>
      </c>
      <c r="G1312" s="28" t="s">
        <v>7955</v>
      </c>
      <c r="H1312" s="28" t="s">
        <v>7512</v>
      </c>
      <c r="I1312" s="28" t="s">
        <v>7965</v>
      </c>
      <c r="J1312" s="28" t="s">
        <v>7700</v>
      </c>
      <c r="K1312" s="28" t="s">
        <v>7972</v>
      </c>
      <c r="L1312" s="28" t="s">
        <v>7973</v>
      </c>
      <c r="M1312" s="28" t="s">
        <v>7962</v>
      </c>
      <c r="N1312" s="28" t="s">
        <v>7522</v>
      </c>
    </row>
    <row r="1313" spans="1:14">
      <c r="A1313" t="s">
        <v>965</v>
      </c>
      <c r="B1313" t="s">
        <v>56</v>
      </c>
      <c r="C1313">
        <v>2147</v>
      </c>
      <c r="D1313">
        <v>401</v>
      </c>
      <c r="E1313" t="s">
        <v>960</v>
      </c>
      <c r="F1313" s="35" t="s">
        <v>999</v>
      </c>
      <c r="G1313" s="28" t="s">
        <v>7939</v>
      </c>
      <c r="H1313" s="28" t="s">
        <v>7488</v>
      </c>
      <c r="I1313" s="28" t="s">
        <v>7967</v>
      </c>
      <c r="J1313" s="28" t="s">
        <v>7528</v>
      </c>
      <c r="K1313" s="28" t="s">
        <v>7974</v>
      </c>
      <c r="L1313" s="28" t="s">
        <v>7712</v>
      </c>
      <c r="M1313" s="28" t="s">
        <v>7947</v>
      </c>
      <c r="N1313" s="28" t="s">
        <v>7625</v>
      </c>
    </row>
    <row r="1314" spans="1:14">
      <c r="A1314" t="s">
        <v>965</v>
      </c>
      <c r="B1314" t="s">
        <v>53</v>
      </c>
      <c r="C1314">
        <v>2147</v>
      </c>
      <c r="D1314">
        <v>85</v>
      </c>
      <c r="E1314" t="s">
        <v>960</v>
      </c>
      <c r="F1314" s="35" t="s">
        <v>999</v>
      </c>
      <c r="G1314" s="28" t="s">
        <v>7939</v>
      </c>
      <c r="H1314" s="28" t="s">
        <v>7488</v>
      </c>
      <c r="I1314" s="28" t="s">
        <v>7967</v>
      </c>
      <c r="J1314" s="28" t="s">
        <v>7528</v>
      </c>
      <c r="K1314" s="28" t="s">
        <v>7975</v>
      </c>
      <c r="L1314" s="28" t="s">
        <v>7714</v>
      </c>
      <c r="M1314" s="28" t="s">
        <v>7942</v>
      </c>
      <c r="N1314" s="28" t="s">
        <v>7502</v>
      </c>
    </row>
    <row r="1315" spans="1:14">
      <c r="A1315" t="s">
        <v>965</v>
      </c>
      <c r="B1315" t="s">
        <v>66</v>
      </c>
      <c r="C1315">
        <v>2147</v>
      </c>
      <c r="D1315">
        <v>516</v>
      </c>
      <c r="E1315" t="s">
        <v>960</v>
      </c>
      <c r="F1315" s="35" t="s">
        <v>999</v>
      </c>
      <c r="G1315" s="28" t="s">
        <v>7939</v>
      </c>
      <c r="H1315" s="28" t="s">
        <v>7488</v>
      </c>
      <c r="I1315" s="28" t="s">
        <v>7967</v>
      </c>
      <c r="J1315" s="28" t="s">
        <v>7528</v>
      </c>
      <c r="K1315" s="28" t="s">
        <v>7976</v>
      </c>
      <c r="L1315" s="28" t="s">
        <v>7716</v>
      </c>
      <c r="M1315" s="28" t="s">
        <v>7977</v>
      </c>
      <c r="N1315" s="28" t="s">
        <v>7506</v>
      </c>
    </row>
    <row r="1316" spans="1:14">
      <c r="A1316" t="s">
        <v>25</v>
      </c>
      <c r="B1316" t="s">
        <v>54</v>
      </c>
      <c r="C1316">
        <v>2146</v>
      </c>
      <c r="D1316">
        <v>6</v>
      </c>
      <c r="E1316" t="s">
        <v>960</v>
      </c>
      <c r="F1316" s="35" t="s">
        <v>999</v>
      </c>
      <c r="G1316" s="28" t="s">
        <v>7806</v>
      </c>
      <c r="H1316" s="28" t="s">
        <v>7488</v>
      </c>
      <c r="I1316" s="28" t="s">
        <v>8081</v>
      </c>
      <c r="J1316" s="28" t="s">
        <v>7845</v>
      </c>
      <c r="K1316" s="28" t="s">
        <v>8082</v>
      </c>
      <c r="L1316" s="28" t="s">
        <v>7847</v>
      </c>
      <c r="M1316" s="28" t="s">
        <v>7813</v>
      </c>
      <c r="N1316" s="28" t="s">
        <v>7498</v>
      </c>
    </row>
    <row r="1317" spans="1:14">
      <c r="A1317" t="s">
        <v>25</v>
      </c>
      <c r="B1317" t="s">
        <v>55</v>
      </c>
      <c r="C1317">
        <v>2146</v>
      </c>
      <c r="D1317">
        <v>184</v>
      </c>
      <c r="E1317" t="s">
        <v>960</v>
      </c>
      <c r="F1317" s="35" t="s">
        <v>999</v>
      </c>
      <c r="G1317" s="28" t="s">
        <v>7806</v>
      </c>
      <c r="H1317" s="28" t="s">
        <v>7488</v>
      </c>
      <c r="I1317" s="28" t="s">
        <v>8081</v>
      </c>
      <c r="J1317" s="28" t="s">
        <v>7845</v>
      </c>
      <c r="K1317" s="28" t="s">
        <v>8083</v>
      </c>
      <c r="L1317" s="28" t="s">
        <v>7850</v>
      </c>
      <c r="M1317" s="28" t="s">
        <v>7875</v>
      </c>
      <c r="N1317" s="28" t="s">
        <v>7686</v>
      </c>
    </row>
    <row r="1318" spans="1:14">
      <c r="A1318" t="s">
        <v>26</v>
      </c>
      <c r="B1318" t="s">
        <v>69</v>
      </c>
      <c r="C1318">
        <v>2148</v>
      </c>
      <c r="D1318">
        <v>1437</v>
      </c>
      <c r="E1318" t="s">
        <v>960</v>
      </c>
      <c r="F1318" s="35" t="s">
        <v>999</v>
      </c>
      <c r="G1318" s="28" t="s">
        <v>8084</v>
      </c>
      <c r="H1318" s="28" t="s">
        <v>7488</v>
      </c>
      <c r="I1318" s="28" t="s">
        <v>8085</v>
      </c>
      <c r="J1318" s="28" t="s">
        <v>7490</v>
      </c>
      <c r="K1318" s="28" t="s">
        <v>8086</v>
      </c>
      <c r="L1318" s="28" t="s">
        <v>7670</v>
      </c>
      <c r="M1318" s="28" t="s">
        <v>8087</v>
      </c>
      <c r="N1318" s="28" t="s">
        <v>7532</v>
      </c>
    </row>
    <row r="1319" spans="1:14">
      <c r="A1319" t="s">
        <v>26</v>
      </c>
      <c r="B1319" t="s">
        <v>56</v>
      </c>
      <c r="C1319">
        <v>2148</v>
      </c>
      <c r="D1319">
        <v>174</v>
      </c>
      <c r="E1319" t="s">
        <v>960</v>
      </c>
      <c r="F1319" s="35" t="s">
        <v>999</v>
      </c>
      <c r="G1319" s="28" t="s">
        <v>8084</v>
      </c>
      <c r="H1319" s="28" t="s">
        <v>7488</v>
      </c>
      <c r="I1319" s="28" t="s">
        <v>8085</v>
      </c>
      <c r="J1319" s="28" t="s">
        <v>7490</v>
      </c>
      <c r="K1319" s="28" t="s">
        <v>8088</v>
      </c>
      <c r="L1319" s="28" t="s">
        <v>7673</v>
      </c>
      <c r="M1319" s="28" t="s">
        <v>8089</v>
      </c>
      <c r="N1319" s="28" t="s">
        <v>7625</v>
      </c>
    </row>
    <row r="1320" spans="1:14">
      <c r="A1320" t="s">
        <v>26</v>
      </c>
      <c r="B1320" t="s">
        <v>67</v>
      </c>
      <c r="C1320">
        <v>2148</v>
      </c>
      <c r="D1320">
        <v>1333</v>
      </c>
      <c r="E1320" t="s">
        <v>960</v>
      </c>
      <c r="F1320" s="35" t="s">
        <v>999</v>
      </c>
      <c r="G1320" s="28" t="s">
        <v>8084</v>
      </c>
      <c r="H1320" s="28" t="s">
        <v>7488</v>
      </c>
      <c r="I1320" s="28" t="s">
        <v>8085</v>
      </c>
      <c r="J1320" s="28" t="s">
        <v>7490</v>
      </c>
      <c r="K1320" s="28" t="s">
        <v>8090</v>
      </c>
      <c r="L1320" s="28" t="s">
        <v>7676</v>
      </c>
      <c r="M1320" s="28" t="s">
        <v>8091</v>
      </c>
      <c r="N1320" s="28" t="s">
        <v>7678</v>
      </c>
    </row>
    <row r="1321" spans="1:14">
      <c r="A1321" t="s">
        <v>26</v>
      </c>
      <c r="B1321" t="s">
        <v>52</v>
      </c>
      <c r="C1321">
        <v>2148</v>
      </c>
      <c r="D1321">
        <v>1377</v>
      </c>
      <c r="E1321" t="s">
        <v>960</v>
      </c>
      <c r="F1321" s="35" t="s">
        <v>999</v>
      </c>
      <c r="G1321" s="28" t="s">
        <v>8084</v>
      </c>
      <c r="H1321" s="28" t="s">
        <v>7488</v>
      </c>
      <c r="I1321" s="28" t="s">
        <v>8085</v>
      </c>
      <c r="J1321" s="28" t="s">
        <v>7490</v>
      </c>
      <c r="K1321" s="28" t="s">
        <v>8092</v>
      </c>
      <c r="L1321" s="28" t="s">
        <v>7492</v>
      </c>
      <c r="M1321" s="28" t="s">
        <v>8093</v>
      </c>
      <c r="N1321" s="28" t="s">
        <v>7494</v>
      </c>
    </row>
    <row r="1322" spans="1:14">
      <c r="A1322" t="s">
        <v>26</v>
      </c>
      <c r="B1322" t="s">
        <v>54</v>
      </c>
      <c r="C1322">
        <v>2148</v>
      </c>
      <c r="D1322">
        <v>41</v>
      </c>
      <c r="E1322" t="s">
        <v>960</v>
      </c>
      <c r="F1322" s="35" t="s">
        <v>999</v>
      </c>
      <c r="G1322" s="28" t="s">
        <v>8084</v>
      </c>
      <c r="H1322" s="28" t="s">
        <v>7488</v>
      </c>
      <c r="I1322" s="28" t="s">
        <v>8085</v>
      </c>
      <c r="J1322" s="28" t="s">
        <v>7490</v>
      </c>
      <c r="K1322" s="28" t="s">
        <v>8094</v>
      </c>
      <c r="L1322" s="28" t="s">
        <v>7496</v>
      </c>
      <c r="M1322" s="28" t="s">
        <v>8095</v>
      </c>
      <c r="N1322" s="28" t="s">
        <v>7498</v>
      </c>
    </row>
    <row r="1323" spans="1:14">
      <c r="A1323" t="s">
        <v>26</v>
      </c>
      <c r="B1323" t="s">
        <v>55</v>
      </c>
      <c r="C1323">
        <v>2148</v>
      </c>
      <c r="D1323">
        <v>18</v>
      </c>
      <c r="E1323" t="s">
        <v>960</v>
      </c>
      <c r="F1323" s="35" t="s">
        <v>999</v>
      </c>
      <c r="G1323" s="28" t="s">
        <v>8084</v>
      </c>
      <c r="H1323" s="28" t="s">
        <v>7488</v>
      </c>
      <c r="I1323" s="28" t="s">
        <v>8085</v>
      </c>
      <c r="J1323" s="28" t="s">
        <v>7490</v>
      </c>
      <c r="K1323" s="28" t="s">
        <v>8096</v>
      </c>
      <c r="L1323" s="28" t="s">
        <v>7684</v>
      </c>
      <c r="M1323" s="28" t="s">
        <v>8097</v>
      </c>
      <c r="N1323" s="28" t="s">
        <v>7686</v>
      </c>
    </row>
    <row r="1324" spans="1:14">
      <c r="A1324" t="s">
        <v>26</v>
      </c>
      <c r="B1324" t="s">
        <v>53</v>
      </c>
      <c r="C1324">
        <v>2148</v>
      </c>
      <c r="D1324">
        <v>51</v>
      </c>
      <c r="E1324" t="s">
        <v>960</v>
      </c>
      <c r="F1324" s="35" t="s">
        <v>999</v>
      </c>
      <c r="G1324" s="28" t="s">
        <v>8084</v>
      </c>
      <c r="H1324" s="28" t="s">
        <v>7488</v>
      </c>
      <c r="I1324" s="28" t="s">
        <v>8085</v>
      </c>
      <c r="J1324" s="28" t="s">
        <v>7490</v>
      </c>
      <c r="K1324" s="28" t="s">
        <v>8098</v>
      </c>
      <c r="L1324" s="28" t="s">
        <v>7500</v>
      </c>
      <c r="M1324" s="28" t="s">
        <v>8099</v>
      </c>
      <c r="N1324" s="28" t="s">
        <v>7502</v>
      </c>
    </row>
    <row r="1325" spans="1:14">
      <c r="A1325" t="s">
        <v>26</v>
      </c>
      <c r="B1325" t="s">
        <v>53</v>
      </c>
      <c r="C1325">
        <v>2148</v>
      </c>
      <c r="D1325">
        <v>180</v>
      </c>
      <c r="E1325" t="s">
        <v>960</v>
      </c>
      <c r="F1325" s="35" t="s">
        <v>999</v>
      </c>
      <c r="G1325" s="28" t="s">
        <v>8084</v>
      </c>
      <c r="H1325" s="28" t="s">
        <v>7488</v>
      </c>
      <c r="I1325" s="28" t="s">
        <v>8085</v>
      </c>
      <c r="J1325" s="28" t="s">
        <v>7490</v>
      </c>
      <c r="K1325" s="28" t="s">
        <v>8098</v>
      </c>
      <c r="L1325" s="28" t="s">
        <v>7500</v>
      </c>
      <c r="M1325" s="28" t="s">
        <v>8099</v>
      </c>
      <c r="N1325" s="28" t="s">
        <v>7502</v>
      </c>
    </row>
    <row r="1326" spans="1:14">
      <c r="A1326" t="s">
        <v>26</v>
      </c>
      <c r="B1326" t="s">
        <v>66</v>
      </c>
      <c r="C1326">
        <v>2148</v>
      </c>
      <c r="D1326">
        <v>77</v>
      </c>
      <c r="E1326" t="s">
        <v>960</v>
      </c>
      <c r="F1326" s="35" t="s">
        <v>999</v>
      </c>
      <c r="G1326" s="28" t="s">
        <v>8084</v>
      </c>
      <c r="H1326" s="28" t="s">
        <v>7488</v>
      </c>
      <c r="I1326" s="28" t="s">
        <v>8085</v>
      </c>
      <c r="J1326" s="28" t="s">
        <v>7490</v>
      </c>
      <c r="K1326" s="28" t="s">
        <v>8100</v>
      </c>
      <c r="L1326" s="28" t="s">
        <v>7504</v>
      </c>
      <c r="M1326" s="28" t="s">
        <v>8101</v>
      </c>
      <c r="N1326" s="28" t="s">
        <v>7506</v>
      </c>
    </row>
    <row r="1327" spans="1:14">
      <c r="A1327" t="s">
        <v>26</v>
      </c>
      <c r="B1327" t="s">
        <v>66</v>
      </c>
      <c r="C1327">
        <v>2148</v>
      </c>
      <c r="D1327">
        <v>102</v>
      </c>
      <c r="E1327" t="s">
        <v>960</v>
      </c>
      <c r="F1327" s="35" t="s">
        <v>999</v>
      </c>
      <c r="G1327" s="28" t="s">
        <v>8084</v>
      </c>
      <c r="H1327" s="28" t="s">
        <v>7488</v>
      </c>
      <c r="I1327" s="28" t="s">
        <v>8085</v>
      </c>
      <c r="J1327" s="28" t="s">
        <v>7490</v>
      </c>
      <c r="K1327" s="28" t="s">
        <v>8100</v>
      </c>
      <c r="L1327" s="28" t="s">
        <v>7504</v>
      </c>
      <c r="M1327" s="28" t="s">
        <v>8101</v>
      </c>
      <c r="N1327" s="28" t="s">
        <v>7506</v>
      </c>
    </row>
    <row r="1328" spans="1:14">
      <c r="A1328" t="s">
        <v>26</v>
      </c>
      <c r="B1328" t="s">
        <v>68</v>
      </c>
      <c r="C1328">
        <v>2148</v>
      </c>
      <c r="D1328">
        <v>250</v>
      </c>
      <c r="E1328" t="s">
        <v>960</v>
      </c>
      <c r="F1328" s="35" t="s">
        <v>999</v>
      </c>
      <c r="G1328" s="28" t="s">
        <v>8084</v>
      </c>
      <c r="H1328" s="28" t="s">
        <v>7488</v>
      </c>
      <c r="I1328" s="28" t="s">
        <v>8085</v>
      </c>
      <c r="J1328" s="28" t="s">
        <v>7490</v>
      </c>
      <c r="K1328" s="28" t="s">
        <v>8102</v>
      </c>
      <c r="L1328" s="28" t="s">
        <v>7508</v>
      </c>
      <c r="M1328" s="28" t="s">
        <v>8103</v>
      </c>
      <c r="N1328" s="28" t="s">
        <v>7510</v>
      </c>
    </row>
    <row r="1329" spans="1:14">
      <c r="A1329" t="s">
        <v>26</v>
      </c>
      <c r="B1329" t="s">
        <v>62</v>
      </c>
      <c r="C1329">
        <v>2148</v>
      </c>
      <c r="D1329">
        <v>112</v>
      </c>
      <c r="E1329" t="s">
        <v>961</v>
      </c>
      <c r="F1329" s="35" t="s">
        <v>999</v>
      </c>
      <c r="G1329" s="28" t="s">
        <v>8104</v>
      </c>
      <c r="H1329" s="28" t="s">
        <v>7512</v>
      </c>
      <c r="I1329" s="28" t="s">
        <v>8105</v>
      </c>
      <c r="J1329" s="28" t="s">
        <v>7514</v>
      </c>
      <c r="K1329" s="28" t="s">
        <v>8106</v>
      </c>
      <c r="L1329" s="28" t="s">
        <v>7958</v>
      </c>
      <c r="M1329" s="28" t="s">
        <v>8107</v>
      </c>
      <c r="N1329" s="28" t="s">
        <v>7960</v>
      </c>
    </row>
    <row r="1330" spans="1:14">
      <c r="A1330" t="s">
        <v>26</v>
      </c>
      <c r="B1330" t="s">
        <v>64</v>
      </c>
      <c r="C1330">
        <v>2148</v>
      </c>
      <c r="D1330">
        <v>150</v>
      </c>
      <c r="E1330" t="s">
        <v>961</v>
      </c>
      <c r="F1330" s="35" t="s">
        <v>999</v>
      </c>
      <c r="G1330" s="28" t="s">
        <v>8104</v>
      </c>
      <c r="H1330" s="28" t="s">
        <v>7512</v>
      </c>
      <c r="I1330" s="28" t="s">
        <v>8105</v>
      </c>
      <c r="J1330" s="28" t="s">
        <v>7514</v>
      </c>
      <c r="K1330" s="28" t="s">
        <v>8108</v>
      </c>
      <c r="L1330" s="28" t="s">
        <v>7516</v>
      </c>
      <c r="M1330" s="28" t="s">
        <v>8109</v>
      </c>
      <c r="N1330" s="28" t="s">
        <v>7518</v>
      </c>
    </row>
    <row r="1331" spans="1:14">
      <c r="A1331" t="s">
        <v>26</v>
      </c>
      <c r="B1331" t="s">
        <v>65</v>
      </c>
      <c r="C1331">
        <v>2148</v>
      </c>
      <c r="D1331">
        <v>215</v>
      </c>
      <c r="E1331" t="s">
        <v>961</v>
      </c>
      <c r="F1331" s="35" t="s">
        <v>999</v>
      </c>
      <c r="G1331" s="28" t="s">
        <v>8104</v>
      </c>
      <c r="H1331" s="28" t="s">
        <v>7512</v>
      </c>
      <c r="I1331" s="28" t="s">
        <v>8105</v>
      </c>
      <c r="J1331" s="28" t="s">
        <v>7514</v>
      </c>
      <c r="K1331" s="28" t="s">
        <v>8110</v>
      </c>
      <c r="L1331" s="28" t="s">
        <v>7520</v>
      </c>
      <c r="M1331" s="28" t="s">
        <v>8111</v>
      </c>
      <c r="N1331" s="28" t="s">
        <v>7522</v>
      </c>
    </row>
    <row r="1332" spans="1:14">
      <c r="A1332" t="s">
        <v>26</v>
      </c>
      <c r="B1332" t="s">
        <v>63</v>
      </c>
      <c r="C1332">
        <v>2148</v>
      </c>
      <c r="D1332">
        <v>90</v>
      </c>
      <c r="E1332" t="s">
        <v>961</v>
      </c>
      <c r="F1332" s="35" t="s">
        <v>999</v>
      </c>
      <c r="G1332" s="28" t="s">
        <v>8104</v>
      </c>
      <c r="H1332" s="28" t="s">
        <v>7512</v>
      </c>
      <c r="I1332" s="28" t="s">
        <v>8105</v>
      </c>
      <c r="J1332" s="28" t="s">
        <v>7514</v>
      </c>
      <c r="K1332" s="28" t="s">
        <v>8112</v>
      </c>
      <c r="L1332" s="28" t="s">
        <v>7524</v>
      </c>
      <c r="M1332" s="28" t="s">
        <v>8113</v>
      </c>
      <c r="N1332" s="28" t="s">
        <v>7526</v>
      </c>
    </row>
    <row r="1333" spans="1:14">
      <c r="A1333" t="s">
        <v>965</v>
      </c>
      <c r="B1333" t="s">
        <v>63</v>
      </c>
      <c r="C1333">
        <v>2148</v>
      </c>
      <c r="D1333">
        <v>25</v>
      </c>
      <c r="E1333" t="s">
        <v>961</v>
      </c>
      <c r="F1333" s="35" t="s">
        <v>999</v>
      </c>
      <c r="G1333" s="28" t="s">
        <v>8104</v>
      </c>
      <c r="H1333" s="28" t="s">
        <v>7512</v>
      </c>
      <c r="I1333" s="28" t="s">
        <v>8114</v>
      </c>
      <c r="J1333" s="28" t="s">
        <v>7700</v>
      </c>
      <c r="K1333" s="28" t="s">
        <v>8115</v>
      </c>
      <c r="L1333" s="28" t="s">
        <v>7830</v>
      </c>
      <c r="M1333" s="28" t="s">
        <v>8113</v>
      </c>
      <c r="N1333" s="28" t="s">
        <v>7526</v>
      </c>
    </row>
    <row r="1334" spans="1:14">
      <c r="A1334" t="s">
        <v>965</v>
      </c>
      <c r="B1334" t="s">
        <v>69</v>
      </c>
      <c r="C1334">
        <v>2148</v>
      </c>
      <c r="D1334">
        <v>32</v>
      </c>
      <c r="E1334" t="s">
        <v>960</v>
      </c>
      <c r="F1334" s="35" t="s">
        <v>999</v>
      </c>
      <c r="G1334" s="28" t="s">
        <v>8084</v>
      </c>
      <c r="H1334" s="28" t="s">
        <v>7488</v>
      </c>
      <c r="I1334" s="28" t="s">
        <v>8116</v>
      </c>
      <c r="J1334" s="28" t="s">
        <v>7528</v>
      </c>
      <c r="K1334" s="28" t="s">
        <v>8117</v>
      </c>
      <c r="L1334" s="28" t="s">
        <v>7530</v>
      </c>
      <c r="M1334" s="28" t="s">
        <v>8087</v>
      </c>
      <c r="N1334" s="28" t="s">
        <v>7532</v>
      </c>
    </row>
    <row r="1335" spans="1:14">
      <c r="A1335" t="s">
        <v>965</v>
      </c>
      <c r="B1335" t="s">
        <v>67</v>
      </c>
      <c r="C1335">
        <v>2148</v>
      </c>
      <c r="D1335">
        <v>37</v>
      </c>
      <c r="E1335" t="s">
        <v>960</v>
      </c>
      <c r="F1335" s="35" t="s">
        <v>999</v>
      </c>
      <c r="G1335" s="28" t="s">
        <v>8084</v>
      </c>
      <c r="H1335" s="28" t="s">
        <v>7488</v>
      </c>
      <c r="I1335" s="28" t="s">
        <v>8116</v>
      </c>
      <c r="J1335" s="28" t="s">
        <v>7528</v>
      </c>
      <c r="K1335" s="28" t="s">
        <v>8118</v>
      </c>
      <c r="L1335" s="28" t="s">
        <v>7708</v>
      </c>
      <c r="M1335" s="28" t="s">
        <v>8091</v>
      </c>
      <c r="N1335" s="28" t="s">
        <v>7678</v>
      </c>
    </row>
    <row r="1336" spans="1:14">
      <c r="A1336" t="s">
        <v>965</v>
      </c>
      <c r="B1336" t="s">
        <v>68</v>
      </c>
      <c r="C1336">
        <v>2148</v>
      </c>
      <c r="D1336">
        <v>1445</v>
      </c>
      <c r="E1336" t="s">
        <v>960</v>
      </c>
      <c r="F1336" s="35" t="s">
        <v>999</v>
      </c>
      <c r="G1336" s="28" t="s">
        <v>8084</v>
      </c>
      <c r="H1336" s="28" t="s">
        <v>7488</v>
      </c>
      <c r="I1336" s="28" t="s">
        <v>8116</v>
      </c>
      <c r="J1336" s="28" t="s">
        <v>7528</v>
      </c>
      <c r="K1336" s="28" t="s">
        <v>8119</v>
      </c>
      <c r="L1336" s="28" t="s">
        <v>7534</v>
      </c>
      <c r="M1336" s="28" t="s">
        <v>8103</v>
      </c>
      <c r="N1336" s="28" t="s">
        <v>7510</v>
      </c>
    </row>
    <row r="1337" spans="1:14">
      <c r="A1337" t="s">
        <v>965</v>
      </c>
      <c r="B1337" t="s">
        <v>52</v>
      </c>
      <c r="C1337">
        <v>2148</v>
      </c>
      <c r="D1337">
        <v>755</v>
      </c>
      <c r="E1337" t="s">
        <v>960</v>
      </c>
      <c r="F1337" s="35" t="s">
        <v>999</v>
      </c>
      <c r="G1337" s="28" t="s">
        <v>8084</v>
      </c>
      <c r="H1337" s="28" t="s">
        <v>7488</v>
      </c>
      <c r="I1337" s="28" t="s">
        <v>8116</v>
      </c>
      <c r="J1337" s="28" t="s">
        <v>7528</v>
      </c>
      <c r="K1337" s="28" t="s">
        <v>8120</v>
      </c>
      <c r="L1337" s="28" t="s">
        <v>7536</v>
      </c>
      <c r="M1337" s="28" t="s">
        <v>8093</v>
      </c>
      <c r="N1337" s="28" t="s">
        <v>7494</v>
      </c>
    </row>
    <row r="1338" spans="1:14">
      <c r="A1338" t="s">
        <v>965</v>
      </c>
      <c r="B1338" t="s">
        <v>65</v>
      </c>
      <c r="C1338">
        <v>2148</v>
      </c>
      <c r="D1338">
        <v>19</v>
      </c>
      <c r="E1338" t="s">
        <v>961</v>
      </c>
      <c r="F1338" s="35" t="s">
        <v>999</v>
      </c>
      <c r="G1338" s="28" t="s">
        <v>8104</v>
      </c>
      <c r="H1338" s="28" t="s">
        <v>7512</v>
      </c>
      <c r="I1338" s="28" t="s">
        <v>8114</v>
      </c>
      <c r="J1338" s="28" t="s">
        <v>7700</v>
      </c>
      <c r="K1338" s="28" t="s">
        <v>8121</v>
      </c>
      <c r="L1338" s="28" t="s">
        <v>7973</v>
      </c>
      <c r="M1338" s="28" t="s">
        <v>8111</v>
      </c>
      <c r="N1338" s="28" t="s">
        <v>7522</v>
      </c>
    </row>
    <row r="1339" spans="1:14">
      <c r="A1339" t="s">
        <v>965</v>
      </c>
      <c r="B1339" t="s">
        <v>53</v>
      </c>
      <c r="C1339">
        <v>2148</v>
      </c>
      <c r="D1339">
        <v>180</v>
      </c>
      <c r="E1339" t="s">
        <v>960</v>
      </c>
      <c r="F1339" s="35" t="s">
        <v>999</v>
      </c>
      <c r="G1339" s="28" t="s">
        <v>8084</v>
      </c>
      <c r="H1339" s="28" t="s">
        <v>7488</v>
      </c>
      <c r="I1339" s="28" t="s">
        <v>8116</v>
      </c>
      <c r="J1339" s="28" t="s">
        <v>7528</v>
      </c>
      <c r="K1339" s="28" t="s">
        <v>8122</v>
      </c>
      <c r="L1339" s="28" t="s">
        <v>7714</v>
      </c>
      <c r="M1339" s="28" t="s">
        <v>8099</v>
      </c>
      <c r="N1339" s="28" t="s">
        <v>7502</v>
      </c>
    </row>
    <row r="1340" spans="1:14">
      <c r="A1340" t="s">
        <v>965</v>
      </c>
      <c r="B1340" t="s">
        <v>66</v>
      </c>
      <c r="C1340">
        <v>2148</v>
      </c>
      <c r="D1340">
        <v>1</v>
      </c>
      <c r="E1340" t="s">
        <v>960</v>
      </c>
      <c r="F1340" s="35" t="s">
        <v>999</v>
      </c>
      <c r="G1340" s="28" t="s">
        <v>8084</v>
      </c>
      <c r="H1340" s="28" t="s">
        <v>7488</v>
      </c>
      <c r="I1340" s="28" t="s">
        <v>8116</v>
      </c>
      <c r="J1340" s="28" t="s">
        <v>7528</v>
      </c>
      <c r="K1340" s="28" t="s">
        <v>8123</v>
      </c>
      <c r="L1340" s="28" t="s">
        <v>7716</v>
      </c>
      <c r="M1340" s="28" t="s">
        <v>8101</v>
      </c>
      <c r="N1340" s="28" t="s">
        <v>7506</v>
      </c>
    </row>
    <row r="1341" spans="1:14">
      <c r="A1341" t="s">
        <v>24</v>
      </c>
      <c r="B1341" t="s">
        <v>53</v>
      </c>
      <c r="C1341">
        <v>2148</v>
      </c>
      <c r="D1341">
        <v>85</v>
      </c>
      <c r="E1341" t="s">
        <v>960</v>
      </c>
      <c r="F1341" s="35" t="s">
        <v>999</v>
      </c>
      <c r="G1341" s="28" t="s">
        <v>8084</v>
      </c>
      <c r="H1341" s="28" t="s">
        <v>7488</v>
      </c>
      <c r="I1341" s="28" t="s">
        <v>8152</v>
      </c>
      <c r="J1341" s="28" t="s">
        <v>7799</v>
      </c>
      <c r="K1341" s="28" t="s">
        <v>8153</v>
      </c>
      <c r="L1341" s="28" t="s">
        <v>7805</v>
      </c>
      <c r="M1341" s="28" t="s">
        <v>8099</v>
      </c>
      <c r="N1341" s="28" t="s">
        <v>7502</v>
      </c>
    </row>
    <row r="1342" spans="1:14">
      <c r="A1342" t="s">
        <v>26</v>
      </c>
      <c r="B1342" t="s">
        <v>69</v>
      </c>
      <c r="C1342">
        <v>2149</v>
      </c>
      <c r="D1342">
        <v>418</v>
      </c>
      <c r="E1342" t="s">
        <v>960</v>
      </c>
      <c r="F1342" s="35" t="s">
        <v>1000</v>
      </c>
      <c r="G1342" s="28" t="s">
        <v>8154</v>
      </c>
      <c r="H1342" s="28" t="s">
        <v>8155</v>
      </c>
      <c r="I1342" s="28" t="s">
        <v>8156</v>
      </c>
      <c r="J1342" s="28" t="s">
        <v>8157</v>
      </c>
      <c r="K1342" s="28" t="s">
        <v>8158</v>
      </c>
      <c r="L1342" s="28" t="s">
        <v>8159</v>
      </c>
      <c r="M1342" s="28" t="s">
        <v>8160</v>
      </c>
      <c r="N1342" s="28" t="s">
        <v>8161</v>
      </c>
    </row>
    <row r="1343" spans="1:14">
      <c r="A1343" t="s">
        <v>26</v>
      </c>
      <c r="B1343" t="s">
        <v>56</v>
      </c>
      <c r="C1343">
        <v>2149</v>
      </c>
      <c r="D1343">
        <v>318</v>
      </c>
      <c r="E1343" t="s">
        <v>960</v>
      </c>
      <c r="F1343" s="35" t="s">
        <v>1000</v>
      </c>
      <c r="G1343" s="28" t="s">
        <v>8154</v>
      </c>
      <c r="H1343" s="28" t="s">
        <v>8155</v>
      </c>
      <c r="I1343" s="28" t="s">
        <v>8156</v>
      </c>
      <c r="J1343" s="28" t="s">
        <v>8157</v>
      </c>
      <c r="K1343" s="28" t="s">
        <v>8162</v>
      </c>
      <c r="L1343" s="28" t="s">
        <v>8163</v>
      </c>
      <c r="M1343" s="28" t="s">
        <v>8164</v>
      </c>
      <c r="N1343" s="28" t="s">
        <v>8165</v>
      </c>
    </row>
    <row r="1344" spans="1:14">
      <c r="A1344" t="s">
        <v>26</v>
      </c>
      <c r="B1344" t="s">
        <v>67</v>
      </c>
      <c r="C1344">
        <v>2149</v>
      </c>
      <c r="D1344">
        <v>18</v>
      </c>
      <c r="E1344" t="s">
        <v>960</v>
      </c>
      <c r="F1344" s="35" t="s">
        <v>1000</v>
      </c>
      <c r="G1344" s="28" t="s">
        <v>8154</v>
      </c>
      <c r="H1344" s="28" t="s">
        <v>8155</v>
      </c>
      <c r="I1344" s="28" t="s">
        <v>8156</v>
      </c>
      <c r="J1344" s="28" t="s">
        <v>8157</v>
      </c>
      <c r="K1344" s="28" t="s">
        <v>8166</v>
      </c>
      <c r="L1344" s="28" t="s">
        <v>8167</v>
      </c>
      <c r="M1344" s="28" t="s">
        <v>8168</v>
      </c>
      <c r="N1344" s="28" t="s">
        <v>8169</v>
      </c>
    </row>
    <row r="1345" spans="1:14">
      <c r="A1345" t="s">
        <v>26</v>
      </c>
      <c r="B1345" t="s">
        <v>54</v>
      </c>
      <c r="C1345">
        <v>2149</v>
      </c>
      <c r="D1345">
        <v>60</v>
      </c>
      <c r="E1345" t="s">
        <v>960</v>
      </c>
      <c r="F1345" s="35" t="s">
        <v>1000</v>
      </c>
      <c r="G1345" s="28" t="s">
        <v>8154</v>
      </c>
      <c r="H1345" s="28" t="s">
        <v>8155</v>
      </c>
      <c r="I1345" s="28" t="s">
        <v>8156</v>
      </c>
      <c r="J1345" s="28" t="s">
        <v>8157</v>
      </c>
      <c r="K1345" s="28" t="s">
        <v>8170</v>
      </c>
      <c r="L1345" s="28" t="s">
        <v>8171</v>
      </c>
      <c r="M1345" s="28" t="s">
        <v>8172</v>
      </c>
      <c r="N1345" s="28" t="s">
        <v>8173</v>
      </c>
    </row>
    <row r="1346" spans="1:14">
      <c r="A1346" t="s">
        <v>26</v>
      </c>
      <c r="B1346" t="s">
        <v>55</v>
      </c>
      <c r="C1346">
        <v>2149</v>
      </c>
      <c r="D1346">
        <v>46</v>
      </c>
      <c r="E1346" t="s">
        <v>960</v>
      </c>
      <c r="F1346" s="35" t="s">
        <v>1000</v>
      </c>
      <c r="G1346" s="28" t="s">
        <v>8154</v>
      </c>
      <c r="H1346" s="28" t="s">
        <v>8155</v>
      </c>
      <c r="I1346" s="28" t="s">
        <v>8156</v>
      </c>
      <c r="J1346" s="28" t="s">
        <v>8157</v>
      </c>
      <c r="K1346" s="28" t="s">
        <v>8174</v>
      </c>
      <c r="L1346" s="28" t="s">
        <v>8175</v>
      </c>
      <c r="M1346" s="28" t="s">
        <v>8176</v>
      </c>
      <c r="N1346" s="28" t="s">
        <v>8177</v>
      </c>
    </row>
    <row r="1347" spans="1:14">
      <c r="A1347" t="s">
        <v>26</v>
      </c>
      <c r="B1347" t="s">
        <v>53</v>
      </c>
      <c r="C1347">
        <v>2149</v>
      </c>
      <c r="D1347">
        <v>50</v>
      </c>
      <c r="E1347" t="s">
        <v>960</v>
      </c>
      <c r="F1347" s="35" t="s">
        <v>1000</v>
      </c>
      <c r="G1347" s="28" t="s">
        <v>8154</v>
      </c>
      <c r="H1347" s="28" t="s">
        <v>8155</v>
      </c>
      <c r="I1347" s="28" t="s">
        <v>8156</v>
      </c>
      <c r="J1347" s="28" t="s">
        <v>8157</v>
      </c>
      <c r="K1347" s="28" t="s">
        <v>8178</v>
      </c>
      <c r="L1347" s="28" t="s">
        <v>8179</v>
      </c>
      <c r="M1347" s="28" t="s">
        <v>8180</v>
      </c>
      <c r="N1347" s="28" t="s">
        <v>8181</v>
      </c>
    </row>
    <row r="1348" spans="1:14">
      <c r="A1348" t="s">
        <v>26</v>
      </c>
      <c r="B1348" t="s">
        <v>53</v>
      </c>
      <c r="C1348">
        <v>2149</v>
      </c>
      <c r="D1348">
        <v>217</v>
      </c>
      <c r="E1348" t="s">
        <v>960</v>
      </c>
      <c r="F1348" s="35" t="s">
        <v>1000</v>
      </c>
      <c r="G1348" s="28" t="s">
        <v>8154</v>
      </c>
      <c r="H1348" s="28" t="s">
        <v>8155</v>
      </c>
      <c r="I1348" s="28" t="s">
        <v>8156</v>
      </c>
      <c r="J1348" s="28" t="s">
        <v>8157</v>
      </c>
      <c r="K1348" s="28" t="s">
        <v>8178</v>
      </c>
      <c r="L1348" s="28" t="s">
        <v>8179</v>
      </c>
      <c r="M1348" s="28" t="s">
        <v>8180</v>
      </c>
      <c r="N1348" s="28" t="s">
        <v>8181</v>
      </c>
    </row>
    <row r="1349" spans="1:14">
      <c r="A1349" t="s">
        <v>26</v>
      </c>
      <c r="B1349" t="s">
        <v>66</v>
      </c>
      <c r="C1349">
        <v>2149</v>
      </c>
      <c r="D1349">
        <v>72</v>
      </c>
      <c r="E1349" t="s">
        <v>960</v>
      </c>
      <c r="F1349" s="35" t="s">
        <v>1000</v>
      </c>
      <c r="G1349" s="28" t="s">
        <v>8154</v>
      </c>
      <c r="H1349" s="28" t="s">
        <v>8155</v>
      </c>
      <c r="I1349" s="28" t="s">
        <v>8156</v>
      </c>
      <c r="J1349" s="28" t="s">
        <v>8157</v>
      </c>
      <c r="K1349" s="28" t="s">
        <v>8182</v>
      </c>
      <c r="L1349" s="28" t="s">
        <v>8183</v>
      </c>
      <c r="M1349" s="28" t="s">
        <v>8184</v>
      </c>
      <c r="N1349" s="28" t="s">
        <v>8185</v>
      </c>
    </row>
    <row r="1350" spans="1:14">
      <c r="A1350" t="s">
        <v>26</v>
      </c>
      <c r="B1350" t="s">
        <v>68</v>
      </c>
      <c r="C1350">
        <v>2149</v>
      </c>
      <c r="D1350">
        <v>182</v>
      </c>
      <c r="E1350" t="s">
        <v>960</v>
      </c>
      <c r="F1350" s="35" t="s">
        <v>1000</v>
      </c>
      <c r="G1350" s="28" t="s">
        <v>8154</v>
      </c>
      <c r="H1350" s="28" t="s">
        <v>8155</v>
      </c>
      <c r="I1350" s="28" t="s">
        <v>8156</v>
      </c>
      <c r="J1350" s="28" t="s">
        <v>8157</v>
      </c>
      <c r="K1350" s="28" t="s">
        <v>8186</v>
      </c>
      <c r="L1350" s="28" t="s">
        <v>8187</v>
      </c>
      <c r="M1350" s="28" t="s">
        <v>8188</v>
      </c>
      <c r="N1350" s="28" t="s">
        <v>8189</v>
      </c>
    </row>
    <row r="1351" spans="1:14">
      <c r="A1351" t="s">
        <v>26</v>
      </c>
      <c r="B1351" t="s">
        <v>62</v>
      </c>
      <c r="C1351">
        <v>2149</v>
      </c>
      <c r="D1351">
        <v>79</v>
      </c>
      <c r="E1351" t="s">
        <v>961</v>
      </c>
      <c r="F1351" s="35" t="s">
        <v>1000</v>
      </c>
      <c r="G1351" s="28" t="s">
        <v>8190</v>
      </c>
      <c r="H1351" s="28" t="s">
        <v>8191</v>
      </c>
      <c r="I1351" s="28" t="s">
        <v>8192</v>
      </c>
      <c r="J1351" s="28" t="s">
        <v>8193</v>
      </c>
      <c r="K1351" s="28" t="s">
        <v>8194</v>
      </c>
      <c r="L1351" s="28" t="s">
        <v>8195</v>
      </c>
      <c r="M1351" s="28" t="s">
        <v>8196</v>
      </c>
      <c r="N1351" s="28" t="s">
        <v>8197</v>
      </c>
    </row>
    <row r="1352" spans="1:14">
      <c r="A1352" t="s">
        <v>26</v>
      </c>
      <c r="B1352" t="s">
        <v>65</v>
      </c>
      <c r="C1352">
        <v>2149</v>
      </c>
      <c r="D1352">
        <v>244</v>
      </c>
      <c r="E1352" t="s">
        <v>961</v>
      </c>
      <c r="F1352" s="35" t="s">
        <v>1000</v>
      </c>
      <c r="G1352" s="28" t="s">
        <v>8190</v>
      </c>
      <c r="H1352" s="28" t="s">
        <v>8191</v>
      </c>
      <c r="I1352" s="28" t="s">
        <v>8192</v>
      </c>
      <c r="J1352" s="28" t="s">
        <v>8193</v>
      </c>
      <c r="K1352" s="28" t="s">
        <v>8198</v>
      </c>
      <c r="L1352" s="28" t="s">
        <v>8199</v>
      </c>
      <c r="M1352" s="28" t="s">
        <v>8200</v>
      </c>
      <c r="N1352" s="28" t="s">
        <v>8201</v>
      </c>
    </row>
    <row r="1353" spans="1:14">
      <c r="A1353" t="s">
        <v>26</v>
      </c>
      <c r="B1353" t="s">
        <v>63</v>
      </c>
      <c r="C1353">
        <v>2149</v>
      </c>
      <c r="D1353">
        <v>38</v>
      </c>
      <c r="E1353" t="s">
        <v>961</v>
      </c>
      <c r="F1353" s="35" t="s">
        <v>1000</v>
      </c>
      <c r="G1353" s="28" t="s">
        <v>8190</v>
      </c>
      <c r="H1353" s="28" t="s">
        <v>8191</v>
      </c>
      <c r="I1353" s="28" t="s">
        <v>8192</v>
      </c>
      <c r="J1353" s="28" t="s">
        <v>8193</v>
      </c>
      <c r="K1353" s="28" t="s">
        <v>8202</v>
      </c>
      <c r="L1353" s="28" t="s">
        <v>8203</v>
      </c>
      <c r="M1353" s="28" t="s">
        <v>8204</v>
      </c>
      <c r="N1353" s="28" t="s">
        <v>8205</v>
      </c>
    </row>
    <row r="1354" spans="1:14">
      <c r="A1354" t="s">
        <v>965</v>
      </c>
      <c r="B1354" t="s">
        <v>63</v>
      </c>
      <c r="C1354">
        <v>2149</v>
      </c>
      <c r="D1354">
        <v>7</v>
      </c>
      <c r="E1354" t="s">
        <v>961</v>
      </c>
      <c r="F1354" s="35" t="s">
        <v>1000</v>
      </c>
      <c r="G1354" s="28" t="s">
        <v>8190</v>
      </c>
      <c r="H1354" s="28" t="s">
        <v>8191</v>
      </c>
      <c r="I1354" s="28" t="s">
        <v>8206</v>
      </c>
      <c r="J1354" s="28" t="s">
        <v>8207</v>
      </c>
      <c r="K1354" s="28" t="s">
        <v>8208</v>
      </c>
      <c r="L1354" s="28" t="s">
        <v>8209</v>
      </c>
      <c r="M1354" s="28" t="s">
        <v>8204</v>
      </c>
      <c r="N1354" s="28" t="s">
        <v>8205</v>
      </c>
    </row>
    <row r="1355" spans="1:14">
      <c r="A1355" t="s">
        <v>965</v>
      </c>
      <c r="B1355" t="s">
        <v>67</v>
      </c>
      <c r="C1355">
        <v>2149</v>
      </c>
      <c r="D1355">
        <v>52</v>
      </c>
      <c r="E1355" t="s">
        <v>960</v>
      </c>
      <c r="F1355" s="35" t="s">
        <v>1000</v>
      </c>
      <c r="G1355" s="28" t="s">
        <v>8154</v>
      </c>
      <c r="H1355" s="28" t="s">
        <v>8155</v>
      </c>
      <c r="I1355" s="28" t="s">
        <v>8210</v>
      </c>
      <c r="J1355" s="28" t="s">
        <v>8211</v>
      </c>
      <c r="K1355" s="28" t="s">
        <v>8212</v>
      </c>
      <c r="L1355" s="28" t="s">
        <v>8213</v>
      </c>
      <c r="M1355" s="28" t="s">
        <v>8168</v>
      </c>
      <c r="N1355" s="28" t="s">
        <v>8169</v>
      </c>
    </row>
    <row r="1356" spans="1:14">
      <c r="A1356" t="s">
        <v>965</v>
      </c>
      <c r="B1356" t="s">
        <v>68</v>
      </c>
      <c r="C1356">
        <v>2149</v>
      </c>
      <c r="D1356">
        <v>156</v>
      </c>
      <c r="E1356" t="s">
        <v>960</v>
      </c>
      <c r="F1356" s="35" t="s">
        <v>1000</v>
      </c>
      <c r="G1356" s="28" t="s">
        <v>8154</v>
      </c>
      <c r="H1356" s="28" t="s">
        <v>8155</v>
      </c>
      <c r="I1356" s="28" t="s">
        <v>8210</v>
      </c>
      <c r="J1356" s="28" t="s">
        <v>8211</v>
      </c>
      <c r="K1356" s="28" t="s">
        <v>8214</v>
      </c>
      <c r="L1356" s="28" t="s">
        <v>8215</v>
      </c>
      <c r="M1356" s="28" t="s">
        <v>8188</v>
      </c>
      <c r="N1356" s="28" t="s">
        <v>8189</v>
      </c>
    </row>
    <row r="1357" spans="1:14">
      <c r="A1357" t="s">
        <v>965</v>
      </c>
      <c r="B1357" t="s">
        <v>52</v>
      </c>
      <c r="C1357">
        <v>2149</v>
      </c>
      <c r="D1357">
        <v>519</v>
      </c>
      <c r="E1357" t="s">
        <v>960</v>
      </c>
      <c r="F1357" s="35" t="s">
        <v>1000</v>
      </c>
      <c r="G1357" s="28" t="s">
        <v>8154</v>
      </c>
      <c r="H1357" s="28" t="s">
        <v>8155</v>
      </c>
      <c r="I1357" s="28" t="s">
        <v>8210</v>
      </c>
      <c r="J1357" s="28" t="s">
        <v>8211</v>
      </c>
      <c r="K1357" s="28" t="s">
        <v>8216</v>
      </c>
      <c r="L1357" s="28" t="s">
        <v>8217</v>
      </c>
      <c r="M1357" s="28" t="s">
        <v>8218</v>
      </c>
      <c r="N1357" s="28" t="s">
        <v>8219</v>
      </c>
    </row>
    <row r="1358" spans="1:14">
      <c r="A1358" t="s">
        <v>965</v>
      </c>
      <c r="B1358" t="s">
        <v>65</v>
      </c>
      <c r="C1358">
        <v>2149</v>
      </c>
      <c r="D1358">
        <v>5</v>
      </c>
      <c r="E1358" t="s">
        <v>961</v>
      </c>
      <c r="F1358" s="35" t="s">
        <v>1000</v>
      </c>
      <c r="G1358" s="28" t="s">
        <v>8190</v>
      </c>
      <c r="H1358" s="28" t="s">
        <v>8191</v>
      </c>
      <c r="I1358" s="28" t="s">
        <v>8206</v>
      </c>
      <c r="J1358" s="28" t="s">
        <v>8207</v>
      </c>
      <c r="K1358" s="28" t="s">
        <v>8220</v>
      </c>
      <c r="L1358" s="28" t="s">
        <v>8221</v>
      </c>
      <c r="M1358" s="28" t="s">
        <v>8200</v>
      </c>
      <c r="N1358" s="28" t="s">
        <v>8201</v>
      </c>
    </row>
    <row r="1359" spans="1:14">
      <c r="A1359" t="s">
        <v>965</v>
      </c>
      <c r="B1359" t="s">
        <v>56</v>
      </c>
      <c r="C1359">
        <v>2149</v>
      </c>
      <c r="D1359">
        <v>9</v>
      </c>
      <c r="E1359" t="s">
        <v>960</v>
      </c>
      <c r="F1359" s="35" t="s">
        <v>1000</v>
      </c>
      <c r="G1359" s="28" t="s">
        <v>8154</v>
      </c>
      <c r="H1359" s="28" t="s">
        <v>8155</v>
      </c>
      <c r="I1359" s="28" t="s">
        <v>8210</v>
      </c>
      <c r="J1359" s="28" t="s">
        <v>8211</v>
      </c>
      <c r="K1359" s="28" t="s">
        <v>8222</v>
      </c>
      <c r="L1359" s="28" t="s">
        <v>8223</v>
      </c>
      <c r="M1359" s="28" t="s">
        <v>8164</v>
      </c>
      <c r="N1359" s="28" t="s">
        <v>8165</v>
      </c>
    </row>
    <row r="1360" spans="1:14">
      <c r="A1360" t="s">
        <v>965</v>
      </c>
      <c r="B1360" t="s">
        <v>66</v>
      </c>
      <c r="C1360">
        <v>2149</v>
      </c>
      <c r="D1360">
        <v>277</v>
      </c>
      <c r="E1360" t="s">
        <v>960</v>
      </c>
      <c r="F1360" s="35" t="s">
        <v>1000</v>
      </c>
      <c r="G1360" s="28" t="s">
        <v>8154</v>
      </c>
      <c r="H1360" s="28" t="s">
        <v>8155</v>
      </c>
      <c r="I1360" s="28" t="s">
        <v>8210</v>
      </c>
      <c r="J1360" s="28" t="s">
        <v>8211</v>
      </c>
      <c r="K1360" s="28" t="s">
        <v>8224</v>
      </c>
      <c r="L1360" s="28" t="s">
        <v>8225</v>
      </c>
      <c r="M1360" s="28" t="s">
        <v>8184</v>
      </c>
      <c r="N1360" s="28" t="s">
        <v>8185</v>
      </c>
    </row>
    <row r="1361" spans="1:14">
      <c r="A1361" t="s">
        <v>25</v>
      </c>
      <c r="B1361" t="s">
        <v>69</v>
      </c>
      <c r="C1361">
        <v>2148</v>
      </c>
      <c r="D1361">
        <v>1028</v>
      </c>
      <c r="E1361" t="s">
        <v>960</v>
      </c>
      <c r="F1361" s="35" t="s">
        <v>999</v>
      </c>
      <c r="G1361" s="28" t="s">
        <v>8084</v>
      </c>
      <c r="H1361" s="28" t="s">
        <v>7488</v>
      </c>
      <c r="I1361" s="28" t="s">
        <v>8287</v>
      </c>
      <c r="J1361" s="28" t="s">
        <v>7845</v>
      </c>
      <c r="K1361" s="28" t="s">
        <v>8288</v>
      </c>
      <c r="L1361" s="28" t="s">
        <v>8289</v>
      </c>
      <c r="M1361" s="28" t="s">
        <v>8087</v>
      </c>
      <c r="N1361" s="28" t="s">
        <v>7532</v>
      </c>
    </row>
    <row r="1362" spans="1:14">
      <c r="A1362" t="s">
        <v>25</v>
      </c>
      <c r="B1362" t="s">
        <v>69</v>
      </c>
      <c r="C1362">
        <v>2149</v>
      </c>
      <c r="D1362">
        <v>587</v>
      </c>
      <c r="E1362" t="s">
        <v>960</v>
      </c>
      <c r="F1362" s="35" t="s">
        <v>1000</v>
      </c>
      <c r="G1362" s="28" t="s">
        <v>8154</v>
      </c>
      <c r="H1362" s="28" t="s">
        <v>8155</v>
      </c>
      <c r="I1362" s="28" t="s">
        <v>8290</v>
      </c>
      <c r="J1362" s="28" t="s">
        <v>8291</v>
      </c>
      <c r="K1362" s="28" t="s">
        <v>8292</v>
      </c>
      <c r="L1362" s="28" t="s">
        <v>8293</v>
      </c>
      <c r="M1362" s="28" t="s">
        <v>8160</v>
      </c>
      <c r="N1362" s="28" t="s">
        <v>8161</v>
      </c>
    </row>
    <row r="1363" spans="1:14">
      <c r="A1363" t="s">
        <v>25</v>
      </c>
      <c r="B1363" t="s">
        <v>67</v>
      </c>
      <c r="C1363">
        <v>2148</v>
      </c>
      <c r="D1363">
        <v>240</v>
      </c>
      <c r="E1363" t="s">
        <v>960</v>
      </c>
      <c r="F1363" s="35" t="s">
        <v>999</v>
      </c>
      <c r="G1363" s="28" t="s">
        <v>8084</v>
      </c>
      <c r="H1363" s="28" t="s">
        <v>7488</v>
      </c>
      <c r="I1363" s="28" t="s">
        <v>8287</v>
      </c>
      <c r="J1363" s="28" t="s">
        <v>7845</v>
      </c>
      <c r="K1363" s="28" t="s">
        <v>8294</v>
      </c>
      <c r="L1363" s="28" t="s">
        <v>8295</v>
      </c>
      <c r="M1363" s="28" t="s">
        <v>8091</v>
      </c>
      <c r="N1363" s="28" t="s">
        <v>7678</v>
      </c>
    </row>
    <row r="1364" spans="1:14">
      <c r="A1364" t="s">
        <v>25</v>
      </c>
      <c r="B1364" t="s">
        <v>67</v>
      </c>
      <c r="C1364">
        <v>2149</v>
      </c>
      <c r="D1364">
        <v>624</v>
      </c>
      <c r="E1364" t="s">
        <v>960</v>
      </c>
      <c r="F1364" s="35" t="s">
        <v>1000</v>
      </c>
      <c r="G1364" s="28" t="s">
        <v>8154</v>
      </c>
      <c r="H1364" s="28" t="s">
        <v>8155</v>
      </c>
      <c r="I1364" s="28" t="s">
        <v>8290</v>
      </c>
      <c r="J1364" s="28" t="s">
        <v>8291</v>
      </c>
      <c r="K1364" s="28" t="s">
        <v>8296</v>
      </c>
      <c r="L1364" s="28" t="s">
        <v>8297</v>
      </c>
      <c r="M1364" s="28" t="s">
        <v>8168</v>
      </c>
      <c r="N1364" s="28" t="s">
        <v>8169</v>
      </c>
    </row>
    <row r="1365" spans="1:14">
      <c r="A1365" t="s">
        <v>25</v>
      </c>
      <c r="B1365" t="s">
        <v>54</v>
      </c>
      <c r="C1365">
        <v>2149</v>
      </c>
      <c r="D1365">
        <v>30</v>
      </c>
      <c r="E1365" t="s">
        <v>960</v>
      </c>
      <c r="F1365" s="35" t="s">
        <v>1000</v>
      </c>
      <c r="G1365" s="28" t="s">
        <v>8154</v>
      </c>
      <c r="H1365" s="28" t="s">
        <v>8155</v>
      </c>
      <c r="I1365" s="28" t="s">
        <v>8290</v>
      </c>
      <c r="J1365" s="28" t="s">
        <v>8291</v>
      </c>
      <c r="K1365" s="28" t="s">
        <v>8298</v>
      </c>
      <c r="L1365" s="28" t="s">
        <v>8299</v>
      </c>
      <c r="M1365" s="28" t="s">
        <v>8172</v>
      </c>
      <c r="N1365" s="28" t="s">
        <v>8173</v>
      </c>
    </row>
    <row r="1366" spans="1:14">
      <c r="A1366" t="s">
        <v>25</v>
      </c>
      <c r="B1366" t="s">
        <v>55</v>
      </c>
      <c r="C1366">
        <v>2149</v>
      </c>
      <c r="D1366">
        <v>30</v>
      </c>
      <c r="E1366" t="s">
        <v>960</v>
      </c>
      <c r="F1366" s="35" t="s">
        <v>1000</v>
      </c>
      <c r="G1366" s="28" t="s">
        <v>8154</v>
      </c>
      <c r="H1366" s="28" t="s">
        <v>8155</v>
      </c>
      <c r="I1366" s="28" t="s">
        <v>8290</v>
      </c>
      <c r="J1366" s="28" t="s">
        <v>8291</v>
      </c>
      <c r="K1366" s="28" t="s">
        <v>8300</v>
      </c>
      <c r="L1366" s="28" t="s">
        <v>8301</v>
      </c>
      <c r="M1366" s="28" t="s">
        <v>8176</v>
      </c>
      <c r="N1366" s="28" t="s">
        <v>8177</v>
      </c>
    </row>
    <row r="1367" spans="1:14">
      <c r="A1367" t="s">
        <v>26</v>
      </c>
      <c r="B1367" t="s">
        <v>69</v>
      </c>
      <c r="C1367">
        <v>2150</v>
      </c>
      <c r="D1367">
        <v>650</v>
      </c>
      <c r="E1367" t="s">
        <v>960</v>
      </c>
      <c r="F1367" s="35" t="s">
        <v>1000</v>
      </c>
      <c r="G1367" s="28" t="s">
        <v>8302</v>
      </c>
      <c r="H1367" s="28" t="s">
        <v>8155</v>
      </c>
      <c r="I1367" s="28" t="s">
        <v>8303</v>
      </c>
      <c r="J1367" s="28" t="s">
        <v>8157</v>
      </c>
      <c r="K1367" s="28" t="s">
        <v>8304</v>
      </c>
      <c r="L1367" s="28" t="s">
        <v>8159</v>
      </c>
      <c r="M1367" s="28" t="s">
        <v>8305</v>
      </c>
      <c r="N1367" s="28" t="s">
        <v>8161</v>
      </c>
    </row>
    <row r="1368" spans="1:14">
      <c r="A1368" t="s">
        <v>26</v>
      </c>
      <c r="B1368" t="s">
        <v>56</v>
      </c>
      <c r="C1368">
        <v>2150</v>
      </c>
      <c r="D1368">
        <v>22</v>
      </c>
      <c r="E1368" t="s">
        <v>960</v>
      </c>
      <c r="F1368" s="35" t="s">
        <v>1000</v>
      </c>
      <c r="G1368" s="28" t="s">
        <v>8302</v>
      </c>
      <c r="H1368" s="28" t="s">
        <v>8155</v>
      </c>
      <c r="I1368" s="28" t="s">
        <v>8303</v>
      </c>
      <c r="J1368" s="28" t="s">
        <v>8157</v>
      </c>
      <c r="K1368" s="28" t="s">
        <v>8306</v>
      </c>
      <c r="L1368" s="28" t="s">
        <v>8163</v>
      </c>
      <c r="M1368" s="28" t="s">
        <v>8307</v>
      </c>
      <c r="N1368" s="28" t="s">
        <v>8165</v>
      </c>
    </row>
    <row r="1369" spans="1:14">
      <c r="A1369" t="s">
        <v>26</v>
      </c>
      <c r="B1369" t="s">
        <v>52</v>
      </c>
      <c r="C1369">
        <v>2150</v>
      </c>
      <c r="D1369">
        <v>640</v>
      </c>
      <c r="E1369" t="s">
        <v>960</v>
      </c>
      <c r="F1369" s="35" t="s">
        <v>1000</v>
      </c>
      <c r="G1369" s="28" t="s">
        <v>8302</v>
      </c>
      <c r="H1369" s="28" t="s">
        <v>8155</v>
      </c>
      <c r="I1369" s="28" t="s">
        <v>8303</v>
      </c>
      <c r="J1369" s="28" t="s">
        <v>8157</v>
      </c>
      <c r="K1369" s="28" t="s">
        <v>8308</v>
      </c>
      <c r="L1369" s="28" t="s">
        <v>8309</v>
      </c>
      <c r="M1369" s="28" t="s">
        <v>8310</v>
      </c>
      <c r="N1369" s="28" t="s">
        <v>8219</v>
      </c>
    </row>
    <row r="1370" spans="1:14">
      <c r="A1370" t="s">
        <v>26</v>
      </c>
      <c r="B1370" t="s">
        <v>54</v>
      </c>
      <c r="C1370">
        <v>2150</v>
      </c>
      <c r="D1370">
        <v>11</v>
      </c>
      <c r="E1370" t="s">
        <v>960</v>
      </c>
      <c r="F1370" s="35" t="s">
        <v>1000</v>
      </c>
      <c r="G1370" s="28" t="s">
        <v>8302</v>
      </c>
      <c r="H1370" s="28" t="s">
        <v>8155</v>
      </c>
      <c r="I1370" s="28" t="s">
        <v>8303</v>
      </c>
      <c r="J1370" s="28" t="s">
        <v>8157</v>
      </c>
      <c r="K1370" s="28" t="s">
        <v>8311</v>
      </c>
      <c r="L1370" s="28" t="s">
        <v>8171</v>
      </c>
      <c r="M1370" s="28" t="s">
        <v>8312</v>
      </c>
      <c r="N1370" s="28" t="s">
        <v>8173</v>
      </c>
    </row>
    <row r="1371" spans="1:14">
      <c r="A1371" t="s">
        <v>26</v>
      </c>
      <c r="B1371" t="s">
        <v>53</v>
      </c>
      <c r="C1371">
        <v>2150</v>
      </c>
      <c r="D1371">
        <v>100</v>
      </c>
      <c r="E1371" t="s">
        <v>960</v>
      </c>
      <c r="F1371" s="35" t="s">
        <v>1000</v>
      </c>
      <c r="G1371" s="28" t="s">
        <v>8302</v>
      </c>
      <c r="H1371" s="28" t="s">
        <v>8155</v>
      </c>
      <c r="I1371" s="28" t="s">
        <v>8303</v>
      </c>
      <c r="J1371" s="28" t="s">
        <v>8157</v>
      </c>
      <c r="K1371" s="28" t="s">
        <v>8313</v>
      </c>
      <c r="L1371" s="28" t="s">
        <v>8179</v>
      </c>
      <c r="M1371" s="28" t="s">
        <v>8314</v>
      </c>
      <c r="N1371" s="28" t="s">
        <v>8181</v>
      </c>
    </row>
    <row r="1372" spans="1:14">
      <c r="A1372" t="s">
        <v>26</v>
      </c>
      <c r="B1372" t="s">
        <v>53</v>
      </c>
      <c r="C1372">
        <v>2150</v>
      </c>
      <c r="D1372">
        <v>647</v>
      </c>
      <c r="E1372" t="s">
        <v>960</v>
      </c>
      <c r="F1372" s="35" t="s">
        <v>1000</v>
      </c>
      <c r="G1372" s="28" t="s">
        <v>8302</v>
      </c>
      <c r="H1372" s="28" t="s">
        <v>8155</v>
      </c>
      <c r="I1372" s="28" t="s">
        <v>8303</v>
      </c>
      <c r="J1372" s="28" t="s">
        <v>8157</v>
      </c>
      <c r="K1372" s="28" t="s">
        <v>8313</v>
      </c>
      <c r="L1372" s="28" t="s">
        <v>8179</v>
      </c>
      <c r="M1372" s="28" t="s">
        <v>8314</v>
      </c>
      <c r="N1372" s="28" t="s">
        <v>8181</v>
      </c>
    </row>
    <row r="1373" spans="1:14">
      <c r="A1373" t="s">
        <v>26</v>
      </c>
      <c r="B1373" t="s">
        <v>66</v>
      </c>
      <c r="C1373">
        <v>2150</v>
      </c>
      <c r="D1373">
        <v>137</v>
      </c>
      <c r="E1373" t="s">
        <v>960</v>
      </c>
      <c r="F1373" s="35" t="s">
        <v>1000</v>
      </c>
      <c r="G1373" s="28" t="s">
        <v>8302</v>
      </c>
      <c r="H1373" s="28" t="s">
        <v>8155</v>
      </c>
      <c r="I1373" s="28" t="s">
        <v>8303</v>
      </c>
      <c r="J1373" s="28" t="s">
        <v>8157</v>
      </c>
      <c r="K1373" s="28" t="s">
        <v>8315</v>
      </c>
      <c r="L1373" s="28" t="s">
        <v>8183</v>
      </c>
      <c r="M1373" s="28" t="s">
        <v>8316</v>
      </c>
      <c r="N1373" s="28" t="s">
        <v>8185</v>
      </c>
    </row>
    <row r="1374" spans="1:14">
      <c r="A1374" t="s">
        <v>26</v>
      </c>
      <c r="B1374" t="s">
        <v>66</v>
      </c>
      <c r="C1374">
        <v>2150</v>
      </c>
      <c r="D1374">
        <v>376</v>
      </c>
      <c r="E1374" t="s">
        <v>960</v>
      </c>
      <c r="F1374" s="35" t="s">
        <v>1000</v>
      </c>
      <c r="G1374" s="28" t="s">
        <v>8302</v>
      </c>
      <c r="H1374" s="28" t="s">
        <v>8155</v>
      </c>
      <c r="I1374" s="28" t="s">
        <v>8303</v>
      </c>
      <c r="J1374" s="28" t="s">
        <v>8157</v>
      </c>
      <c r="K1374" s="28" t="s">
        <v>8315</v>
      </c>
      <c r="L1374" s="28" t="s">
        <v>8183</v>
      </c>
      <c r="M1374" s="28" t="s">
        <v>8316</v>
      </c>
      <c r="N1374" s="28" t="s">
        <v>8185</v>
      </c>
    </row>
    <row r="1375" spans="1:14">
      <c r="A1375" t="s">
        <v>26</v>
      </c>
      <c r="B1375" t="s">
        <v>68</v>
      </c>
      <c r="C1375">
        <v>2150</v>
      </c>
      <c r="D1375">
        <v>131</v>
      </c>
      <c r="E1375" t="s">
        <v>960</v>
      </c>
      <c r="F1375" s="35" t="s">
        <v>1000</v>
      </c>
      <c r="G1375" s="28" t="s">
        <v>8302</v>
      </c>
      <c r="H1375" s="28" t="s">
        <v>8155</v>
      </c>
      <c r="I1375" s="28" t="s">
        <v>8303</v>
      </c>
      <c r="J1375" s="28" t="s">
        <v>8157</v>
      </c>
      <c r="K1375" s="28" t="s">
        <v>8317</v>
      </c>
      <c r="L1375" s="28" t="s">
        <v>8187</v>
      </c>
      <c r="M1375" s="28" t="s">
        <v>8318</v>
      </c>
      <c r="N1375" s="28" t="s">
        <v>8189</v>
      </c>
    </row>
    <row r="1376" spans="1:14">
      <c r="A1376" t="s">
        <v>26</v>
      </c>
      <c r="B1376" t="s">
        <v>62</v>
      </c>
      <c r="C1376">
        <v>2150</v>
      </c>
      <c r="D1376">
        <v>112</v>
      </c>
      <c r="E1376" t="s">
        <v>961</v>
      </c>
      <c r="F1376" s="35" t="s">
        <v>1000</v>
      </c>
      <c r="G1376" s="28" t="s">
        <v>8319</v>
      </c>
      <c r="H1376" s="28" t="s">
        <v>8191</v>
      </c>
      <c r="I1376" s="28" t="s">
        <v>8320</v>
      </c>
      <c r="J1376" s="28" t="s">
        <v>8193</v>
      </c>
      <c r="K1376" s="28" t="s">
        <v>8321</v>
      </c>
      <c r="L1376" s="28" t="s">
        <v>8195</v>
      </c>
      <c r="M1376" s="28" t="s">
        <v>8322</v>
      </c>
      <c r="N1376" s="28" t="s">
        <v>8197</v>
      </c>
    </row>
    <row r="1377" spans="1:14">
      <c r="A1377" t="s">
        <v>26</v>
      </c>
      <c r="B1377" t="s">
        <v>65</v>
      </c>
      <c r="C1377">
        <v>2150</v>
      </c>
      <c r="D1377">
        <v>120</v>
      </c>
      <c r="E1377" t="s">
        <v>961</v>
      </c>
      <c r="F1377" s="35" t="s">
        <v>1000</v>
      </c>
      <c r="G1377" s="28" t="s">
        <v>8319</v>
      </c>
      <c r="H1377" s="28" t="s">
        <v>8191</v>
      </c>
      <c r="I1377" s="28" t="s">
        <v>8320</v>
      </c>
      <c r="J1377" s="28" t="s">
        <v>8193</v>
      </c>
      <c r="K1377" s="28" t="s">
        <v>8323</v>
      </c>
      <c r="L1377" s="28" t="s">
        <v>8199</v>
      </c>
      <c r="M1377" s="28" t="s">
        <v>8324</v>
      </c>
      <c r="N1377" s="28" t="s">
        <v>8201</v>
      </c>
    </row>
    <row r="1378" spans="1:14">
      <c r="A1378" t="s">
        <v>26</v>
      </c>
      <c r="B1378" t="s">
        <v>63</v>
      </c>
      <c r="C1378">
        <v>2150</v>
      </c>
      <c r="D1378">
        <v>149</v>
      </c>
      <c r="E1378" t="s">
        <v>961</v>
      </c>
      <c r="F1378" s="35" t="s">
        <v>1000</v>
      </c>
      <c r="G1378" s="28" t="s">
        <v>8319</v>
      </c>
      <c r="H1378" s="28" t="s">
        <v>8191</v>
      </c>
      <c r="I1378" s="28" t="s">
        <v>8320</v>
      </c>
      <c r="J1378" s="28" t="s">
        <v>8193</v>
      </c>
      <c r="K1378" s="28" t="s">
        <v>8325</v>
      </c>
      <c r="L1378" s="28" t="s">
        <v>8203</v>
      </c>
      <c r="M1378" s="28" t="s">
        <v>8326</v>
      </c>
      <c r="N1378" s="28" t="s">
        <v>8205</v>
      </c>
    </row>
    <row r="1379" spans="1:14">
      <c r="A1379" t="s">
        <v>965</v>
      </c>
      <c r="B1379" t="s">
        <v>68</v>
      </c>
      <c r="C1379">
        <v>2150</v>
      </c>
      <c r="D1379">
        <v>225</v>
      </c>
      <c r="E1379" t="s">
        <v>960</v>
      </c>
      <c r="F1379" s="35" t="s">
        <v>1000</v>
      </c>
      <c r="G1379" s="28" t="s">
        <v>8302</v>
      </c>
      <c r="H1379" s="28" t="s">
        <v>8155</v>
      </c>
      <c r="I1379" s="28" t="s">
        <v>8327</v>
      </c>
      <c r="J1379" s="28" t="s">
        <v>8211</v>
      </c>
      <c r="K1379" s="28" t="s">
        <v>8328</v>
      </c>
      <c r="L1379" s="28" t="s">
        <v>8215</v>
      </c>
      <c r="M1379" s="28" t="s">
        <v>8318</v>
      </c>
      <c r="N1379" s="28" t="s">
        <v>8189</v>
      </c>
    </row>
    <row r="1380" spans="1:14">
      <c r="A1380" t="s">
        <v>965</v>
      </c>
      <c r="B1380" t="s">
        <v>52</v>
      </c>
      <c r="C1380">
        <v>2150</v>
      </c>
      <c r="D1380">
        <v>617</v>
      </c>
      <c r="E1380" t="s">
        <v>960</v>
      </c>
      <c r="F1380" s="35" t="s">
        <v>1000</v>
      </c>
      <c r="G1380" s="28" t="s">
        <v>8302</v>
      </c>
      <c r="H1380" s="28" t="s">
        <v>8155</v>
      </c>
      <c r="I1380" s="28" t="s">
        <v>8327</v>
      </c>
      <c r="J1380" s="28" t="s">
        <v>8211</v>
      </c>
      <c r="K1380" s="28" t="s">
        <v>8329</v>
      </c>
      <c r="L1380" s="28" t="s">
        <v>8217</v>
      </c>
      <c r="M1380" s="28" t="s">
        <v>8310</v>
      </c>
      <c r="N1380" s="28" t="s">
        <v>8219</v>
      </c>
    </row>
    <row r="1381" spans="1:14">
      <c r="A1381" t="s">
        <v>965</v>
      </c>
      <c r="B1381" t="s">
        <v>53</v>
      </c>
      <c r="C1381">
        <v>2150</v>
      </c>
      <c r="D1381">
        <v>1199</v>
      </c>
      <c r="E1381" t="s">
        <v>960</v>
      </c>
      <c r="F1381" s="35" t="s">
        <v>1000</v>
      </c>
      <c r="G1381" s="28" t="s">
        <v>8302</v>
      </c>
      <c r="H1381" s="28" t="s">
        <v>8155</v>
      </c>
      <c r="I1381" s="28" t="s">
        <v>8327</v>
      </c>
      <c r="J1381" s="28" t="s">
        <v>8211</v>
      </c>
      <c r="K1381" s="28" t="s">
        <v>8330</v>
      </c>
      <c r="L1381" s="28" t="s">
        <v>8331</v>
      </c>
      <c r="M1381" s="28" t="s">
        <v>8314</v>
      </c>
      <c r="N1381" s="28" t="s">
        <v>8181</v>
      </c>
    </row>
    <row r="1382" spans="1:14">
      <c r="A1382" t="s">
        <v>965</v>
      </c>
      <c r="B1382" t="s">
        <v>66</v>
      </c>
      <c r="C1382">
        <v>2150</v>
      </c>
      <c r="D1382">
        <v>666</v>
      </c>
      <c r="E1382" t="s">
        <v>960</v>
      </c>
      <c r="F1382" s="35" t="s">
        <v>1000</v>
      </c>
      <c r="G1382" s="28" t="s">
        <v>8302</v>
      </c>
      <c r="H1382" s="28" t="s">
        <v>8155</v>
      </c>
      <c r="I1382" s="28" t="s">
        <v>8327</v>
      </c>
      <c r="J1382" s="28" t="s">
        <v>8211</v>
      </c>
      <c r="K1382" s="28" t="s">
        <v>8332</v>
      </c>
      <c r="L1382" s="28" t="s">
        <v>8225</v>
      </c>
      <c r="M1382" s="28" t="s">
        <v>8316</v>
      </c>
      <c r="N1382" s="28" t="s">
        <v>8185</v>
      </c>
    </row>
    <row r="1383" spans="1:14">
      <c r="A1383" t="s">
        <v>965</v>
      </c>
      <c r="B1383" t="s">
        <v>69</v>
      </c>
      <c r="C1383">
        <v>2151</v>
      </c>
      <c r="D1383">
        <v>33</v>
      </c>
      <c r="E1383" t="s">
        <v>960</v>
      </c>
      <c r="F1383" s="35" t="s">
        <v>1000</v>
      </c>
      <c r="G1383" s="28" t="s">
        <v>8338</v>
      </c>
      <c r="H1383" s="28" t="s">
        <v>8155</v>
      </c>
      <c r="I1383" s="28" t="s">
        <v>8339</v>
      </c>
      <c r="J1383" s="28" t="s">
        <v>8211</v>
      </c>
      <c r="K1383" s="28" t="s">
        <v>8340</v>
      </c>
      <c r="L1383" s="28" t="s">
        <v>8341</v>
      </c>
      <c r="M1383" s="28" t="s">
        <v>8342</v>
      </c>
      <c r="N1383" s="28" t="s">
        <v>8161</v>
      </c>
    </row>
    <row r="1384" spans="1:14">
      <c r="A1384" t="s">
        <v>965</v>
      </c>
      <c r="B1384" t="s">
        <v>68</v>
      </c>
      <c r="C1384">
        <v>2151</v>
      </c>
      <c r="D1384">
        <v>390</v>
      </c>
      <c r="E1384" t="s">
        <v>960</v>
      </c>
      <c r="F1384" s="35" t="s">
        <v>1000</v>
      </c>
      <c r="G1384" s="28" t="s">
        <v>8338</v>
      </c>
      <c r="H1384" s="28" t="s">
        <v>8155</v>
      </c>
      <c r="I1384" s="28" t="s">
        <v>8339</v>
      </c>
      <c r="J1384" s="28" t="s">
        <v>8211</v>
      </c>
      <c r="K1384" s="28" t="s">
        <v>8343</v>
      </c>
      <c r="L1384" s="28" t="s">
        <v>8215</v>
      </c>
      <c r="M1384" s="28" t="s">
        <v>8344</v>
      </c>
      <c r="N1384" s="28" t="s">
        <v>8189</v>
      </c>
    </row>
    <row r="1385" spans="1:14">
      <c r="A1385" t="s">
        <v>965</v>
      </c>
      <c r="B1385" t="s">
        <v>52</v>
      </c>
      <c r="C1385">
        <v>2151</v>
      </c>
      <c r="D1385">
        <v>261</v>
      </c>
      <c r="E1385" t="s">
        <v>960</v>
      </c>
      <c r="F1385" s="35" t="s">
        <v>1000</v>
      </c>
      <c r="G1385" s="28" t="s">
        <v>8338</v>
      </c>
      <c r="H1385" s="28" t="s">
        <v>8155</v>
      </c>
      <c r="I1385" s="28" t="s">
        <v>8339</v>
      </c>
      <c r="J1385" s="28" t="s">
        <v>8211</v>
      </c>
      <c r="K1385" s="28" t="s">
        <v>8345</v>
      </c>
      <c r="L1385" s="28" t="s">
        <v>8217</v>
      </c>
      <c r="M1385" s="28" t="s">
        <v>8346</v>
      </c>
      <c r="N1385" s="28" t="s">
        <v>8219</v>
      </c>
    </row>
    <row r="1386" spans="1:14">
      <c r="A1386" t="s">
        <v>965</v>
      </c>
      <c r="B1386" t="s">
        <v>56</v>
      </c>
      <c r="C1386">
        <v>2151</v>
      </c>
      <c r="D1386">
        <v>4</v>
      </c>
      <c r="E1386" t="s">
        <v>960</v>
      </c>
      <c r="F1386" s="35" t="s">
        <v>1000</v>
      </c>
      <c r="G1386" s="28" t="s">
        <v>8338</v>
      </c>
      <c r="H1386" s="28" t="s">
        <v>8155</v>
      </c>
      <c r="I1386" s="28" t="s">
        <v>8339</v>
      </c>
      <c r="J1386" s="28" t="s">
        <v>8211</v>
      </c>
      <c r="K1386" s="28" t="s">
        <v>8347</v>
      </c>
      <c r="L1386" s="28" t="s">
        <v>8223</v>
      </c>
      <c r="M1386" s="28" t="s">
        <v>8348</v>
      </c>
      <c r="N1386" s="28" t="s">
        <v>8165</v>
      </c>
    </row>
    <row r="1387" spans="1:14">
      <c r="A1387" t="s">
        <v>965</v>
      </c>
      <c r="B1387" t="s">
        <v>66</v>
      </c>
      <c r="C1387">
        <v>2151</v>
      </c>
      <c r="D1387">
        <v>299</v>
      </c>
      <c r="E1387" t="s">
        <v>960</v>
      </c>
      <c r="F1387" s="35" t="s">
        <v>1000</v>
      </c>
      <c r="G1387" s="28" t="s">
        <v>8338</v>
      </c>
      <c r="H1387" s="28" t="s">
        <v>8155</v>
      </c>
      <c r="I1387" s="28" t="s">
        <v>8339</v>
      </c>
      <c r="J1387" s="28" t="s">
        <v>8211</v>
      </c>
      <c r="K1387" s="28" t="s">
        <v>8349</v>
      </c>
      <c r="L1387" s="28" t="s">
        <v>8225</v>
      </c>
      <c r="M1387" s="28" t="s">
        <v>8350</v>
      </c>
      <c r="N1387" s="28" t="s">
        <v>8185</v>
      </c>
    </row>
    <row r="1388" spans="1:14">
      <c r="A1388" t="s">
        <v>965</v>
      </c>
      <c r="B1388" t="s">
        <v>69</v>
      </c>
      <c r="C1388">
        <v>2152</v>
      </c>
      <c r="D1388">
        <v>71</v>
      </c>
      <c r="E1388" t="s">
        <v>960</v>
      </c>
      <c r="F1388" s="35" t="s">
        <v>1000</v>
      </c>
      <c r="G1388" s="28" t="s">
        <v>8411</v>
      </c>
      <c r="H1388" s="28" t="s">
        <v>8155</v>
      </c>
      <c r="I1388" s="28" t="s">
        <v>8412</v>
      </c>
      <c r="J1388" s="28" t="s">
        <v>8211</v>
      </c>
      <c r="K1388" s="28" t="s">
        <v>8413</v>
      </c>
      <c r="L1388" s="28" t="s">
        <v>8341</v>
      </c>
      <c r="M1388" s="28" t="s">
        <v>8414</v>
      </c>
      <c r="N1388" s="28" t="s">
        <v>8161</v>
      </c>
    </row>
    <row r="1389" spans="1:14">
      <c r="A1389" t="s">
        <v>965</v>
      </c>
      <c r="B1389" t="s">
        <v>67</v>
      </c>
      <c r="C1389">
        <v>2152</v>
      </c>
      <c r="D1389">
        <v>103</v>
      </c>
      <c r="E1389" t="s">
        <v>960</v>
      </c>
      <c r="F1389" s="35" t="s">
        <v>1000</v>
      </c>
      <c r="G1389" s="28" t="s">
        <v>8411</v>
      </c>
      <c r="H1389" s="28" t="s">
        <v>8155</v>
      </c>
      <c r="I1389" s="28" t="s">
        <v>8412</v>
      </c>
      <c r="J1389" s="28" t="s">
        <v>8211</v>
      </c>
      <c r="K1389" s="28" t="s">
        <v>8415</v>
      </c>
      <c r="L1389" s="28" t="s">
        <v>8213</v>
      </c>
      <c r="M1389" s="28" t="s">
        <v>8416</v>
      </c>
      <c r="N1389" s="28" t="s">
        <v>8169</v>
      </c>
    </row>
    <row r="1390" spans="1:14">
      <c r="A1390" t="s">
        <v>965</v>
      </c>
      <c r="B1390" t="s">
        <v>68</v>
      </c>
      <c r="C1390">
        <v>2152</v>
      </c>
      <c r="D1390">
        <v>268</v>
      </c>
      <c r="E1390" t="s">
        <v>960</v>
      </c>
      <c r="F1390" s="35" t="s">
        <v>1000</v>
      </c>
      <c r="G1390" s="28" t="s">
        <v>8411</v>
      </c>
      <c r="H1390" s="28" t="s">
        <v>8155</v>
      </c>
      <c r="I1390" s="28" t="s">
        <v>8412</v>
      </c>
      <c r="J1390" s="28" t="s">
        <v>8211</v>
      </c>
      <c r="K1390" s="28" t="s">
        <v>8417</v>
      </c>
      <c r="L1390" s="28" t="s">
        <v>8215</v>
      </c>
      <c r="M1390" s="28" t="s">
        <v>8418</v>
      </c>
      <c r="N1390" s="28" t="s">
        <v>8189</v>
      </c>
    </row>
    <row r="1391" spans="1:14">
      <c r="A1391" t="s">
        <v>965</v>
      </c>
      <c r="B1391" t="s">
        <v>52</v>
      </c>
      <c r="C1391">
        <v>2152</v>
      </c>
      <c r="D1391">
        <v>1326</v>
      </c>
      <c r="E1391" t="s">
        <v>960</v>
      </c>
      <c r="F1391" s="35" t="s">
        <v>1000</v>
      </c>
      <c r="G1391" s="28" t="s">
        <v>8411</v>
      </c>
      <c r="H1391" s="28" t="s">
        <v>8155</v>
      </c>
      <c r="I1391" s="28" t="s">
        <v>8412</v>
      </c>
      <c r="J1391" s="28" t="s">
        <v>8211</v>
      </c>
      <c r="K1391" s="28" t="s">
        <v>8419</v>
      </c>
      <c r="L1391" s="28" t="s">
        <v>8217</v>
      </c>
      <c r="M1391" s="28" t="s">
        <v>8420</v>
      </c>
      <c r="N1391" s="28" t="s">
        <v>8219</v>
      </c>
    </row>
    <row r="1392" spans="1:14">
      <c r="A1392" t="s">
        <v>965</v>
      </c>
      <c r="B1392" t="s">
        <v>56</v>
      </c>
      <c r="C1392">
        <v>2152</v>
      </c>
      <c r="D1392">
        <v>126</v>
      </c>
      <c r="E1392" t="s">
        <v>960</v>
      </c>
      <c r="F1392" s="35" t="s">
        <v>1000</v>
      </c>
      <c r="G1392" s="28" t="s">
        <v>8411</v>
      </c>
      <c r="H1392" s="28" t="s">
        <v>8155</v>
      </c>
      <c r="I1392" s="28" t="s">
        <v>8412</v>
      </c>
      <c r="J1392" s="28" t="s">
        <v>8211</v>
      </c>
      <c r="K1392" s="28" t="s">
        <v>8421</v>
      </c>
      <c r="L1392" s="28" t="s">
        <v>8223</v>
      </c>
      <c r="M1392" s="28" t="s">
        <v>8422</v>
      </c>
      <c r="N1392" s="28" t="s">
        <v>8165</v>
      </c>
    </row>
    <row r="1393" spans="1:14">
      <c r="A1393" t="s">
        <v>965</v>
      </c>
      <c r="B1393" t="s">
        <v>53</v>
      </c>
      <c r="C1393">
        <v>2152</v>
      </c>
      <c r="D1393">
        <v>682</v>
      </c>
      <c r="E1393" t="s">
        <v>960</v>
      </c>
      <c r="F1393" s="35" t="s">
        <v>1000</v>
      </c>
      <c r="G1393" s="28" t="s">
        <v>8411</v>
      </c>
      <c r="H1393" s="28" t="s">
        <v>8155</v>
      </c>
      <c r="I1393" s="28" t="s">
        <v>8412</v>
      </c>
      <c r="J1393" s="28" t="s">
        <v>8211</v>
      </c>
      <c r="K1393" s="28" t="s">
        <v>8423</v>
      </c>
      <c r="L1393" s="28" t="s">
        <v>8331</v>
      </c>
      <c r="M1393" s="28" t="s">
        <v>8424</v>
      </c>
      <c r="N1393" s="28" t="s">
        <v>8181</v>
      </c>
    </row>
    <row r="1394" spans="1:14">
      <c r="A1394" t="s">
        <v>965</v>
      </c>
      <c r="B1394" t="s">
        <v>66</v>
      </c>
      <c r="C1394">
        <v>2152</v>
      </c>
      <c r="D1394">
        <v>452</v>
      </c>
      <c r="E1394" t="s">
        <v>960</v>
      </c>
      <c r="F1394" s="35" t="s">
        <v>1000</v>
      </c>
      <c r="G1394" s="28" t="s">
        <v>8411</v>
      </c>
      <c r="H1394" s="28" t="s">
        <v>8155</v>
      </c>
      <c r="I1394" s="28" t="s">
        <v>8412</v>
      </c>
      <c r="J1394" s="28" t="s">
        <v>8211</v>
      </c>
      <c r="K1394" s="28" t="s">
        <v>8425</v>
      </c>
      <c r="L1394" s="28" t="s">
        <v>8225</v>
      </c>
      <c r="M1394" s="28" t="s">
        <v>8426</v>
      </c>
      <c r="N1394" s="28" t="s">
        <v>8185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492C0-516C-4ED3-9003-B88DAB365E84}">
  <sheetPr codeName="wsWeekly3">
    <tabColor rgb="FF0099FF"/>
  </sheetPr>
  <dimension ref="B1:FE25"/>
  <sheetViews>
    <sheetView zoomScale="70" zoomScaleNormal="70" workbookViewId="0">
      <selection activeCell="B3" sqref="B3"/>
    </sheetView>
  </sheetViews>
  <sheetFormatPr defaultColWidth="8.90625" defaultRowHeight="14.5"/>
  <cols>
    <col min="1" max="1" width="3.08984375" style="3" customWidth="1"/>
    <col min="2" max="2" width="11.08984375" style="3" customWidth="1"/>
    <col min="3" max="3" width="9.453125" style="3" customWidth="1"/>
    <col min="4" max="54" width="9.453125" style="3" bestFit="1" customWidth="1"/>
    <col min="55" max="16384" width="8.90625" style="3"/>
  </cols>
  <sheetData>
    <row r="1" spans="2:161" s="5" customFormat="1" ht="14.15" customHeight="1">
      <c r="B1" s="5" t="str">
        <f>Report!O2</f>
        <v>85AG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5" customHeight="1">
      <c r="B2" s="24" t="s">
        <v>28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>
      <c r="B3" s="17" t="str">
        <f>Report!M2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2053</v>
      </c>
      <c r="BD3" s="6">
        <v>2101</v>
      </c>
      <c r="BE3" s="6">
        <v>2102</v>
      </c>
      <c r="BF3" s="6">
        <v>2103</v>
      </c>
      <c r="BG3" s="6">
        <v>2104</v>
      </c>
      <c r="BH3" s="6">
        <v>2105</v>
      </c>
      <c r="BI3" s="6">
        <v>2106</v>
      </c>
      <c r="BJ3" s="6">
        <v>2107</v>
      </c>
      <c r="BK3" s="6">
        <v>2108</v>
      </c>
      <c r="BL3" s="6">
        <v>2109</v>
      </c>
      <c r="BM3" s="6">
        <v>2110</v>
      </c>
      <c r="BN3" s="6">
        <v>2111</v>
      </c>
      <c r="BO3" s="6">
        <v>2112</v>
      </c>
      <c r="BP3" s="6">
        <v>2113</v>
      </c>
      <c r="BQ3" s="6">
        <v>2114</v>
      </c>
      <c r="BR3" s="6">
        <v>2115</v>
      </c>
      <c r="BS3" s="6">
        <v>2116</v>
      </c>
      <c r="BT3" s="6">
        <v>2117</v>
      </c>
      <c r="BU3" s="6">
        <v>2118</v>
      </c>
      <c r="BV3" s="6">
        <v>2119</v>
      </c>
      <c r="BW3" s="6">
        <v>2120</v>
      </c>
      <c r="BX3" s="6">
        <v>2121</v>
      </c>
      <c r="BY3" s="6">
        <v>2122</v>
      </c>
      <c r="BZ3" s="6">
        <v>2123</v>
      </c>
      <c r="CA3" s="6">
        <v>2124</v>
      </c>
      <c r="CB3" s="6">
        <v>2125</v>
      </c>
      <c r="CC3" s="6">
        <v>2126</v>
      </c>
      <c r="CD3" s="6">
        <v>2127</v>
      </c>
      <c r="CE3" s="6">
        <v>2128</v>
      </c>
      <c r="CF3" s="6">
        <v>2129</v>
      </c>
      <c r="CG3" s="6">
        <v>2130</v>
      </c>
      <c r="CH3" s="6">
        <v>2131</v>
      </c>
      <c r="CI3" s="6">
        <v>2132</v>
      </c>
      <c r="CJ3" s="6">
        <v>2133</v>
      </c>
      <c r="CK3" s="6">
        <v>2134</v>
      </c>
      <c r="CL3" s="6">
        <v>2135</v>
      </c>
      <c r="CM3" s="6">
        <v>2136</v>
      </c>
      <c r="CN3" s="6">
        <v>2137</v>
      </c>
      <c r="CO3" s="6">
        <v>2138</v>
      </c>
      <c r="CP3" s="6">
        <v>2139</v>
      </c>
      <c r="CQ3" s="6">
        <v>2140</v>
      </c>
      <c r="CR3" s="6">
        <v>2141</v>
      </c>
      <c r="CS3" s="6">
        <v>2142</v>
      </c>
      <c r="CT3" s="6">
        <v>2143</v>
      </c>
      <c r="CU3" s="6">
        <v>2144</v>
      </c>
      <c r="CV3" s="6">
        <v>2145</v>
      </c>
      <c r="CW3" s="6">
        <v>2146</v>
      </c>
      <c r="CX3" s="6">
        <v>2147</v>
      </c>
      <c r="CY3" s="6">
        <v>2148</v>
      </c>
      <c r="CZ3" s="6">
        <v>2149</v>
      </c>
      <c r="DA3" s="6">
        <v>2150</v>
      </c>
      <c r="DB3" s="6">
        <v>2151</v>
      </c>
      <c r="DC3" s="6">
        <v>2152</v>
      </c>
      <c r="DD3" s="6">
        <v>2153</v>
      </c>
      <c r="DE3" s="6">
        <v>2201</v>
      </c>
      <c r="DF3" s="6">
        <v>2202</v>
      </c>
      <c r="DG3" s="6">
        <v>2203</v>
      </c>
      <c r="DH3" s="6">
        <v>2204</v>
      </c>
      <c r="DI3" s="6">
        <v>2205</v>
      </c>
      <c r="DJ3" s="6">
        <v>2206</v>
      </c>
      <c r="DK3" s="6">
        <v>2207</v>
      </c>
      <c r="DL3" s="6">
        <v>2208</v>
      </c>
      <c r="DM3" s="6">
        <v>2209</v>
      </c>
      <c r="DN3" s="6">
        <v>2210</v>
      </c>
      <c r="DO3" s="6">
        <v>2211</v>
      </c>
      <c r="DP3" s="6">
        <v>2212</v>
      </c>
      <c r="DQ3" s="6">
        <v>2213</v>
      </c>
      <c r="DR3" s="6">
        <v>2214</v>
      </c>
      <c r="DS3" s="6">
        <v>2215</v>
      </c>
      <c r="DT3" s="6">
        <v>2216</v>
      </c>
      <c r="DU3" s="6">
        <v>2217</v>
      </c>
      <c r="DV3" s="6">
        <v>2218</v>
      </c>
      <c r="DW3" s="6">
        <v>2219</v>
      </c>
      <c r="DX3" s="6">
        <v>2220</v>
      </c>
      <c r="DY3" s="6">
        <v>2221</v>
      </c>
      <c r="DZ3" s="6">
        <v>2222</v>
      </c>
      <c r="EA3" s="6">
        <v>2223</v>
      </c>
      <c r="EB3" s="6">
        <v>2224</v>
      </c>
      <c r="EC3" s="6">
        <v>2225</v>
      </c>
      <c r="ED3" s="6">
        <v>2226</v>
      </c>
      <c r="EE3" s="6">
        <v>2227</v>
      </c>
      <c r="EF3" s="6">
        <v>2228</v>
      </c>
      <c r="EG3" s="6">
        <v>2229</v>
      </c>
      <c r="EH3" s="6">
        <v>2230</v>
      </c>
      <c r="EI3" s="6">
        <v>2231</v>
      </c>
      <c r="EJ3" s="6">
        <v>2232</v>
      </c>
      <c r="EK3" s="6">
        <v>2233</v>
      </c>
      <c r="EL3" s="6">
        <v>2234</v>
      </c>
      <c r="EM3" s="6">
        <v>2235</v>
      </c>
      <c r="EN3" s="6">
        <v>2236</v>
      </c>
      <c r="EO3" s="6">
        <v>2237</v>
      </c>
      <c r="EP3" s="6">
        <v>2238</v>
      </c>
      <c r="EQ3" s="6">
        <v>2239</v>
      </c>
      <c r="ER3" s="6">
        <v>2240</v>
      </c>
      <c r="ES3" s="6">
        <v>2241</v>
      </c>
      <c r="ET3" s="6">
        <v>2242</v>
      </c>
      <c r="EU3" s="6">
        <v>2243</v>
      </c>
      <c r="EV3" s="6">
        <v>2244</v>
      </c>
      <c r="EW3" s="6">
        <v>2245</v>
      </c>
      <c r="EX3" s="6">
        <v>2246</v>
      </c>
      <c r="EY3" s="6">
        <v>2247</v>
      </c>
      <c r="EZ3" s="6">
        <v>2248</v>
      </c>
      <c r="FA3" s="6">
        <v>2249</v>
      </c>
      <c r="FB3" s="6">
        <v>2250</v>
      </c>
      <c r="FC3" s="6">
        <v>2251</v>
      </c>
      <c r="FD3" s="6">
        <v>2252</v>
      </c>
      <c r="FE3" s="6">
        <v>2253</v>
      </c>
    </row>
    <row r="4" spans="2:161">
      <c r="B4" s="2" t="s">
        <v>989</v>
      </c>
      <c r="C4" s="2">
        <f>SUMIF(inputs!$M:$M,Weekly_Pmod!C$3&amp;Weekly_Pmod!$B$3&amp;Weekly_Pmod!$B$1,inputs!$D:$D)</f>
        <v>0</v>
      </c>
      <c r="D4" s="2">
        <f>SUMIF(inputs!$M:$M,Weekly_Pmod!D$3&amp;Weekly_Pmod!$B$3&amp;Weekly_Pmod!$B$1,inputs!$D:$D)</f>
        <v>0</v>
      </c>
      <c r="E4" s="2">
        <f>SUMIF(inputs!$M:$M,Weekly_Pmod!E$3&amp;Weekly_Pmod!$B$3&amp;Weekly_Pmod!$B$1,inputs!$D:$D)</f>
        <v>0</v>
      </c>
      <c r="F4" s="2">
        <f>SUMIF(inputs!$M:$M,Weekly_Pmod!F$3&amp;Weekly_Pmod!$B$3&amp;Weekly_Pmod!$B$1,inputs!$D:$D)</f>
        <v>0</v>
      </c>
      <c r="G4" s="2">
        <f>SUMIF(inputs!$M:$M,Weekly_Pmod!G$3&amp;Weekly_Pmod!$B$3&amp;Weekly_Pmod!$B$1,inputs!$D:$D)</f>
        <v>0</v>
      </c>
      <c r="H4" s="2">
        <f>SUMIF(inputs!$M:$M,Weekly_Pmod!H$3&amp;Weekly_Pmod!$B$3&amp;Weekly_Pmod!$B$1,inputs!$D:$D)</f>
        <v>0</v>
      </c>
      <c r="I4" s="2">
        <f>SUMIF(inputs!$M:$M,Weekly_Pmod!I$3&amp;Weekly_Pmod!$B$3&amp;Weekly_Pmod!$B$1,inputs!$D:$D)</f>
        <v>0</v>
      </c>
      <c r="J4" s="2">
        <f>SUMIF(inputs!$M:$M,Weekly_Pmod!J$3&amp;Weekly_Pmod!$B$3&amp;Weekly_Pmod!$B$1,inputs!$D:$D)</f>
        <v>0</v>
      </c>
      <c r="K4" s="2">
        <f>SUMIF(inputs!$M:$M,Weekly_Pmod!K$3&amp;Weekly_Pmod!$B$3&amp;Weekly_Pmod!$B$1,inputs!$D:$D)</f>
        <v>0</v>
      </c>
      <c r="L4" s="2">
        <f>SUMIF(inputs!$M:$M,Weekly_Pmod!L$3&amp;Weekly_Pmod!$B$3&amp;Weekly_Pmod!$B$1,inputs!$D:$D)</f>
        <v>0</v>
      </c>
      <c r="M4" s="2">
        <f>SUMIF(inputs!$M:$M,Weekly_Pmod!M$3&amp;Weekly_Pmod!$B$3&amp;Weekly_Pmod!$B$1,inputs!$D:$D)</f>
        <v>0</v>
      </c>
      <c r="N4" s="2">
        <f>SUMIF(inputs!$M:$M,Weekly_Pmod!N$3&amp;Weekly_Pmod!$B$3&amp;Weekly_Pmod!$B$1,inputs!$D:$D)</f>
        <v>0</v>
      </c>
      <c r="O4" s="2">
        <f>SUMIF(inputs!$M:$M,Weekly_Pmod!O$3&amp;Weekly_Pmod!$B$3&amp;Weekly_Pmod!$B$1,inputs!$D:$D)</f>
        <v>0</v>
      </c>
      <c r="P4" s="2">
        <f>SUMIF(inputs!$M:$M,Weekly_Pmod!P$3&amp;Weekly_Pmod!$B$3&amp;Weekly_Pmod!$B$1,inputs!$D:$D)</f>
        <v>0</v>
      </c>
      <c r="Q4" s="2">
        <f>SUMIF(inputs!$M:$M,Weekly_Pmod!Q$3&amp;Weekly_Pmod!$B$3&amp;Weekly_Pmod!$B$1,inputs!$D:$D)</f>
        <v>0</v>
      </c>
      <c r="R4" s="2">
        <f>SUMIF(inputs!$M:$M,Weekly_Pmod!R$3&amp;Weekly_Pmod!$B$3&amp;Weekly_Pmod!$B$1,inputs!$D:$D)</f>
        <v>0</v>
      </c>
      <c r="S4" s="2">
        <f>SUMIF(inputs!$M:$M,Weekly_Pmod!S$3&amp;Weekly_Pmod!$B$3&amp;Weekly_Pmod!$B$1,inputs!$D:$D)</f>
        <v>0</v>
      </c>
      <c r="T4" s="2">
        <f>SUMIF(inputs!$M:$M,Weekly_Pmod!T$3&amp;Weekly_Pmod!$B$3&amp;Weekly_Pmod!$B$1,inputs!$D:$D)</f>
        <v>0</v>
      </c>
      <c r="U4" s="2">
        <f>SUMIF(inputs!$M:$M,Weekly_Pmod!U$3&amp;Weekly_Pmod!$B$3&amp;Weekly_Pmod!$B$1,inputs!$D:$D)</f>
        <v>0</v>
      </c>
      <c r="V4" s="2">
        <f>SUMIF(inputs!$M:$M,Weekly_Pmod!V$3&amp;Weekly_Pmod!$B$3&amp;Weekly_Pmod!$B$1,inputs!$D:$D)</f>
        <v>0</v>
      </c>
      <c r="W4" s="2">
        <f>SUMIF(inputs!$M:$M,Weekly_Pmod!W$3&amp;Weekly_Pmod!$B$3&amp;Weekly_Pmod!$B$1,inputs!$D:$D)</f>
        <v>0</v>
      </c>
      <c r="X4" s="2">
        <f>SUMIF(inputs!$M:$M,Weekly_Pmod!X$3&amp;Weekly_Pmod!$B$3&amp;Weekly_Pmod!$B$1,inputs!$D:$D)</f>
        <v>0</v>
      </c>
      <c r="Y4" s="2">
        <f>SUMIF(inputs!$M:$M,Weekly_Pmod!Y$3&amp;Weekly_Pmod!$B$3&amp;Weekly_Pmod!$B$1,inputs!$D:$D)</f>
        <v>0</v>
      </c>
      <c r="Z4" s="2">
        <f>SUMIF(inputs!$M:$M,Weekly_Pmod!Z$3&amp;Weekly_Pmod!$B$3&amp;Weekly_Pmod!$B$1,inputs!$D:$D)</f>
        <v>0</v>
      </c>
      <c r="AA4" s="2">
        <f>SUMIF(inputs!$M:$M,Weekly_Pmod!AA$3&amp;Weekly_Pmod!$B$3&amp;Weekly_Pmod!$B$1,inputs!$D:$D)</f>
        <v>0</v>
      </c>
      <c r="AB4" s="2">
        <f>SUMIF(inputs!$M:$M,Weekly_Pmod!AB$3&amp;Weekly_Pmod!$B$3&amp;Weekly_Pmod!$B$1,inputs!$D:$D)</f>
        <v>0</v>
      </c>
      <c r="AC4" s="2">
        <f>SUMIF(inputs!$M:$M,Weekly_Pmod!AC$3&amp;Weekly_Pmod!$B$3&amp;Weekly_Pmod!$B$1,inputs!$D:$D)</f>
        <v>0</v>
      </c>
      <c r="AD4" s="2">
        <f>SUMIF(inputs!$M:$M,Weekly_Pmod!AD$3&amp;Weekly_Pmod!$B$3&amp;Weekly_Pmod!$B$1,inputs!$D:$D)</f>
        <v>0</v>
      </c>
      <c r="AE4" s="2">
        <f>SUMIF(inputs!$M:$M,Weekly_Pmod!AE$3&amp;Weekly_Pmod!$B$3&amp;Weekly_Pmod!$B$1,inputs!$D:$D)</f>
        <v>0</v>
      </c>
      <c r="AF4" s="2">
        <f>SUMIF(inputs!$M:$M,Weekly_Pmod!AF$3&amp;Weekly_Pmod!$B$3&amp;Weekly_Pmod!$B$1,inputs!$D:$D)</f>
        <v>0</v>
      </c>
      <c r="AG4" s="2">
        <f>SUMIF(inputs!$M:$M,Weekly_Pmod!AG$3&amp;Weekly_Pmod!$B$3&amp;Weekly_Pmod!$B$1,inputs!$D:$D)</f>
        <v>0</v>
      </c>
      <c r="AH4" s="2">
        <f>SUMIF(inputs!$M:$M,Weekly_Pmod!AH$3&amp;Weekly_Pmod!$B$3&amp;Weekly_Pmod!$B$1,inputs!$D:$D)</f>
        <v>0</v>
      </c>
      <c r="AI4" s="2">
        <f>SUMIF(inputs!$M:$M,Weekly_Pmod!AI$3&amp;Weekly_Pmod!$B$3&amp;Weekly_Pmod!$B$1,inputs!$D:$D)</f>
        <v>0</v>
      </c>
      <c r="AJ4" s="2">
        <f>SUMIF(inputs!$M:$M,Weekly_Pmod!AJ$3&amp;Weekly_Pmod!$B$3&amp;Weekly_Pmod!$B$1,inputs!$D:$D)</f>
        <v>0</v>
      </c>
      <c r="AK4" s="2">
        <f>SUMIF(inputs!$M:$M,Weekly_Pmod!AK$3&amp;Weekly_Pmod!$B$3&amp;Weekly_Pmod!$B$1,inputs!$D:$D)</f>
        <v>0</v>
      </c>
      <c r="AL4" s="2">
        <f>SUMIF(inputs!$M:$M,Weekly_Pmod!AL$3&amp;Weekly_Pmod!$B$3&amp;Weekly_Pmod!$B$1,inputs!$D:$D)</f>
        <v>0</v>
      </c>
      <c r="AM4" s="2">
        <f>SUMIF(inputs!$M:$M,Weekly_Pmod!AM$3&amp;Weekly_Pmod!$B$3&amp;Weekly_Pmod!$B$1,inputs!$D:$D)</f>
        <v>0</v>
      </c>
      <c r="AN4" s="2">
        <f>SUMIF(inputs!$M:$M,Weekly_Pmod!AN$3&amp;Weekly_Pmod!$B$3&amp;Weekly_Pmod!$B$1,inputs!$D:$D)</f>
        <v>0</v>
      </c>
      <c r="AO4" s="2">
        <f>SUMIF(inputs!$M:$M,Weekly_Pmod!AO$3&amp;Weekly_Pmod!$B$3&amp;Weekly_Pmod!$B$1,inputs!$D:$D)</f>
        <v>0</v>
      </c>
      <c r="AP4" s="2">
        <f>SUMIF(inputs!$M:$M,Weekly_Pmod!AP$3&amp;Weekly_Pmod!$B$3&amp;Weekly_Pmod!$B$1,inputs!$D:$D)</f>
        <v>0</v>
      </c>
      <c r="AQ4" s="2">
        <f>SUMIF(inputs!$M:$M,Weekly_Pmod!AQ$3&amp;Weekly_Pmod!$B$3&amp;Weekly_Pmod!$B$1,inputs!$D:$D)</f>
        <v>0</v>
      </c>
      <c r="AR4" s="2">
        <f>SUMIF(inputs!$M:$M,Weekly_Pmod!AR$3&amp;Weekly_Pmod!$B$3&amp;Weekly_Pmod!$B$1,inputs!$D:$D)</f>
        <v>0</v>
      </c>
      <c r="AS4" s="2">
        <f>SUMIF(inputs!$M:$M,Weekly_Pmod!AS$3&amp;Weekly_Pmod!$B$3&amp;Weekly_Pmod!$B$1,inputs!$D:$D)</f>
        <v>0</v>
      </c>
      <c r="AT4" s="2">
        <f>SUMIF(inputs!$M:$M,Weekly_Pmod!AT$3&amp;Weekly_Pmod!$B$3&amp;Weekly_Pmod!$B$1,inputs!$D:$D)</f>
        <v>0</v>
      </c>
      <c r="AU4" s="2">
        <f>SUMIF(inputs!$M:$M,Weekly_Pmod!AU$3&amp;Weekly_Pmod!$B$3&amp;Weekly_Pmod!$B$1,inputs!$D:$D)</f>
        <v>0</v>
      </c>
      <c r="AV4" s="2">
        <f>SUMIF(inputs!$M:$M,Weekly_Pmod!AV$3&amp;Weekly_Pmod!$B$3&amp;Weekly_Pmod!$B$1,inputs!$D:$D)</f>
        <v>0</v>
      </c>
      <c r="AW4" s="2">
        <f>SUMIF(inputs!$M:$M,Weekly_Pmod!AW$3&amp;Weekly_Pmod!$B$3&amp;Weekly_Pmod!$B$1,inputs!$D:$D)</f>
        <v>0</v>
      </c>
      <c r="AX4" s="2">
        <f>SUMIF(inputs!$M:$M,Weekly_Pmod!AX$3&amp;Weekly_Pmod!$B$3&amp;Weekly_Pmod!$B$1,inputs!$D:$D)</f>
        <v>0</v>
      </c>
      <c r="AY4" s="2">
        <f>SUMIF(inputs!$M:$M,Weekly_Pmod!AY$3&amp;Weekly_Pmod!$B$3&amp;Weekly_Pmod!$B$1,inputs!$D:$D)</f>
        <v>0</v>
      </c>
      <c r="AZ4" s="2">
        <f>SUMIF(inputs!$M:$M,Weekly_Pmod!AZ$3&amp;Weekly_Pmod!$B$3&amp;Weekly_Pmod!$B$1,inputs!$D:$D)</f>
        <v>0</v>
      </c>
      <c r="BA4" s="2">
        <f>SUMIF(inputs!$M:$M,Weekly_Pmod!BA$3&amp;Weekly_Pmod!$B$3&amp;Weekly_Pmod!$B$1,inputs!$D:$D)</f>
        <v>0</v>
      </c>
      <c r="BB4" s="2">
        <f>SUMIF(inputs!$M:$M,Weekly_Pmod!BB$3&amp;Weekly_Pmod!$B$3&amp;Weekly_Pmod!$B$1,inputs!$D:$D)</f>
        <v>0</v>
      </c>
      <c r="BC4" s="2">
        <f>SUMIF(inputs!$M:$M,Weekly_Pmod!BC$3&amp;Weekly_Pmod!$B$3&amp;Weekly_Pmod!$B$1,inputs!$D:$D)</f>
        <v>0</v>
      </c>
      <c r="BD4" s="2">
        <f>SUMIF(inputs!$M:$M,Weekly_Pmod!BD$3&amp;Weekly_Pmod!$B$3&amp;Weekly_Pmod!$B$1,inputs!$D:$D)</f>
        <v>0</v>
      </c>
      <c r="BE4" s="2">
        <f>SUMIF(inputs!$M:$M,Weekly_Pmod!BE$3&amp;Weekly_Pmod!$B$3&amp;Weekly_Pmod!$B$1,inputs!$D:$D)</f>
        <v>0</v>
      </c>
      <c r="BF4" s="2">
        <f>SUMIF(inputs!$M:$M,Weekly_Pmod!BF$3&amp;Weekly_Pmod!$B$3&amp;Weekly_Pmod!$B$1,inputs!$D:$D)</f>
        <v>0</v>
      </c>
      <c r="BG4" s="2">
        <f>SUMIF(inputs!$M:$M,Weekly_Pmod!BG$3&amp;Weekly_Pmod!$B$3&amp;Weekly_Pmod!$B$1,inputs!$D:$D)</f>
        <v>0</v>
      </c>
      <c r="BH4" s="2">
        <f>SUMIF(inputs!$M:$M,Weekly_Pmod!BH$3&amp;Weekly_Pmod!$B$3&amp;Weekly_Pmod!$B$1,inputs!$D:$D)</f>
        <v>0</v>
      </c>
      <c r="BI4" s="2">
        <f>SUMIF(inputs!$M:$M,Weekly_Pmod!BI$3&amp;Weekly_Pmod!$B$3&amp;Weekly_Pmod!$B$1,inputs!$D:$D)</f>
        <v>0</v>
      </c>
      <c r="BJ4" s="2">
        <f>SUMIF(inputs!$M:$M,Weekly_Pmod!BJ$3&amp;Weekly_Pmod!$B$3&amp;Weekly_Pmod!$B$1,inputs!$D:$D)</f>
        <v>0</v>
      </c>
      <c r="BK4" s="2">
        <f>SUMIF(inputs!$M:$M,Weekly_Pmod!BK$3&amp;Weekly_Pmod!$B$3&amp;Weekly_Pmod!$B$1,inputs!$D:$D)</f>
        <v>0</v>
      </c>
      <c r="BL4" s="2">
        <f>SUMIF(inputs!$M:$M,Weekly_Pmod!BL$3&amp;Weekly_Pmod!$B$3&amp;Weekly_Pmod!$B$1,inputs!$D:$D)</f>
        <v>0</v>
      </c>
      <c r="BM4" s="2">
        <f>SUMIF(inputs!$M:$M,Weekly_Pmod!BM$3&amp;Weekly_Pmod!$B$3&amp;Weekly_Pmod!$B$1,inputs!$D:$D)</f>
        <v>0</v>
      </c>
      <c r="BN4" s="2">
        <f>SUMIF(inputs!$M:$M,Weekly_Pmod!BN$3&amp;Weekly_Pmod!$B$3&amp;Weekly_Pmod!$B$1,inputs!$D:$D)</f>
        <v>0</v>
      </c>
      <c r="BO4" s="2">
        <f>SUMIF(inputs!$M:$M,Weekly_Pmod!BO$3&amp;Weekly_Pmod!$B$3&amp;Weekly_Pmod!$B$1,inputs!$D:$D)</f>
        <v>0</v>
      </c>
      <c r="BP4" s="2">
        <f>SUMIF(inputs!$M:$M,Weekly_Pmod!BP$3&amp;Weekly_Pmod!$B$3&amp;Weekly_Pmod!$B$1,inputs!$D:$D)</f>
        <v>0</v>
      </c>
      <c r="BQ4" s="2">
        <f>SUMIF(inputs!$M:$M,Weekly_Pmod!BQ$3&amp;Weekly_Pmod!$B$3&amp;Weekly_Pmod!$B$1,inputs!$D:$D)</f>
        <v>0</v>
      </c>
      <c r="BR4" s="2">
        <f>SUMIF(inputs!$M:$M,Weekly_Pmod!BR$3&amp;Weekly_Pmod!$B$3&amp;Weekly_Pmod!$B$1,inputs!$D:$D)</f>
        <v>0</v>
      </c>
      <c r="BS4" s="2">
        <f>SUMIF(inputs!$M:$M,Weekly_Pmod!BS$3&amp;Weekly_Pmod!$B$3&amp;Weekly_Pmod!$B$1,inputs!$D:$D)</f>
        <v>0</v>
      </c>
      <c r="BT4" s="2">
        <f>SUMIF(inputs!$M:$M,Weekly_Pmod!BT$3&amp;Weekly_Pmod!$B$3&amp;Weekly_Pmod!$B$1,inputs!$D:$D)</f>
        <v>0</v>
      </c>
      <c r="BU4" s="2">
        <f>SUMIF(inputs!$M:$M,Weekly_Pmod!BU$3&amp;Weekly_Pmod!$B$3&amp;Weekly_Pmod!$B$1,inputs!$D:$D)</f>
        <v>0</v>
      </c>
      <c r="BV4" s="2">
        <f>SUMIF(inputs!$M:$M,Weekly_Pmod!BV$3&amp;Weekly_Pmod!$B$3&amp;Weekly_Pmod!$B$1,inputs!$D:$D)</f>
        <v>42</v>
      </c>
      <c r="BW4" s="2">
        <f>SUMIF(inputs!$M:$M,Weekly_Pmod!BW$3&amp;Weekly_Pmod!$B$3&amp;Weekly_Pmod!$B$1,inputs!$D:$D)</f>
        <v>28</v>
      </c>
      <c r="BX4" s="2">
        <f>SUMIF(inputs!$M:$M,Weekly_Pmod!BX$3&amp;Weekly_Pmod!$B$3&amp;Weekly_Pmod!$B$1,inputs!$D:$D)</f>
        <v>379</v>
      </c>
      <c r="BY4" s="2">
        <f>SUMIF(inputs!$M:$M,Weekly_Pmod!BY$3&amp;Weekly_Pmod!$B$3&amp;Weekly_Pmod!$B$1,inputs!$D:$D)</f>
        <v>566</v>
      </c>
      <c r="BZ4" s="2">
        <f>SUMIF(inputs!$M:$M,Weekly_Pmod!BZ$3&amp;Weekly_Pmod!$B$3&amp;Weekly_Pmod!$B$1,inputs!$D:$D)</f>
        <v>405</v>
      </c>
      <c r="CA4" s="2">
        <f>SUMIF(inputs!$M:$M,Weekly_Pmod!CA$3&amp;Weekly_Pmod!$B$3&amp;Weekly_Pmod!$B$1,inputs!$D:$D)</f>
        <v>156</v>
      </c>
      <c r="CB4" s="2">
        <f>SUMIF(inputs!$M:$M,Weekly_Pmod!CB$3&amp;Weekly_Pmod!$B$3&amp;Weekly_Pmod!$B$1,inputs!$D:$D)</f>
        <v>336</v>
      </c>
      <c r="CC4" s="2">
        <f>SUMIF(inputs!$M:$M,Weekly_Pmod!CC$3&amp;Weekly_Pmod!$B$3&amp;Weekly_Pmod!$B$1,inputs!$D:$D)</f>
        <v>0</v>
      </c>
      <c r="CD4" s="2">
        <f>SUMIF(inputs!$M:$M,Weekly_Pmod!CD$3&amp;Weekly_Pmod!$B$3&amp;Weekly_Pmod!$B$1,inputs!$D:$D)</f>
        <v>17</v>
      </c>
      <c r="CE4" s="2">
        <f>SUMIF(inputs!$M:$M,Weekly_Pmod!CE$3&amp;Weekly_Pmod!$B$3&amp;Weekly_Pmod!$B$1,inputs!$D:$D)</f>
        <v>1141</v>
      </c>
      <c r="CF4" s="2">
        <f>SUMIF(inputs!$M:$M,Weekly_Pmod!CF$3&amp;Weekly_Pmod!$B$3&amp;Weekly_Pmod!$B$1,inputs!$D:$D)</f>
        <v>946</v>
      </c>
      <c r="CG4" s="2">
        <f>SUMIF(inputs!$M:$M,Weekly_Pmod!CG$3&amp;Weekly_Pmod!$B$3&amp;Weekly_Pmod!$B$1,inputs!$D:$D)</f>
        <v>1068</v>
      </c>
      <c r="CH4" s="2">
        <f>SUMIF(inputs!$M:$M,Weekly_Pmod!CH$3&amp;Weekly_Pmod!$B$3&amp;Weekly_Pmod!$B$1,inputs!$D:$D)</f>
        <v>818</v>
      </c>
      <c r="CI4" s="2">
        <f>SUMIF(inputs!$M:$M,Weekly_Pmod!CI$3&amp;Weekly_Pmod!$B$3&amp;Weekly_Pmod!$B$1,inputs!$D:$D)</f>
        <v>87</v>
      </c>
      <c r="CJ4" s="2">
        <f>SUMIF(inputs!$M:$M,Weekly_Pmod!CJ$3&amp;Weekly_Pmod!$B$3&amp;Weekly_Pmod!$B$1,inputs!$D:$D)</f>
        <v>207</v>
      </c>
      <c r="CK4" s="2">
        <f>SUMIF(inputs!$M:$M,Weekly_Pmod!CK$3&amp;Weekly_Pmod!$B$3&amp;Weekly_Pmod!$B$1,inputs!$D:$D)</f>
        <v>686</v>
      </c>
      <c r="CL4" s="2">
        <f>SUMIF(inputs!$M:$M,Weekly_Pmod!CL$3&amp;Weekly_Pmod!$B$3&amp;Weekly_Pmod!$B$1,inputs!$D:$D)</f>
        <v>973</v>
      </c>
      <c r="CM4" s="2">
        <f>SUMIF(inputs!$M:$M,Weekly_Pmod!CM$3&amp;Weekly_Pmod!$B$3&amp;Weekly_Pmod!$B$1,inputs!$D:$D)</f>
        <v>778</v>
      </c>
      <c r="CN4" s="2">
        <f>SUMIF(inputs!$M:$M,Weekly_Pmod!CN$3&amp;Weekly_Pmod!$B$3&amp;Weekly_Pmod!$B$1,inputs!$D:$D)</f>
        <v>1195</v>
      </c>
      <c r="CO4" s="2">
        <f>SUMIF(inputs!$M:$M,Weekly_Pmod!CO$3&amp;Weekly_Pmod!$B$3&amp;Weekly_Pmod!$B$1,inputs!$D:$D)</f>
        <v>563</v>
      </c>
      <c r="CP4" s="2">
        <f>SUMIF(inputs!$M:$M,Weekly_Pmod!CP$3&amp;Weekly_Pmod!$B$3&amp;Weekly_Pmod!$B$1,inputs!$D:$D)</f>
        <v>166</v>
      </c>
      <c r="CQ4" s="2">
        <f>SUMIF(inputs!$M:$M,Weekly_Pmod!CQ$3&amp;Weekly_Pmod!$B$3&amp;Weekly_Pmod!$B$1,inputs!$D:$D)</f>
        <v>0</v>
      </c>
      <c r="CR4" s="2">
        <f>SUMIF(inputs!$M:$M,Weekly_Pmod!CR$3&amp;Weekly_Pmod!$B$3&amp;Weekly_Pmod!$B$1,inputs!$D:$D)</f>
        <v>476</v>
      </c>
      <c r="CS4" s="2">
        <f>SUMIF(inputs!$M:$M,Weekly_Pmod!CS$3&amp;Weekly_Pmod!$B$3&amp;Weekly_Pmod!$B$1,inputs!$D:$D)</f>
        <v>393</v>
      </c>
      <c r="CT4" s="2">
        <f>SUMIF(inputs!$M:$M,Weekly_Pmod!CT$3&amp;Weekly_Pmod!$B$3&amp;Weekly_Pmod!$B$1,inputs!$D:$D)</f>
        <v>26</v>
      </c>
      <c r="CU4" s="2">
        <f>SUMIF(inputs!$M:$M,Weekly_Pmod!CU$3&amp;Weekly_Pmod!$B$3&amp;Weekly_Pmod!$B$1,inputs!$D:$D)</f>
        <v>0</v>
      </c>
      <c r="CV4" s="2">
        <f>SUMIF(inputs!$M:$M,Weekly_Pmod!CV$3&amp;Weekly_Pmod!$B$3&amp;Weekly_Pmod!$B$1,inputs!$D:$D)</f>
        <v>178</v>
      </c>
      <c r="CW4" s="2">
        <f>SUMIF(inputs!$M:$M,Weekly_Pmod!CW$3&amp;Weekly_Pmod!$B$3&amp;Weekly_Pmod!$B$1,inputs!$D:$D)</f>
        <v>118</v>
      </c>
      <c r="CX4" s="2">
        <f>SUMIF(inputs!$M:$M,Weekly_Pmod!CX$3&amp;Weekly_Pmod!$B$3&amp;Weekly_Pmod!$B$1,inputs!$D:$D)</f>
        <v>518</v>
      </c>
      <c r="CY4" s="2">
        <f>SUMIF(inputs!$M:$M,Weekly_Pmod!CY$3&amp;Weekly_Pmod!$B$3&amp;Weekly_Pmod!$B$1,inputs!$D:$D)</f>
        <v>1610</v>
      </c>
      <c r="CZ4" s="2">
        <f>SUMIF(inputs!$M:$M,Weekly_Pmod!CZ$3&amp;Weekly_Pmod!$B$3&amp;Weekly_Pmod!$B$1,inputs!$D:$D)</f>
        <v>694</v>
      </c>
      <c r="DA4" s="2">
        <f>SUMIF(inputs!$M:$M,Weekly_Pmod!DA$3&amp;Weekly_Pmod!$B$3&amp;Weekly_Pmod!$B$1,inputs!$D:$D)</f>
        <v>0</v>
      </c>
      <c r="DB4" s="2">
        <f>SUMIF(inputs!$M:$M,Weekly_Pmod!DB$3&amp;Weekly_Pmod!$B$3&amp;Weekly_Pmod!$B$1,inputs!$D:$D)</f>
        <v>0</v>
      </c>
      <c r="DC4" s="2">
        <f>SUMIF(inputs!$M:$M,Weekly_Pmod!DC$3&amp;Weekly_Pmod!$B$3&amp;Weekly_Pmod!$B$1,inputs!$D:$D)</f>
        <v>103</v>
      </c>
      <c r="DD4" s="2">
        <f>SUMIF(inputs!$M:$M,Weekly_Pmod!DD$3&amp;Weekly_Pmod!$B$3&amp;Weekly_Pmod!$B$1,inputs!$D:$D)</f>
        <v>0</v>
      </c>
      <c r="DE4" s="2">
        <f>SUMIF(inputs!$M:$M,Weekly_Pmod!DE$3&amp;Weekly_Pmod!$B$3&amp;Weekly_Pmod!$B$1,inputs!$D:$D)</f>
        <v>0</v>
      </c>
      <c r="DF4" s="2">
        <f>SUMIF(inputs!$M:$M,Weekly_Pmod!DF$3&amp;Weekly_Pmod!$B$3&amp;Weekly_Pmod!$B$1,inputs!$D:$D)</f>
        <v>0</v>
      </c>
      <c r="DG4" s="2">
        <f>SUMIF(inputs!$M:$M,Weekly_Pmod!DG$3&amp;Weekly_Pmod!$B$3&amp;Weekly_Pmod!$B$1,inputs!$D:$D)</f>
        <v>0</v>
      </c>
      <c r="DH4" s="2">
        <f>SUMIF(inputs!$M:$M,Weekly_Pmod!DH$3&amp;Weekly_Pmod!$B$3&amp;Weekly_Pmod!$B$1,inputs!$D:$D)</f>
        <v>0</v>
      </c>
      <c r="DI4" s="2">
        <f>SUMIF(inputs!$M:$M,Weekly_Pmod!DI$3&amp;Weekly_Pmod!$B$3&amp;Weekly_Pmod!$B$1,inputs!$D:$D)</f>
        <v>0</v>
      </c>
      <c r="DJ4" s="2">
        <f>SUMIF(inputs!$M:$M,Weekly_Pmod!DJ$3&amp;Weekly_Pmod!$B$3&amp;Weekly_Pmod!$B$1,inputs!$D:$D)</f>
        <v>0</v>
      </c>
      <c r="DK4" s="2">
        <f>SUMIF(inputs!$M:$M,Weekly_Pmod!DK$3&amp;Weekly_Pmod!$B$3&amp;Weekly_Pmod!$B$1,inputs!$D:$D)</f>
        <v>0</v>
      </c>
      <c r="DL4" s="2">
        <f>SUMIF(inputs!$M:$M,Weekly_Pmod!DL$3&amp;Weekly_Pmod!$B$3&amp;Weekly_Pmod!$B$1,inputs!$D:$D)</f>
        <v>0</v>
      </c>
      <c r="DM4" s="2">
        <f>SUMIF(inputs!$M:$M,Weekly_Pmod!DM$3&amp;Weekly_Pmod!$B$3&amp;Weekly_Pmod!$B$1,inputs!$D:$D)</f>
        <v>0</v>
      </c>
      <c r="DN4" s="2">
        <f>SUMIF(inputs!$M:$M,Weekly_Pmod!DN$3&amp;Weekly_Pmod!$B$3&amp;Weekly_Pmod!$B$1,inputs!$D:$D)</f>
        <v>0</v>
      </c>
      <c r="DO4" s="2">
        <f>SUMIF(inputs!$M:$M,Weekly_Pmod!DO$3&amp;Weekly_Pmod!$B$3&amp;Weekly_Pmod!$B$1,inputs!$D:$D)</f>
        <v>0</v>
      </c>
      <c r="DP4" s="2">
        <f>SUMIF(inputs!$M:$M,Weekly_Pmod!DP$3&amp;Weekly_Pmod!$B$3&amp;Weekly_Pmod!$B$1,inputs!$D:$D)</f>
        <v>0</v>
      </c>
      <c r="DQ4" s="2">
        <f>SUMIF(inputs!$M:$M,Weekly_Pmod!DQ$3&amp;Weekly_Pmod!$B$3&amp;Weekly_Pmod!$B$1,inputs!$D:$D)</f>
        <v>0</v>
      </c>
      <c r="DR4" s="2">
        <f>SUMIF(inputs!$M:$M,Weekly_Pmod!DR$3&amp;Weekly_Pmod!$B$3&amp;Weekly_Pmod!$B$1,inputs!$D:$D)</f>
        <v>0</v>
      </c>
      <c r="DS4" s="2">
        <f>SUMIF(inputs!$M:$M,Weekly_Pmod!DS$3&amp;Weekly_Pmod!$B$3&amp;Weekly_Pmod!$B$1,inputs!$D:$D)</f>
        <v>0</v>
      </c>
      <c r="DT4" s="2">
        <f>SUMIF(inputs!$M:$M,Weekly_Pmod!DT$3&amp;Weekly_Pmod!$B$3&amp;Weekly_Pmod!$B$1,inputs!$D:$D)</f>
        <v>0</v>
      </c>
      <c r="DU4" s="2">
        <f>SUMIF(inputs!$M:$M,Weekly_Pmod!DU$3&amp;Weekly_Pmod!$B$3&amp;Weekly_Pmod!$B$1,inputs!$D:$D)</f>
        <v>0</v>
      </c>
      <c r="DV4" s="2">
        <f>SUMIF(inputs!$M:$M,Weekly_Pmod!DV$3&amp;Weekly_Pmod!$B$3&amp;Weekly_Pmod!$B$1,inputs!$D:$D)</f>
        <v>0</v>
      </c>
      <c r="DW4" s="2">
        <f>SUMIF(inputs!$M:$M,Weekly_Pmod!DW$3&amp;Weekly_Pmod!$B$3&amp;Weekly_Pmod!$B$1,inputs!$D:$D)</f>
        <v>0</v>
      </c>
      <c r="DX4" s="2">
        <f>SUMIF(inputs!$M:$M,Weekly_Pmod!DX$3&amp;Weekly_Pmod!$B$3&amp;Weekly_Pmod!$B$1,inputs!$D:$D)</f>
        <v>0</v>
      </c>
      <c r="DY4" s="2">
        <f>SUMIF(inputs!$M:$M,Weekly_Pmod!DY$3&amp;Weekly_Pmod!$B$3&amp;Weekly_Pmod!$B$1,inputs!$D:$D)</f>
        <v>0</v>
      </c>
      <c r="DZ4" s="2">
        <f>SUMIF(inputs!$M:$M,Weekly_Pmod!DZ$3&amp;Weekly_Pmod!$B$3&amp;Weekly_Pmod!$B$1,inputs!$D:$D)</f>
        <v>0</v>
      </c>
      <c r="EA4" s="2">
        <f>SUMIF(inputs!$M:$M,Weekly_Pmod!EA$3&amp;Weekly_Pmod!$B$3&amp;Weekly_Pmod!$B$1,inputs!$D:$D)</f>
        <v>0</v>
      </c>
      <c r="EB4" s="2">
        <f>SUMIF(inputs!$M:$M,Weekly_Pmod!EB$3&amp;Weekly_Pmod!$B$3&amp;Weekly_Pmod!$B$1,inputs!$D:$D)</f>
        <v>0</v>
      </c>
      <c r="EC4" s="2">
        <f>SUMIF(inputs!$M:$M,Weekly_Pmod!EC$3&amp;Weekly_Pmod!$B$3&amp;Weekly_Pmod!$B$1,inputs!$D:$D)</f>
        <v>0</v>
      </c>
      <c r="ED4" s="2">
        <f>SUMIF(inputs!$M:$M,Weekly_Pmod!ED$3&amp;Weekly_Pmod!$B$3&amp;Weekly_Pmod!$B$1,inputs!$D:$D)</f>
        <v>0</v>
      </c>
      <c r="EE4" s="2">
        <f>SUMIF(inputs!$M:$M,Weekly_Pmod!EE$3&amp;Weekly_Pmod!$B$3&amp;Weekly_Pmod!$B$1,inputs!$D:$D)</f>
        <v>0</v>
      </c>
      <c r="EF4" s="2">
        <f>SUMIF(inputs!$M:$M,Weekly_Pmod!EF$3&amp;Weekly_Pmod!$B$3&amp;Weekly_Pmod!$B$1,inputs!$D:$D)</f>
        <v>0</v>
      </c>
      <c r="EG4" s="2">
        <f>SUMIF(inputs!$M:$M,Weekly_Pmod!EG$3&amp;Weekly_Pmod!$B$3&amp;Weekly_Pmod!$B$1,inputs!$D:$D)</f>
        <v>0</v>
      </c>
      <c r="EH4" s="2">
        <f>SUMIF(inputs!$M:$M,Weekly_Pmod!EH$3&amp;Weekly_Pmod!$B$3&amp;Weekly_Pmod!$B$1,inputs!$D:$D)</f>
        <v>0</v>
      </c>
      <c r="EI4" s="2">
        <f>SUMIF(inputs!$M:$M,Weekly_Pmod!EI$3&amp;Weekly_Pmod!$B$3&amp;Weekly_Pmod!$B$1,inputs!$D:$D)</f>
        <v>0</v>
      </c>
      <c r="EJ4" s="2">
        <f>SUMIF(inputs!$M:$M,Weekly_Pmod!EJ$3&amp;Weekly_Pmod!$B$3&amp;Weekly_Pmod!$B$1,inputs!$D:$D)</f>
        <v>0</v>
      </c>
      <c r="EK4" s="2">
        <f>SUMIF(inputs!$M:$M,Weekly_Pmod!EK$3&amp;Weekly_Pmod!$B$3&amp;Weekly_Pmod!$B$1,inputs!$D:$D)</f>
        <v>0</v>
      </c>
      <c r="EL4" s="2">
        <f>SUMIF(inputs!$M:$M,Weekly_Pmod!EL$3&amp;Weekly_Pmod!$B$3&amp;Weekly_Pmod!$B$1,inputs!$D:$D)</f>
        <v>0</v>
      </c>
      <c r="EM4" s="2">
        <f>SUMIF(inputs!$M:$M,Weekly_Pmod!EM$3&amp;Weekly_Pmod!$B$3&amp;Weekly_Pmod!$B$1,inputs!$D:$D)</f>
        <v>0</v>
      </c>
      <c r="EN4" s="2">
        <f>SUMIF(inputs!$M:$M,Weekly_Pmod!EN$3&amp;Weekly_Pmod!$B$3&amp;Weekly_Pmod!$B$1,inputs!$D:$D)</f>
        <v>0</v>
      </c>
      <c r="EO4" s="2">
        <f>SUMIF(inputs!$M:$M,Weekly_Pmod!EO$3&amp;Weekly_Pmod!$B$3&amp;Weekly_Pmod!$B$1,inputs!$D:$D)</f>
        <v>0</v>
      </c>
      <c r="EP4" s="2">
        <f>SUMIF(inputs!$M:$M,Weekly_Pmod!EP$3&amp;Weekly_Pmod!$B$3&amp;Weekly_Pmod!$B$1,inputs!$D:$D)</f>
        <v>0</v>
      </c>
      <c r="EQ4" s="2">
        <f>SUMIF(inputs!$M:$M,Weekly_Pmod!EQ$3&amp;Weekly_Pmod!$B$3&amp;Weekly_Pmod!$B$1,inputs!$D:$D)</f>
        <v>0</v>
      </c>
      <c r="ER4" s="2">
        <f>SUMIF(inputs!$M:$M,Weekly_Pmod!ER$3&amp;Weekly_Pmod!$B$3&amp;Weekly_Pmod!$B$1,inputs!$D:$D)</f>
        <v>0</v>
      </c>
      <c r="ES4" s="2">
        <f>SUMIF(inputs!$M:$M,Weekly_Pmod!ES$3&amp;Weekly_Pmod!$B$3&amp;Weekly_Pmod!$B$1,inputs!$D:$D)</f>
        <v>0</v>
      </c>
      <c r="ET4" s="2">
        <f>SUMIF(inputs!$M:$M,Weekly_Pmod!ET$3&amp;Weekly_Pmod!$B$3&amp;Weekly_Pmod!$B$1,inputs!$D:$D)</f>
        <v>0</v>
      </c>
      <c r="EU4" s="2">
        <f>SUMIF(inputs!$M:$M,Weekly_Pmod!EU$3&amp;Weekly_Pmod!$B$3&amp;Weekly_Pmod!$B$1,inputs!$D:$D)</f>
        <v>0</v>
      </c>
      <c r="EV4" s="2">
        <f>SUMIF(inputs!$M:$M,Weekly_Pmod!EV$3&amp;Weekly_Pmod!$B$3&amp;Weekly_Pmod!$B$1,inputs!$D:$D)</f>
        <v>0</v>
      </c>
      <c r="EW4" s="2">
        <f>SUMIF(inputs!$M:$M,Weekly_Pmod!EW$3&amp;Weekly_Pmod!$B$3&amp;Weekly_Pmod!$B$1,inputs!$D:$D)</f>
        <v>0</v>
      </c>
      <c r="EX4" s="2">
        <f>SUMIF(inputs!$M:$M,Weekly_Pmod!EX$3&amp;Weekly_Pmod!$B$3&amp;Weekly_Pmod!$B$1,inputs!$D:$D)</f>
        <v>0</v>
      </c>
      <c r="EY4" s="2">
        <f>SUMIF(inputs!$M:$M,Weekly_Pmod!EY$3&amp;Weekly_Pmod!$B$3&amp;Weekly_Pmod!$B$1,inputs!$D:$D)</f>
        <v>0</v>
      </c>
      <c r="EZ4" s="2">
        <f>SUMIF(inputs!$M:$M,Weekly_Pmod!EZ$3&amp;Weekly_Pmod!$B$3&amp;Weekly_Pmod!$B$1,inputs!$D:$D)</f>
        <v>0</v>
      </c>
      <c r="FA4" s="2">
        <f>SUMIF(inputs!$M:$M,Weekly_Pmod!FA$3&amp;Weekly_Pmod!$B$3&amp;Weekly_Pmod!$B$1,inputs!$D:$D)</f>
        <v>0</v>
      </c>
      <c r="FB4" s="2">
        <f>SUMIF(inputs!$M:$M,Weekly_Pmod!FB$3&amp;Weekly_Pmod!$B$3&amp;Weekly_Pmod!$B$1,inputs!$D:$D)</f>
        <v>0</v>
      </c>
      <c r="FC4" s="2">
        <f>SUMIF(inputs!$M:$M,Weekly_Pmod!FC$3&amp;Weekly_Pmod!$B$3&amp;Weekly_Pmod!$B$1,inputs!$D:$D)</f>
        <v>0</v>
      </c>
      <c r="FD4" s="2">
        <f>SUMIF(inputs!$M:$M,Weekly_Pmod!FD$3&amp;Weekly_Pmod!$B$3&amp;Weekly_Pmod!$B$1,inputs!$D:$D)</f>
        <v>0</v>
      </c>
      <c r="FE4" s="2">
        <f>SUMIF(inputs!$M:$M,Weekly_Pmod!FE$3&amp;Weekly_Pmod!$B$3&amp;Weekly_Pmod!$B$1,inputs!$D:$D)</f>
        <v>0</v>
      </c>
    </row>
    <row r="5" spans="2:161">
      <c r="B5" s="2" t="s">
        <v>990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0</v>
      </c>
      <c r="BP5" s="2">
        <f t="shared" ref="BP5:EA5" si="1">SUM(BP6:BP24)</f>
        <v>0</v>
      </c>
      <c r="BQ5" s="2">
        <f t="shared" si="1"/>
        <v>0</v>
      </c>
      <c r="BR5" s="2">
        <f t="shared" si="1"/>
        <v>0</v>
      </c>
      <c r="BS5" s="2">
        <f t="shared" si="1"/>
        <v>0</v>
      </c>
      <c r="BT5" s="2">
        <f t="shared" si="1"/>
        <v>0</v>
      </c>
      <c r="BU5" s="2">
        <f t="shared" si="1"/>
        <v>0</v>
      </c>
      <c r="BV5" s="2">
        <f t="shared" si="1"/>
        <v>0</v>
      </c>
      <c r="BW5" s="2">
        <f t="shared" si="1"/>
        <v>0</v>
      </c>
      <c r="BX5" s="2">
        <f t="shared" si="1"/>
        <v>1</v>
      </c>
      <c r="BY5" s="2">
        <f t="shared" si="1"/>
        <v>1</v>
      </c>
      <c r="BZ5" s="2">
        <f t="shared" si="1"/>
        <v>0</v>
      </c>
      <c r="CA5" s="2">
        <f t="shared" si="1"/>
        <v>0</v>
      </c>
      <c r="CB5" s="2">
        <f t="shared" si="1"/>
        <v>1</v>
      </c>
      <c r="CC5" s="2">
        <f t="shared" si="1"/>
        <v>0</v>
      </c>
      <c r="CD5" s="2">
        <f t="shared" si="1"/>
        <v>0</v>
      </c>
      <c r="CE5" s="2">
        <f t="shared" si="1"/>
        <v>0</v>
      </c>
      <c r="CF5" s="2">
        <f t="shared" si="1"/>
        <v>3</v>
      </c>
      <c r="CG5" s="2">
        <f t="shared" si="1"/>
        <v>5</v>
      </c>
      <c r="CH5" s="2">
        <f t="shared" si="1"/>
        <v>2</v>
      </c>
      <c r="CI5" s="2">
        <f t="shared" si="1"/>
        <v>0</v>
      </c>
      <c r="CJ5" s="2">
        <f t="shared" si="1"/>
        <v>0</v>
      </c>
      <c r="CK5" s="2">
        <f t="shared" si="1"/>
        <v>1</v>
      </c>
      <c r="CL5" s="2">
        <f t="shared" si="1"/>
        <v>0</v>
      </c>
      <c r="CM5" s="2">
        <f t="shared" si="1"/>
        <v>1</v>
      </c>
      <c r="CN5" s="2">
        <f t="shared" si="1"/>
        <v>2</v>
      </c>
      <c r="CO5" s="2">
        <f t="shared" si="1"/>
        <v>0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1</v>
      </c>
      <c r="CT5" s="2">
        <f t="shared" si="1"/>
        <v>0</v>
      </c>
      <c r="CU5" s="2">
        <f t="shared" si="1"/>
        <v>0</v>
      </c>
      <c r="CV5" s="2">
        <f t="shared" si="1"/>
        <v>0</v>
      </c>
      <c r="CW5" s="2">
        <f t="shared" si="1"/>
        <v>0</v>
      </c>
      <c r="CX5" s="2">
        <f t="shared" si="1"/>
        <v>0</v>
      </c>
      <c r="CY5" s="2">
        <f t="shared" si="1"/>
        <v>1</v>
      </c>
      <c r="CZ5" s="2">
        <f t="shared" si="1"/>
        <v>0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>
      <c r="B6" s="2" t="s">
        <v>991</v>
      </c>
      <c r="C6" s="2">
        <f>COUNTIF(defects!$AB:$AB,Weekly_Pmod!C$3&amp;Weekly_Pmod!$B6&amp;Weekly_Pmod!$B$3&amp;$B$2&amp;Weekly_Pmod!$B$1)</f>
        <v>0</v>
      </c>
      <c r="D6" s="2">
        <f>COUNTIF(defects!$AB:$AB,Weekly_Pmod!D$3&amp;Weekly_Pmod!$B6&amp;Weekly_Pmod!$B$3&amp;$B$2&amp;Weekly_Pmod!$B$1)</f>
        <v>0</v>
      </c>
      <c r="E6" s="2">
        <f>COUNTIF(defects!$AB:$AB,Weekly_Pmod!E$3&amp;Weekly_Pmod!$B6&amp;Weekly_Pmod!$B$3&amp;$B$2&amp;Weekly_Pmod!$B$1)</f>
        <v>0</v>
      </c>
      <c r="F6" s="2">
        <f>COUNTIF(defects!$AB:$AB,Weekly_Pmod!F$3&amp;Weekly_Pmod!$B6&amp;Weekly_Pmod!$B$3&amp;$B$2&amp;Weekly_Pmod!$B$1)</f>
        <v>0</v>
      </c>
      <c r="G6" s="2">
        <f>COUNTIF(defects!$AB:$AB,Weekly_Pmod!G$3&amp;Weekly_Pmod!$B6&amp;Weekly_Pmod!$B$3&amp;$B$2&amp;Weekly_Pmod!$B$1)</f>
        <v>0</v>
      </c>
      <c r="H6" s="2">
        <f>COUNTIF(defects!$AB:$AB,Weekly_Pmod!H$3&amp;Weekly_Pmod!$B6&amp;Weekly_Pmod!$B$3&amp;$B$2&amp;Weekly_Pmod!$B$1)</f>
        <v>0</v>
      </c>
      <c r="I6" s="2">
        <f>COUNTIF(defects!$AB:$AB,Weekly_Pmod!I$3&amp;Weekly_Pmod!$B6&amp;Weekly_Pmod!$B$3&amp;$B$2&amp;Weekly_Pmod!$B$1)</f>
        <v>0</v>
      </c>
      <c r="J6" s="2">
        <f>COUNTIF(defects!$AB:$AB,Weekly_Pmod!J$3&amp;Weekly_Pmod!$B6&amp;Weekly_Pmod!$B$3&amp;$B$2&amp;Weekly_Pmod!$B$1)</f>
        <v>0</v>
      </c>
      <c r="K6" s="2">
        <f>COUNTIF(defects!$AB:$AB,Weekly_Pmod!K$3&amp;Weekly_Pmod!$B6&amp;Weekly_Pmod!$B$3&amp;$B$2&amp;Weekly_Pmod!$B$1)</f>
        <v>0</v>
      </c>
      <c r="L6" s="2">
        <f>COUNTIF(defects!$AB:$AB,Weekly_Pmod!L$3&amp;Weekly_Pmod!$B6&amp;Weekly_Pmod!$B$3&amp;$B$2&amp;Weekly_Pmod!$B$1)</f>
        <v>0</v>
      </c>
      <c r="M6" s="2">
        <f>COUNTIF(defects!$AB:$AB,Weekly_Pmod!M$3&amp;Weekly_Pmod!$B6&amp;Weekly_Pmod!$B$3&amp;$B$2&amp;Weekly_Pmod!$B$1)</f>
        <v>0</v>
      </c>
      <c r="N6" s="2">
        <f>COUNTIF(defects!$AB:$AB,Weekly_Pmod!N$3&amp;Weekly_Pmod!$B6&amp;Weekly_Pmod!$B$3&amp;$B$2&amp;Weekly_Pmod!$B$1)</f>
        <v>0</v>
      </c>
      <c r="O6" s="2">
        <f>COUNTIF(defects!$AB:$AB,Weekly_Pmod!O$3&amp;Weekly_Pmod!$B6&amp;Weekly_Pmod!$B$3&amp;$B$2&amp;Weekly_Pmod!$B$1)</f>
        <v>0</v>
      </c>
      <c r="P6" s="2">
        <f>COUNTIF(defects!$AB:$AB,Weekly_Pmod!P$3&amp;Weekly_Pmod!$B6&amp;Weekly_Pmod!$B$3&amp;$B$2&amp;Weekly_Pmod!$B$1)</f>
        <v>0</v>
      </c>
      <c r="Q6" s="2">
        <f>COUNTIF(defects!$AB:$AB,Weekly_Pmod!Q$3&amp;Weekly_Pmod!$B6&amp;Weekly_Pmod!$B$3&amp;$B$2&amp;Weekly_Pmod!$B$1)</f>
        <v>0</v>
      </c>
      <c r="R6" s="2">
        <f>COUNTIF(defects!$AB:$AB,Weekly_Pmod!R$3&amp;Weekly_Pmod!$B6&amp;Weekly_Pmod!$B$3&amp;$B$2&amp;Weekly_Pmod!$B$1)</f>
        <v>0</v>
      </c>
      <c r="S6" s="2">
        <f>COUNTIF(defects!$AB:$AB,Weekly_Pmod!S$3&amp;Weekly_Pmod!$B6&amp;Weekly_Pmod!$B$3&amp;$B$2&amp;Weekly_Pmod!$B$1)</f>
        <v>0</v>
      </c>
      <c r="T6" s="2">
        <f>COUNTIF(defects!$AB:$AB,Weekly_Pmod!T$3&amp;Weekly_Pmod!$B6&amp;Weekly_Pmod!$B$3&amp;$B$2&amp;Weekly_Pmod!$B$1)</f>
        <v>0</v>
      </c>
      <c r="U6" s="2">
        <f>COUNTIF(defects!$AB:$AB,Weekly_Pmod!U$3&amp;Weekly_Pmod!$B6&amp;Weekly_Pmod!$B$3&amp;$B$2&amp;Weekly_Pmod!$B$1)</f>
        <v>0</v>
      </c>
      <c r="V6" s="2">
        <f>COUNTIF(defects!$AB:$AB,Weekly_Pmod!V$3&amp;Weekly_Pmod!$B6&amp;Weekly_Pmod!$B$3&amp;$B$2&amp;Weekly_Pmod!$B$1)</f>
        <v>0</v>
      </c>
      <c r="W6" s="2">
        <f>COUNTIF(defects!$AB:$AB,Weekly_Pmod!W$3&amp;Weekly_Pmod!$B6&amp;Weekly_Pmod!$B$3&amp;$B$2&amp;Weekly_Pmod!$B$1)</f>
        <v>0</v>
      </c>
      <c r="X6" s="2">
        <f>COUNTIF(defects!$AB:$AB,Weekly_Pmod!X$3&amp;Weekly_Pmod!$B6&amp;Weekly_Pmod!$B$3&amp;$B$2&amp;Weekly_Pmod!$B$1)</f>
        <v>0</v>
      </c>
      <c r="Y6" s="2">
        <f>COUNTIF(defects!$AB:$AB,Weekly_Pmod!Y$3&amp;Weekly_Pmod!$B6&amp;Weekly_Pmod!$B$3&amp;$B$2&amp;Weekly_Pmod!$B$1)</f>
        <v>0</v>
      </c>
      <c r="Z6" s="2">
        <f>COUNTIF(defects!$AB:$AB,Weekly_Pmod!Z$3&amp;Weekly_Pmod!$B6&amp;Weekly_Pmod!$B$3&amp;$B$2&amp;Weekly_Pmod!$B$1)</f>
        <v>0</v>
      </c>
      <c r="AA6" s="2">
        <f>COUNTIF(defects!$AB:$AB,Weekly_Pmod!AA$3&amp;Weekly_Pmod!$B6&amp;Weekly_Pmod!$B$3&amp;$B$2&amp;Weekly_Pmod!$B$1)</f>
        <v>0</v>
      </c>
      <c r="AB6" s="2">
        <f>COUNTIF(defects!$AB:$AB,Weekly_Pmod!AB$3&amp;Weekly_Pmod!$B6&amp;Weekly_Pmod!$B$3&amp;$B$2&amp;Weekly_Pmod!$B$1)</f>
        <v>0</v>
      </c>
      <c r="AC6" s="2">
        <f>COUNTIF(defects!$AB:$AB,Weekly_Pmod!AC$3&amp;Weekly_Pmod!$B6&amp;Weekly_Pmod!$B$3&amp;$B$2&amp;Weekly_Pmod!$B$1)</f>
        <v>0</v>
      </c>
      <c r="AD6" s="2">
        <f>COUNTIF(defects!$AB:$AB,Weekly_Pmod!AD$3&amp;Weekly_Pmod!$B6&amp;Weekly_Pmod!$B$3&amp;$B$2&amp;Weekly_Pmod!$B$1)</f>
        <v>0</v>
      </c>
      <c r="AE6" s="2">
        <f>COUNTIF(defects!$AB:$AB,Weekly_Pmod!AE$3&amp;Weekly_Pmod!$B6&amp;Weekly_Pmod!$B$3&amp;$B$2&amp;Weekly_Pmod!$B$1)</f>
        <v>0</v>
      </c>
      <c r="AF6" s="2">
        <f>COUNTIF(defects!$AB:$AB,Weekly_Pmod!AF$3&amp;Weekly_Pmod!$B6&amp;Weekly_Pmod!$B$3&amp;$B$2&amp;Weekly_Pmod!$B$1)</f>
        <v>0</v>
      </c>
      <c r="AG6" s="2">
        <f>COUNTIF(defects!$AB:$AB,Weekly_Pmod!AG$3&amp;Weekly_Pmod!$B6&amp;Weekly_Pmod!$B$3&amp;$B$2&amp;Weekly_Pmod!$B$1)</f>
        <v>0</v>
      </c>
      <c r="AH6" s="2">
        <f>COUNTIF(defects!$AB:$AB,Weekly_Pmod!AH$3&amp;Weekly_Pmod!$B6&amp;Weekly_Pmod!$B$3&amp;$B$2&amp;Weekly_Pmod!$B$1)</f>
        <v>0</v>
      </c>
      <c r="AI6" s="2">
        <f>COUNTIF(defects!$AB:$AB,Weekly_Pmod!AI$3&amp;Weekly_Pmod!$B6&amp;Weekly_Pmod!$B$3&amp;$B$2&amp;Weekly_Pmod!$B$1)</f>
        <v>0</v>
      </c>
      <c r="AJ6" s="2">
        <f>COUNTIF(defects!$AB:$AB,Weekly_Pmod!AJ$3&amp;Weekly_Pmod!$B6&amp;Weekly_Pmod!$B$3&amp;$B$2&amp;Weekly_Pmod!$B$1)</f>
        <v>0</v>
      </c>
      <c r="AK6" s="2">
        <f>COUNTIF(defects!$AB:$AB,Weekly_Pmod!AK$3&amp;Weekly_Pmod!$B6&amp;Weekly_Pmod!$B$3&amp;$B$2&amp;Weekly_Pmod!$B$1)</f>
        <v>0</v>
      </c>
      <c r="AL6" s="2">
        <f>COUNTIF(defects!$AB:$AB,Weekly_Pmod!AL$3&amp;Weekly_Pmod!$B6&amp;Weekly_Pmod!$B$3&amp;$B$2&amp;Weekly_Pmod!$B$1)</f>
        <v>0</v>
      </c>
      <c r="AM6" s="2">
        <f>COUNTIF(defects!$AB:$AB,Weekly_Pmod!AM$3&amp;Weekly_Pmod!$B6&amp;Weekly_Pmod!$B$3&amp;$B$2&amp;Weekly_Pmod!$B$1)</f>
        <v>0</v>
      </c>
      <c r="AN6" s="2">
        <f>COUNTIF(defects!$AB:$AB,Weekly_Pmod!AN$3&amp;Weekly_Pmod!$B6&amp;Weekly_Pmod!$B$3&amp;$B$2&amp;Weekly_Pmod!$B$1)</f>
        <v>0</v>
      </c>
      <c r="AO6" s="2">
        <f>COUNTIF(defects!$AB:$AB,Weekly_Pmod!AO$3&amp;Weekly_Pmod!$B6&amp;Weekly_Pmod!$B$3&amp;$B$2&amp;Weekly_Pmod!$B$1)</f>
        <v>0</v>
      </c>
      <c r="AP6" s="2">
        <f>COUNTIF(defects!$AB:$AB,Weekly_Pmod!AP$3&amp;Weekly_Pmod!$B6&amp;Weekly_Pmod!$B$3&amp;$B$2&amp;Weekly_Pmod!$B$1)</f>
        <v>0</v>
      </c>
      <c r="AQ6" s="2">
        <f>COUNTIF(defects!$AB:$AB,Weekly_Pmod!AQ$3&amp;Weekly_Pmod!$B6&amp;Weekly_Pmod!$B$3&amp;$B$2&amp;Weekly_Pmod!$B$1)</f>
        <v>0</v>
      </c>
      <c r="AR6" s="2">
        <f>COUNTIF(defects!$AB:$AB,Weekly_Pmod!AR$3&amp;Weekly_Pmod!$B6&amp;Weekly_Pmod!$B$3&amp;$B$2&amp;Weekly_Pmod!$B$1)</f>
        <v>0</v>
      </c>
      <c r="AS6" s="2">
        <f>COUNTIF(defects!$AB:$AB,Weekly_Pmod!AS$3&amp;Weekly_Pmod!$B6&amp;Weekly_Pmod!$B$3&amp;$B$2&amp;Weekly_Pmod!$B$1)</f>
        <v>0</v>
      </c>
      <c r="AT6" s="2">
        <f>COUNTIF(defects!$AB:$AB,Weekly_Pmod!AT$3&amp;Weekly_Pmod!$B6&amp;Weekly_Pmod!$B$3&amp;$B$2&amp;Weekly_Pmod!$B$1)</f>
        <v>0</v>
      </c>
      <c r="AU6" s="2">
        <f>COUNTIF(defects!$AB:$AB,Weekly_Pmod!AU$3&amp;Weekly_Pmod!$B6&amp;Weekly_Pmod!$B$3&amp;$B$2&amp;Weekly_Pmod!$B$1)</f>
        <v>0</v>
      </c>
      <c r="AV6" s="2">
        <f>COUNTIF(defects!$AB:$AB,Weekly_Pmod!AV$3&amp;Weekly_Pmod!$B6&amp;Weekly_Pmod!$B$3&amp;$B$2&amp;Weekly_Pmod!$B$1)</f>
        <v>0</v>
      </c>
      <c r="AW6" s="2">
        <f>COUNTIF(defects!$AB:$AB,Weekly_Pmod!AW$3&amp;Weekly_Pmod!$B6&amp;Weekly_Pmod!$B$3&amp;$B$2&amp;Weekly_Pmod!$B$1)</f>
        <v>0</v>
      </c>
      <c r="AX6" s="2">
        <f>COUNTIF(defects!$AB:$AB,Weekly_Pmod!AX$3&amp;Weekly_Pmod!$B6&amp;Weekly_Pmod!$B$3&amp;$B$2&amp;Weekly_Pmod!$B$1)</f>
        <v>0</v>
      </c>
      <c r="AY6" s="2">
        <f>COUNTIF(defects!$AB:$AB,Weekly_Pmod!AY$3&amp;Weekly_Pmod!$B6&amp;Weekly_Pmod!$B$3&amp;$B$2&amp;Weekly_Pmod!$B$1)</f>
        <v>0</v>
      </c>
      <c r="AZ6" s="2">
        <f>COUNTIF(defects!$AB:$AB,Weekly_Pmod!AZ$3&amp;Weekly_Pmod!$B6&amp;Weekly_Pmod!$B$3&amp;$B$2&amp;Weekly_Pmod!$B$1)</f>
        <v>0</v>
      </c>
      <c r="BA6" s="2">
        <f>COUNTIF(defects!$AB:$AB,Weekly_Pmod!BA$3&amp;Weekly_Pmod!$B6&amp;Weekly_Pmod!$B$3&amp;$B$2&amp;Weekly_Pmod!$B$1)</f>
        <v>0</v>
      </c>
      <c r="BB6" s="2">
        <f>COUNTIF(defects!$AB:$AB,Weekly_Pmod!BB$3&amp;Weekly_Pmod!$B6&amp;Weekly_Pmod!$B$3&amp;$B$2&amp;Weekly_Pmod!$B$1)</f>
        <v>0</v>
      </c>
      <c r="BC6" s="2">
        <f>COUNTIF(defects!$AB:$AB,Weekly_Pmod!BC$3&amp;Weekly_Pmod!$B6&amp;Weekly_Pmod!$B$3&amp;$B$2&amp;Weekly_Pmod!$B$1)</f>
        <v>0</v>
      </c>
      <c r="BD6" s="2">
        <f>COUNTIF(defects!$AB:$AB,Weekly_Pmod!BD$3&amp;Weekly_Pmod!$B6&amp;Weekly_Pmod!$B$3&amp;$B$2&amp;Weekly_Pmod!$B$1)</f>
        <v>0</v>
      </c>
      <c r="BE6" s="2">
        <f>COUNTIF(defects!$AB:$AB,Weekly_Pmod!BE$3&amp;Weekly_Pmod!$B6&amp;Weekly_Pmod!$B$3&amp;$B$2&amp;Weekly_Pmod!$B$1)</f>
        <v>0</v>
      </c>
      <c r="BF6" s="2">
        <f>COUNTIF(defects!$AB:$AB,Weekly_Pmod!BF$3&amp;Weekly_Pmod!$B6&amp;Weekly_Pmod!$B$3&amp;$B$2&amp;Weekly_Pmod!$B$1)</f>
        <v>0</v>
      </c>
      <c r="BG6" s="2">
        <f>COUNTIF(defects!$AB:$AB,Weekly_Pmod!BG$3&amp;Weekly_Pmod!$B6&amp;Weekly_Pmod!$B$3&amp;$B$2&amp;Weekly_Pmod!$B$1)</f>
        <v>0</v>
      </c>
      <c r="BH6" s="2">
        <f>COUNTIF(defects!$AB:$AB,Weekly_Pmod!BH$3&amp;Weekly_Pmod!$B6&amp;Weekly_Pmod!$B$3&amp;$B$2&amp;Weekly_Pmod!$B$1)</f>
        <v>0</v>
      </c>
      <c r="BI6" s="2">
        <f>COUNTIF(defects!$AB:$AB,Weekly_Pmod!BI$3&amp;Weekly_Pmod!$B6&amp;Weekly_Pmod!$B$3&amp;$B$2&amp;Weekly_Pmod!$B$1)</f>
        <v>0</v>
      </c>
      <c r="BJ6" s="2">
        <f>COUNTIF(defects!$AB:$AB,Weekly_Pmod!BJ$3&amp;Weekly_Pmod!$B6&amp;Weekly_Pmod!$B$3&amp;$B$2&amp;Weekly_Pmod!$B$1)</f>
        <v>0</v>
      </c>
      <c r="BK6" s="2">
        <f>COUNTIF(defects!$AB:$AB,Weekly_Pmod!BK$3&amp;Weekly_Pmod!$B6&amp;Weekly_Pmod!$B$3&amp;$B$2&amp;Weekly_Pmod!$B$1)</f>
        <v>0</v>
      </c>
      <c r="BL6" s="2">
        <f>COUNTIF(defects!$AB:$AB,Weekly_Pmod!BL$3&amp;Weekly_Pmod!$B6&amp;Weekly_Pmod!$B$3&amp;$B$2&amp;Weekly_Pmod!$B$1)</f>
        <v>0</v>
      </c>
      <c r="BM6" s="2">
        <f>COUNTIF(defects!$AB:$AB,Weekly_Pmod!BM$3&amp;Weekly_Pmod!$B6&amp;Weekly_Pmod!$B$3&amp;$B$2&amp;Weekly_Pmod!$B$1)</f>
        <v>0</v>
      </c>
      <c r="BN6" s="2">
        <f>COUNTIF(defects!$AB:$AB,Weekly_Pmod!BN$3&amp;Weekly_Pmod!$B6&amp;Weekly_Pmod!$B$3&amp;$B$2&amp;Weekly_Pmod!$B$1)</f>
        <v>0</v>
      </c>
      <c r="BO6" s="2">
        <f>COUNTIF(defects!$AB:$AB,Weekly_Pmod!BO$3&amp;Weekly_Pmod!$B6&amp;Weekly_Pmod!$B$3&amp;$B$2&amp;Weekly_Pmod!$B$1)</f>
        <v>0</v>
      </c>
      <c r="BP6" s="2">
        <f>COUNTIF(defects!$AB:$AB,Weekly_Pmod!BP$3&amp;Weekly_Pmod!$B6&amp;Weekly_Pmod!$B$3&amp;$B$2&amp;Weekly_Pmod!$B$1)</f>
        <v>0</v>
      </c>
      <c r="BQ6" s="2">
        <f>COUNTIF(defects!$AB:$AB,Weekly_Pmod!BQ$3&amp;Weekly_Pmod!$B6&amp;Weekly_Pmod!$B$3&amp;$B$2&amp;Weekly_Pmod!$B$1)</f>
        <v>0</v>
      </c>
      <c r="BR6" s="2">
        <f>COUNTIF(defects!$AB:$AB,Weekly_Pmod!BR$3&amp;Weekly_Pmod!$B6&amp;Weekly_Pmod!$B$3&amp;$B$2&amp;Weekly_Pmod!$B$1)</f>
        <v>0</v>
      </c>
      <c r="BS6" s="2">
        <f>COUNTIF(defects!$AB:$AB,Weekly_Pmod!BS$3&amp;Weekly_Pmod!$B6&amp;Weekly_Pmod!$B$3&amp;$B$2&amp;Weekly_Pmod!$B$1)</f>
        <v>0</v>
      </c>
      <c r="BT6" s="2">
        <f>COUNTIF(defects!$AB:$AB,Weekly_Pmod!BT$3&amp;Weekly_Pmod!$B6&amp;Weekly_Pmod!$B$3&amp;$B$2&amp;Weekly_Pmod!$B$1)</f>
        <v>0</v>
      </c>
      <c r="BU6" s="2">
        <f>COUNTIF(defects!$AB:$AB,Weekly_Pmod!BU$3&amp;Weekly_Pmod!$B6&amp;Weekly_Pmod!$B$3&amp;$B$2&amp;Weekly_Pmod!$B$1)</f>
        <v>0</v>
      </c>
      <c r="BV6" s="2">
        <f>COUNTIF(defects!$AB:$AB,Weekly_Pmod!BV$3&amp;Weekly_Pmod!$B6&amp;Weekly_Pmod!$B$3&amp;$B$2&amp;Weekly_Pmod!$B$1)</f>
        <v>0</v>
      </c>
      <c r="BW6" s="2">
        <f>COUNTIF(defects!$AB:$AB,Weekly_Pmod!BW$3&amp;Weekly_Pmod!$B6&amp;Weekly_Pmod!$B$3&amp;$B$2&amp;Weekly_Pmod!$B$1)</f>
        <v>0</v>
      </c>
      <c r="BX6" s="2">
        <f>COUNTIF(defects!$AB:$AB,Weekly_Pmod!BX$3&amp;Weekly_Pmod!$B6&amp;Weekly_Pmod!$B$3&amp;$B$2&amp;Weekly_Pmod!$B$1)</f>
        <v>0</v>
      </c>
      <c r="BY6" s="2">
        <f>COUNTIF(defects!$AB:$AB,Weekly_Pmod!BY$3&amp;Weekly_Pmod!$B6&amp;Weekly_Pmod!$B$3&amp;$B$2&amp;Weekly_Pmod!$B$1)</f>
        <v>0</v>
      </c>
      <c r="BZ6" s="2">
        <f>COUNTIF(defects!$AB:$AB,Weekly_Pmod!BZ$3&amp;Weekly_Pmod!$B6&amp;Weekly_Pmod!$B$3&amp;$B$2&amp;Weekly_Pmod!$B$1)</f>
        <v>0</v>
      </c>
      <c r="CA6" s="2">
        <f>COUNTIF(defects!$AB:$AB,Weekly_Pmod!CA$3&amp;Weekly_Pmod!$B6&amp;Weekly_Pmod!$B$3&amp;$B$2&amp;Weekly_Pmod!$B$1)</f>
        <v>0</v>
      </c>
      <c r="CB6" s="2">
        <f>COUNTIF(defects!$AB:$AB,Weekly_Pmod!CB$3&amp;Weekly_Pmod!$B6&amp;Weekly_Pmod!$B$3&amp;$B$2&amp;Weekly_Pmod!$B$1)</f>
        <v>0</v>
      </c>
      <c r="CC6" s="2">
        <f>COUNTIF(defects!$AB:$AB,Weekly_Pmod!CC$3&amp;Weekly_Pmod!$B6&amp;Weekly_Pmod!$B$3&amp;$B$2&amp;Weekly_Pmod!$B$1)</f>
        <v>0</v>
      </c>
      <c r="CD6" s="2">
        <f>COUNTIF(defects!$AB:$AB,Weekly_Pmod!CD$3&amp;Weekly_Pmod!$B6&amp;Weekly_Pmod!$B$3&amp;$B$2&amp;Weekly_Pmod!$B$1)</f>
        <v>0</v>
      </c>
      <c r="CE6" s="2">
        <f>COUNTIF(defects!$AB:$AB,Weekly_Pmod!CE$3&amp;Weekly_Pmod!$B6&amp;Weekly_Pmod!$B$3&amp;$B$2&amp;Weekly_Pmod!$B$1)</f>
        <v>0</v>
      </c>
      <c r="CF6" s="2">
        <f>COUNTIF(defects!$AB:$AB,Weekly_Pmod!CF$3&amp;Weekly_Pmod!$B6&amp;Weekly_Pmod!$B$3&amp;$B$2&amp;Weekly_Pmod!$B$1)</f>
        <v>0</v>
      </c>
      <c r="CG6" s="2">
        <f>COUNTIF(defects!$AB:$AB,Weekly_Pmod!CG$3&amp;Weekly_Pmod!$B6&amp;Weekly_Pmod!$B$3&amp;$B$2&amp;Weekly_Pmod!$B$1)</f>
        <v>0</v>
      </c>
      <c r="CH6" s="2">
        <f>COUNTIF(defects!$AB:$AB,Weekly_Pmod!CH$3&amp;Weekly_Pmod!$B6&amp;Weekly_Pmod!$B$3&amp;$B$2&amp;Weekly_Pmod!$B$1)</f>
        <v>0</v>
      </c>
      <c r="CI6" s="2">
        <f>COUNTIF(defects!$AB:$AB,Weekly_Pmod!CI$3&amp;Weekly_Pmod!$B6&amp;Weekly_Pmod!$B$3&amp;$B$2&amp;Weekly_Pmod!$B$1)</f>
        <v>0</v>
      </c>
      <c r="CJ6" s="2">
        <f>COUNTIF(defects!$AB:$AB,Weekly_Pmod!CJ$3&amp;Weekly_Pmod!$B6&amp;Weekly_Pmod!$B$3&amp;$B$2&amp;Weekly_Pmod!$B$1)</f>
        <v>0</v>
      </c>
      <c r="CK6" s="2">
        <f>COUNTIF(defects!$AB:$AB,Weekly_Pmod!CK$3&amp;Weekly_Pmod!$B6&amp;Weekly_Pmod!$B$3&amp;$B$2&amp;Weekly_Pmod!$B$1)</f>
        <v>0</v>
      </c>
      <c r="CL6" s="2">
        <f>COUNTIF(defects!$AB:$AB,Weekly_Pmod!CL$3&amp;Weekly_Pmod!$B6&amp;Weekly_Pmod!$B$3&amp;$B$2&amp;Weekly_Pmod!$B$1)</f>
        <v>0</v>
      </c>
      <c r="CM6" s="2">
        <f>COUNTIF(defects!$AB:$AB,Weekly_Pmod!CM$3&amp;Weekly_Pmod!$B6&amp;Weekly_Pmod!$B$3&amp;$B$2&amp;Weekly_Pmod!$B$1)</f>
        <v>0</v>
      </c>
      <c r="CN6" s="2">
        <f>COUNTIF(defects!$AB:$AB,Weekly_Pmod!CN$3&amp;Weekly_Pmod!$B6&amp;Weekly_Pmod!$B$3&amp;$B$2&amp;Weekly_Pmod!$B$1)</f>
        <v>0</v>
      </c>
      <c r="CO6" s="2">
        <f>COUNTIF(defects!$AB:$AB,Weekly_Pmod!CO$3&amp;Weekly_Pmod!$B6&amp;Weekly_Pmod!$B$3&amp;$B$2&amp;Weekly_Pmod!$B$1)</f>
        <v>0</v>
      </c>
      <c r="CP6" s="2">
        <f>COUNTIF(defects!$AB:$AB,Weekly_Pmod!CP$3&amp;Weekly_Pmod!$B6&amp;Weekly_Pmod!$B$3&amp;$B$2&amp;Weekly_Pmod!$B$1)</f>
        <v>0</v>
      </c>
      <c r="CQ6" s="2">
        <f>COUNTIF(defects!$AB:$AB,Weekly_Pmod!CQ$3&amp;Weekly_Pmod!$B6&amp;Weekly_Pmod!$B$3&amp;$B$2&amp;Weekly_Pmod!$B$1)</f>
        <v>0</v>
      </c>
      <c r="CR6" s="2">
        <f>COUNTIF(defects!$AB:$AB,Weekly_Pmod!CR$3&amp;Weekly_Pmod!$B6&amp;Weekly_Pmod!$B$3&amp;$B$2&amp;Weekly_Pmod!$B$1)</f>
        <v>0</v>
      </c>
      <c r="CS6" s="2">
        <f>COUNTIF(defects!$AB:$AB,Weekly_Pmod!CS$3&amp;Weekly_Pmod!$B6&amp;Weekly_Pmod!$B$3&amp;$B$2&amp;Weekly_Pmod!$B$1)</f>
        <v>0</v>
      </c>
      <c r="CT6" s="2">
        <f>COUNTIF(defects!$AB:$AB,Weekly_Pmod!CT$3&amp;Weekly_Pmod!$B6&amp;Weekly_Pmod!$B$3&amp;$B$2&amp;Weekly_Pmod!$B$1)</f>
        <v>0</v>
      </c>
      <c r="CU6" s="2">
        <f>COUNTIF(defects!$AB:$AB,Weekly_Pmod!CU$3&amp;Weekly_Pmod!$B6&amp;Weekly_Pmod!$B$3&amp;$B$2&amp;Weekly_Pmod!$B$1)</f>
        <v>0</v>
      </c>
      <c r="CV6" s="2">
        <f>COUNTIF(defects!$AB:$AB,Weekly_Pmod!CV$3&amp;Weekly_Pmod!$B6&amp;Weekly_Pmod!$B$3&amp;$B$2&amp;Weekly_Pmod!$B$1)</f>
        <v>0</v>
      </c>
      <c r="CW6" s="2">
        <f>COUNTIF(defects!$AB:$AB,Weekly_Pmod!CW$3&amp;Weekly_Pmod!$B6&amp;Weekly_Pmod!$B$3&amp;$B$2&amp;Weekly_Pmod!$B$1)</f>
        <v>0</v>
      </c>
      <c r="CX6" s="2">
        <f>COUNTIF(defects!$AB:$AB,Weekly_Pmod!CX$3&amp;Weekly_Pmod!$B6&amp;Weekly_Pmod!$B$3&amp;$B$2&amp;Weekly_Pmod!$B$1)</f>
        <v>0</v>
      </c>
      <c r="CY6" s="2">
        <f>COUNTIF(defects!$AB:$AB,Weekly_Pmod!CY$3&amp;Weekly_Pmod!$B6&amp;Weekly_Pmod!$B$3&amp;$B$2&amp;Weekly_Pmod!$B$1)</f>
        <v>0</v>
      </c>
      <c r="CZ6" s="2">
        <f>COUNTIF(defects!$AB:$AB,Weekly_Pmod!CZ$3&amp;Weekly_Pmod!$B6&amp;Weekly_Pmod!$B$3&amp;$B$2&amp;Weekly_Pmod!$B$1)</f>
        <v>0</v>
      </c>
      <c r="DA6" s="2">
        <f>COUNTIF(defects!$AB:$AB,Weekly_Pmod!DA$3&amp;Weekly_Pmod!$B6&amp;Weekly_Pmod!$B$3&amp;$B$2&amp;Weekly_Pmod!$B$1)</f>
        <v>0</v>
      </c>
      <c r="DB6" s="2">
        <f>COUNTIF(defects!$AB:$AB,Weekly_Pmod!DB$3&amp;Weekly_Pmod!$B6&amp;Weekly_Pmod!$B$3&amp;$B$2&amp;Weekly_Pmod!$B$1)</f>
        <v>0</v>
      </c>
      <c r="DC6" s="2">
        <f>COUNTIF(defects!$AB:$AB,Weekly_Pmod!DC$3&amp;Weekly_Pmod!$B6&amp;Weekly_Pmod!$B$3&amp;$B$2&amp;Weekly_Pmod!$B$1)</f>
        <v>0</v>
      </c>
      <c r="DD6" s="2">
        <f>COUNTIF(defects!$AB:$AB,Weekly_Pmod!DD$3&amp;Weekly_Pmod!$B6&amp;Weekly_Pmod!$B$3&amp;$B$2&amp;Weekly_Pmod!$B$1)</f>
        <v>0</v>
      </c>
      <c r="DE6" s="2">
        <f>COUNTIF(defects!$AB:$AB,Weekly_Pmod!DE$3&amp;Weekly_Pmod!$B6&amp;Weekly_Pmod!$B$3&amp;$B$2&amp;Weekly_Pmod!$B$1)</f>
        <v>0</v>
      </c>
      <c r="DF6" s="2">
        <f>COUNTIF(defects!$AB:$AB,Weekly_Pmod!DF$3&amp;Weekly_Pmod!$B6&amp;Weekly_Pmod!$B$3&amp;$B$2&amp;Weekly_Pmod!$B$1)</f>
        <v>0</v>
      </c>
      <c r="DG6" s="2">
        <f>COUNTIF(defects!$AB:$AB,Weekly_Pmod!DG$3&amp;Weekly_Pmod!$B6&amp;Weekly_Pmod!$B$3&amp;$B$2&amp;Weekly_Pmod!$B$1)</f>
        <v>0</v>
      </c>
      <c r="DH6" s="2">
        <f>COUNTIF(defects!$AB:$AB,Weekly_Pmod!DH$3&amp;Weekly_Pmod!$B6&amp;Weekly_Pmod!$B$3&amp;$B$2&amp;Weekly_Pmod!$B$1)</f>
        <v>0</v>
      </c>
      <c r="DI6" s="2">
        <f>COUNTIF(defects!$AB:$AB,Weekly_Pmod!DI$3&amp;Weekly_Pmod!$B6&amp;Weekly_Pmod!$B$3&amp;$B$2&amp;Weekly_Pmod!$B$1)</f>
        <v>0</v>
      </c>
      <c r="DJ6" s="2">
        <f>COUNTIF(defects!$AB:$AB,Weekly_Pmod!DJ$3&amp;Weekly_Pmod!$B6&amp;Weekly_Pmod!$B$3&amp;$B$2&amp;Weekly_Pmod!$B$1)</f>
        <v>0</v>
      </c>
      <c r="DK6" s="2">
        <f>COUNTIF(defects!$AB:$AB,Weekly_Pmod!DK$3&amp;Weekly_Pmod!$B6&amp;Weekly_Pmod!$B$3&amp;$B$2&amp;Weekly_Pmod!$B$1)</f>
        <v>0</v>
      </c>
      <c r="DL6" s="2">
        <f>COUNTIF(defects!$AB:$AB,Weekly_Pmod!DL$3&amp;Weekly_Pmod!$B6&amp;Weekly_Pmod!$B$3&amp;$B$2&amp;Weekly_Pmod!$B$1)</f>
        <v>0</v>
      </c>
      <c r="DM6" s="2">
        <f>COUNTIF(defects!$AB:$AB,Weekly_Pmod!DM$3&amp;Weekly_Pmod!$B6&amp;Weekly_Pmod!$B$3&amp;$B$2&amp;Weekly_Pmod!$B$1)</f>
        <v>0</v>
      </c>
      <c r="DN6" s="2">
        <f>COUNTIF(defects!$AB:$AB,Weekly_Pmod!DN$3&amp;Weekly_Pmod!$B6&amp;Weekly_Pmod!$B$3&amp;$B$2&amp;Weekly_Pmod!$B$1)</f>
        <v>0</v>
      </c>
      <c r="DO6" s="2">
        <f>COUNTIF(defects!$AB:$AB,Weekly_Pmod!DO$3&amp;Weekly_Pmod!$B6&amp;Weekly_Pmod!$B$3&amp;$B$2&amp;Weekly_Pmod!$B$1)</f>
        <v>0</v>
      </c>
      <c r="DP6" s="2">
        <f>COUNTIF(defects!$AB:$AB,Weekly_Pmod!DP$3&amp;Weekly_Pmod!$B6&amp;Weekly_Pmod!$B$3&amp;$B$2&amp;Weekly_Pmod!$B$1)</f>
        <v>0</v>
      </c>
      <c r="DQ6" s="2">
        <f>COUNTIF(defects!$AB:$AB,Weekly_Pmod!DQ$3&amp;Weekly_Pmod!$B6&amp;Weekly_Pmod!$B$3&amp;$B$2&amp;Weekly_Pmod!$B$1)</f>
        <v>0</v>
      </c>
      <c r="DR6" s="2">
        <f>COUNTIF(defects!$AB:$AB,Weekly_Pmod!DR$3&amp;Weekly_Pmod!$B6&amp;Weekly_Pmod!$B$3&amp;$B$2&amp;Weekly_Pmod!$B$1)</f>
        <v>0</v>
      </c>
      <c r="DS6" s="2">
        <f>COUNTIF(defects!$AB:$AB,Weekly_Pmod!DS$3&amp;Weekly_Pmod!$B6&amp;Weekly_Pmod!$B$3&amp;$B$2&amp;Weekly_Pmod!$B$1)</f>
        <v>0</v>
      </c>
      <c r="DT6" s="2">
        <f>COUNTIF(defects!$AB:$AB,Weekly_Pmod!DT$3&amp;Weekly_Pmod!$B6&amp;Weekly_Pmod!$B$3&amp;$B$2&amp;Weekly_Pmod!$B$1)</f>
        <v>0</v>
      </c>
      <c r="DU6" s="2">
        <f>COUNTIF(defects!$AB:$AB,Weekly_Pmod!DU$3&amp;Weekly_Pmod!$B6&amp;Weekly_Pmod!$B$3&amp;$B$2&amp;Weekly_Pmod!$B$1)</f>
        <v>0</v>
      </c>
      <c r="DV6" s="2">
        <f>COUNTIF(defects!$AB:$AB,Weekly_Pmod!DV$3&amp;Weekly_Pmod!$B6&amp;Weekly_Pmod!$B$3&amp;$B$2&amp;Weekly_Pmod!$B$1)</f>
        <v>0</v>
      </c>
      <c r="DW6" s="2">
        <f>COUNTIF(defects!$AB:$AB,Weekly_Pmod!DW$3&amp;Weekly_Pmod!$B6&amp;Weekly_Pmod!$B$3&amp;$B$2&amp;Weekly_Pmod!$B$1)</f>
        <v>0</v>
      </c>
      <c r="DX6" s="2">
        <f>COUNTIF(defects!$AB:$AB,Weekly_Pmod!DX$3&amp;Weekly_Pmod!$B6&amp;Weekly_Pmod!$B$3&amp;$B$2&amp;Weekly_Pmod!$B$1)</f>
        <v>0</v>
      </c>
      <c r="DY6" s="2">
        <f>COUNTIF(defects!$AB:$AB,Weekly_Pmod!DY$3&amp;Weekly_Pmod!$B6&amp;Weekly_Pmod!$B$3&amp;$B$2&amp;Weekly_Pmod!$B$1)</f>
        <v>0</v>
      </c>
      <c r="DZ6" s="2">
        <f>COUNTIF(defects!$AB:$AB,Weekly_Pmod!DZ$3&amp;Weekly_Pmod!$B6&amp;Weekly_Pmod!$B$3&amp;$B$2&amp;Weekly_Pmod!$B$1)</f>
        <v>0</v>
      </c>
      <c r="EA6" s="2">
        <f>COUNTIF(defects!$AB:$AB,Weekly_Pmod!EA$3&amp;Weekly_Pmod!$B6&amp;Weekly_Pmod!$B$3&amp;$B$2&amp;Weekly_Pmod!$B$1)</f>
        <v>0</v>
      </c>
      <c r="EB6" s="2">
        <f>COUNTIF(defects!$AB:$AB,Weekly_Pmod!EB$3&amp;Weekly_Pmod!$B6&amp;Weekly_Pmod!$B$3&amp;$B$2&amp;Weekly_Pmod!$B$1)</f>
        <v>0</v>
      </c>
      <c r="EC6" s="2">
        <f>COUNTIF(defects!$AB:$AB,Weekly_Pmod!EC$3&amp;Weekly_Pmod!$B6&amp;Weekly_Pmod!$B$3&amp;$B$2&amp;Weekly_Pmod!$B$1)</f>
        <v>0</v>
      </c>
      <c r="ED6" s="2">
        <f>COUNTIF(defects!$AB:$AB,Weekly_Pmod!ED$3&amp;Weekly_Pmod!$B6&amp;Weekly_Pmod!$B$3&amp;$B$2&amp;Weekly_Pmod!$B$1)</f>
        <v>0</v>
      </c>
      <c r="EE6" s="2">
        <f>COUNTIF(defects!$AB:$AB,Weekly_Pmod!EE$3&amp;Weekly_Pmod!$B6&amp;Weekly_Pmod!$B$3&amp;$B$2&amp;Weekly_Pmod!$B$1)</f>
        <v>0</v>
      </c>
      <c r="EF6" s="2">
        <f>COUNTIF(defects!$AB:$AB,Weekly_Pmod!EF$3&amp;Weekly_Pmod!$B6&amp;Weekly_Pmod!$B$3&amp;$B$2&amp;Weekly_Pmod!$B$1)</f>
        <v>0</v>
      </c>
      <c r="EG6" s="2">
        <f>COUNTIF(defects!$AB:$AB,Weekly_Pmod!EG$3&amp;Weekly_Pmod!$B6&amp;Weekly_Pmod!$B$3&amp;$B$2&amp;Weekly_Pmod!$B$1)</f>
        <v>0</v>
      </c>
      <c r="EH6" s="2">
        <f>COUNTIF(defects!$AB:$AB,Weekly_Pmod!EH$3&amp;Weekly_Pmod!$B6&amp;Weekly_Pmod!$B$3&amp;$B$2&amp;Weekly_Pmod!$B$1)</f>
        <v>0</v>
      </c>
      <c r="EI6" s="2">
        <f>COUNTIF(defects!$AB:$AB,Weekly_Pmod!EI$3&amp;Weekly_Pmod!$B6&amp;Weekly_Pmod!$B$3&amp;$B$2&amp;Weekly_Pmod!$B$1)</f>
        <v>0</v>
      </c>
      <c r="EJ6" s="2">
        <f>COUNTIF(defects!$AB:$AB,Weekly_Pmod!EJ$3&amp;Weekly_Pmod!$B6&amp;Weekly_Pmod!$B$3&amp;$B$2&amp;Weekly_Pmod!$B$1)</f>
        <v>0</v>
      </c>
      <c r="EK6" s="2">
        <f>COUNTIF(defects!$AB:$AB,Weekly_Pmod!EK$3&amp;Weekly_Pmod!$B6&amp;Weekly_Pmod!$B$3&amp;$B$2&amp;Weekly_Pmod!$B$1)</f>
        <v>0</v>
      </c>
      <c r="EL6" s="2">
        <f>COUNTIF(defects!$AB:$AB,Weekly_Pmod!EL$3&amp;Weekly_Pmod!$B6&amp;Weekly_Pmod!$B$3&amp;$B$2&amp;Weekly_Pmod!$B$1)</f>
        <v>0</v>
      </c>
      <c r="EM6" s="2">
        <f>COUNTIF(defects!$AB:$AB,Weekly_Pmod!EM$3&amp;Weekly_Pmod!$B6&amp;Weekly_Pmod!$B$3&amp;$B$2&amp;Weekly_Pmod!$B$1)</f>
        <v>0</v>
      </c>
      <c r="EN6" s="2">
        <f>COUNTIF(defects!$AB:$AB,Weekly_Pmod!EN$3&amp;Weekly_Pmod!$B6&amp;Weekly_Pmod!$B$3&amp;$B$2&amp;Weekly_Pmod!$B$1)</f>
        <v>0</v>
      </c>
      <c r="EO6" s="2">
        <f>COUNTIF(defects!$AB:$AB,Weekly_Pmod!EO$3&amp;Weekly_Pmod!$B6&amp;Weekly_Pmod!$B$3&amp;$B$2&amp;Weekly_Pmod!$B$1)</f>
        <v>0</v>
      </c>
      <c r="EP6" s="2">
        <f>COUNTIF(defects!$AB:$AB,Weekly_Pmod!EP$3&amp;Weekly_Pmod!$B6&amp;Weekly_Pmod!$B$3&amp;$B$2&amp;Weekly_Pmod!$B$1)</f>
        <v>0</v>
      </c>
      <c r="EQ6" s="2">
        <f>COUNTIF(defects!$AB:$AB,Weekly_Pmod!EQ$3&amp;Weekly_Pmod!$B6&amp;Weekly_Pmod!$B$3&amp;$B$2&amp;Weekly_Pmod!$B$1)</f>
        <v>0</v>
      </c>
      <c r="ER6" s="2">
        <f>COUNTIF(defects!$AB:$AB,Weekly_Pmod!ER$3&amp;Weekly_Pmod!$B6&amp;Weekly_Pmod!$B$3&amp;$B$2&amp;Weekly_Pmod!$B$1)</f>
        <v>0</v>
      </c>
      <c r="ES6" s="2">
        <f>COUNTIF(defects!$AB:$AB,Weekly_Pmod!ES$3&amp;Weekly_Pmod!$B6&amp;Weekly_Pmod!$B$3&amp;$B$2&amp;Weekly_Pmod!$B$1)</f>
        <v>0</v>
      </c>
      <c r="ET6" s="2">
        <f>COUNTIF(defects!$AB:$AB,Weekly_Pmod!ET$3&amp;Weekly_Pmod!$B6&amp;Weekly_Pmod!$B$3&amp;$B$2&amp;Weekly_Pmod!$B$1)</f>
        <v>0</v>
      </c>
      <c r="EU6" s="2">
        <f>COUNTIF(defects!$AB:$AB,Weekly_Pmod!EU$3&amp;Weekly_Pmod!$B6&amp;Weekly_Pmod!$B$3&amp;$B$2&amp;Weekly_Pmod!$B$1)</f>
        <v>0</v>
      </c>
      <c r="EV6" s="2">
        <f>COUNTIF(defects!$AB:$AB,Weekly_Pmod!EV$3&amp;Weekly_Pmod!$B6&amp;Weekly_Pmod!$B$3&amp;$B$2&amp;Weekly_Pmod!$B$1)</f>
        <v>0</v>
      </c>
      <c r="EW6" s="2">
        <f>COUNTIF(defects!$AB:$AB,Weekly_Pmod!EW$3&amp;Weekly_Pmod!$B6&amp;Weekly_Pmod!$B$3&amp;$B$2&amp;Weekly_Pmod!$B$1)</f>
        <v>0</v>
      </c>
      <c r="EX6" s="2">
        <f>COUNTIF(defects!$AB:$AB,Weekly_Pmod!EX$3&amp;Weekly_Pmod!$B6&amp;Weekly_Pmod!$B$3&amp;$B$2&amp;Weekly_Pmod!$B$1)</f>
        <v>0</v>
      </c>
      <c r="EY6" s="2">
        <f>COUNTIF(defects!$AB:$AB,Weekly_Pmod!EY$3&amp;Weekly_Pmod!$B6&amp;Weekly_Pmod!$B$3&amp;$B$2&amp;Weekly_Pmod!$B$1)</f>
        <v>0</v>
      </c>
      <c r="EZ6" s="2">
        <f>COUNTIF(defects!$AB:$AB,Weekly_Pmod!EZ$3&amp;Weekly_Pmod!$B6&amp;Weekly_Pmod!$B$3&amp;$B$2&amp;Weekly_Pmod!$B$1)</f>
        <v>0</v>
      </c>
      <c r="FA6" s="2">
        <f>COUNTIF(defects!$AB:$AB,Weekly_Pmod!FA$3&amp;Weekly_Pmod!$B6&amp;Weekly_Pmod!$B$3&amp;$B$2&amp;Weekly_Pmod!$B$1)</f>
        <v>0</v>
      </c>
      <c r="FB6" s="2">
        <f>COUNTIF(defects!$AB:$AB,Weekly_Pmod!FB$3&amp;Weekly_Pmod!$B6&amp;Weekly_Pmod!$B$3&amp;$B$2&amp;Weekly_Pmod!$B$1)</f>
        <v>0</v>
      </c>
      <c r="FC6" s="2">
        <f>COUNTIF(defects!$AB:$AB,Weekly_Pmod!FC$3&amp;Weekly_Pmod!$B6&amp;Weekly_Pmod!$B$3&amp;$B$2&amp;Weekly_Pmod!$B$1)</f>
        <v>0</v>
      </c>
      <c r="FD6" s="2">
        <f>COUNTIF(defects!$AB:$AB,Weekly_Pmod!FD$3&amp;Weekly_Pmod!$B6&amp;Weekly_Pmod!$B$3&amp;$B$2&amp;Weekly_Pmod!$B$1)</f>
        <v>0</v>
      </c>
      <c r="FE6" s="2">
        <f>COUNTIF(defects!$AB:$AB,Weekly_Pmod!FE$3&amp;Weekly_Pmod!$B6&amp;Weekly_Pmod!$B$3&amp;$B$2&amp;Weekly_Pmod!$B$1)</f>
        <v>0</v>
      </c>
    </row>
    <row r="7" spans="2:161">
      <c r="B7" s="2" t="s">
        <v>957</v>
      </c>
      <c r="C7" s="2">
        <f>COUNTIF(defects!$AB:$AB,Weekly_Pmod!C$3&amp;Weekly_Pmod!$B7&amp;Weekly_Pmod!$B$3&amp;$B$2&amp;Weekly_Pmod!$B$1)</f>
        <v>0</v>
      </c>
      <c r="D7" s="2">
        <f>COUNTIF(defects!$AB:$AB,Weekly_Pmod!D$3&amp;Weekly_Pmod!$B7&amp;Weekly_Pmod!$B$3&amp;$B$2&amp;Weekly_Pmod!$B$1)</f>
        <v>0</v>
      </c>
      <c r="E7" s="2">
        <f>COUNTIF(defects!$AB:$AB,Weekly_Pmod!E$3&amp;Weekly_Pmod!$B7&amp;Weekly_Pmod!$B$3&amp;$B$2&amp;Weekly_Pmod!$B$1)</f>
        <v>0</v>
      </c>
      <c r="F7" s="2">
        <f>COUNTIF(defects!$AB:$AB,Weekly_Pmod!F$3&amp;Weekly_Pmod!$B7&amp;Weekly_Pmod!$B$3&amp;$B$2&amp;Weekly_Pmod!$B$1)</f>
        <v>0</v>
      </c>
      <c r="G7" s="2">
        <f>COUNTIF(defects!$AB:$AB,Weekly_Pmod!G$3&amp;Weekly_Pmod!$B7&amp;Weekly_Pmod!$B$3&amp;$B$2&amp;Weekly_Pmod!$B$1)</f>
        <v>0</v>
      </c>
      <c r="H7" s="2">
        <f>COUNTIF(defects!$AB:$AB,Weekly_Pmod!H$3&amp;Weekly_Pmod!$B7&amp;Weekly_Pmod!$B$3&amp;$B$2&amp;Weekly_Pmod!$B$1)</f>
        <v>0</v>
      </c>
      <c r="I7" s="2">
        <f>COUNTIF(defects!$AB:$AB,Weekly_Pmod!I$3&amp;Weekly_Pmod!$B7&amp;Weekly_Pmod!$B$3&amp;$B$2&amp;Weekly_Pmod!$B$1)</f>
        <v>0</v>
      </c>
      <c r="J7" s="2">
        <f>COUNTIF(defects!$AB:$AB,Weekly_Pmod!J$3&amp;Weekly_Pmod!$B7&amp;Weekly_Pmod!$B$3&amp;$B$2&amp;Weekly_Pmod!$B$1)</f>
        <v>0</v>
      </c>
      <c r="K7" s="2">
        <f>COUNTIF(defects!$AB:$AB,Weekly_Pmod!K$3&amp;Weekly_Pmod!$B7&amp;Weekly_Pmod!$B$3&amp;$B$2&amp;Weekly_Pmod!$B$1)</f>
        <v>0</v>
      </c>
      <c r="L7" s="2">
        <f>COUNTIF(defects!$AB:$AB,Weekly_Pmod!L$3&amp;Weekly_Pmod!$B7&amp;Weekly_Pmod!$B$3&amp;$B$2&amp;Weekly_Pmod!$B$1)</f>
        <v>0</v>
      </c>
      <c r="M7" s="2">
        <f>COUNTIF(defects!$AB:$AB,Weekly_Pmod!M$3&amp;Weekly_Pmod!$B7&amp;Weekly_Pmod!$B$3&amp;$B$2&amp;Weekly_Pmod!$B$1)</f>
        <v>0</v>
      </c>
      <c r="N7" s="2">
        <f>COUNTIF(defects!$AB:$AB,Weekly_Pmod!N$3&amp;Weekly_Pmod!$B7&amp;Weekly_Pmod!$B$3&amp;$B$2&amp;Weekly_Pmod!$B$1)</f>
        <v>0</v>
      </c>
      <c r="O7" s="2">
        <f>COUNTIF(defects!$AB:$AB,Weekly_Pmod!O$3&amp;Weekly_Pmod!$B7&amp;Weekly_Pmod!$B$3&amp;$B$2&amp;Weekly_Pmod!$B$1)</f>
        <v>0</v>
      </c>
      <c r="P7" s="2">
        <f>COUNTIF(defects!$AB:$AB,Weekly_Pmod!P$3&amp;Weekly_Pmod!$B7&amp;Weekly_Pmod!$B$3&amp;$B$2&amp;Weekly_Pmod!$B$1)</f>
        <v>0</v>
      </c>
      <c r="Q7" s="2">
        <f>COUNTIF(defects!$AB:$AB,Weekly_Pmod!Q$3&amp;Weekly_Pmod!$B7&amp;Weekly_Pmod!$B$3&amp;$B$2&amp;Weekly_Pmod!$B$1)</f>
        <v>0</v>
      </c>
      <c r="R7" s="2">
        <f>COUNTIF(defects!$AB:$AB,Weekly_Pmod!R$3&amp;Weekly_Pmod!$B7&amp;Weekly_Pmod!$B$3&amp;$B$2&amp;Weekly_Pmod!$B$1)</f>
        <v>0</v>
      </c>
      <c r="S7" s="2">
        <f>COUNTIF(defects!$AB:$AB,Weekly_Pmod!S$3&amp;Weekly_Pmod!$B7&amp;Weekly_Pmod!$B$3&amp;$B$2&amp;Weekly_Pmod!$B$1)</f>
        <v>0</v>
      </c>
      <c r="T7" s="2">
        <f>COUNTIF(defects!$AB:$AB,Weekly_Pmod!T$3&amp;Weekly_Pmod!$B7&amp;Weekly_Pmod!$B$3&amp;$B$2&amp;Weekly_Pmod!$B$1)</f>
        <v>0</v>
      </c>
      <c r="U7" s="2">
        <f>COUNTIF(defects!$AB:$AB,Weekly_Pmod!U$3&amp;Weekly_Pmod!$B7&amp;Weekly_Pmod!$B$3&amp;$B$2&amp;Weekly_Pmod!$B$1)</f>
        <v>0</v>
      </c>
      <c r="V7" s="2">
        <f>COUNTIF(defects!$AB:$AB,Weekly_Pmod!V$3&amp;Weekly_Pmod!$B7&amp;Weekly_Pmod!$B$3&amp;$B$2&amp;Weekly_Pmod!$B$1)</f>
        <v>0</v>
      </c>
      <c r="W7" s="2">
        <f>COUNTIF(defects!$AB:$AB,Weekly_Pmod!W$3&amp;Weekly_Pmod!$B7&amp;Weekly_Pmod!$B$3&amp;$B$2&amp;Weekly_Pmod!$B$1)</f>
        <v>0</v>
      </c>
      <c r="X7" s="2">
        <f>COUNTIF(defects!$AB:$AB,Weekly_Pmod!X$3&amp;Weekly_Pmod!$B7&amp;Weekly_Pmod!$B$3&amp;$B$2&amp;Weekly_Pmod!$B$1)</f>
        <v>0</v>
      </c>
      <c r="Y7" s="2">
        <f>COUNTIF(defects!$AB:$AB,Weekly_Pmod!Y$3&amp;Weekly_Pmod!$B7&amp;Weekly_Pmod!$B$3&amp;$B$2&amp;Weekly_Pmod!$B$1)</f>
        <v>0</v>
      </c>
      <c r="Z7" s="2">
        <f>COUNTIF(defects!$AB:$AB,Weekly_Pmod!Z$3&amp;Weekly_Pmod!$B7&amp;Weekly_Pmod!$B$3&amp;$B$2&amp;Weekly_Pmod!$B$1)</f>
        <v>0</v>
      </c>
      <c r="AA7" s="2">
        <f>COUNTIF(defects!$AB:$AB,Weekly_Pmod!AA$3&amp;Weekly_Pmod!$B7&amp;Weekly_Pmod!$B$3&amp;$B$2&amp;Weekly_Pmod!$B$1)</f>
        <v>0</v>
      </c>
      <c r="AB7" s="2">
        <f>COUNTIF(defects!$AB:$AB,Weekly_Pmod!AB$3&amp;Weekly_Pmod!$B7&amp;Weekly_Pmod!$B$3&amp;$B$2&amp;Weekly_Pmod!$B$1)</f>
        <v>0</v>
      </c>
      <c r="AC7" s="2">
        <f>COUNTIF(defects!$AB:$AB,Weekly_Pmod!AC$3&amp;Weekly_Pmod!$B7&amp;Weekly_Pmod!$B$3&amp;$B$2&amp;Weekly_Pmod!$B$1)</f>
        <v>0</v>
      </c>
      <c r="AD7" s="2">
        <f>COUNTIF(defects!$AB:$AB,Weekly_Pmod!AD$3&amp;Weekly_Pmod!$B7&amp;Weekly_Pmod!$B$3&amp;$B$2&amp;Weekly_Pmod!$B$1)</f>
        <v>0</v>
      </c>
      <c r="AE7" s="2">
        <f>COUNTIF(defects!$AB:$AB,Weekly_Pmod!AE$3&amp;Weekly_Pmod!$B7&amp;Weekly_Pmod!$B$3&amp;$B$2&amp;Weekly_Pmod!$B$1)</f>
        <v>0</v>
      </c>
      <c r="AF7" s="2">
        <f>COUNTIF(defects!$AB:$AB,Weekly_Pmod!AF$3&amp;Weekly_Pmod!$B7&amp;Weekly_Pmod!$B$3&amp;$B$2&amp;Weekly_Pmod!$B$1)</f>
        <v>0</v>
      </c>
      <c r="AG7" s="2">
        <f>COUNTIF(defects!$AB:$AB,Weekly_Pmod!AG$3&amp;Weekly_Pmod!$B7&amp;Weekly_Pmod!$B$3&amp;$B$2&amp;Weekly_Pmod!$B$1)</f>
        <v>0</v>
      </c>
      <c r="AH7" s="2">
        <f>COUNTIF(defects!$AB:$AB,Weekly_Pmod!AH$3&amp;Weekly_Pmod!$B7&amp;Weekly_Pmod!$B$3&amp;$B$2&amp;Weekly_Pmod!$B$1)</f>
        <v>0</v>
      </c>
      <c r="AI7" s="2">
        <f>COUNTIF(defects!$AB:$AB,Weekly_Pmod!AI$3&amp;Weekly_Pmod!$B7&amp;Weekly_Pmod!$B$3&amp;$B$2&amp;Weekly_Pmod!$B$1)</f>
        <v>0</v>
      </c>
      <c r="AJ7" s="2">
        <f>COUNTIF(defects!$AB:$AB,Weekly_Pmod!AJ$3&amp;Weekly_Pmod!$B7&amp;Weekly_Pmod!$B$3&amp;$B$2&amp;Weekly_Pmod!$B$1)</f>
        <v>0</v>
      </c>
      <c r="AK7" s="2">
        <f>COUNTIF(defects!$AB:$AB,Weekly_Pmod!AK$3&amp;Weekly_Pmod!$B7&amp;Weekly_Pmod!$B$3&amp;$B$2&amp;Weekly_Pmod!$B$1)</f>
        <v>0</v>
      </c>
      <c r="AL7" s="2">
        <f>COUNTIF(defects!$AB:$AB,Weekly_Pmod!AL$3&amp;Weekly_Pmod!$B7&amp;Weekly_Pmod!$B$3&amp;$B$2&amp;Weekly_Pmod!$B$1)</f>
        <v>0</v>
      </c>
      <c r="AM7" s="2">
        <f>COUNTIF(defects!$AB:$AB,Weekly_Pmod!AM$3&amp;Weekly_Pmod!$B7&amp;Weekly_Pmod!$B$3&amp;$B$2&amp;Weekly_Pmod!$B$1)</f>
        <v>0</v>
      </c>
      <c r="AN7" s="2">
        <f>COUNTIF(defects!$AB:$AB,Weekly_Pmod!AN$3&amp;Weekly_Pmod!$B7&amp;Weekly_Pmod!$B$3&amp;$B$2&amp;Weekly_Pmod!$B$1)</f>
        <v>0</v>
      </c>
      <c r="AO7" s="2">
        <f>COUNTIF(defects!$AB:$AB,Weekly_Pmod!AO$3&amp;Weekly_Pmod!$B7&amp;Weekly_Pmod!$B$3&amp;$B$2&amp;Weekly_Pmod!$B$1)</f>
        <v>0</v>
      </c>
      <c r="AP7" s="2">
        <f>COUNTIF(defects!$AB:$AB,Weekly_Pmod!AP$3&amp;Weekly_Pmod!$B7&amp;Weekly_Pmod!$B$3&amp;$B$2&amp;Weekly_Pmod!$B$1)</f>
        <v>0</v>
      </c>
      <c r="AQ7" s="2">
        <f>COUNTIF(defects!$AB:$AB,Weekly_Pmod!AQ$3&amp;Weekly_Pmod!$B7&amp;Weekly_Pmod!$B$3&amp;$B$2&amp;Weekly_Pmod!$B$1)</f>
        <v>0</v>
      </c>
      <c r="AR7" s="2">
        <f>COUNTIF(defects!$AB:$AB,Weekly_Pmod!AR$3&amp;Weekly_Pmod!$B7&amp;Weekly_Pmod!$B$3&amp;$B$2&amp;Weekly_Pmod!$B$1)</f>
        <v>0</v>
      </c>
      <c r="AS7" s="2">
        <f>COUNTIF(defects!$AB:$AB,Weekly_Pmod!AS$3&amp;Weekly_Pmod!$B7&amp;Weekly_Pmod!$B$3&amp;$B$2&amp;Weekly_Pmod!$B$1)</f>
        <v>0</v>
      </c>
      <c r="AT7" s="2">
        <f>COUNTIF(defects!$AB:$AB,Weekly_Pmod!AT$3&amp;Weekly_Pmod!$B7&amp;Weekly_Pmod!$B$3&amp;$B$2&amp;Weekly_Pmod!$B$1)</f>
        <v>0</v>
      </c>
      <c r="AU7" s="2">
        <f>COUNTIF(defects!$AB:$AB,Weekly_Pmod!AU$3&amp;Weekly_Pmod!$B7&amp;Weekly_Pmod!$B$3&amp;$B$2&amp;Weekly_Pmod!$B$1)</f>
        <v>0</v>
      </c>
      <c r="AV7" s="2">
        <f>COUNTIF(defects!$AB:$AB,Weekly_Pmod!AV$3&amp;Weekly_Pmod!$B7&amp;Weekly_Pmod!$B$3&amp;$B$2&amp;Weekly_Pmod!$B$1)</f>
        <v>0</v>
      </c>
      <c r="AW7" s="2">
        <f>COUNTIF(defects!$AB:$AB,Weekly_Pmod!AW$3&amp;Weekly_Pmod!$B7&amp;Weekly_Pmod!$B$3&amp;$B$2&amp;Weekly_Pmod!$B$1)</f>
        <v>0</v>
      </c>
      <c r="AX7" s="2">
        <f>COUNTIF(defects!$AB:$AB,Weekly_Pmod!AX$3&amp;Weekly_Pmod!$B7&amp;Weekly_Pmod!$B$3&amp;$B$2&amp;Weekly_Pmod!$B$1)</f>
        <v>0</v>
      </c>
      <c r="AY7" s="2">
        <f>COUNTIF(defects!$AB:$AB,Weekly_Pmod!AY$3&amp;Weekly_Pmod!$B7&amp;Weekly_Pmod!$B$3&amp;$B$2&amp;Weekly_Pmod!$B$1)</f>
        <v>0</v>
      </c>
      <c r="AZ7" s="2">
        <f>COUNTIF(defects!$AB:$AB,Weekly_Pmod!AZ$3&amp;Weekly_Pmod!$B7&amp;Weekly_Pmod!$B$3&amp;$B$2&amp;Weekly_Pmod!$B$1)</f>
        <v>0</v>
      </c>
      <c r="BA7" s="2">
        <f>COUNTIF(defects!$AB:$AB,Weekly_Pmod!BA$3&amp;Weekly_Pmod!$B7&amp;Weekly_Pmod!$B$3&amp;$B$2&amp;Weekly_Pmod!$B$1)</f>
        <v>0</v>
      </c>
      <c r="BB7" s="2">
        <f>COUNTIF(defects!$AB:$AB,Weekly_Pmod!BB$3&amp;Weekly_Pmod!$B7&amp;Weekly_Pmod!$B$3&amp;$B$2&amp;Weekly_Pmod!$B$1)</f>
        <v>0</v>
      </c>
      <c r="BC7" s="2">
        <f>COUNTIF(defects!$AB:$AB,Weekly_Pmod!BC$3&amp;Weekly_Pmod!$B7&amp;Weekly_Pmod!$B$3&amp;$B$2&amp;Weekly_Pmod!$B$1)</f>
        <v>0</v>
      </c>
      <c r="BD7" s="2">
        <f>COUNTIF(defects!$AB:$AB,Weekly_Pmod!BD$3&amp;Weekly_Pmod!$B7&amp;Weekly_Pmod!$B$3&amp;$B$2&amp;Weekly_Pmod!$B$1)</f>
        <v>0</v>
      </c>
      <c r="BE7" s="2">
        <f>COUNTIF(defects!$AB:$AB,Weekly_Pmod!BE$3&amp;Weekly_Pmod!$B7&amp;Weekly_Pmod!$B$3&amp;$B$2&amp;Weekly_Pmod!$B$1)</f>
        <v>0</v>
      </c>
      <c r="BF7" s="2">
        <f>COUNTIF(defects!$AB:$AB,Weekly_Pmod!BF$3&amp;Weekly_Pmod!$B7&amp;Weekly_Pmod!$B$3&amp;$B$2&amp;Weekly_Pmod!$B$1)</f>
        <v>0</v>
      </c>
      <c r="BG7" s="2">
        <f>COUNTIF(defects!$AB:$AB,Weekly_Pmod!BG$3&amp;Weekly_Pmod!$B7&amp;Weekly_Pmod!$B$3&amp;$B$2&amp;Weekly_Pmod!$B$1)</f>
        <v>0</v>
      </c>
      <c r="BH7" s="2">
        <f>COUNTIF(defects!$AB:$AB,Weekly_Pmod!BH$3&amp;Weekly_Pmod!$B7&amp;Weekly_Pmod!$B$3&amp;$B$2&amp;Weekly_Pmod!$B$1)</f>
        <v>0</v>
      </c>
      <c r="BI7" s="2">
        <f>COUNTIF(defects!$AB:$AB,Weekly_Pmod!BI$3&amp;Weekly_Pmod!$B7&amp;Weekly_Pmod!$B$3&amp;$B$2&amp;Weekly_Pmod!$B$1)</f>
        <v>0</v>
      </c>
      <c r="BJ7" s="2">
        <f>COUNTIF(defects!$AB:$AB,Weekly_Pmod!BJ$3&amp;Weekly_Pmod!$B7&amp;Weekly_Pmod!$B$3&amp;$B$2&amp;Weekly_Pmod!$B$1)</f>
        <v>0</v>
      </c>
      <c r="BK7" s="2">
        <f>COUNTIF(defects!$AB:$AB,Weekly_Pmod!BK$3&amp;Weekly_Pmod!$B7&amp;Weekly_Pmod!$B$3&amp;$B$2&amp;Weekly_Pmod!$B$1)</f>
        <v>0</v>
      </c>
      <c r="BL7" s="2">
        <f>COUNTIF(defects!$AB:$AB,Weekly_Pmod!BL$3&amp;Weekly_Pmod!$B7&amp;Weekly_Pmod!$B$3&amp;$B$2&amp;Weekly_Pmod!$B$1)</f>
        <v>0</v>
      </c>
      <c r="BM7" s="2">
        <f>COUNTIF(defects!$AB:$AB,Weekly_Pmod!BM$3&amp;Weekly_Pmod!$B7&amp;Weekly_Pmod!$B$3&amp;$B$2&amp;Weekly_Pmod!$B$1)</f>
        <v>0</v>
      </c>
      <c r="BN7" s="2">
        <f>COUNTIF(defects!$AB:$AB,Weekly_Pmod!BN$3&amp;Weekly_Pmod!$B7&amp;Weekly_Pmod!$B$3&amp;$B$2&amp;Weekly_Pmod!$B$1)</f>
        <v>0</v>
      </c>
      <c r="BO7" s="2">
        <f>COUNTIF(defects!$AB:$AB,Weekly_Pmod!BO$3&amp;Weekly_Pmod!$B7&amp;Weekly_Pmod!$B$3&amp;$B$2&amp;Weekly_Pmod!$B$1)</f>
        <v>0</v>
      </c>
      <c r="BP7" s="2">
        <f>COUNTIF(defects!$AB:$AB,Weekly_Pmod!BP$3&amp;Weekly_Pmod!$B7&amp;Weekly_Pmod!$B$3&amp;$B$2&amp;Weekly_Pmod!$B$1)</f>
        <v>0</v>
      </c>
      <c r="BQ7" s="2">
        <f>COUNTIF(defects!$AB:$AB,Weekly_Pmod!BQ$3&amp;Weekly_Pmod!$B7&amp;Weekly_Pmod!$B$3&amp;$B$2&amp;Weekly_Pmod!$B$1)</f>
        <v>0</v>
      </c>
      <c r="BR7" s="2">
        <f>COUNTIF(defects!$AB:$AB,Weekly_Pmod!BR$3&amp;Weekly_Pmod!$B7&amp;Weekly_Pmod!$B$3&amp;$B$2&amp;Weekly_Pmod!$B$1)</f>
        <v>0</v>
      </c>
      <c r="BS7" s="2">
        <f>COUNTIF(defects!$AB:$AB,Weekly_Pmod!BS$3&amp;Weekly_Pmod!$B7&amp;Weekly_Pmod!$B$3&amp;$B$2&amp;Weekly_Pmod!$B$1)</f>
        <v>0</v>
      </c>
      <c r="BT7" s="2">
        <f>COUNTIF(defects!$AB:$AB,Weekly_Pmod!BT$3&amp;Weekly_Pmod!$B7&amp;Weekly_Pmod!$B$3&amp;$B$2&amp;Weekly_Pmod!$B$1)</f>
        <v>0</v>
      </c>
      <c r="BU7" s="2">
        <f>COUNTIF(defects!$AB:$AB,Weekly_Pmod!BU$3&amp;Weekly_Pmod!$B7&amp;Weekly_Pmod!$B$3&amp;$B$2&amp;Weekly_Pmod!$B$1)</f>
        <v>0</v>
      </c>
      <c r="BV7" s="2">
        <f>COUNTIF(defects!$AB:$AB,Weekly_Pmod!BV$3&amp;Weekly_Pmod!$B7&amp;Weekly_Pmod!$B$3&amp;$B$2&amp;Weekly_Pmod!$B$1)</f>
        <v>0</v>
      </c>
      <c r="BW7" s="2">
        <f>COUNTIF(defects!$AB:$AB,Weekly_Pmod!BW$3&amp;Weekly_Pmod!$B7&amp;Weekly_Pmod!$B$3&amp;$B$2&amp;Weekly_Pmod!$B$1)</f>
        <v>0</v>
      </c>
      <c r="BX7" s="2">
        <f>COUNTIF(defects!$AB:$AB,Weekly_Pmod!BX$3&amp;Weekly_Pmod!$B7&amp;Weekly_Pmod!$B$3&amp;$B$2&amp;Weekly_Pmod!$B$1)</f>
        <v>0</v>
      </c>
      <c r="BY7" s="2">
        <f>COUNTIF(defects!$AB:$AB,Weekly_Pmod!BY$3&amp;Weekly_Pmod!$B7&amp;Weekly_Pmod!$B$3&amp;$B$2&amp;Weekly_Pmod!$B$1)</f>
        <v>0</v>
      </c>
      <c r="BZ7" s="2">
        <f>COUNTIF(defects!$AB:$AB,Weekly_Pmod!BZ$3&amp;Weekly_Pmod!$B7&amp;Weekly_Pmod!$B$3&amp;$B$2&amp;Weekly_Pmod!$B$1)</f>
        <v>0</v>
      </c>
      <c r="CA7" s="2">
        <f>COUNTIF(defects!$AB:$AB,Weekly_Pmod!CA$3&amp;Weekly_Pmod!$B7&amp;Weekly_Pmod!$B$3&amp;$B$2&amp;Weekly_Pmod!$B$1)</f>
        <v>0</v>
      </c>
      <c r="CB7" s="2">
        <f>COUNTIF(defects!$AB:$AB,Weekly_Pmod!CB$3&amp;Weekly_Pmod!$B7&amp;Weekly_Pmod!$B$3&amp;$B$2&amp;Weekly_Pmod!$B$1)</f>
        <v>0</v>
      </c>
      <c r="CC7" s="2">
        <f>COUNTIF(defects!$AB:$AB,Weekly_Pmod!CC$3&amp;Weekly_Pmod!$B7&amp;Weekly_Pmod!$B$3&amp;$B$2&amp;Weekly_Pmod!$B$1)</f>
        <v>0</v>
      </c>
      <c r="CD7" s="2">
        <f>COUNTIF(defects!$AB:$AB,Weekly_Pmod!CD$3&amp;Weekly_Pmod!$B7&amp;Weekly_Pmod!$B$3&amp;$B$2&amp;Weekly_Pmod!$B$1)</f>
        <v>0</v>
      </c>
      <c r="CE7" s="2">
        <f>COUNTIF(defects!$AB:$AB,Weekly_Pmod!CE$3&amp;Weekly_Pmod!$B7&amp;Weekly_Pmod!$B$3&amp;$B$2&amp;Weekly_Pmod!$B$1)</f>
        <v>0</v>
      </c>
      <c r="CF7" s="2">
        <f>COUNTIF(defects!$AB:$AB,Weekly_Pmod!CF$3&amp;Weekly_Pmod!$B7&amp;Weekly_Pmod!$B$3&amp;$B$2&amp;Weekly_Pmod!$B$1)</f>
        <v>1</v>
      </c>
      <c r="CG7" s="2">
        <f>COUNTIF(defects!$AB:$AB,Weekly_Pmod!CG$3&amp;Weekly_Pmod!$B7&amp;Weekly_Pmod!$B$3&amp;$B$2&amp;Weekly_Pmod!$B$1)</f>
        <v>0</v>
      </c>
      <c r="CH7" s="2">
        <f>COUNTIF(defects!$AB:$AB,Weekly_Pmod!CH$3&amp;Weekly_Pmod!$B7&amp;Weekly_Pmod!$B$3&amp;$B$2&amp;Weekly_Pmod!$B$1)</f>
        <v>0</v>
      </c>
      <c r="CI7" s="2">
        <f>COUNTIF(defects!$AB:$AB,Weekly_Pmod!CI$3&amp;Weekly_Pmod!$B7&amp;Weekly_Pmod!$B$3&amp;$B$2&amp;Weekly_Pmod!$B$1)</f>
        <v>0</v>
      </c>
      <c r="CJ7" s="2">
        <f>COUNTIF(defects!$AB:$AB,Weekly_Pmod!CJ$3&amp;Weekly_Pmod!$B7&amp;Weekly_Pmod!$B$3&amp;$B$2&amp;Weekly_Pmod!$B$1)</f>
        <v>0</v>
      </c>
      <c r="CK7" s="2">
        <f>COUNTIF(defects!$AB:$AB,Weekly_Pmod!CK$3&amp;Weekly_Pmod!$B7&amp;Weekly_Pmod!$B$3&amp;$B$2&amp;Weekly_Pmod!$B$1)</f>
        <v>0</v>
      </c>
      <c r="CL7" s="2">
        <f>COUNTIF(defects!$AB:$AB,Weekly_Pmod!CL$3&amp;Weekly_Pmod!$B7&amp;Weekly_Pmod!$B$3&amp;$B$2&amp;Weekly_Pmod!$B$1)</f>
        <v>0</v>
      </c>
      <c r="CM7" s="2">
        <f>COUNTIF(defects!$AB:$AB,Weekly_Pmod!CM$3&amp;Weekly_Pmod!$B7&amp;Weekly_Pmod!$B$3&amp;$B$2&amp;Weekly_Pmod!$B$1)</f>
        <v>0</v>
      </c>
      <c r="CN7" s="2">
        <f>COUNTIF(defects!$AB:$AB,Weekly_Pmod!CN$3&amp;Weekly_Pmod!$B7&amp;Weekly_Pmod!$B$3&amp;$B$2&amp;Weekly_Pmod!$B$1)</f>
        <v>0</v>
      </c>
      <c r="CO7" s="2">
        <f>COUNTIF(defects!$AB:$AB,Weekly_Pmod!CO$3&amp;Weekly_Pmod!$B7&amp;Weekly_Pmod!$B$3&amp;$B$2&amp;Weekly_Pmod!$B$1)</f>
        <v>0</v>
      </c>
      <c r="CP7" s="2">
        <f>COUNTIF(defects!$AB:$AB,Weekly_Pmod!CP$3&amp;Weekly_Pmod!$B7&amp;Weekly_Pmod!$B$3&amp;$B$2&amp;Weekly_Pmod!$B$1)</f>
        <v>0</v>
      </c>
      <c r="CQ7" s="2">
        <f>COUNTIF(defects!$AB:$AB,Weekly_Pmod!CQ$3&amp;Weekly_Pmod!$B7&amp;Weekly_Pmod!$B$3&amp;$B$2&amp;Weekly_Pmod!$B$1)</f>
        <v>0</v>
      </c>
      <c r="CR7" s="2">
        <f>COUNTIF(defects!$AB:$AB,Weekly_Pmod!CR$3&amp;Weekly_Pmod!$B7&amp;Weekly_Pmod!$B$3&amp;$B$2&amp;Weekly_Pmod!$B$1)</f>
        <v>0</v>
      </c>
      <c r="CS7" s="2">
        <f>COUNTIF(defects!$AB:$AB,Weekly_Pmod!CS$3&amp;Weekly_Pmod!$B7&amp;Weekly_Pmod!$B$3&amp;$B$2&amp;Weekly_Pmod!$B$1)</f>
        <v>0</v>
      </c>
      <c r="CT7" s="2">
        <f>COUNTIF(defects!$AB:$AB,Weekly_Pmod!CT$3&amp;Weekly_Pmod!$B7&amp;Weekly_Pmod!$B$3&amp;$B$2&amp;Weekly_Pmod!$B$1)</f>
        <v>0</v>
      </c>
      <c r="CU7" s="2">
        <f>COUNTIF(defects!$AB:$AB,Weekly_Pmod!CU$3&amp;Weekly_Pmod!$B7&amp;Weekly_Pmod!$B$3&amp;$B$2&amp;Weekly_Pmod!$B$1)</f>
        <v>0</v>
      </c>
      <c r="CV7" s="2">
        <f>COUNTIF(defects!$AB:$AB,Weekly_Pmod!CV$3&amp;Weekly_Pmod!$B7&amp;Weekly_Pmod!$B$3&amp;$B$2&amp;Weekly_Pmod!$B$1)</f>
        <v>0</v>
      </c>
      <c r="CW7" s="2">
        <f>COUNTIF(defects!$AB:$AB,Weekly_Pmod!CW$3&amp;Weekly_Pmod!$B7&amp;Weekly_Pmod!$B$3&amp;$B$2&amp;Weekly_Pmod!$B$1)</f>
        <v>0</v>
      </c>
      <c r="CX7" s="2">
        <f>COUNTIF(defects!$AB:$AB,Weekly_Pmod!CX$3&amp;Weekly_Pmod!$B7&amp;Weekly_Pmod!$B$3&amp;$B$2&amp;Weekly_Pmod!$B$1)</f>
        <v>0</v>
      </c>
      <c r="CY7" s="2">
        <f>COUNTIF(defects!$AB:$AB,Weekly_Pmod!CY$3&amp;Weekly_Pmod!$B7&amp;Weekly_Pmod!$B$3&amp;$B$2&amp;Weekly_Pmod!$B$1)</f>
        <v>0</v>
      </c>
      <c r="CZ7" s="2">
        <f>COUNTIF(defects!$AB:$AB,Weekly_Pmod!CZ$3&amp;Weekly_Pmod!$B7&amp;Weekly_Pmod!$B$3&amp;$B$2&amp;Weekly_Pmod!$B$1)</f>
        <v>0</v>
      </c>
      <c r="DA7" s="2">
        <f>COUNTIF(defects!$AB:$AB,Weekly_Pmod!DA$3&amp;Weekly_Pmod!$B7&amp;Weekly_Pmod!$B$3&amp;$B$2&amp;Weekly_Pmod!$B$1)</f>
        <v>0</v>
      </c>
      <c r="DB7" s="2">
        <f>COUNTIF(defects!$AB:$AB,Weekly_Pmod!DB$3&amp;Weekly_Pmod!$B7&amp;Weekly_Pmod!$B$3&amp;$B$2&amp;Weekly_Pmod!$B$1)</f>
        <v>0</v>
      </c>
      <c r="DC7" s="2">
        <f>COUNTIF(defects!$AB:$AB,Weekly_Pmod!DC$3&amp;Weekly_Pmod!$B7&amp;Weekly_Pmod!$B$3&amp;$B$2&amp;Weekly_Pmod!$B$1)</f>
        <v>0</v>
      </c>
      <c r="DD7" s="2">
        <f>COUNTIF(defects!$AB:$AB,Weekly_Pmod!DD$3&amp;Weekly_Pmod!$B7&amp;Weekly_Pmod!$B$3&amp;$B$2&amp;Weekly_Pmod!$B$1)</f>
        <v>0</v>
      </c>
      <c r="DE7" s="2">
        <f>COUNTIF(defects!$AB:$AB,Weekly_Pmod!DE$3&amp;Weekly_Pmod!$B7&amp;Weekly_Pmod!$B$3&amp;$B$2&amp;Weekly_Pmod!$B$1)</f>
        <v>0</v>
      </c>
      <c r="DF7" s="2">
        <f>COUNTIF(defects!$AB:$AB,Weekly_Pmod!DF$3&amp;Weekly_Pmod!$B7&amp;Weekly_Pmod!$B$3&amp;$B$2&amp;Weekly_Pmod!$B$1)</f>
        <v>0</v>
      </c>
      <c r="DG7" s="2">
        <f>COUNTIF(defects!$AB:$AB,Weekly_Pmod!DG$3&amp;Weekly_Pmod!$B7&amp;Weekly_Pmod!$B$3&amp;$B$2&amp;Weekly_Pmod!$B$1)</f>
        <v>0</v>
      </c>
      <c r="DH7" s="2">
        <f>COUNTIF(defects!$AB:$AB,Weekly_Pmod!DH$3&amp;Weekly_Pmod!$B7&amp;Weekly_Pmod!$B$3&amp;$B$2&amp;Weekly_Pmod!$B$1)</f>
        <v>0</v>
      </c>
      <c r="DI7" s="2">
        <f>COUNTIF(defects!$AB:$AB,Weekly_Pmod!DI$3&amp;Weekly_Pmod!$B7&amp;Weekly_Pmod!$B$3&amp;$B$2&amp;Weekly_Pmod!$B$1)</f>
        <v>0</v>
      </c>
      <c r="DJ7" s="2">
        <f>COUNTIF(defects!$AB:$AB,Weekly_Pmod!DJ$3&amp;Weekly_Pmod!$B7&amp;Weekly_Pmod!$B$3&amp;$B$2&amp;Weekly_Pmod!$B$1)</f>
        <v>0</v>
      </c>
      <c r="DK7" s="2">
        <f>COUNTIF(defects!$AB:$AB,Weekly_Pmod!DK$3&amp;Weekly_Pmod!$B7&amp;Weekly_Pmod!$B$3&amp;$B$2&amp;Weekly_Pmod!$B$1)</f>
        <v>0</v>
      </c>
      <c r="DL7" s="2">
        <f>COUNTIF(defects!$AB:$AB,Weekly_Pmod!DL$3&amp;Weekly_Pmod!$B7&amp;Weekly_Pmod!$B$3&amp;$B$2&amp;Weekly_Pmod!$B$1)</f>
        <v>0</v>
      </c>
      <c r="DM7" s="2">
        <f>COUNTIF(defects!$AB:$AB,Weekly_Pmod!DM$3&amp;Weekly_Pmod!$B7&amp;Weekly_Pmod!$B$3&amp;$B$2&amp;Weekly_Pmod!$B$1)</f>
        <v>0</v>
      </c>
      <c r="DN7" s="2">
        <f>COUNTIF(defects!$AB:$AB,Weekly_Pmod!DN$3&amp;Weekly_Pmod!$B7&amp;Weekly_Pmod!$B$3&amp;$B$2&amp;Weekly_Pmod!$B$1)</f>
        <v>0</v>
      </c>
      <c r="DO7" s="2">
        <f>COUNTIF(defects!$AB:$AB,Weekly_Pmod!DO$3&amp;Weekly_Pmod!$B7&amp;Weekly_Pmod!$B$3&amp;$B$2&amp;Weekly_Pmod!$B$1)</f>
        <v>0</v>
      </c>
      <c r="DP7" s="2">
        <f>COUNTIF(defects!$AB:$AB,Weekly_Pmod!DP$3&amp;Weekly_Pmod!$B7&amp;Weekly_Pmod!$B$3&amp;$B$2&amp;Weekly_Pmod!$B$1)</f>
        <v>0</v>
      </c>
      <c r="DQ7" s="2">
        <f>COUNTIF(defects!$AB:$AB,Weekly_Pmod!DQ$3&amp;Weekly_Pmod!$B7&amp;Weekly_Pmod!$B$3&amp;$B$2&amp;Weekly_Pmod!$B$1)</f>
        <v>0</v>
      </c>
      <c r="DR7" s="2">
        <f>COUNTIF(defects!$AB:$AB,Weekly_Pmod!DR$3&amp;Weekly_Pmod!$B7&amp;Weekly_Pmod!$B$3&amp;$B$2&amp;Weekly_Pmod!$B$1)</f>
        <v>0</v>
      </c>
      <c r="DS7" s="2">
        <f>COUNTIF(defects!$AB:$AB,Weekly_Pmod!DS$3&amp;Weekly_Pmod!$B7&amp;Weekly_Pmod!$B$3&amp;$B$2&amp;Weekly_Pmod!$B$1)</f>
        <v>0</v>
      </c>
      <c r="DT7" s="2">
        <f>COUNTIF(defects!$AB:$AB,Weekly_Pmod!DT$3&amp;Weekly_Pmod!$B7&amp;Weekly_Pmod!$B$3&amp;$B$2&amp;Weekly_Pmod!$B$1)</f>
        <v>0</v>
      </c>
      <c r="DU7" s="2">
        <f>COUNTIF(defects!$AB:$AB,Weekly_Pmod!DU$3&amp;Weekly_Pmod!$B7&amp;Weekly_Pmod!$B$3&amp;$B$2&amp;Weekly_Pmod!$B$1)</f>
        <v>0</v>
      </c>
      <c r="DV7" s="2">
        <f>COUNTIF(defects!$AB:$AB,Weekly_Pmod!DV$3&amp;Weekly_Pmod!$B7&amp;Weekly_Pmod!$B$3&amp;$B$2&amp;Weekly_Pmod!$B$1)</f>
        <v>0</v>
      </c>
      <c r="DW7" s="2">
        <f>COUNTIF(defects!$AB:$AB,Weekly_Pmod!DW$3&amp;Weekly_Pmod!$B7&amp;Weekly_Pmod!$B$3&amp;$B$2&amp;Weekly_Pmod!$B$1)</f>
        <v>0</v>
      </c>
      <c r="DX7" s="2">
        <f>COUNTIF(defects!$AB:$AB,Weekly_Pmod!DX$3&amp;Weekly_Pmod!$B7&amp;Weekly_Pmod!$B$3&amp;$B$2&amp;Weekly_Pmod!$B$1)</f>
        <v>0</v>
      </c>
      <c r="DY7" s="2">
        <f>COUNTIF(defects!$AB:$AB,Weekly_Pmod!DY$3&amp;Weekly_Pmod!$B7&amp;Weekly_Pmod!$B$3&amp;$B$2&amp;Weekly_Pmod!$B$1)</f>
        <v>0</v>
      </c>
      <c r="DZ7" s="2">
        <f>COUNTIF(defects!$AB:$AB,Weekly_Pmod!DZ$3&amp;Weekly_Pmod!$B7&amp;Weekly_Pmod!$B$3&amp;$B$2&amp;Weekly_Pmod!$B$1)</f>
        <v>0</v>
      </c>
      <c r="EA7" s="2">
        <f>COUNTIF(defects!$AB:$AB,Weekly_Pmod!EA$3&amp;Weekly_Pmod!$B7&amp;Weekly_Pmod!$B$3&amp;$B$2&amp;Weekly_Pmod!$B$1)</f>
        <v>0</v>
      </c>
      <c r="EB7" s="2">
        <f>COUNTIF(defects!$AB:$AB,Weekly_Pmod!EB$3&amp;Weekly_Pmod!$B7&amp;Weekly_Pmod!$B$3&amp;$B$2&amp;Weekly_Pmod!$B$1)</f>
        <v>0</v>
      </c>
      <c r="EC7" s="2">
        <f>COUNTIF(defects!$AB:$AB,Weekly_Pmod!EC$3&amp;Weekly_Pmod!$B7&amp;Weekly_Pmod!$B$3&amp;$B$2&amp;Weekly_Pmod!$B$1)</f>
        <v>0</v>
      </c>
      <c r="ED7" s="2">
        <f>COUNTIF(defects!$AB:$AB,Weekly_Pmod!ED$3&amp;Weekly_Pmod!$B7&amp;Weekly_Pmod!$B$3&amp;$B$2&amp;Weekly_Pmod!$B$1)</f>
        <v>0</v>
      </c>
      <c r="EE7" s="2">
        <f>COUNTIF(defects!$AB:$AB,Weekly_Pmod!EE$3&amp;Weekly_Pmod!$B7&amp;Weekly_Pmod!$B$3&amp;$B$2&amp;Weekly_Pmod!$B$1)</f>
        <v>0</v>
      </c>
      <c r="EF7" s="2">
        <f>COUNTIF(defects!$AB:$AB,Weekly_Pmod!EF$3&amp;Weekly_Pmod!$B7&amp;Weekly_Pmod!$B$3&amp;$B$2&amp;Weekly_Pmod!$B$1)</f>
        <v>0</v>
      </c>
      <c r="EG7" s="2">
        <f>COUNTIF(defects!$AB:$AB,Weekly_Pmod!EG$3&amp;Weekly_Pmod!$B7&amp;Weekly_Pmod!$B$3&amp;$B$2&amp;Weekly_Pmod!$B$1)</f>
        <v>0</v>
      </c>
      <c r="EH7" s="2">
        <f>COUNTIF(defects!$AB:$AB,Weekly_Pmod!EH$3&amp;Weekly_Pmod!$B7&amp;Weekly_Pmod!$B$3&amp;$B$2&amp;Weekly_Pmod!$B$1)</f>
        <v>0</v>
      </c>
      <c r="EI7" s="2">
        <f>COUNTIF(defects!$AB:$AB,Weekly_Pmod!EI$3&amp;Weekly_Pmod!$B7&amp;Weekly_Pmod!$B$3&amp;$B$2&amp;Weekly_Pmod!$B$1)</f>
        <v>0</v>
      </c>
      <c r="EJ7" s="2">
        <f>COUNTIF(defects!$AB:$AB,Weekly_Pmod!EJ$3&amp;Weekly_Pmod!$B7&amp;Weekly_Pmod!$B$3&amp;$B$2&amp;Weekly_Pmod!$B$1)</f>
        <v>0</v>
      </c>
      <c r="EK7" s="2">
        <f>COUNTIF(defects!$AB:$AB,Weekly_Pmod!EK$3&amp;Weekly_Pmod!$B7&amp;Weekly_Pmod!$B$3&amp;$B$2&amp;Weekly_Pmod!$B$1)</f>
        <v>0</v>
      </c>
      <c r="EL7" s="2">
        <f>COUNTIF(defects!$AB:$AB,Weekly_Pmod!EL$3&amp;Weekly_Pmod!$B7&amp;Weekly_Pmod!$B$3&amp;$B$2&amp;Weekly_Pmod!$B$1)</f>
        <v>0</v>
      </c>
      <c r="EM7" s="2">
        <f>COUNTIF(defects!$AB:$AB,Weekly_Pmod!EM$3&amp;Weekly_Pmod!$B7&amp;Weekly_Pmod!$B$3&amp;$B$2&amp;Weekly_Pmod!$B$1)</f>
        <v>0</v>
      </c>
      <c r="EN7" s="2">
        <f>COUNTIF(defects!$AB:$AB,Weekly_Pmod!EN$3&amp;Weekly_Pmod!$B7&amp;Weekly_Pmod!$B$3&amp;$B$2&amp;Weekly_Pmod!$B$1)</f>
        <v>0</v>
      </c>
      <c r="EO7" s="2">
        <f>COUNTIF(defects!$AB:$AB,Weekly_Pmod!EO$3&amp;Weekly_Pmod!$B7&amp;Weekly_Pmod!$B$3&amp;$B$2&amp;Weekly_Pmod!$B$1)</f>
        <v>0</v>
      </c>
      <c r="EP7" s="2">
        <f>COUNTIF(defects!$AB:$AB,Weekly_Pmod!EP$3&amp;Weekly_Pmod!$B7&amp;Weekly_Pmod!$B$3&amp;$B$2&amp;Weekly_Pmod!$B$1)</f>
        <v>0</v>
      </c>
      <c r="EQ7" s="2">
        <f>COUNTIF(defects!$AB:$AB,Weekly_Pmod!EQ$3&amp;Weekly_Pmod!$B7&amp;Weekly_Pmod!$B$3&amp;$B$2&amp;Weekly_Pmod!$B$1)</f>
        <v>0</v>
      </c>
      <c r="ER7" s="2">
        <f>COUNTIF(defects!$AB:$AB,Weekly_Pmod!ER$3&amp;Weekly_Pmod!$B7&amp;Weekly_Pmod!$B$3&amp;$B$2&amp;Weekly_Pmod!$B$1)</f>
        <v>0</v>
      </c>
      <c r="ES7" s="2">
        <f>COUNTIF(defects!$AB:$AB,Weekly_Pmod!ES$3&amp;Weekly_Pmod!$B7&amp;Weekly_Pmod!$B$3&amp;$B$2&amp;Weekly_Pmod!$B$1)</f>
        <v>0</v>
      </c>
      <c r="ET7" s="2">
        <f>COUNTIF(defects!$AB:$AB,Weekly_Pmod!ET$3&amp;Weekly_Pmod!$B7&amp;Weekly_Pmod!$B$3&amp;$B$2&amp;Weekly_Pmod!$B$1)</f>
        <v>0</v>
      </c>
      <c r="EU7" s="2">
        <f>COUNTIF(defects!$AB:$AB,Weekly_Pmod!EU$3&amp;Weekly_Pmod!$B7&amp;Weekly_Pmod!$B$3&amp;$B$2&amp;Weekly_Pmod!$B$1)</f>
        <v>0</v>
      </c>
      <c r="EV7" s="2">
        <f>COUNTIF(defects!$AB:$AB,Weekly_Pmod!EV$3&amp;Weekly_Pmod!$B7&amp;Weekly_Pmod!$B$3&amp;$B$2&amp;Weekly_Pmod!$B$1)</f>
        <v>0</v>
      </c>
      <c r="EW7" s="2">
        <f>COUNTIF(defects!$AB:$AB,Weekly_Pmod!EW$3&amp;Weekly_Pmod!$B7&amp;Weekly_Pmod!$B$3&amp;$B$2&amp;Weekly_Pmod!$B$1)</f>
        <v>0</v>
      </c>
      <c r="EX7" s="2">
        <f>COUNTIF(defects!$AB:$AB,Weekly_Pmod!EX$3&amp;Weekly_Pmod!$B7&amp;Weekly_Pmod!$B$3&amp;$B$2&amp;Weekly_Pmod!$B$1)</f>
        <v>0</v>
      </c>
      <c r="EY7" s="2">
        <f>COUNTIF(defects!$AB:$AB,Weekly_Pmod!EY$3&amp;Weekly_Pmod!$B7&amp;Weekly_Pmod!$B$3&amp;$B$2&amp;Weekly_Pmod!$B$1)</f>
        <v>0</v>
      </c>
      <c r="EZ7" s="2">
        <f>COUNTIF(defects!$AB:$AB,Weekly_Pmod!EZ$3&amp;Weekly_Pmod!$B7&amp;Weekly_Pmod!$B$3&amp;$B$2&amp;Weekly_Pmod!$B$1)</f>
        <v>0</v>
      </c>
      <c r="FA7" s="2">
        <f>COUNTIF(defects!$AB:$AB,Weekly_Pmod!FA$3&amp;Weekly_Pmod!$B7&amp;Weekly_Pmod!$B$3&amp;$B$2&amp;Weekly_Pmod!$B$1)</f>
        <v>0</v>
      </c>
      <c r="FB7" s="2">
        <f>COUNTIF(defects!$AB:$AB,Weekly_Pmod!FB$3&amp;Weekly_Pmod!$B7&amp;Weekly_Pmod!$B$3&amp;$B$2&amp;Weekly_Pmod!$B$1)</f>
        <v>0</v>
      </c>
      <c r="FC7" s="2">
        <f>COUNTIF(defects!$AB:$AB,Weekly_Pmod!FC$3&amp;Weekly_Pmod!$B7&amp;Weekly_Pmod!$B$3&amp;$B$2&amp;Weekly_Pmod!$B$1)</f>
        <v>0</v>
      </c>
      <c r="FD7" s="2">
        <f>COUNTIF(defects!$AB:$AB,Weekly_Pmod!FD$3&amp;Weekly_Pmod!$B7&amp;Weekly_Pmod!$B$3&amp;$B$2&amp;Weekly_Pmod!$B$1)</f>
        <v>0</v>
      </c>
      <c r="FE7" s="2">
        <f>COUNTIF(defects!$AB:$AB,Weekly_Pmod!FE$3&amp;Weekly_Pmod!$B7&amp;Weekly_Pmod!$B$3&amp;$B$2&amp;Weekly_Pmod!$B$1)</f>
        <v>0</v>
      </c>
    </row>
    <row r="8" spans="2:161">
      <c r="B8" s="2" t="s">
        <v>955</v>
      </c>
      <c r="C8" s="2">
        <f>COUNTIF(defects!$AB:$AB,Weekly_Pmod!C$3&amp;Weekly_Pmod!$B8&amp;Weekly_Pmod!$B$3&amp;$B$2&amp;Weekly_Pmod!$B$1)</f>
        <v>0</v>
      </c>
      <c r="D8" s="2">
        <f>COUNTIF(defects!$AB:$AB,Weekly_Pmod!D$3&amp;Weekly_Pmod!$B8&amp;Weekly_Pmod!$B$3&amp;$B$2&amp;Weekly_Pmod!$B$1)</f>
        <v>0</v>
      </c>
      <c r="E8" s="2">
        <f>COUNTIF(defects!$AB:$AB,Weekly_Pmod!E$3&amp;Weekly_Pmod!$B8&amp;Weekly_Pmod!$B$3&amp;$B$2&amp;Weekly_Pmod!$B$1)</f>
        <v>0</v>
      </c>
      <c r="F8" s="2">
        <f>COUNTIF(defects!$AB:$AB,Weekly_Pmod!F$3&amp;Weekly_Pmod!$B8&amp;Weekly_Pmod!$B$3&amp;$B$2&amp;Weekly_Pmod!$B$1)</f>
        <v>0</v>
      </c>
      <c r="G8" s="2">
        <f>COUNTIF(defects!$AB:$AB,Weekly_Pmod!G$3&amp;Weekly_Pmod!$B8&amp;Weekly_Pmod!$B$3&amp;$B$2&amp;Weekly_Pmod!$B$1)</f>
        <v>0</v>
      </c>
      <c r="H8" s="2">
        <f>COUNTIF(defects!$AB:$AB,Weekly_Pmod!H$3&amp;Weekly_Pmod!$B8&amp;Weekly_Pmod!$B$3&amp;$B$2&amp;Weekly_Pmod!$B$1)</f>
        <v>0</v>
      </c>
      <c r="I8" s="2">
        <f>COUNTIF(defects!$AB:$AB,Weekly_Pmod!I$3&amp;Weekly_Pmod!$B8&amp;Weekly_Pmod!$B$3&amp;$B$2&amp;Weekly_Pmod!$B$1)</f>
        <v>0</v>
      </c>
      <c r="J8" s="2">
        <f>COUNTIF(defects!$AB:$AB,Weekly_Pmod!J$3&amp;Weekly_Pmod!$B8&amp;Weekly_Pmod!$B$3&amp;$B$2&amp;Weekly_Pmod!$B$1)</f>
        <v>0</v>
      </c>
      <c r="K8" s="2">
        <f>COUNTIF(defects!$AB:$AB,Weekly_Pmod!K$3&amp;Weekly_Pmod!$B8&amp;Weekly_Pmod!$B$3&amp;$B$2&amp;Weekly_Pmod!$B$1)</f>
        <v>0</v>
      </c>
      <c r="L8" s="2">
        <f>COUNTIF(defects!$AB:$AB,Weekly_Pmod!L$3&amp;Weekly_Pmod!$B8&amp;Weekly_Pmod!$B$3&amp;$B$2&amp;Weekly_Pmod!$B$1)</f>
        <v>0</v>
      </c>
      <c r="M8" s="2">
        <f>COUNTIF(defects!$AB:$AB,Weekly_Pmod!M$3&amp;Weekly_Pmod!$B8&amp;Weekly_Pmod!$B$3&amp;$B$2&amp;Weekly_Pmod!$B$1)</f>
        <v>0</v>
      </c>
      <c r="N8" s="2">
        <f>COUNTIF(defects!$AB:$AB,Weekly_Pmod!N$3&amp;Weekly_Pmod!$B8&amp;Weekly_Pmod!$B$3&amp;$B$2&amp;Weekly_Pmod!$B$1)</f>
        <v>0</v>
      </c>
      <c r="O8" s="2">
        <f>COUNTIF(defects!$AB:$AB,Weekly_Pmod!O$3&amp;Weekly_Pmod!$B8&amp;Weekly_Pmod!$B$3&amp;$B$2&amp;Weekly_Pmod!$B$1)</f>
        <v>0</v>
      </c>
      <c r="P8" s="2">
        <f>COUNTIF(defects!$AB:$AB,Weekly_Pmod!P$3&amp;Weekly_Pmod!$B8&amp;Weekly_Pmod!$B$3&amp;$B$2&amp;Weekly_Pmod!$B$1)</f>
        <v>0</v>
      </c>
      <c r="Q8" s="2">
        <f>COUNTIF(defects!$AB:$AB,Weekly_Pmod!Q$3&amp;Weekly_Pmod!$B8&amp;Weekly_Pmod!$B$3&amp;$B$2&amp;Weekly_Pmod!$B$1)</f>
        <v>0</v>
      </c>
      <c r="R8" s="2">
        <f>COUNTIF(defects!$AB:$AB,Weekly_Pmod!R$3&amp;Weekly_Pmod!$B8&amp;Weekly_Pmod!$B$3&amp;$B$2&amp;Weekly_Pmod!$B$1)</f>
        <v>0</v>
      </c>
      <c r="S8" s="2">
        <f>COUNTIF(defects!$AB:$AB,Weekly_Pmod!S$3&amp;Weekly_Pmod!$B8&amp;Weekly_Pmod!$B$3&amp;$B$2&amp;Weekly_Pmod!$B$1)</f>
        <v>0</v>
      </c>
      <c r="T8" s="2">
        <f>COUNTIF(defects!$AB:$AB,Weekly_Pmod!T$3&amp;Weekly_Pmod!$B8&amp;Weekly_Pmod!$B$3&amp;$B$2&amp;Weekly_Pmod!$B$1)</f>
        <v>0</v>
      </c>
      <c r="U8" s="2">
        <f>COUNTIF(defects!$AB:$AB,Weekly_Pmod!U$3&amp;Weekly_Pmod!$B8&amp;Weekly_Pmod!$B$3&amp;$B$2&amp;Weekly_Pmod!$B$1)</f>
        <v>0</v>
      </c>
      <c r="V8" s="2">
        <f>COUNTIF(defects!$AB:$AB,Weekly_Pmod!V$3&amp;Weekly_Pmod!$B8&amp;Weekly_Pmod!$B$3&amp;$B$2&amp;Weekly_Pmod!$B$1)</f>
        <v>0</v>
      </c>
      <c r="W8" s="2">
        <f>COUNTIF(defects!$AB:$AB,Weekly_Pmod!W$3&amp;Weekly_Pmod!$B8&amp;Weekly_Pmod!$B$3&amp;$B$2&amp;Weekly_Pmod!$B$1)</f>
        <v>0</v>
      </c>
      <c r="X8" s="2">
        <f>COUNTIF(defects!$AB:$AB,Weekly_Pmod!X$3&amp;Weekly_Pmod!$B8&amp;Weekly_Pmod!$B$3&amp;$B$2&amp;Weekly_Pmod!$B$1)</f>
        <v>0</v>
      </c>
      <c r="Y8" s="2">
        <f>COUNTIF(defects!$AB:$AB,Weekly_Pmod!Y$3&amp;Weekly_Pmod!$B8&amp;Weekly_Pmod!$B$3&amp;$B$2&amp;Weekly_Pmod!$B$1)</f>
        <v>0</v>
      </c>
      <c r="Z8" s="2">
        <f>COUNTIF(defects!$AB:$AB,Weekly_Pmod!Z$3&amp;Weekly_Pmod!$B8&amp;Weekly_Pmod!$B$3&amp;$B$2&amp;Weekly_Pmod!$B$1)</f>
        <v>0</v>
      </c>
      <c r="AA8" s="2">
        <f>COUNTIF(defects!$AB:$AB,Weekly_Pmod!AA$3&amp;Weekly_Pmod!$B8&amp;Weekly_Pmod!$B$3&amp;$B$2&amp;Weekly_Pmod!$B$1)</f>
        <v>0</v>
      </c>
      <c r="AB8" s="2">
        <f>COUNTIF(defects!$AB:$AB,Weekly_Pmod!AB$3&amp;Weekly_Pmod!$B8&amp;Weekly_Pmod!$B$3&amp;$B$2&amp;Weekly_Pmod!$B$1)</f>
        <v>0</v>
      </c>
      <c r="AC8" s="2">
        <f>COUNTIF(defects!$AB:$AB,Weekly_Pmod!AC$3&amp;Weekly_Pmod!$B8&amp;Weekly_Pmod!$B$3&amp;$B$2&amp;Weekly_Pmod!$B$1)</f>
        <v>0</v>
      </c>
      <c r="AD8" s="2">
        <f>COUNTIF(defects!$AB:$AB,Weekly_Pmod!AD$3&amp;Weekly_Pmod!$B8&amp;Weekly_Pmod!$B$3&amp;$B$2&amp;Weekly_Pmod!$B$1)</f>
        <v>0</v>
      </c>
      <c r="AE8" s="2">
        <f>COUNTIF(defects!$AB:$AB,Weekly_Pmod!AE$3&amp;Weekly_Pmod!$B8&amp;Weekly_Pmod!$B$3&amp;$B$2&amp;Weekly_Pmod!$B$1)</f>
        <v>0</v>
      </c>
      <c r="AF8" s="2">
        <f>COUNTIF(defects!$AB:$AB,Weekly_Pmod!AF$3&amp;Weekly_Pmod!$B8&amp;Weekly_Pmod!$B$3&amp;$B$2&amp;Weekly_Pmod!$B$1)</f>
        <v>0</v>
      </c>
      <c r="AG8" s="2">
        <f>COUNTIF(defects!$AB:$AB,Weekly_Pmod!AG$3&amp;Weekly_Pmod!$B8&amp;Weekly_Pmod!$B$3&amp;$B$2&amp;Weekly_Pmod!$B$1)</f>
        <v>0</v>
      </c>
      <c r="AH8" s="2">
        <f>COUNTIF(defects!$AB:$AB,Weekly_Pmod!AH$3&amp;Weekly_Pmod!$B8&amp;Weekly_Pmod!$B$3&amp;$B$2&amp;Weekly_Pmod!$B$1)</f>
        <v>0</v>
      </c>
      <c r="AI8" s="2">
        <f>COUNTIF(defects!$AB:$AB,Weekly_Pmod!AI$3&amp;Weekly_Pmod!$B8&amp;Weekly_Pmod!$B$3&amp;$B$2&amp;Weekly_Pmod!$B$1)</f>
        <v>0</v>
      </c>
      <c r="AJ8" s="2">
        <f>COUNTIF(defects!$AB:$AB,Weekly_Pmod!AJ$3&amp;Weekly_Pmod!$B8&amp;Weekly_Pmod!$B$3&amp;$B$2&amp;Weekly_Pmod!$B$1)</f>
        <v>0</v>
      </c>
      <c r="AK8" s="2">
        <f>COUNTIF(defects!$AB:$AB,Weekly_Pmod!AK$3&amp;Weekly_Pmod!$B8&amp;Weekly_Pmod!$B$3&amp;$B$2&amp;Weekly_Pmod!$B$1)</f>
        <v>0</v>
      </c>
      <c r="AL8" s="2">
        <f>COUNTIF(defects!$AB:$AB,Weekly_Pmod!AL$3&amp;Weekly_Pmod!$B8&amp;Weekly_Pmod!$B$3&amp;$B$2&amp;Weekly_Pmod!$B$1)</f>
        <v>0</v>
      </c>
      <c r="AM8" s="2">
        <f>COUNTIF(defects!$AB:$AB,Weekly_Pmod!AM$3&amp;Weekly_Pmod!$B8&amp;Weekly_Pmod!$B$3&amp;$B$2&amp;Weekly_Pmod!$B$1)</f>
        <v>0</v>
      </c>
      <c r="AN8" s="2">
        <f>COUNTIF(defects!$AB:$AB,Weekly_Pmod!AN$3&amp;Weekly_Pmod!$B8&amp;Weekly_Pmod!$B$3&amp;$B$2&amp;Weekly_Pmod!$B$1)</f>
        <v>0</v>
      </c>
      <c r="AO8" s="2">
        <f>COUNTIF(defects!$AB:$AB,Weekly_Pmod!AO$3&amp;Weekly_Pmod!$B8&amp;Weekly_Pmod!$B$3&amp;$B$2&amp;Weekly_Pmod!$B$1)</f>
        <v>0</v>
      </c>
      <c r="AP8" s="2">
        <f>COUNTIF(defects!$AB:$AB,Weekly_Pmod!AP$3&amp;Weekly_Pmod!$B8&amp;Weekly_Pmod!$B$3&amp;$B$2&amp;Weekly_Pmod!$B$1)</f>
        <v>0</v>
      </c>
      <c r="AQ8" s="2">
        <f>COUNTIF(defects!$AB:$AB,Weekly_Pmod!AQ$3&amp;Weekly_Pmod!$B8&amp;Weekly_Pmod!$B$3&amp;$B$2&amp;Weekly_Pmod!$B$1)</f>
        <v>0</v>
      </c>
      <c r="AR8" s="2">
        <f>COUNTIF(defects!$AB:$AB,Weekly_Pmod!AR$3&amp;Weekly_Pmod!$B8&amp;Weekly_Pmod!$B$3&amp;$B$2&amp;Weekly_Pmod!$B$1)</f>
        <v>0</v>
      </c>
      <c r="AS8" s="2">
        <f>COUNTIF(defects!$AB:$AB,Weekly_Pmod!AS$3&amp;Weekly_Pmod!$B8&amp;Weekly_Pmod!$B$3&amp;$B$2&amp;Weekly_Pmod!$B$1)</f>
        <v>0</v>
      </c>
      <c r="AT8" s="2">
        <f>COUNTIF(defects!$AB:$AB,Weekly_Pmod!AT$3&amp;Weekly_Pmod!$B8&amp;Weekly_Pmod!$B$3&amp;$B$2&amp;Weekly_Pmod!$B$1)</f>
        <v>0</v>
      </c>
      <c r="AU8" s="2">
        <f>COUNTIF(defects!$AB:$AB,Weekly_Pmod!AU$3&amp;Weekly_Pmod!$B8&amp;Weekly_Pmod!$B$3&amp;$B$2&amp;Weekly_Pmod!$B$1)</f>
        <v>0</v>
      </c>
      <c r="AV8" s="2">
        <f>COUNTIF(defects!$AB:$AB,Weekly_Pmod!AV$3&amp;Weekly_Pmod!$B8&amp;Weekly_Pmod!$B$3&amp;$B$2&amp;Weekly_Pmod!$B$1)</f>
        <v>0</v>
      </c>
      <c r="AW8" s="2">
        <f>COUNTIF(defects!$AB:$AB,Weekly_Pmod!AW$3&amp;Weekly_Pmod!$B8&amp;Weekly_Pmod!$B$3&amp;$B$2&amp;Weekly_Pmod!$B$1)</f>
        <v>0</v>
      </c>
      <c r="AX8" s="2">
        <f>COUNTIF(defects!$AB:$AB,Weekly_Pmod!AX$3&amp;Weekly_Pmod!$B8&amp;Weekly_Pmod!$B$3&amp;$B$2&amp;Weekly_Pmod!$B$1)</f>
        <v>0</v>
      </c>
      <c r="AY8" s="2">
        <f>COUNTIF(defects!$AB:$AB,Weekly_Pmod!AY$3&amp;Weekly_Pmod!$B8&amp;Weekly_Pmod!$B$3&amp;$B$2&amp;Weekly_Pmod!$B$1)</f>
        <v>0</v>
      </c>
      <c r="AZ8" s="2">
        <f>COUNTIF(defects!$AB:$AB,Weekly_Pmod!AZ$3&amp;Weekly_Pmod!$B8&amp;Weekly_Pmod!$B$3&amp;$B$2&amp;Weekly_Pmod!$B$1)</f>
        <v>0</v>
      </c>
      <c r="BA8" s="2">
        <f>COUNTIF(defects!$AB:$AB,Weekly_Pmod!BA$3&amp;Weekly_Pmod!$B8&amp;Weekly_Pmod!$B$3&amp;$B$2&amp;Weekly_Pmod!$B$1)</f>
        <v>0</v>
      </c>
      <c r="BB8" s="2">
        <f>COUNTIF(defects!$AB:$AB,Weekly_Pmod!BB$3&amp;Weekly_Pmod!$B8&amp;Weekly_Pmod!$B$3&amp;$B$2&amp;Weekly_Pmod!$B$1)</f>
        <v>0</v>
      </c>
      <c r="BC8" s="2">
        <f>COUNTIF(defects!$AB:$AB,Weekly_Pmod!BC$3&amp;Weekly_Pmod!$B8&amp;Weekly_Pmod!$B$3&amp;$B$2&amp;Weekly_Pmod!$B$1)</f>
        <v>0</v>
      </c>
      <c r="BD8" s="2">
        <f>COUNTIF(defects!$AB:$AB,Weekly_Pmod!BD$3&amp;Weekly_Pmod!$B8&amp;Weekly_Pmod!$B$3&amp;$B$2&amp;Weekly_Pmod!$B$1)</f>
        <v>0</v>
      </c>
      <c r="BE8" s="2">
        <f>COUNTIF(defects!$AB:$AB,Weekly_Pmod!BE$3&amp;Weekly_Pmod!$B8&amp;Weekly_Pmod!$B$3&amp;$B$2&amp;Weekly_Pmod!$B$1)</f>
        <v>0</v>
      </c>
      <c r="BF8" s="2">
        <f>COUNTIF(defects!$AB:$AB,Weekly_Pmod!BF$3&amp;Weekly_Pmod!$B8&amp;Weekly_Pmod!$B$3&amp;$B$2&amp;Weekly_Pmod!$B$1)</f>
        <v>0</v>
      </c>
      <c r="BG8" s="2">
        <f>COUNTIF(defects!$AB:$AB,Weekly_Pmod!BG$3&amp;Weekly_Pmod!$B8&amp;Weekly_Pmod!$B$3&amp;$B$2&amp;Weekly_Pmod!$B$1)</f>
        <v>0</v>
      </c>
      <c r="BH8" s="2">
        <f>COUNTIF(defects!$AB:$AB,Weekly_Pmod!BH$3&amp;Weekly_Pmod!$B8&amp;Weekly_Pmod!$B$3&amp;$B$2&amp;Weekly_Pmod!$B$1)</f>
        <v>0</v>
      </c>
      <c r="BI8" s="2">
        <f>COUNTIF(defects!$AB:$AB,Weekly_Pmod!BI$3&amp;Weekly_Pmod!$B8&amp;Weekly_Pmod!$B$3&amp;$B$2&amp;Weekly_Pmod!$B$1)</f>
        <v>0</v>
      </c>
      <c r="BJ8" s="2">
        <f>COUNTIF(defects!$AB:$AB,Weekly_Pmod!BJ$3&amp;Weekly_Pmod!$B8&amp;Weekly_Pmod!$B$3&amp;$B$2&amp;Weekly_Pmod!$B$1)</f>
        <v>0</v>
      </c>
      <c r="BK8" s="2">
        <f>COUNTIF(defects!$AB:$AB,Weekly_Pmod!BK$3&amp;Weekly_Pmod!$B8&amp;Weekly_Pmod!$B$3&amp;$B$2&amp;Weekly_Pmod!$B$1)</f>
        <v>0</v>
      </c>
      <c r="BL8" s="2">
        <f>COUNTIF(defects!$AB:$AB,Weekly_Pmod!BL$3&amp;Weekly_Pmod!$B8&amp;Weekly_Pmod!$B$3&amp;$B$2&amp;Weekly_Pmod!$B$1)</f>
        <v>0</v>
      </c>
      <c r="BM8" s="2">
        <f>COUNTIF(defects!$AB:$AB,Weekly_Pmod!BM$3&amp;Weekly_Pmod!$B8&amp;Weekly_Pmod!$B$3&amp;$B$2&amp;Weekly_Pmod!$B$1)</f>
        <v>0</v>
      </c>
      <c r="BN8" s="2">
        <f>COUNTIF(defects!$AB:$AB,Weekly_Pmod!BN$3&amp;Weekly_Pmod!$B8&amp;Weekly_Pmod!$B$3&amp;$B$2&amp;Weekly_Pmod!$B$1)</f>
        <v>0</v>
      </c>
      <c r="BO8" s="2">
        <f>COUNTIF(defects!$AB:$AB,Weekly_Pmod!BO$3&amp;Weekly_Pmod!$B8&amp;Weekly_Pmod!$B$3&amp;$B$2&amp;Weekly_Pmod!$B$1)</f>
        <v>0</v>
      </c>
      <c r="BP8" s="2">
        <f>COUNTIF(defects!$AB:$AB,Weekly_Pmod!BP$3&amp;Weekly_Pmod!$B8&amp;Weekly_Pmod!$B$3&amp;$B$2&amp;Weekly_Pmod!$B$1)</f>
        <v>0</v>
      </c>
      <c r="BQ8" s="2">
        <f>COUNTIF(defects!$AB:$AB,Weekly_Pmod!BQ$3&amp;Weekly_Pmod!$B8&amp;Weekly_Pmod!$B$3&amp;$B$2&amp;Weekly_Pmod!$B$1)</f>
        <v>0</v>
      </c>
      <c r="BR8" s="2">
        <f>COUNTIF(defects!$AB:$AB,Weekly_Pmod!BR$3&amp;Weekly_Pmod!$B8&amp;Weekly_Pmod!$B$3&amp;$B$2&amp;Weekly_Pmod!$B$1)</f>
        <v>0</v>
      </c>
      <c r="BS8" s="2">
        <f>COUNTIF(defects!$AB:$AB,Weekly_Pmod!BS$3&amp;Weekly_Pmod!$B8&amp;Weekly_Pmod!$B$3&amp;$B$2&amp;Weekly_Pmod!$B$1)</f>
        <v>0</v>
      </c>
      <c r="BT8" s="2">
        <f>COUNTIF(defects!$AB:$AB,Weekly_Pmod!BT$3&amp;Weekly_Pmod!$B8&amp;Weekly_Pmod!$B$3&amp;$B$2&amp;Weekly_Pmod!$B$1)</f>
        <v>0</v>
      </c>
      <c r="BU8" s="2">
        <f>COUNTIF(defects!$AB:$AB,Weekly_Pmod!BU$3&amp;Weekly_Pmod!$B8&amp;Weekly_Pmod!$B$3&amp;$B$2&amp;Weekly_Pmod!$B$1)</f>
        <v>0</v>
      </c>
      <c r="BV8" s="2">
        <f>COUNTIF(defects!$AB:$AB,Weekly_Pmod!BV$3&amp;Weekly_Pmod!$B8&amp;Weekly_Pmod!$B$3&amp;$B$2&amp;Weekly_Pmod!$B$1)</f>
        <v>0</v>
      </c>
      <c r="BW8" s="2">
        <f>COUNTIF(defects!$AB:$AB,Weekly_Pmod!BW$3&amp;Weekly_Pmod!$B8&amp;Weekly_Pmod!$B$3&amp;$B$2&amp;Weekly_Pmod!$B$1)</f>
        <v>0</v>
      </c>
      <c r="BX8" s="2">
        <f>COUNTIF(defects!$AB:$AB,Weekly_Pmod!BX$3&amp;Weekly_Pmod!$B8&amp;Weekly_Pmod!$B$3&amp;$B$2&amp;Weekly_Pmod!$B$1)</f>
        <v>1</v>
      </c>
      <c r="BY8" s="2">
        <f>COUNTIF(defects!$AB:$AB,Weekly_Pmod!BY$3&amp;Weekly_Pmod!$B8&amp;Weekly_Pmod!$B$3&amp;$B$2&amp;Weekly_Pmod!$B$1)</f>
        <v>0</v>
      </c>
      <c r="BZ8" s="2">
        <f>COUNTIF(defects!$AB:$AB,Weekly_Pmod!BZ$3&amp;Weekly_Pmod!$B8&amp;Weekly_Pmod!$B$3&amp;$B$2&amp;Weekly_Pmod!$B$1)</f>
        <v>0</v>
      </c>
      <c r="CA8" s="2">
        <f>COUNTIF(defects!$AB:$AB,Weekly_Pmod!CA$3&amp;Weekly_Pmod!$B8&amp;Weekly_Pmod!$B$3&amp;$B$2&amp;Weekly_Pmod!$B$1)</f>
        <v>0</v>
      </c>
      <c r="CB8" s="2">
        <f>COUNTIF(defects!$AB:$AB,Weekly_Pmod!CB$3&amp;Weekly_Pmod!$B8&amp;Weekly_Pmod!$B$3&amp;$B$2&amp;Weekly_Pmod!$B$1)</f>
        <v>0</v>
      </c>
      <c r="CC8" s="2">
        <f>COUNTIF(defects!$AB:$AB,Weekly_Pmod!CC$3&amp;Weekly_Pmod!$B8&amp;Weekly_Pmod!$B$3&amp;$B$2&amp;Weekly_Pmod!$B$1)</f>
        <v>0</v>
      </c>
      <c r="CD8" s="2">
        <f>COUNTIF(defects!$AB:$AB,Weekly_Pmod!CD$3&amp;Weekly_Pmod!$B8&amp;Weekly_Pmod!$B$3&amp;$B$2&amp;Weekly_Pmod!$B$1)</f>
        <v>0</v>
      </c>
      <c r="CE8" s="2">
        <f>COUNTIF(defects!$AB:$AB,Weekly_Pmod!CE$3&amp;Weekly_Pmod!$B8&amp;Weekly_Pmod!$B$3&amp;$B$2&amp;Weekly_Pmod!$B$1)</f>
        <v>0</v>
      </c>
      <c r="CF8" s="2">
        <f>COUNTIF(defects!$AB:$AB,Weekly_Pmod!CF$3&amp;Weekly_Pmod!$B8&amp;Weekly_Pmod!$B$3&amp;$B$2&amp;Weekly_Pmod!$B$1)</f>
        <v>0</v>
      </c>
      <c r="CG8" s="2">
        <f>COUNTIF(defects!$AB:$AB,Weekly_Pmod!CG$3&amp;Weekly_Pmod!$B8&amp;Weekly_Pmod!$B$3&amp;$B$2&amp;Weekly_Pmod!$B$1)</f>
        <v>0</v>
      </c>
      <c r="CH8" s="2">
        <f>COUNTIF(defects!$AB:$AB,Weekly_Pmod!CH$3&amp;Weekly_Pmod!$B8&amp;Weekly_Pmod!$B$3&amp;$B$2&amp;Weekly_Pmod!$B$1)</f>
        <v>1</v>
      </c>
      <c r="CI8" s="2">
        <f>COUNTIF(defects!$AB:$AB,Weekly_Pmod!CI$3&amp;Weekly_Pmod!$B8&amp;Weekly_Pmod!$B$3&amp;$B$2&amp;Weekly_Pmod!$B$1)</f>
        <v>0</v>
      </c>
      <c r="CJ8" s="2">
        <f>COUNTIF(defects!$AB:$AB,Weekly_Pmod!CJ$3&amp;Weekly_Pmod!$B8&amp;Weekly_Pmod!$B$3&amp;$B$2&amp;Weekly_Pmod!$B$1)</f>
        <v>0</v>
      </c>
      <c r="CK8" s="2">
        <f>COUNTIF(defects!$AB:$AB,Weekly_Pmod!CK$3&amp;Weekly_Pmod!$B8&amp;Weekly_Pmod!$B$3&amp;$B$2&amp;Weekly_Pmod!$B$1)</f>
        <v>0</v>
      </c>
      <c r="CL8" s="2">
        <f>COUNTIF(defects!$AB:$AB,Weekly_Pmod!CL$3&amp;Weekly_Pmod!$B8&amp;Weekly_Pmod!$B$3&amp;$B$2&amp;Weekly_Pmod!$B$1)</f>
        <v>0</v>
      </c>
      <c r="CM8" s="2">
        <f>COUNTIF(defects!$AB:$AB,Weekly_Pmod!CM$3&amp;Weekly_Pmod!$B8&amp;Weekly_Pmod!$B$3&amp;$B$2&amp;Weekly_Pmod!$B$1)</f>
        <v>0</v>
      </c>
      <c r="CN8" s="2">
        <f>COUNTIF(defects!$AB:$AB,Weekly_Pmod!CN$3&amp;Weekly_Pmod!$B8&amp;Weekly_Pmod!$B$3&amp;$B$2&amp;Weekly_Pmod!$B$1)</f>
        <v>1</v>
      </c>
      <c r="CO8" s="2">
        <f>COUNTIF(defects!$AB:$AB,Weekly_Pmod!CO$3&amp;Weekly_Pmod!$B8&amp;Weekly_Pmod!$B$3&amp;$B$2&amp;Weekly_Pmod!$B$1)</f>
        <v>0</v>
      </c>
      <c r="CP8" s="2">
        <f>COUNTIF(defects!$AB:$AB,Weekly_Pmod!CP$3&amp;Weekly_Pmod!$B8&amp;Weekly_Pmod!$B$3&amp;$B$2&amp;Weekly_Pmod!$B$1)</f>
        <v>0</v>
      </c>
      <c r="CQ8" s="2">
        <f>COUNTIF(defects!$AB:$AB,Weekly_Pmod!CQ$3&amp;Weekly_Pmod!$B8&amp;Weekly_Pmod!$B$3&amp;$B$2&amp;Weekly_Pmod!$B$1)</f>
        <v>0</v>
      </c>
      <c r="CR8" s="2">
        <f>COUNTIF(defects!$AB:$AB,Weekly_Pmod!CR$3&amp;Weekly_Pmod!$B8&amp;Weekly_Pmod!$B$3&amp;$B$2&amp;Weekly_Pmod!$B$1)</f>
        <v>0</v>
      </c>
      <c r="CS8" s="2">
        <f>COUNTIF(defects!$AB:$AB,Weekly_Pmod!CS$3&amp;Weekly_Pmod!$B8&amp;Weekly_Pmod!$B$3&amp;$B$2&amp;Weekly_Pmod!$B$1)</f>
        <v>0</v>
      </c>
      <c r="CT8" s="2">
        <f>COUNTIF(defects!$AB:$AB,Weekly_Pmod!CT$3&amp;Weekly_Pmod!$B8&amp;Weekly_Pmod!$B$3&amp;$B$2&amp;Weekly_Pmod!$B$1)</f>
        <v>0</v>
      </c>
      <c r="CU8" s="2">
        <f>COUNTIF(defects!$AB:$AB,Weekly_Pmod!CU$3&amp;Weekly_Pmod!$B8&amp;Weekly_Pmod!$B$3&amp;$B$2&amp;Weekly_Pmod!$B$1)</f>
        <v>0</v>
      </c>
      <c r="CV8" s="2">
        <f>COUNTIF(defects!$AB:$AB,Weekly_Pmod!CV$3&amp;Weekly_Pmod!$B8&amp;Weekly_Pmod!$B$3&amp;$B$2&amp;Weekly_Pmod!$B$1)</f>
        <v>0</v>
      </c>
      <c r="CW8" s="2">
        <f>COUNTIF(defects!$AB:$AB,Weekly_Pmod!CW$3&amp;Weekly_Pmod!$B8&amp;Weekly_Pmod!$B$3&amp;$B$2&amp;Weekly_Pmod!$B$1)</f>
        <v>0</v>
      </c>
      <c r="CX8" s="2">
        <f>COUNTIF(defects!$AB:$AB,Weekly_Pmod!CX$3&amp;Weekly_Pmod!$B8&amp;Weekly_Pmod!$B$3&amp;$B$2&amp;Weekly_Pmod!$B$1)</f>
        <v>0</v>
      </c>
      <c r="CY8" s="2">
        <f>COUNTIF(defects!$AB:$AB,Weekly_Pmod!CY$3&amp;Weekly_Pmod!$B8&amp;Weekly_Pmod!$B$3&amp;$B$2&amp;Weekly_Pmod!$B$1)</f>
        <v>0</v>
      </c>
      <c r="CZ8" s="2">
        <f>COUNTIF(defects!$AB:$AB,Weekly_Pmod!CZ$3&amp;Weekly_Pmod!$B8&amp;Weekly_Pmod!$B$3&amp;$B$2&amp;Weekly_Pmod!$B$1)</f>
        <v>0</v>
      </c>
      <c r="DA8" s="2">
        <f>COUNTIF(defects!$AB:$AB,Weekly_Pmod!DA$3&amp;Weekly_Pmod!$B8&amp;Weekly_Pmod!$B$3&amp;$B$2&amp;Weekly_Pmod!$B$1)</f>
        <v>0</v>
      </c>
      <c r="DB8" s="2">
        <f>COUNTIF(defects!$AB:$AB,Weekly_Pmod!DB$3&amp;Weekly_Pmod!$B8&amp;Weekly_Pmod!$B$3&amp;$B$2&amp;Weekly_Pmod!$B$1)</f>
        <v>0</v>
      </c>
      <c r="DC8" s="2">
        <f>COUNTIF(defects!$AB:$AB,Weekly_Pmod!DC$3&amp;Weekly_Pmod!$B8&amp;Weekly_Pmod!$B$3&amp;$B$2&amp;Weekly_Pmod!$B$1)</f>
        <v>0</v>
      </c>
      <c r="DD8" s="2">
        <f>COUNTIF(defects!$AB:$AB,Weekly_Pmod!DD$3&amp;Weekly_Pmod!$B8&amp;Weekly_Pmod!$B$3&amp;$B$2&amp;Weekly_Pmod!$B$1)</f>
        <v>0</v>
      </c>
      <c r="DE8" s="2">
        <f>COUNTIF(defects!$AB:$AB,Weekly_Pmod!DE$3&amp;Weekly_Pmod!$B8&amp;Weekly_Pmod!$B$3&amp;$B$2&amp;Weekly_Pmod!$B$1)</f>
        <v>0</v>
      </c>
      <c r="DF8" s="2">
        <f>COUNTIF(defects!$AB:$AB,Weekly_Pmod!DF$3&amp;Weekly_Pmod!$B8&amp;Weekly_Pmod!$B$3&amp;$B$2&amp;Weekly_Pmod!$B$1)</f>
        <v>0</v>
      </c>
      <c r="DG8" s="2">
        <f>COUNTIF(defects!$AB:$AB,Weekly_Pmod!DG$3&amp;Weekly_Pmod!$B8&amp;Weekly_Pmod!$B$3&amp;$B$2&amp;Weekly_Pmod!$B$1)</f>
        <v>0</v>
      </c>
      <c r="DH8" s="2">
        <f>COUNTIF(defects!$AB:$AB,Weekly_Pmod!DH$3&amp;Weekly_Pmod!$B8&amp;Weekly_Pmod!$B$3&amp;$B$2&amp;Weekly_Pmod!$B$1)</f>
        <v>0</v>
      </c>
      <c r="DI8" s="2">
        <f>COUNTIF(defects!$AB:$AB,Weekly_Pmod!DI$3&amp;Weekly_Pmod!$B8&amp;Weekly_Pmod!$B$3&amp;$B$2&amp;Weekly_Pmod!$B$1)</f>
        <v>0</v>
      </c>
      <c r="DJ8" s="2">
        <f>COUNTIF(defects!$AB:$AB,Weekly_Pmod!DJ$3&amp;Weekly_Pmod!$B8&amp;Weekly_Pmod!$B$3&amp;$B$2&amp;Weekly_Pmod!$B$1)</f>
        <v>0</v>
      </c>
      <c r="DK8" s="2">
        <f>COUNTIF(defects!$AB:$AB,Weekly_Pmod!DK$3&amp;Weekly_Pmod!$B8&amp;Weekly_Pmod!$B$3&amp;$B$2&amp;Weekly_Pmod!$B$1)</f>
        <v>0</v>
      </c>
      <c r="DL8" s="2">
        <f>COUNTIF(defects!$AB:$AB,Weekly_Pmod!DL$3&amp;Weekly_Pmod!$B8&amp;Weekly_Pmod!$B$3&amp;$B$2&amp;Weekly_Pmod!$B$1)</f>
        <v>0</v>
      </c>
      <c r="DM8" s="2">
        <f>COUNTIF(defects!$AB:$AB,Weekly_Pmod!DM$3&amp;Weekly_Pmod!$B8&amp;Weekly_Pmod!$B$3&amp;$B$2&amp;Weekly_Pmod!$B$1)</f>
        <v>0</v>
      </c>
      <c r="DN8" s="2">
        <f>COUNTIF(defects!$AB:$AB,Weekly_Pmod!DN$3&amp;Weekly_Pmod!$B8&amp;Weekly_Pmod!$B$3&amp;$B$2&amp;Weekly_Pmod!$B$1)</f>
        <v>0</v>
      </c>
      <c r="DO8" s="2">
        <f>COUNTIF(defects!$AB:$AB,Weekly_Pmod!DO$3&amp;Weekly_Pmod!$B8&amp;Weekly_Pmod!$B$3&amp;$B$2&amp;Weekly_Pmod!$B$1)</f>
        <v>0</v>
      </c>
      <c r="DP8" s="2">
        <f>COUNTIF(defects!$AB:$AB,Weekly_Pmod!DP$3&amp;Weekly_Pmod!$B8&amp;Weekly_Pmod!$B$3&amp;$B$2&amp;Weekly_Pmod!$B$1)</f>
        <v>0</v>
      </c>
      <c r="DQ8" s="2">
        <f>COUNTIF(defects!$AB:$AB,Weekly_Pmod!DQ$3&amp;Weekly_Pmod!$B8&amp;Weekly_Pmod!$B$3&amp;$B$2&amp;Weekly_Pmod!$B$1)</f>
        <v>0</v>
      </c>
      <c r="DR8" s="2">
        <f>COUNTIF(defects!$AB:$AB,Weekly_Pmod!DR$3&amp;Weekly_Pmod!$B8&amp;Weekly_Pmod!$B$3&amp;$B$2&amp;Weekly_Pmod!$B$1)</f>
        <v>0</v>
      </c>
      <c r="DS8" s="2">
        <f>COUNTIF(defects!$AB:$AB,Weekly_Pmod!DS$3&amp;Weekly_Pmod!$B8&amp;Weekly_Pmod!$B$3&amp;$B$2&amp;Weekly_Pmod!$B$1)</f>
        <v>0</v>
      </c>
      <c r="DT8" s="2">
        <f>COUNTIF(defects!$AB:$AB,Weekly_Pmod!DT$3&amp;Weekly_Pmod!$B8&amp;Weekly_Pmod!$B$3&amp;$B$2&amp;Weekly_Pmod!$B$1)</f>
        <v>0</v>
      </c>
      <c r="DU8" s="2">
        <f>COUNTIF(defects!$AB:$AB,Weekly_Pmod!DU$3&amp;Weekly_Pmod!$B8&amp;Weekly_Pmod!$B$3&amp;$B$2&amp;Weekly_Pmod!$B$1)</f>
        <v>0</v>
      </c>
      <c r="DV8" s="2">
        <f>COUNTIF(defects!$AB:$AB,Weekly_Pmod!DV$3&amp;Weekly_Pmod!$B8&amp;Weekly_Pmod!$B$3&amp;$B$2&amp;Weekly_Pmod!$B$1)</f>
        <v>0</v>
      </c>
      <c r="DW8" s="2">
        <f>COUNTIF(defects!$AB:$AB,Weekly_Pmod!DW$3&amp;Weekly_Pmod!$B8&amp;Weekly_Pmod!$B$3&amp;$B$2&amp;Weekly_Pmod!$B$1)</f>
        <v>0</v>
      </c>
      <c r="DX8" s="2">
        <f>COUNTIF(defects!$AB:$AB,Weekly_Pmod!DX$3&amp;Weekly_Pmod!$B8&amp;Weekly_Pmod!$B$3&amp;$B$2&amp;Weekly_Pmod!$B$1)</f>
        <v>0</v>
      </c>
      <c r="DY8" s="2">
        <f>COUNTIF(defects!$AB:$AB,Weekly_Pmod!DY$3&amp;Weekly_Pmod!$B8&amp;Weekly_Pmod!$B$3&amp;$B$2&amp;Weekly_Pmod!$B$1)</f>
        <v>0</v>
      </c>
      <c r="DZ8" s="2">
        <f>COUNTIF(defects!$AB:$AB,Weekly_Pmod!DZ$3&amp;Weekly_Pmod!$B8&amp;Weekly_Pmod!$B$3&amp;$B$2&amp;Weekly_Pmod!$B$1)</f>
        <v>0</v>
      </c>
      <c r="EA8" s="2">
        <f>COUNTIF(defects!$AB:$AB,Weekly_Pmod!EA$3&amp;Weekly_Pmod!$B8&amp;Weekly_Pmod!$B$3&amp;$B$2&amp;Weekly_Pmod!$B$1)</f>
        <v>0</v>
      </c>
      <c r="EB8" s="2">
        <f>COUNTIF(defects!$AB:$AB,Weekly_Pmod!EB$3&amp;Weekly_Pmod!$B8&amp;Weekly_Pmod!$B$3&amp;$B$2&amp;Weekly_Pmod!$B$1)</f>
        <v>0</v>
      </c>
      <c r="EC8" s="2">
        <f>COUNTIF(defects!$AB:$AB,Weekly_Pmod!EC$3&amp;Weekly_Pmod!$B8&amp;Weekly_Pmod!$B$3&amp;$B$2&amp;Weekly_Pmod!$B$1)</f>
        <v>0</v>
      </c>
      <c r="ED8" s="2">
        <f>COUNTIF(defects!$AB:$AB,Weekly_Pmod!ED$3&amp;Weekly_Pmod!$B8&amp;Weekly_Pmod!$B$3&amp;$B$2&amp;Weekly_Pmod!$B$1)</f>
        <v>0</v>
      </c>
      <c r="EE8" s="2">
        <f>COUNTIF(defects!$AB:$AB,Weekly_Pmod!EE$3&amp;Weekly_Pmod!$B8&amp;Weekly_Pmod!$B$3&amp;$B$2&amp;Weekly_Pmod!$B$1)</f>
        <v>0</v>
      </c>
      <c r="EF8" s="2">
        <f>COUNTIF(defects!$AB:$AB,Weekly_Pmod!EF$3&amp;Weekly_Pmod!$B8&amp;Weekly_Pmod!$B$3&amp;$B$2&amp;Weekly_Pmod!$B$1)</f>
        <v>0</v>
      </c>
      <c r="EG8" s="2">
        <f>COUNTIF(defects!$AB:$AB,Weekly_Pmod!EG$3&amp;Weekly_Pmod!$B8&amp;Weekly_Pmod!$B$3&amp;$B$2&amp;Weekly_Pmod!$B$1)</f>
        <v>0</v>
      </c>
      <c r="EH8" s="2">
        <f>COUNTIF(defects!$AB:$AB,Weekly_Pmod!EH$3&amp;Weekly_Pmod!$B8&amp;Weekly_Pmod!$B$3&amp;$B$2&amp;Weekly_Pmod!$B$1)</f>
        <v>0</v>
      </c>
      <c r="EI8" s="2">
        <f>COUNTIF(defects!$AB:$AB,Weekly_Pmod!EI$3&amp;Weekly_Pmod!$B8&amp;Weekly_Pmod!$B$3&amp;$B$2&amp;Weekly_Pmod!$B$1)</f>
        <v>0</v>
      </c>
      <c r="EJ8" s="2">
        <f>COUNTIF(defects!$AB:$AB,Weekly_Pmod!EJ$3&amp;Weekly_Pmod!$B8&amp;Weekly_Pmod!$B$3&amp;$B$2&amp;Weekly_Pmod!$B$1)</f>
        <v>0</v>
      </c>
      <c r="EK8" s="2">
        <f>COUNTIF(defects!$AB:$AB,Weekly_Pmod!EK$3&amp;Weekly_Pmod!$B8&amp;Weekly_Pmod!$B$3&amp;$B$2&amp;Weekly_Pmod!$B$1)</f>
        <v>0</v>
      </c>
      <c r="EL8" s="2">
        <f>COUNTIF(defects!$AB:$AB,Weekly_Pmod!EL$3&amp;Weekly_Pmod!$B8&amp;Weekly_Pmod!$B$3&amp;$B$2&amp;Weekly_Pmod!$B$1)</f>
        <v>0</v>
      </c>
      <c r="EM8" s="2">
        <f>COUNTIF(defects!$AB:$AB,Weekly_Pmod!EM$3&amp;Weekly_Pmod!$B8&amp;Weekly_Pmod!$B$3&amp;$B$2&amp;Weekly_Pmod!$B$1)</f>
        <v>0</v>
      </c>
      <c r="EN8" s="2">
        <f>COUNTIF(defects!$AB:$AB,Weekly_Pmod!EN$3&amp;Weekly_Pmod!$B8&amp;Weekly_Pmod!$B$3&amp;$B$2&amp;Weekly_Pmod!$B$1)</f>
        <v>0</v>
      </c>
      <c r="EO8" s="2">
        <f>COUNTIF(defects!$AB:$AB,Weekly_Pmod!EO$3&amp;Weekly_Pmod!$B8&amp;Weekly_Pmod!$B$3&amp;$B$2&amp;Weekly_Pmod!$B$1)</f>
        <v>0</v>
      </c>
      <c r="EP8" s="2">
        <f>COUNTIF(defects!$AB:$AB,Weekly_Pmod!EP$3&amp;Weekly_Pmod!$B8&amp;Weekly_Pmod!$B$3&amp;$B$2&amp;Weekly_Pmod!$B$1)</f>
        <v>0</v>
      </c>
      <c r="EQ8" s="2">
        <f>COUNTIF(defects!$AB:$AB,Weekly_Pmod!EQ$3&amp;Weekly_Pmod!$B8&amp;Weekly_Pmod!$B$3&amp;$B$2&amp;Weekly_Pmod!$B$1)</f>
        <v>0</v>
      </c>
      <c r="ER8" s="2">
        <f>COUNTIF(defects!$AB:$AB,Weekly_Pmod!ER$3&amp;Weekly_Pmod!$B8&amp;Weekly_Pmod!$B$3&amp;$B$2&amp;Weekly_Pmod!$B$1)</f>
        <v>0</v>
      </c>
      <c r="ES8" s="2">
        <f>COUNTIF(defects!$AB:$AB,Weekly_Pmod!ES$3&amp;Weekly_Pmod!$B8&amp;Weekly_Pmod!$B$3&amp;$B$2&amp;Weekly_Pmod!$B$1)</f>
        <v>0</v>
      </c>
      <c r="ET8" s="2">
        <f>COUNTIF(defects!$AB:$AB,Weekly_Pmod!ET$3&amp;Weekly_Pmod!$B8&amp;Weekly_Pmod!$B$3&amp;$B$2&amp;Weekly_Pmod!$B$1)</f>
        <v>0</v>
      </c>
      <c r="EU8" s="2">
        <f>COUNTIF(defects!$AB:$AB,Weekly_Pmod!EU$3&amp;Weekly_Pmod!$B8&amp;Weekly_Pmod!$B$3&amp;$B$2&amp;Weekly_Pmod!$B$1)</f>
        <v>0</v>
      </c>
      <c r="EV8" s="2">
        <f>COUNTIF(defects!$AB:$AB,Weekly_Pmod!EV$3&amp;Weekly_Pmod!$B8&amp;Weekly_Pmod!$B$3&amp;$B$2&amp;Weekly_Pmod!$B$1)</f>
        <v>0</v>
      </c>
      <c r="EW8" s="2">
        <f>COUNTIF(defects!$AB:$AB,Weekly_Pmod!EW$3&amp;Weekly_Pmod!$B8&amp;Weekly_Pmod!$B$3&amp;$B$2&amp;Weekly_Pmod!$B$1)</f>
        <v>0</v>
      </c>
      <c r="EX8" s="2">
        <f>COUNTIF(defects!$AB:$AB,Weekly_Pmod!EX$3&amp;Weekly_Pmod!$B8&amp;Weekly_Pmod!$B$3&amp;$B$2&amp;Weekly_Pmod!$B$1)</f>
        <v>0</v>
      </c>
      <c r="EY8" s="2">
        <f>COUNTIF(defects!$AB:$AB,Weekly_Pmod!EY$3&amp;Weekly_Pmod!$B8&amp;Weekly_Pmod!$B$3&amp;$B$2&amp;Weekly_Pmod!$B$1)</f>
        <v>0</v>
      </c>
      <c r="EZ8" s="2">
        <f>COUNTIF(defects!$AB:$AB,Weekly_Pmod!EZ$3&amp;Weekly_Pmod!$B8&amp;Weekly_Pmod!$B$3&amp;$B$2&amp;Weekly_Pmod!$B$1)</f>
        <v>0</v>
      </c>
      <c r="FA8" s="2">
        <f>COUNTIF(defects!$AB:$AB,Weekly_Pmod!FA$3&amp;Weekly_Pmod!$B8&amp;Weekly_Pmod!$B$3&amp;$B$2&amp;Weekly_Pmod!$B$1)</f>
        <v>0</v>
      </c>
      <c r="FB8" s="2">
        <f>COUNTIF(defects!$AB:$AB,Weekly_Pmod!FB$3&amp;Weekly_Pmod!$B8&amp;Weekly_Pmod!$B$3&amp;$B$2&amp;Weekly_Pmod!$B$1)</f>
        <v>0</v>
      </c>
      <c r="FC8" s="2">
        <f>COUNTIF(defects!$AB:$AB,Weekly_Pmod!FC$3&amp;Weekly_Pmod!$B8&amp;Weekly_Pmod!$B$3&amp;$B$2&amp;Weekly_Pmod!$B$1)</f>
        <v>0</v>
      </c>
      <c r="FD8" s="2">
        <f>COUNTIF(defects!$AB:$AB,Weekly_Pmod!FD$3&amp;Weekly_Pmod!$B8&amp;Weekly_Pmod!$B$3&amp;$B$2&amp;Weekly_Pmod!$B$1)</f>
        <v>0</v>
      </c>
      <c r="FE8" s="2">
        <f>COUNTIF(defects!$AB:$AB,Weekly_Pmod!FE$3&amp;Weekly_Pmod!$B8&amp;Weekly_Pmod!$B$3&amp;$B$2&amp;Weekly_Pmod!$B$1)</f>
        <v>0</v>
      </c>
    </row>
    <row r="9" spans="2:161">
      <c r="B9" s="2" t="s">
        <v>953</v>
      </c>
      <c r="C9" s="2">
        <f>COUNTIF(defects!$AB:$AB,Weekly_Pmod!C$3&amp;Weekly_Pmod!$B9&amp;Weekly_Pmod!$B$3&amp;$B$2&amp;Weekly_Pmod!$B$1)</f>
        <v>0</v>
      </c>
      <c r="D9" s="2">
        <f>COUNTIF(defects!$AB:$AB,Weekly_Pmod!D$3&amp;Weekly_Pmod!$B9&amp;Weekly_Pmod!$B$3&amp;$B$2&amp;Weekly_Pmod!$B$1)</f>
        <v>0</v>
      </c>
      <c r="E9" s="2">
        <f>COUNTIF(defects!$AB:$AB,Weekly_Pmod!E$3&amp;Weekly_Pmod!$B9&amp;Weekly_Pmod!$B$3&amp;$B$2&amp;Weekly_Pmod!$B$1)</f>
        <v>0</v>
      </c>
      <c r="F9" s="2">
        <f>COUNTIF(defects!$AB:$AB,Weekly_Pmod!F$3&amp;Weekly_Pmod!$B9&amp;Weekly_Pmod!$B$3&amp;$B$2&amp;Weekly_Pmod!$B$1)</f>
        <v>0</v>
      </c>
      <c r="G9" s="2">
        <f>COUNTIF(defects!$AB:$AB,Weekly_Pmod!G$3&amp;Weekly_Pmod!$B9&amp;Weekly_Pmod!$B$3&amp;$B$2&amp;Weekly_Pmod!$B$1)</f>
        <v>0</v>
      </c>
      <c r="H9" s="2">
        <f>COUNTIF(defects!$AB:$AB,Weekly_Pmod!H$3&amp;Weekly_Pmod!$B9&amp;Weekly_Pmod!$B$3&amp;$B$2&amp;Weekly_Pmod!$B$1)</f>
        <v>0</v>
      </c>
      <c r="I9" s="2">
        <f>COUNTIF(defects!$AB:$AB,Weekly_Pmod!I$3&amp;Weekly_Pmod!$B9&amp;Weekly_Pmod!$B$3&amp;$B$2&amp;Weekly_Pmod!$B$1)</f>
        <v>0</v>
      </c>
      <c r="J9" s="2">
        <f>COUNTIF(defects!$AB:$AB,Weekly_Pmod!J$3&amp;Weekly_Pmod!$B9&amp;Weekly_Pmod!$B$3&amp;$B$2&amp;Weekly_Pmod!$B$1)</f>
        <v>0</v>
      </c>
      <c r="K9" s="2">
        <f>COUNTIF(defects!$AB:$AB,Weekly_Pmod!K$3&amp;Weekly_Pmod!$B9&amp;Weekly_Pmod!$B$3&amp;$B$2&amp;Weekly_Pmod!$B$1)</f>
        <v>0</v>
      </c>
      <c r="L9" s="2">
        <f>COUNTIF(defects!$AB:$AB,Weekly_Pmod!L$3&amp;Weekly_Pmod!$B9&amp;Weekly_Pmod!$B$3&amp;$B$2&amp;Weekly_Pmod!$B$1)</f>
        <v>0</v>
      </c>
      <c r="M9" s="2">
        <f>COUNTIF(defects!$AB:$AB,Weekly_Pmod!M$3&amp;Weekly_Pmod!$B9&amp;Weekly_Pmod!$B$3&amp;$B$2&amp;Weekly_Pmod!$B$1)</f>
        <v>0</v>
      </c>
      <c r="N9" s="2">
        <f>COUNTIF(defects!$AB:$AB,Weekly_Pmod!N$3&amp;Weekly_Pmod!$B9&amp;Weekly_Pmod!$B$3&amp;$B$2&amp;Weekly_Pmod!$B$1)</f>
        <v>0</v>
      </c>
      <c r="O9" s="2">
        <f>COUNTIF(defects!$AB:$AB,Weekly_Pmod!O$3&amp;Weekly_Pmod!$B9&amp;Weekly_Pmod!$B$3&amp;$B$2&amp;Weekly_Pmod!$B$1)</f>
        <v>0</v>
      </c>
      <c r="P9" s="2">
        <f>COUNTIF(defects!$AB:$AB,Weekly_Pmod!P$3&amp;Weekly_Pmod!$B9&amp;Weekly_Pmod!$B$3&amp;$B$2&amp;Weekly_Pmod!$B$1)</f>
        <v>0</v>
      </c>
      <c r="Q9" s="2">
        <f>COUNTIF(defects!$AB:$AB,Weekly_Pmod!Q$3&amp;Weekly_Pmod!$B9&amp;Weekly_Pmod!$B$3&amp;$B$2&amp;Weekly_Pmod!$B$1)</f>
        <v>0</v>
      </c>
      <c r="R9" s="2">
        <f>COUNTIF(defects!$AB:$AB,Weekly_Pmod!R$3&amp;Weekly_Pmod!$B9&amp;Weekly_Pmod!$B$3&amp;$B$2&amp;Weekly_Pmod!$B$1)</f>
        <v>0</v>
      </c>
      <c r="S9" s="2">
        <f>COUNTIF(defects!$AB:$AB,Weekly_Pmod!S$3&amp;Weekly_Pmod!$B9&amp;Weekly_Pmod!$B$3&amp;$B$2&amp;Weekly_Pmod!$B$1)</f>
        <v>0</v>
      </c>
      <c r="T9" s="2">
        <f>COUNTIF(defects!$AB:$AB,Weekly_Pmod!T$3&amp;Weekly_Pmod!$B9&amp;Weekly_Pmod!$B$3&amp;$B$2&amp;Weekly_Pmod!$B$1)</f>
        <v>0</v>
      </c>
      <c r="U9" s="2">
        <f>COUNTIF(defects!$AB:$AB,Weekly_Pmod!U$3&amp;Weekly_Pmod!$B9&amp;Weekly_Pmod!$B$3&amp;$B$2&amp;Weekly_Pmod!$B$1)</f>
        <v>0</v>
      </c>
      <c r="V9" s="2">
        <f>COUNTIF(defects!$AB:$AB,Weekly_Pmod!V$3&amp;Weekly_Pmod!$B9&amp;Weekly_Pmod!$B$3&amp;$B$2&amp;Weekly_Pmod!$B$1)</f>
        <v>0</v>
      </c>
      <c r="W9" s="2">
        <f>COUNTIF(defects!$AB:$AB,Weekly_Pmod!W$3&amp;Weekly_Pmod!$B9&amp;Weekly_Pmod!$B$3&amp;$B$2&amp;Weekly_Pmod!$B$1)</f>
        <v>0</v>
      </c>
      <c r="X9" s="2">
        <f>COUNTIF(defects!$AB:$AB,Weekly_Pmod!X$3&amp;Weekly_Pmod!$B9&amp;Weekly_Pmod!$B$3&amp;$B$2&amp;Weekly_Pmod!$B$1)</f>
        <v>0</v>
      </c>
      <c r="Y9" s="2">
        <f>COUNTIF(defects!$AB:$AB,Weekly_Pmod!Y$3&amp;Weekly_Pmod!$B9&amp;Weekly_Pmod!$B$3&amp;$B$2&amp;Weekly_Pmod!$B$1)</f>
        <v>0</v>
      </c>
      <c r="Z9" s="2">
        <f>COUNTIF(defects!$AB:$AB,Weekly_Pmod!Z$3&amp;Weekly_Pmod!$B9&amp;Weekly_Pmod!$B$3&amp;$B$2&amp;Weekly_Pmod!$B$1)</f>
        <v>0</v>
      </c>
      <c r="AA9" s="2">
        <f>COUNTIF(defects!$AB:$AB,Weekly_Pmod!AA$3&amp;Weekly_Pmod!$B9&amp;Weekly_Pmod!$B$3&amp;$B$2&amp;Weekly_Pmod!$B$1)</f>
        <v>0</v>
      </c>
      <c r="AB9" s="2">
        <f>COUNTIF(defects!$AB:$AB,Weekly_Pmod!AB$3&amp;Weekly_Pmod!$B9&amp;Weekly_Pmod!$B$3&amp;$B$2&amp;Weekly_Pmod!$B$1)</f>
        <v>0</v>
      </c>
      <c r="AC9" s="2">
        <f>COUNTIF(defects!$AB:$AB,Weekly_Pmod!AC$3&amp;Weekly_Pmod!$B9&amp;Weekly_Pmod!$B$3&amp;$B$2&amp;Weekly_Pmod!$B$1)</f>
        <v>0</v>
      </c>
      <c r="AD9" s="2">
        <f>COUNTIF(defects!$AB:$AB,Weekly_Pmod!AD$3&amp;Weekly_Pmod!$B9&amp;Weekly_Pmod!$B$3&amp;$B$2&amp;Weekly_Pmod!$B$1)</f>
        <v>0</v>
      </c>
      <c r="AE9" s="2">
        <f>COUNTIF(defects!$AB:$AB,Weekly_Pmod!AE$3&amp;Weekly_Pmod!$B9&amp;Weekly_Pmod!$B$3&amp;$B$2&amp;Weekly_Pmod!$B$1)</f>
        <v>0</v>
      </c>
      <c r="AF9" s="2">
        <f>COUNTIF(defects!$AB:$AB,Weekly_Pmod!AF$3&amp;Weekly_Pmod!$B9&amp;Weekly_Pmod!$B$3&amp;$B$2&amp;Weekly_Pmod!$B$1)</f>
        <v>0</v>
      </c>
      <c r="AG9" s="2">
        <f>COUNTIF(defects!$AB:$AB,Weekly_Pmod!AG$3&amp;Weekly_Pmod!$B9&amp;Weekly_Pmod!$B$3&amp;$B$2&amp;Weekly_Pmod!$B$1)</f>
        <v>0</v>
      </c>
      <c r="AH9" s="2">
        <f>COUNTIF(defects!$AB:$AB,Weekly_Pmod!AH$3&amp;Weekly_Pmod!$B9&amp;Weekly_Pmod!$B$3&amp;$B$2&amp;Weekly_Pmod!$B$1)</f>
        <v>0</v>
      </c>
      <c r="AI9" s="2">
        <f>COUNTIF(defects!$AB:$AB,Weekly_Pmod!AI$3&amp;Weekly_Pmod!$B9&amp;Weekly_Pmod!$B$3&amp;$B$2&amp;Weekly_Pmod!$B$1)</f>
        <v>0</v>
      </c>
      <c r="AJ9" s="2">
        <f>COUNTIF(defects!$AB:$AB,Weekly_Pmod!AJ$3&amp;Weekly_Pmod!$B9&amp;Weekly_Pmod!$B$3&amp;$B$2&amp;Weekly_Pmod!$B$1)</f>
        <v>0</v>
      </c>
      <c r="AK9" s="2">
        <f>COUNTIF(defects!$AB:$AB,Weekly_Pmod!AK$3&amp;Weekly_Pmod!$B9&amp;Weekly_Pmod!$B$3&amp;$B$2&amp;Weekly_Pmod!$B$1)</f>
        <v>0</v>
      </c>
      <c r="AL9" s="2">
        <f>COUNTIF(defects!$AB:$AB,Weekly_Pmod!AL$3&amp;Weekly_Pmod!$B9&amp;Weekly_Pmod!$B$3&amp;$B$2&amp;Weekly_Pmod!$B$1)</f>
        <v>0</v>
      </c>
      <c r="AM9" s="2">
        <f>COUNTIF(defects!$AB:$AB,Weekly_Pmod!AM$3&amp;Weekly_Pmod!$B9&amp;Weekly_Pmod!$B$3&amp;$B$2&amp;Weekly_Pmod!$B$1)</f>
        <v>0</v>
      </c>
      <c r="AN9" s="2">
        <f>COUNTIF(defects!$AB:$AB,Weekly_Pmod!AN$3&amp;Weekly_Pmod!$B9&amp;Weekly_Pmod!$B$3&amp;$B$2&amp;Weekly_Pmod!$B$1)</f>
        <v>0</v>
      </c>
      <c r="AO9" s="2">
        <f>COUNTIF(defects!$AB:$AB,Weekly_Pmod!AO$3&amp;Weekly_Pmod!$B9&amp;Weekly_Pmod!$B$3&amp;$B$2&amp;Weekly_Pmod!$B$1)</f>
        <v>0</v>
      </c>
      <c r="AP9" s="2">
        <f>COUNTIF(defects!$AB:$AB,Weekly_Pmod!AP$3&amp;Weekly_Pmod!$B9&amp;Weekly_Pmod!$B$3&amp;$B$2&amp;Weekly_Pmod!$B$1)</f>
        <v>0</v>
      </c>
      <c r="AQ9" s="2">
        <f>COUNTIF(defects!$AB:$AB,Weekly_Pmod!AQ$3&amp;Weekly_Pmod!$B9&amp;Weekly_Pmod!$B$3&amp;$B$2&amp;Weekly_Pmod!$B$1)</f>
        <v>0</v>
      </c>
      <c r="AR9" s="2">
        <f>COUNTIF(defects!$AB:$AB,Weekly_Pmod!AR$3&amp;Weekly_Pmod!$B9&amp;Weekly_Pmod!$B$3&amp;$B$2&amp;Weekly_Pmod!$B$1)</f>
        <v>0</v>
      </c>
      <c r="AS9" s="2">
        <f>COUNTIF(defects!$AB:$AB,Weekly_Pmod!AS$3&amp;Weekly_Pmod!$B9&amp;Weekly_Pmod!$B$3&amp;$B$2&amp;Weekly_Pmod!$B$1)</f>
        <v>0</v>
      </c>
      <c r="AT9" s="2">
        <f>COUNTIF(defects!$AB:$AB,Weekly_Pmod!AT$3&amp;Weekly_Pmod!$B9&amp;Weekly_Pmod!$B$3&amp;$B$2&amp;Weekly_Pmod!$B$1)</f>
        <v>0</v>
      </c>
      <c r="AU9" s="2">
        <f>COUNTIF(defects!$AB:$AB,Weekly_Pmod!AU$3&amp;Weekly_Pmod!$B9&amp;Weekly_Pmod!$B$3&amp;$B$2&amp;Weekly_Pmod!$B$1)</f>
        <v>0</v>
      </c>
      <c r="AV9" s="2">
        <f>COUNTIF(defects!$AB:$AB,Weekly_Pmod!AV$3&amp;Weekly_Pmod!$B9&amp;Weekly_Pmod!$B$3&amp;$B$2&amp;Weekly_Pmod!$B$1)</f>
        <v>0</v>
      </c>
      <c r="AW9" s="2">
        <f>COUNTIF(defects!$AB:$AB,Weekly_Pmod!AW$3&amp;Weekly_Pmod!$B9&amp;Weekly_Pmod!$B$3&amp;$B$2&amp;Weekly_Pmod!$B$1)</f>
        <v>0</v>
      </c>
      <c r="AX9" s="2">
        <f>COUNTIF(defects!$AB:$AB,Weekly_Pmod!AX$3&amp;Weekly_Pmod!$B9&amp;Weekly_Pmod!$B$3&amp;$B$2&amp;Weekly_Pmod!$B$1)</f>
        <v>0</v>
      </c>
      <c r="AY9" s="2">
        <f>COUNTIF(defects!$AB:$AB,Weekly_Pmod!AY$3&amp;Weekly_Pmod!$B9&amp;Weekly_Pmod!$B$3&amp;$B$2&amp;Weekly_Pmod!$B$1)</f>
        <v>0</v>
      </c>
      <c r="AZ9" s="2">
        <f>COUNTIF(defects!$AB:$AB,Weekly_Pmod!AZ$3&amp;Weekly_Pmod!$B9&amp;Weekly_Pmod!$B$3&amp;$B$2&amp;Weekly_Pmod!$B$1)</f>
        <v>0</v>
      </c>
      <c r="BA9" s="2">
        <f>COUNTIF(defects!$AB:$AB,Weekly_Pmod!BA$3&amp;Weekly_Pmod!$B9&amp;Weekly_Pmod!$B$3&amp;$B$2&amp;Weekly_Pmod!$B$1)</f>
        <v>0</v>
      </c>
      <c r="BB9" s="2">
        <f>COUNTIF(defects!$AB:$AB,Weekly_Pmod!BB$3&amp;Weekly_Pmod!$B9&amp;Weekly_Pmod!$B$3&amp;$B$2&amp;Weekly_Pmod!$B$1)</f>
        <v>0</v>
      </c>
      <c r="BC9" s="2">
        <f>COUNTIF(defects!$AB:$AB,Weekly_Pmod!BC$3&amp;Weekly_Pmod!$B9&amp;Weekly_Pmod!$B$3&amp;$B$2&amp;Weekly_Pmod!$B$1)</f>
        <v>0</v>
      </c>
      <c r="BD9" s="2">
        <f>COUNTIF(defects!$AB:$AB,Weekly_Pmod!BD$3&amp;Weekly_Pmod!$B9&amp;Weekly_Pmod!$B$3&amp;$B$2&amp;Weekly_Pmod!$B$1)</f>
        <v>0</v>
      </c>
      <c r="BE9" s="2">
        <f>COUNTIF(defects!$AB:$AB,Weekly_Pmod!BE$3&amp;Weekly_Pmod!$B9&amp;Weekly_Pmod!$B$3&amp;$B$2&amp;Weekly_Pmod!$B$1)</f>
        <v>0</v>
      </c>
      <c r="BF9" s="2">
        <f>COUNTIF(defects!$AB:$AB,Weekly_Pmod!BF$3&amp;Weekly_Pmod!$B9&amp;Weekly_Pmod!$B$3&amp;$B$2&amp;Weekly_Pmod!$B$1)</f>
        <v>0</v>
      </c>
      <c r="BG9" s="2">
        <f>COUNTIF(defects!$AB:$AB,Weekly_Pmod!BG$3&amp;Weekly_Pmod!$B9&amp;Weekly_Pmod!$B$3&amp;$B$2&amp;Weekly_Pmod!$B$1)</f>
        <v>0</v>
      </c>
      <c r="BH9" s="2">
        <f>COUNTIF(defects!$AB:$AB,Weekly_Pmod!BH$3&amp;Weekly_Pmod!$B9&amp;Weekly_Pmod!$B$3&amp;$B$2&amp;Weekly_Pmod!$B$1)</f>
        <v>0</v>
      </c>
      <c r="BI9" s="2">
        <f>COUNTIF(defects!$AB:$AB,Weekly_Pmod!BI$3&amp;Weekly_Pmod!$B9&amp;Weekly_Pmod!$B$3&amp;$B$2&amp;Weekly_Pmod!$B$1)</f>
        <v>0</v>
      </c>
      <c r="BJ9" s="2">
        <f>COUNTIF(defects!$AB:$AB,Weekly_Pmod!BJ$3&amp;Weekly_Pmod!$B9&amp;Weekly_Pmod!$B$3&amp;$B$2&amp;Weekly_Pmod!$B$1)</f>
        <v>0</v>
      </c>
      <c r="BK9" s="2">
        <f>COUNTIF(defects!$AB:$AB,Weekly_Pmod!BK$3&amp;Weekly_Pmod!$B9&amp;Weekly_Pmod!$B$3&amp;$B$2&amp;Weekly_Pmod!$B$1)</f>
        <v>0</v>
      </c>
      <c r="BL9" s="2">
        <f>COUNTIF(defects!$AB:$AB,Weekly_Pmod!BL$3&amp;Weekly_Pmod!$B9&amp;Weekly_Pmod!$B$3&amp;$B$2&amp;Weekly_Pmod!$B$1)</f>
        <v>0</v>
      </c>
      <c r="BM9" s="2">
        <f>COUNTIF(defects!$AB:$AB,Weekly_Pmod!BM$3&amp;Weekly_Pmod!$B9&amp;Weekly_Pmod!$B$3&amp;$B$2&amp;Weekly_Pmod!$B$1)</f>
        <v>0</v>
      </c>
      <c r="BN9" s="2">
        <f>COUNTIF(defects!$AB:$AB,Weekly_Pmod!BN$3&amp;Weekly_Pmod!$B9&amp;Weekly_Pmod!$B$3&amp;$B$2&amp;Weekly_Pmod!$B$1)</f>
        <v>0</v>
      </c>
      <c r="BO9" s="2">
        <f>COUNTIF(defects!$AB:$AB,Weekly_Pmod!BO$3&amp;Weekly_Pmod!$B9&amp;Weekly_Pmod!$B$3&amp;$B$2&amp;Weekly_Pmod!$B$1)</f>
        <v>0</v>
      </c>
      <c r="BP9" s="2">
        <f>COUNTIF(defects!$AB:$AB,Weekly_Pmod!BP$3&amp;Weekly_Pmod!$B9&amp;Weekly_Pmod!$B$3&amp;$B$2&amp;Weekly_Pmod!$B$1)</f>
        <v>0</v>
      </c>
      <c r="BQ9" s="2">
        <f>COUNTIF(defects!$AB:$AB,Weekly_Pmod!BQ$3&amp;Weekly_Pmod!$B9&amp;Weekly_Pmod!$B$3&amp;$B$2&amp;Weekly_Pmod!$B$1)</f>
        <v>0</v>
      </c>
      <c r="BR9" s="2">
        <f>COUNTIF(defects!$AB:$AB,Weekly_Pmod!BR$3&amp;Weekly_Pmod!$B9&amp;Weekly_Pmod!$B$3&amp;$B$2&amp;Weekly_Pmod!$B$1)</f>
        <v>0</v>
      </c>
      <c r="BS9" s="2">
        <f>COUNTIF(defects!$AB:$AB,Weekly_Pmod!BS$3&amp;Weekly_Pmod!$B9&amp;Weekly_Pmod!$B$3&amp;$B$2&amp;Weekly_Pmod!$B$1)</f>
        <v>0</v>
      </c>
      <c r="BT9" s="2">
        <f>COUNTIF(defects!$AB:$AB,Weekly_Pmod!BT$3&amp;Weekly_Pmod!$B9&amp;Weekly_Pmod!$B$3&amp;$B$2&amp;Weekly_Pmod!$B$1)</f>
        <v>0</v>
      </c>
      <c r="BU9" s="2">
        <f>COUNTIF(defects!$AB:$AB,Weekly_Pmod!BU$3&amp;Weekly_Pmod!$B9&amp;Weekly_Pmod!$B$3&amp;$B$2&amp;Weekly_Pmod!$B$1)</f>
        <v>0</v>
      </c>
      <c r="BV9" s="2">
        <f>COUNTIF(defects!$AB:$AB,Weekly_Pmod!BV$3&amp;Weekly_Pmod!$B9&amp;Weekly_Pmod!$B$3&amp;$B$2&amp;Weekly_Pmod!$B$1)</f>
        <v>0</v>
      </c>
      <c r="BW9" s="2">
        <f>COUNTIF(defects!$AB:$AB,Weekly_Pmod!BW$3&amp;Weekly_Pmod!$B9&amp;Weekly_Pmod!$B$3&amp;$B$2&amp;Weekly_Pmod!$B$1)</f>
        <v>0</v>
      </c>
      <c r="BX9" s="2">
        <f>COUNTIF(defects!$AB:$AB,Weekly_Pmod!BX$3&amp;Weekly_Pmod!$B9&amp;Weekly_Pmod!$B$3&amp;$B$2&amp;Weekly_Pmod!$B$1)</f>
        <v>0</v>
      </c>
      <c r="BY9" s="2">
        <f>COUNTIF(defects!$AB:$AB,Weekly_Pmod!BY$3&amp;Weekly_Pmod!$B9&amp;Weekly_Pmod!$B$3&amp;$B$2&amp;Weekly_Pmod!$B$1)</f>
        <v>0</v>
      </c>
      <c r="BZ9" s="2">
        <f>COUNTIF(defects!$AB:$AB,Weekly_Pmod!BZ$3&amp;Weekly_Pmod!$B9&amp;Weekly_Pmod!$B$3&amp;$B$2&amp;Weekly_Pmod!$B$1)</f>
        <v>0</v>
      </c>
      <c r="CA9" s="2">
        <f>COUNTIF(defects!$AB:$AB,Weekly_Pmod!CA$3&amp;Weekly_Pmod!$B9&amp;Weekly_Pmod!$B$3&amp;$B$2&amp;Weekly_Pmod!$B$1)</f>
        <v>0</v>
      </c>
      <c r="CB9" s="2">
        <f>COUNTIF(defects!$AB:$AB,Weekly_Pmod!CB$3&amp;Weekly_Pmod!$B9&amp;Weekly_Pmod!$B$3&amp;$B$2&amp;Weekly_Pmod!$B$1)</f>
        <v>0</v>
      </c>
      <c r="CC9" s="2">
        <f>COUNTIF(defects!$AB:$AB,Weekly_Pmod!CC$3&amp;Weekly_Pmod!$B9&amp;Weekly_Pmod!$B$3&amp;$B$2&amp;Weekly_Pmod!$B$1)</f>
        <v>0</v>
      </c>
      <c r="CD9" s="2">
        <f>COUNTIF(defects!$AB:$AB,Weekly_Pmod!CD$3&amp;Weekly_Pmod!$B9&amp;Weekly_Pmod!$B$3&amp;$B$2&amp;Weekly_Pmod!$B$1)</f>
        <v>0</v>
      </c>
      <c r="CE9" s="2">
        <f>COUNTIF(defects!$AB:$AB,Weekly_Pmod!CE$3&amp;Weekly_Pmod!$B9&amp;Weekly_Pmod!$B$3&amp;$B$2&amp;Weekly_Pmod!$B$1)</f>
        <v>0</v>
      </c>
      <c r="CF9" s="2">
        <f>COUNTIF(defects!$AB:$AB,Weekly_Pmod!CF$3&amp;Weekly_Pmod!$B9&amp;Weekly_Pmod!$B$3&amp;$B$2&amp;Weekly_Pmod!$B$1)</f>
        <v>0</v>
      </c>
      <c r="CG9" s="2">
        <f>COUNTIF(defects!$AB:$AB,Weekly_Pmod!CG$3&amp;Weekly_Pmod!$B9&amp;Weekly_Pmod!$B$3&amp;$B$2&amp;Weekly_Pmod!$B$1)</f>
        <v>0</v>
      </c>
      <c r="CH9" s="2">
        <f>COUNTIF(defects!$AB:$AB,Weekly_Pmod!CH$3&amp;Weekly_Pmod!$B9&amp;Weekly_Pmod!$B$3&amp;$B$2&amp;Weekly_Pmod!$B$1)</f>
        <v>0</v>
      </c>
      <c r="CI9" s="2">
        <f>COUNTIF(defects!$AB:$AB,Weekly_Pmod!CI$3&amp;Weekly_Pmod!$B9&amp;Weekly_Pmod!$B$3&amp;$B$2&amp;Weekly_Pmod!$B$1)</f>
        <v>0</v>
      </c>
      <c r="CJ9" s="2">
        <f>COUNTIF(defects!$AB:$AB,Weekly_Pmod!CJ$3&amp;Weekly_Pmod!$B9&amp;Weekly_Pmod!$B$3&amp;$B$2&amp;Weekly_Pmod!$B$1)</f>
        <v>0</v>
      </c>
      <c r="CK9" s="2">
        <f>COUNTIF(defects!$AB:$AB,Weekly_Pmod!CK$3&amp;Weekly_Pmod!$B9&amp;Weekly_Pmod!$B$3&amp;$B$2&amp;Weekly_Pmod!$B$1)</f>
        <v>0</v>
      </c>
      <c r="CL9" s="2">
        <f>COUNTIF(defects!$AB:$AB,Weekly_Pmod!CL$3&amp;Weekly_Pmod!$B9&amp;Weekly_Pmod!$B$3&amp;$B$2&amp;Weekly_Pmod!$B$1)</f>
        <v>0</v>
      </c>
      <c r="CM9" s="2">
        <f>COUNTIF(defects!$AB:$AB,Weekly_Pmod!CM$3&amp;Weekly_Pmod!$B9&amp;Weekly_Pmod!$B$3&amp;$B$2&amp;Weekly_Pmod!$B$1)</f>
        <v>0</v>
      </c>
      <c r="CN9" s="2">
        <f>COUNTIF(defects!$AB:$AB,Weekly_Pmod!CN$3&amp;Weekly_Pmod!$B9&amp;Weekly_Pmod!$B$3&amp;$B$2&amp;Weekly_Pmod!$B$1)</f>
        <v>0</v>
      </c>
      <c r="CO9" s="2">
        <f>COUNTIF(defects!$AB:$AB,Weekly_Pmod!CO$3&amp;Weekly_Pmod!$B9&amp;Weekly_Pmod!$B$3&amp;$B$2&amp;Weekly_Pmod!$B$1)</f>
        <v>0</v>
      </c>
      <c r="CP9" s="2">
        <f>COUNTIF(defects!$AB:$AB,Weekly_Pmod!CP$3&amp;Weekly_Pmod!$B9&amp;Weekly_Pmod!$B$3&amp;$B$2&amp;Weekly_Pmod!$B$1)</f>
        <v>0</v>
      </c>
      <c r="CQ9" s="2">
        <f>COUNTIF(defects!$AB:$AB,Weekly_Pmod!CQ$3&amp;Weekly_Pmod!$B9&amp;Weekly_Pmod!$B$3&amp;$B$2&amp;Weekly_Pmod!$B$1)</f>
        <v>0</v>
      </c>
      <c r="CR9" s="2">
        <f>COUNTIF(defects!$AB:$AB,Weekly_Pmod!CR$3&amp;Weekly_Pmod!$B9&amp;Weekly_Pmod!$B$3&amp;$B$2&amp;Weekly_Pmod!$B$1)</f>
        <v>0</v>
      </c>
      <c r="CS9" s="2">
        <f>COUNTIF(defects!$AB:$AB,Weekly_Pmod!CS$3&amp;Weekly_Pmod!$B9&amp;Weekly_Pmod!$B$3&amp;$B$2&amp;Weekly_Pmod!$B$1)</f>
        <v>0</v>
      </c>
      <c r="CT9" s="2">
        <f>COUNTIF(defects!$AB:$AB,Weekly_Pmod!CT$3&amp;Weekly_Pmod!$B9&amp;Weekly_Pmod!$B$3&amp;$B$2&amp;Weekly_Pmod!$B$1)</f>
        <v>0</v>
      </c>
      <c r="CU9" s="2">
        <f>COUNTIF(defects!$AB:$AB,Weekly_Pmod!CU$3&amp;Weekly_Pmod!$B9&amp;Weekly_Pmod!$B$3&amp;$B$2&amp;Weekly_Pmod!$B$1)</f>
        <v>0</v>
      </c>
      <c r="CV9" s="2">
        <f>COUNTIF(defects!$AB:$AB,Weekly_Pmod!CV$3&amp;Weekly_Pmod!$B9&amp;Weekly_Pmod!$B$3&amp;$B$2&amp;Weekly_Pmod!$B$1)</f>
        <v>0</v>
      </c>
      <c r="CW9" s="2">
        <f>COUNTIF(defects!$AB:$AB,Weekly_Pmod!CW$3&amp;Weekly_Pmod!$B9&amp;Weekly_Pmod!$B$3&amp;$B$2&amp;Weekly_Pmod!$B$1)</f>
        <v>0</v>
      </c>
      <c r="CX9" s="2">
        <f>COUNTIF(defects!$AB:$AB,Weekly_Pmod!CX$3&amp;Weekly_Pmod!$B9&amp;Weekly_Pmod!$B$3&amp;$B$2&amp;Weekly_Pmod!$B$1)</f>
        <v>0</v>
      </c>
      <c r="CY9" s="2">
        <f>COUNTIF(defects!$AB:$AB,Weekly_Pmod!CY$3&amp;Weekly_Pmod!$B9&amp;Weekly_Pmod!$B$3&amp;$B$2&amp;Weekly_Pmod!$B$1)</f>
        <v>0</v>
      </c>
      <c r="CZ9" s="2">
        <f>COUNTIF(defects!$AB:$AB,Weekly_Pmod!CZ$3&amp;Weekly_Pmod!$B9&amp;Weekly_Pmod!$B$3&amp;$B$2&amp;Weekly_Pmod!$B$1)</f>
        <v>0</v>
      </c>
      <c r="DA9" s="2">
        <f>COUNTIF(defects!$AB:$AB,Weekly_Pmod!DA$3&amp;Weekly_Pmod!$B9&amp;Weekly_Pmod!$B$3&amp;$B$2&amp;Weekly_Pmod!$B$1)</f>
        <v>0</v>
      </c>
      <c r="DB9" s="2">
        <f>COUNTIF(defects!$AB:$AB,Weekly_Pmod!DB$3&amp;Weekly_Pmod!$B9&amp;Weekly_Pmod!$B$3&amp;$B$2&amp;Weekly_Pmod!$B$1)</f>
        <v>0</v>
      </c>
      <c r="DC9" s="2">
        <f>COUNTIF(defects!$AB:$AB,Weekly_Pmod!DC$3&amp;Weekly_Pmod!$B9&amp;Weekly_Pmod!$B$3&amp;$B$2&amp;Weekly_Pmod!$B$1)</f>
        <v>0</v>
      </c>
      <c r="DD9" s="2">
        <f>COUNTIF(defects!$AB:$AB,Weekly_Pmod!DD$3&amp;Weekly_Pmod!$B9&amp;Weekly_Pmod!$B$3&amp;$B$2&amp;Weekly_Pmod!$B$1)</f>
        <v>0</v>
      </c>
      <c r="DE9" s="2">
        <f>COUNTIF(defects!$AB:$AB,Weekly_Pmod!DE$3&amp;Weekly_Pmod!$B9&amp;Weekly_Pmod!$B$3&amp;$B$2&amp;Weekly_Pmod!$B$1)</f>
        <v>0</v>
      </c>
      <c r="DF9" s="2">
        <f>COUNTIF(defects!$AB:$AB,Weekly_Pmod!DF$3&amp;Weekly_Pmod!$B9&amp;Weekly_Pmod!$B$3&amp;$B$2&amp;Weekly_Pmod!$B$1)</f>
        <v>0</v>
      </c>
      <c r="DG9" s="2">
        <f>COUNTIF(defects!$AB:$AB,Weekly_Pmod!DG$3&amp;Weekly_Pmod!$B9&amp;Weekly_Pmod!$B$3&amp;$B$2&amp;Weekly_Pmod!$B$1)</f>
        <v>0</v>
      </c>
      <c r="DH9" s="2">
        <f>COUNTIF(defects!$AB:$AB,Weekly_Pmod!DH$3&amp;Weekly_Pmod!$B9&amp;Weekly_Pmod!$B$3&amp;$B$2&amp;Weekly_Pmod!$B$1)</f>
        <v>0</v>
      </c>
      <c r="DI9" s="2">
        <f>COUNTIF(defects!$AB:$AB,Weekly_Pmod!DI$3&amp;Weekly_Pmod!$B9&amp;Weekly_Pmod!$B$3&amp;$B$2&amp;Weekly_Pmod!$B$1)</f>
        <v>0</v>
      </c>
      <c r="DJ9" s="2">
        <f>COUNTIF(defects!$AB:$AB,Weekly_Pmod!DJ$3&amp;Weekly_Pmod!$B9&amp;Weekly_Pmod!$B$3&amp;$B$2&amp;Weekly_Pmod!$B$1)</f>
        <v>0</v>
      </c>
      <c r="DK9" s="2">
        <f>COUNTIF(defects!$AB:$AB,Weekly_Pmod!DK$3&amp;Weekly_Pmod!$B9&amp;Weekly_Pmod!$B$3&amp;$B$2&amp;Weekly_Pmod!$B$1)</f>
        <v>0</v>
      </c>
      <c r="DL9" s="2">
        <f>COUNTIF(defects!$AB:$AB,Weekly_Pmod!DL$3&amp;Weekly_Pmod!$B9&amp;Weekly_Pmod!$B$3&amp;$B$2&amp;Weekly_Pmod!$B$1)</f>
        <v>0</v>
      </c>
      <c r="DM9" s="2">
        <f>COUNTIF(defects!$AB:$AB,Weekly_Pmod!DM$3&amp;Weekly_Pmod!$B9&amp;Weekly_Pmod!$B$3&amp;$B$2&amp;Weekly_Pmod!$B$1)</f>
        <v>0</v>
      </c>
      <c r="DN9" s="2">
        <f>COUNTIF(defects!$AB:$AB,Weekly_Pmod!DN$3&amp;Weekly_Pmod!$B9&amp;Weekly_Pmod!$B$3&amp;$B$2&amp;Weekly_Pmod!$B$1)</f>
        <v>0</v>
      </c>
      <c r="DO9" s="2">
        <f>COUNTIF(defects!$AB:$AB,Weekly_Pmod!DO$3&amp;Weekly_Pmod!$B9&amp;Weekly_Pmod!$B$3&amp;$B$2&amp;Weekly_Pmod!$B$1)</f>
        <v>0</v>
      </c>
      <c r="DP9" s="2">
        <f>COUNTIF(defects!$AB:$AB,Weekly_Pmod!DP$3&amp;Weekly_Pmod!$B9&amp;Weekly_Pmod!$B$3&amp;$B$2&amp;Weekly_Pmod!$B$1)</f>
        <v>0</v>
      </c>
      <c r="DQ9" s="2">
        <f>COUNTIF(defects!$AB:$AB,Weekly_Pmod!DQ$3&amp;Weekly_Pmod!$B9&amp;Weekly_Pmod!$B$3&amp;$B$2&amp;Weekly_Pmod!$B$1)</f>
        <v>0</v>
      </c>
      <c r="DR9" s="2">
        <f>COUNTIF(defects!$AB:$AB,Weekly_Pmod!DR$3&amp;Weekly_Pmod!$B9&amp;Weekly_Pmod!$B$3&amp;$B$2&amp;Weekly_Pmod!$B$1)</f>
        <v>0</v>
      </c>
      <c r="DS9" s="2">
        <f>COUNTIF(defects!$AB:$AB,Weekly_Pmod!DS$3&amp;Weekly_Pmod!$B9&amp;Weekly_Pmod!$B$3&amp;$B$2&amp;Weekly_Pmod!$B$1)</f>
        <v>0</v>
      </c>
      <c r="DT9" s="2">
        <f>COUNTIF(defects!$AB:$AB,Weekly_Pmod!DT$3&amp;Weekly_Pmod!$B9&amp;Weekly_Pmod!$B$3&amp;$B$2&amp;Weekly_Pmod!$B$1)</f>
        <v>0</v>
      </c>
      <c r="DU9" s="2">
        <f>COUNTIF(defects!$AB:$AB,Weekly_Pmod!DU$3&amp;Weekly_Pmod!$B9&amp;Weekly_Pmod!$B$3&amp;$B$2&amp;Weekly_Pmod!$B$1)</f>
        <v>0</v>
      </c>
      <c r="DV9" s="2">
        <f>COUNTIF(defects!$AB:$AB,Weekly_Pmod!DV$3&amp;Weekly_Pmod!$B9&amp;Weekly_Pmod!$B$3&amp;$B$2&amp;Weekly_Pmod!$B$1)</f>
        <v>0</v>
      </c>
      <c r="DW9" s="2">
        <f>COUNTIF(defects!$AB:$AB,Weekly_Pmod!DW$3&amp;Weekly_Pmod!$B9&amp;Weekly_Pmod!$B$3&amp;$B$2&amp;Weekly_Pmod!$B$1)</f>
        <v>0</v>
      </c>
      <c r="DX9" s="2">
        <f>COUNTIF(defects!$AB:$AB,Weekly_Pmod!DX$3&amp;Weekly_Pmod!$B9&amp;Weekly_Pmod!$B$3&amp;$B$2&amp;Weekly_Pmod!$B$1)</f>
        <v>0</v>
      </c>
      <c r="DY9" s="2">
        <f>COUNTIF(defects!$AB:$AB,Weekly_Pmod!DY$3&amp;Weekly_Pmod!$B9&amp;Weekly_Pmod!$B$3&amp;$B$2&amp;Weekly_Pmod!$B$1)</f>
        <v>0</v>
      </c>
      <c r="DZ9" s="2">
        <f>COUNTIF(defects!$AB:$AB,Weekly_Pmod!DZ$3&amp;Weekly_Pmod!$B9&amp;Weekly_Pmod!$B$3&amp;$B$2&amp;Weekly_Pmod!$B$1)</f>
        <v>0</v>
      </c>
      <c r="EA9" s="2">
        <f>COUNTIF(defects!$AB:$AB,Weekly_Pmod!EA$3&amp;Weekly_Pmod!$B9&amp;Weekly_Pmod!$B$3&amp;$B$2&amp;Weekly_Pmod!$B$1)</f>
        <v>0</v>
      </c>
      <c r="EB9" s="2">
        <f>COUNTIF(defects!$AB:$AB,Weekly_Pmod!EB$3&amp;Weekly_Pmod!$B9&amp;Weekly_Pmod!$B$3&amp;$B$2&amp;Weekly_Pmod!$B$1)</f>
        <v>0</v>
      </c>
      <c r="EC9" s="2">
        <f>COUNTIF(defects!$AB:$AB,Weekly_Pmod!EC$3&amp;Weekly_Pmod!$B9&amp;Weekly_Pmod!$B$3&amp;$B$2&amp;Weekly_Pmod!$B$1)</f>
        <v>0</v>
      </c>
      <c r="ED9" s="2">
        <f>COUNTIF(defects!$AB:$AB,Weekly_Pmod!ED$3&amp;Weekly_Pmod!$B9&amp;Weekly_Pmod!$B$3&amp;$B$2&amp;Weekly_Pmod!$B$1)</f>
        <v>0</v>
      </c>
      <c r="EE9" s="2">
        <f>COUNTIF(defects!$AB:$AB,Weekly_Pmod!EE$3&amp;Weekly_Pmod!$B9&amp;Weekly_Pmod!$B$3&amp;$B$2&amp;Weekly_Pmod!$B$1)</f>
        <v>0</v>
      </c>
      <c r="EF9" s="2">
        <f>COUNTIF(defects!$AB:$AB,Weekly_Pmod!EF$3&amp;Weekly_Pmod!$B9&amp;Weekly_Pmod!$B$3&amp;$B$2&amp;Weekly_Pmod!$B$1)</f>
        <v>0</v>
      </c>
      <c r="EG9" s="2">
        <f>COUNTIF(defects!$AB:$AB,Weekly_Pmod!EG$3&amp;Weekly_Pmod!$B9&amp;Weekly_Pmod!$B$3&amp;$B$2&amp;Weekly_Pmod!$B$1)</f>
        <v>0</v>
      </c>
      <c r="EH9" s="2">
        <f>COUNTIF(defects!$AB:$AB,Weekly_Pmod!EH$3&amp;Weekly_Pmod!$B9&amp;Weekly_Pmod!$B$3&amp;$B$2&amp;Weekly_Pmod!$B$1)</f>
        <v>0</v>
      </c>
      <c r="EI9" s="2">
        <f>COUNTIF(defects!$AB:$AB,Weekly_Pmod!EI$3&amp;Weekly_Pmod!$B9&amp;Weekly_Pmod!$B$3&amp;$B$2&amp;Weekly_Pmod!$B$1)</f>
        <v>0</v>
      </c>
      <c r="EJ9" s="2">
        <f>COUNTIF(defects!$AB:$AB,Weekly_Pmod!EJ$3&amp;Weekly_Pmod!$B9&amp;Weekly_Pmod!$B$3&amp;$B$2&amp;Weekly_Pmod!$B$1)</f>
        <v>0</v>
      </c>
      <c r="EK9" s="2">
        <f>COUNTIF(defects!$AB:$AB,Weekly_Pmod!EK$3&amp;Weekly_Pmod!$B9&amp;Weekly_Pmod!$B$3&amp;$B$2&amp;Weekly_Pmod!$B$1)</f>
        <v>0</v>
      </c>
      <c r="EL9" s="2">
        <f>COUNTIF(defects!$AB:$AB,Weekly_Pmod!EL$3&amp;Weekly_Pmod!$B9&amp;Weekly_Pmod!$B$3&amp;$B$2&amp;Weekly_Pmod!$B$1)</f>
        <v>0</v>
      </c>
      <c r="EM9" s="2">
        <f>COUNTIF(defects!$AB:$AB,Weekly_Pmod!EM$3&amp;Weekly_Pmod!$B9&amp;Weekly_Pmod!$B$3&amp;$B$2&amp;Weekly_Pmod!$B$1)</f>
        <v>0</v>
      </c>
      <c r="EN9" s="2">
        <f>COUNTIF(defects!$AB:$AB,Weekly_Pmod!EN$3&amp;Weekly_Pmod!$B9&amp;Weekly_Pmod!$B$3&amp;$B$2&amp;Weekly_Pmod!$B$1)</f>
        <v>0</v>
      </c>
      <c r="EO9" s="2">
        <f>COUNTIF(defects!$AB:$AB,Weekly_Pmod!EO$3&amp;Weekly_Pmod!$B9&amp;Weekly_Pmod!$B$3&amp;$B$2&amp;Weekly_Pmod!$B$1)</f>
        <v>0</v>
      </c>
      <c r="EP9" s="2">
        <f>COUNTIF(defects!$AB:$AB,Weekly_Pmod!EP$3&amp;Weekly_Pmod!$B9&amp;Weekly_Pmod!$B$3&amp;$B$2&amp;Weekly_Pmod!$B$1)</f>
        <v>0</v>
      </c>
      <c r="EQ9" s="2">
        <f>COUNTIF(defects!$AB:$AB,Weekly_Pmod!EQ$3&amp;Weekly_Pmod!$B9&amp;Weekly_Pmod!$B$3&amp;$B$2&amp;Weekly_Pmod!$B$1)</f>
        <v>0</v>
      </c>
      <c r="ER9" s="2">
        <f>COUNTIF(defects!$AB:$AB,Weekly_Pmod!ER$3&amp;Weekly_Pmod!$B9&amp;Weekly_Pmod!$B$3&amp;$B$2&amp;Weekly_Pmod!$B$1)</f>
        <v>0</v>
      </c>
      <c r="ES9" s="2">
        <f>COUNTIF(defects!$AB:$AB,Weekly_Pmod!ES$3&amp;Weekly_Pmod!$B9&amp;Weekly_Pmod!$B$3&amp;$B$2&amp;Weekly_Pmod!$B$1)</f>
        <v>0</v>
      </c>
      <c r="ET9" s="2">
        <f>COUNTIF(defects!$AB:$AB,Weekly_Pmod!ET$3&amp;Weekly_Pmod!$B9&amp;Weekly_Pmod!$B$3&amp;$B$2&amp;Weekly_Pmod!$B$1)</f>
        <v>0</v>
      </c>
      <c r="EU9" s="2">
        <f>COUNTIF(defects!$AB:$AB,Weekly_Pmod!EU$3&amp;Weekly_Pmod!$B9&amp;Weekly_Pmod!$B$3&amp;$B$2&amp;Weekly_Pmod!$B$1)</f>
        <v>0</v>
      </c>
      <c r="EV9" s="2">
        <f>COUNTIF(defects!$AB:$AB,Weekly_Pmod!EV$3&amp;Weekly_Pmod!$B9&amp;Weekly_Pmod!$B$3&amp;$B$2&amp;Weekly_Pmod!$B$1)</f>
        <v>0</v>
      </c>
      <c r="EW9" s="2">
        <f>COUNTIF(defects!$AB:$AB,Weekly_Pmod!EW$3&amp;Weekly_Pmod!$B9&amp;Weekly_Pmod!$B$3&amp;$B$2&amp;Weekly_Pmod!$B$1)</f>
        <v>0</v>
      </c>
      <c r="EX9" s="2">
        <f>COUNTIF(defects!$AB:$AB,Weekly_Pmod!EX$3&amp;Weekly_Pmod!$B9&amp;Weekly_Pmod!$B$3&amp;$B$2&amp;Weekly_Pmod!$B$1)</f>
        <v>0</v>
      </c>
      <c r="EY9" s="2">
        <f>COUNTIF(defects!$AB:$AB,Weekly_Pmod!EY$3&amp;Weekly_Pmod!$B9&amp;Weekly_Pmod!$B$3&amp;$B$2&amp;Weekly_Pmod!$B$1)</f>
        <v>0</v>
      </c>
      <c r="EZ9" s="2">
        <f>COUNTIF(defects!$AB:$AB,Weekly_Pmod!EZ$3&amp;Weekly_Pmod!$B9&amp;Weekly_Pmod!$B$3&amp;$B$2&amp;Weekly_Pmod!$B$1)</f>
        <v>0</v>
      </c>
      <c r="FA9" s="2">
        <f>COUNTIF(defects!$AB:$AB,Weekly_Pmod!FA$3&amp;Weekly_Pmod!$B9&amp;Weekly_Pmod!$B$3&amp;$B$2&amp;Weekly_Pmod!$B$1)</f>
        <v>0</v>
      </c>
      <c r="FB9" s="2">
        <f>COUNTIF(defects!$AB:$AB,Weekly_Pmod!FB$3&amp;Weekly_Pmod!$B9&amp;Weekly_Pmod!$B$3&amp;$B$2&amp;Weekly_Pmod!$B$1)</f>
        <v>0</v>
      </c>
      <c r="FC9" s="2">
        <f>COUNTIF(defects!$AB:$AB,Weekly_Pmod!FC$3&amp;Weekly_Pmod!$B9&amp;Weekly_Pmod!$B$3&amp;$B$2&amp;Weekly_Pmod!$B$1)</f>
        <v>0</v>
      </c>
      <c r="FD9" s="2">
        <f>COUNTIF(defects!$AB:$AB,Weekly_Pmod!FD$3&amp;Weekly_Pmod!$B9&amp;Weekly_Pmod!$B$3&amp;$B$2&amp;Weekly_Pmod!$B$1)</f>
        <v>0</v>
      </c>
      <c r="FE9" s="2">
        <f>COUNTIF(defects!$AB:$AB,Weekly_Pmod!FE$3&amp;Weekly_Pmod!$B9&amp;Weekly_Pmod!$B$3&amp;$B$2&amp;Weekly_Pmod!$B$1)</f>
        <v>0</v>
      </c>
    </row>
    <row r="10" spans="2:161">
      <c r="B10" s="2" t="s">
        <v>954</v>
      </c>
      <c r="C10" s="2">
        <f>COUNTIF(defects!$AB:$AB,Weekly_Pmod!C$3&amp;Weekly_Pmod!$B10&amp;Weekly_Pmod!$B$3&amp;$B$2&amp;Weekly_Pmod!$B$1)</f>
        <v>0</v>
      </c>
      <c r="D10" s="2">
        <f>COUNTIF(defects!$AB:$AB,Weekly_Pmod!D$3&amp;Weekly_Pmod!$B10&amp;Weekly_Pmod!$B$3&amp;$B$2&amp;Weekly_Pmod!$B$1)</f>
        <v>0</v>
      </c>
      <c r="E10" s="2">
        <f>COUNTIF(defects!$AB:$AB,Weekly_Pmod!E$3&amp;Weekly_Pmod!$B10&amp;Weekly_Pmod!$B$3&amp;$B$2&amp;Weekly_Pmod!$B$1)</f>
        <v>0</v>
      </c>
      <c r="F10" s="2">
        <f>COUNTIF(defects!$AB:$AB,Weekly_Pmod!F$3&amp;Weekly_Pmod!$B10&amp;Weekly_Pmod!$B$3&amp;$B$2&amp;Weekly_Pmod!$B$1)</f>
        <v>0</v>
      </c>
      <c r="G10" s="2">
        <f>COUNTIF(defects!$AB:$AB,Weekly_Pmod!G$3&amp;Weekly_Pmod!$B10&amp;Weekly_Pmod!$B$3&amp;$B$2&amp;Weekly_Pmod!$B$1)</f>
        <v>0</v>
      </c>
      <c r="H10" s="2">
        <f>COUNTIF(defects!$AB:$AB,Weekly_Pmod!H$3&amp;Weekly_Pmod!$B10&amp;Weekly_Pmod!$B$3&amp;$B$2&amp;Weekly_Pmod!$B$1)</f>
        <v>0</v>
      </c>
      <c r="I10" s="2">
        <f>COUNTIF(defects!$AB:$AB,Weekly_Pmod!I$3&amp;Weekly_Pmod!$B10&amp;Weekly_Pmod!$B$3&amp;$B$2&amp;Weekly_Pmod!$B$1)</f>
        <v>0</v>
      </c>
      <c r="J10" s="2">
        <f>COUNTIF(defects!$AB:$AB,Weekly_Pmod!J$3&amp;Weekly_Pmod!$B10&amp;Weekly_Pmod!$B$3&amp;$B$2&amp;Weekly_Pmod!$B$1)</f>
        <v>0</v>
      </c>
      <c r="K10" s="2">
        <f>COUNTIF(defects!$AB:$AB,Weekly_Pmod!K$3&amp;Weekly_Pmod!$B10&amp;Weekly_Pmod!$B$3&amp;$B$2&amp;Weekly_Pmod!$B$1)</f>
        <v>0</v>
      </c>
      <c r="L10" s="2">
        <f>COUNTIF(defects!$AB:$AB,Weekly_Pmod!L$3&amp;Weekly_Pmod!$B10&amp;Weekly_Pmod!$B$3&amp;$B$2&amp;Weekly_Pmod!$B$1)</f>
        <v>0</v>
      </c>
      <c r="M10" s="2">
        <f>COUNTIF(defects!$AB:$AB,Weekly_Pmod!M$3&amp;Weekly_Pmod!$B10&amp;Weekly_Pmod!$B$3&amp;$B$2&amp;Weekly_Pmod!$B$1)</f>
        <v>0</v>
      </c>
      <c r="N10" s="2">
        <f>COUNTIF(defects!$AB:$AB,Weekly_Pmod!N$3&amp;Weekly_Pmod!$B10&amp;Weekly_Pmod!$B$3&amp;$B$2&amp;Weekly_Pmod!$B$1)</f>
        <v>0</v>
      </c>
      <c r="O10" s="2">
        <f>COUNTIF(defects!$AB:$AB,Weekly_Pmod!O$3&amp;Weekly_Pmod!$B10&amp;Weekly_Pmod!$B$3&amp;$B$2&amp;Weekly_Pmod!$B$1)</f>
        <v>0</v>
      </c>
      <c r="P10" s="2">
        <f>COUNTIF(defects!$AB:$AB,Weekly_Pmod!P$3&amp;Weekly_Pmod!$B10&amp;Weekly_Pmod!$B$3&amp;$B$2&amp;Weekly_Pmod!$B$1)</f>
        <v>0</v>
      </c>
      <c r="Q10" s="2">
        <f>COUNTIF(defects!$AB:$AB,Weekly_Pmod!Q$3&amp;Weekly_Pmod!$B10&amp;Weekly_Pmod!$B$3&amp;$B$2&amp;Weekly_Pmod!$B$1)</f>
        <v>0</v>
      </c>
      <c r="R10" s="2">
        <f>COUNTIF(defects!$AB:$AB,Weekly_Pmod!R$3&amp;Weekly_Pmod!$B10&amp;Weekly_Pmod!$B$3&amp;$B$2&amp;Weekly_Pmod!$B$1)</f>
        <v>0</v>
      </c>
      <c r="S10" s="2">
        <f>COUNTIF(defects!$AB:$AB,Weekly_Pmod!S$3&amp;Weekly_Pmod!$B10&amp;Weekly_Pmod!$B$3&amp;$B$2&amp;Weekly_Pmod!$B$1)</f>
        <v>0</v>
      </c>
      <c r="T10" s="2">
        <f>COUNTIF(defects!$AB:$AB,Weekly_Pmod!T$3&amp;Weekly_Pmod!$B10&amp;Weekly_Pmod!$B$3&amp;$B$2&amp;Weekly_Pmod!$B$1)</f>
        <v>0</v>
      </c>
      <c r="U10" s="2">
        <f>COUNTIF(defects!$AB:$AB,Weekly_Pmod!U$3&amp;Weekly_Pmod!$B10&amp;Weekly_Pmod!$B$3&amp;$B$2&amp;Weekly_Pmod!$B$1)</f>
        <v>0</v>
      </c>
      <c r="V10" s="2">
        <f>COUNTIF(defects!$AB:$AB,Weekly_Pmod!V$3&amp;Weekly_Pmod!$B10&amp;Weekly_Pmod!$B$3&amp;$B$2&amp;Weekly_Pmod!$B$1)</f>
        <v>0</v>
      </c>
      <c r="W10" s="2">
        <f>COUNTIF(defects!$AB:$AB,Weekly_Pmod!W$3&amp;Weekly_Pmod!$B10&amp;Weekly_Pmod!$B$3&amp;$B$2&amp;Weekly_Pmod!$B$1)</f>
        <v>0</v>
      </c>
      <c r="X10" s="2">
        <f>COUNTIF(defects!$AB:$AB,Weekly_Pmod!X$3&amp;Weekly_Pmod!$B10&amp;Weekly_Pmod!$B$3&amp;$B$2&amp;Weekly_Pmod!$B$1)</f>
        <v>0</v>
      </c>
      <c r="Y10" s="2">
        <f>COUNTIF(defects!$AB:$AB,Weekly_Pmod!Y$3&amp;Weekly_Pmod!$B10&amp;Weekly_Pmod!$B$3&amp;$B$2&amp;Weekly_Pmod!$B$1)</f>
        <v>0</v>
      </c>
      <c r="Z10" s="2">
        <f>COUNTIF(defects!$AB:$AB,Weekly_Pmod!Z$3&amp;Weekly_Pmod!$B10&amp;Weekly_Pmod!$B$3&amp;$B$2&amp;Weekly_Pmod!$B$1)</f>
        <v>0</v>
      </c>
      <c r="AA10" s="2">
        <f>COUNTIF(defects!$AB:$AB,Weekly_Pmod!AA$3&amp;Weekly_Pmod!$B10&amp;Weekly_Pmod!$B$3&amp;$B$2&amp;Weekly_Pmod!$B$1)</f>
        <v>0</v>
      </c>
      <c r="AB10" s="2">
        <f>COUNTIF(defects!$AB:$AB,Weekly_Pmod!AB$3&amp;Weekly_Pmod!$B10&amp;Weekly_Pmod!$B$3&amp;$B$2&amp;Weekly_Pmod!$B$1)</f>
        <v>0</v>
      </c>
      <c r="AC10" s="2">
        <f>COUNTIF(defects!$AB:$AB,Weekly_Pmod!AC$3&amp;Weekly_Pmod!$B10&amp;Weekly_Pmod!$B$3&amp;$B$2&amp;Weekly_Pmod!$B$1)</f>
        <v>0</v>
      </c>
      <c r="AD10" s="2">
        <f>COUNTIF(defects!$AB:$AB,Weekly_Pmod!AD$3&amp;Weekly_Pmod!$B10&amp;Weekly_Pmod!$B$3&amp;$B$2&amp;Weekly_Pmod!$B$1)</f>
        <v>0</v>
      </c>
      <c r="AE10" s="2">
        <f>COUNTIF(defects!$AB:$AB,Weekly_Pmod!AE$3&amp;Weekly_Pmod!$B10&amp;Weekly_Pmod!$B$3&amp;$B$2&amp;Weekly_Pmod!$B$1)</f>
        <v>0</v>
      </c>
      <c r="AF10" s="2">
        <f>COUNTIF(defects!$AB:$AB,Weekly_Pmod!AF$3&amp;Weekly_Pmod!$B10&amp;Weekly_Pmod!$B$3&amp;$B$2&amp;Weekly_Pmod!$B$1)</f>
        <v>0</v>
      </c>
      <c r="AG10" s="2">
        <f>COUNTIF(defects!$AB:$AB,Weekly_Pmod!AG$3&amp;Weekly_Pmod!$B10&amp;Weekly_Pmod!$B$3&amp;$B$2&amp;Weekly_Pmod!$B$1)</f>
        <v>0</v>
      </c>
      <c r="AH10" s="2">
        <f>COUNTIF(defects!$AB:$AB,Weekly_Pmod!AH$3&amp;Weekly_Pmod!$B10&amp;Weekly_Pmod!$B$3&amp;$B$2&amp;Weekly_Pmod!$B$1)</f>
        <v>0</v>
      </c>
      <c r="AI10" s="2">
        <f>COUNTIF(defects!$AB:$AB,Weekly_Pmod!AI$3&amp;Weekly_Pmod!$B10&amp;Weekly_Pmod!$B$3&amp;$B$2&amp;Weekly_Pmod!$B$1)</f>
        <v>0</v>
      </c>
      <c r="AJ10" s="2">
        <f>COUNTIF(defects!$AB:$AB,Weekly_Pmod!AJ$3&amp;Weekly_Pmod!$B10&amp;Weekly_Pmod!$B$3&amp;$B$2&amp;Weekly_Pmod!$B$1)</f>
        <v>0</v>
      </c>
      <c r="AK10" s="2">
        <f>COUNTIF(defects!$AB:$AB,Weekly_Pmod!AK$3&amp;Weekly_Pmod!$B10&amp;Weekly_Pmod!$B$3&amp;$B$2&amp;Weekly_Pmod!$B$1)</f>
        <v>0</v>
      </c>
      <c r="AL10" s="2">
        <f>COUNTIF(defects!$AB:$AB,Weekly_Pmod!AL$3&amp;Weekly_Pmod!$B10&amp;Weekly_Pmod!$B$3&amp;$B$2&amp;Weekly_Pmod!$B$1)</f>
        <v>0</v>
      </c>
      <c r="AM10" s="2">
        <f>COUNTIF(defects!$AB:$AB,Weekly_Pmod!AM$3&amp;Weekly_Pmod!$B10&amp;Weekly_Pmod!$B$3&amp;$B$2&amp;Weekly_Pmod!$B$1)</f>
        <v>0</v>
      </c>
      <c r="AN10" s="2">
        <f>COUNTIF(defects!$AB:$AB,Weekly_Pmod!AN$3&amp;Weekly_Pmod!$B10&amp;Weekly_Pmod!$B$3&amp;$B$2&amp;Weekly_Pmod!$B$1)</f>
        <v>0</v>
      </c>
      <c r="AO10" s="2">
        <f>COUNTIF(defects!$AB:$AB,Weekly_Pmod!AO$3&amp;Weekly_Pmod!$B10&amp;Weekly_Pmod!$B$3&amp;$B$2&amp;Weekly_Pmod!$B$1)</f>
        <v>0</v>
      </c>
      <c r="AP10" s="2">
        <f>COUNTIF(defects!$AB:$AB,Weekly_Pmod!AP$3&amp;Weekly_Pmod!$B10&amp;Weekly_Pmod!$B$3&amp;$B$2&amp;Weekly_Pmod!$B$1)</f>
        <v>0</v>
      </c>
      <c r="AQ10" s="2">
        <f>COUNTIF(defects!$AB:$AB,Weekly_Pmod!AQ$3&amp;Weekly_Pmod!$B10&amp;Weekly_Pmod!$B$3&amp;$B$2&amp;Weekly_Pmod!$B$1)</f>
        <v>0</v>
      </c>
      <c r="AR10" s="2">
        <f>COUNTIF(defects!$AB:$AB,Weekly_Pmod!AR$3&amp;Weekly_Pmod!$B10&amp;Weekly_Pmod!$B$3&amp;$B$2&amp;Weekly_Pmod!$B$1)</f>
        <v>0</v>
      </c>
      <c r="AS10" s="2">
        <f>COUNTIF(defects!$AB:$AB,Weekly_Pmod!AS$3&amp;Weekly_Pmod!$B10&amp;Weekly_Pmod!$B$3&amp;$B$2&amp;Weekly_Pmod!$B$1)</f>
        <v>0</v>
      </c>
      <c r="AT10" s="2">
        <f>COUNTIF(defects!$AB:$AB,Weekly_Pmod!AT$3&amp;Weekly_Pmod!$B10&amp;Weekly_Pmod!$B$3&amp;$B$2&amp;Weekly_Pmod!$B$1)</f>
        <v>0</v>
      </c>
      <c r="AU10" s="2">
        <f>COUNTIF(defects!$AB:$AB,Weekly_Pmod!AU$3&amp;Weekly_Pmod!$B10&amp;Weekly_Pmod!$B$3&amp;$B$2&amp;Weekly_Pmod!$B$1)</f>
        <v>0</v>
      </c>
      <c r="AV10" s="2">
        <f>COUNTIF(defects!$AB:$AB,Weekly_Pmod!AV$3&amp;Weekly_Pmod!$B10&amp;Weekly_Pmod!$B$3&amp;$B$2&amp;Weekly_Pmod!$B$1)</f>
        <v>0</v>
      </c>
      <c r="AW10" s="2">
        <f>COUNTIF(defects!$AB:$AB,Weekly_Pmod!AW$3&amp;Weekly_Pmod!$B10&amp;Weekly_Pmod!$B$3&amp;$B$2&amp;Weekly_Pmod!$B$1)</f>
        <v>0</v>
      </c>
      <c r="AX10" s="2">
        <f>COUNTIF(defects!$AB:$AB,Weekly_Pmod!AX$3&amp;Weekly_Pmod!$B10&amp;Weekly_Pmod!$B$3&amp;$B$2&amp;Weekly_Pmod!$B$1)</f>
        <v>0</v>
      </c>
      <c r="AY10" s="2">
        <f>COUNTIF(defects!$AB:$AB,Weekly_Pmod!AY$3&amp;Weekly_Pmod!$B10&amp;Weekly_Pmod!$B$3&amp;$B$2&amp;Weekly_Pmod!$B$1)</f>
        <v>0</v>
      </c>
      <c r="AZ10" s="2">
        <f>COUNTIF(defects!$AB:$AB,Weekly_Pmod!AZ$3&amp;Weekly_Pmod!$B10&amp;Weekly_Pmod!$B$3&amp;$B$2&amp;Weekly_Pmod!$B$1)</f>
        <v>0</v>
      </c>
      <c r="BA10" s="2">
        <f>COUNTIF(defects!$AB:$AB,Weekly_Pmod!BA$3&amp;Weekly_Pmod!$B10&amp;Weekly_Pmod!$B$3&amp;$B$2&amp;Weekly_Pmod!$B$1)</f>
        <v>0</v>
      </c>
      <c r="BB10" s="2">
        <f>COUNTIF(defects!$AB:$AB,Weekly_Pmod!BB$3&amp;Weekly_Pmod!$B10&amp;Weekly_Pmod!$B$3&amp;$B$2&amp;Weekly_Pmod!$B$1)</f>
        <v>0</v>
      </c>
      <c r="BC10" s="2">
        <f>COUNTIF(defects!$AB:$AB,Weekly_Pmod!BC$3&amp;Weekly_Pmod!$B10&amp;Weekly_Pmod!$B$3&amp;$B$2&amp;Weekly_Pmod!$B$1)</f>
        <v>0</v>
      </c>
      <c r="BD10" s="2">
        <f>COUNTIF(defects!$AB:$AB,Weekly_Pmod!BD$3&amp;Weekly_Pmod!$B10&amp;Weekly_Pmod!$B$3&amp;$B$2&amp;Weekly_Pmod!$B$1)</f>
        <v>0</v>
      </c>
      <c r="BE10" s="2">
        <f>COUNTIF(defects!$AB:$AB,Weekly_Pmod!BE$3&amp;Weekly_Pmod!$B10&amp;Weekly_Pmod!$B$3&amp;$B$2&amp;Weekly_Pmod!$B$1)</f>
        <v>0</v>
      </c>
      <c r="BF10" s="2">
        <f>COUNTIF(defects!$AB:$AB,Weekly_Pmod!BF$3&amp;Weekly_Pmod!$B10&amp;Weekly_Pmod!$B$3&amp;$B$2&amp;Weekly_Pmod!$B$1)</f>
        <v>0</v>
      </c>
      <c r="BG10" s="2">
        <f>COUNTIF(defects!$AB:$AB,Weekly_Pmod!BG$3&amp;Weekly_Pmod!$B10&amp;Weekly_Pmod!$B$3&amp;$B$2&amp;Weekly_Pmod!$B$1)</f>
        <v>0</v>
      </c>
      <c r="BH10" s="2">
        <f>COUNTIF(defects!$AB:$AB,Weekly_Pmod!BH$3&amp;Weekly_Pmod!$B10&amp;Weekly_Pmod!$B$3&amp;$B$2&amp;Weekly_Pmod!$B$1)</f>
        <v>0</v>
      </c>
      <c r="BI10" s="2">
        <f>COUNTIF(defects!$AB:$AB,Weekly_Pmod!BI$3&amp;Weekly_Pmod!$B10&amp;Weekly_Pmod!$B$3&amp;$B$2&amp;Weekly_Pmod!$B$1)</f>
        <v>0</v>
      </c>
      <c r="BJ10" s="2">
        <f>COUNTIF(defects!$AB:$AB,Weekly_Pmod!BJ$3&amp;Weekly_Pmod!$B10&amp;Weekly_Pmod!$B$3&amp;$B$2&amp;Weekly_Pmod!$B$1)</f>
        <v>0</v>
      </c>
      <c r="BK10" s="2">
        <f>COUNTIF(defects!$AB:$AB,Weekly_Pmod!BK$3&amp;Weekly_Pmod!$B10&amp;Weekly_Pmod!$B$3&amp;$B$2&amp;Weekly_Pmod!$B$1)</f>
        <v>0</v>
      </c>
      <c r="BL10" s="2">
        <f>COUNTIF(defects!$AB:$AB,Weekly_Pmod!BL$3&amp;Weekly_Pmod!$B10&amp;Weekly_Pmod!$B$3&amp;$B$2&amp;Weekly_Pmod!$B$1)</f>
        <v>0</v>
      </c>
      <c r="BM10" s="2">
        <f>COUNTIF(defects!$AB:$AB,Weekly_Pmod!BM$3&amp;Weekly_Pmod!$B10&amp;Weekly_Pmod!$B$3&amp;$B$2&amp;Weekly_Pmod!$B$1)</f>
        <v>0</v>
      </c>
      <c r="BN10" s="2">
        <f>COUNTIF(defects!$AB:$AB,Weekly_Pmod!BN$3&amp;Weekly_Pmod!$B10&amp;Weekly_Pmod!$B$3&amp;$B$2&amp;Weekly_Pmod!$B$1)</f>
        <v>0</v>
      </c>
      <c r="BO10" s="2">
        <f>COUNTIF(defects!$AB:$AB,Weekly_Pmod!BO$3&amp;Weekly_Pmod!$B10&amp;Weekly_Pmod!$B$3&amp;$B$2&amp;Weekly_Pmod!$B$1)</f>
        <v>0</v>
      </c>
      <c r="BP10" s="2">
        <f>COUNTIF(defects!$AB:$AB,Weekly_Pmod!BP$3&amp;Weekly_Pmod!$B10&amp;Weekly_Pmod!$B$3&amp;$B$2&amp;Weekly_Pmod!$B$1)</f>
        <v>0</v>
      </c>
      <c r="BQ10" s="2">
        <f>COUNTIF(defects!$AB:$AB,Weekly_Pmod!BQ$3&amp;Weekly_Pmod!$B10&amp;Weekly_Pmod!$B$3&amp;$B$2&amp;Weekly_Pmod!$B$1)</f>
        <v>0</v>
      </c>
      <c r="BR10" s="2">
        <f>COUNTIF(defects!$AB:$AB,Weekly_Pmod!BR$3&amp;Weekly_Pmod!$B10&amp;Weekly_Pmod!$B$3&amp;$B$2&amp;Weekly_Pmod!$B$1)</f>
        <v>0</v>
      </c>
      <c r="BS10" s="2">
        <f>COUNTIF(defects!$AB:$AB,Weekly_Pmod!BS$3&amp;Weekly_Pmod!$B10&amp;Weekly_Pmod!$B$3&amp;$B$2&amp;Weekly_Pmod!$B$1)</f>
        <v>0</v>
      </c>
      <c r="BT10" s="2">
        <f>COUNTIF(defects!$AB:$AB,Weekly_Pmod!BT$3&amp;Weekly_Pmod!$B10&amp;Weekly_Pmod!$B$3&amp;$B$2&amp;Weekly_Pmod!$B$1)</f>
        <v>0</v>
      </c>
      <c r="BU10" s="2">
        <f>COUNTIF(defects!$AB:$AB,Weekly_Pmod!BU$3&amp;Weekly_Pmod!$B10&amp;Weekly_Pmod!$B$3&amp;$B$2&amp;Weekly_Pmod!$B$1)</f>
        <v>0</v>
      </c>
      <c r="BV10" s="2">
        <f>COUNTIF(defects!$AB:$AB,Weekly_Pmod!BV$3&amp;Weekly_Pmod!$B10&amp;Weekly_Pmod!$B$3&amp;$B$2&amp;Weekly_Pmod!$B$1)</f>
        <v>0</v>
      </c>
      <c r="BW10" s="2">
        <f>COUNTIF(defects!$AB:$AB,Weekly_Pmod!BW$3&amp;Weekly_Pmod!$B10&amp;Weekly_Pmod!$B$3&amp;$B$2&amp;Weekly_Pmod!$B$1)</f>
        <v>0</v>
      </c>
      <c r="BX10" s="2">
        <f>COUNTIF(defects!$AB:$AB,Weekly_Pmod!BX$3&amp;Weekly_Pmod!$B10&amp;Weekly_Pmod!$B$3&amp;$B$2&amp;Weekly_Pmod!$B$1)</f>
        <v>0</v>
      </c>
      <c r="BY10" s="2">
        <f>COUNTIF(defects!$AB:$AB,Weekly_Pmod!BY$3&amp;Weekly_Pmod!$B10&amp;Weekly_Pmod!$B$3&amp;$B$2&amp;Weekly_Pmod!$B$1)</f>
        <v>0</v>
      </c>
      <c r="BZ10" s="2">
        <f>COUNTIF(defects!$AB:$AB,Weekly_Pmod!BZ$3&amp;Weekly_Pmod!$B10&amp;Weekly_Pmod!$B$3&amp;$B$2&amp;Weekly_Pmod!$B$1)</f>
        <v>0</v>
      </c>
      <c r="CA10" s="2">
        <f>COUNTIF(defects!$AB:$AB,Weekly_Pmod!CA$3&amp;Weekly_Pmod!$B10&amp;Weekly_Pmod!$B$3&amp;$B$2&amp;Weekly_Pmod!$B$1)</f>
        <v>0</v>
      </c>
      <c r="CB10" s="2">
        <f>COUNTIF(defects!$AB:$AB,Weekly_Pmod!CB$3&amp;Weekly_Pmod!$B10&amp;Weekly_Pmod!$B$3&amp;$B$2&amp;Weekly_Pmod!$B$1)</f>
        <v>0</v>
      </c>
      <c r="CC10" s="2">
        <f>COUNTIF(defects!$AB:$AB,Weekly_Pmod!CC$3&amp;Weekly_Pmod!$B10&amp;Weekly_Pmod!$B$3&amp;$B$2&amp;Weekly_Pmod!$B$1)</f>
        <v>0</v>
      </c>
      <c r="CD10" s="2">
        <f>COUNTIF(defects!$AB:$AB,Weekly_Pmod!CD$3&amp;Weekly_Pmod!$B10&amp;Weekly_Pmod!$B$3&amp;$B$2&amp;Weekly_Pmod!$B$1)</f>
        <v>0</v>
      </c>
      <c r="CE10" s="2">
        <f>COUNTIF(defects!$AB:$AB,Weekly_Pmod!CE$3&amp;Weekly_Pmod!$B10&amp;Weekly_Pmod!$B$3&amp;$B$2&amp;Weekly_Pmod!$B$1)</f>
        <v>0</v>
      </c>
      <c r="CF10" s="2">
        <f>COUNTIF(defects!$AB:$AB,Weekly_Pmod!CF$3&amp;Weekly_Pmod!$B10&amp;Weekly_Pmod!$B$3&amp;$B$2&amp;Weekly_Pmod!$B$1)</f>
        <v>0</v>
      </c>
      <c r="CG10" s="2">
        <f>COUNTIF(defects!$AB:$AB,Weekly_Pmod!CG$3&amp;Weekly_Pmod!$B10&amp;Weekly_Pmod!$B$3&amp;$B$2&amp;Weekly_Pmod!$B$1)</f>
        <v>0</v>
      </c>
      <c r="CH10" s="2">
        <f>COUNTIF(defects!$AB:$AB,Weekly_Pmod!CH$3&amp;Weekly_Pmod!$B10&amp;Weekly_Pmod!$B$3&amp;$B$2&amp;Weekly_Pmod!$B$1)</f>
        <v>0</v>
      </c>
      <c r="CI10" s="2">
        <f>COUNTIF(defects!$AB:$AB,Weekly_Pmod!CI$3&amp;Weekly_Pmod!$B10&amp;Weekly_Pmod!$B$3&amp;$B$2&amp;Weekly_Pmod!$B$1)</f>
        <v>0</v>
      </c>
      <c r="CJ10" s="2">
        <f>COUNTIF(defects!$AB:$AB,Weekly_Pmod!CJ$3&amp;Weekly_Pmod!$B10&amp;Weekly_Pmod!$B$3&amp;$B$2&amp;Weekly_Pmod!$B$1)</f>
        <v>0</v>
      </c>
      <c r="CK10" s="2">
        <f>COUNTIF(defects!$AB:$AB,Weekly_Pmod!CK$3&amp;Weekly_Pmod!$B10&amp;Weekly_Pmod!$B$3&amp;$B$2&amp;Weekly_Pmod!$B$1)</f>
        <v>0</v>
      </c>
      <c r="CL10" s="2">
        <f>COUNTIF(defects!$AB:$AB,Weekly_Pmod!CL$3&amp;Weekly_Pmod!$B10&amp;Weekly_Pmod!$B$3&amp;$B$2&amp;Weekly_Pmod!$B$1)</f>
        <v>0</v>
      </c>
      <c r="CM10" s="2">
        <f>COUNTIF(defects!$AB:$AB,Weekly_Pmod!CM$3&amp;Weekly_Pmod!$B10&amp;Weekly_Pmod!$B$3&amp;$B$2&amp;Weekly_Pmod!$B$1)</f>
        <v>0</v>
      </c>
      <c r="CN10" s="2">
        <f>COUNTIF(defects!$AB:$AB,Weekly_Pmod!CN$3&amp;Weekly_Pmod!$B10&amp;Weekly_Pmod!$B$3&amp;$B$2&amp;Weekly_Pmod!$B$1)</f>
        <v>0</v>
      </c>
      <c r="CO10" s="2">
        <f>COUNTIF(defects!$AB:$AB,Weekly_Pmod!CO$3&amp;Weekly_Pmod!$B10&amp;Weekly_Pmod!$B$3&amp;$B$2&amp;Weekly_Pmod!$B$1)</f>
        <v>0</v>
      </c>
      <c r="CP10" s="2">
        <f>COUNTIF(defects!$AB:$AB,Weekly_Pmod!CP$3&amp;Weekly_Pmod!$B10&amp;Weekly_Pmod!$B$3&amp;$B$2&amp;Weekly_Pmod!$B$1)</f>
        <v>0</v>
      </c>
      <c r="CQ10" s="2">
        <f>COUNTIF(defects!$AB:$AB,Weekly_Pmod!CQ$3&amp;Weekly_Pmod!$B10&amp;Weekly_Pmod!$B$3&amp;$B$2&amp;Weekly_Pmod!$B$1)</f>
        <v>0</v>
      </c>
      <c r="CR10" s="2">
        <f>COUNTIF(defects!$AB:$AB,Weekly_Pmod!CR$3&amp;Weekly_Pmod!$B10&amp;Weekly_Pmod!$B$3&amp;$B$2&amp;Weekly_Pmod!$B$1)</f>
        <v>0</v>
      </c>
      <c r="CS10" s="2">
        <f>COUNTIF(defects!$AB:$AB,Weekly_Pmod!CS$3&amp;Weekly_Pmod!$B10&amp;Weekly_Pmod!$B$3&amp;$B$2&amp;Weekly_Pmod!$B$1)</f>
        <v>0</v>
      </c>
      <c r="CT10" s="2">
        <f>COUNTIF(defects!$AB:$AB,Weekly_Pmod!CT$3&amp;Weekly_Pmod!$B10&amp;Weekly_Pmod!$B$3&amp;$B$2&amp;Weekly_Pmod!$B$1)</f>
        <v>0</v>
      </c>
      <c r="CU10" s="2">
        <f>COUNTIF(defects!$AB:$AB,Weekly_Pmod!CU$3&amp;Weekly_Pmod!$B10&amp;Weekly_Pmod!$B$3&amp;$B$2&amp;Weekly_Pmod!$B$1)</f>
        <v>0</v>
      </c>
      <c r="CV10" s="2">
        <f>COUNTIF(defects!$AB:$AB,Weekly_Pmod!CV$3&amp;Weekly_Pmod!$B10&amp;Weekly_Pmod!$B$3&amp;$B$2&amp;Weekly_Pmod!$B$1)</f>
        <v>0</v>
      </c>
      <c r="CW10" s="2">
        <f>COUNTIF(defects!$AB:$AB,Weekly_Pmod!CW$3&amp;Weekly_Pmod!$B10&amp;Weekly_Pmod!$B$3&amp;$B$2&amp;Weekly_Pmod!$B$1)</f>
        <v>0</v>
      </c>
      <c r="CX10" s="2">
        <f>COUNTIF(defects!$AB:$AB,Weekly_Pmod!CX$3&amp;Weekly_Pmod!$B10&amp;Weekly_Pmod!$B$3&amp;$B$2&amp;Weekly_Pmod!$B$1)</f>
        <v>0</v>
      </c>
      <c r="CY10" s="2">
        <f>COUNTIF(defects!$AB:$AB,Weekly_Pmod!CY$3&amp;Weekly_Pmod!$B10&amp;Weekly_Pmod!$B$3&amp;$B$2&amp;Weekly_Pmod!$B$1)</f>
        <v>0</v>
      </c>
      <c r="CZ10" s="2">
        <f>COUNTIF(defects!$AB:$AB,Weekly_Pmod!CZ$3&amp;Weekly_Pmod!$B10&amp;Weekly_Pmod!$B$3&amp;$B$2&amp;Weekly_Pmod!$B$1)</f>
        <v>0</v>
      </c>
      <c r="DA10" s="2">
        <f>COUNTIF(defects!$AB:$AB,Weekly_Pmod!DA$3&amp;Weekly_Pmod!$B10&amp;Weekly_Pmod!$B$3&amp;$B$2&amp;Weekly_Pmod!$B$1)</f>
        <v>0</v>
      </c>
      <c r="DB10" s="2">
        <f>COUNTIF(defects!$AB:$AB,Weekly_Pmod!DB$3&amp;Weekly_Pmod!$B10&amp;Weekly_Pmod!$B$3&amp;$B$2&amp;Weekly_Pmod!$B$1)</f>
        <v>0</v>
      </c>
      <c r="DC10" s="2">
        <f>COUNTIF(defects!$AB:$AB,Weekly_Pmod!DC$3&amp;Weekly_Pmod!$B10&amp;Weekly_Pmod!$B$3&amp;$B$2&amp;Weekly_Pmod!$B$1)</f>
        <v>0</v>
      </c>
      <c r="DD10" s="2">
        <f>COUNTIF(defects!$AB:$AB,Weekly_Pmod!DD$3&amp;Weekly_Pmod!$B10&amp;Weekly_Pmod!$B$3&amp;$B$2&amp;Weekly_Pmod!$B$1)</f>
        <v>0</v>
      </c>
      <c r="DE10" s="2">
        <f>COUNTIF(defects!$AB:$AB,Weekly_Pmod!DE$3&amp;Weekly_Pmod!$B10&amp;Weekly_Pmod!$B$3&amp;$B$2&amp;Weekly_Pmod!$B$1)</f>
        <v>0</v>
      </c>
      <c r="DF10" s="2">
        <f>COUNTIF(defects!$AB:$AB,Weekly_Pmod!DF$3&amp;Weekly_Pmod!$B10&amp;Weekly_Pmod!$B$3&amp;$B$2&amp;Weekly_Pmod!$B$1)</f>
        <v>0</v>
      </c>
      <c r="DG10" s="2">
        <f>COUNTIF(defects!$AB:$AB,Weekly_Pmod!DG$3&amp;Weekly_Pmod!$B10&amp;Weekly_Pmod!$B$3&amp;$B$2&amp;Weekly_Pmod!$B$1)</f>
        <v>0</v>
      </c>
      <c r="DH10" s="2">
        <f>COUNTIF(defects!$AB:$AB,Weekly_Pmod!DH$3&amp;Weekly_Pmod!$B10&amp;Weekly_Pmod!$B$3&amp;$B$2&amp;Weekly_Pmod!$B$1)</f>
        <v>0</v>
      </c>
      <c r="DI10" s="2">
        <f>COUNTIF(defects!$AB:$AB,Weekly_Pmod!DI$3&amp;Weekly_Pmod!$B10&amp;Weekly_Pmod!$B$3&amp;$B$2&amp;Weekly_Pmod!$B$1)</f>
        <v>0</v>
      </c>
      <c r="DJ10" s="2">
        <f>COUNTIF(defects!$AB:$AB,Weekly_Pmod!DJ$3&amp;Weekly_Pmod!$B10&amp;Weekly_Pmod!$B$3&amp;$B$2&amp;Weekly_Pmod!$B$1)</f>
        <v>0</v>
      </c>
      <c r="DK10" s="2">
        <f>COUNTIF(defects!$AB:$AB,Weekly_Pmod!DK$3&amp;Weekly_Pmod!$B10&amp;Weekly_Pmod!$B$3&amp;$B$2&amp;Weekly_Pmod!$B$1)</f>
        <v>0</v>
      </c>
      <c r="DL10" s="2">
        <f>COUNTIF(defects!$AB:$AB,Weekly_Pmod!DL$3&amp;Weekly_Pmod!$B10&amp;Weekly_Pmod!$B$3&amp;$B$2&amp;Weekly_Pmod!$B$1)</f>
        <v>0</v>
      </c>
      <c r="DM10" s="2">
        <f>COUNTIF(defects!$AB:$AB,Weekly_Pmod!DM$3&amp;Weekly_Pmod!$B10&amp;Weekly_Pmod!$B$3&amp;$B$2&amp;Weekly_Pmod!$B$1)</f>
        <v>0</v>
      </c>
      <c r="DN10" s="2">
        <f>COUNTIF(defects!$AB:$AB,Weekly_Pmod!DN$3&amp;Weekly_Pmod!$B10&amp;Weekly_Pmod!$B$3&amp;$B$2&amp;Weekly_Pmod!$B$1)</f>
        <v>0</v>
      </c>
      <c r="DO10" s="2">
        <f>COUNTIF(defects!$AB:$AB,Weekly_Pmod!DO$3&amp;Weekly_Pmod!$B10&amp;Weekly_Pmod!$B$3&amp;$B$2&amp;Weekly_Pmod!$B$1)</f>
        <v>0</v>
      </c>
      <c r="DP10" s="2">
        <f>COUNTIF(defects!$AB:$AB,Weekly_Pmod!DP$3&amp;Weekly_Pmod!$B10&amp;Weekly_Pmod!$B$3&amp;$B$2&amp;Weekly_Pmod!$B$1)</f>
        <v>0</v>
      </c>
      <c r="DQ10" s="2">
        <f>COUNTIF(defects!$AB:$AB,Weekly_Pmod!DQ$3&amp;Weekly_Pmod!$B10&amp;Weekly_Pmod!$B$3&amp;$B$2&amp;Weekly_Pmod!$B$1)</f>
        <v>0</v>
      </c>
      <c r="DR10" s="2">
        <f>COUNTIF(defects!$AB:$AB,Weekly_Pmod!DR$3&amp;Weekly_Pmod!$B10&amp;Weekly_Pmod!$B$3&amp;$B$2&amp;Weekly_Pmod!$B$1)</f>
        <v>0</v>
      </c>
      <c r="DS10" s="2">
        <f>COUNTIF(defects!$AB:$AB,Weekly_Pmod!DS$3&amp;Weekly_Pmod!$B10&amp;Weekly_Pmod!$B$3&amp;$B$2&amp;Weekly_Pmod!$B$1)</f>
        <v>0</v>
      </c>
      <c r="DT10" s="2">
        <f>COUNTIF(defects!$AB:$AB,Weekly_Pmod!DT$3&amp;Weekly_Pmod!$B10&amp;Weekly_Pmod!$B$3&amp;$B$2&amp;Weekly_Pmod!$B$1)</f>
        <v>0</v>
      </c>
      <c r="DU10" s="2">
        <f>COUNTIF(defects!$AB:$AB,Weekly_Pmod!DU$3&amp;Weekly_Pmod!$B10&amp;Weekly_Pmod!$B$3&amp;$B$2&amp;Weekly_Pmod!$B$1)</f>
        <v>0</v>
      </c>
      <c r="DV10" s="2">
        <f>COUNTIF(defects!$AB:$AB,Weekly_Pmod!DV$3&amp;Weekly_Pmod!$B10&amp;Weekly_Pmod!$B$3&amp;$B$2&amp;Weekly_Pmod!$B$1)</f>
        <v>0</v>
      </c>
      <c r="DW10" s="2">
        <f>COUNTIF(defects!$AB:$AB,Weekly_Pmod!DW$3&amp;Weekly_Pmod!$B10&amp;Weekly_Pmod!$B$3&amp;$B$2&amp;Weekly_Pmod!$B$1)</f>
        <v>0</v>
      </c>
      <c r="DX10" s="2">
        <f>COUNTIF(defects!$AB:$AB,Weekly_Pmod!DX$3&amp;Weekly_Pmod!$B10&amp;Weekly_Pmod!$B$3&amp;$B$2&amp;Weekly_Pmod!$B$1)</f>
        <v>0</v>
      </c>
      <c r="DY10" s="2">
        <f>COUNTIF(defects!$AB:$AB,Weekly_Pmod!DY$3&amp;Weekly_Pmod!$B10&amp;Weekly_Pmod!$B$3&amp;$B$2&amp;Weekly_Pmod!$B$1)</f>
        <v>0</v>
      </c>
      <c r="DZ10" s="2">
        <f>COUNTIF(defects!$AB:$AB,Weekly_Pmod!DZ$3&amp;Weekly_Pmod!$B10&amp;Weekly_Pmod!$B$3&amp;$B$2&amp;Weekly_Pmod!$B$1)</f>
        <v>0</v>
      </c>
      <c r="EA10" s="2">
        <f>COUNTIF(defects!$AB:$AB,Weekly_Pmod!EA$3&amp;Weekly_Pmod!$B10&amp;Weekly_Pmod!$B$3&amp;$B$2&amp;Weekly_Pmod!$B$1)</f>
        <v>0</v>
      </c>
      <c r="EB10" s="2">
        <f>COUNTIF(defects!$AB:$AB,Weekly_Pmod!EB$3&amp;Weekly_Pmod!$B10&amp;Weekly_Pmod!$B$3&amp;$B$2&amp;Weekly_Pmod!$B$1)</f>
        <v>0</v>
      </c>
      <c r="EC10" s="2">
        <f>COUNTIF(defects!$AB:$AB,Weekly_Pmod!EC$3&amp;Weekly_Pmod!$B10&amp;Weekly_Pmod!$B$3&amp;$B$2&amp;Weekly_Pmod!$B$1)</f>
        <v>0</v>
      </c>
      <c r="ED10" s="2">
        <f>COUNTIF(defects!$AB:$AB,Weekly_Pmod!ED$3&amp;Weekly_Pmod!$B10&amp;Weekly_Pmod!$B$3&amp;$B$2&amp;Weekly_Pmod!$B$1)</f>
        <v>0</v>
      </c>
      <c r="EE10" s="2">
        <f>COUNTIF(defects!$AB:$AB,Weekly_Pmod!EE$3&amp;Weekly_Pmod!$B10&amp;Weekly_Pmod!$B$3&amp;$B$2&amp;Weekly_Pmod!$B$1)</f>
        <v>0</v>
      </c>
      <c r="EF10" s="2">
        <f>COUNTIF(defects!$AB:$AB,Weekly_Pmod!EF$3&amp;Weekly_Pmod!$B10&amp;Weekly_Pmod!$B$3&amp;$B$2&amp;Weekly_Pmod!$B$1)</f>
        <v>0</v>
      </c>
      <c r="EG10" s="2">
        <f>COUNTIF(defects!$AB:$AB,Weekly_Pmod!EG$3&amp;Weekly_Pmod!$B10&amp;Weekly_Pmod!$B$3&amp;$B$2&amp;Weekly_Pmod!$B$1)</f>
        <v>0</v>
      </c>
      <c r="EH10" s="2">
        <f>COUNTIF(defects!$AB:$AB,Weekly_Pmod!EH$3&amp;Weekly_Pmod!$B10&amp;Weekly_Pmod!$B$3&amp;$B$2&amp;Weekly_Pmod!$B$1)</f>
        <v>0</v>
      </c>
      <c r="EI10" s="2">
        <f>COUNTIF(defects!$AB:$AB,Weekly_Pmod!EI$3&amp;Weekly_Pmod!$B10&amp;Weekly_Pmod!$B$3&amp;$B$2&amp;Weekly_Pmod!$B$1)</f>
        <v>0</v>
      </c>
      <c r="EJ10" s="2">
        <f>COUNTIF(defects!$AB:$AB,Weekly_Pmod!EJ$3&amp;Weekly_Pmod!$B10&amp;Weekly_Pmod!$B$3&amp;$B$2&amp;Weekly_Pmod!$B$1)</f>
        <v>0</v>
      </c>
      <c r="EK10" s="2">
        <f>COUNTIF(defects!$AB:$AB,Weekly_Pmod!EK$3&amp;Weekly_Pmod!$B10&amp;Weekly_Pmod!$B$3&amp;$B$2&amp;Weekly_Pmod!$B$1)</f>
        <v>0</v>
      </c>
      <c r="EL10" s="2">
        <f>COUNTIF(defects!$AB:$AB,Weekly_Pmod!EL$3&amp;Weekly_Pmod!$B10&amp;Weekly_Pmod!$B$3&amp;$B$2&amp;Weekly_Pmod!$B$1)</f>
        <v>0</v>
      </c>
      <c r="EM10" s="2">
        <f>COUNTIF(defects!$AB:$AB,Weekly_Pmod!EM$3&amp;Weekly_Pmod!$B10&amp;Weekly_Pmod!$B$3&amp;$B$2&amp;Weekly_Pmod!$B$1)</f>
        <v>0</v>
      </c>
      <c r="EN10" s="2">
        <f>COUNTIF(defects!$AB:$AB,Weekly_Pmod!EN$3&amp;Weekly_Pmod!$B10&amp;Weekly_Pmod!$B$3&amp;$B$2&amp;Weekly_Pmod!$B$1)</f>
        <v>0</v>
      </c>
      <c r="EO10" s="2">
        <f>COUNTIF(defects!$AB:$AB,Weekly_Pmod!EO$3&amp;Weekly_Pmod!$B10&amp;Weekly_Pmod!$B$3&amp;$B$2&amp;Weekly_Pmod!$B$1)</f>
        <v>0</v>
      </c>
      <c r="EP10" s="2">
        <f>COUNTIF(defects!$AB:$AB,Weekly_Pmod!EP$3&amp;Weekly_Pmod!$B10&amp;Weekly_Pmod!$B$3&amp;$B$2&amp;Weekly_Pmod!$B$1)</f>
        <v>0</v>
      </c>
      <c r="EQ10" s="2">
        <f>COUNTIF(defects!$AB:$AB,Weekly_Pmod!EQ$3&amp;Weekly_Pmod!$B10&amp;Weekly_Pmod!$B$3&amp;$B$2&amp;Weekly_Pmod!$B$1)</f>
        <v>0</v>
      </c>
      <c r="ER10" s="2">
        <f>COUNTIF(defects!$AB:$AB,Weekly_Pmod!ER$3&amp;Weekly_Pmod!$B10&amp;Weekly_Pmod!$B$3&amp;$B$2&amp;Weekly_Pmod!$B$1)</f>
        <v>0</v>
      </c>
      <c r="ES10" s="2">
        <f>COUNTIF(defects!$AB:$AB,Weekly_Pmod!ES$3&amp;Weekly_Pmod!$B10&amp;Weekly_Pmod!$B$3&amp;$B$2&amp;Weekly_Pmod!$B$1)</f>
        <v>0</v>
      </c>
      <c r="ET10" s="2">
        <f>COUNTIF(defects!$AB:$AB,Weekly_Pmod!ET$3&amp;Weekly_Pmod!$B10&amp;Weekly_Pmod!$B$3&amp;$B$2&amp;Weekly_Pmod!$B$1)</f>
        <v>0</v>
      </c>
      <c r="EU10" s="2">
        <f>COUNTIF(defects!$AB:$AB,Weekly_Pmod!EU$3&amp;Weekly_Pmod!$B10&amp;Weekly_Pmod!$B$3&amp;$B$2&amp;Weekly_Pmod!$B$1)</f>
        <v>0</v>
      </c>
      <c r="EV10" s="2">
        <f>COUNTIF(defects!$AB:$AB,Weekly_Pmod!EV$3&amp;Weekly_Pmod!$B10&amp;Weekly_Pmod!$B$3&amp;$B$2&amp;Weekly_Pmod!$B$1)</f>
        <v>0</v>
      </c>
      <c r="EW10" s="2">
        <f>COUNTIF(defects!$AB:$AB,Weekly_Pmod!EW$3&amp;Weekly_Pmod!$B10&amp;Weekly_Pmod!$B$3&amp;$B$2&amp;Weekly_Pmod!$B$1)</f>
        <v>0</v>
      </c>
      <c r="EX10" s="2">
        <f>COUNTIF(defects!$AB:$AB,Weekly_Pmod!EX$3&amp;Weekly_Pmod!$B10&amp;Weekly_Pmod!$B$3&amp;$B$2&amp;Weekly_Pmod!$B$1)</f>
        <v>0</v>
      </c>
      <c r="EY10" s="2">
        <f>COUNTIF(defects!$AB:$AB,Weekly_Pmod!EY$3&amp;Weekly_Pmod!$B10&amp;Weekly_Pmod!$B$3&amp;$B$2&amp;Weekly_Pmod!$B$1)</f>
        <v>0</v>
      </c>
      <c r="EZ10" s="2">
        <f>COUNTIF(defects!$AB:$AB,Weekly_Pmod!EZ$3&amp;Weekly_Pmod!$B10&amp;Weekly_Pmod!$B$3&amp;$B$2&amp;Weekly_Pmod!$B$1)</f>
        <v>0</v>
      </c>
      <c r="FA10" s="2">
        <f>COUNTIF(defects!$AB:$AB,Weekly_Pmod!FA$3&amp;Weekly_Pmod!$B10&amp;Weekly_Pmod!$B$3&amp;$B$2&amp;Weekly_Pmod!$B$1)</f>
        <v>0</v>
      </c>
      <c r="FB10" s="2">
        <f>COUNTIF(defects!$AB:$AB,Weekly_Pmod!FB$3&amp;Weekly_Pmod!$B10&amp;Weekly_Pmod!$B$3&amp;$B$2&amp;Weekly_Pmod!$B$1)</f>
        <v>0</v>
      </c>
      <c r="FC10" s="2">
        <f>COUNTIF(defects!$AB:$AB,Weekly_Pmod!FC$3&amp;Weekly_Pmod!$B10&amp;Weekly_Pmod!$B$3&amp;$B$2&amp;Weekly_Pmod!$B$1)</f>
        <v>0</v>
      </c>
      <c r="FD10" s="2">
        <f>COUNTIF(defects!$AB:$AB,Weekly_Pmod!FD$3&amp;Weekly_Pmod!$B10&amp;Weekly_Pmod!$B$3&amp;$B$2&amp;Weekly_Pmod!$B$1)</f>
        <v>0</v>
      </c>
      <c r="FE10" s="2">
        <f>COUNTIF(defects!$AB:$AB,Weekly_Pmod!FE$3&amp;Weekly_Pmod!$B10&amp;Weekly_Pmod!$B$3&amp;$B$2&amp;Weekly_Pmod!$B$1)</f>
        <v>0</v>
      </c>
    </row>
    <row r="11" spans="2:161">
      <c r="B11" s="2" t="s">
        <v>956</v>
      </c>
      <c r="C11" s="2">
        <f>COUNTIF(defects!$AB:$AB,Weekly_Pmod!C$3&amp;Weekly_Pmod!$B11&amp;Weekly_Pmod!$B$3&amp;$B$2&amp;Weekly_Pmod!$B$1)</f>
        <v>0</v>
      </c>
      <c r="D11" s="2">
        <f>COUNTIF(defects!$AB:$AB,Weekly_Pmod!D$3&amp;Weekly_Pmod!$B11&amp;Weekly_Pmod!$B$3&amp;$B$2&amp;Weekly_Pmod!$B$1)</f>
        <v>0</v>
      </c>
      <c r="E11" s="2">
        <f>COUNTIF(defects!$AB:$AB,Weekly_Pmod!E$3&amp;Weekly_Pmod!$B11&amp;Weekly_Pmod!$B$3&amp;$B$2&amp;Weekly_Pmod!$B$1)</f>
        <v>0</v>
      </c>
      <c r="F11" s="2">
        <f>COUNTIF(defects!$AB:$AB,Weekly_Pmod!F$3&amp;Weekly_Pmod!$B11&amp;Weekly_Pmod!$B$3&amp;$B$2&amp;Weekly_Pmod!$B$1)</f>
        <v>0</v>
      </c>
      <c r="G11" s="2">
        <f>COUNTIF(defects!$AB:$AB,Weekly_Pmod!G$3&amp;Weekly_Pmod!$B11&amp;Weekly_Pmod!$B$3&amp;$B$2&amp;Weekly_Pmod!$B$1)</f>
        <v>0</v>
      </c>
      <c r="H11" s="2">
        <f>COUNTIF(defects!$AB:$AB,Weekly_Pmod!H$3&amp;Weekly_Pmod!$B11&amp;Weekly_Pmod!$B$3&amp;$B$2&amp;Weekly_Pmod!$B$1)</f>
        <v>0</v>
      </c>
      <c r="I11" s="2">
        <f>COUNTIF(defects!$AB:$AB,Weekly_Pmod!I$3&amp;Weekly_Pmod!$B11&amp;Weekly_Pmod!$B$3&amp;$B$2&amp;Weekly_Pmod!$B$1)</f>
        <v>0</v>
      </c>
      <c r="J11" s="2">
        <f>COUNTIF(defects!$AB:$AB,Weekly_Pmod!J$3&amp;Weekly_Pmod!$B11&amp;Weekly_Pmod!$B$3&amp;$B$2&amp;Weekly_Pmod!$B$1)</f>
        <v>0</v>
      </c>
      <c r="K11" s="2">
        <f>COUNTIF(defects!$AB:$AB,Weekly_Pmod!K$3&amp;Weekly_Pmod!$B11&amp;Weekly_Pmod!$B$3&amp;$B$2&amp;Weekly_Pmod!$B$1)</f>
        <v>0</v>
      </c>
      <c r="L11" s="2">
        <f>COUNTIF(defects!$AB:$AB,Weekly_Pmod!L$3&amp;Weekly_Pmod!$B11&amp;Weekly_Pmod!$B$3&amp;$B$2&amp;Weekly_Pmod!$B$1)</f>
        <v>0</v>
      </c>
      <c r="M11" s="2">
        <f>COUNTIF(defects!$AB:$AB,Weekly_Pmod!M$3&amp;Weekly_Pmod!$B11&amp;Weekly_Pmod!$B$3&amp;$B$2&amp;Weekly_Pmod!$B$1)</f>
        <v>0</v>
      </c>
      <c r="N11" s="2">
        <f>COUNTIF(defects!$AB:$AB,Weekly_Pmod!N$3&amp;Weekly_Pmod!$B11&amp;Weekly_Pmod!$B$3&amp;$B$2&amp;Weekly_Pmod!$B$1)</f>
        <v>0</v>
      </c>
      <c r="O11" s="2">
        <f>COUNTIF(defects!$AB:$AB,Weekly_Pmod!O$3&amp;Weekly_Pmod!$B11&amp;Weekly_Pmod!$B$3&amp;$B$2&amp;Weekly_Pmod!$B$1)</f>
        <v>0</v>
      </c>
      <c r="P11" s="2">
        <f>COUNTIF(defects!$AB:$AB,Weekly_Pmod!P$3&amp;Weekly_Pmod!$B11&amp;Weekly_Pmod!$B$3&amp;$B$2&amp;Weekly_Pmod!$B$1)</f>
        <v>0</v>
      </c>
      <c r="Q11" s="2">
        <f>COUNTIF(defects!$AB:$AB,Weekly_Pmod!Q$3&amp;Weekly_Pmod!$B11&amp;Weekly_Pmod!$B$3&amp;$B$2&amp;Weekly_Pmod!$B$1)</f>
        <v>0</v>
      </c>
      <c r="R11" s="2">
        <f>COUNTIF(defects!$AB:$AB,Weekly_Pmod!R$3&amp;Weekly_Pmod!$B11&amp;Weekly_Pmod!$B$3&amp;$B$2&amp;Weekly_Pmod!$B$1)</f>
        <v>0</v>
      </c>
      <c r="S11" s="2">
        <f>COUNTIF(defects!$AB:$AB,Weekly_Pmod!S$3&amp;Weekly_Pmod!$B11&amp;Weekly_Pmod!$B$3&amp;$B$2&amp;Weekly_Pmod!$B$1)</f>
        <v>0</v>
      </c>
      <c r="T11" s="2">
        <f>COUNTIF(defects!$AB:$AB,Weekly_Pmod!T$3&amp;Weekly_Pmod!$B11&amp;Weekly_Pmod!$B$3&amp;$B$2&amp;Weekly_Pmod!$B$1)</f>
        <v>0</v>
      </c>
      <c r="U11" s="2">
        <f>COUNTIF(defects!$AB:$AB,Weekly_Pmod!U$3&amp;Weekly_Pmod!$B11&amp;Weekly_Pmod!$B$3&amp;$B$2&amp;Weekly_Pmod!$B$1)</f>
        <v>0</v>
      </c>
      <c r="V11" s="2">
        <f>COUNTIF(defects!$AB:$AB,Weekly_Pmod!V$3&amp;Weekly_Pmod!$B11&amp;Weekly_Pmod!$B$3&amp;$B$2&amp;Weekly_Pmod!$B$1)</f>
        <v>0</v>
      </c>
      <c r="W11" s="2">
        <f>COUNTIF(defects!$AB:$AB,Weekly_Pmod!W$3&amp;Weekly_Pmod!$B11&amp;Weekly_Pmod!$B$3&amp;$B$2&amp;Weekly_Pmod!$B$1)</f>
        <v>0</v>
      </c>
      <c r="X11" s="2">
        <f>COUNTIF(defects!$AB:$AB,Weekly_Pmod!X$3&amp;Weekly_Pmod!$B11&amp;Weekly_Pmod!$B$3&amp;$B$2&amp;Weekly_Pmod!$B$1)</f>
        <v>0</v>
      </c>
      <c r="Y11" s="2">
        <f>COUNTIF(defects!$AB:$AB,Weekly_Pmod!Y$3&amp;Weekly_Pmod!$B11&amp;Weekly_Pmod!$B$3&amp;$B$2&amp;Weekly_Pmod!$B$1)</f>
        <v>0</v>
      </c>
      <c r="Z11" s="2">
        <f>COUNTIF(defects!$AB:$AB,Weekly_Pmod!Z$3&amp;Weekly_Pmod!$B11&amp;Weekly_Pmod!$B$3&amp;$B$2&amp;Weekly_Pmod!$B$1)</f>
        <v>0</v>
      </c>
      <c r="AA11" s="2">
        <f>COUNTIF(defects!$AB:$AB,Weekly_Pmod!AA$3&amp;Weekly_Pmod!$B11&amp;Weekly_Pmod!$B$3&amp;$B$2&amp;Weekly_Pmod!$B$1)</f>
        <v>0</v>
      </c>
      <c r="AB11" s="2">
        <f>COUNTIF(defects!$AB:$AB,Weekly_Pmod!AB$3&amp;Weekly_Pmod!$B11&amp;Weekly_Pmod!$B$3&amp;$B$2&amp;Weekly_Pmod!$B$1)</f>
        <v>0</v>
      </c>
      <c r="AC11" s="2">
        <f>COUNTIF(defects!$AB:$AB,Weekly_Pmod!AC$3&amp;Weekly_Pmod!$B11&amp;Weekly_Pmod!$B$3&amp;$B$2&amp;Weekly_Pmod!$B$1)</f>
        <v>0</v>
      </c>
      <c r="AD11" s="2">
        <f>COUNTIF(defects!$AB:$AB,Weekly_Pmod!AD$3&amp;Weekly_Pmod!$B11&amp;Weekly_Pmod!$B$3&amp;$B$2&amp;Weekly_Pmod!$B$1)</f>
        <v>0</v>
      </c>
      <c r="AE11" s="2">
        <f>COUNTIF(defects!$AB:$AB,Weekly_Pmod!AE$3&amp;Weekly_Pmod!$B11&amp;Weekly_Pmod!$B$3&amp;$B$2&amp;Weekly_Pmod!$B$1)</f>
        <v>0</v>
      </c>
      <c r="AF11" s="2">
        <f>COUNTIF(defects!$AB:$AB,Weekly_Pmod!AF$3&amp;Weekly_Pmod!$B11&amp;Weekly_Pmod!$B$3&amp;$B$2&amp;Weekly_Pmod!$B$1)</f>
        <v>0</v>
      </c>
      <c r="AG11" s="2">
        <f>COUNTIF(defects!$AB:$AB,Weekly_Pmod!AG$3&amp;Weekly_Pmod!$B11&amp;Weekly_Pmod!$B$3&amp;$B$2&amp;Weekly_Pmod!$B$1)</f>
        <v>0</v>
      </c>
      <c r="AH11" s="2">
        <f>COUNTIF(defects!$AB:$AB,Weekly_Pmod!AH$3&amp;Weekly_Pmod!$B11&amp;Weekly_Pmod!$B$3&amp;$B$2&amp;Weekly_Pmod!$B$1)</f>
        <v>0</v>
      </c>
      <c r="AI11" s="2">
        <f>COUNTIF(defects!$AB:$AB,Weekly_Pmod!AI$3&amp;Weekly_Pmod!$B11&amp;Weekly_Pmod!$B$3&amp;$B$2&amp;Weekly_Pmod!$B$1)</f>
        <v>0</v>
      </c>
      <c r="AJ11" s="2">
        <f>COUNTIF(defects!$AB:$AB,Weekly_Pmod!AJ$3&amp;Weekly_Pmod!$B11&amp;Weekly_Pmod!$B$3&amp;$B$2&amp;Weekly_Pmod!$B$1)</f>
        <v>0</v>
      </c>
      <c r="AK11" s="2">
        <f>COUNTIF(defects!$AB:$AB,Weekly_Pmod!AK$3&amp;Weekly_Pmod!$B11&amp;Weekly_Pmod!$B$3&amp;$B$2&amp;Weekly_Pmod!$B$1)</f>
        <v>0</v>
      </c>
      <c r="AL11" s="2">
        <f>COUNTIF(defects!$AB:$AB,Weekly_Pmod!AL$3&amp;Weekly_Pmod!$B11&amp;Weekly_Pmod!$B$3&amp;$B$2&amp;Weekly_Pmod!$B$1)</f>
        <v>0</v>
      </c>
      <c r="AM11" s="2">
        <f>COUNTIF(defects!$AB:$AB,Weekly_Pmod!AM$3&amp;Weekly_Pmod!$B11&amp;Weekly_Pmod!$B$3&amp;$B$2&amp;Weekly_Pmod!$B$1)</f>
        <v>0</v>
      </c>
      <c r="AN11" s="2">
        <f>COUNTIF(defects!$AB:$AB,Weekly_Pmod!AN$3&amp;Weekly_Pmod!$B11&amp;Weekly_Pmod!$B$3&amp;$B$2&amp;Weekly_Pmod!$B$1)</f>
        <v>0</v>
      </c>
      <c r="AO11" s="2">
        <f>COUNTIF(defects!$AB:$AB,Weekly_Pmod!AO$3&amp;Weekly_Pmod!$B11&amp;Weekly_Pmod!$B$3&amp;$B$2&amp;Weekly_Pmod!$B$1)</f>
        <v>0</v>
      </c>
      <c r="AP11" s="2">
        <f>COUNTIF(defects!$AB:$AB,Weekly_Pmod!AP$3&amp;Weekly_Pmod!$B11&amp;Weekly_Pmod!$B$3&amp;$B$2&amp;Weekly_Pmod!$B$1)</f>
        <v>0</v>
      </c>
      <c r="AQ11" s="2">
        <f>COUNTIF(defects!$AB:$AB,Weekly_Pmod!AQ$3&amp;Weekly_Pmod!$B11&amp;Weekly_Pmod!$B$3&amp;$B$2&amp;Weekly_Pmod!$B$1)</f>
        <v>0</v>
      </c>
      <c r="AR11" s="2">
        <f>COUNTIF(defects!$AB:$AB,Weekly_Pmod!AR$3&amp;Weekly_Pmod!$B11&amp;Weekly_Pmod!$B$3&amp;$B$2&amp;Weekly_Pmod!$B$1)</f>
        <v>0</v>
      </c>
      <c r="AS11" s="2">
        <f>COUNTIF(defects!$AB:$AB,Weekly_Pmod!AS$3&amp;Weekly_Pmod!$B11&amp;Weekly_Pmod!$B$3&amp;$B$2&amp;Weekly_Pmod!$B$1)</f>
        <v>0</v>
      </c>
      <c r="AT11" s="2">
        <f>COUNTIF(defects!$AB:$AB,Weekly_Pmod!AT$3&amp;Weekly_Pmod!$B11&amp;Weekly_Pmod!$B$3&amp;$B$2&amp;Weekly_Pmod!$B$1)</f>
        <v>0</v>
      </c>
      <c r="AU11" s="2">
        <f>COUNTIF(defects!$AB:$AB,Weekly_Pmod!AU$3&amp;Weekly_Pmod!$B11&amp;Weekly_Pmod!$B$3&amp;$B$2&amp;Weekly_Pmod!$B$1)</f>
        <v>0</v>
      </c>
      <c r="AV11" s="2">
        <f>COUNTIF(defects!$AB:$AB,Weekly_Pmod!AV$3&amp;Weekly_Pmod!$B11&amp;Weekly_Pmod!$B$3&amp;$B$2&amp;Weekly_Pmod!$B$1)</f>
        <v>0</v>
      </c>
      <c r="AW11" s="2">
        <f>COUNTIF(defects!$AB:$AB,Weekly_Pmod!AW$3&amp;Weekly_Pmod!$B11&amp;Weekly_Pmod!$B$3&amp;$B$2&amp;Weekly_Pmod!$B$1)</f>
        <v>0</v>
      </c>
      <c r="AX11" s="2">
        <f>COUNTIF(defects!$AB:$AB,Weekly_Pmod!AX$3&amp;Weekly_Pmod!$B11&amp;Weekly_Pmod!$B$3&amp;$B$2&amp;Weekly_Pmod!$B$1)</f>
        <v>0</v>
      </c>
      <c r="AY11" s="2">
        <f>COUNTIF(defects!$AB:$AB,Weekly_Pmod!AY$3&amp;Weekly_Pmod!$B11&amp;Weekly_Pmod!$B$3&amp;$B$2&amp;Weekly_Pmod!$B$1)</f>
        <v>0</v>
      </c>
      <c r="AZ11" s="2">
        <f>COUNTIF(defects!$AB:$AB,Weekly_Pmod!AZ$3&amp;Weekly_Pmod!$B11&amp;Weekly_Pmod!$B$3&amp;$B$2&amp;Weekly_Pmod!$B$1)</f>
        <v>0</v>
      </c>
      <c r="BA11" s="2">
        <f>COUNTIF(defects!$AB:$AB,Weekly_Pmod!BA$3&amp;Weekly_Pmod!$B11&amp;Weekly_Pmod!$B$3&amp;$B$2&amp;Weekly_Pmod!$B$1)</f>
        <v>0</v>
      </c>
      <c r="BB11" s="2">
        <f>COUNTIF(defects!$AB:$AB,Weekly_Pmod!BB$3&amp;Weekly_Pmod!$B11&amp;Weekly_Pmod!$B$3&amp;$B$2&amp;Weekly_Pmod!$B$1)</f>
        <v>0</v>
      </c>
      <c r="BC11" s="2">
        <f>COUNTIF(defects!$AB:$AB,Weekly_Pmod!BC$3&amp;Weekly_Pmod!$B11&amp;Weekly_Pmod!$B$3&amp;$B$2&amp;Weekly_Pmod!$B$1)</f>
        <v>0</v>
      </c>
      <c r="BD11" s="2">
        <f>COUNTIF(defects!$AB:$AB,Weekly_Pmod!BD$3&amp;Weekly_Pmod!$B11&amp;Weekly_Pmod!$B$3&amp;$B$2&amp;Weekly_Pmod!$B$1)</f>
        <v>0</v>
      </c>
      <c r="BE11" s="2">
        <f>COUNTIF(defects!$AB:$AB,Weekly_Pmod!BE$3&amp;Weekly_Pmod!$B11&amp;Weekly_Pmod!$B$3&amp;$B$2&amp;Weekly_Pmod!$B$1)</f>
        <v>0</v>
      </c>
      <c r="BF11" s="2">
        <f>COUNTIF(defects!$AB:$AB,Weekly_Pmod!BF$3&amp;Weekly_Pmod!$B11&amp;Weekly_Pmod!$B$3&amp;$B$2&amp;Weekly_Pmod!$B$1)</f>
        <v>0</v>
      </c>
      <c r="BG11" s="2">
        <f>COUNTIF(defects!$AB:$AB,Weekly_Pmod!BG$3&amp;Weekly_Pmod!$B11&amp;Weekly_Pmod!$B$3&amp;$B$2&amp;Weekly_Pmod!$B$1)</f>
        <v>0</v>
      </c>
      <c r="BH11" s="2">
        <f>COUNTIF(defects!$AB:$AB,Weekly_Pmod!BH$3&amp;Weekly_Pmod!$B11&amp;Weekly_Pmod!$B$3&amp;$B$2&amp;Weekly_Pmod!$B$1)</f>
        <v>0</v>
      </c>
      <c r="BI11" s="2">
        <f>COUNTIF(defects!$AB:$AB,Weekly_Pmod!BI$3&amp;Weekly_Pmod!$B11&amp;Weekly_Pmod!$B$3&amp;$B$2&amp;Weekly_Pmod!$B$1)</f>
        <v>0</v>
      </c>
      <c r="BJ11" s="2">
        <f>COUNTIF(defects!$AB:$AB,Weekly_Pmod!BJ$3&amp;Weekly_Pmod!$B11&amp;Weekly_Pmod!$B$3&amp;$B$2&amp;Weekly_Pmod!$B$1)</f>
        <v>0</v>
      </c>
      <c r="BK11" s="2">
        <f>COUNTIF(defects!$AB:$AB,Weekly_Pmod!BK$3&amp;Weekly_Pmod!$B11&amp;Weekly_Pmod!$B$3&amp;$B$2&amp;Weekly_Pmod!$B$1)</f>
        <v>0</v>
      </c>
      <c r="BL11" s="2">
        <f>COUNTIF(defects!$AB:$AB,Weekly_Pmod!BL$3&amp;Weekly_Pmod!$B11&amp;Weekly_Pmod!$B$3&amp;$B$2&amp;Weekly_Pmod!$B$1)</f>
        <v>0</v>
      </c>
      <c r="BM11" s="2">
        <f>COUNTIF(defects!$AB:$AB,Weekly_Pmod!BM$3&amp;Weekly_Pmod!$B11&amp;Weekly_Pmod!$B$3&amp;$B$2&amp;Weekly_Pmod!$B$1)</f>
        <v>0</v>
      </c>
      <c r="BN11" s="2">
        <f>COUNTIF(defects!$AB:$AB,Weekly_Pmod!BN$3&amp;Weekly_Pmod!$B11&amp;Weekly_Pmod!$B$3&amp;$B$2&amp;Weekly_Pmod!$B$1)</f>
        <v>0</v>
      </c>
      <c r="BO11" s="2">
        <f>COUNTIF(defects!$AB:$AB,Weekly_Pmod!BO$3&amp;Weekly_Pmod!$B11&amp;Weekly_Pmod!$B$3&amp;$B$2&amp;Weekly_Pmod!$B$1)</f>
        <v>0</v>
      </c>
      <c r="BP11" s="2">
        <f>COUNTIF(defects!$AB:$AB,Weekly_Pmod!BP$3&amp;Weekly_Pmod!$B11&amp;Weekly_Pmod!$B$3&amp;$B$2&amp;Weekly_Pmod!$B$1)</f>
        <v>0</v>
      </c>
      <c r="BQ11" s="2">
        <f>COUNTIF(defects!$AB:$AB,Weekly_Pmod!BQ$3&amp;Weekly_Pmod!$B11&amp;Weekly_Pmod!$B$3&amp;$B$2&amp;Weekly_Pmod!$B$1)</f>
        <v>0</v>
      </c>
      <c r="BR11" s="2">
        <f>COUNTIF(defects!$AB:$AB,Weekly_Pmod!BR$3&amp;Weekly_Pmod!$B11&amp;Weekly_Pmod!$B$3&amp;$B$2&amp;Weekly_Pmod!$B$1)</f>
        <v>0</v>
      </c>
      <c r="BS11" s="2">
        <f>COUNTIF(defects!$AB:$AB,Weekly_Pmod!BS$3&amp;Weekly_Pmod!$B11&amp;Weekly_Pmod!$B$3&amp;$B$2&amp;Weekly_Pmod!$B$1)</f>
        <v>0</v>
      </c>
      <c r="BT11" s="2">
        <f>COUNTIF(defects!$AB:$AB,Weekly_Pmod!BT$3&amp;Weekly_Pmod!$B11&amp;Weekly_Pmod!$B$3&amp;$B$2&amp;Weekly_Pmod!$B$1)</f>
        <v>0</v>
      </c>
      <c r="BU11" s="2">
        <f>COUNTIF(defects!$AB:$AB,Weekly_Pmod!BU$3&amp;Weekly_Pmod!$B11&amp;Weekly_Pmod!$B$3&amp;$B$2&amp;Weekly_Pmod!$B$1)</f>
        <v>0</v>
      </c>
      <c r="BV11" s="2">
        <f>COUNTIF(defects!$AB:$AB,Weekly_Pmod!BV$3&amp;Weekly_Pmod!$B11&amp;Weekly_Pmod!$B$3&amp;$B$2&amp;Weekly_Pmod!$B$1)</f>
        <v>0</v>
      </c>
      <c r="BW11" s="2">
        <f>COUNTIF(defects!$AB:$AB,Weekly_Pmod!BW$3&amp;Weekly_Pmod!$B11&amp;Weekly_Pmod!$B$3&amp;$B$2&amp;Weekly_Pmod!$B$1)</f>
        <v>0</v>
      </c>
      <c r="BX11" s="2">
        <f>COUNTIF(defects!$AB:$AB,Weekly_Pmod!BX$3&amp;Weekly_Pmod!$B11&amp;Weekly_Pmod!$B$3&amp;$B$2&amp;Weekly_Pmod!$B$1)</f>
        <v>0</v>
      </c>
      <c r="BY11" s="2">
        <f>COUNTIF(defects!$AB:$AB,Weekly_Pmod!BY$3&amp;Weekly_Pmod!$B11&amp;Weekly_Pmod!$B$3&amp;$B$2&amp;Weekly_Pmod!$B$1)</f>
        <v>0</v>
      </c>
      <c r="BZ11" s="2">
        <f>COUNTIF(defects!$AB:$AB,Weekly_Pmod!BZ$3&amp;Weekly_Pmod!$B11&amp;Weekly_Pmod!$B$3&amp;$B$2&amp;Weekly_Pmod!$B$1)</f>
        <v>0</v>
      </c>
      <c r="CA11" s="2">
        <f>COUNTIF(defects!$AB:$AB,Weekly_Pmod!CA$3&amp;Weekly_Pmod!$B11&amp;Weekly_Pmod!$B$3&amp;$B$2&amp;Weekly_Pmod!$B$1)</f>
        <v>0</v>
      </c>
      <c r="CB11" s="2">
        <f>COUNTIF(defects!$AB:$AB,Weekly_Pmod!CB$3&amp;Weekly_Pmod!$B11&amp;Weekly_Pmod!$B$3&amp;$B$2&amp;Weekly_Pmod!$B$1)</f>
        <v>0</v>
      </c>
      <c r="CC11" s="2">
        <f>COUNTIF(defects!$AB:$AB,Weekly_Pmod!CC$3&amp;Weekly_Pmod!$B11&amp;Weekly_Pmod!$B$3&amp;$B$2&amp;Weekly_Pmod!$B$1)</f>
        <v>0</v>
      </c>
      <c r="CD11" s="2">
        <f>COUNTIF(defects!$AB:$AB,Weekly_Pmod!CD$3&amp;Weekly_Pmod!$B11&amp;Weekly_Pmod!$B$3&amp;$B$2&amp;Weekly_Pmod!$B$1)</f>
        <v>0</v>
      </c>
      <c r="CE11" s="2">
        <f>COUNTIF(defects!$AB:$AB,Weekly_Pmod!CE$3&amp;Weekly_Pmod!$B11&amp;Weekly_Pmod!$B$3&amp;$B$2&amp;Weekly_Pmod!$B$1)</f>
        <v>0</v>
      </c>
      <c r="CF11" s="2">
        <f>COUNTIF(defects!$AB:$AB,Weekly_Pmod!CF$3&amp;Weekly_Pmod!$B11&amp;Weekly_Pmod!$B$3&amp;$B$2&amp;Weekly_Pmod!$B$1)</f>
        <v>0</v>
      </c>
      <c r="CG11" s="2">
        <f>COUNTIF(defects!$AB:$AB,Weekly_Pmod!CG$3&amp;Weekly_Pmod!$B11&amp;Weekly_Pmod!$B$3&amp;$B$2&amp;Weekly_Pmod!$B$1)</f>
        <v>0</v>
      </c>
      <c r="CH11" s="2">
        <f>COUNTIF(defects!$AB:$AB,Weekly_Pmod!CH$3&amp;Weekly_Pmod!$B11&amp;Weekly_Pmod!$B$3&amp;$B$2&amp;Weekly_Pmod!$B$1)</f>
        <v>0</v>
      </c>
      <c r="CI11" s="2">
        <f>COUNTIF(defects!$AB:$AB,Weekly_Pmod!CI$3&amp;Weekly_Pmod!$B11&amp;Weekly_Pmod!$B$3&amp;$B$2&amp;Weekly_Pmod!$B$1)</f>
        <v>0</v>
      </c>
      <c r="CJ11" s="2">
        <f>COUNTIF(defects!$AB:$AB,Weekly_Pmod!CJ$3&amp;Weekly_Pmod!$B11&amp;Weekly_Pmod!$B$3&amp;$B$2&amp;Weekly_Pmod!$B$1)</f>
        <v>0</v>
      </c>
      <c r="CK11" s="2">
        <f>COUNTIF(defects!$AB:$AB,Weekly_Pmod!CK$3&amp;Weekly_Pmod!$B11&amp;Weekly_Pmod!$B$3&amp;$B$2&amp;Weekly_Pmod!$B$1)</f>
        <v>0</v>
      </c>
      <c r="CL11" s="2">
        <f>COUNTIF(defects!$AB:$AB,Weekly_Pmod!CL$3&amp;Weekly_Pmod!$B11&amp;Weekly_Pmod!$B$3&amp;$B$2&amp;Weekly_Pmod!$B$1)</f>
        <v>0</v>
      </c>
      <c r="CM11" s="2">
        <f>COUNTIF(defects!$AB:$AB,Weekly_Pmod!CM$3&amp;Weekly_Pmod!$B11&amp;Weekly_Pmod!$B$3&amp;$B$2&amp;Weekly_Pmod!$B$1)</f>
        <v>0</v>
      </c>
      <c r="CN11" s="2">
        <f>COUNTIF(defects!$AB:$AB,Weekly_Pmod!CN$3&amp;Weekly_Pmod!$B11&amp;Weekly_Pmod!$B$3&amp;$B$2&amp;Weekly_Pmod!$B$1)</f>
        <v>0</v>
      </c>
      <c r="CO11" s="2">
        <f>COUNTIF(defects!$AB:$AB,Weekly_Pmod!CO$3&amp;Weekly_Pmod!$B11&amp;Weekly_Pmod!$B$3&amp;$B$2&amp;Weekly_Pmod!$B$1)</f>
        <v>0</v>
      </c>
      <c r="CP11" s="2">
        <f>COUNTIF(defects!$AB:$AB,Weekly_Pmod!CP$3&amp;Weekly_Pmod!$B11&amp;Weekly_Pmod!$B$3&amp;$B$2&amp;Weekly_Pmod!$B$1)</f>
        <v>0</v>
      </c>
      <c r="CQ11" s="2">
        <f>COUNTIF(defects!$AB:$AB,Weekly_Pmod!CQ$3&amp;Weekly_Pmod!$B11&amp;Weekly_Pmod!$B$3&amp;$B$2&amp;Weekly_Pmod!$B$1)</f>
        <v>0</v>
      </c>
      <c r="CR11" s="2">
        <f>COUNTIF(defects!$AB:$AB,Weekly_Pmod!CR$3&amp;Weekly_Pmod!$B11&amp;Weekly_Pmod!$B$3&amp;$B$2&amp;Weekly_Pmod!$B$1)</f>
        <v>0</v>
      </c>
      <c r="CS11" s="2">
        <f>COUNTIF(defects!$AB:$AB,Weekly_Pmod!CS$3&amp;Weekly_Pmod!$B11&amp;Weekly_Pmod!$B$3&amp;$B$2&amp;Weekly_Pmod!$B$1)</f>
        <v>0</v>
      </c>
      <c r="CT11" s="2">
        <f>COUNTIF(defects!$AB:$AB,Weekly_Pmod!CT$3&amp;Weekly_Pmod!$B11&amp;Weekly_Pmod!$B$3&amp;$B$2&amp;Weekly_Pmod!$B$1)</f>
        <v>0</v>
      </c>
      <c r="CU11" s="2">
        <f>COUNTIF(defects!$AB:$AB,Weekly_Pmod!CU$3&amp;Weekly_Pmod!$B11&amp;Weekly_Pmod!$B$3&amp;$B$2&amp;Weekly_Pmod!$B$1)</f>
        <v>0</v>
      </c>
      <c r="CV11" s="2">
        <f>COUNTIF(defects!$AB:$AB,Weekly_Pmod!CV$3&amp;Weekly_Pmod!$B11&amp;Weekly_Pmod!$B$3&amp;$B$2&amp;Weekly_Pmod!$B$1)</f>
        <v>0</v>
      </c>
      <c r="CW11" s="2">
        <f>COUNTIF(defects!$AB:$AB,Weekly_Pmod!CW$3&amp;Weekly_Pmod!$B11&amp;Weekly_Pmod!$B$3&amp;$B$2&amp;Weekly_Pmod!$B$1)</f>
        <v>0</v>
      </c>
      <c r="CX11" s="2">
        <f>COUNTIF(defects!$AB:$AB,Weekly_Pmod!CX$3&amp;Weekly_Pmod!$B11&amp;Weekly_Pmod!$B$3&amp;$B$2&amp;Weekly_Pmod!$B$1)</f>
        <v>0</v>
      </c>
      <c r="CY11" s="2">
        <f>COUNTIF(defects!$AB:$AB,Weekly_Pmod!CY$3&amp;Weekly_Pmod!$B11&amp;Weekly_Pmod!$B$3&amp;$B$2&amp;Weekly_Pmod!$B$1)</f>
        <v>0</v>
      </c>
      <c r="CZ11" s="2">
        <f>COUNTIF(defects!$AB:$AB,Weekly_Pmod!CZ$3&amp;Weekly_Pmod!$B11&amp;Weekly_Pmod!$B$3&amp;$B$2&amp;Weekly_Pmod!$B$1)</f>
        <v>0</v>
      </c>
      <c r="DA11" s="2">
        <f>COUNTIF(defects!$AB:$AB,Weekly_Pmod!DA$3&amp;Weekly_Pmod!$B11&amp;Weekly_Pmod!$B$3&amp;$B$2&amp;Weekly_Pmod!$B$1)</f>
        <v>0</v>
      </c>
      <c r="DB11" s="2">
        <f>COUNTIF(defects!$AB:$AB,Weekly_Pmod!DB$3&amp;Weekly_Pmod!$B11&amp;Weekly_Pmod!$B$3&amp;$B$2&amp;Weekly_Pmod!$B$1)</f>
        <v>0</v>
      </c>
      <c r="DC11" s="2">
        <f>COUNTIF(defects!$AB:$AB,Weekly_Pmod!DC$3&amp;Weekly_Pmod!$B11&amp;Weekly_Pmod!$B$3&amp;$B$2&amp;Weekly_Pmod!$B$1)</f>
        <v>0</v>
      </c>
      <c r="DD11" s="2">
        <f>COUNTIF(defects!$AB:$AB,Weekly_Pmod!DD$3&amp;Weekly_Pmod!$B11&amp;Weekly_Pmod!$B$3&amp;$B$2&amp;Weekly_Pmod!$B$1)</f>
        <v>0</v>
      </c>
      <c r="DE11" s="2">
        <f>COUNTIF(defects!$AB:$AB,Weekly_Pmod!DE$3&amp;Weekly_Pmod!$B11&amp;Weekly_Pmod!$B$3&amp;$B$2&amp;Weekly_Pmod!$B$1)</f>
        <v>0</v>
      </c>
      <c r="DF11" s="2">
        <f>COUNTIF(defects!$AB:$AB,Weekly_Pmod!DF$3&amp;Weekly_Pmod!$B11&amp;Weekly_Pmod!$B$3&amp;$B$2&amp;Weekly_Pmod!$B$1)</f>
        <v>0</v>
      </c>
      <c r="DG11" s="2">
        <f>COUNTIF(defects!$AB:$AB,Weekly_Pmod!DG$3&amp;Weekly_Pmod!$B11&amp;Weekly_Pmod!$B$3&amp;$B$2&amp;Weekly_Pmod!$B$1)</f>
        <v>0</v>
      </c>
      <c r="DH11" s="2">
        <f>COUNTIF(defects!$AB:$AB,Weekly_Pmod!DH$3&amp;Weekly_Pmod!$B11&amp;Weekly_Pmod!$B$3&amp;$B$2&amp;Weekly_Pmod!$B$1)</f>
        <v>0</v>
      </c>
      <c r="DI11" s="2">
        <f>COUNTIF(defects!$AB:$AB,Weekly_Pmod!DI$3&amp;Weekly_Pmod!$B11&amp;Weekly_Pmod!$B$3&amp;$B$2&amp;Weekly_Pmod!$B$1)</f>
        <v>0</v>
      </c>
      <c r="DJ11" s="2">
        <f>COUNTIF(defects!$AB:$AB,Weekly_Pmod!DJ$3&amp;Weekly_Pmod!$B11&amp;Weekly_Pmod!$B$3&amp;$B$2&amp;Weekly_Pmod!$B$1)</f>
        <v>0</v>
      </c>
      <c r="DK11" s="2">
        <f>COUNTIF(defects!$AB:$AB,Weekly_Pmod!DK$3&amp;Weekly_Pmod!$B11&amp;Weekly_Pmod!$B$3&amp;$B$2&amp;Weekly_Pmod!$B$1)</f>
        <v>0</v>
      </c>
      <c r="DL11" s="2">
        <f>COUNTIF(defects!$AB:$AB,Weekly_Pmod!DL$3&amp;Weekly_Pmod!$B11&amp;Weekly_Pmod!$B$3&amp;$B$2&amp;Weekly_Pmod!$B$1)</f>
        <v>0</v>
      </c>
      <c r="DM11" s="2">
        <f>COUNTIF(defects!$AB:$AB,Weekly_Pmod!DM$3&amp;Weekly_Pmod!$B11&amp;Weekly_Pmod!$B$3&amp;$B$2&amp;Weekly_Pmod!$B$1)</f>
        <v>0</v>
      </c>
      <c r="DN11" s="2">
        <f>COUNTIF(defects!$AB:$AB,Weekly_Pmod!DN$3&amp;Weekly_Pmod!$B11&amp;Weekly_Pmod!$B$3&amp;$B$2&amp;Weekly_Pmod!$B$1)</f>
        <v>0</v>
      </c>
      <c r="DO11" s="2">
        <f>COUNTIF(defects!$AB:$AB,Weekly_Pmod!DO$3&amp;Weekly_Pmod!$B11&amp;Weekly_Pmod!$B$3&amp;$B$2&amp;Weekly_Pmod!$B$1)</f>
        <v>0</v>
      </c>
      <c r="DP11" s="2">
        <f>COUNTIF(defects!$AB:$AB,Weekly_Pmod!DP$3&amp;Weekly_Pmod!$B11&amp;Weekly_Pmod!$B$3&amp;$B$2&amp;Weekly_Pmod!$B$1)</f>
        <v>0</v>
      </c>
      <c r="DQ11" s="2">
        <f>COUNTIF(defects!$AB:$AB,Weekly_Pmod!DQ$3&amp;Weekly_Pmod!$B11&amp;Weekly_Pmod!$B$3&amp;$B$2&amp;Weekly_Pmod!$B$1)</f>
        <v>0</v>
      </c>
      <c r="DR11" s="2">
        <f>COUNTIF(defects!$AB:$AB,Weekly_Pmod!DR$3&amp;Weekly_Pmod!$B11&amp;Weekly_Pmod!$B$3&amp;$B$2&amp;Weekly_Pmod!$B$1)</f>
        <v>0</v>
      </c>
      <c r="DS11" s="2">
        <f>COUNTIF(defects!$AB:$AB,Weekly_Pmod!DS$3&amp;Weekly_Pmod!$B11&amp;Weekly_Pmod!$B$3&amp;$B$2&amp;Weekly_Pmod!$B$1)</f>
        <v>0</v>
      </c>
      <c r="DT11" s="2">
        <f>COUNTIF(defects!$AB:$AB,Weekly_Pmod!DT$3&amp;Weekly_Pmod!$B11&amp;Weekly_Pmod!$B$3&amp;$B$2&amp;Weekly_Pmod!$B$1)</f>
        <v>0</v>
      </c>
      <c r="DU11" s="2">
        <f>COUNTIF(defects!$AB:$AB,Weekly_Pmod!DU$3&amp;Weekly_Pmod!$B11&amp;Weekly_Pmod!$B$3&amp;$B$2&amp;Weekly_Pmod!$B$1)</f>
        <v>0</v>
      </c>
      <c r="DV11" s="2">
        <f>COUNTIF(defects!$AB:$AB,Weekly_Pmod!DV$3&amp;Weekly_Pmod!$B11&amp;Weekly_Pmod!$B$3&amp;$B$2&amp;Weekly_Pmod!$B$1)</f>
        <v>0</v>
      </c>
      <c r="DW11" s="2">
        <f>COUNTIF(defects!$AB:$AB,Weekly_Pmod!DW$3&amp;Weekly_Pmod!$B11&amp;Weekly_Pmod!$B$3&amp;$B$2&amp;Weekly_Pmod!$B$1)</f>
        <v>0</v>
      </c>
      <c r="DX11" s="2">
        <f>COUNTIF(defects!$AB:$AB,Weekly_Pmod!DX$3&amp;Weekly_Pmod!$B11&amp;Weekly_Pmod!$B$3&amp;$B$2&amp;Weekly_Pmod!$B$1)</f>
        <v>0</v>
      </c>
      <c r="DY11" s="2">
        <f>COUNTIF(defects!$AB:$AB,Weekly_Pmod!DY$3&amp;Weekly_Pmod!$B11&amp;Weekly_Pmod!$B$3&amp;$B$2&amp;Weekly_Pmod!$B$1)</f>
        <v>0</v>
      </c>
      <c r="DZ11" s="2">
        <f>COUNTIF(defects!$AB:$AB,Weekly_Pmod!DZ$3&amp;Weekly_Pmod!$B11&amp;Weekly_Pmod!$B$3&amp;$B$2&amp;Weekly_Pmod!$B$1)</f>
        <v>0</v>
      </c>
      <c r="EA11" s="2">
        <f>COUNTIF(defects!$AB:$AB,Weekly_Pmod!EA$3&amp;Weekly_Pmod!$B11&amp;Weekly_Pmod!$B$3&amp;$B$2&amp;Weekly_Pmod!$B$1)</f>
        <v>0</v>
      </c>
      <c r="EB11" s="2">
        <f>COUNTIF(defects!$AB:$AB,Weekly_Pmod!EB$3&amp;Weekly_Pmod!$B11&amp;Weekly_Pmod!$B$3&amp;$B$2&amp;Weekly_Pmod!$B$1)</f>
        <v>0</v>
      </c>
      <c r="EC11" s="2">
        <f>COUNTIF(defects!$AB:$AB,Weekly_Pmod!EC$3&amp;Weekly_Pmod!$B11&amp;Weekly_Pmod!$B$3&amp;$B$2&amp;Weekly_Pmod!$B$1)</f>
        <v>0</v>
      </c>
      <c r="ED11" s="2">
        <f>COUNTIF(defects!$AB:$AB,Weekly_Pmod!ED$3&amp;Weekly_Pmod!$B11&amp;Weekly_Pmod!$B$3&amp;$B$2&amp;Weekly_Pmod!$B$1)</f>
        <v>0</v>
      </c>
      <c r="EE11" s="2">
        <f>COUNTIF(defects!$AB:$AB,Weekly_Pmod!EE$3&amp;Weekly_Pmod!$B11&amp;Weekly_Pmod!$B$3&amp;$B$2&amp;Weekly_Pmod!$B$1)</f>
        <v>0</v>
      </c>
      <c r="EF11" s="2">
        <f>COUNTIF(defects!$AB:$AB,Weekly_Pmod!EF$3&amp;Weekly_Pmod!$B11&amp;Weekly_Pmod!$B$3&amp;$B$2&amp;Weekly_Pmod!$B$1)</f>
        <v>0</v>
      </c>
      <c r="EG11" s="2">
        <f>COUNTIF(defects!$AB:$AB,Weekly_Pmod!EG$3&amp;Weekly_Pmod!$B11&amp;Weekly_Pmod!$B$3&amp;$B$2&amp;Weekly_Pmod!$B$1)</f>
        <v>0</v>
      </c>
      <c r="EH11" s="2">
        <f>COUNTIF(defects!$AB:$AB,Weekly_Pmod!EH$3&amp;Weekly_Pmod!$B11&amp;Weekly_Pmod!$B$3&amp;$B$2&amp;Weekly_Pmod!$B$1)</f>
        <v>0</v>
      </c>
      <c r="EI11" s="2">
        <f>COUNTIF(defects!$AB:$AB,Weekly_Pmod!EI$3&amp;Weekly_Pmod!$B11&amp;Weekly_Pmod!$B$3&amp;$B$2&amp;Weekly_Pmod!$B$1)</f>
        <v>0</v>
      </c>
      <c r="EJ11" s="2">
        <f>COUNTIF(defects!$AB:$AB,Weekly_Pmod!EJ$3&amp;Weekly_Pmod!$B11&amp;Weekly_Pmod!$B$3&amp;$B$2&amp;Weekly_Pmod!$B$1)</f>
        <v>0</v>
      </c>
      <c r="EK11" s="2">
        <f>COUNTIF(defects!$AB:$AB,Weekly_Pmod!EK$3&amp;Weekly_Pmod!$B11&amp;Weekly_Pmod!$B$3&amp;$B$2&amp;Weekly_Pmod!$B$1)</f>
        <v>0</v>
      </c>
      <c r="EL11" s="2">
        <f>COUNTIF(defects!$AB:$AB,Weekly_Pmod!EL$3&amp;Weekly_Pmod!$B11&amp;Weekly_Pmod!$B$3&amp;$B$2&amp;Weekly_Pmod!$B$1)</f>
        <v>0</v>
      </c>
      <c r="EM11" s="2">
        <f>COUNTIF(defects!$AB:$AB,Weekly_Pmod!EM$3&amp;Weekly_Pmod!$B11&amp;Weekly_Pmod!$B$3&amp;$B$2&amp;Weekly_Pmod!$B$1)</f>
        <v>0</v>
      </c>
      <c r="EN11" s="2">
        <f>COUNTIF(defects!$AB:$AB,Weekly_Pmod!EN$3&amp;Weekly_Pmod!$B11&amp;Weekly_Pmod!$B$3&amp;$B$2&amp;Weekly_Pmod!$B$1)</f>
        <v>0</v>
      </c>
      <c r="EO11" s="2">
        <f>COUNTIF(defects!$AB:$AB,Weekly_Pmod!EO$3&amp;Weekly_Pmod!$B11&amp;Weekly_Pmod!$B$3&amp;$B$2&amp;Weekly_Pmod!$B$1)</f>
        <v>0</v>
      </c>
      <c r="EP11" s="2">
        <f>COUNTIF(defects!$AB:$AB,Weekly_Pmod!EP$3&amp;Weekly_Pmod!$B11&amp;Weekly_Pmod!$B$3&amp;$B$2&amp;Weekly_Pmod!$B$1)</f>
        <v>0</v>
      </c>
      <c r="EQ11" s="2">
        <f>COUNTIF(defects!$AB:$AB,Weekly_Pmod!EQ$3&amp;Weekly_Pmod!$B11&amp;Weekly_Pmod!$B$3&amp;$B$2&amp;Weekly_Pmod!$B$1)</f>
        <v>0</v>
      </c>
      <c r="ER11" s="2">
        <f>COUNTIF(defects!$AB:$AB,Weekly_Pmod!ER$3&amp;Weekly_Pmod!$B11&amp;Weekly_Pmod!$B$3&amp;$B$2&amp;Weekly_Pmod!$B$1)</f>
        <v>0</v>
      </c>
      <c r="ES11" s="2">
        <f>COUNTIF(defects!$AB:$AB,Weekly_Pmod!ES$3&amp;Weekly_Pmod!$B11&amp;Weekly_Pmod!$B$3&amp;$B$2&amp;Weekly_Pmod!$B$1)</f>
        <v>0</v>
      </c>
      <c r="ET11" s="2">
        <f>COUNTIF(defects!$AB:$AB,Weekly_Pmod!ET$3&amp;Weekly_Pmod!$B11&amp;Weekly_Pmod!$B$3&amp;$B$2&amp;Weekly_Pmod!$B$1)</f>
        <v>0</v>
      </c>
      <c r="EU11" s="2">
        <f>COUNTIF(defects!$AB:$AB,Weekly_Pmod!EU$3&amp;Weekly_Pmod!$B11&amp;Weekly_Pmod!$B$3&amp;$B$2&amp;Weekly_Pmod!$B$1)</f>
        <v>0</v>
      </c>
      <c r="EV11" s="2">
        <f>COUNTIF(defects!$AB:$AB,Weekly_Pmod!EV$3&amp;Weekly_Pmod!$B11&amp;Weekly_Pmod!$B$3&amp;$B$2&amp;Weekly_Pmod!$B$1)</f>
        <v>0</v>
      </c>
      <c r="EW11" s="2">
        <f>COUNTIF(defects!$AB:$AB,Weekly_Pmod!EW$3&amp;Weekly_Pmod!$B11&amp;Weekly_Pmod!$B$3&amp;$B$2&amp;Weekly_Pmod!$B$1)</f>
        <v>0</v>
      </c>
      <c r="EX11" s="2">
        <f>COUNTIF(defects!$AB:$AB,Weekly_Pmod!EX$3&amp;Weekly_Pmod!$B11&amp;Weekly_Pmod!$B$3&amp;$B$2&amp;Weekly_Pmod!$B$1)</f>
        <v>0</v>
      </c>
      <c r="EY11" s="2">
        <f>COUNTIF(defects!$AB:$AB,Weekly_Pmod!EY$3&amp;Weekly_Pmod!$B11&amp;Weekly_Pmod!$B$3&amp;$B$2&amp;Weekly_Pmod!$B$1)</f>
        <v>0</v>
      </c>
      <c r="EZ11" s="2">
        <f>COUNTIF(defects!$AB:$AB,Weekly_Pmod!EZ$3&amp;Weekly_Pmod!$B11&amp;Weekly_Pmod!$B$3&amp;$B$2&amp;Weekly_Pmod!$B$1)</f>
        <v>0</v>
      </c>
      <c r="FA11" s="2">
        <f>COUNTIF(defects!$AB:$AB,Weekly_Pmod!FA$3&amp;Weekly_Pmod!$B11&amp;Weekly_Pmod!$B$3&amp;$B$2&amp;Weekly_Pmod!$B$1)</f>
        <v>0</v>
      </c>
      <c r="FB11" s="2">
        <f>COUNTIF(defects!$AB:$AB,Weekly_Pmod!FB$3&amp;Weekly_Pmod!$B11&amp;Weekly_Pmod!$B$3&amp;$B$2&amp;Weekly_Pmod!$B$1)</f>
        <v>0</v>
      </c>
      <c r="FC11" s="2">
        <f>COUNTIF(defects!$AB:$AB,Weekly_Pmod!FC$3&amp;Weekly_Pmod!$B11&amp;Weekly_Pmod!$B$3&amp;$B$2&amp;Weekly_Pmod!$B$1)</f>
        <v>0</v>
      </c>
      <c r="FD11" s="2">
        <f>COUNTIF(defects!$AB:$AB,Weekly_Pmod!FD$3&amp;Weekly_Pmod!$B11&amp;Weekly_Pmod!$B$3&amp;$B$2&amp;Weekly_Pmod!$B$1)</f>
        <v>0</v>
      </c>
      <c r="FE11" s="2">
        <f>COUNTIF(defects!$AB:$AB,Weekly_Pmod!FE$3&amp;Weekly_Pmod!$B11&amp;Weekly_Pmod!$B$3&amp;$B$2&amp;Weekly_Pmod!$B$1)</f>
        <v>0</v>
      </c>
    </row>
    <row r="12" spans="2:161">
      <c r="B12" s="2" t="s">
        <v>992</v>
      </c>
      <c r="C12" s="2">
        <f>COUNTIF(defects!$AB:$AB,Weekly_Pmod!C$3&amp;Weekly_Pmod!$B12&amp;Weekly_Pmod!$B$3&amp;$B$2&amp;Weekly_Pmod!$B$1)</f>
        <v>0</v>
      </c>
      <c r="D12" s="2">
        <f>COUNTIF(defects!$AB:$AB,Weekly_Pmod!D$3&amp;Weekly_Pmod!$B12&amp;Weekly_Pmod!$B$3&amp;$B$2&amp;Weekly_Pmod!$B$1)</f>
        <v>0</v>
      </c>
      <c r="E12" s="2">
        <f>COUNTIF(defects!$AB:$AB,Weekly_Pmod!E$3&amp;Weekly_Pmod!$B12&amp;Weekly_Pmod!$B$3&amp;$B$2&amp;Weekly_Pmod!$B$1)</f>
        <v>0</v>
      </c>
      <c r="F12" s="2">
        <f>COUNTIF(defects!$AB:$AB,Weekly_Pmod!F$3&amp;Weekly_Pmod!$B12&amp;Weekly_Pmod!$B$3&amp;$B$2&amp;Weekly_Pmod!$B$1)</f>
        <v>0</v>
      </c>
      <c r="G12" s="2">
        <f>COUNTIF(defects!$AB:$AB,Weekly_Pmod!G$3&amp;Weekly_Pmod!$B12&amp;Weekly_Pmod!$B$3&amp;$B$2&amp;Weekly_Pmod!$B$1)</f>
        <v>0</v>
      </c>
      <c r="H12" s="2">
        <f>COUNTIF(defects!$AB:$AB,Weekly_Pmod!H$3&amp;Weekly_Pmod!$B12&amp;Weekly_Pmod!$B$3&amp;$B$2&amp;Weekly_Pmod!$B$1)</f>
        <v>0</v>
      </c>
      <c r="I12" s="2">
        <f>COUNTIF(defects!$AB:$AB,Weekly_Pmod!I$3&amp;Weekly_Pmod!$B12&amp;Weekly_Pmod!$B$3&amp;$B$2&amp;Weekly_Pmod!$B$1)</f>
        <v>0</v>
      </c>
      <c r="J12" s="2">
        <f>COUNTIF(defects!$AB:$AB,Weekly_Pmod!J$3&amp;Weekly_Pmod!$B12&amp;Weekly_Pmod!$B$3&amp;$B$2&amp;Weekly_Pmod!$B$1)</f>
        <v>0</v>
      </c>
      <c r="K12" s="2">
        <f>COUNTIF(defects!$AB:$AB,Weekly_Pmod!K$3&amp;Weekly_Pmod!$B12&amp;Weekly_Pmod!$B$3&amp;$B$2&amp;Weekly_Pmod!$B$1)</f>
        <v>0</v>
      </c>
      <c r="L12" s="2">
        <f>COUNTIF(defects!$AB:$AB,Weekly_Pmod!L$3&amp;Weekly_Pmod!$B12&amp;Weekly_Pmod!$B$3&amp;$B$2&amp;Weekly_Pmod!$B$1)</f>
        <v>0</v>
      </c>
      <c r="M12" s="2">
        <f>COUNTIF(defects!$AB:$AB,Weekly_Pmod!M$3&amp;Weekly_Pmod!$B12&amp;Weekly_Pmod!$B$3&amp;$B$2&amp;Weekly_Pmod!$B$1)</f>
        <v>0</v>
      </c>
      <c r="N12" s="2">
        <f>COUNTIF(defects!$AB:$AB,Weekly_Pmod!N$3&amp;Weekly_Pmod!$B12&amp;Weekly_Pmod!$B$3&amp;$B$2&amp;Weekly_Pmod!$B$1)</f>
        <v>0</v>
      </c>
      <c r="O12" s="2">
        <f>COUNTIF(defects!$AB:$AB,Weekly_Pmod!O$3&amp;Weekly_Pmod!$B12&amp;Weekly_Pmod!$B$3&amp;$B$2&amp;Weekly_Pmod!$B$1)</f>
        <v>0</v>
      </c>
      <c r="P12" s="2">
        <f>COUNTIF(defects!$AB:$AB,Weekly_Pmod!P$3&amp;Weekly_Pmod!$B12&amp;Weekly_Pmod!$B$3&amp;$B$2&amp;Weekly_Pmod!$B$1)</f>
        <v>0</v>
      </c>
      <c r="Q12" s="2">
        <f>COUNTIF(defects!$AB:$AB,Weekly_Pmod!Q$3&amp;Weekly_Pmod!$B12&amp;Weekly_Pmod!$B$3&amp;$B$2&amp;Weekly_Pmod!$B$1)</f>
        <v>0</v>
      </c>
      <c r="R12" s="2">
        <f>COUNTIF(defects!$AB:$AB,Weekly_Pmod!R$3&amp;Weekly_Pmod!$B12&amp;Weekly_Pmod!$B$3&amp;$B$2&amp;Weekly_Pmod!$B$1)</f>
        <v>0</v>
      </c>
      <c r="S12" s="2">
        <f>COUNTIF(defects!$AB:$AB,Weekly_Pmod!S$3&amp;Weekly_Pmod!$B12&amp;Weekly_Pmod!$B$3&amp;$B$2&amp;Weekly_Pmod!$B$1)</f>
        <v>0</v>
      </c>
      <c r="T12" s="2">
        <f>COUNTIF(defects!$AB:$AB,Weekly_Pmod!T$3&amp;Weekly_Pmod!$B12&amp;Weekly_Pmod!$B$3&amp;$B$2&amp;Weekly_Pmod!$B$1)</f>
        <v>0</v>
      </c>
      <c r="U12" s="2">
        <f>COUNTIF(defects!$AB:$AB,Weekly_Pmod!U$3&amp;Weekly_Pmod!$B12&amp;Weekly_Pmod!$B$3&amp;$B$2&amp;Weekly_Pmod!$B$1)</f>
        <v>0</v>
      </c>
      <c r="V12" s="2">
        <f>COUNTIF(defects!$AB:$AB,Weekly_Pmod!V$3&amp;Weekly_Pmod!$B12&amp;Weekly_Pmod!$B$3&amp;$B$2&amp;Weekly_Pmod!$B$1)</f>
        <v>0</v>
      </c>
      <c r="W12" s="2">
        <f>COUNTIF(defects!$AB:$AB,Weekly_Pmod!W$3&amp;Weekly_Pmod!$B12&amp;Weekly_Pmod!$B$3&amp;$B$2&amp;Weekly_Pmod!$B$1)</f>
        <v>0</v>
      </c>
      <c r="X12" s="2">
        <f>COUNTIF(defects!$AB:$AB,Weekly_Pmod!X$3&amp;Weekly_Pmod!$B12&amp;Weekly_Pmod!$B$3&amp;$B$2&amp;Weekly_Pmod!$B$1)</f>
        <v>0</v>
      </c>
      <c r="Y12" s="2">
        <f>COUNTIF(defects!$AB:$AB,Weekly_Pmod!Y$3&amp;Weekly_Pmod!$B12&amp;Weekly_Pmod!$B$3&amp;$B$2&amp;Weekly_Pmod!$B$1)</f>
        <v>0</v>
      </c>
      <c r="Z12" s="2">
        <f>COUNTIF(defects!$AB:$AB,Weekly_Pmod!Z$3&amp;Weekly_Pmod!$B12&amp;Weekly_Pmod!$B$3&amp;$B$2&amp;Weekly_Pmod!$B$1)</f>
        <v>0</v>
      </c>
      <c r="AA12" s="2">
        <f>COUNTIF(defects!$AB:$AB,Weekly_Pmod!AA$3&amp;Weekly_Pmod!$B12&amp;Weekly_Pmod!$B$3&amp;$B$2&amp;Weekly_Pmod!$B$1)</f>
        <v>0</v>
      </c>
      <c r="AB12" s="2">
        <f>COUNTIF(defects!$AB:$AB,Weekly_Pmod!AB$3&amp;Weekly_Pmod!$B12&amp;Weekly_Pmod!$B$3&amp;$B$2&amp;Weekly_Pmod!$B$1)</f>
        <v>0</v>
      </c>
      <c r="AC12" s="2">
        <f>COUNTIF(defects!$AB:$AB,Weekly_Pmod!AC$3&amp;Weekly_Pmod!$B12&amp;Weekly_Pmod!$B$3&amp;$B$2&amp;Weekly_Pmod!$B$1)</f>
        <v>0</v>
      </c>
      <c r="AD12" s="2">
        <f>COUNTIF(defects!$AB:$AB,Weekly_Pmod!AD$3&amp;Weekly_Pmod!$B12&amp;Weekly_Pmod!$B$3&amp;$B$2&amp;Weekly_Pmod!$B$1)</f>
        <v>0</v>
      </c>
      <c r="AE12" s="2">
        <f>COUNTIF(defects!$AB:$AB,Weekly_Pmod!AE$3&amp;Weekly_Pmod!$B12&amp;Weekly_Pmod!$B$3&amp;$B$2&amp;Weekly_Pmod!$B$1)</f>
        <v>0</v>
      </c>
      <c r="AF12" s="2">
        <f>COUNTIF(defects!$AB:$AB,Weekly_Pmod!AF$3&amp;Weekly_Pmod!$B12&amp;Weekly_Pmod!$B$3&amp;$B$2&amp;Weekly_Pmod!$B$1)</f>
        <v>0</v>
      </c>
      <c r="AG12" s="2">
        <f>COUNTIF(defects!$AB:$AB,Weekly_Pmod!AG$3&amp;Weekly_Pmod!$B12&amp;Weekly_Pmod!$B$3&amp;$B$2&amp;Weekly_Pmod!$B$1)</f>
        <v>0</v>
      </c>
      <c r="AH12" s="2">
        <f>COUNTIF(defects!$AB:$AB,Weekly_Pmod!AH$3&amp;Weekly_Pmod!$B12&amp;Weekly_Pmod!$B$3&amp;$B$2&amp;Weekly_Pmod!$B$1)</f>
        <v>0</v>
      </c>
      <c r="AI12" s="2">
        <f>COUNTIF(defects!$AB:$AB,Weekly_Pmod!AI$3&amp;Weekly_Pmod!$B12&amp;Weekly_Pmod!$B$3&amp;$B$2&amp;Weekly_Pmod!$B$1)</f>
        <v>0</v>
      </c>
      <c r="AJ12" s="2">
        <f>COUNTIF(defects!$AB:$AB,Weekly_Pmod!AJ$3&amp;Weekly_Pmod!$B12&amp;Weekly_Pmod!$B$3&amp;$B$2&amp;Weekly_Pmod!$B$1)</f>
        <v>0</v>
      </c>
      <c r="AK12" s="2">
        <f>COUNTIF(defects!$AB:$AB,Weekly_Pmod!AK$3&amp;Weekly_Pmod!$B12&amp;Weekly_Pmod!$B$3&amp;$B$2&amp;Weekly_Pmod!$B$1)</f>
        <v>0</v>
      </c>
      <c r="AL12" s="2">
        <f>COUNTIF(defects!$AB:$AB,Weekly_Pmod!AL$3&amp;Weekly_Pmod!$B12&amp;Weekly_Pmod!$B$3&amp;$B$2&amp;Weekly_Pmod!$B$1)</f>
        <v>0</v>
      </c>
      <c r="AM12" s="2">
        <f>COUNTIF(defects!$AB:$AB,Weekly_Pmod!AM$3&amp;Weekly_Pmod!$B12&amp;Weekly_Pmod!$B$3&amp;$B$2&amp;Weekly_Pmod!$B$1)</f>
        <v>0</v>
      </c>
      <c r="AN12" s="2">
        <f>COUNTIF(defects!$AB:$AB,Weekly_Pmod!AN$3&amp;Weekly_Pmod!$B12&amp;Weekly_Pmod!$B$3&amp;$B$2&amp;Weekly_Pmod!$B$1)</f>
        <v>0</v>
      </c>
      <c r="AO12" s="2">
        <f>COUNTIF(defects!$AB:$AB,Weekly_Pmod!AO$3&amp;Weekly_Pmod!$B12&amp;Weekly_Pmod!$B$3&amp;$B$2&amp;Weekly_Pmod!$B$1)</f>
        <v>0</v>
      </c>
      <c r="AP12" s="2">
        <f>COUNTIF(defects!$AB:$AB,Weekly_Pmod!AP$3&amp;Weekly_Pmod!$B12&amp;Weekly_Pmod!$B$3&amp;$B$2&amp;Weekly_Pmod!$B$1)</f>
        <v>0</v>
      </c>
      <c r="AQ12" s="2">
        <f>COUNTIF(defects!$AB:$AB,Weekly_Pmod!AQ$3&amp;Weekly_Pmod!$B12&amp;Weekly_Pmod!$B$3&amp;$B$2&amp;Weekly_Pmod!$B$1)</f>
        <v>0</v>
      </c>
      <c r="AR12" s="2">
        <f>COUNTIF(defects!$AB:$AB,Weekly_Pmod!AR$3&amp;Weekly_Pmod!$B12&amp;Weekly_Pmod!$B$3&amp;$B$2&amp;Weekly_Pmod!$B$1)</f>
        <v>0</v>
      </c>
      <c r="AS12" s="2">
        <f>COUNTIF(defects!$AB:$AB,Weekly_Pmod!AS$3&amp;Weekly_Pmod!$B12&amp;Weekly_Pmod!$B$3&amp;$B$2&amp;Weekly_Pmod!$B$1)</f>
        <v>0</v>
      </c>
      <c r="AT12" s="2">
        <f>COUNTIF(defects!$AB:$AB,Weekly_Pmod!AT$3&amp;Weekly_Pmod!$B12&amp;Weekly_Pmod!$B$3&amp;$B$2&amp;Weekly_Pmod!$B$1)</f>
        <v>0</v>
      </c>
      <c r="AU12" s="2">
        <f>COUNTIF(defects!$AB:$AB,Weekly_Pmod!AU$3&amp;Weekly_Pmod!$B12&amp;Weekly_Pmod!$B$3&amp;$B$2&amp;Weekly_Pmod!$B$1)</f>
        <v>0</v>
      </c>
      <c r="AV12" s="2">
        <f>COUNTIF(defects!$AB:$AB,Weekly_Pmod!AV$3&amp;Weekly_Pmod!$B12&amp;Weekly_Pmod!$B$3&amp;$B$2&amp;Weekly_Pmod!$B$1)</f>
        <v>0</v>
      </c>
      <c r="AW12" s="2">
        <f>COUNTIF(defects!$AB:$AB,Weekly_Pmod!AW$3&amp;Weekly_Pmod!$B12&amp;Weekly_Pmod!$B$3&amp;$B$2&amp;Weekly_Pmod!$B$1)</f>
        <v>0</v>
      </c>
      <c r="AX12" s="2">
        <f>COUNTIF(defects!$AB:$AB,Weekly_Pmod!AX$3&amp;Weekly_Pmod!$B12&amp;Weekly_Pmod!$B$3&amp;$B$2&amp;Weekly_Pmod!$B$1)</f>
        <v>0</v>
      </c>
      <c r="AY12" s="2">
        <f>COUNTIF(defects!$AB:$AB,Weekly_Pmod!AY$3&amp;Weekly_Pmod!$B12&amp;Weekly_Pmod!$B$3&amp;$B$2&amp;Weekly_Pmod!$B$1)</f>
        <v>0</v>
      </c>
      <c r="AZ12" s="2">
        <f>COUNTIF(defects!$AB:$AB,Weekly_Pmod!AZ$3&amp;Weekly_Pmod!$B12&amp;Weekly_Pmod!$B$3&amp;$B$2&amp;Weekly_Pmod!$B$1)</f>
        <v>0</v>
      </c>
      <c r="BA12" s="2">
        <f>COUNTIF(defects!$AB:$AB,Weekly_Pmod!BA$3&amp;Weekly_Pmod!$B12&amp;Weekly_Pmod!$B$3&amp;$B$2&amp;Weekly_Pmod!$B$1)</f>
        <v>0</v>
      </c>
      <c r="BB12" s="2">
        <f>COUNTIF(defects!$AB:$AB,Weekly_Pmod!BB$3&amp;Weekly_Pmod!$B12&amp;Weekly_Pmod!$B$3&amp;$B$2&amp;Weekly_Pmod!$B$1)</f>
        <v>0</v>
      </c>
      <c r="BC12" s="2">
        <f>COUNTIF(defects!$AB:$AB,Weekly_Pmod!BC$3&amp;Weekly_Pmod!$B12&amp;Weekly_Pmod!$B$3&amp;$B$2&amp;Weekly_Pmod!$B$1)</f>
        <v>0</v>
      </c>
      <c r="BD12" s="2">
        <f>COUNTIF(defects!$AB:$AB,Weekly_Pmod!BD$3&amp;Weekly_Pmod!$B12&amp;Weekly_Pmod!$B$3&amp;$B$2&amp;Weekly_Pmod!$B$1)</f>
        <v>0</v>
      </c>
      <c r="BE12" s="2">
        <f>COUNTIF(defects!$AB:$AB,Weekly_Pmod!BE$3&amp;Weekly_Pmod!$B12&amp;Weekly_Pmod!$B$3&amp;$B$2&amp;Weekly_Pmod!$B$1)</f>
        <v>0</v>
      </c>
      <c r="BF12" s="2">
        <f>COUNTIF(defects!$AB:$AB,Weekly_Pmod!BF$3&amp;Weekly_Pmod!$B12&amp;Weekly_Pmod!$B$3&amp;$B$2&amp;Weekly_Pmod!$B$1)</f>
        <v>0</v>
      </c>
      <c r="BG12" s="2">
        <f>COUNTIF(defects!$AB:$AB,Weekly_Pmod!BG$3&amp;Weekly_Pmod!$B12&amp;Weekly_Pmod!$B$3&amp;$B$2&amp;Weekly_Pmod!$B$1)</f>
        <v>0</v>
      </c>
      <c r="BH12" s="2">
        <f>COUNTIF(defects!$AB:$AB,Weekly_Pmod!BH$3&amp;Weekly_Pmod!$B12&amp;Weekly_Pmod!$B$3&amp;$B$2&amp;Weekly_Pmod!$B$1)</f>
        <v>0</v>
      </c>
      <c r="BI12" s="2">
        <f>COUNTIF(defects!$AB:$AB,Weekly_Pmod!BI$3&amp;Weekly_Pmod!$B12&amp;Weekly_Pmod!$B$3&amp;$B$2&amp;Weekly_Pmod!$B$1)</f>
        <v>0</v>
      </c>
      <c r="BJ12" s="2">
        <f>COUNTIF(defects!$AB:$AB,Weekly_Pmod!BJ$3&amp;Weekly_Pmod!$B12&amp;Weekly_Pmod!$B$3&amp;$B$2&amp;Weekly_Pmod!$B$1)</f>
        <v>0</v>
      </c>
      <c r="BK12" s="2">
        <f>COUNTIF(defects!$AB:$AB,Weekly_Pmod!BK$3&amp;Weekly_Pmod!$B12&amp;Weekly_Pmod!$B$3&amp;$B$2&amp;Weekly_Pmod!$B$1)</f>
        <v>0</v>
      </c>
      <c r="BL12" s="2">
        <f>COUNTIF(defects!$AB:$AB,Weekly_Pmod!BL$3&amp;Weekly_Pmod!$B12&amp;Weekly_Pmod!$B$3&amp;$B$2&amp;Weekly_Pmod!$B$1)</f>
        <v>0</v>
      </c>
      <c r="BM12" s="2">
        <f>COUNTIF(defects!$AB:$AB,Weekly_Pmod!BM$3&amp;Weekly_Pmod!$B12&amp;Weekly_Pmod!$B$3&amp;$B$2&amp;Weekly_Pmod!$B$1)</f>
        <v>0</v>
      </c>
      <c r="BN12" s="2">
        <f>COUNTIF(defects!$AB:$AB,Weekly_Pmod!BN$3&amp;Weekly_Pmod!$B12&amp;Weekly_Pmod!$B$3&amp;$B$2&amp;Weekly_Pmod!$B$1)</f>
        <v>0</v>
      </c>
      <c r="BO12" s="2">
        <f>COUNTIF(defects!$AB:$AB,Weekly_Pmod!BO$3&amp;Weekly_Pmod!$B12&amp;Weekly_Pmod!$B$3&amp;$B$2&amp;Weekly_Pmod!$B$1)</f>
        <v>0</v>
      </c>
      <c r="BP12" s="2">
        <f>COUNTIF(defects!$AB:$AB,Weekly_Pmod!BP$3&amp;Weekly_Pmod!$B12&amp;Weekly_Pmod!$B$3&amp;$B$2&amp;Weekly_Pmod!$B$1)</f>
        <v>0</v>
      </c>
      <c r="BQ12" s="2">
        <f>COUNTIF(defects!$AB:$AB,Weekly_Pmod!BQ$3&amp;Weekly_Pmod!$B12&amp;Weekly_Pmod!$B$3&amp;$B$2&amp;Weekly_Pmod!$B$1)</f>
        <v>0</v>
      </c>
      <c r="BR12" s="2">
        <f>COUNTIF(defects!$AB:$AB,Weekly_Pmod!BR$3&amp;Weekly_Pmod!$B12&amp;Weekly_Pmod!$B$3&amp;$B$2&amp;Weekly_Pmod!$B$1)</f>
        <v>0</v>
      </c>
      <c r="BS12" s="2">
        <f>COUNTIF(defects!$AB:$AB,Weekly_Pmod!BS$3&amp;Weekly_Pmod!$B12&amp;Weekly_Pmod!$B$3&amp;$B$2&amp;Weekly_Pmod!$B$1)</f>
        <v>0</v>
      </c>
      <c r="BT12" s="2">
        <f>COUNTIF(defects!$AB:$AB,Weekly_Pmod!BT$3&amp;Weekly_Pmod!$B12&amp;Weekly_Pmod!$B$3&amp;$B$2&amp;Weekly_Pmod!$B$1)</f>
        <v>0</v>
      </c>
      <c r="BU12" s="2">
        <f>COUNTIF(defects!$AB:$AB,Weekly_Pmod!BU$3&amp;Weekly_Pmod!$B12&amp;Weekly_Pmod!$B$3&amp;$B$2&amp;Weekly_Pmod!$B$1)</f>
        <v>0</v>
      </c>
      <c r="BV12" s="2">
        <f>COUNTIF(defects!$AB:$AB,Weekly_Pmod!BV$3&amp;Weekly_Pmod!$B12&amp;Weekly_Pmod!$B$3&amp;$B$2&amp;Weekly_Pmod!$B$1)</f>
        <v>0</v>
      </c>
      <c r="BW12" s="2">
        <f>COUNTIF(defects!$AB:$AB,Weekly_Pmod!BW$3&amp;Weekly_Pmod!$B12&amp;Weekly_Pmod!$B$3&amp;$B$2&amp;Weekly_Pmod!$B$1)</f>
        <v>0</v>
      </c>
      <c r="BX12" s="2">
        <f>COUNTIF(defects!$AB:$AB,Weekly_Pmod!BX$3&amp;Weekly_Pmod!$B12&amp;Weekly_Pmod!$B$3&amp;$B$2&amp;Weekly_Pmod!$B$1)</f>
        <v>0</v>
      </c>
      <c r="BY12" s="2">
        <f>COUNTIF(defects!$AB:$AB,Weekly_Pmod!BY$3&amp;Weekly_Pmod!$B12&amp;Weekly_Pmod!$B$3&amp;$B$2&amp;Weekly_Pmod!$B$1)</f>
        <v>0</v>
      </c>
      <c r="BZ12" s="2">
        <f>COUNTIF(defects!$AB:$AB,Weekly_Pmod!BZ$3&amp;Weekly_Pmod!$B12&amp;Weekly_Pmod!$B$3&amp;$B$2&amp;Weekly_Pmod!$B$1)</f>
        <v>0</v>
      </c>
      <c r="CA12" s="2">
        <f>COUNTIF(defects!$AB:$AB,Weekly_Pmod!CA$3&amp;Weekly_Pmod!$B12&amp;Weekly_Pmod!$B$3&amp;$B$2&amp;Weekly_Pmod!$B$1)</f>
        <v>0</v>
      </c>
      <c r="CB12" s="2">
        <f>COUNTIF(defects!$AB:$AB,Weekly_Pmod!CB$3&amp;Weekly_Pmod!$B12&amp;Weekly_Pmod!$B$3&amp;$B$2&amp;Weekly_Pmod!$B$1)</f>
        <v>0</v>
      </c>
      <c r="CC12" s="2">
        <f>COUNTIF(defects!$AB:$AB,Weekly_Pmod!CC$3&amp;Weekly_Pmod!$B12&amp;Weekly_Pmod!$B$3&amp;$B$2&amp;Weekly_Pmod!$B$1)</f>
        <v>0</v>
      </c>
      <c r="CD12" s="2">
        <f>COUNTIF(defects!$AB:$AB,Weekly_Pmod!CD$3&amp;Weekly_Pmod!$B12&amp;Weekly_Pmod!$B$3&amp;$B$2&amp;Weekly_Pmod!$B$1)</f>
        <v>0</v>
      </c>
      <c r="CE12" s="2">
        <f>COUNTIF(defects!$AB:$AB,Weekly_Pmod!CE$3&amp;Weekly_Pmod!$B12&amp;Weekly_Pmod!$B$3&amp;$B$2&amp;Weekly_Pmod!$B$1)</f>
        <v>0</v>
      </c>
      <c r="CF12" s="2">
        <f>COUNTIF(defects!$AB:$AB,Weekly_Pmod!CF$3&amp;Weekly_Pmod!$B12&amp;Weekly_Pmod!$B$3&amp;$B$2&amp;Weekly_Pmod!$B$1)</f>
        <v>0</v>
      </c>
      <c r="CG12" s="2">
        <f>COUNTIF(defects!$AB:$AB,Weekly_Pmod!CG$3&amp;Weekly_Pmod!$B12&amp;Weekly_Pmod!$B$3&amp;$B$2&amp;Weekly_Pmod!$B$1)</f>
        <v>0</v>
      </c>
      <c r="CH12" s="2">
        <f>COUNTIF(defects!$AB:$AB,Weekly_Pmod!CH$3&amp;Weekly_Pmod!$B12&amp;Weekly_Pmod!$B$3&amp;$B$2&amp;Weekly_Pmod!$B$1)</f>
        <v>0</v>
      </c>
      <c r="CI12" s="2">
        <f>COUNTIF(defects!$AB:$AB,Weekly_Pmod!CI$3&amp;Weekly_Pmod!$B12&amp;Weekly_Pmod!$B$3&amp;$B$2&amp;Weekly_Pmod!$B$1)</f>
        <v>0</v>
      </c>
      <c r="CJ12" s="2">
        <f>COUNTIF(defects!$AB:$AB,Weekly_Pmod!CJ$3&amp;Weekly_Pmod!$B12&amp;Weekly_Pmod!$B$3&amp;$B$2&amp;Weekly_Pmod!$B$1)</f>
        <v>0</v>
      </c>
      <c r="CK12" s="2">
        <f>COUNTIF(defects!$AB:$AB,Weekly_Pmod!CK$3&amp;Weekly_Pmod!$B12&amp;Weekly_Pmod!$B$3&amp;$B$2&amp;Weekly_Pmod!$B$1)</f>
        <v>0</v>
      </c>
      <c r="CL12" s="2">
        <f>COUNTIF(defects!$AB:$AB,Weekly_Pmod!CL$3&amp;Weekly_Pmod!$B12&amp;Weekly_Pmod!$B$3&amp;$B$2&amp;Weekly_Pmod!$B$1)</f>
        <v>0</v>
      </c>
      <c r="CM12" s="2">
        <f>COUNTIF(defects!$AB:$AB,Weekly_Pmod!CM$3&amp;Weekly_Pmod!$B12&amp;Weekly_Pmod!$B$3&amp;$B$2&amp;Weekly_Pmod!$B$1)</f>
        <v>0</v>
      </c>
      <c r="CN12" s="2">
        <f>COUNTIF(defects!$AB:$AB,Weekly_Pmod!CN$3&amp;Weekly_Pmod!$B12&amp;Weekly_Pmod!$B$3&amp;$B$2&amp;Weekly_Pmod!$B$1)</f>
        <v>0</v>
      </c>
      <c r="CO12" s="2">
        <f>COUNTIF(defects!$AB:$AB,Weekly_Pmod!CO$3&amp;Weekly_Pmod!$B12&amp;Weekly_Pmod!$B$3&amp;$B$2&amp;Weekly_Pmod!$B$1)</f>
        <v>0</v>
      </c>
      <c r="CP12" s="2">
        <f>COUNTIF(defects!$AB:$AB,Weekly_Pmod!CP$3&amp;Weekly_Pmod!$B12&amp;Weekly_Pmod!$B$3&amp;$B$2&amp;Weekly_Pmod!$B$1)</f>
        <v>0</v>
      </c>
      <c r="CQ12" s="2">
        <f>COUNTIF(defects!$AB:$AB,Weekly_Pmod!CQ$3&amp;Weekly_Pmod!$B12&amp;Weekly_Pmod!$B$3&amp;$B$2&amp;Weekly_Pmod!$B$1)</f>
        <v>0</v>
      </c>
      <c r="CR12" s="2">
        <f>COUNTIF(defects!$AB:$AB,Weekly_Pmod!CR$3&amp;Weekly_Pmod!$B12&amp;Weekly_Pmod!$B$3&amp;$B$2&amp;Weekly_Pmod!$B$1)</f>
        <v>0</v>
      </c>
      <c r="CS12" s="2">
        <f>COUNTIF(defects!$AB:$AB,Weekly_Pmod!CS$3&amp;Weekly_Pmod!$B12&amp;Weekly_Pmod!$B$3&amp;$B$2&amp;Weekly_Pmod!$B$1)</f>
        <v>0</v>
      </c>
      <c r="CT12" s="2">
        <f>COUNTIF(defects!$AB:$AB,Weekly_Pmod!CT$3&amp;Weekly_Pmod!$B12&amp;Weekly_Pmod!$B$3&amp;$B$2&amp;Weekly_Pmod!$B$1)</f>
        <v>0</v>
      </c>
      <c r="CU12" s="2">
        <f>COUNTIF(defects!$AB:$AB,Weekly_Pmod!CU$3&amp;Weekly_Pmod!$B12&amp;Weekly_Pmod!$B$3&amp;$B$2&amp;Weekly_Pmod!$B$1)</f>
        <v>0</v>
      </c>
      <c r="CV12" s="2">
        <f>COUNTIF(defects!$AB:$AB,Weekly_Pmod!CV$3&amp;Weekly_Pmod!$B12&amp;Weekly_Pmod!$B$3&amp;$B$2&amp;Weekly_Pmod!$B$1)</f>
        <v>0</v>
      </c>
      <c r="CW12" s="2">
        <f>COUNTIF(defects!$AB:$AB,Weekly_Pmod!CW$3&amp;Weekly_Pmod!$B12&amp;Weekly_Pmod!$B$3&amp;$B$2&amp;Weekly_Pmod!$B$1)</f>
        <v>0</v>
      </c>
      <c r="CX12" s="2">
        <f>COUNTIF(defects!$AB:$AB,Weekly_Pmod!CX$3&amp;Weekly_Pmod!$B12&amp;Weekly_Pmod!$B$3&amp;$B$2&amp;Weekly_Pmod!$B$1)</f>
        <v>0</v>
      </c>
      <c r="CY12" s="2">
        <f>COUNTIF(defects!$AB:$AB,Weekly_Pmod!CY$3&amp;Weekly_Pmod!$B12&amp;Weekly_Pmod!$B$3&amp;$B$2&amp;Weekly_Pmod!$B$1)</f>
        <v>0</v>
      </c>
      <c r="CZ12" s="2">
        <f>COUNTIF(defects!$AB:$AB,Weekly_Pmod!CZ$3&amp;Weekly_Pmod!$B12&amp;Weekly_Pmod!$B$3&amp;$B$2&amp;Weekly_Pmod!$B$1)</f>
        <v>0</v>
      </c>
      <c r="DA12" s="2">
        <f>COUNTIF(defects!$AB:$AB,Weekly_Pmod!DA$3&amp;Weekly_Pmod!$B12&amp;Weekly_Pmod!$B$3&amp;$B$2&amp;Weekly_Pmod!$B$1)</f>
        <v>0</v>
      </c>
      <c r="DB12" s="2">
        <f>COUNTIF(defects!$AB:$AB,Weekly_Pmod!DB$3&amp;Weekly_Pmod!$B12&amp;Weekly_Pmod!$B$3&amp;$B$2&amp;Weekly_Pmod!$B$1)</f>
        <v>0</v>
      </c>
      <c r="DC12" s="2">
        <f>COUNTIF(defects!$AB:$AB,Weekly_Pmod!DC$3&amp;Weekly_Pmod!$B12&amp;Weekly_Pmod!$B$3&amp;$B$2&amp;Weekly_Pmod!$B$1)</f>
        <v>0</v>
      </c>
      <c r="DD12" s="2">
        <f>COUNTIF(defects!$AB:$AB,Weekly_Pmod!DD$3&amp;Weekly_Pmod!$B12&amp;Weekly_Pmod!$B$3&amp;$B$2&amp;Weekly_Pmod!$B$1)</f>
        <v>0</v>
      </c>
      <c r="DE12" s="2">
        <f>COUNTIF(defects!$AB:$AB,Weekly_Pmod!DE$3&amp;Weekly_Pmod!$B12&amp;Weekly_Pmod!$B$3&amp;$B$2&amp;Weekly_Pmod!$B$1)</f>
        <v>0</v>
      </c>
      <c r="DF12" s="2">
        <f>COUNTIF(defects!$AB:$AB,Weekly_Pmod!DF$3&amp;Weekly_Pmod!$B12&amp;Weekly_Pmod!$B$3&amp;$B$2&amp;Weekly_Pmod!$B$1)</f>
        <v>0</v>
      </c>
      <c r="DG12" s="2">
        <f>COUNTIF(defects!$AB:$AB,Weekly_Pmod!DG$3&amp;Weekly_Pmod!$B12&amp;Weekly_Pmod!$B$3&amp;$B$2&amp;Weekly_Pmod!$B$1)</f>
        <v>0</v>
      </c>
      <c r="DH12" s="2">
        <f>COUNTIF(defects!$AB:$AB,Weekly_Pmod!DH$3&amp;Weekly_Pmod!$B12&amp;Weekly_Pmod!$B$3&amp;$B$2&amp;Weekly_Pmod!$B$1)</f>
        <v>0</v>
      </c>
      <c r="DI12" s="2">
        <f>COUNTIF(defects!$AB:$AB,Weekly_Pmod!DI$3&amp;Weekly_Pmod!$B12&amp;Weekly_Pmod!$B$3&amp;$B$2&amp;Weekly_Pmod!$B$1)</f>
        <v>0</v>
      </c>
      <c r="DJ12" s="2">
        <f>COUNTIF(defects!$AB:$AB,Weekly_Pmod!DJ$3&amp;Weekly_Pmod!$B12&amp;Weekly_Pmod!$B$3&amp;$B$2&amp;Weekly_Pmod!$B$1)</f>
        <v>0</v>
      </c>
      <c r="DK12" s="2">
        <f>COUNTIF(defects!$AB:$AB,Weekly_Pmod!DK$3&amp;Weekly_Pmod!$B12&amp;Weekly_Pmod!$B$3&amp;$B$2&amp;Weekly_Pmod!$B$1)</f>
        <v>0</v>
      </c>
      <c r="DL12" s="2">
        <f>COUNTIF(defects!$AB:$AB,Weekly_Pmod!DL$3&amp;Weekly_Pmod!$B12&amp;Weekly_Pmod!$B$3&amp;$B$2&amp;Weekly_Pmod!$B$1)</f>
        <v>0</v>
      </c>
      <c r="DM12" s="2">
        <f>COUNTIF(defects!$AB:$AB,Weekly_Pmod!DM$3&amp;Weekly_Pmod!$B12&amp;Weekly_Pmod!$B$3&amp;$B$2&amp;Weekly_Pmod!$B$1)</f>
        <v>0</v>
      </c>
      <c r="DN12" s="2">
        <f>COUNTIF(defects!$AB:$AB,Weekly_Pmod!DN$3&amp;Weekly_Pmod!$B12&amp;Weekly_Pmod!$B$3&amp;$B$2&amp;Weekly_Pmod!$B$1)</f>
        <v>0</v>
      </c>
      <c r="DO12" s="2">
        <f>COUNTIF(defects!$AB:$AB,Weekly_Pmod!DO$3&amp;Weekly_Pmod!$B12&amp;Weekly_Pmod!$B$3&amp;$B$2&amp;Weekly_Pmod!$B$1)</f>
        <v>0</v>
      </c>
      <c r="DP12" s="2">
        <f>COUNTIF(defects!$AB:$AB,Weekly_Pmod!DP$3&amp;Weekly_Pmod!$B12&amp;Weekly_Pmod!$B$3&amp;$B$2&amp;Weekly_Pmod!$B$1)</f>
        <v>0</v>
      </c>
      <c r="DQ12" s="2">
        <f>COUNTIF(defects!$AB:$AB,Weekly_Pmod!DQ$3&amp;Weekly_Pmod!$B12&amp;Weekly_Pmod!$B$3&amp;$B$2&amp;Weekly_Pmod!$B$1)</f>
        <v>0</v>
      </c>
      <c r="DR12" s="2">
        <f>COUNTIF(defects!$AB:$AB,Weekly_Pmod!DR$3&amp;Weekly_Pmod!$B12&amp;Weekly_Pmod!$B$3&amp;$B$2&amp;Weekly_Pmod!$B$1)</f>
        <v>0</v>
      </c>
      <c r="DS12" s="2">
        <f>COUNTIF(defects!$AB:$AB,Weekly_Pmod!DS$3&amp;Weekly_Pmod!$B12&amp;Weekly_Pmod!$B$3&amp;$B$2&amp;Weekly_Pmod!$B$1)</f>
        <v>0</v>
      </c>
      <c r="DT12" s="2">
        <f>COUNTIF(defects!$AB:$AB,Weekly_Pmod!DT$3&amp;Weekly_Pmod!$B12&amp;Weekly_Pmod!$B$3&amp;$B$2&amp;Weekly_Pmod!$B$1)</f>
        <v>0</v>
      </c>
      <c r="DU12" s="2">
        <f>COUNTIF(defects!$AB:$AB,Weekly_Pmod!DU$3&amp;Weekly_Pmod!$B12&amp;Weekly_Pmod!$B$3&amp;$B$2&amp;Weekly_Pmod!$B$1)</f>
        <v>0</v>
      </c>
      <c r="DV12" s="2">
        <f>COUNTIF(defects!$AB:$AB,Weekly_Pmod!DV$3&amp;Weekly_Pmod!$B12&amp;Weekly_Pmod!$B$3&amp;$B$2&amp;Weekly_Pmod!$B$1)</f>
        <v>0</v>
      </c>
      <c r="DW12" s="2">
        <f>COUNTIF(defects!$AB:$AB,Weekly_Pmod!DW$3&amp;Weekly_Pmod!$B12&amp;Weekly_Pmod!$B$3&amp;$B$2&amp;Weekly_Pmod!$B$1)</f>
        <v>0</v>
      </c>
      <c r="DX12" s="2">
        <f>COUNTIF(defects!$AB:$AB,Weekly_Pmod!DX$3&amp;Weekly_Pmod!$B12&amp;Weekly_Pmod!$B$3&amp;$B$2&amp;Weekly_Pmod!$B$1)</f>
        <v>0</v>
      </c>
      <c r="DY12" s="2">
        <f>COUNTIF(defects!$AB:$AB,Weekly_Pmod!DY$3&amp;Weekly_Pmod!$B12&amp;Weekly_Pmod!$B$3&amp;$B$2&amp;Weekly_Pmod!$B$1)</f>
        <v>0</v>
      </c>
      <c r="DZ12" s="2">
        <f>COUNTIF(defects!$AB:$AB,Weekly_Pmod!DZ$3&amp;Weekly_Pmod!$B12&amp;Weekly_Pmod!$B$3&amp;$B$2&amp;Weekly_Pmod!$B$1)</f>
        <v>0</v>
      </c>
      <c r="EA12" s="2">
        <f>COUNTIF(defects!$AB:$AB,Weekly_Pmod!EA$3&amp;Weekly_Pmod!$B12&amp;Weekly_Pmod!$B$3&amp;$B$2&amp;Weekly_Pmod!$B$1)</f>
        <v>0</v>
      </c>
      <c r="EB12" s="2">
        <f>COUNTIF(defects!$AB:$AB,Weekly_Pmod!EB$3&amp;Weekly_Pmod!$B12&amp;Weekly_Pmod!$B$3&amp;$B$2&amp;Weekly_Pmod!$B$1)</f>
        <v>0</v>
      </c>
      <c r="EC12" s="2">
        <f>COUNTIF(defects!$AB:$AB,Weekly_Pmod!EC$3&amp;Weekly_Pmod!$B12&amp;Weekly_Pmod!$B$3&amp;$B$2&amp;Weekly_Pmod!$B$1)</f>
        <v>0</v>
      </c>
      <c r="ED12" s="2">
        <f>COUNTIF(defects!$AB:$AB,Weekly_Pmod!ED$3&amp;Weekly_Pmod!$B12&amp;Weekly_Pmod!$B$3&amp;$B$2&amp;Weekly_Pmod!$B$1)</f>
        <v>0</v>
      </c>
      <c r="EE12" s="2">
        <f>COUNTIF(defects!$AB:$AB,Weekly_Pmod!EE$3&amp;Weekly_Pmod!$B12&amp;Weekly_Pmod!$B$3&amp;$B$2&amp;Weekly_Pmod!$B$1)</f>
        <v>0</v>
      </c>
      <c r="EF12" s="2">
        <f>COUNTIF(defects!$AB:$AB,Weekly_Pmod!EF$3&amp;Weekly_Pmod!$B12&amp;Weekly_Pmod!$B$3&amp;$B$2&amp;Weekly_Pmod!$B$1)</f>
        <v>0</v>
      </c>
      <c r="EG12" s="2">
        <f>COUNTIF(defects!$AB:$AB,Weekly_Pmod!EG$3&amp;Weekly_Pmod!$B12&amp;Weekly_Pmod!$B$3&amp;$B$2&amp;Weekly_Pmod!$B$1)</f>
        <v>0</v>
      </c>
      <c r="EH12" s="2">
        <f>COUNTIF(defects!$AB:$AB,Weekly_Pmod!EH$3&amp;Weekly_Pmod!$B12&amp;Weekly_Pmod!$B$3&amp;$B$2&amp;Weekly_Pmod!$B$1)</f>
        <v>0</v>
      </c>
      <c r="EI12" s="2">
        <f>COUNTIF(defects!$AB:$AB,Weekly_Pmod!EI$3&amp;Weekly_Pmod!$B12&amp;Weekly_Pmod!$B$3&amp;$B$2&amp;Weekly_Pmod!$B$1)</f>
        <v>0</v>
      </c>
      <c r="EJ12" s="2">
        <f>COUNTIF(defects!$AB:$AB,Weekly_Pmod!EJ$3&amp;Weekly_Pmod!$B12&amp;Weekly_Pmod!$B$3&amp;$B$2&amp;Weekly_Pmod!$B$1)</f>
        <v>0</v>
      </c>
      <c r="EK12" s="2">
        <f>COUNTIF(defects!$AB:$AB,Weekly_Pmod!EK$3&amp;Weekly_Pmod!$B12&amp;Weekly_Pmod!$B$3&amp;$B$2&amp;Weekly_Pmod!$B$1)</f>
        <v>0</v>
      </c>
      <c r="EL12" s="2">
        <f>COUNTIF(defects!$AB:$AB,Weekly_Pmod!EL$3&amp;Weekly_Pmod!$B12&amp;Weekly_Pmod!$B$3&amp;$B$2&amp;Weekly_Pmod!$B$1)</f>
        <v>0</v>
      </c>
      <c r="EM12" s="2">
        <f>COUNTIF(defects!$AB:$AB,Weekly_Pmod!EM$3&amp;Weekly_Pmod!$B12&amp;Weekly_Pmod!$B$3&amp;$B$2&amp;Weekly_Pmod!$B$1)</f>
        <v>0</v>
      </c>
      <c r="EN12" s="2">
        <f>COUNTIF(defects!$AB:$AB,Weekly_Pmod!EN$3&amp;Weekly_Pmod!$B12&amp;Weekly_Pmod!$B$3&amp;$B$2&amp;Weekly_Pmod!$B$1)</f>
        <v>0</v>
      </c>
      <c r="EO12" s="2">
        <f>COUNTIF(defects!$AB:$AB,Weekly_Pmod!EO$3&amp;Weekly_Pmod!$B12&amp;Weekly_Pmod!$B$3&amp;$B$2&amp;Weekly_Pmod!$B$1)</f>
        <v>0</v>
      </c>
      <c r="EP12" s="2">
        <f>COUNTIF(defects!$AB:$AB,Weekly_Pmod!EP$3&amp;Weekly_Pmod!$B12&amp;Weekly_Pmod!$B$3&amp;$B$2&amp;Weekly_Pmod!$B$1)</f>
        <v>0</v>
      </c>
      <c r="EQ12" s="2">
        <f>COUNTIF(defects!$AB:$AB,Weekly_Pmod!EQ$3&amp;Weekly_Pmod!$B12&amp;Weekly_Pmod!$B$3&amp;$B$2&amp;Weekly_Pmod!$B$1)</f>
        <v>0</v>
      </c>
      <c r="ER12" s="2">
        <f>COUNTIF(defects!$AB:$AB,Weekly_Pmod!ER$3&amp;Weekly_Pmod!$B12&amp;Weekly_Pmod!$B$3&amp;$B$2&amp;Weekly_Pmod!$B$1)</f>
        <v>0</v>
      </c>
      <c r="ES12" s="2">
        <f>COUNTIF(defects!$AB:$AB,Weekly_Pmod!ES$3&amp;Weekly_Pmod!$B12&amp;Weekly_Pmod!$B$3&amp;$B$2&amp;Weekly_Pmod!$B$1)</f>
        <v>0</v>
      </c>
      <c r="ET12" s="2">
        <f>COUNTIF(defects!$AB:$AB,Weekly_Pmod!ET$3&amp;Weekly_Pmod!$B12&amp;Weekly_Pmod!$B$3&amp;$B$2&amp;Weekly_Pmod!$B$1)</f>
        <v>0</v>
      </c>
      <c r="EU12" s="2">
        <f>COUNTIF(defects!$AB:$AB,Weekly_Pmod!EU$3&amp;Weekly_Pmod!$B12&amp;Weekly_Pmod!$B$3&amp;$B$2&amp;Weekly_Pmod!$B$1)</f>
        <v>0</v>
      </c>
      <c r="EV12" s="2">
        <f>COUNTIF(defects!$AB:$AB,Weekly_Pmod!EV$3&amp;Weekly_Pmod!$B12&amp;Weekly_Pmod!$B$3&amp;$B$2&amp;Weekly_Pmod!$B$1)</f>
        <v>0</v>
      </c>
      <c r="EW12" s="2">
        <f>COUNTIF(defects!$AB:$AB,Weekly_Pmod!EW$3&amp;Weekly_Pmod!$B12&amp;Weekly_Pmod!$B$3&amp;$B$2&amp;Weekly_Pmod!$B$1)</f>
        <v>0</v>
      </c>
      <c r="EX12" s="2">
        <f>COUNTIF(defects!$AB:$AB,Weekly_Pmod!EX$3&amp;Weekly_Pmod!$B12&amp;Weekly_Pmod!$B$3&amp;$B$2&amp;Weekly_Pmod!$B$1)</f>
        <v>0</v>
      </c>
      <c r="EY12" s="2">
        <f>COUNTIF(defects!$AB:$AB,Weekly_Pmod!EY$3&amp;Weekly_Pmod!$B12&amp;Weekly_Pmod!$B$3&amp;$B$2&amp;Weekly_Pmod!$B$1)</f>
        <v>0</v>
      </c>
      <c r="EZ12" s="2">
        <f>COUNTIF(defects!$AB:$AB,Weekly_Pmod!EZ$3&amp;Weekly_Pmod!$B12&amp;Weekly_Pmod!$B$3&amp;$B$2&amp;Weekly_Pmod!$B$1)</f>
        <v>0</v>
      </c>
      <c r="FA12" s="2">
        <f>COUNTIF(defects!$AB:$AB,Weekly_Pmod!FA$3&amp;Weekly_Pmod!$B12&amp;Weekly_Pmod!$B$3&amp;$B$2&amp;Weekly_Pmod!$B$1)</f>
        <v>0</v>
      </c>
      <c r="FB12" s="2">
        <f>COUNTIF(defects!$AB:$AB,Weekly_Pmod!FB$3&amp;Weekly_Pmod!$B12&amp;Weekly_Pmod!$B$3&amp;$B$2&amp;Weekly_Pmod!$B$1)</f>
        <v>0</v>
      </c>
      <c r="FC12" s="2">
        <f>COUNTIF(defects!$AB:$AB,Weekly_Pmod!FC$3&amp;Weekly_Pmod!$B12&amp;Weekly_Pmod!$B$3&amp;$B$2&amp;Weekly_Pmod!$B$1)</f>
        <v>0</v>
      </c>
      <c r="FD12" s="2">
        <f>COUNTIF(defects!$AB:$AB,Weekly_Pmod!FD$3&amp;Weekly_Pmod!$B12&amp;Weekly_Pmod!$B$3&amp;$B$2&amp;Weekly_Pmod!$B$1)</f>
        <v>0</v>
      </c>
      <c r="FE12" s="2">
        <f>COUNTIF(defects!$AB:$AB,Weekly_Pmod!FE$3&amp;Weekly_Pmod!$B12&amp;Weekly_Pmod!$B$3&amp;$B$2&amp;Weekly_Pmod!$B$1)</f>
        <v>0</v>
      </c>
    </row>
    <row r="13" spans="2:161">
      <c r="B13" s="2" t="s">
        <v>950</v>
      </c>
      <c r="C13" s="2">
        <f>COUNTIF(defects!$AB:$AB,Weekly_Pmod!C$3&amp;Weekly_Pmod!$B13&amp;Weekly_Pmod!$B$3&amp;$B$2&amp;Weekly_Pmod!$B$1)</f>
        <v>0</v>
      </c>
      <c r="D13" s="2">
        <f>COUNTIF(defects!$AB:$AB,Weekly_Pmod!D$3&amp;Weekly_Pmod!$B13&amp;Weekly_Pmod!$B$3&amp;$B$2&amp;Weekly_Pmod!$B$1)</f>
        <v>0</v>
      </c>
      <c r="E13" s="2">
        <f>COUNTIF(defects!$AB:$AB,Weekly_Pmod!E$3&amp;Weekly_Pmod!$B13&amp;Weekly_Pmod!$B$3&amp;$B$2&amp;Weekly_Pmod!$B$1)</f>
        <v>0</v>
      </c>
      <c r="F13" s="2">
        <f>COUNTIF(defects!$AB:$AB,Weekly_Pmod!F$3&amp;Weekly_Pmod!$B13&amp;Weekly_Pmod!$B$3&amp;$B$2&amp;Weekly_Pmod!$B$1)</f>
        <v>0</v>
      </c>
      <c r="G13" s="2">
        <f>COUNTIF(defects!$AB:$AB,Weekly_Pmod!G$3&amp;Weekly_Pmod!$B13&amp;Weekly_Pmod!$B$3&amp;$B$2&amp;Weekly_Pmod!$B$1)</f>
        <v>0</v>
      </c>
      <c r="H13" s="2">
        <f>COUNTIF(defects!$AB:$AB,Weekly_Pmod!H$3&amp;Weekly_Pmod!$B13&amp;Weekly_Pmod!$B$3&amp;$B$2&amp;Weekly_Pmod!$B$1)</f>
        <v>0</v>
      </c>
      <c r="I13" s="2">
        <f>COUNTIF(defects!$AB:$AB,Weekly_Pmod!I$3&amp;Weekly_Pmod!$B13&amp;Weekly_Pmod!$B$3&amp;$B$2&amp;Weekly_Pmod!$B$1)</f>
        <v>0</v>
      </c>
      <c r="J13" s="2">
        <f>COUNTIF(defects!$AB:$AB,Weekly_Pmod!J$3&amp;Weekly_Pmod!$B13&amp;Weekly_Pmod!$B$3&amp;$B$2&amp;Weekly_Pmod!$B$1)</f>
        <v>0</v>
      </c>
      <c r="K13" s="2">
        <f>COUNTIF(defects!$AB:$AB,Weekly_Pmod!K$3&amp;Weekly_Pmod!$B13&amp;Weekly_Pmod!$B$3&amp;$B$2&amp;Weekly_Pmod!$B$1)</f>
        <v>0</v>
      </c>
      <c r="L13" s="2">
        <f>COUNTIF(defects!$AB:$AB,Weekly_Pmod!L$3&amp;Weekly_Pmod!$B13&amp;Weekly_Pmod!$B$3&amp;$B$2&amp;Weekly_Pmod!$B$1)</f>
        <v>0</v>
      </c>
      <c r="M13" s="2">
        <f>COUNTIF(defects!$AB:$AB,Weekly_Pmod!M$3&amp;Weekly_Pmod!$B13&amp;Weekly_Pmod!$B$3&amp;$B$2&amp;Weekly_Pmod!$B$1)</f>
        <v>0</v>
      </c>
      <c r="N13" s="2">
        <f>COUNTIF(defects!$AB:$AB,Weekly_Pmod!N$3&amp;Weekly_Pmod!$B13&amp;Weekly_Pmod!$B$3&amp;$B$2&amp;Weekly_Pmod!$B$1)</f>
        <v>0</v>
      </c>
      <c r="O13" s="2">
        <f>COUNTIF(defects!$AB:$AB,Weekly_Pmod!O$3&amp;Weekly_Pmod!$B13&amp;Weekly_Pmod!$B$3&amp;$B$2&amp;Weekly_Pmod!$B$1)</f>
        <v>0</v>
      </c>
      <c r="P13" s="2">
        <f>COUNTIF(defects!$AB:$AB,Weekly_Pmod!P$3&amp;Weekly_Pmod!$B13&amp;Weekly_Pmod!$B$3&amp;$B$2&amp;Weekly_Pmod!$B$1)</f>
        <v>0</v>
      </c>
      <c r="Q13" s="2">
        <f>COUNTIF(defects!$AB:$AB,Weekly_Pmod!Q$3&amp;Weekly_Pmod!$B13&amp;Weekly_Pmod!$B$3&amp;$B$2&amp;Weekly_Pmod!$B$1)</f>
        <v>0</v>
      </c>
      <c r="R13" s="2">
        <f>COUNTIF(defects!$AB:$AB,Weekly_Pmod!R$3&amp;Weekly_Pmod!$B13&amp;Weekly_Pmod!$B$3&amp;$B$2&amp;Weekly_Pmod!$B$1)</f>
        <v>0</v>
      </c>
      <c r="S13" s="2">
        <f>COUNTIF(defects!$AB:$AB,Weekly_Pmod!S$3&amp;Weekly_Pmod!$B13&amp;Weekly_Pmod!$B$3&amp;$B$2&amp;Weekly_Pmod!$B$1)</f>
        <v>0</v>
      </c>
      <c r="T13" s="2">
        <f>COUNTIF(defects!$AB:$AB,Weekly_Pmod!T$3&amp;Weekly_Pmod!$B13&amp;Weekly_Pmod!$B$3&amp;$B$2&amp;Weekly_Pmod!$B$1)</f>
        <v>0</v>
      </c>
      <c r="U13" s="2">
        <f>COUNTIF(defects!$AB:$AB,Weekly_Pmod!U$3&amp;Weekly_Pmod!$B13&amp;Weekly_Pmod!$B$3&amp;$B$2&amp;Weekly_Pmod!$B$1)</f>
        <v>0</v>
      </c>
      <c r="V13" s="2">
        <f>COUNTIF(defects!$AB:$AB,Weekly_Pmod!V$3&amp;Weekly_Pmod!$B13&amp;Weekly_Pmod!$B$3&amp;$B$2&amp;Weekly_Pmod!$B$1)</f>
        <v>0</v>
      </c>
      <c r="W13" s="2">
        <f>COUNTIF(defects!$AB:$AB,Weekly_Pmod!W$3&amp;Weekly_Pmod!$B13&amp;Weekly_Pmod!$B$3&amp;$B$2&amp;Weekly_Pmod!$B$1)</f>
        <v>0</v>
      </c>
      <c r="X13" s="2">
        <f>COUNTIF(defects!$AB:$AB,Weekly_Pmod!X$3&amp;Weekly_Pmod!$B13&amp;Weekly_Pmod!$B$3&amp;$B$2&amp;Weekly_Pmod!$B$1)</f>
        <v>0</v>
      </c>
      <c r="Y13" s="2">
        <f>COUNTIF(defects!$AB:$AB,Weekly_Pmod!Y$3&amp;Weekly_Pmod!$B13&amp;Weekly_Pmod!$B$3&amp;$B$2&amp;Weekly_Pmod!$B$1)</f>
        <v>0</v>
      </c>
      <c r="Z13" s="2">
        <f>COUNTIF(defects!$AB:$AB,Weekly_Pmod!Z$3&amp;Weekly_Pmod!$B13&amp;Weekly_Pmod!$B$3&amp;$B$2&amp;Weekly_Pmod!$B$1)</f>
        <v>0</v>
      </c>
      <c r="AA13" s="2">
        <f>COUNTIF(defects!$AB:$AB,Weekly_Pmod!AA$3&amp;Weekly_Pmod!$B13&amp;Weekly_Pmod!$B$3&amp;$B$2&amp;Weekly_Pmod!$B$1)</f>
        <v>0</v>
      </c>
      <c r="AB13" s="2">
        <f>COUNTIF(defects!$AB:$AB,Weekly_Pmod!AB$3&amp;Weekly_Pmod!$B13&amp;Weekly_Pmod!$B$3&amp;$B$2&amp;Weekly_Pmod!$B$1)</f>
        <v>0</v>
      </c>
      <c r="AC13" s="2">
        <f>COUNTIF(defects!$AB:$AB,Weekly_Pmod!AC$3&amp;Weekly_Pmod!$B13&amp;Weekly_Pmod!$B$3&amp;$B$2&amp;Weekly_Pmod!$B$1)</f>
        <v>0</v>
      </c>
      <c r="AD13" s="2">
        <f>COUNTIF(defects!$AB:$AB,Weekly_Pmod!AD$3&amp;Weekly_Pmod!$B13&amp;Weekly_Pmod!$B$3&amp;$B$2&amp;Weekly_Pmod!$B$1)</f>
        <v>0</v>
      </c>
      <c r="AE13" s="2">
        <f>COUNTIF(defects!$AB:$AB,Weekly_Pmod!AE$3&amp;Weekly_Pmod!$B13&amp;Weekly_Pmod!$B$3&amp;$B$2&amp;Weekly_Pmod!$B$1)</f>
        <v>0</v>
      </c>
      <c r="AF13" s="2">
        <f>COUNTIF(defects!$AB:$AB,Weekly_Pmod!AF$3&amp;Weekly_Pmod!$B13&amp;Weekly_Pmod!$B$3&amp;$B$2&amp;Weekly_Pmod!$B$1)</f>
        <v>0</v>
      </c>
      <c r="AG13" s="2">
        <f>COUNTIF(defects!$AB:$AB,Weekly_Pmod!AG$3&amp;Weekly_Pmod!$B13&amp;Weekly_Pmod!$B$3&amp;$B$2&amp;Weekly_Pmod!$B$1)</f>
        <v>0</v>
      </c>
      <c r="AH13" s="2">
        <f>COUNTIF(defects!$AB:$AB,Weekly_Pmod!AH$3&amp;Weekly_Pmod!$B13&amp;Weekly_Pmod!$B$3&amp;$B$2&amp;Weekly_Pmod!$B$1)</f>
        <v>0</v>
      </c>
      <c r="AI13" s="2">
        <f>COUNTIF(defects!$AB:$AB,Weekly_Pmod!AI$3&amp;Weekly_Pmod!$B13&amp;Weekly_Pmod!$B$3&amp;$B$2&amp;Weekly_Pmod!$B$1)</f>
        <v>0</v>
      </c>
      <c r="AJ13" s="2">
        <f>COUNTIF(defects!$AB:$AB,Weekly_Pmod!AJ$3&amp;Weekly_Pmod!$B13&amp;Weekly_Pmod!$B$3&amp;$B$2&amp;Weekly_Pmod!$B$1)</f>
        <v>0</v>
      </c>
      <c r="AK13" s="2">
        <f>COUNTIF(defects!$AB:$AB,Weekly_Pmod!AK$3&amp;Weekly_Pmod!$B13&amp;Weekly_Pmod!$B$3&amp;$B$2&amp;Weekly_Pmod!$B$1)</f>
        <v>0</v>
      </c>
      <c r="AL13" s="2">
        <f>COUNTIF(defects!$AB:$AB,Weekly_Pmod!AL$3&amp;Weekly_Pmod!$B13&amp;Weekly_Pmod!$B$3&amp;$B$2&amp;Weekly_Pmod!$B$1)</f>
        <v>0</v>
      </c>
      <c r="AM13" s="2">
        <f>COUNTIF(defects!$AB:$AB,Weekly_Pmod!AM$3&amp;Weekly_Pmod!$B13&amp;Weekly_Pmod!$B$3&amp;$B$2&amp;Weekly_Pmod!$B$1)</f>
        <v>0</v>
      </c>
      <c r="AN13" s="2">
        <f>COUNTIF(defects!$AB:$AB,Weekly_Pmod!AN$3&amp;Weekly_Pmod!$B13&amp;Weekly_Pmod!$B$3&amp;$B$2&amp;Weekly_Pmod!$B$1)</f>
        <v>0</v>
      </c>
      <c r="AO13" s="2">
        <f>COUNTIF(defects!$AB:$AB,Weekly_Pmod!AO$3&amp;Weekly_Pmod!$B13&amp;Weekly_Pmod!$B$3&amp;$B$2&amp;Weekly_Pmod!$B$1)</f>
        <v>0</v>
      </c>
      <c r="AP13" s="2">
        <f>COUNTIF(defects!$AB:$AB,Weekly_Pmod!AP$3&amp;Weekly_Pmod!$B13&amp;Weekly_Pmod!$B$3&amp;$B$2&amp;Weekly_Pmod!$B$1)</f>
        <v>0</v>
      </c>
      <c r="AQ13" s="2">
        <f>COUNTIF(defects!$AB:$AB,Weekly_Pmod!AQ$3&amp;Weekly_Pmod!$B13&amp;Weekly_Pmod!$B$3&amp;$B$2&amp;Weekly_Pmod!$B$1)</f>
        <v>0</v>
      </c>
      <c r="AR13" s="2">
        <f>COUNTIF(defects!$AB:$AB,Weekly_Pmod!AR$3&amp;Weekly_Pmod!$B13&amp;Weekly_Pmod!$B$3&amp;$B$2&amp;Weekly_Pmod!$B$1)</f>
        <v>0</v>
      </c>
      <c r="AS13" s="2">
        <f>COUNTIF(defects!$AB:$AB,Weekly_Pmod!AS$3&amp;Weekly_Pmod!$B13&amp;Weekly_Pmod!$B$3&amp;$B$2&amp;Weekly_Pmod!$B$1)</f>
        <v>0</v>
      </c>
      <c r="AT13" s="2">
        <f>COUNTIF(defects!$AB:$AB,Weekly_Pmod!AT$3&amp;Weekly_Pmod!$B13&amp;Weekly_Pmod!$B$3&amp;$B$2&amp;Weekly_Pmod!$B$1)</f>
        <v>0</v>
      </c>
      <c r="AU13" s="2">
        <f>COUNTIF(defects!$AB:$AB,Weekly_Pmod!AU$3&amp;Weekly_Pmod!$B13&amp;Weekly_Pmod!$B$3&amp;$B$2&amp;Weekly_Pmod!$B$1)</f>
        <v>0</v>
      </c>
      <c r="AV13" s="2">
        <f>COUNTIF(defects!$AB:$AB,Weekly_Pmod!AV$3&amp;Weekly_Pmod!$B13&amp;Weekly_Pmod!$B$3&amp;$B$2&amp;Weekly_Pmod!$B$1)</f>
        <v>0</v>
      </c>
      <c r="AW13" s="2">
        <f>COUNTIF(defects!$AB:$AB,Weekly_Pmod!AW$3&amp;Weekly_Pmod!$B13&amp;Weekly_Pmod!$B$3&amp;$B$2&amp;Weekly_Pmod!$B$1)</f>
        <v>0</v>
      </c>
      <c r="AX13" s="2">
        <f>COUNTIF(defects!$AB:$AB,Weekly_Pmod!AX$3&amp;Weekly_Pmod!$B13&amp;Weekly_Pmod!$B$3&amp;$B$2&amp;Weekly_Pmod!$B$1)</f>
        <v>0</v>
      </c>
      <c r="AY13" s="2">
        <f>COUNTIF(defects!$AB:$AB,Weekly_Pmod!AY$3&amp;Weekly_Pmod!$B13&amp;Weekly_Pmod!$B$3&amp;$B$2&amp;Weekly_Pmod!$B$1)</f>
        <v>0</v>
      </c>
      <c r="AZ13" s="2">
        <f>COUNTIF(defects!$AB:$AB,Weekly_Pmod!AZ$3&amp;Weekly_Pmod!$B13&amp;Weekly_Pmod!$B$3&amp;$B$2&amp;Weekly_Pmod!$B$1)</f>
        <v>0</v>
      </c>
      <c r="BA13" s="2">
        <f>COUNTIF(defects!$AB:$AB,Weekly_Pmod!BA$3&amp;Weekly_Pmod!$B13&amp;Weekly_Pmod!$B$3&amp;$B$2&amp;Weekly_Pmod!$B$1)</f>
        <v>0</v>
      </c>
      <c r="BB13" s="2">
        <f>COUNTIF(defects!$AB:$AB,Weekly_Pmod!BB$3&amp;Weekly_Pmod!$B13&amp;Weekly_Pmod!$B$3&amp;$B$2&amp;Weekly_Pmod!$B$1)</f>
        <v>0</v>
      </c>
      <c r="BC13" s="2">
        <f>COUNTIF(defects!$AB:$AB,Weekly_Pmod!BC$3&amp;Weekly_Pmod!$B13&amp;Weekly_Pmod!$B$3&amp;$B$2&amp;Weekly_Pmod!$B$1)</f>
        <v>0</v>
      </c>
      <c r="BD13" s="2">
        <f>COUNTIF(defects!$AB:$AB,Weekly_Pmod!BD$3&amp;Weekly_Pmod!$B13&amp;Weekly_Pmod!$B$3&amp;$B$2&amp;Weekly_Pmod!$B$1)</f>
        <v>0</v>
      </c>
      <c r="BE13" s="2">
        <f>COUNTIF(defects!$AB:$AB,Weekly_Pmod!BE$3&amp;Weekly_Pmod!$B13&amp;Weekly_Pmod!$B$3&amp;$B$2&amp;Weekly_Pmod!$B$1)</f>
        <v>0</v>
      </c>
      <c r="BF13" s="2">
        <f>COUNTIF(defects!$AB:$AB,Weekly_Pmod!BF$3&amp;Weekly_Pmod!$B13&amp;Weekly_Pmod!$B$3&amp;$B$2&amp;Weekly_Pmod!$B$1)</f>
        <v>0</v>
      </c>
      <c r="BG13" s="2">
        <f>COUNTIF(defects!$AB:$AB,Weekly_Pmod!BG$3&amp;Weekly_Pmod!$B13&amp;Weekly_Pmod!$B$3&amp;$B$2&amp;Weekly_Pmod!$B$1)</f>
        <v>0</v>
      </c>
      <c r="BH13" s="2">
        <f>COUNTIF(defects!$AB:$AB,Weekly_Pmod!BH$3&amp;Weekly_Pmod!$B13&amp;Weekly_Pmod!$B$3&amp;$B$2&amp;Weekly_Pmod!$B$1)</f>
        <v>0</v>
      </c>
      <c r="BI13" s="2">
        <f>COUNTIF(defects!$AB:$AB,Weekly_Pmod!BI$3&amp;Weekly_Pmod!$B13&amp;Weekly_Pmod!$B$3&amp;$B$2&amp;Weekly_Pmod!$B$1)</f>
        <v>0</v>
      </c>
      <c r="BJ13" s="2">
        <f>COUNTIF(defects!$AB:$AB,Weekly_Pmod!BJ$3&amp;Weekly_Pmod!$B13&amp;Weekly_Pmod!$B$3&amp;$B$2&amp;Weekly_Pmod!$B$1)</f>
        <v>0</v>
      </c>
      <c r="BK13" s="2">
        <f>COUNTIF(defects!$AB:$AB,Weekly_Pmod!BK$3&amp;Weekly_Pmod!$B13&amp;Weekly_Pmod!$B$3&amp;$B$2&amp;Weekly_Pmod!$B$1)</f>
        <v>0</v>
      </c>
      <c r="BL13" s="2">
        <f>COUNTIF(defects!$AB:$AB,Weekly_Pmod!BL$3&amp;Weekly_Pmod!$B13&amp;Weekly_Pmod!$B$3&amp;$B$2&amp;Weekly_Pmod!$B$1)</f>
        <v>0</v>
      </c>
      <c r="BM13" s="2">
        <f>COUNTIF(defects!$AB:$AB,Weekly_Pmod!BM$3&amp;Weekly_Pmod!$B13&amp;Weekly_Pmod!$B$3&amp;$B$2&amp;Weekly_Pmod!$B$1)</f>
        <v>0</v>
      </c>
      <c r="BN13" s="2">
        <f>COUNTIF(defects!$AB:$AB,Weekly_Pmod!BN$3&amp;Weekly_Pmod!$B13&amp;Weekly_Pmod!$B$3&amp;$B$2&amp;Weekly_Pmod!$B$1)</f>
        <v>0</v>
      </c>
      <c r="BO13" s="2">
        <f>COUNTIF(defects!$AB:$AB,Weekly_Pmod!BO$3&amp;Weekly_Pmod!$B13&amp;Weekly_Pmod!$B$3&amp;$B$2&amp;Weekly_Pmod!$B$1)</f>
        <v>0</v>
      </c>
      <c r="BP13" s="2">
        <f>COUNTIF(defects!$AB:$AB,Weekly_Pmod!BP$3&amp;Weekly_Pmod!$B13&amp;Weekly_Pmod!$B$3&amp;$B$2&amp;Weekly_Pmod!$B$1)</f>
        <v>0</v>
      </c>
      <c r="BQ13" s="2">
        <f>COUNTIF(defects!$AB:$AB,Weekly_Pmod!BQ$3&amp;Weekly_Pmod!$B13&amp;Weekly_Pmod!$B$3&amp;$B$2&amp;Weekly_Pmod!$B$1)</f>
        <v>0</v>
      </c>
      <c r="BR13" s="2">
        <f>COUNTIF(defects!$AB:$AB,Weekly_Pmod!BR$3&amp;Weekly_Pmod!$B13&amp;Weekly_Pmod!$B$3&amp;$B$2&amp;Weekly_Pmod!$B$1)</f>
        <v>0</v>
      </c>
      <c r="BS13" s="2">
        <f>COUNTIF(defects!$AB:$AB,Weekly_Pmod!BS$3&amp;Weekly_Pmod!$B13&amp;Weekly_Pmod!$B$3&amp;$B$2&amp;Weekly_Pmod!$B$1)</f>
        <v>0</v>
      </c>
      <c r="BT13" s="2">
        <f>COUNTIF(defects!$AB:$AB,Weekly_Pmod!BT$3&amp;Weekly_Pmod!$B13&amp;Weekly_Pmod!$B$3&amp;$B$2&amp;Weekly_Pmod!$B$1)</f>
        <v>0</v>
      </c>
      <c r="BU13" s="2">
        <f>COUNTIF(defects!$AB:$AB,Weekly_Pmod!BU$3&amp;Weekly_Pmod!$B13&amp;Weekly_Pmod!$B$3&amp;$B$2&amp;Weekly_Pmod!$B$1)</f>
        <v>0</v>
      </c>
      <c r="BV13" s="2">
        <f>COUNTIF(defects!$AB:$AB,Weekly_Pmod!BV$3&amp;Weekly_Pmod!$B13&amp;Weekly_Pmod!$B$3&amp;$B$2&amp;Weekly_Pmod!$B$1)</f>
        <v>0</v>
      </c>
      <c r="BW13" s="2">
        <f>COUNTIF(defects!$AB:$AB,Weekly_Pmod!BW$3&amp;Weekly_Pmod!$B13&amp;Weekly_Pmod!$B$3&amp;$B$2&amp;Weekly_Pmod!$B$1)</f>
        <v>0</v>
      </c>
      <c r="BX13" s="2">
        <f>COUNTIF(defects!$AB:$AB,Weekly_Pmod!BX$3&amp;Weekly_Pmod!$B13&amp;Weekly_Pmod!$B$3&amp;$B$2&amp;Weekly_Pmod!$B$1)</f>
        <v>0</v>
      </c>
      <c r="BY13" s="2">
        <f>COUNTIF(defects!$AB:$AB,Weekly_Pmod!BY$3&amp;Weekly_Pmod!$B13&amp;Weekly_Pmod!$B$3&amp;$B$2&amp;Weekly_Pmod!$B$1)</f>
        <v>1</v>
      </c>
      <c r="BZ13" s="2">
        <f>COUNTIF(defects!$AB:$AB,Weekly_Pmod!BZ$3&amp;Weekly_Pmod!$B13&amp;Weekly_Pmod!$B$3&amp;$B$2&amp;Weekly_Pmod!$B$1)</f>
        <v>0</v>
      </c>
      <c r="CA13" s="2">
        <f>COUNTIF(defects!$AB:$AB,Weekly_Pmod!CA$3&amp;Weekly_Pmod!$B13&amp;Weekly_Pmod!$B$3&amp;$B$2&amp;Weekly_Pmod!$B$1)</f>
        <v>0</v>
      </c>
      <c r="CB13" s="2">
        <f>COUNTIF(defects!$AB:$AB,Weekly_Pmod!CB$3&amp;Weekly_Pmod!$B13&amp;Weekly_Pmod!$B$3&amp;$B$2&amp;Weekly_Pmod!$B$1)</f>
        <v>0</v>
      </c>
      <c r="CC13" s="2">
        <f>COUNTIF(defects!$AB:$AB,Weekly_Pmod!CC$3&amp;Weekly_Pmod!$B13&amp;Weekly_Pmod!$B$3&amp;$B$2&amp;Weekly_Pmod!$B$1)</f>
        <v>0</v>
      </c>
      <c r="CD13" s="2">
        <f>COUNTIF(defects!$AB:$AB,Weekly_Pmod!CD$3&amp;Weekly_Pmod!$B13&amp;Weekly_Pmod!$B$3&amp;$B$2&amp;Weekly_Pmod!$B$1)</f>
        <v>0</v>
      </c>
      <c r="CE13" s="2">
        <f>COUNTIF(defects!$AB:$AB,Weekly_Pmod!CE$3&amp;Weekly_Pmod!$B13&amp;Weekly_Pmod!$B$3&amp;$B$2&amp;Weekly_Pmod!$B$1)</f>
        <v>0</v>
      </c>
      <c r="CF13" s="2">
        <f>COUNTIF(defects!$AB:$AB,Weekly_Pmod!CF$3&amp;Weekly_Pmod!$B13&amp;Weekly_Pmod!$B$3&amp;$B$2&amp;Weekly_Pmod!$B$1)</f>
        <v>0</v>
      </c>
      <c r="CG13" s="2">
        <f>COUNTIF(defects!$AB:$AB,Weekly_Pmod!CG$3&amp;Weekly_Pmod!$B13&amp;Weekly_Pmod!$B$3&amp;$B$2&amp;Weekly_Pmod!$B$1)</f>
        <v>3</v>
      </c>
      <c r="CH13" s="2">
        <f>COUNTIF(defects!$AB:$AB,Weekly_Pmod!CH$3&amp;Weekly_Pmod!$B13&amp;Weekly_Pmod!$B$3&amp;$B$2&amp;Weekly_Pmod!$B$1)</f>
        <v>0</v>
      </c>
      <c r="CI13" s="2">
        <f>COUNTIF(defects!$AB:$AB,Weekly_Pmod!CI$3&amp;Weekly_Pmod!$B13&amp;Weekly_Pmod!$B$3&amp;$B$2&amp;Weekly_Pmod!$B$1)</f>
        <v>0</v>
      </c>
      <c r="CJ13" s="2">
        <f>COUNTIF(defects!$AB:$AB,Weekly_Pmod!CJ$3&amp;Weekly_Pmod!$B13&amp;Weekly_Pmod!$B$3&amp;$B$2&amp;Weekly_Pmod!$B$1)</f>
        <v>0</v>
      </c>
      <c r="CK13" s="2">
        <f>COUNTIF(defects!$AB:$AB,Weekly_Pmod!CK$3&amp;Weekly_Pmod!$B13&amp;Weekly_Pmod!$B$3&amp;$B$2&amp;Weekly_Pmod!$B$1)</f>
        <v>0</v>
      </c>
      <c r="CL13" s="2">
        <f>COUNTIF(defects!$AB:$AB,Weekly_Pmod!CL$3&amp;Weekly_Pmod!$B13&amp;Weekly_Pmod!$B$3&amp;$B$2&amp;Weekly_Pmod!$B$1)</f>
        <v>0</v>
      </c>
      <c r="CM13" s="2">
        <f>COUNTIF(defects!$AB:$AB,Weekly_Pmod!CM$3&amp;Weekly_Pmod!$B13&amp;Weekly_Pmod!$B$3&amp;$B$2&amp;Weekly_Pmod!$B$1)</f>
        <v>1</v>
      </c>
      <c r="CN13" s="2">
        <f>COUNTIF(defects!$AB:$AB,Weekly_Pmod!CN$3&amp;Weekly_Pmod!$B13&amp;Weekly_Pmod!$B$3&amp;$B$2&amp;Weekly_Pmod!$B$1)</f>
        <v>1</v>
      </c>
      <c r="CO13" s="2">
        <f>COUNTIF(defects!$AB:$AB,Weekly_Pmod!CO$3&amp;Weekly_Pmod!$B13&amp;Weekly_Pmod!$B$3&amp;$B$2&amp;Weekly_Pmod!$B$1)</f>
        <v>0</v>
      </c>
      <c r="CP13" s="2">
        <f>COUNTIF(defects!$AB:$AB,Weekly_Pmod!CP$3&amp;Weekly_Pmod!$B13&amp;Weekly_Pmod!$B$3&amp;$B$2&amp;Weekly_Pmod!$B$1)</f>
        <v>0</v>
      </c>
      <c r="CQ13" s="2">
        <f>COUNTIF(defects!$AB:$AB,Weekly_Pmod!CQ$3&amp;Weekly_Pmod!$B13&amp;Weekly_Pmod!$B$3&amp;$B$2&amp;Weekly_Pmod!$B$1)</f>
        <v>0</v>
      </c>
      <c r="CR13" s="2">
        <f>COUNTIF(defects!$AB:$AB,Weekly_Pmod!CR$3&amp;Weekly_Pmod!$B13&amp;Weekly_Pmod!$B$3&amp;$B$2&amp;Weekly_Pmod!$B$1)</f>
        <v>0</v>
      </c>
      <c r="CS13" s="2">
        <f>COUNTIF(defects!$AB:$AB,Weekly_Pmod!CS$3&amp;Weekly_Pmod!$B13&amp;Weekly_Pmod!$B$3&amp;$B$2&amp;Weekly_Pmod!$B$1)</f>
        <v>0</v>
      </c>
      <c r="CT13" s="2">
        <f>COUNTIF(defects!$AB:$AB,Weekly_Pmod!CT$3&amp;Weekly_Pmod!$B13&amp;Weekly_Pmod!$B$3&amp;$B$2&amp;Weekly_Pmod!$B$1)</f>
        <v>0</v>
      </c>
      <c r="CU13" s="2">
        <f>COUNTIF(defects!$AB:$AB,Weekly_Pmod!CU$3&amp;Weekly_Pmod!$B13&amp;Weekly_Pmod!$B$3&amp;$B$2&amp;Weekly_Pmod!$B$1)</f>
        <v>0</v>
      </c>
      <c r="CV13" s="2">
        <f>COUNTIF(defects!$AB:$AB,Weekly_Pmod!CV$3&amp;Weekly_Pmod!$B13&amp;Weekly_Pmod!$B$3&amp;$B$2&amp;Weekly_Pmod!$B$1)</f>
        <v>0</v>
      </c>
      <c r="CW13" s="2">
        <f>COUNTIF(defects!$AB:$AB,Weekly_Pmod!CW$3&amp;Weekly_Pmod!$B13&amp;Weekly_Pmod!$B$3&amp;$B$2&amp;Weekly_Pmod!$B$1)</f>
        <v>0</v>
      </c>
      <c r="CX13" s="2">
        <f>COUNTIF(defects!$AB:$AB,Weekly_Pmod!CX$3&amp;Weekly_Pmod!$B13&amp;Weekly_Pmod!$B$3&amp;$B$2&amp;Weekly_Pmod!$B$1)</f>
        <v>0</v>
      </c>
      <c r="CY13" s="2">
        <f>COUNTIF(defects!$AB:$AB,Weekly_Pmod!CY$3&amp;Weekly_Pmod!$B13&amp;Weekly_Pmod!$B$3&amp;$B$2&amp;Weekly_Pmod!$B$1)</f>
        <v>0</v>
      </c>
      <c r="CZ13" s="2">
        <f>COUNTIF(defects!$AB:$AB,Weekly_Pmod!CZ$3&amp;Weekly_Pmod!$B13&amp;Weekly_Pmod!$B$3&amp;$B$2&amp;Weekly_Pmod!$B$1)</f>
        <v>0</v>
      </c>
      <c r="DA13" s="2">
        <f>COUNTIF(defects!$AB:$AB,Weekly_Pmod!DA$3&amp;Weekly_Pmod!$B13&amp;Weekly_Pmod!$B$3&amp;$B$2&amp;Weekly_Pmod!$B$1)</f>
        <v>0</v>
      </c>
      <c r="DB13" s="2">
        <f>COUNTIF(defects!$AB:$AB,Weekly_Pmod!DB$3&amp;Weekly_Pmod!$B13&amp;Weekly_Pmod!$B$3&amp;$B$2&amp;Weekly_Pmod!$B$1)</f>
        <v>0</v>
      </c>
      <c r="DC13" s="2">
        <f>COUNTIF(defects!$AB:$AB,Weekly_Pmod!DC$3&amp;Weekly_Pmod!$B13&amp;Weekly_Pmod!$B$3&amp;$B$2&amp;Weekly_Pmod!$B$1)</f>
        <v>0</v>
      </c>
      <c r="DD13" s="2">
        <f>COUNTIF(defects!$AB:$AB,Weekly_Pmod!DD$3&amp;Weekly_Pmod!$B13&amp;Weekly_Pmod!$B$3&amp;$B$2&amp;Weekly_Pmod!$B$1)</f>
        <v>0</v>
      </c>
      <c r="DE13" s="2">
        <f>COUNTIF(defects!$AB:$AB,Weekly_Pmod!DE$3&amp;Weekly_Pmod!$B13&amp;Weekly_Pmod!$B$3&amp;$B$2&amp;Weekly_Pmod!$B$1)</f>
        <v>0</v>
      </c>
      <c r="DF13" s="2">
        <f>COUNTIF(defects!$AB:$AB,Weekly_Pmod!DF$3&amp;Weekly_Pmod!$B13&amp;Weekly_Pmod!$B$3&amp;$B$2&amp;Weekly_Pmod!$B$1)</f>
        <v>0</v>
      </c>
      <c r="DG13" s="2">
        <f>COUNTIF(defects!$AB:$AB,Weekly_Pmod!DG$3&amp;Weekly_Pmod!$B13&amp;Weekly_Pmod!$B$3&amp;$B$2&amp;Weekly_Pmod!$B$1)</f>
        <v>0</v>
      </c>
      <c r="DH13" s="2">
        <f>COUNTIF(defects!$AB:$AB,Weekly_Pmod!DH$3&amp;Weekly_Pmod!$B13&amp;Weekly_Pmod!$B$3&amp;$B$2&amp;Weekly_Pmod!$B$1)</f>
        <v>0</v>
      </c>
      <c r="DI13" s="2">
        <f>COUNTIF(defects!$AB:$AB,Weekly_Pmod!DI$3&amp;Weekly_Pmod!$B13&amp;Weekly_Pmod!$B$3&amp;$B$2&amp;Weekly_Pmod!$B$1)</f>
        <v>0</v>
      </c>
      <c r="DJ13" s="2">
        <f>COUNTIF(defects!$AB:$AB,Weekly_Pmod!DJ$3&amp;Weekly_Pmod!$B13&amp;Weekly_Pmod!$B$3&amp;$B$2&amp;Weekly_Pmod!$B$1)</f>
        <v>0</v>
      </c>
      <c r="DK13" s="2">
        <f>COUNTIF(defects!$AB:$AB,Weekly_Pmod!DK$3&amp;Weekly_Pmod!$B13&amp;Weekly_Pmod!$B$3&amp;$B$2&amp;Weekly_Pmod!$B$1)</f>
        <v>0</v>
      </c>
      <c r="DL13" s="2">
        <f>COUNTIF(defects!$AB:$AB,Weekly_Pmod!DL$3&amp;Weekly_Pmod!$B13&amp;Weekly_Pmod!$B$3&amp;$B$2&amp;Weekly_Pmod!$B$1)</f>
        <v>0</v>
      </c>
      <c r="DM13" s="2">
        <f>COUNTIF(defects!$AB:$AB,Weekly_Pmod!DM$3&amp;Weekly_Pmod!$B13&amp;Weekly_Pmod!$B$3&amp;$B$2&amp;Weekly_Pmod!$B$1)</f>
        <v>0</v>
      </c>
      <c r="DN13" s="2">
        <f>COUNTIF(defects!$AB:$AB,Weekly_Pmod!DN$3&amp;Weekly_Pmod!$B13&amp;Weekly_Pmod!$B$3&amp;$B$2&amp;Weekly_Pmod!$B$1)</f>
        <v>0</v>
      </c>
      <c r="DO13" s="2">
        <f>COUNTIF(defects!$AB:$AB,Weekly_Pmod!DO$3&amp;Weekly_Pmod!$B13&amp;Weekly_Pmod!$B$3&amp;$B$2&amp;Weekly_Pmod!$B$1)</f>
        <v>0</v>
      </c>
      <c r="DP13" s="2">
        <f>COUNTIF(defects!$AB:$AB,Weekly_Pmod!DP$3&amp;Weekly_Pmod!$B13&amp;Weekly_Pmod!$B$3&amp;$B$2&amp;Weekly_Pmod!$B$1)</f>
        <v>0</v>
      </c>
      <c r="DQ13" s="2">
        <f>COUNTIF(defects!$AB:$AB,Weekly_Pmod!DQ$3&amp;Weekly_Pmod!$B13&amp;Weekly_Pmod!$B$3&amp;$B$2&amp;Weekly_Pmod!$B$1)</f>
        <v>0</v>
      </c>
      <c r="DR13" s="2">
        <f>COUNTIF(defects!$AB:$AB,Weekly_Pmod!DR$3&amp;Weekly_Pmod!$B13&amp;Weekly_Pmod!$B$3&amp;$B$2&amp;Weekly_Pmod!$B$1)</f>
        <v>0</v>
      </c>
      <c r="DS13" s="2">
        <f>COUNTIF(defects!$AB:$AB,Weekly_Pmod!DS$3&amp;Weekly_Pmod!$B13&amp;Weekly_Pmod!$B$3&amp;$B$2&amp;Weekly_Pmod!$B$1)</f>
        <v>0</v>
      </c>
      <c r="DT13" s="2">
        <f>COUNTIF(defects!$AB:$AB,Weekly_Pmod!DT$3&amp;Weekly_Pmod!$B13&amp;Weekly_Pmod!$B$3&amp;$B$2&amp;Weekly_Pmod!$B$1)</f>
        <v>0</v>
      </c>
      <c r="DU13" s="2">
        <f>COUNTIF(defects!$AB:$AB,Weekly_Pmod!DU$3&amp;Weekly_Pmod!$B13&amp;Weekly_Pmod!$B$3&amp;$B$2&amp;Weekly_Pmod!$B$1)</f>
        <v>0</v>
      </c>
      <c r="DV13" s="2">
        <f>COUNTIF(defects!$AB:$AB,Weekly_Pmod!DV$3&amp;Weekly_Pmod!$B13&amp;Weekly_Pmod!$B$3&amp;$B$2&amp;Weekly_Pmod!$B$1)</f>
        <v>0</v>
      </c>
      <c r="DW13" s="2">
        <f>COUNTIF(defects!$AB:$AB,Weekly_Pmod!DW$3&amp;Weekly_Pmod!$B13&amp;Weekly_Pmod!$B$3&amp;$B$2&amp;Weekly_Pmod!$B$1)</f>
        <v>0</v>
      </c>
      <c r="DX13" s="2">
        <f>COUNTIF(defects!$AB:$AB,Weekly_Pmod!DX$3&amp;Weekly_Pmod!$B13&amp;Weekly_Pmod!$B$3&amp;$B$2&amp;Weekly_Pmod!$B$1)</f>
        <v>0</v>
      </c>
      <c r="DY13" s="2">
        <f>COUNTIF(defects!$AB:$AB,Weekly_Pmod!DY$3&amp;Weekly_Pmod!$B13&amp;Weekly_Pmod!$B$3&amp;$B$2&amp;Weekly_Pmod!$B$1)</f>
        <v>0</v>
      </c>
      <c r="DZ13" s="2">
        <f>COUNTIF(defects!$AB:$AB,Weekly_Pmod!DZ$3&amp;Weekly_Pmod!$B13&amp;Weekly_Pmod!$B$3&amp;$B$2&amp;Weekly_Pmod!$B$1)</f>
        <v>0</v>
      </c>
      <c r="EA13" s="2">
        <f>COUNTIF(defects!$AB:$AB,Weekly_Pmod!EA$3&amp;Weekly_Pmod!$B13&amp;Weekly_Pmod!$B$3&amp;$B$2&amp;Weekly_Pmod!$B$1)</f>
        <v>0</v>
      </c>
      <c r="EB13" s="2">
        <f>COUNTIF(defects!$AB:$AB,Weekly_Pmod!EB$3&amp;Weekly_Pmod!$B13&amp;Weekly_Pmod!$B$3&amp;$B$2&amp;Weekly_Pmod!$B$1)</f>
        <v>0</v>
      </c>
      <c r="EC13" s="2">
        <f>COUNTIF(defects!$AB:$AB,Weekly_Pmod!EC$3&amp;Weekly_Pmod!$B13&amp;Weekly_Pmod!$B$3&amp;$B$2&amp;Weekly_Pmod!$B$1)</f>
        <v>0</v>
      </c>
      <c r="ED13" s="2">
        <f>COUNTIF(defects!$AB:$AB,Weekly_Pmod!ED$3&amp;Weekly_Pmod!$B13&amp;Weekly_Pmod!$B$3&amp;$B$2&amp;Weekly_Pmod!$B$1)</f>
        <v>0</v>
      </c>
      <c r="EE13" s="2">
        <f>COUNTIF(defects!$AB:$AB,Weekly_Pmod!EE$3&amp;Weekly_Pmod!$B13&amp;Weekly_Pmod!$B$3&amp;$B$2&amp;Weekly_Pmod!$B$1)</f>
        <v>0</v>
      </c>
      <c r="EF13" s="2">
        <f>COUNTIF(defects!$AB:$AB,Weekly_Pmod!EF$3&amp;Weekly_Pmod!$B13&amp;Weekly_Pmod!$B$3&amp;$B$2&amp;Weekly_Pmod!$B$1)</f>
        <v>0</v>
      </c>
      <c r="EG13" s="2">
        <f>COUNTIF(defects!$AB:$AB,Weekly_Pmod!EG$3&amp;Weekly_Pmod!$B13&amp;Weekly_Pmod!$B$3&amp;$B$2&amp;Weekly_Pmod!$B$1)</f>
        <v>0</v>
      </c>
      <c r="EH13" s="2">
        <f>COUNTIF(defects!$AB:$AB,Weekly_Pmod!EH$3&amp;Weekly_Pmod!$B13&amp;Weekly_Pmod!$B$3&amp;$B$2&amp;Weekly_Pmod!$B$1)</f>
        <v>0</v>
      </c>
      <c r="EI13" s="2">
        <f>COUNTIF(defects!$AB:$AB,Weekly_Pmod!EI$3&amp;Weekly_Pmod!$B13&amp;Weekly_Pmod!$B$3&amp;$B$2&amp;Weekly_Pmod!$B$1)</f>
        <v>0</v>
      </c>
      <c r="EJ13" s="2">
        <f>COUNTIF(defects!$AB:$AB,Weekly_Pmod!EJ$3&amp;Weekly_Pmod!$B13&amp;Weekly_Pmod!$B$3&amp;$B$2&amp;Weekly_Pmod!$B$1)</f>
        <v>0</v>
      </c>
      <c r="EK13" s="2">
        <f>COUNTIF(defects!$AB:$AB,Weekly_Pmod!EK$3&amp;Weekly_Pmod!$B13&amp;Weekly_Pmod!$B$3&amp;$B$2&amp;Weekly_Pmod!$B$1)</f>
        <v>0</v>
      </c>
      <c r="EL13" s="2">
        <f>COUNTIF(defects!$AB:$AB,Weekly_Pmod!EL$3&amp;Weekly_Pmod!$B13&amp;Weekly_Pmod!$B$3&amp;$B$2&amp;Weekly_Pmod!$B$1)</f>
        <v>0</v>
      </c>
      <c r="EM13" s="2">
        <f>COUNTIF(defects!$AB:$AB,Weekly_Pmod!EM$3&amp;Weekly_Pmod!$B13&amp;Weekly_Pmod!$B$3&amp;$B$2&amp;Weekly_Pmod!$B$1)</f>
        <v>0</v>
      </c>
      <c r="EN13" s="2">
        <f>COUNTIF(defects!$AB:$AB,Weekly_Pmod!EN$3&amp;Weekly_Pmod!$B13&amp;Weekly_Pmod!$B$3&amp;$B$2&amp;Weekly_Pmod!$B$1)</f>
        <v>0</v>
      </c>
      <c r="EO13" s="2">
        <f>COUNTIF(defects!$AB:$AB,Weekly_Pmod!EO$3&amp;Weekly_Pmod!$B13&amp;Weekly_Pmod!$B$3&amp;$B$2&amp;Weekly_Pmod!$B$1)</f>
        <v>0</v>
      </c>
      <c r="EP13" s="2">
        <f>COUNTIF(defects!$AB:$AB,Weekly_Pmod!EP$3&amp;Weekly_Pmod!$B13&amp;Weekly_Pmod!$B$3&amp;$B$2&amp;Weekly_Pmod!$B$1)</f>
        <v>0</v>
      </c>
      <c r="EQ13" s="2">
        <f>COUNTIF(defects!$AB:$AB,Weekly_Pmod!EQ$3&amp;Weekly_Pmod!$B13&amp;Weekly_Pmod!$B$3&amp;$B$2&amp;Weekly_Pmod!$B$1)</f>
        <v>0</v>
      </c>
      <c r="ER13" s="2">
        <f>COUNTIF(defects!$AB:$AB,Weekly_Pmod!ER$3&amp;Weekly_Pmod!$B13&amp;Weekly_Pmod!$B$3&amp;$B$2&amp;Weekly_Pmod!$B$1)</f>
        <v>0</v>
      </c>
      <c r="ES13" s="2">
        <f>COUNTIF(defects!$AB:$AB,Weekly_Pmod!ES$3&amp;Weekly_Pmod!$B13&amp;Weekly_Pmod!$B$3&amp;$B$2&amp;Weekly_Pmod!$B$1)</f>
        <v>0</v>
      </c>
      <c r="ET13" s="2">
        <f>COUNTIF(defects!$AB:$AB,Weekly_Pmod!ET$3&amp;Weekly_Pmod!$B13&amp;Weekly_Pmod!$B$3&amp;$B$2&amp;Weekly_Pmod!$B$1)</f>
        <v>0</v>
      </c>
      <c r="EU13" s="2">
        <f>COUNTIF(defects!$AB:$AB,Weekly_Pmod!EU$3&amp;Weekly_Pmod!$B13&amp;Weekly_Pmod!$B$3&amp;$B$2&amp;Weekly_Pmod!$B$1)</f>
        <v>0</v>
      </c>
      <c r="EV13" s="2">
        <f>COUNTIF(defects!$AB:$AB,Weekly_Pmod!EV$3&amp;Weekly_Pmod!$B13&amp;Weekly_Pmod!$B$3&amp;$B$2&amp;Weekly_Pmod!$B$1)</f>
        <v>0</v>
      </c>
      <c r="EW13" s="2">
        <f>COUNTIF(defects!$AB:$AB,Weekly_Pmod!EW$3&amp;Weekly_Pmod!$B13&amp;Weekly_Pmod!$B$3&amp;$B$2&amp;Weekly_Pmod!$B$1)</f>
        <v>0</v>
      </c>
      <c r="EX13" s="2">
        <f>COUNTIF(defects!$AB:$AB,Weekly_Pmod!EX$3&amp;Weekly_Pmod!$B13&amp;Weekly_Pmod!$B$3&amp;$B$2&amp;Weekly_Pmod!$B$1)</f>
        <v>0</v>
      </c>
      <c r="EY13" s="2">
        <f>COUNTIF(defects!$AB:$AB,Weekly_Pmod!EY$3&amp;Weekly_Pmod!$B13&amp;Weekly_Pmod!$B$3&amp;$B$2&amp;Weekly_Pmod!$B$1)</f>
        <v>0</v>
      </c>
      <c r="EZ13" s="2">
        <f>COUNTIF(defects!$AB:$AB,Weekly_Pmod!EZ$3&amp;Weekly_Pmod!$B13&amp;Weekly_Pmod!$B$3&amp;$B$2&amp;Weekly_Pmod!$B$1)</f>
        <v>0</v>
      </c>
      <c r="FA13" s="2">
        <f>COUNTIF(defects!$AB:$AB,Weekly_Pmod!FA$3&amp;Weekly_Pmod!$B13&amp;Weekly_Pmod!$B$3&amp;$B$2&amp;Weekly_Pmod!$B$1)</f>
        <v>0</v>
      </c>
      <c r="FB13" s="2">
        <f>COUNTIF(defects!$AB:$AB,Weekly_Pmod!FB$3&amp;Weekly_Pmod!$B13&amp;Weekly_Pmod!$B$3&amp;$B$2&amp;Weekly_Pmod!$B$1)</f>
        <v>0</v>
      </c>
      <c r="FC13" s="2">
        <f>COUNTIF(defects!$AB:$AB,Weekly_Pmod!FC$3&amp;Weekly_Pmod!$B13&amp;Weekly_Pmod!$B$3&amp;$B$2&amp;Weekly_Pmod!$B$1)</f>
        <v>0</v>
      </c>
      <c r="FD13" s="2">
        <f>COUNTIF(defects!$AB:$AB,Weekly_Pmod!FD$3&amp;Weekly_Pmod!$B13&amp;Weekly_Pmod!$B$3&amp;$B$2&amp;Weekly_Pmod!$B$1)</f>
        <v>0</v>
      </c>
      <c r="FE13" s="2">
        <f>COUNTIF(defects!$AB:$AB,Weekly_Pmod!FE$3&amp;Weekly_Pmod!$B13&amp;Weekly_Pmod!$B$3&amp;$B$2&amp;Weekly_Pmod!$B$1)</f>
        <v>0</v>
      </c>
    </row>
    <row r="14" spans="2:161">
      <c r="B14" s="2" t="s">
        <v>993</v>
      </c>
      <c r="C14" s="2">
        <f>COUNTIF(defects!$AB:$AB,Weekly_Pmod!C$3&amp;Weekly_Pmod!$B14&amp;Weekly_Pmod!$B$3&amp;$B$2&amp;Weekly_Pmod!$B$1)</f>
        <v>0</v>
      </c>
      <c r="D14" s="2">
        <f>COUNTIF(defects!$AB:$AB,Weekly_Pmod!D$3&amp;Weekly_Pmod!$B14&amp;Weekly_Pmod!$B$3&amp;$B$2&amp;Weekly_Pmod!$B$1)</f>
        <v>0</v>
      </c>
      <c r="E14" s="2">
        <f>COUNTIF(defects!$AB:$AB,Weekly_Pmod!E$3&amp;Weekly_Pmod!$B14&amp;Weekly_Pmod!$B$3&amp;$B$2&amp;Weekly_Pmod!$B$1)</f>
        <v>0</v>
      </c>
      <c r="F14" s="2">
        <f>COUNTIF(defects!$AB:$AB,Weekly_Pmod!F$3&amp;Weekly_Pmod!$B14&amp;Weekly_Pmod!$B$3&amp;$B$2&amp;Weekly_Pmod!$B$1)</f>
        <v>0</v>
      </c>
      <c r="G14" s="2">
        <f>COUNTIF(defects!$AB:$AB,Weekly_Pmod!G$3&amp;Weekly_Pmod!$B14&amp;Weekly_Pmod!$B$3&amp;$B$2&amp;Weekly_Pmod!$B$1)</f>
        <v>0</v>
      </c>
      <c r="H14" s="2">
        <f>COUNTIF(defects!$AB:$AB,Weekly_Pmod!H$3&amp;Weekly_Pmod!$B14&amp;Weekly_Pmod!$B$3&amp;$B$2&amp;Weekly_Pmod!$B$1)</f>
        <v>0</v>
      </c>
      <c r="I14" s="2">
        <f>COUNTIF(defects!$AB:$AB,Weekly_Pmod!I$3&amp;Weekly_Pmod!$B14&amp;Weekly_Pmod!$B$3&amp;$B$2&amp;Weekly_Pmod!$B$1)</f>
        <v>0</v>
      </c>
      <c r="J14" s="2">
        <f>COUNTIF(defects!$AB:$AB,Weekly_Pmod!J$3&amp;Weekly_Pmod!$B14&amp;Weekly_Pmod!$B$3&amp;$B$2&amp;Weekly_Pmod!$B$1)</f>
        <v>0</v>
      </c>
      <c r="K14" s="2">
        <f>COUNTIF(defects!$AB:$AB,Weekly_Pmod!K$3&amp;Weekly_Pmod!$B14&amp;Weekly_Pmod!$B$3&amp;$B$2&amp;Weekly_Pmod!$B$1)</f>
        <v>0</v>
      </c>
      <c r="L14" s="2">
        <f>COUNTIF(defects!$AB:$AB,Weekly_Pmod!L$3&amp;Weekly_Pmod!$B14&amp;Weekly_Pmod!$B$3&amp;$B$2&amp;Weekly_Pmod!$B$1)</f>
        <v>0</v>
      </c>
      <c r="M14" s="2">
        <f>COUNTIF(defects!$AB:$AB,Weekly_Pmod!M$3&amp;Weekly_Pmod!$B14&amp;Weekly_Pmod!$B$3&amp;$B$2&amp;Weekly_Pmod!$B$1)</f>
        <v>0</v>
      </c>
      <c r="N14" s="2">
        <f>COUNTIF(defects!$AB:$AB,Weekly_Pmod!N$3&amp;Weekly_Pmod!$B14&amp;Weekly_Pmod!$B$3&amp;$B$2&amp;Weekly_Pmod!$B$1)</f>
        <v>0</v>
      </c>
      <c r="O14" s="2">
        <f>COUNTIF(defects!$AB:$AB,Weekly_Pmod!O$3&amp;Weekly_Pmod!$B14&amp;Weekly_Pmod!$B$3&amp;$B$2&amp;Weekly_Pmod!$B$1)</f>
        <v>0</v>
      </c>
      <c r="P14" s="2">
        <f>COUNTIF(defects!$AB:$AB,Weekly_Pmod!P$3&amp;Weekly_Pmod!$B14&amp;Weekly_Pmod!$B$3&amp;$B$2&amp;Weekly_Pmod!$B$1)</f>
        <v>0</v>
      </c>
      <c r="Q14" s="2">
        <f>COUNTIF(defects!$AB:$AB,Weekly_Pmod!Q$3&amp;Weekly_Pmod!$B14&amp;Weekly_Pmod!$B$3&amp;$B$2&amp;Weekly_Pmod!$B$1)</f>
        <v>0</v>
      </c>
      <c r="R14" s="2">
        <f>COUNTIF(defects!$AB:$AB,Weekly_Pmod!R$3&amp;Weekly_Pmod!$B14&amp;Weekly_Pmod!$B$3&amp;$B$2&amp;Weekly_Pmod!$B$1)</f>
        <v>0</v>
      </c>
      <c r="S14" s="2">
        <f>COUNTIF(defects!$AB:$AB,Weekly_Pmod!S$3&amp;Weekly_Pmod!$B14&amp;Weekly_Pmod!$B$3&amp;$B$2&amp;Weekly_Pmod!$B$1)</f>
        <v>0</v>
      </c>
      <c r="T14" s="2">
        <f>COUNTIF(defects!$AB:$AB,Weekly_Pmod!T$3&amp;Weekly_Pmod!$B14&amp;Weekly_Pmod!$B$3&amp;$B$2&amp;Weekly_Pmod!$B$1)</f>
        <v>0</v>
      </c>
      <c r="U14" s="2">
        <f>COUNTIF(defects!$AB:$AB,Weekly_Pmod!U$3&amp;Weekly_Pmod!$B14&amp;Weekly_Pmod!$B$3&amp;$B$2&amp;Weekly_Pmod!$B$1)</f>
        <v>0</v>
      </c>
      <c r="V14" s="2">
        <f>COUNTIF(defects!$AB:$AB,Weekly_Pmod!V$3&amp;Weekly_Pmod!$B14&amp;Weekly_Pmod!$B$3&amp;$B$2&amp;Weekly_Pmod!$B$1)</f>
        <v>0</v>
      </c>
      <c r="W14" s="2">
        <f>COUNTIF(defects!$AB:$AB,Weekly_Pmod!W$3&amp;Weekly_Pmod!$B14&amp;Weekly_Pmod!$B$3&amp;$B$2&amp;Weekly_Pmod!$B$1)</f>
        <v>0</v>
      </c>
      <c r="X14" s="2">
        <f>COUNTIF(defects!$AB:$AB,Weekly_Pmod!X$3&amp;Weekly_Pmod!$B14&amp;Weekly_Pmod!$B$3&amp;$B$2&amp;Weekly_Pmod!$B$1)</f>
        <v>0</v>
      </c>
      <c r="Y14" s="2">
        <f>COUNTIF(defects!$AB:$AB,Weekly_Pmod!Y$3&amp;Weekly_Pmod!$B14&amp;Weekly_Pmod!$B$3&amp;$B$2&amp;Weekly_Pmod!$B$1)</f>
        <v>0</v>
      </c>
      <c r="Z14" s="2">
        <f>COUNTIF(defects!$AB:$AB,Weekly_Pmod!Z$3&amp;Weekly_Pmod!$B14&amp;Weekly_Pmod!$B$3&amp;$B$2&amp;Weekly_Pmod!$B$1)</f>
        <v>0</v>
      </c>
      <c r="AA14" s="2">
        <f>COUNTIF(defects!$AB:$AB,Weekly_Pmod!AA$3&amp;Weekly_Pmod!$B14&amp;Weekly_Pmod!$B$3&amp;$B$2&amp;Weekly_Pmod!$B$1)</f>
        <v>0</v>
      </c>
      <c r="AB14" s="2">
        <f>COUNTIF(defects!$AB:$AB,Weekly_Pmod!AB$3&amp;Weekly_Pmod!$B14&amp;Weekly_Pmod!$B$3&amp;$B$2&amp;Weekly_Pmod!$B$1)</f>
        <v>0</v>
      </c>
      <c r="AC14" s="2">
        <f>COUNTIF(defects!$AB:$AB,Weekly_Pmod!AC$3&amp;Weekly_Pmod!$B14&amp;Weekly_Pmod!$B$3&amp;$B$2&amp;Weekly_Pmod!$B$1)</f>
        <v>0</v>
      </c>
      <c r="AD14" s="2">
        <f>COUNTIF(defects!$AB:$AB,Weekly_Pmod!AD$3&amp;Weekly_Pmod!$B14&amp;Weekly_Pmod!$B$3&amp;$B$2&amp;Weekly_Pmod!$B$1)</f>
        <v>0</v>
      </c>
      <c r="AE14" s="2">
        <f>COUNTIF(defects!$AB:$AB,Weekly_Pmod!AE$3&amp;Weekly_Pmod!$B14&amp;Weekly_Pmod!$B$3&amp;$B$2&amp;Weekly_Pmod!$B$1)</f>
        <v>0</v>
      </c>
      <c r="AF14" s="2">
        <f>COUNTIF(defects!$AB:$AB,Weekly_Pmod!AF$3&amp;Weekly_Pmod!$B14&amp;Weekly_Pmod!$B$3&amp;$B$2&amp;Weekly_Pmod!$B$1)</f>
        <v>0</v>
      </c>
      <c r="AG14" s="2">
        <f>COUNTIF(defects!$AB:$AB,Weekly_Pmod!AG$3&amp;Weekly_Pmod!$B14&amp;Weekly_Pmod!$B$3&amp;$B$2&amp;Weekly_Pmod!$B$1)</f>
        <v>0</v>
      </c>
      <c r="AH14" s="2">
        <f>COUNTIF(defects!$AB:$AB,Weekly_Pmod!AH$3&amp;Weekly_Pmod!$B14&amp;Weekly_Pmod!$B$3&amp;$B$2&amp;Weekly_Pmod!$B$1)</f>
        <v>0</v>
      </c>
      <c r="AI14" s="2">
        <f>COUNTIF(defects!$AB:$AB,Weekly_Pmod!AI$3&amp;Weekly_Pmod!$B14&amp;Weekly_Pmod!$B$3&amp;$B$2&amp;Weekly_Pmod!$B$1)</f>
        <v>0</v>
      </c>
      <c r="AJ14" s="2">
        <f>COUNTIF(defects!$AB:$AB,Weekly_Pmod!AJ$3&amp;Weekly_Pmod!$B14&amp;Weekly_Pmod!$B$3&amp;$B$2&amp;Weekly_Pmod!$B$1)</f>
        <v>0</v>
      </c>
      <c r="AK14" s="2">
        <f>COUNTIF(defects!$AB:$AB,Weekly_Pmod!AK$3&amp;Weekly_Pmod!$B14&amp;Weekly_Pmod!$B$3&amp;$B$2&amp;Weekly_Pmod!$B$1)</f>
        <v>0</v>
      </c>
      <c r="AL14" s="2">
        <f>COUNTIF(defects!$AB:$AB,Weekly_Pmod!AL$3&amp;Weekly_Pmod!$B14&amp;Weekly_Pmod!$B$3&amp;$B$2&amp;Weekly_Pmod!$B$1)</f>
        <v>0</v>
      </c>
      <c r="AM14" s="2">
        <f>COUNTIF(defects!$AB:$AB,Weekly_Pmod!AM$3&amp;Weekly_Pmod!$B14&amp;Weekly_Pmod!$B$3&amp;$B$2&amp;Weekly_Pmod!$B$1)</f>
        <v>0</v>
      </c>
      <c r="AN14" s="2">
        <f>COUNTIF(defects!$AB:$AB,Weekly_Pmod!AN$3&amp;Weekly_Pmod!$B14&amp;Weekly_Pmod!$B$3&amp;$B$2&amp;Weekly_Pmod!$B$1)</f>
        <v>0</v>
      </c>
      <c r="AO14" s="2">
        <f>COUNTIF(defects!$AB:$AB,Weekly_Pmod!AO$3&amp;Weekly_Pmod!$B14&amp;Weekly_Pmod!$B$3&amp;$B$2&amp;Weekly_Pmod!$B$1)</f>
        <v>0</v>
      </c>
      <c r="AP14" s="2">
        <f>COUNTIF(defects!$AB:$AB,Weekly_Pmod!AP$3&amp;Weekly_Pmod!$B14&amp;Weekly_Pmod!$B$3&amp;$B$2&amp;Weekly_Pmod!$B$1)</f>
        <v>0</v>
      </c>
      <c r="AQ14" s="2">
        <f>COUNTIF(defects!$AB:$AB,Weekly_Pmod!AQ$3&amp;Weekly_Pmod!$B14&amp;Weekly_Pmod!$B$3&amp;$B$2&amp;Weekly_Pmod!$B$1)</f>
        <v>0</v>
      </c>
      <c r="AR14" s="2">
        <f>COUNTIF(defects!$AB:$AB,Weekly_Pmod!AR$3&amp;Weekly_Pmod!$B14&amp;Weekly_Pmod!$B$3&amp;$B$2&amp;Weekly_Pmod!$B$1)</f>
        <v>0</v>
      </c>
      <c r="AS14" s="2">
        <f>COUNTIF(defects!$AB:$AB,Weekly_Pmod!AS$3&amp;Weekly_Pmod!$B14&amp;Weekly_Pmod!$B$3&amp;$B$2&amp;Weekly_Pmod!$B$1)</f>
        <v>0</v>
      </c>
      <c r="AT14" s="2">
        <f>COUNTIF(defects!$AB:$AB,Weekly_Pmod!AT$3&amp;Weekly_Pmod!$B14&amp;Weekly_Pmod!$B$3&amp;$B$2&amp;Weekly_Pmod!$B$1)</f>
        <v>0</v>
      </c>
      <c r="AU14" s="2">
        <f>COUNTIF(defects!$AB:$AB,Weekly_Pmod!AU$3&amp;Weekly_Pmod!$B14&amp;Weekly_Pmod!$B$3&amp;$B$2&amp;Weekly_Pmod!$B$1)</f>
        <v>0</v>
      </c>
      <c r="AV14" s="2">
        <f>COUNTIF(defects!$AB:$AB,Weekly_Pmod!AV$3&amp;Weekly_Pmod!$B14&amp;Weekly_Pmod!$B$3&amp;$B$2&amp;Weekly_Pmod!$B$1)</f>
        <v>0</v>
      </c>
      <c r="AW14" s="2">
        <f>COUNTIF(defects!$AB:$AB,Weekly_Pmod!AW$3&amp;Weekly_Pmod!$B14&amp;Weekly_Pmod!$B$3&amp;$B$2&amp;Weekly_Pmod!$B$1)</f>
        <v>0</v>
      </c>
      <c r="AX14" s="2">
        <f>COUNTIF(defects!$AB:$AB,Weekly_Pmod!AX$3&amp;Weekly_Pmod!$B14&amp;Weekly_Pmod!$B$3&amp;$B$2&amp;Weekly_Pmod!$B$1)</f>
        <v>0</v>
      </c>
      <c r="AY14" s="2">
        <f>COUNTIF(defects!$AB:$AB,Weekly_Pmod!AY$3&amp;Weekly_Pmod!$B14&amp;Weekly_Pmod!$B$3&amp;$B$2&amp;Weekly_Pmod!$B$1)</f>
        <v>0</v>
      </c>
      <c r="AZ14" s="2">
        <f>COUNTIF(defects!$AB:$AB,Weekly_Pmod!AZ$3&amp;Weekly_Pmod!$B14&amp;Weekly_Pmod!$B$3&amp;$B$2&amp;Weekly_Pmod!$B$1)</f>
        <v>0</v>
      </c>
      <c r="BA14" s="2">
        <f>COUNTIF(defects!$AB:$AB,Weekly_Pmod!BA$3&amp;Weekly_Pmod!$B14&amp;Weekly_Pmod!$B$3&amp;$B$2&amp;Weekly_Pmod!$B$1)</f>
        <v>0</v>
      </c>
      <c r="BB14" s="2">
        <f>COUNTIF(defects!$AB:$AB,Weekly_Pmod!BB$3&amp;Weekly_Pmod!$B14&amp;Weekly_Pmod!$B$3&amp;$B$2&amp;Weekly_Pmod!$B$1)</f>
        <v>0</v>
      </c>
      <c r="BC14" s="2">
        <f>COUNTIF(defects!$AB:$AB,Weekly_Pmod!BC$3&amp;Weekly_Pmod!$B14&amp;Weekly_Pmod!$B$3&amp;$B$2&amp;Weekly_Pmod!$B$1)</f>
        <v>0</v>
      </c>
      <c r="BD14" s="2">
        <f>COUNTIF(defects!$AB:$AB,Weekly_Pmod!BD$3&amp;Weekly_Pmod!$B14&amp;Weekly_Pmod!$B$3&amp;$B$2&amp;Weekly_Pmod!$B$1)</f>
        <v>0</v>
      </c>
      <c r="BE14" s="2">
        <f>COUNTIF(defects!$AB:$AB,Weekly_Pmod!BE$3&amp;Weekly_Pmod!$B14&amp;Weekly_Pmod!$B$3&amp;$B$2&amp;Weekly_Pmod!$B$1)</f>
        <v>0</v>
      </c>
      <c r="BF14" s="2">
        <f>COUNTIF(defects!$AB:$AB,Weekly_Pmod!BF$3&amp;Weekly_Pmod!$B14&amp;Weekly_Pmod!$B$3&amp;$B$2&amp;Weekly_Pmod!$B$1)</f>
        <v>0</v>
      </c>
      <c r="BG14" s="2">
        <f>COUNTIF(defects!$AB:$AB,Weekly_Pmod!BG$3&amp;Weekly_Pmod!$B14&amp;Weekly_Pmod!$B$3&amp;$B$2&amp;Weekly_Pmod!$B$1)</f>
        <v>0</v>
      </c>
      <c r="BH14" s="2">
        <f>COUNTIF(defects!$AB:$AB,Weekly_Pmod!BH$3&amp;Weekly_Pmod!$B14&amp;Weekly_Pmod!$B$3&amp;$B$2&amp;Weekly_Pmod!$B$1)</f>
        <v>0</v>
      </c>
      <c r="BI14" s="2">
        <f>COUNTIF(defects!$AB:$AB,Weekly_Pmod!BI$3&amp;Weekly_Pmod!$B14&amp;Weekly_Pmod!$B$3&amp;$B$2&amp;Weekly_Pmod!$B$1)</f>
        <v>0</v>
      </c>
      <c r="BJ14" s="2">
        <f>COUNTIF(defects!$AB:$AB,Weekly_Pmod!BJ$3&amp;Weekly_Pmod!$B14&amp;Weekly_Pmod!$B$3&amp;$B$2&amp;Weekly_Pmod!$B$1)</f>
        <v>0</v>
      </c>
      <c r="BK14" s="2">
        <f>COUNTIF(defects!$AB:$AB,Weekly_Pmod!BK$3&amp;Weekly_Pmod!$B14&amp;Weekly_Pmod!$B$3&amp;$B$2&amp;Weekly_Pmod!$B$1)</f>
        <v>0</v>
      </c>
      <c r="BL14" s="2">
        <f>COUNTIF(defects!$AB:$AB,Weekly_Pmod!BL$3&amp;Weekly_Pmod!$B14&amp;Weekly_Pmod!$B$3&amp;$B$2&amp;Weekly_Pmod!$B$1)</f>
        <v>0</v>
      </c>
      <c r="BM14" s="2">
        <f>COUNTIF(defects!$AB:$AB,Weekly_Pmod!BM$3&amp;Weekly_Pmod!$B14&amp;Weekly_Pmod!$B$3&amp;$B$2&amp;Weekly_Pmod!$B$1)</f>
        <v>0</v>
      </c>
      <c r="BN14" s="2">
        <f>COUNTIF(defects!$AB:$AB,Weekly_Pmod!BN$3&amp;Weekly_Pmod!$B14&amp;Weekly_Pmod!$B$3&amp;$B$2&amp;Weekly_Pmod!$B$1)</f>
        <v>0</v>
      </c>
      <c r="BO14" s="2">
        <f>COUNTIF(defects!$AB:$AB,Weekly_Pmod!BO$3&amp;Weekly_Pmod!$B14&amp;Weekly_Pmod!$B$3&amp;$B$2&amp;Weekly_Pmod!$B$1)</f>
        <v>0</v>
      </c>
      <c r="BP14" s="2">
        <f>COUNTIF(defects!$AB:$AB,Weekly_Pmod!BP$3&amp;Weekly_Pmod!$B14&amp;Weekly_Pmod!$B$3&amp;$B$2&amp;Weekly_Pmod!$B$1)</f>
        <v>0</v>
      </c>
      <c r="BQ14" s="2">
        <f>COUNTIF(defects!$AB:$AB,Weekly_Pmod!BQ$3&amp;Weekly_Pmod!$B14&amp;Weekly_Pmod!$B$3&amp;$B$2&amp;Weekly_Pmod!$B$1)</f>
        <v>0</v>
      </c>
      <c r="BR14" s="2">
        <f>COUNTIF(defects!$AB:$AB,Weekly_Pmod!BR$3&amp;Weekly_Pmod!$B14&amp;Weekly_Pmod!$B$3&amp;$B$2&amp;Weekly_Pmod!$B$1)</f>
        <v>0</v>
      </c>
      <c r="BS14" s="2">
        <f>COUNTIF(defects!$AB:$AB,Weekly_Pmod!BS$3&amp;Weekly_Pmod!$B14&amp;Weekly_Pmod!$B$3&amp;$B$2&amp;Weekly_Pmod!$B$1)</f>
        <v>0</v>
      </c>
      <c r="BT14" s="2">
        <f>COUNTIF(defects!$AB:$AB,Weekly_Pmod!BT$3&amp;Weekly_Pmod!$B14&amp;Weekly_Pmod!$B$3&amp;$B$2&amp;Weekly_Pmod!$B$1)</f>
        <v>0</v>
      </c>
      <c r="BU14" s="2">
        <f>COUNTIF(defects!$AB:$AB,Weekly_Pmod!BU$3&amp;Weekly_Pmod!$B14&amp;Weekly_Pmod!$B$3&amp;$B$2&amp;Weekly_Pmod!$B$1)</f>
        <v>0</v>
      </c>
      <c r="BV14" s="2">
        <f>COUNTIF(defects!$AB:$AB,Weekly_Pmod!BV$3&amp;Weekly_Pmod!$B14&amp;Weekly_Pmod!$B$3&amp;$B$2&amp;Weekly_Pmod!$B$1)</f>
        <v>0</v>
      </c>
      <c r="BW14" s="2">
        <f>COUNTIF(defects!$AB:$AB,Weekly_Pmod!BW$3&amp;Weekly_Pmod!$B14&amp;Weekly_Pmod!$B$3&amp;$B$2&amp;Weekly_Pmod!$B$1)</f>
        <v>0</v>
      </c>
      <c r="BX14" s="2">
        <f>COUNTIF(defects!$AB:$AB,Weekly_Pmod!BX$3&amp;Weekly_Pmod!$B14&amp;Weekly_Pmod!$B$3&amp;$B$2&amp;Weekly_Pmod!$B$1)</f>
        <v>0</v>
      </c>
      <c r="BY14" s="2">
        <f>COUNTIF(defects!$AB:$AB,Weekly_Pmod!BY$3&amp;Weekly_Pmod!$B14&amp;Weekly_Pmod!$B$3&amp;$B$2&amp;Weekly_Pmod!$B$1)</f>
        <v>0</v>
      </c>
      <c r="BZ14" s="2">
        <f>COUNTIF(defects!$AB:$AB,Weekly_Pmod!BZ$3&amp;Weekly_Pmod!$B14&amp;Weekly_Pmod!$B$3&amp;$B$2&amp;Weekly_Pmod!$B$1)</f>
        <v>0</v>
      </c>
      <c r="CA14" s="2">
        <f>COUNTIF(defects!$AB:$AB,Weekly_Pmod!CA$3&amp;Weekly_Pmod!$B14&amp;Weekly_Pmod!$B$3&amp;$B$2&amp;Weekly_Pmod!$B$1)</f>
        <v>0</v>
      </c>
      <c r="CB14" s="2">
        <f>COUNTIF(defects!$AB:$AB,Weekly_Pmod!CB$3&amp;Weekly_Pmod!$B14&amp;Weekly_Pmod!$B$3&amp;$B$2&amp;Weekly_Pmod!$B$1)</f>
        <v>0</v>
      </c>
      <c r="CC14" s="2">
        <f>COUNTIF(defects!$AB:$AB,Weekly_Pmod!CC$3&amp;Weekly_Pmod!$B14&amp;Weekly_Pmod!$B$3&amp;$B$2&amp;Weekly_Pmod!$B$1)</f>
        <v>0</v>
      </c>
      <c r="CD14" s="2">
        <f>COUNTIF(defects!$AB:$AB,Weekly_Pmod!CD$3&amp;Weekly_Pmod!$B14&amp;Weekly_Pmod!$B$3&amp;$B$2&amp;Weekly_Pmod!$B$1)</f>
        <v>0</v>
      </c>
      <c r="CE14" s="2">
        <f>COUNTIF(defects!$AB:$AB,Weekly_Pmod!CE$3&amp;Weekly_Pmod!$B14&amp;Weekly_Pmod!$B$3&amp;$B$2&amp;Weekly_Pmod!$B$1)</f>
        <v>0</v>
      </c>
      <c r="CF14" s="2">
        <f>COUNTIF(defects!$AB:$AB,Weekly_Pmod!CF$3&amp;Weekly_Pmod!$B14&amp;Weekly_Pmod!$B$3&amp;$B$2&amp;Weekly_Pmod!$B$1)</f>
        <v>0</v>
      </c>
      <c r="CG14" s="2">
        <f>COUNTIF(defects!$AB:$AB,Weekly_Pmod!CG$3&amp;Weekly_Pmod!$B14&amp;Weekly_Pmod!$B$3&amp;$B$2&amp;Weekly_Pmod!$B$1)</f>
        <v>0</v>
      </c>
      <c r="CH14" s="2">
        <f>COUNTIF(defects!$AB:$AB,Weekly_Pmod!CH$3&amp;Weekly_Pmod!$B14&amp;Weekly_Pmod!$B$3&amp;$B$2&amp;Weekly_Pmod!$B$1)</f>
        <v>0</v>
      </c>
      <c r="CI14" s="2">
        <f>COUNTIF(defects!$AB:$AB,Weekly_Pmod!CI$3&amp;Weekly_Pmod!$B14&amp;Weekly_Pmod!$B$3&amp;$B$2&amp;Weekly_Pmod!$B$1)</f>
        <v>0</v>
      </c>
      <c r="CJ14" s="2">
        <f>COUNTIF(defects!$AB:$AB,Weekly_Pmod!CJ$3&amp;Weekly_Pmod!$B14&amp;Weekly_Pmod!$B$3&amp;$B$2&amp;Weekly_Pmod!$B$1)</f>
        <v>0</v>
      </c>
      <c r="CK14" s="2">
        <f>COUNTIF(defects!$AB:$AB,Weekly_Pmod!CK$3&amp;Weekly_Pmod!$B14&amp;Weekly_Pmod!$B$3&amp;$B$2&amp;Weekly_Pmod!$B$1)</f>
        <v>0</v>
      </c>
      <c r="CL14" s="2">
        <f>COUNTIF(defects!$AB:$AB,Weekly_Pmod!CL$3&amp;Weekly_Pmod!$B14&amp;Weekly_Pmod!$B$3&amp;$B$2&amp;Weekly_Pmod!$B$1)</f>
        <v>0</v>
      </c>
      <c r="CM14" s="2">
        <f>COUNTIF(defects!$AB:$AB,Weekly_Pmod!CM$3&amp;Weekly_Pmod!$B14&amp;Weekly_Pmod!$B$3&amp;$B$2&amp;Weekly_Pmod!$B$1)</f>
        <v>0</v>
      </c>
      <c r="CN14" s="2">
        <f>COUNTIF(defects!$AB:$AB,Weekly_Pmod!CN$3&amp;Weekly_Pmod!$B14&amp;Weekly_Pmod!$B$3&amp;$B$2&amp;Weekly_Pmod!$B$1)</f>
        <v>0</v>
      </c>
      <c r="CO14" s="2">
        <f>COUNTIF(defects!$AB:$AB,Weekly_Pmod!CO$3&amp;Weekly_Pmod!$B14&amp;Weekly_Pmod!$B$3&amp;$B$2&amp;Weekly_Pmod!$B$1)</f>
        <v>0</v>
      </c>
      <c r="CP14" s="2">
        <f>COUNTIF(defects!$AB:$AB,Weekly_Pmod!CP$3&amp;Weekly_Pmod!$B14&amp;Weekly_Pmod!$B$3&amp;$B$2&amp;Weekly_Pmod!$B$1)</f>
        <v>0</v>
      </c>
      <c r="CQ14" s="2">
        <f>COUNTIF(defects!$AB:$AB,Weekly_Pmod!CQ$3&amp;Weekly_Pmod!$B14&amp;Weekly_Pmod!$B$3&amp;$B$2&amp;Weekly_Pmod!$B$1)</f>
        <v>0</v>
      </c>
      <c r="CR14" s="2">
        <f>COUNTIF(defects!$AB:$AB,Weekly_Pmod!CR$3&amp;Weekly_Pmod!$B14&amp;Weekly_Pmod!$B$3&amp;$B$2&amp;Weekly_Pmod!$B$1)</f>
        <v>0</v>
      </c>
      <c r="CS14" s="2">
        <f>COUNTIF(defects!$AB:$AB,Weekly_Pmod!CS$3&amp;Weekly_Pmod!$B14&amp;Weekly_Pmod!$B$3&amp;$B$2&amp;Weekly_Pmod!$B$1)</f>
        <v>0</v>
      </c>
      <c r="CT14" s="2">
        <f>COUNTIF(defects!$AB:$AB,Weekly_Pmod!CT$3&amp;Weekly_Pmod!$B14&amp;Weekly_Pmod!$B$3&amp;$B$2&amp;Weekly_Pmod!$B$1)</f>
        <v>0</v>
      </c>
      <c r="CU14" s="2">
        <f>COUNTIF(defects!$AB:$AB,Weekly_Pmod!CU$3&amp;Weekly_Pmod!$B14&amp;Weekly_Pmod!$B$3&amp;$B$2&amp;Weekly_Pmod!$B$1)</f>
        <v>0</v>
      </c>
      <c r="CV14" s="2">
        <f>COUNTIF(defects!$AB:$AB,Weekly_Pmod!CV$3&amp;Weekly_Pmod!$B14&amp;Weekly_Pmod!$B$3&amp;$B$2&amp;Weekly_Pmod!$B$1)</f>
        <v>0</v>
      </c>
      <c r="CW14" s="2">
        <f>COUNTIF(defects!$AB:$AB,Weekly_Pmod!CW$3&amp;Weekly_Pmod!$B14&amp;Weekly_Pmod!$B$3&amp;$B$2&amp;Weekly_Pmod!$B$1)</f>
        <v>0</v>
      </c>
      <c r="CX14" s="2">
        <f>COUNTIF(defects!$AB:$AB,Weekly_Pmod!CX$3&amp;Weekly_Pmod!$B14&amp;Weekly_Pmod!$B$3&amp;$B$2&amp;Weekly_Pmod!$B$1)</f>
        <v>0</v>
      </c>
      <c r="CY14" s="2">
        <f>COUNTIF(defects!$AB:$AB,Weekly_Pmod!CY$3&amp;Weekly_Pmod!$B14&amp;Weekly_Pmod!$B$3&amp;$B$2&amp;Weekly_Pmod!$B$1)</f>
        <v>0</v>
      </c>
      <c r="CZ14" s="2">
        <f>COUNTIF(defects!$AB:$AB,Weekly_Pmod!CZ$3&amp;Weekly_Pmod!$B14&amp;Weekly_Pmod!$B$3&amp;$B$2&amp;Weekly_Pmod!$B$1)</f>
        <v>0</v>
      </c>
      <c r="DA14" s="2">
        <f>COUNTIF(defects!$AB:$AB,Weekly_Pmod!DA$3&amp;Weekly_Pmod!$B14&amp;Weekly_Pmod!$B$3&amp;$B$2&amp;Weekly_Pmod!$B$1)</f>
        <v>0</v>
      </c>
      <c r="DB14" s="2">
        <f>COUNTIF(defects!$AB:$AB,Weekly_Pmod!DB$3&amp;Weekly_Pmod!$B14&amp;Weekly_Pmod!$B$3&amp;$B$2&amp;Weekly_Pmod!$B$1)</f>
        <v>0</v>
      </c>
      <c r="DC14" s="2">
        <f>COUNTIF(defects!$AB:$AB,Weekly_Pmod!DC$3&amp;Weekly_Pmod!$B14&amp;Weekly_Pmod!$B$3&amp;$B$2&amp;Weekly_Pmod!$B$1)</f>
        <v>0</v>
      </c>
      <c r="DD14" s="2">
        <f>COUNTIF(defects!$AB:$AB,Weekly_Pmod!DD$3&amp;Weekly_Pmod!$B14&amp;Weekly_Pmod!$B$3&amp;$B$2&amp;Weekly_Pmod!$B$1)</f>
        <v>0</v>
      </c>
      <c r="DE14" s="2">
        <f>COUNTIF(defects!$AB:$AB,Weekly_Pmod!DE$3&amp;Weekly_Pmod!$B14&amp;Weekly_Pmod!$B$3&amp;$B$2&amp;Weekly_Pmod!$B$1)</f>
        <v>0</v>
      </c>
      <c r="DF14" s="2">
        <f>COUNTIF(defects!$AB:$AB,Weekly_Pmod!DF$3&amp;Weekly_Pmod!$B14&amp;Weekly_Pmod!$B$3&amp;$B$2&amp;Weekly_Pmod!$B$1)</f>
        <v>0</v>
      </c>
      <c r="DG14" s="2">
        <f>COUNTIF(defects!$AB:$AB,Weekly_Pmod!DG$3&amp;Weekly_Pmod!$B14&amp;Weekly_Pmod!$B$3&amp;$B$2&amp;Weekly_Pmod!$B$1)</f>
        <v>0</v>
      </c>
      <c r="DH14" s="2">
        <f>COUNTIF(defects!$AB:$AB,Weekly_Pmod!DH$3&amp;Weekly_Pmod!$B14&amp;Weekly_Pmod!$B$3&amp;$B$2&amp;Weekly_Pmod!$B$1)</f>
        <v>0</v>
      </c>
      <c r="DI14" s="2">
        <f>COUNTIF(defects!$AB:$AB,Weekly_Pmod!DI$3&amp;Weekly_Pmod!$B14&amp;Weekly_Pmod!$B$3&amp;$B$2&amp;Weekly_Pmod!$B$1)</f>
        <v>0</v>
      </c>
      <c r="DJ14" s="2">
        <f>COUNTIF(defects!$AB:$AB,Weekly_Pmod!DJ$3&amp;Weekly_Pmod!$B14&amp;Weekly_Pmod!$B$3&amp;$B$2&amp;Weekly_Pmod!$B$1)</f>
        <v>0</v>
      </c>
      <c r="DK14" s="2">
        <f>COUNTIF(defects!$AB:$AB,Weekly_Pmod!DK$3&amp;Weekly_Pmod!$B14&amp;Weekly_Pmod!$B$3&amp;$B$2&amp;Weekly_Pmod!$B$1)</f>
        <v>0</v>
      </c>
      <c r="DL14" s="2">
        <f>COUNTIF(defects!$AB:$AB,Weekly_Pmod!DL$3&amp;Weekly_Pmod!$B14&amp;Weekly_Pmod!$B$3&amp;$B$2&amp;Weekly_Pmod!$B$1)</f>
        <v>0</v>
      </c>
      <c r="DM14" s="2">
        <f>COUNTIF(defects!$AB:$AB,Weekly_Pmod!DM$3&amp;Weekly_Pmod!$B14&amp;Weekly_Pmod!$B$3&amp;$B$2&amp;Weekly_Pmod!$B$1)</f>
        <v>0</v>
      </c>
      <c r="DN14" s="2">
        <f>COUNTIF(defects!$AB:$AB,Weekly_Pmod!DN$3&amp;Weekly_Pmod!$B14&amp;Weekly_Pmod!$B$3&amp;$B$2&amp;Weekly_Pmod!$B$1)</f>
        <v>0</v>
      </c>
      <c r="DO14" s="2">
        <f>COUNTIF(defects!$AB:$AB,Weekly_Pmod!DO$3&amp;Weekly_Pmod!$B14&amp;Weekly_Pmod!$B$3&amp;$B$2&amp;Weekly_Pmod!$B$1)</f>
        <v>0</v>
      </c>
      <c r="DP14" s="2">
        <f>COUNTIF(defects!$AB:$AB,Weekly_Pmod!DP$3&amp;Weekly_Pmod!$B14&amp;Weekly_Pmod!$B$3&amp;$B$2&amp;Weekly_Pmod!$B$1)</f>
        <v>0</v>
      </c>
      <c r="DQ14" s="2">
        <f>COUNTIF(defects!$AB:$AB,Weekly_Pmod!DQ$3&amp;Weekly_Pmod!$B14&amp;Weekly_Pmod!$B$3&amp;$B$2&amp;Weekly_Pmod!$B$1)</f>
        <v>0</v>
      </c>
      <c r="DR14" s="2">
        <f>COUNTIF(defects!$AB:$AB,Weekly_Pmod!DR$3&amp;Weekly_Pmod!$B14&amp;Weekly_Pmod!$B$3&amp;$B$2&amp;Weekly_Pmod!$B$1)</f>
        <v>0</v>
      </c>
      <c r="DS14" s="2">
        <f>COUNTIF(defects!$AB:$AB,Weekly_Pmod!DS$3&amp;Weekly_Pmod!$B14&amp;Weekly_Pmod!$B$3&amp;$B$2&amp;Weekly_Pmod!$B$1)</f>
        <v>0</v>
      </c>
      <c r="DT14" s="2">
        <f>COUNTIF(defects!$AB:$AB,Weekly_Pmod!DT$3&amp;Weekly_Pmod!$B14&amp;Weekly_Pmod!$B$3&amp;$B$2&amp;Weekly_Pmod!$B$1)</f>
        <v>0</v>
      </c>
      <c r="DU14" s="2">
        <f>COUNTIF(defects!$AB:$AB,Weekly_Pmod!DU$3&amp;Weekly_Pmod!$B14&amp;Weekly_Pmod!$B$3&amp;$B$2&amp;Weekly_Pmod!$B$1)</f>
        <v>0</v>
      </c>
      <c r="DV14" s="2">
        <f>COUNTIF(defects!$AB:$AB,Weekly_Pmod!DV$3&amp;Weekly_Pmod!$B14&amp;Weekly_Pmod!$B$3&amp;$B$2&amp;Weekly_Pmod!$B$1)</f>
        <v>0</v>
      </c>
      <c r="DW14" s="2">
        <f>COUNTIF(defects!$AB:$AB,Weekly_Pmod!DW$3&amp;Weekly_Pmod!$B14&amp;Weekly_Pmod!$B$3&amp;$B$2&amp;Weekly_Pmod!$B$1)</f>
        <v>0</v>
      </c>
      <c r="DX14" s="2">
        <f>COUNTIF(defects!$AB:$AB,Weekly_Pmod!DX$3&amp;Weekly_Pmod!$B14&amp;Weekly_Pmod!$B$3&amp;$B$2&amp;Weekly_Pmod!$B$1)</f>
        <v>0</v>
      </c>
      <c r="DY14" s="2">
        <f>COUNTIF(defects!$AB:$AB,Weekly_Pmod!DY$3&amp;Weekly_Pmod!$B14&amp;Weekly_Pmod!$B$3&amp;$B$2&amp;Weekly_Pmod!$B$1)</f>
        <v>0</v>
      </c>
      <c r="DZ14" s="2">
        <f>COUNTIF(defects!$AB:$AB,Weekly_Pmod!DZ$3&amp;Weekly_Pmod!$B14&amp;Weekly_Pmod!$B$3&amp;$B$2&amp;Weekly_Pmod!$B$1)</f>
        <v>0</v>
      </c>
      <c r="EA14" s="2">
        <f>COUNTIF(defects!$AB:$AB,Weekly_Pmod!EA$3&amp;Weekly_Pmod!$B14&amp;Weekly_Pmod!$B$3&amp;$B$2&amp;Weekly_Pmod!$B$1)</f>
        <v>0</v>
      </c>
      <c r="EB14" s="2">
        <f>COUNTIF(defects!$AB:$AB,Weekly_Pmod!EB$3&amp;Weekly_Pmod!$B14&amp;Weekly_Pmod!$B$3&amp;$B$2&amp;Weekly_Pmod!$B$1)</f>
        <v>0</v>
      </c>
      <c r="EC14" s="2">
        <f>COUNTIF(defects!$AB:$AB,Weekly_Pmod!EC$3&amp;Weekly_Pmod!$B14&amp;Weekly_Pmod!$B$3&amp;$B$2&amp;Weekly_Pmod!$B$1)</f>
        <v>0</v>
      </c>
      <c r="ED14" s="2">
        <f>COUNTIF(defects!$AB:$AB,Weekly_Pmod!ED$3&amp;Weekly_Pmod!$B14&amp;Weekly_Pmod!$B$3&amp;$B$2&amp;Weekly_Pmod!$B$1)</f>
        <v>0</v>
      </c>
      <c r="EE14" s="2">
        <f>COUNTIF(defects!$AB:$AB,Weekly_Pmod!EE$3&amp;Weekly_Pmod!$B14&amp;Weekly_Pmod!$B$3&amp;$B$2&amp;Weekly_Pmod!$B$1)</f>
        <v>0</v>
      </c>
      <c r="EF14" s="2">
        <f>COUNTIF(defects!$AB:$AB,Weekly_Pmod!EF$3&amp;Weekly_Pmod!$B14&amp;Weekly_Pmod!$B$3&amp;$B$2&amp;Weekly_Pmod!$B$1)</f>
        <v>0</v>
      </c>
      <c r="EG14" s="2">
        <f>COUNTIF(defects!$AB:$AB,Weekly_Pmod!EG$3&amp;Weekly_Pmod!$B14&amp;Weekly_Pmod!$B$3&amp;$B$2&amp;Weekly_Pmod!$B$1)</f>
        <v>0</v>
      </c>
      <c r="EH14" s="2">
        <f>COUNTIF(defects!$AB:$AB,Weekly_Pmod!EH$3&amp;Weekly_Pmod!$B14&amp;Weekly_Pmod!$B$3&amp;$B$2&amp;Weekly_Pmod!$B$1)</f>
        <v>0</v>
      </c>
      <c r="EI14" s="2">
        <f>COUNTIF(defects!$AB:$AB,Weekly_Pmod!EI$3&amp;Weekly_Pmod!$B14&amp;Weekly_Pmod!$B$3&amp;$B$2&amp;Weekly_Pmod!$B$1)</f>
        <v>0</v>
      </c>
      <c r="EJ14" s="2">
        <f>COUNTIF(defects!$AB:$AB,Weekly_Pmod!EJ$3&amp;Weekly_Pmod!$B14&amp;Weekly_Pmod!$B$3&amp;$B$2&amp;Weekly_Pmod!$B$1)</f>
        <v>0</v>
      </c>
      <c r="EK14" s="2">
        <f>COUNTIF(defects!$AB:$AB,Weekly_Pmod!EK$3&amp;Weekly_Pmod!$B14&amp;Weekly_Pmod!$B$3&amp;$B$2&amp;Weekly_Pmod!$B$1)</f>
        <v>0</v>
      </c>
      <c r="EL14" s="2">
        <f>COUNTIF(defects!$AB:$AB,Weekly_Pmod!EL$3&amp;Weekly_Pmod!$B14&amp;Weekly_Pmod!$B$3&amp;$B$2&amp;Weekly_Pmod!$B$1)</f>
        <v>0</v>
      </c>
      <c r="EM14" s="2">
        <f>COUNTIF(defects!$AB:$AB,Weekly_Pmod!EM$3&amp;Weekly_Pmod!$B14&amp;Weekly_Pmod!$B$3&amp;$B$2&amp;Weekly_Pmod!$B$1)</f>
        <v>0</v>
      </c>
      <c r="EN14" s="2">
        <f>COUNTIF(defects!$AB:$AB,Weekly_Pmod!EN$3&amp;Weekly_Pmod!$B14&amp;Weekly_Pmod!$B$3&amp;$B$2&amp;Weekly_Pmod!$B$1)</f>
        <v>0</v>
      </c>
      <c r="EO14" s="2">
        <f>COUNTIF(defects!$AB:$AB,Weekly_Pmod!EO$3&amp;Weekly_Pmod!$B14&amp;Weekly_Pmod!$B$3&amp;$B$2&amp;Weekly_Pmod!$B$1)</f>
        <v>0</v>
      </c>
      <c r="EP14" s="2">
        <f>COUNTIF(defects!$AB:$AB,Weekly_Pmod!EP$3&amp;Weekly_Pmod!$B14&amp;Weekly_Pmod!$B$3&amp;$B$2&amp;Weekly_Pmod!$B$1)</f>
        <v>0</v>
      </c>
      <c r="EQ14" s="2">
        <f>COUNTIF(defects!$AB:$AB,Weekly_Pmod!EQ$3&amp;Weekly_Pmod!$B14&amp;Weekly_Pmod!$B$3&amp;$B$2&amp;Weekly_Pmod!$B$1)</f>
        <v>0</v>
      </c>
      <c r="ER14" s="2">
        <f>COUNTIF(defects!$AB:$AB,Weekly_Pmod!ER$3&amp;Weekly_Pmod!$B14&amp;Weekly_Pmod!$B$3&amp;$B$2&amp;Weekly_Pmod!$B$1)</f>
        <v>0</v>
      </c>
      <c r="ES14" s="2">
        <f>COUNTIF(defects!$AB:$AB,Weekly_Pmod!ES$3&amp;Weekly_Pmod!$B14&amp;Weekly_Pmod!$B$3&amp;$B$2&amp;Weekly_Pmod!$B$1)</f>
        <v>0</v>
      </c>
      <c r="ET14" s="2">
        <f>COUNTIF(defects!$AB:$AB,Weekly_Pmod!ET$3&amp;Weekly_Pmod!$B14&amp;Weekly_Pmod!$B$3&amp;$B$2&amp;Weekly_Pmod!$B$1)</f>
        <v>0</v>
      </c>
      <c r="EU14" s="2">
        <f>COUNTIF(defects!$AB:$AB,Weekly_Pmod!EU$3&amp;Weekly_Pmod!$B14&amp;Weekly_Pmod!$B$3&amp;$B$2&amp;Weekly_Pmod!$B$1)</f>
        <v>0</v>
      </c>
      <c r="EV14" s="2">
        <f>COUNTIF(defects!$AB:$AB,Weekly_Pmod!EV$3&amp;Weekly_Pmod!$B14&amp;Weekly_Pmod!$B$3&amp;$B$2&amp;Weekly_Pmod!$B$1)</f>
        <v>0</v>
      </c>
      <c r="EW14" s="2">
        <f>COUNTIF(defects!$AB:$AB,Weekly_Pmod!EW$3&amp;Weekly_Pmod!$B14&amp;Weekly_Pmod!$B$3&amp;$B$2&amp;Weekly_Pmod!$B$1)</f>
        <v>0</v>
      </c>
      <c r="EX14" s="2">
        <f>COUNTIF(defects!$AB:$AB,Weekly_Pmod!EX$3&amp;Weekly_Pmod!$B14&amp;Weekly_Pmod!$B$3&amp;$B$2&amp;Weekly_Pmod!$B$1)</f>
        <v>0</v>
      </c>
      <c r="EY14" s="2">
        <f>COUNTIF(defects!$AB:$AB,Weekly_Pmod!EY$3&amp;Weekly_Pmod!$B14&amp;Weekly_Pmod!$B$3&amp;$B$2&amp;Weekly_Pmod!$B$1)</f>
        <v>0</v>
      </c>
      <c r="EZ14" s="2">
        <f>COUNTIF(defects!$AB:$AB,Weekly_Pmod!EZ$3&amp;Weekly_Pmod!$B14&amp;Weekly_Pmod!$B$3&amp;$B$2&amp;Weekly_Pmod!$B$1)</f>
        <v>0</v>
      </c>
      <c r="FA14" s="2">
        <f>COUNTIF(defects!$AB:$AB,Weekly_Pmod!FA$3&amp;Weekly_Pmod!$B14&amp;Weekly_Pmod!$B$3&amp;$B$2&amp;Weekly_Pmod!$B$1)</f>
        <v>0</v>
      </c>
      <c r="FB14" s="2">
        <f>COUNTIF(defects!$AB:$AB,Weekly_Pmod!FB$3&amp;Weekly_Pmod!$B14&amp;Weekly_Pmod!$B$3&amp;$B$2&amp;Weekly_Pmod!$B$1)</f>
        <v>0</v>
      </c>
      <c r="FC14" s="2">
        <f>COUNTIF(defects!$AB:$AB,Weekly_Pmod!FC$3&amp;Weekly_Pmod!$B14&amp;Weekly_Pmod!$B$3&amp;$B$2&amp;Weekly_Pmod!$B$1)</f>
        <v>0</v>
      </c>
      <c r="FD14" s="2">
        <f>COUNTIF(defects!$AB:$AB,Weekly_Pmod!FD$3&amp;Weekly_Pmod!$B14&amp;Weekly_Pmod!$B$3&amp;$B$2&amp;Weekly_Pmod!$B$1)</f>
        <v>0</v>
      </c>
      <c r="FE14" s="2">
        <f>COUNTIF(defects!$AB:$AB,Weekly_Pmod!FE$3&amp;Weekly_Pmod!$B14&amp;Weekly_Pmod!$B$3&amp;$B$2&amp;Weekly_Pmod!$B$1)</f>
        <v>0</v>
      </c>
    </row>
    <row r="15" spans="2:161">
      <c r="B15" s="2" t="s">
        <v>949</v>
      </c>
      <c r="C15" s="2">
        <f>COUNTIF(defects!$AB:$AB,Weekly_Pmod!C$3&amp;Weekly_Pmod!$B15&amp;Weekly_Pmod!$B$3&amp;$B$2&amp;Weekly_Pmod!$B$1)</f>
        <v>0</v>
      </c>
      <c r="D15" s="2">
        <f>COUNTIF(defects!$AB:$AB,Weekly_Pmod!D$3&amp;Weekly_Pmod!$B15&amp;Weekly_Pmod!$B$3&amp;$B$2&amp;Weekly_Pmod!$B$1)</f>
        <v>0</v>
      </c>
      <c r="E15" s="2">
        <f>COUNTIF(defects!$AB:$AB,Weekly_Pmod!E$3&amp;Weekly_Pmod!$B15&amp;Weekly_Pmod!$B$3&amp;$B$2&amp;Weekly_Pmod!$B$1)</f>
        <v>0</v>
      </c>
      <c r="F15" s="2">
        <f>COUNTIF(defects!$AB:$AB,Weekly_Pmod!F$3&amp;Weekly_Pmod!$B15&amp;Weekly_Pmod!$B$3&amp;$B$2&amp;Weekly_Pmod!$B$1)</f>
        <v>0</v>
      </c>
      <c r="G15" s="2">
        <f>COUNTIF(defects!$AB:$AB,Weekly_Pmod!G$3&amp;Weekly_Pmod!$B15&amp;Weekly_Pmod!$B$3&amp;$B$2&amp;Weekly_Pmod!$B$1)</f>
        <v>0</v>
      </c>
      <c r="H15" s="2">
        <f>COUNTIF(defects!$AB:$AB,Weekly_Pmod!H$3&amp;Weekly_Pmod!$B15&amp;Weekly_Pmod!$B$3&amp;$B$2&amp;Weekly_Pmod!$B$1)</f>
        <v>0</v>
      </c>
      <c r="I15" s="2">
        <f>COUNTIF(defects!$AB:$AB,Weekly_Pmod!I$3&amp;Weekly_Pmod!$B15&amp;Weekly_Pmod!$B$3&amp;$B$2&amp;Weekly_Pmod!$B$1)</f>
        <v>0</v>
      </c>
      <c r="J15" s="2">
        <f>COUNTIF(defects!$AB:$AB,Weekly_Pmod!J$3&amp;Weekly_Pmod!$B15&amp;Weekly_Pmod!$B$3&amp;$B$2&amp;Weekly_Pmod!$B$1)</f>
        <v>0</v>
      </c>
      <c r="K15" s="2">
        <f>COUNTIF(defects!$AB:$AB,Weekly_Pmod!K$3&amp;Weekly_Pmod!$B15&amp;Weekly_Pmod!$B$3&amp;$B$2&amp;Weekly_Pmod!$B$1)</f>
        <v>0</v>
      </c>
      <c r="L15" s="2">
        <f>COUNTIF(defects!$AB:$AB,Weekly_Pmod!L$3&amp;Weekly_Pmod!$B15&amp;Weekly_Pmod!$B$3&amp;$B$2&amp;Weekly_Pmod!$B$1)</f>
        <v>0</v>
      </c>
      <c r="M15" s="2">
        <f>COUNTIF(defects!$AB:$AB,Weekly_Pmod!M$3&amp;Weekly_Pmod!$B15&amp;Weekly_Pmod!$B$3&amp;$B$2&amp;Weekly_Pmod!$B$1)</f>
        <v>0</v>
      </c>
      <c r="N15" s="2">
        <f>COUNTIF(defects!$AB:$AB,Weekly_Pmod!N$3&amp;Weekly_Pmod!$B15&amp;Weekly_Pmod!$B$3&amp;$B$2&amp;Weekly_Pmod!$B$1)</f>
        <v>0</v>
      </c>
      <c r="O15" s="2">
        <f>COUNTIF(defects!$AB:$AB,Weekly_Pmod!O$3&amp;Weekly_Pmod!$B15&amp;Weekly_Pmod!$B$3&amp;$B$2&amp;Weekly_Pmod!$B$1)</f>
        <v>0</v>
      </c>
      <c r="P15" s="2">
        <f>COUNTIF(defects!$AB:$AB,Weekly_Pmod!P$3&amp;Weekly_Pmod!$B15&amp;Weekly_Pmod!$B$3&amp;$B$2&amp;Weekly_Pmod!$B$1)</f>
        <v>0</v>
      </c>
      <c r="Q15" s="2">
        <f>COUNTIF(defects!$AB:$AB,Weekly_Pmod!Q$3&amp;Weekly_Pmod!$B15&amp;Weekly_Pmod!$B$3&amp;$B$2&amp;Weekly_Pmod!$B$1)</f>
        <v>0</v>
      </c>
      <c r="R15" s="2">
        <f>COUNTIF(defects!$AB:$AB,Weekly_Pmod!R$3&amp;Weekly_Pmod!$B15&amp;Weekly_Pmod!$B$3&amp;$B$2&amp;Weekly_Pmod!$B$1)</f>
        <v>0</v>
      </c>
      <c r="S15" s="2">
        <f>COUNTIF(defects!$AB:$AB,Weekly_Pmod!S$3&amp;Weekly_Pmod!$B15&amp;Weekly_Pmod!$B$3&amp;$B$2&amp;Weekly_Pmod!$B$1)</f>
        <v>0</v>
      </c>
      <c r="T15" s="2">
        <f>COUNTIF(defects!$AB:$AB,Weekly_Pmod!T$3&amp;Weekly_Pmod!$B15&amp;Weekly_Pmod!$B$3&amp;$B$2&amp;Weekly_Pmod!$B$1)</f>
        <v>0</v>
      </c>
      <c r="U15" s="2">
        <f>COUNTIF(defects!$AB:$AB,Weekly_Pmod!U$3&amp;Weekly_Pmod!$B15&amp;Weekly_Pmod!$B$3&amp;$B$2&amp;Weekly_Pmod!$B$1)</f>
        <v>0</v>
      </c>
      <c r="V15" s="2">
        <f>COUNTIF(defects!$AB:$AB,Weekly_Pmod!V$3&amp;Weekly_Pmod!$B15&amp;Weekly_Pmod!$B$3&amp;$B$2&amp;Weekly_Pmod!$B$1)</f>
        <v>0</v>
      </c>
      <c r="W15" s="2">
        <f>COUNTIF(defects!$AB:$AB,Weekly_Pmod!W$3&amp;Weekly_Pmod!$B15&amp;Weekly_Pmod!$B$3&amp;$B$2&amp;Weekly_Pmod!$B$1)</f>
        <v>0</v>
      </c>
      <c r="X15" s="2">
        <f>COUNTIF(defects!$AB:$AB,Weekly_Pmod!X$3&amp;Weekly_Pmod!$B15&amp;Weekly_Pmod!$B$3&amp;$B$2&amp;Weekly_Pmod!$B$1)</f>
        <v>0</v>
      </c>
      <c r="Y15" s="2">
        <f>COUNTIF(defects!$AB:$AB,Weekly_Pmod!Y$3&amp;Weekly_Pmod!$B15&amp;Weekly_Pmod!$B$3&amp;$B$2&amp;Weekly_Pmod!$B$1)</f>
        <v>0</v>
      </c>
      <c r="Z15" s="2">
        <f>COUNTIF(defects!$AB:$AB,Weekly_Pmod!Z$3&amp;Weekly_Pmod!$B15&amp;Weekly_Pmod!$B$3&amp;$B$2&amp;Weekly_Pmod!$B$1)</f>
        <v>0</v>
      </c>
      <c r="AA15" s="2">
        <f>COUNTIF(defects!$AB:$AB,Weekly_Pmod!AA$3&amp;Weekly_Pmod!$B15&amp;Weekly_Pmod!$B$3&amp;$B$2&amp;Weekly_Pmod!$B$1)</f>
        <v>0</v>
      </c>
      <c r="AB15" s="2">
        <f>COUNTIF(defects!$AB:$AB,Weekly_Pmod!AB$3&amp;Weekly_Pmod!$B15&amp;Weekly_Pmod!$B$3&amp;$B$2&amp;Weekly_Pmod!$B$1)</f>
        <v>0</v>
      </c>
      <c r="AC15" s="2">
        <f>COUNTIF(defects!$AB:$AB,Weekly_Pmod!AC$3&amp;Weekly_Pmod!$B15&amp;Weekly_Pmod!$B$3&amp;$B$2&amp;Weekly_Pmod!$B$1)</f>
        <v>0</v>
      </c>
      <c r="AD15" s="2">
        <f>COUNTIF(defects!$AB:$AB,Weekly_Pmod!AD$3&amp;Weekly_Pmod!$B15&amp;Weekly_Pmod!$B$3&amp;$B$2&amp;Weekly_Pmod!$B$1)</f>
        <v>0</v>
      </c>
      <c r="AE15" s="2">
        <f>COUNTIF(defects!$AB:$AB,Weekly_Pmod!AE$3&amp;Weekly_Pmod!$B15&amp;Weekly_Pmod!$B$3&amp;$B$2&amp;Weekly_Pmod!$B$1)</f>
        <v>0</v>
      </c>
      <c r="AF15" s="2">
        <f>COUNTIF(defects!$AB:$AB,Weekly_Pmod!AF$3&amp;Weekly_Pmod!$B15&amp;Weekly_Pmod!$B$3&amp;$B$2&amp;Weekly_Pmod!$B$1)</f>
        <v>0</v>
      </c>
      <c r="AG15" s="2">
        <f>COUNTIF(defects!$AB:$AB,Weekly_Pmod!AG$3&amp;Weekly_Pmod!$B15&amp;Weekly_Pmod!$B$3&amp;$B$2&amp;Weekly_Pmod!$B$1)</f>
        <v>0</v>
      </c>
      <c r="AH15" s="2">
        <f>COUNTIF(defects!$AB:$AB,Weekly_Pmod!AH$3&amp;Weekly_Pmod!$B15&amp;Weekly_Pmod!$B$3&amp;$B$2&amp;Weekly_Pmod!$B$1)</f>
        <v>0</v>
      </c>
      <c r="AI15" s="2">
        <f>COUNTIF(defects!$AB:$AB,Weekly_Pmod!AI$3&amp;Weekly_Pmod!$B15&amp;Weekly_Pmod!$B$3&amp;$B$2&amp;Weekly_Pmod!$B$1)</f>
        <v>0</v>
      </c>
      <c r="AJ15" s="2">
        <f>COUNTIF(defects!$AB:$AB,Weekly_Pmod!AJ$3&amp;Weekly_Pmod!$B15&amp;Weekly_Pmod!$B$3&amp;$B$2&amp;Weekly_Pmod!$B$1)</f>
        <v>0</v>
      </c>
      <c r="AK15" s="2">
        <f>COUNTIF(defects!$AB:$AB,Weekly_Pmod!AK$3&amp;Weekly_Pmod!$B15&amp;Weekly_Pmod!$B$3&amp;$B$2&amp;Weekly_Pmod!$B$1)</f>
        <v>0</v>
      </c>
      <c r="AL15" s="2">
        <f>COUNTIF(defects!$AB:$AB,Weekly_Pmod!AL$3&amp;Weekly_Pmod!$B15&amp;Weekly_Pmod!$B$3&amp;$B$2&amp;Weekly_Pmod!$B$1)</f>
        <v>0</v>
      </c>
      <c r="AM15" s="2">
        <f>COUNTIF(defects!$AB:$AB,Weekly_Pmod!AM$3&amp;Weekly_Pmod!$B15&amp;Weekly_Pmod!$B$3&amp;$B$2&amp;Weekly_Pmod!$B$1)</f>
        <v>0</v>
      </c>
      <c r="AN15" s="2">
        <f>COUNTIF(defects!$AB:$AB,Weekly_Pmod!AN$3&amp;Weekly_Pmod!$B15&amp;Weekly_Pmod!$B$3&amp;$B$2&amp;Weekly_Pmod!$B$1)</f>
        <v>0</v>
      </c>
      <c r="AO15" s="2">
        <f>COUNTIF(defects!$AB:$AB,Weekly_Pmod!AO$3&amp;Weekly_Pmod!$B15&amp;Weekly_Pmod!$B$3&amp;$B$2&amp;Weekly_Pmod!$B$1)</f>
        <v>0</v>
      </c>
      <c r="AP15" s="2">
        <f>COUNTIF(defects!$AB:$AB,Weekly_Pmod!AP$3&amp;Weekly_Pmod!$B15&amp;Weekly_Pmod!$B$3&amp;$B$2&amp;Weekly_Pmod!$B$1)</f>
        <v>0</v>
      </c>
      <c r="AQ15" s="2">
        <f>COUNTIF(defects!$AB:$AB,Weekly_Pmod!AQ$3&amp;Weekly_Pmod!$B15&amp;Weekly_Pmod!$B$3&amp;$B$2&amp;Weekly_Pmod!$B$1)</f>
        <v>0</v>
      </c>
      <c r="AR15" s="2">
        <f>COUNTIF(defects!$AB:$AB,Weekly_Pmod!AR$3&amp;Weekly_Pmod!$B15&amp;Weekly_Pmod!$B$3&amp;$B$2&amp;Weekly_Pmod!$B$1)</f>
        <v>0</v>
      </c>
      <c r="AS15" s="2">
        <f>COUNTIF(defects!$AB:$AB,Weekly_Pmod!AS$3&amp;Weekly_Pmod!$B15&amp;Weekly_Pmod!$B$3&amp;$B$2&amp;Weekly_Pmod!$B$1)</f>
        <v>0</v>
      </c>
      <c r="AT15" s="2">
        <f>COUNTIF(defects!$AB:$AB,Weekly_Pmod!AT$3&amp;Weekly_Pmod!$B15&amp;Weekly_Pmod!$B$3&amp;$B$2&amp;Weekly_Pmod!$B$1)</f>
        <v>0</v>
      </c>
      <c r="AU15" s="2">
        <f>COUNTIF(defects!$AB:$AB,Weekly_Pmod!AU$3&amp;Weekly_Pmod!$B15&amp;Weekly_Pmod!$B$3&amp;$B$2&amp;Weekly_Pmod!$B$1)</f>
        <v>0</v>
      </c>
      <c r="AV15" s="2">
        <f>COUNTIF(defects!$AB:$AB,Weekly_Pmod!AV$3&amp;Weekly_Pmod!$B15&amp;Weekly_Pmod!$B$3&amp;$B$2&amp;Weekly_Pmod!$B$1)</f>
        <v>0</v>
      </c>
      <c r="AW15" s="2">
        <f>COUNTIF(defects!$AB:$AB,Weekly_Pmod!AW$3&amp;Weekly_Pmod!$B15&amp;Weekly_Pmod!$B$3&amp;$B$2&amp;Weekly_Pmod!$B$1)</f>
        <v>0</v>
      </c>
      <c r="AX15" s="2">
        <f>COUNTIF(defects!$AB:$AB,Weekly_Pmod!AX$3&amp;Weekly_Pmod!$B15&amp;Weekly_Pmod!$B$3&amp;$B$2&amp;Weekly_Pmod!$B$1)</f>
        <v>0</v>
      </c>
      <c r="AY15" s="2">
        <f>COUNTIF(defects!$AB:$AB,Weekly_Pmod!AY$3&amp;Weekly_Pmod!$B15&amp;Weekly_Pmod!$B$3&amp;$B$2&amp;Weekly_Pmod!$B$1)</f>
        <v>0</v>
      </c>
      <c r="AZ15" s="2">
        <f>COUNTIF(defects!$AB:$AB,Weekly_Pmod!AZ$3&amp;Weekly_Pmod!$B15&amp;Weekly_Pmod!$B$3&amp;$B$2&amp;Weekly_Pmod!$B$1)</f>
        <v>0</v>
      </c>
      <c r="BA15" s="2">
        <f>COUNTIF(defects!$AB:$AB,Weekly_Pmod!BA$3&amp;Weekly_Pmod!$B15&amp;Weekly_Pmod!$B$3&amp;$B$2&amp;Weekly_Pmod!$B$1)</f>
        <v>0</v>
      </c>
      <c r="BB15" s="2">
        <f>COUNTIF(defects!$AB:$AB,Weekly_Pmod!BB$3&amp;Weekly_Pmod!$B15&amp;Weekly_Pmod!$B$3&amp;$B$2&amp;Weekly_Pmod!$B$1)</f>
        <v>0</v>
      </c>
      <c r="BC15" s="2">
        <f>COUNTIF(defects!$AB:$AB,Weekly_Pmod!BC$3&amp;Weekly_Pmod!$B15&amp;Weekly_Pmod!$B$3&amp;$B$2&amp;Weekly_Pmod!$B$1)</f>
        <v>0</v>
      </c>
      <c r="BD15" s="2">
        <f>COUNTIF(defects!$AB:$AB,Weekly_Pmod!BD$3&amp;Weekly_Pmod!$B15&amp;Weekly_Pmod!$B$3&amp;$B$2&amp;Weekly_Pmod!$B$1)</f>
        <v>0</v>
      </c>
      <c r="BE15" s="2">
        <f>COUNTIF(defects!$AB:$AB,Weekly_Pmod!BE$3&amp;Weekly_Pmod!$B15&amp;Weekly_Pmod!$B$3&amp;$B$2&amp;Weekly_Pmod!$B$1)</f>
        <v>0</v>
      </c>
      <c r="BF15" s="2">
        <f>COUNTIF(defects!$AB:$AB,Weekly_Pmod!BF$3&amp;Weekly_Pmod!$B15&amp;Weekly_Pmod!$B$3&amp;$B$2&amp;Weekly_Pmod!$B$1)</f>
        <v>0</v>
      </c>
      <c r="BG15" s="2">
        <f>COUNTIF(defects!$AB:$AB,Weekly_Pmod!BG$3&amp;Weekly_Pmod!$B15&amp;Weekly_Pmod!$B$3&amp;$B$2&amp;Weekly_Pmod!$B$1)</f>
        <v>0</v>
      </c>
      <c r="BH15" s="2">
        <f>COUNTIF(defects!$AB:$AB,Weekly_Pmod!BH$3&amp;Weekly_Pmod!$B15&amp;Weekly_Pmod!$B$3&amp;$B$2&amp;Weekly_Pmod!$B$1)</f>
        <v>0</v>
      </c>
      <c r="BI15" s="2">
        <f>COUNTIF(defects!$AB:$AB,Weekly_Pmod!BI$3&amp;Weekly_Pmod!$B15&amp;Weekly_Pmod!$B$3&amp;$B$2&amp;Weekly_Pmod!$B$1)</f>
        <v>0</v>
      </c>
      <c r="BJ15" s="2">
        <f>COUNTIF(defects!$AB:$AB,Weekly_Pmod!BJ$3&amp;Weekly_Pmod!$B15&amp;Weekly_Pmod!$B$3&amp;$B$2&amp;Weekly_Pmod!$B$1)</f>
        <v>0</v>
      </c>
      <c r="BK15" s="2">
        <f>COUNTIF(defects!$AB:$AB,Weekly_Pmod!BK$3&amp;Weekly_Pmod!$B15&amp;Weekly_Pmod!$B$3&amp;$B$2&amp;Weekly_Pmod!$B$1)</f>
        <v>0</v>
      </c>
      <c r="BL15" s="2">
        <f>COUNTIF(defects!$AB:$AB,Weekly_Pmod!BL$3&amp;Weekly_Pmod!$B15&amp;Weekly_Pmod!$B$3&amp;$B$2&amp;Weekly_Pmod!$B$1)</f>
        <v>0</v>
      </c>
      <c r="BM15" s="2">
        <f>COUNTIF(defects!$AB:$AB,Weekly_Pmod!BM$3&amp;Weekly_Pmod!$B15&amp;Weekly_Pmod!$B$3&amp;$B$2&amp;Weekly_Pmod!$B$1)</f>
        <v>0</v>
      </c>
      <c r="BN15" s="2">
        <f>COUNTIF(defects!$AB:$AB,Weekly_Pmod!BN$3&amp;Weekly_Pmod!$B15&amp;Weekly_Pmod!$B$3&amp;$B$2&amp;Weekly_Pmod!$B$1)</f>
        <v>0</v>
      </c>
      <c r="BO15" s="2">
        <f>COUNTIF(defects!$AB:$AB,Weekly_Pmod!BO$3&amp;Weekly_Pmod!$B15&amp;Weekly_Pmod!$B$3&amp;$B$2&amp;Weekly_Pmod!$B$1)</f>
        <v>0</v>
      </c>
      <c r="BP15" s="2">
        <f>COUNTIF(defects!$AB:$AB,Weekly_Pmod!BP$3&amp;Weekly_Pmod!$B15&amp;Weekly_Pmod!$B$3&amp;$B$2&amp;Weekly_Pmod!$B$1)</f>
        <v>0</v>
      </c>
      <c r="BQ15" s="2">
        <f>COUNTIF(defects!$AB:$AB,Weekly_Pmod!BQ$3&amp;Weekly_Pmod!$B15&amp;Weekly_Pmod!$B$3&amp;$B$2&amp;Weekly_Pmod!$B$1)</f>
        <v>0</v>
      </c>
      <c r="BR15" s="2">
        <f>COUNTIF(defects!$AB:$AB,Weekly_Pmod!BR$3&amp;Weekly_Pmod!$B15&amp;Weekly_Pmod!$B$3&amp;$B$2&amp;Weekly_Pmod!$B$1)</f>
        <v>0</v>
      </c>
      <c r="BS15" s="2">
        <f>COUNTIF(defects!$AB:$AB,Weekly_Pmod!BS$3&amp;Weekly_Pmod!$B15&amp;Weekly_Pmod!$B$3&amp;$B$2&amp;Weekly_Pmod!$B$1)</f>
        <v>0</v>
      </c>
      <c r="BT15" s="2">
        <f>COUNTIF(defects!$AB:$AB,Weekly_Pmod!BT$3&amp;Weekly_Pmod!$B15&amp;Weekly_Pmod!$B$3&amp;$B$2&amp;Weekly_Pmod!$B$1)</f>
        <v>0</v>
      </c>
      <c r="BU15" s="2">
        <f>COUNTIF(defects!$AB:$AB,Weekly_Pmod!BU$3&amp;Weekly_Pmod!$B15&amp;Weekly_Pmod!$B$3&amp;$B$2&amp;Weekly_Pmod!$B$1)</f>
        <v>0</v>
      </c>
      <c r="BV15" s="2">
        <f>COUNTIF(defects!$AB:$AB,Weekly_Pmod!BV$3&amp;Weekly_Pmod!$B15&amp;Weekly_Pmod!$B$3&amp;$B$2&amp;Weekly_Pmod!$B$1)</f>
        <v>0</v>
      </c>
      <c r="BW15" s="2">
        <f>COUNTIF(defects!$AB:$AB,Weekly_Pmod!BW$3&amp;Weekly_Pmod!$B15&amp;Weekly_Pmod!$B$3&amp;$B$2&amp;Weekly_Pmod!$B$1)</f>
        <v>0</v>
      </c>
      <c r="BX15" s="2">
        <f>COUNTIF(defects!$AB:$AB,Weekly_Pmod!BX$3&amp;Weekly_Pmod!$B15&amp;Weekly_Pmod!$B$3&amp;$B$2&amp;Weekly_Pmod!$B$1)</f>
        <v>0</v>
      </c>
      <c r="BY15" s="2">
        <f>COUNTIF(defects!$AB:$AB,Weekly_Pmod!BY$3&amp;Weekly_Pmod!$B15&amp;Weekly_Pmod!$B$3&amp;$B$2&amp;Weekly_Pmod!$B$1)</f>
        <v>0</v>
      </c>
      <c r="BZ15" s="2">
        <f>COUNTIF(defects!$AB:$AB,Weekly_Pmod!BZ$3&amp;Weekly_Pmod!$B15&amp;Weekly_Pmod!$B$3&amp;$B$2&amp;Weekly_Pmod!$B$1)</f>
        <v>0</v>
      </c>
      <c r="CA15" s="2">
        <f>COUNTIF(defects!$AB:$AB,Weekly_Pmod!CA$3&amp;Weekly_Pmod!$B15&amp;Weekly_Pmod!$B$3&amp;$B$2&amp;Weekly_Pmod!$B$1)</f>
        <v>0</v>
      </c>
      <c r="CB15" s="2">
        <f>COUNTIF(defects!$AB:$AB,Weekly_Pmod!CB$3&amp;Weekly_Pmod!$B15&amp;Weekly_Pmod!$B$3&amp;$B$2&amp;Weekly_Pmod!$B$1)</f>
        <v>0</v>
      </c>
      <c r="CC15" s="2">
        <f>COUNTIF(defects!$AB:$AB,Weekly_Pmod!CC$3&amp;Weekly_Pmod!$B15&amp;Weekly_Pmod!$B$3&amp;$B$2&amp;Weekly_Pmod!$B$1)</f>
        <v>0</v>
      </c>
      <c r="CD15" s="2">
        <f>COUNTIF(defects!$AB:$AB,Weekly_Pmod!CD$3&amp;Weekly_Pmod!$B15&amp;Weekly_Pmod!$B$3&amp;$B$2&amp;Weekly_Pmod!$B$1)</f>
        <v>0</v>
      </c>
      <c r="CE15" s="2">
        <f>COUNTIF(defects!$AB:$AB,Weekly_Pmod!CE$3&amp;Weekly_Pmod!$B15&amp;Weekly_Pmod!$B$3&amp;$B$2&amp;Weekly_Pmod!$B$1)</f>
        <v>0</v>
      </c>
      <c r="CF15" s="2">
        <f>COUNTIF(defects!$AB:$AB,Weekly_Pmod!CF$3&amp;Weekly_Pmod!$B15&amp;Weekly_Pmod!$B$3&amp;$B$2&amp;Weekly_Pmod!$B$1)</f>
        <v>2</v>
      </c>
      <c r="CG15" s="2">
        <f>COUNTIF(defects!$AB:$AB,Weekly_Pmod!CG$3&amp;Weekly_Pmod!$B15&amp;Weekly_Pmod!$B$3&amp;$B$2&amp;Weekly_Pmod!$B$1)</f>
        <v>0</v>
      </c>
      <c r="CH15" s="2">
        <f>COUNTIF(defects!$AB:$AB,Weekly_Pmod!CH$3&amp;Weekly_Pmod!$B15&amp;Weekly_Pmod!$B$3&amp;$B$2&amp;Weekly_Pmod!$B$1)</f>
        <v>0</v>
      </c>
      <c r="CI15" s="2">
        <f>COUNTIF(defects!$AB:$AB,Weekly_Pmod!CI$3&amp;Weekly_Pmod!$B15&amp;Weekly_Pmod!$B$3&amp;$B$2&amp;Weekly_Pmod!$B$1)</f>
        <v>0</v>
      </c>
      <c r="CJ15" s="2">
        <f>COUNTIF(defects!$AB:$AB,Weekly_Pmod!CJ$3&amp;Weekly_Pmod!$B15&amp;Weekly_Pmod!$B$3&amp;$B$2&amp;Weekly_Pmod!$B$1)</f>
        <v>0</v>
      </c>
      <c r="CK15" s="2">
        <f>COUNTIF(defects!$AB:$AB,Weekly_Pmod!CK$3&amp;Weekly_Pmod!$B15&amp;Weekly_Pmod!$B$3&amp;$B$2&amp;Weekly_Pmod!$B$1)</f>
        <v>0</v>
      </c>
      <c r="CL15" s="2">
        <f>COUNTIF(defects!$AB:$AB,Weekly_Pmod!CL$3&amp;Weekly_Pmod!$B15&amp;Weekly_Pmod!$B$3&amp;$B$2&amp;Weekly_Pmod!$B$1)</f>
        <v>0</v>
      </c>
      <c r="CM15" s="2">
        <f>COUNTIF(defects!$AB:$AB,Weekly_Pmod!CM$3&amp;Weekly_Pmod!$B15&amp;Weekly_Pmod!$B$3&amp;$B$2&amp;Weekly_Pmod!$B$1)</f>
        <v>0</v>
      </c>
      <c r="CN15" s="2">
        <f>COUNTIF(defects!$AB:$AB,Weekly_Pmod!CN$3&amp;Weekly_Pmod!$B15&amp;Weekly_Pmod!$B$3&amp;$B$2&amp;Weekly_Pmod!$B$1)</f>
        <v>0</v>
      </c>
      <c r="CO15" s="2">
        <f>COUNTIF(defects!$AB:$AB,Weekly_Pmod!CO$3&amp;Weekly_Pmod!$B15&amp;Weekly_Pmod!$B$3&amp;$B$2&amp;Weekly_Pmod!$B$1)</f>
        <v>0</v>
      </c>
      <c r="CP15" s="2">
        <f>COUNTIF(defects!$AB:$AB,Weekly_Pmod!CP$3&amp;Weekly_Pmod!$B15&amp;Weekly_Pmod!$B$3&amp;$B$2&amp;Weekly_Pmod!$B$1)</f>
        <v>0</v>
      </c>
      <c r="CQ15" s="2">
        <f>COUNTIF(defects!$AB:$AB,Weekly_Pmod!CQ$3&amp;Weekly_Pmod!$B15&amp;Weekly_Pmod!$B$3&amp;$B$2&amp;Weekly_Pmod!$B$1)</f>
        <v>0</v>
      </c>
      <c r="CR15" s="2">
        <f>COUNTIF(defects!$AB:$AB,Weekly_Pmod!CR$3&amp;Weekly_Pmod!$B15&amp;Weekly_Pmod!$B$3&amp;$B$2&amp;Weekly_Pmod!$B$1)</f>
        <v>0</v>
      </c>
      <c r="CS15" s="2">
        <f>COUNTIF(defects!$AB:$AB,Weekly_Pmod!CS$3&amp;Weekly_Pmod!$B15&amp;Weekly_Pmod!$B$3&amp;$B$2&amp;Weekly_Pmod!$B$1)</f>
        <v>0</v>
      </c>
      <c r="CT15" s="2">
        <f>COUNTIF(defects!$AB:$AB,Weekly_Pmod!CT$3&amp;Weekly_Pmod!$B15&amp;Weekly_Pmod!$B$3&amp;$B$2&amp;Weekly_Pmod!$B$1)</f>
        <v>0</v>
      </c>
      <c r="CU15" s="2">
        <f>COUNTIF(defects!$AB:$AB,Weekly_Pmod!CU$3&amp;Weekly_Pmod!$B15&amp;Weekly_Pmod!$B$3&amp;$B$2&amp;Weekly_Pmod!$B$1)</f>
        <v>0</v>
      </c>
      <c r="CV15" s="2">
        <f>COUNTIF(defects!$AB:$AB,Weekly_Pmod!CV$3&amp;Weekly_Pmod!$B15&amp;Weekly_Pmod!$B$3&amp;$B$2&amp;Weekly_Pmod!$B$1)</f>
        <v>0</v>
      </c>
      <c r="CW15" s="2">
        <f>COUNTIF(defects!$AB:$AB,Weekly_Pmod!CW$3&amp;Weekly_Pmod!$B15&amp;Weekly_Pmod!$B$3&amp;$B$2&amp;Weekly_Pmod!$B$1)</f>
        <v>0</v>
      </c>
      <c r="CX15" s="2">
        <f>COUNTIF(defects!$AB:$AB,Weekly_Pmod!CX$3&amp;Weekly_Pmod!$B15&amp;Weekly_Pmod!$B$3&amp;$B$2&amp;Weekly_Pmod!$B$1)</f>
        <v>0</v>
      </c>
      <c r="CY15" s="2">
        <f>COUNTIF(defects!$AB:$AB,Weekly_Pmod!CY$3&amp;Weekly_Pmod!$B15&amp;Weekly_Pmod!$B$3&amp;$B$2&amp;Weekly_Pmod!$B$1)</f>
        <v>1</v>
      </c>
      <c r="CZ15" s="2">
        <f>COUNTIF(defects!$AB:$AB,Weekly_Pmod!CZ$3&amp;Weekly_Pmod!$B15&amp;Weekly_Pmod!$B$3&amp;$B$2&amp;Weekly_Pmod!$B$1)</f>
        <v>0</v>
      </c>
      <c r="DA15" s="2">
        <f>COUNTIF(defects!$AB:$AB,Weekly_Pmod!DA$3&amp;Weekly_Pmod!$B15&amp;Weekly_Pmod!$B$3&amp;$B$2&amp;Weekly_Pmod!$B$1)</f>
        <v>0</v>
      </c>
      <c r="DB15" s="2">
        <f>COUNTIF(defects!$AB:$AB,Weekly_Pmod!DB$3&amp;Weekly_Pmod!$B15&amp;Weekly_Pmod!$B$3&amp;$B$2&amp;Weekly_Pmod!$B$1)</f>
        <v>0</v>
      </c>
      <c r="DC15" s="2">
        <f>COUNTIF(defects!$AB:$AB,Weekly_Pmod!DC$3&amp;Weekly_Pmod!$B15&amp;Weekly_Pmod!$B$3&amp;$B$2&amp;Weekly_Pmod!$B$1)</f>
        <v>0</v>
      </c>
      <c r="DD15" s="2">
        <f>COUNTIF(defects!$AB:$AB,Weekly_Pmod!DD$3&amp;Weekly_Pmod!$B15&amp;Weekly_Pmod!$B$3&amp;$B$2&amp;Weekly_Pmod!$B$1)</f>
        <v>0</v>
      </c>
      <c r="DE15" s="2">
        <f>COUNTIF(defects!$AB:$AB,Weekly_Pmod!DE$3&amp;Weekly_Pmod!$B15&amp;Weekly_Pmod!$B$3&amp;$B$2&amp;Weekly_Pmod!$B$1)</f>
        <v>0</v>
      </c>
      <c r="DF15" s="2">
        <f>COUNTIF(defects!$AB:$AB,Weekly_Pmod!DF$3&amp;Weekly_Pmod!$B15&amp;Weekly_Pmod!$B$3&amp;$B$2&amp;Weekly_Pmod!$B$1)</f>
        <v>0</v>
      </c>
      <c r="DG15" s="2">
        <f>COUNTIF(defects!$AB:$AB,Weekly_Pmod!DG$3&amp;Weekly_Pmod!$B15&amp;Weekly_Pmod!$B$3&amp;$B$2&amp;Weekly_Pmod!$B$1)</f>
        <v>0</v>
      </c>
      <c r="DH15" s="2">
        <f>COUNTIF(defects!$AB:$AB,Weekly_Pmod!DH$3&amp;Weekly_Pmod!$B15&amp;Weekly_Pmod!$B$3&amp;$B$2&amp;Weekly_Pmod!$B$1)</f>
        <v>0</v>
      </c>
      <c r="DI15" s="2">
        <f>COUNTIF(defects!$AB:$AB,Weekly_Pmod!DI$3&amp;Weekly_Pmod!$B15&amp;Weekly_Pmod!$B$3&amp;$B$2&amp;Weekly_Pmod!$B$1)</f>
        <v>0</v>
      </c>
      <c r="DJ15" s="2">
        <f>COUNTIF(defects!$AB:$AB,Weekly_Pmod!DJ$3&amp;Weekly_Pmod!$B15&amp;Weekly_Pmod!$B$3&amp;$B$2&amp;Weekly_Pmod!$B$1)</f>
        <v>0</v>
      </c>
      <c r="DK15" s="2">
        <f>COUNTIF(defects!$AB:$AB,Weekly_Pmod!DK$3&amp;Weekly_Pmod!$B15&amp;Weekly_Pmod!$B$3&amp;$B$2&amp;Weekly_Pmod!$B$1)</f>
        <v>0</v>
      </c>
      <c r="DL15" s="2">
        <f>COUNTIF(defects!$AB:$AB,Weekly_Pmod!DL$3&amp;Weekly_Pmod!$B15&amp;Weekly_Pmod!$B$3&amp;$B$2&amp;Weekly_Pmod!$B$1)</f>
        <v>0</v>
      </c>
      <c r="DM15" s="2">
        <f>COUNTIF(defects!$AB:$AB,Weekly_Pmod!DM$3&amp;Weekly_Pmod!$B15&amp;Weekly_Pmod!$B$3&amp;$B$2&amp;Weekly_Pmod!$B$1)</f>
        <v>0</v>
      </c>
      <c r="DN15" s="2">
        <f>COUNTIF(defects!$AB:$AB,Weekly_Pmod!DN$3&amp;Weekly_Pmod!$B15&amp;Weekly_Pmod!$B$3&amp;$B$2&amp;Weekly_Pmod!$B$1)</f>
        <v>0</v>
      </c>
      <c r="DO15" s="2">
        <f>COUNTIF(defects!$AB:$AB,Weekly_Pmod!DO$3&amp;Weekly_Pmod!$B15&amp;Weekly_Pmod!$B$3&amp;$B$2&amp;Weekly_Pmod!$B$1)</f>
        <v>0</v>
      </c>
      <c r="DP15" s="2">
        <f>COUNTIF(defects!$AB:$AB,Weekly_Pmod!DP$3&amp;Weekly_Pmod!$B15&amp;Weekly_Pmod!$B$3&amp;$B$2&amp;Weekly_Pmod!$B$1)</f>
        <v>0</v>
      </c>
      <c r="DQ15" s="2">
        <f>COUNTIF(defects!$AB:$AB,Weekly_Pmod!DQ$3&amp;Weekly_Pmod!$B15&amp;Weekly_Pmod!$B$3&amp;$B$2&amp;Weekly_Pmod!$B$1)</f>
        <v>0</v>
      </c>
      <c r="DR15" s="2">
        <f>COUNTIF(defects!$AB:$AB,Weekly_Pmod!DR$3&amp;Weekly_Pmod!$B15&amp;Weekly_Pmod!$B$3&amp;$B$2&amp;Weekly_Pmod!$B$1)</f>
        <v>0</v>
      </c>
      <c r="DS15" s="2">
        <f>COUNTIF(defects!$AB:$AB,Weekly_Pmod!DS$3&amp;Weekly_Pmod!$B15&amp;Weekly_Pmod!$B$3&amp;$B$2&amp;Weekly_Pmod!$B$1)</f>
        <v>0</v>
      </c>
      <c r="DT15" s="2">
        <f>COUNTIF(defects!$AB:$AB,Weekly_Pmod!DT$3&amp;Weekly_Pmod!$B15&amp;Weekly_Pmod!$B$3&amp;$B$2&amp;Weekly_Pmod!$B$1)</f>
        <v>0</v>
      </c>
      <c r="DU15" s="2">
        <f>COUNTIF(defects!$AB:$AB,Weekly_Pmod!DU$3&amp;Weekly_Pmod!$B15&amp;Weekly_Pmod!$B$3&amp;$B$2&amp;Weekly_Pmod!$B$1)</f>
        <v>0</v>
      </c>
      <c r="DV15" s="2">
        <f>COUNTIF(defects!$AB:$AB,Weekly_Pmod!DV$3&amp;Weekly_Pmod!$B15&amp;Weekly_Pmod!$B$3&amp;$B$2&amp;Weekly_Pmod!$B$1)</f>
        <v>0</v>
      </c>
      <c r="DW15" s="2">
        <f>COUNTIF(defects!$AB:$AB,Weekly_Pmod!DW$3&amp;Weekly_Pmod!$B15&amp;Weekly_Pmod!$B$3&amp;$B$2&amp;Weekly_Pmod!$B$1)</f>
        <v>0</v>
      </c>
      <c r="DX15" s="2">
        <f>COUNTIF(defects!$AB:$AB,Weekly_Pmod!DX$3&amp;Weekly_Pmod!$B15&amp;Weekly_Pmod!$B$3&amp;$B$2&amp;Weekly_Pmod!$B$1)</f>
        <v>0</v>
      </c>
      <c r="DY15" s="2">
        <f>COUNTIF(defects!$AB:$AB,Weekly_Pmod!DY$3&amp;Weekly_Pmod!$B15&amp;Weekly_Pmod!$B$3&amp;$B$2&amp;Weekly_Pmod!$B$1)</f>
        <v>0</v>
      </c>
      <c r="DZ15" s="2">
        <f>COUNTIF(defects!$AB:$AB,Weekly_Pmod!DZ$3&amp;Weekly_Pmod!$B15&amp;Weekly_Pmod!$B$3&amp;$B$2&amp;Weekly_Pmod!$B$1)</f>
        <v>0</v>
      </c>
      <c r="EA15" s="2">
        <f>COUNTIF(defects!$AB:$AB,Weekly_Pmod!EA$3&amp;Weekly_Pmod!$B15&amp;Weekly_Pmod!$B$3&amp;$B$2&amp;Weekly_Pmod!$B$1)</f>
        <v>0</v>
      </c>
      <c r="EB15" s="2">
        <f>COUNTIF(defects!$AB:$AB,Weekly_Pmod!EB$3&amp;Weekly_Pmod!$B15&amp;Weekly_Pmod!$B$3&amp;$B$2&amp;Weekly_Pmod!$B$1)</f>
        <v>0</v>
      </c>
      <c r="EC15" s="2">
        <f>COUNTIF(defects!$AB:$AB,Weekly_Pmod!EC$3&amp;Weekly_Pmod!$B15&amp;Weekly_Pmod!$B$3&amp;$B$2&amp;Weekly_Pmod!$B$1)</f>
        <v>0</v>
      </c>
      <c r="ED15" s="2">
        <f>COUNTIF(defects!$AB:$AB,Weekly_Pmod!ED$3&amp;Weekly_Pmod!$B15&amp;Weekly_Pmod!$B$3&amp;$B$2&amp;Weekly_Pmod!$B$1)</f>
        <v>0</v>
      </c>
      <c r="EE15" s="2">
        <f>COUNTIF(defects!$AB:$AB,Weekly_Pmod!EE$3&amp;Weekly_Pmod!$B15&amp;Weekly_Pmod!$B$3&amp;$B$2&amp;Weekly_Pmod!$B$1)</f>
        <v>0</v>
      </c>
      <c r="EF15" s="2">
        <f>COUNTIF(defects!$AB:$AB,Weekly_Pmod!EF$3&amp;Weekly_Pmod!$B15&amp;Weekly_Pmod!$B$3&amp;$B$2&amp;Weekly_Pmod!$B$1)</f>
        <v>0</v>
      </c>
      <c r="EG15" s="2">
        <f>COUNTIF(defects!$AB:$AB,Weekly_Pmod!EG$3&amp;Weekly_Pmod!$B15&amp;Weekly_Pmod!$B$3&amp;$B$2&amp;Weekly_Pmod!$B$1)</f>
        <v>0</v>
      </c>
      <c r="EH15" s="2">
        <f>COUNTIF(defects!$AB:$AB,Weekly_Pmod!EH$3&amp;Weekly_Pmod!$B15&amp;Weekly_Pmod!$B$3&amp;$B$2&amp;Weekly_Pmod!$B$1)</f>
        <v>0</v>
      </c>
      <c r="EI15" s="2">
        <f>COUNTIF(defects!$AB:$AB,Weekly_Pmod!EI$3&amp;Weekly_Pmod!$B15&amp;Weekly_Pmod!$B$3&amp;$B$2&amp;Weekly_Pmod!$B$1)</f>
        <v>0</v>
      </c>
      <c r="EJ15" s="2">
        <f>COUNTIF(defects!$AB:$AB,Weekly_Pmod!EJ$3&amp;Weekly_Pmod!$B15&amp;Weekly_Pmod!$B$3&amp;$B$2&amp;Weekly_Pmod!$B$1)</f>
        <v>0</v>
      </c>
      <c r="EK15" s="2">
        <f>COUNTIF(defects!$AB:$AB,Weekly_Pmod!EK$3&amp;Weekly_Pmod!$B15&amp;Weekly_Pmod!$B$3&amp;$B$2&amp;Weekly_Pmod!$B$1)</f>
        <v>0</v>
      </c>
      <c r="EL15" s="2">
        <f>COUNTIF(defects!$AB:$AB,Weekly_Pmod!EL$3&amp;Weekly_Pmod!$B15&amp;Weekly_Pmod!$B$3&amp;$B$2&amp;Weekly_Pmod!$B$1)</f>
        <v>0</v>
      </c>
      <c r="EM15" s="2">
        <f>COUNTIF(defects!$AB:$AB,Weekly_Pmod!EM$3&amp;Weekly_Pmod!$B15&amp;Weekly_Pmod!$B$3&amp;$B$2&amp;Weekly_Pmod!$B$1)</f>
        <v>0</v>
      </c>
      <c r="EN15" s="2">
        <f>COUNTIF(defects!$AB:$AB,Weekly_Pmod!EN$3&amp;Weekly_Pmod!$B15&amp;Weekly_Pmod!$B$3&amp;$B$2&amp;Weekly_Pmod!$B$1)</f>
        <v>0</v>
      </c>
      <c r="EO15" s="2">
        <f>COUNTIF(defects!$AB:$AB,Weekly_Pmod!EO$3&amp;Weekly_Pmod!$B15&amp;Weekly_Pmod!$B$3&amp;$B$2&amp;Weekly_Pmod!$B$1)</f>
        <v>0</v>
      </c>
      <c r="EP15" s="2">
        <f>COUNTIF(defects!$AB:$AB,Weekly_Pmod!EP$3&amp;Weekly_Pmod!$B15&amp;Weekly_Pmod!$B$3&amp;$B$2&amp;Weekly_Pmod!$B$1)</f>
        <v>0</v>
      </c>
      <c r="EQ15" s="2">
        <f>COUNTIF(defects!$AB:$AB,Weekly_Pmod!EQ$3&amp;Weekly_Pmod!$B15&amp;Weekly_Pmod!$B$3&amp;$B$2&amp;Weekly_Pmod!$B$1)</f>
        <v>0</v>
      </c>
      <c r="ER15" s="2">
        <f>COUNTIF(defects!$AB:$AB,Weekly_Pmod!ER$3&amp;Weekly_Pmod!$B15&amp;Weekly_Pmod!$B$3&amp;$B$2&amp;Weekly_Pmod!$B$1)</f>
        <v>0</v>
      </c>
      <c r="ES15" s="2">
        <f>COUNTIF(defects!$AB:$AB,Weekly_Pmod!ES$3&amp;Weekly_Pmod!$B15&amp;Weekly_Pmod!$B$3&amp;$B$2&amp;Weekly_Pmod!$B$1)</f>
        <v>0</v>
      </c>
      <c r="ET15" s="2">
        <f>COUNTIF(defects!$AB:$AB,Weekly_Pmod!ET$3&amp;Weekly_Pmod!$B15&amp;Weekly_Pmod!$B$3&amp;$B$2&amp;Weekly_Pmod!$B$1)</f>
        <v>0</v>
      </c>
      <c r="EU15" s="2">
        <f>COUNTIF(defects!$AB:$AB,Weekly_Pmod!EU$3&amp;Weekly_Pmod!$B15&amp;Weekly_Pmod!$B$3&amp;$B$2&amp;Weekly_Pmod!$B$1)</f>
        <v>0</v>
      </c>
      <c r="EV15" s="2">
        <f>COUNTIF(defects!$AB:$AB,Weekly_Pmod!EV$3&amp;Weekly_Pmod!$B15&amp;Weekly_Pmod!$B$3&amp;$B$2&amp;Weekly_Pmod!$B$1)</f>
        <v>0</v>
      </c>
      <c r="EW15" s="2">
        <f>COUNTIF(defects!$AB:$AB,Weekly_Pmod!EW$3&amp;Weekly_Pmod!$B15&amp;Weekly_Pmod!$B$3&amp;$B$2&amp;Weekly_Pmod!$B$1)</f>
        <v>0</v>
      </c>
      <c r="EX15" s="2">
        <f>COUNTIF(defects!$AB:$AB,Weekly_Pmod!EX$3&amp;Weekly_Pmod!$B15&amp;Weekly_Pmod!$B$3&amp;$B$2&amp;Weekly_Pmod!$B$1)</f>
        <v>0</v>
      </c>
      <c r="EY15" s="2">
        <f>COUNTIF(defects!$AB:$AB,Weekly_Pmod!EY$3&amp;Weekly_Pmod!$B15&amp;Weekly_Pmod!$B$3&amp;$B$2&amp;Weekly_Pmod!$B$1)</f>
        <v>0</v>
      </c>
      <c r="EZ15" s="2">
        <f>COUNTIF(defects!$AB:$AB,Weekly_Pmod!EZ$3&amp;Weekly_Pmod!$B15&amp;Weekly_Pmod!$B$3&amp;$B$2&amp;Weekly_Pmod!$B$1)</f>
        <v>0</v>
      </c>
      <c r="FA15" s="2">
        <f>COUNTIF(defects!$AB:$AB,Weekly_Pmod!FA$3&amp;Weekly_Pmod!$B15&amp;Weekly_Pmod!$B$3&amp;$B$2&amp;Weekly_Pmod!$B$1)</f>
        <v>0</v>
      </c>
      <c r="FB15" s="2">
        <f>COUNTIF(defects!$AB:$AB,Weekly_Pmod!FB$3&amp;Weekly_Pmod!$B15&amp;Weekly_Pmod!$B$3&amp;$B$2&amp;Weekly_Pmod!$B$1)</f>
        <v>0</v>
      </c>
      <c r="FC15" s="2">
        <f>COUNTIF(defects!$AB:$AB,Weekly_Pmod!FC$3&amp;Weekly_Pmod!$B15&amp;Weekly_Pmod!$B$3&amp;$B$2&amp;Weekly_Pmod!$B$1)</f>
        <v>0</v>
      </c>
      <c r="FD15" s="2">
        <f>COUNTIF(defects!$AB:$AB,Weekly_Pmod!FD$3&amp;Weekly_Pmod!$B15&amp;Weekly_Pmod!$B$3&amp;$B$2&amp;Weekly_Pmod!$B$1)</f>
        <v>0</v>
      </c>
      <c r="FE15" s="2">
        <f>COUNTIF(defects!$AB:$AB,Weekly_Pmod!FE$3&amp;Weekly_Pmod!$B15&amp;Weekly_Pmod!$B$3&amp;$B$2&amp;Weekly_Pmod!$B$1)</f>
        <v>0</v>
      </c>
    </row>
    <row r="16" spans="2:161">
      <c r="B16" s="2" t="s">
        <v>28</v>
      </c>
      <c r="C16" s="2">
        <f>COUNTIF(defects!$AB:$AB,Weekly_Pmod!C$3&amp;Weekly_Pmod!$B16&amp;Weekly_Pmod!$B$3&amp;$B$2&amp;Weekly_Pmod!$B$1)</f>
        <v>0</v>
      </c>
      <c r="D16" s="2">
        <f>COUNTIF(defects!$AB:$AB,Weekly_Pmod!D$3&amp;Weekly_Pmod!$B16&amp;Weekly_Pmod!$B$3&amp;$B$2&amp;Weekly_Pmod!$B$1)</f>
        <v>0</v>
      </c>
      <c r="E16" s="2">
        <f>COUNTIF(defects!$AB:$AB,Weekly_Pmod!E$3&amp;Weekly_Pmod!$B16&amp;Weekly_Pmod!$B$3&amp;$B$2&amp;Weekly_Pmod!$B$1)</f>
        <v>0</v>
      </c>
      <c r="F16" s="2">
        <f>COUNTIF(defects!$AB:$AB,Weekly_Pmod!F$3&amp;Weekly_Pmod!$B16&amp;Weekly_Pmod!$B$3&amp;$B$2&amp;Weekly_Pmod!$B$1)</f>
        <v>0</v>
      </c>
      <c r="G16" s="2">
        <f>COUNTIF(defects!$AB:$AB,Weekly_Pmod!G$3&amp;Weekly_Pmod!$B16&amp;Weekly_Pmod!$B$3&amp;$B$2&amp;Weekly_Pmod!$B$1)</f>
        <v>0</v>
      </c>
      <c r="H16" s="2">
        <f>COUNTIF(defects!$AB:$AB,Weekly_Pmod!H$3&amp;Weekly_Pmod!$B16&amp;Weekly_Pmod!$B$3&amp;$B$2&amp;Weekly_Pmod!$B$1)</f>
        <v>0</v>
      </c>
      <c r="I16" s="2">
        <f>COUNTIF(defects!$AB:$AB,Weekly_Pmod!I$3&amp;Weekly_Pmod!$B16&amp;Weekly_Pmod!$B$3&amp;$B$2&amp;Weekly_Pmod!$B$1)</f>
        <v>0</v>
      </c>
      <c r="J16" s="2">
        <f>COUNTIF(defects!$AB:$AB,Weekly_Pmod!J$3&amp;Weekly_Pmod!$B16&amp;Weekly_Pmod!$B$3&amp;$B$2&amp;Weekly_Pmod!$B$1)</f>
        <v>0</v>
      </c>
      <c r="K16" s="2">
        <f>COUNTIF(defects!$AB:$AB,Weekly_Pmod!K$3&amp;Weekly_Pmod!$B16&amp;Weekly_Pmod!$B$3&amp;$B$2&amp;Weekly_Pmod!$B$1)</f>
        <v>0</v>
      </c>
      <c r="L16" s="2">
        <f>COUNTIF(defects!$AB:$AB,Weekly_Pmod!L$3&amp;Weekly_Pmod!$B16&amp;Weekly_Pmod!$B$3&amp;$B$2&amp;Weekly_Pmod!$B$1)</f>
        <v>0</v>
      </c>
      <c r="M16" s="2">
        <f>COUNTIF(defects!$AB:$AB,Weekly_Pmod!M$3&amp;Weekly_Pmod!$B16&amp;Weekly_Pmod!$B$3&amp;$B$2&amp;Weekly_Pmod!$B$1)</f>
        <v>0</v>
      </c>
      <c r="N16" s="2">
        <f>COUNTIF(defects!$AB:$AB,Weekly_Pmod!N$3&amp;Weekly_Pmod!$B16&amp;Weekly_Pmod!$B$3&amp;$B$2&amp;Weekly_Pmod!$B$1)</f>
        <v>0</v>
      </c>
      <c r="O16" s="2">
        <f>COUNTIF(defects!$AB:$AB,Weekly_Pmod!O$3&amp;Weekly_Pmod!$B16&amp;Weekly_Pmod!$B$3&amp;$B$2&amp;Weekly_Pmod!$B$1)</f>
        <v>0</v>
      </c>
      <c r="P16" s="2">
        <f>COUNTIF(defects!$AB:$AB,Weekly_Pmod!P$3&amp;Weekly_Pmod!$B16&amp;Weekly_Pmod!$B$3&amp;$B$2&amp;Weekly_Pmod!$B$1)</f>
        <v>0</v>
      </c>
      <c r="Q16" s="2">
        <f>COUNTIF(defects!$AB:$AB,Weekly_Pmod!Q$3&amp;Weekly_Pmod!$B16&amp;Weekly_Pmod!$B$3&amp;$B$2&amp;Weekly_Pmod!$B$1)</f>
        <v>0</v>
      </c>
      <c r="R16" s="2">
        <f>COUNTIF(defects!$AB:$AB,Weekly_Pmod!R$3&amp;Weekly_Pmod!$B16&amp;Weekly_Pmod!$B$3&amp;$B$2&amp;Weekly_Pmod!$B$1)</f>
        <v>0</v>
      </c>
      <c r="S16" s="2">
        <f>COUNTIF(defects!$AB:$AB,Weekly_Pmod!S$3&amp;Weekly_Pmod!$B16&amp;Weekly_Pmod!$B$3&amp;$B$2&amp;Weekly_Pmod!$B$1)</f>
        <v>0</v>
      </c>
      <c r="T16" s="2">
        <f>COUNTIF(defects!$AB:$AB,Weekly_Pmod!T$3&amp;Weekly_Pmod!$B16&amp;Weekly_Pmod!$B$3&amp;$B$2&amp;Weekly_Pmod!$B$1)</f>
        <v>0</v>
      </c>
      <c r="U16" s="2">
        <f>COUNTIF(defects!$AB:$AB,Weekly_Pmod!U$3&amp;Weekly_Pmod!$B16&amp;Weekly_Pmod!$B$3&amp;$B$2&amp;Weekly_Pmod!$B$1)</f>
        <v>0</v>
      </c>
      <c r="V16" s="2">
        <f>COUNTIF(defects!$AB:$AB,Weekly_Pmod!V$3&amp;Weekly_Pmod!$B16&amp;Weekly_Pmod!$B$3&amp;$B$2&amp;Weekly_Pmod!$B$1)</f>
        <v>0</v>
      </c>
      <c r="W16" s="2">
        <f>COUNTIF(defects!$AB:$AB,Weekly_Pmod!W$3&amp;Weekly_Pmod!$B16&amp;Weekly_Pmod!$B$3&amp;$B$2&amp;Weekly_Pmod!$B$1)</f>
        <v>0</v>
      </c>
      <c r="X16" s="2">
        <f>COUNTIF(defects!$AB:$AB,Weekly_Pmod!X$3&amp;Weekly_Pmod!$B16&amp;Weekly_Pmod!$B$3&amp;$B$2&amp;Weekly_Pmod!$B$1)</f>
        <v>0</v>
      </c>
      <c r="Y16" s="2">
        <f>COUNTIF(defects!$AB:$AB,Weekly_Pmod!Y$3&amp;Weekly_Pmod!$B16&amp;Weekly_Pmod!$B$3&amp;$B$2&amp;Weekly_Pmod!$B$1)</f>
        <v>0</v>
      </c>
      <c r="Z16" s="2">
        <f>COUNTIF(defects!$AB:$AB,Weekly_Pmod!Z$3&amp;Weekly_Pmod!$B16&amp;Weekly_Pmod!$B$3&amp;$B$2&amp;Weekly_Pmod!$B$1)</f>
        <v>0</v>
      </c>
      <c r="AA16" s="2">
        <f>COUNTIF(defects!$AB:$AB,Weekly_Pmod!AA$3&amp;Weekly_Pmod!$B16&amp;Weekly_Pmod!$B$3&amp;$B$2&amp;Weekly_Pmod!$B$1)</f>
        <v>0</v>
      </c>
      <c r="AB16" s="2">
        <f>COUNTIF(defects!$AB:$AB,Weekly_Pmod!AB$3&amp;Weekly_Pmod!$B16&amp;Weekly_Pmod!$B$3&amp;$B$2&amp;Weekly_Pmod!$B$1)</f>
        <v>0</v>
      </c>
      <c r="AC16" s="2">
        <f>COUNTIF(defects!$AB:$AB,Weekly_Pmod!AC$3&amp;Weekly_Pmod!$B16&amp;Weekly_Pmod!$B$3&amp;$B$2&amp;Weekly_Pmod!$B$1)</f>
        <v>0</v>
      </c>
      <c r="AD16" s="2">
        <f>COUNTIF(defects!$AB:$AB,Weekly_Pmod!AD$3&amp;Weekly_Pmod!$B16&amp;Weekly_Pmod!$B$3&amp;$B$2&amp;Weekly_Pmod!$B$1)</f>
        <v>0</v>
      </c>
      <c r="AE16" s="2">
        <f>COUNTIF(defects!$AB:$AB,Weekly_Pmod!AE$3&amp;Weekly_Pmod!$B16&amp;Weekly_Pmod!$B$3&amp;$B$2&amp;Weekly_Pmod!$B$1)</f>
        <v>0</v>
      </c>
      <c r="AF16" s="2">
        <f>COUNTIF(defects!$AB:$AB,Weekly_Pmod!AF$3&amp;Weekly_Pmod!$B16&amp;Weekly_Pmod!$B$3&amp;$B$2&amp;Weekly_Pmod!$B$1)</f>
        <v>0</v>
      </c>
      <c r="AG16" s="2">
        <f>COUNTIF(defects!$AB:$AB,Weekly_Pmod!AG$3&amp;Weekly_Pmod!$B16&amp;Weekly_Pmod!$B$3&amp;$B$2&amp;Weekly_Pmod!$B$1)</f>
        <v>0</v>
      </c>
      <c r="AH16" s="2">
        <f>COUNTIF(defects!$AB:$AB,Weekly_Pmod!AH$3&amp;Weekly_Pmod!$B16&amp;Weekly_Pmod!$B$3&amp;$B$2&amp;Weekly_Pmod!$B$1)</f>
        <v>0</v>
      </c>
      <c r="AI16" s="2">
        <f>COUNTIF(defects!$AB:$AB,Weekly_Pmod!AI$3&amp;Weekly_Pmod!$B16&amp;Weekly_Pmod!$B$3&amp;$B$2&amp;Weekly_Pmod!$B$1)</f>
        <v>0</v>
      </c>
      <c r="AJ16" s="2">
        <f>COUNTIF(defects!$AB:$AB,Weekly_Pmod!AJ$3&amp;Weekly_Pmod!$B16&amp;Weekly_Pmod!$B$3&amp;$B$2&amp;Weekly_Pmod!$B$1)</f>
        <v>0</v>
      </c>
      <c r="AK16" s="2">
        <f>COUNTIF(defects!$AB:$AB,Weekly_Pmod!AK$3&amp;Weekly_Pmod!$B16&amp;Weekly_Pmod!$B$3&amp;$B$2&amp;Weekly_Pmod!$B$1)</f>
        <v>0</v>
      </c>
      <c r="AL16" s="2">
        <f>COUNTIF(defects!$AB:$AB,Weekly_Pmod!AL$3&amp;Weekly_Pmod!$B16&amp;Weekly_Pmod!$B$3&amp;$B$2&amp;Weekly_Pmod!$B$1)</f>
        <v>0</v>
      </c>
      <c r="AM16" s="2">
        <f>COUNTIF(defects!$AB:$AB,Weekly_Pmod!AM$3&amp;Weekly_Pmod!$B16&amp;Weekly_Pmod!$B$3&amp;$B$2&amp;Weekly_Pmod!$B$1)</f>
        <v>0</v>
      </c>
      <c r="AN16" s="2">
        <f>COUNTIF(defects!$AB:$AB,Weekly_Pmod!AN$3&amp;Weekly_Pmod!$B16&amp;Weekly_Pmod!$B$3&amp;$B$2&amp;Weekly_Pmod!$B$1)</f>
        <v>0</v>
      </c>
      <c r="AO16" s="2">
        <f>COUNTIF(defects!$AB:$AB,Weekly_Pmod!AO$3&amp;Weekly_Pmod!$B16&amp;Weekly_Pmod!$B$3&amp;$B$2&amp;Weekly_Pmod!$B$1)</f>
        <v>0</v>
      </c>
      <c r="AP16" s="2">
        <f>COUNTIF(defects!$AB:$AB,Weekly_Pmod!AP$3&amp;Weekly_Pmod!$B16&amp;Weekly_Pmod!$B$3&amp;$B$2&amp;Weekly_Pmod!$B$1)</f>
        <v>0</v>
      </c>
      <c r="AQ16" s="2">
        <f>COUNTIF(defects!$AB:$AB,Weekly_Pmod!AQ$3&amp;Weekly_Pmod!$B16&amp;Weekly_Pmod!$B$3&amp;$B$2&amp;Weekly_Pmod!$B$1)</f>
        <v>0</v>
      </c>
      <c r="AR16" s="2">
        <f>COUNTIF(defects!$AB:$AB,Weekly_Pmod!AR$3&amp;Weekly_Pmod!$B16&amp;Weekly_Pmod!$B$3&amp;$B$2&amp;Weekly_Pmod!$B$1)</f>
        <v>0</v>
      </c>
      <c r="AS16" s="2">
        <f>COUNTIF(defects!$AB:$AB,Weekly_Pmod!AS$3&amp;Weekly_Pmod!$B16&amp;Weekly_Pmod!$B$3&amp;$B$2&amp;Weekly_Pmod!$B$1)</f>
        <v>0</v>
      </c>
      <c r="AT16" s="2">
        <f>COUNTIF(defects!$AB:$AB,Weekly_Pmod!AT$3&amp;Weekly_Pmod!$B16&amp;Weekly_Pmod!$B$3&amp;$B$2&amp;Weekly_Pmod!$B$1)</f>
        <v>0</v>
      </c>
      <c r="AU16" s="2">
        <f>COUNTIF(defects!$AB:$AB,Weekly_Pmod!AU$3&amp;Weekly_Pmod!$B16&amp;Weekly_Pmod!$B$3&amp;$B$2&amp;Weekly_Pmod!$B$1)</f>
        <v>0</v>
      </c>
      <c r="AV16" s="2">
        <f>COUNTIF(defects!$AB:$AB,Weekly_Pmod!AV$3&amp;Weekly_Pmod!$B16&amp;Weekly_Pmod!$B$3&amp;$B$2&amp;Weekly_Pmod!$B$1)</f>
        <v>0</v>
      </c>
      <c r="AW16" s="2">
        <f>COUNTIF(defects!$AB:$AB,Weekly_Pmod!AW$3&amp;Weekly_Pmod!$B16&amp;Weekly_Pmod!$B$3&amp;$B$2&amp;Weekly_Pmod!$B$1)</f>
        <v>0</v>
      </c>
      <c r="AX16" s="2">
        <f>COUNTIF(defects!$AB:$AB,Weekly_Pmod!AX$3&amp;Weekly_Pmod!$B16&amp;Weekly_Pmod!$B$3&amp;$B$2&amp;Weekly_Pmod!$B$1)</f>
        <v>0</v>
      </c>
      <c r="AY16" s="2">
        <f>COUNTIF(defects!$AB:$AB,Weekly_Pmod!AY$3&amp;Weekly_Pmod!$B16&amp;Weekly_Pmod!$B$3&amp;$B$2&amp;Weekly_Pmod!$B$1)</f>
        <v>0</v>
      </c>
      <c r="AZ16" s="2">
        <f>COUNTIF(defects!$AB:$AB,Weekly_Pmod!AZ$3&amp;Weekly_Pmod!$B16&amp;Weekly_Pmod!$B$3&amp;$B$2&amp;Weekly_Pmod!$B$1)</f>
        <v>0</v>
      </c>
      <c r="BA16" s="2">
        <f>COUNTIF(defects!$AB:$AB,Weekly_Pmod!BA$3&amp;Weekly_Pmod!$B16&amp;Weekly_Pmod!$B$3&amp;$B$2&amp;Weekly_Pmod!$B$1)</f>
        <v>0</v>
      </c>
      <c r="BB16" s="2">
        <f>COUNTIF(defects!$AB:$AB,Weekly_Pmod!BB$3&amp;Weekly_Pmod!$B16&amp;Weekly_Pmod!$B$3&amp;$B$2&amp;Weekly_Pmod!$B$1)</f>
        <v>0</v>
      </c>
      <c r="BC16" s="2">
        <f>COUNTIF(defects!$AB:$AB,Weekly_Pmod!BC$3&amp;Weekly_Pmod!$B16&amp;Weekly_Pmod!$B$3&amp;$B$2&amp;Weekly_Pmod!$B$1)</f>
        <v>0</v>
      </c>
      <c r="BD16" s="2">
        <f>COUNTIF(defects!$AB:$AB,Weekly_Pmod!BD$3&amp;Weekly_Pmod!$B16&amp;Weekly_Pmod!$B$3&amp;$B$2&amp;Weekly_Pmod!$B$1)</f>
        <v>0</v>
      </c>
      <c r="BE16" s="2">
        <f>COUNTIF(defects!$AB:$AB,Weekly_Pmod!BE$3&amp;Weekly_Pmod!$B16&amp;Weekly_Pmod!$B$3&amp;$B$2&amp;Weekly_Pmod!$B$1)</f>
        <v>0</v>
      </c>
      <c r="BF16" s="2">
        <f>COUNTIF(defects!$AB:$AB,Weekly_Pmod!BF$3&amp;Weekly_Pmod!$B16&amp;Weekly_Pmod!$B$3&amp;$B$2&amp;Weekly_Pmod!$B$1)</f>
        <v>0</v>
      </c>
      <c r="BG16" s="2">
        <f>COUNTIF(defects!$AB:$AB,Weekly_Pmod!BG$3&amp;Weekly_Pmod!$B16&amp;Weekly_Pmod!$B$3&amp;$B$2&amp;Weekly_Pmod!$B$1)</f>
        <v>0</v>
      </c>
      <c r="BH16" s="2">
        <f>COUNTIF(defects!$AB:$AB,Weekly_Pmod!BH$3&amp;Weekly_Pmod!$B16&amp;Weekly_Pmod!$B$3&amp;$B$2&amp;Weekly_Pmod!$B$1)</f>
        <v>0</v>
      </c>
      <c r="BI16" s="2">
        <f>COUNTIF(defects!$AB:$AB,Weekly_Pmod!BI$3&amp;Weekly_Pmod!$B16&amp;Weekly_Pmod!$B$3&amp;$B$2&amp;Weekly_Pmod!$B$1)</f>
        <v>0</v>
      </c>
      <c r="BJ16" s="2">
        <f>COUNTIF(defects!$AB:$AB,Weekly_Pmod!BJ$3&amp;Weekly_Pmod!$B16&amp;Weekly_Pmod!$B$3&amp;$B$2&amp;Weekly_Pmod!$B$1)</f>
        <v>0</v>
      </c>
      <c r="BK16" s="2">
        <f>COUNTIF(defects!$AB:$AB,Weekly_Pmod!BK$3&amp;Weekly_Pmod!$B16&amp;Weekly_Pmod!$B$3&amp;$B$2&amp;Weekly_Pmod!$B$1)</f>
        <v>0</v>
      </c>
      <c r="BL16" s="2">
        <f>COUNTIF(defects!$AB:$AB,Weekly_Pmod!BL$3&amp;Weekly_Pmod!$B16&amp;Weekly_Pmod!$B$3&amp;$B$2&amp;Weekly_Pmod!$B$1)</f>
        <v>0</v>
      </c>
      <c r="BM16" s="2">
        <f>COUNTIF(defects!$AB:$AB,Weekly_Pmod!BM$3&amp;Weekly_Pmod!$B16&amp;Weekly_Pmod!$B$3&amp;$B$2&amp;Weekly_Pmod!$B$1)</f>
        <v>0</v>
      </c>
      <c r="BN16" s="2">
        <f>COUNTIF(defects!$AB:$AB,Weekly_Pmod!BN$3&amp;Weekly_Pmod!$B16&amp;Weekly_Pmod!$B$3&amp;$B$2&amp;Weekly_Pmod!$B$1)</f>
        <v>0</v>
      </c>
      <c r="BO16" s="2">
        <f>COUNTIF(defects!$AB:$AB,Weekly_Pmod!BO$3&amp;Weekly_Pmod!$B16&amp;Weekly_Pmod!$B$3&amp;$B$2&amp;Weekly_Pmod!$B$1)</f>
        <v>0</v>
      </c>
      <c r="BP16" s="2">
        <f>COUNTIF(defects!$AB:$AB,Weekly_Pmod!BP$3&amp;Weekly_Pmod!$B16&amp;Weekly_Pmod!$B$3&amp;$B$2&amp;Weekly_Pmod!$B$1)</f>
        <v>0</v>
      </c>
      <c r="BQ16" s="2">
        <f>COUNTIF(defects!$AB:$AB,Weekly_Pmod!BQ$3&amp;Weekly_Pmod!$B16&amp;Weekly_Pmod!$B$3&amp;$B$2&amp;Weekly_Pmod!$B$1)</f>
        <v>0</v>
      </c>
      <c r="BR16" s="2">
        <f>COUNTIF(defects!$AB:$AB,Weekly_Pmod!BR$3&amp;Weekly_Pmod!$B16&amp;Weekly_Pmod!$B$3&amp;$B$2&amp;Weekly_Pmod!$B$1)</f>
        <v>0</v>
      </c>
      <c r="BS16" s="2">
        <f>COUNTIF(defects!$AB:$AB,Weekly_Pmod!BS$3&amp;Weekly_Pmod!$B16&amp;Weekly_Pmod!$B$3&amp;$B$2&amp;Weekly_Pmod!$B$1)</f>
        <v>0</v>
      </c>
      <c r="BT16" s="2">
        <f>COUNTIF(defects!$AB:$AB,Weekly_Pmod!BT$3&amp;Weekly_Pmod!$B16&amp;Weekly_Pmod!$B$3&amp;$B$2&amp;Weekly_Pmod!$B$1)</f>
        <v>0</v>
      </c>
      <c r="BU16" s="2">
        <f>COUNTIF(defects!$AB:$AB,Weekly_Pmod!BU$3&amp;Weekly_Pmod!$B16&amp;Weekly_Pmod!$B$3&amp;$B$2&amp;Weekly_Pmod!$B$1)</f>
        <v>0</v>
      </c>
      <c r="BV16" s="2">
        <f>COUNTIF(defects!$AB:$AB,Weekly_Pmod!BV$3&amp;Weekly_Pmod!$B16&amp;Weekly_Pmod!$B$3&amp;$B$2&amp;Weekly_Pmod!$B$1)</f>
        <v>0</v>
      </c>
      <c r="BW16" s="2">
        <f>COUNTIF(defects!$AB:$AB,Weekly_Pmod!BW$3&amp;Weekly_Pmod!$B16&amp;Weekly_Pmod!$B$3&amp;$B$2&amp;Weekly_Pmod!$B$1)</f>
        <v>0</v>
      </c>
      <c r="BX16" s="2">
        <f>COUNTIF(defects!$AB:$AB,Weekly_Pmod!BX$3&amp;Weekly_Pmod!$B16&amp;Weekly_Pmod!$B$3&amp;$B$2&amp;Weekly_Pmod!$B$1)</f>
        <v>0</v>
      </c>
      <c r="BY16" s="2">
        <f>COUNTIF(defects!$AB:$AB,Weekly_Pmod!BY$3&amp;Weekly_Pmod!$B16&amp;Weekly_Pmod!$B$3&amp;$B$2&amp;Weekly_Pmod!$B$1)</f>
        <v>0</v>
      </c>
      <c r="BZ16" s="2">
        <f>COUNTIF(defects!$AB:$AB,Weekly_Pmod!BZ$3&amp;Weekly_Pmod!$B16&amp;Weekly_Pmod!$B$3&amp;$B$2&amp;Weekly_Pmod!$B$1)</f>
        <v>0</v>
      </c>
      <c r="CA16" s="2">
        <f>COUNTIF(defects!$AB:$AB,Weekly_Pmod!CA$3&amp;Weekly_Pmod!$B16&amp;Weekly_Pmod!$B$3&amp;$B$2&amp;Weekly_Pmod!$B$1)</f>
        <v>0</v>
      </c>
      <c r="CB16" s="2">
        <f>COUNTIF(defects!$AB:$AB,Weekly_Pmod!CB$3&amp;Weekly_Pmod!$B16&amp;Weekly_Pmod!$B$3&amp;$B$2&amp;Weekly_Pmod!$B$1)</f>
        <v>1</v>
      </c>
      <c r="CC16" s="2">
        <f>COUNTIF(defects!$AB:$AB,Weekly_Pmod!CC$3&amp;Weekly_Pmod!$B16&amp;Weekly_Pmod!$B$3&amp;$B$2&amp;Weekly_Pmod!$B$1)</f>
        <v>0</v>
      </c>
      <c r="CD16" s="2">
        <f>COUNTIF(defects!$AB:$AB,Weekly_Pmod!CD$3&amp;Weekly_Pmod!$B16&amp;Weekly_Pmod!$B$3&amp;$B$2&amp;Weekly_Pmod!$B$1)</f>
        <v>0</v>
      </c>
      <c r="CE16" s="2">
        <f>COUNTIF(defects!$AB:$AB,Weekly_Pmod!CE$3&amp;Weekly_Pmod!$B16&amp;Weekly_Pmod!$B$3&amp;$B$2&amp;Weekly_Pmod!$B$1)</f>
        <v>0</v>
      </c>
      <c r="CF16" s="2">
        <f>COUNTIF(defects!$AB:$AB,Weekly_Pmod!CF$3&amp;Weekly_Pmod!$B16&amp;Weekly_Pmod!$B$3&amp;$B$2&amp;Weekly_Pmod!$B$1)</f>
        <v>0</v>
      </c>
      <c r="CG16" s="2">
        <f>COUNTIF(defects!$AB:$AB,Weekly_Pmod!CG$3&amp;Weekly_Pmod!$B16&amp;Weekly_Pmod!$B$3&amp;$B$2&amp;Weekly_Pmod!$B$1)</f>
        <v>0</v>
      </c>
      <c r="CH16" s="2">
        <f>COUNTIF(defects!$AB:$AB,Weekly_Pmod!CH$3&amp;Weekly_Pmod!$B16&amp;Weekly_Pmod!$B$3&amp;$B$2&amp;Weekly_Pmod!$B$1)</f>
        <v>1</v>
      </c>
      <c r="CI16" s="2">
        <f>COUNTIF(defects!$AB:$AB,Weekly_Pmod!CI$3&amp;Weekly_Pmod!$B16&amp;Weekly_Pmod!$B$3&amp;$B$2&amp;Weekly_Pmod!$B$1)</f>
        <v>0</v>
      </c>
      <c r="CJ16" s="2">
        <f>COUNTIF(defects!$AB:$AB,Weekly_Pmod!CJ$3&amp;Weekly_Pmod!$B16&amp;Weekly_Pmod!$B$3&amp;$B$2&amp;Weekly_Pmod!$B$1)</f>
        <v>0</v>
      </c>
      <c r="CK16" s="2">
        <f>COUNTIF(defects!$AB:$AB,Weekly_Pmod!CK$3&amp;Weekly_Pmod!$B16&amp;Weekly_Pmod!$B$3&amp;$B$2&amp;Weekly_Pmod!$B$1)</f>
        <v>1</v>
      </c>
      <c r="CL16" s="2">
        <f>COUNTIF(defects!$AB:$AB,Weekly_Pmod!CL$3&amp;Weekly_Pmod!$B16&amp;Weekly_Pmod!$B$3&amp;$B$2&amp;Weekly_Pmod!$B$1)</f>
        <v>0</v>
      </c>
      <c r="CM16" s="2">
        <f>COUNTIF(defects!$AB:$AB,Weekly_Pmod!CM$3&amp;Weekly_Pmod!$B16&amp;Weekly_Pmod!$B$3&amp;$B$2&amp;Weekly_Pmod!$B$1)</f>
        <v>0</v>
      </c>
      <c r="CN16" s="2">
        <f>COUNTIF(defects!$AB:$AB,Weekly_Pmod!CN$3&amp;Weekly_Pmod!$B16&amp;Weekly_Pmod!$B$3&amp;$B$2&amp;Weekly_Pmod!$B$1)</f>
        <v>0</v>
      </c>
      <c r="CO16" s="2">
        <f>COUNTIF(defects!$AB:$AB,Weekly_Pmod!CO$3&amp;Weekly_Pmod!$B16&amp;Weekly_Pmod!$B$3&amp;$B$2&amp;Weekly_Pmod!$B$1)</f>
        <v>0</v>
      </c>
      <c r="CP16" s="2">
        <f>COUNTIF(defects!$AB:$AB,Weekly_Pmod!CP$3&amp;Weekly_Pmod!$B16&amp;Weekly_Pmod!$B$3&amp;$B$2&amp;Weekly_Pmod!$B$1)</f>
        <v>0</v>
      </c>
      <c r="CQ16" s="2">
        <f>COUNTIF(defects!$AB:$AB,Weekly_Pmod!CQ$3&amp;Weekly_Pmod!$B16&amp;Weekly_Pmod!$B$3&amp;$B$2&amp;Weekly_Pmod!$B$1)</f>
        <v>0</v>
      </c>
      <c r="CR16" s="2">
        <f>COUNTIF(defects!$AB:$AB,Weekly_Pmod!CR$3&amp;Weekly_Pmod!$B16&amp;Weekly_Pmod!$B$3&amp;$B$2&amp;Weekly_Pmod!$B$1)</f>
        <v>0</v>
      </c>
      <c r="CS16" s="2">
        <f>COUNTIF(defects!$AB:$AB,Weekly_Pmod!CS$3&amp;Weekly_Pmod!$B16&amp;Weekly_Pmod!$B$3&amp;$B$2&amp;Weekly_Pmod!$B$1)</f>
        <v>0</v>
      </c>
      <c r="CT16" s="2">
        <f>COUNTIF(defects!$AB:$AB,Weekly_Pmod!CT$3&amp;Weekly_Pmod!$B16&amp;Weekly_Pmod!$B$3&amp;$B$2&amp;Weekly_Pmod!$B$1)</f>
        <v>0</v>
      </c>
      <c r="CU16" s="2">
        <f>COUNTIF(defects!$AB:$AB,Weekly_Pmod!CU$3&amp;Weekly_Pmod!$B16&amp;Weekly_Pmod!$B$3&amp;$B$2&amp;Weekly_Pmod!$B$1)</f>
        <v>0</v>
      </c>
      <c r="CV16" s="2">
        <f>COUNTIF(defects!$AB:$AB,Weekly_Pmod!CV$3&amp;Weekly_Pmod!$B16&amp;Weekly_Pmod!$B$3&amp;$B$2&amp;Weekly_Pmod!$B$1)</f>
        <v>0</v>
      </c>
      <c r="CW16" s="2">
        <f>COUNTIF(defects!$AB:$AB,Weekly_Pmod!CW$3&amp;Weekly_Pmod!$B16&amp;Weekly_Pmod!$B$3&amp;$B$2&amp;Weekly_Pmod!$B$1)</f>
        <v>0</v>
      </c>
      <c r="CX16" s="2">
        <f>COUNTIF(defects!$AB:$AB,Weekly_Pmod!CX$3&amp;Weekly_Pmod!$B16&amp;Weekly_Pmod!$B$3&amp;$B$2&amp;Weekly_Pmod!$B$1)</f>
        <v>0</v>
      </c>
      <c r="CY16" s="2">
        <f>COUNTIF(defects!$AB:$AB,Weekly_Pmod!CY$3&amp;Weekly_Pmod!$B16&amp;Weekly_Pmod!$B$3&amp;$B$2&amp;Weekly_Pmod!$B$1)</f>
        <v>0</v>
      </c>
      <c r="CZ16" s="2">
        <f>COUNTIF(defects!$AB:$AB,Weekly_Pmod!CZ$3&amp;Weekly_Pmod!$B16&amp;Weekly_Pmod!$B$3&amp;$B$2&amp;Weekly_Pmod!$B$1)</f>
        <v>0</v>
      </c>
      <c r="DA16" s="2">
        <f>COUNTIF(defects!$AB:$AB,Weekly_Pmod!DA$3&amp;Weekly_Pmod!$B16&amp;Weekly_Pmod!$B$3&amp;$B$2&amp;Weekly_Pmod!$B$1)</f>
        <v>0</v>
      </c>
      <c r="DB16" s="2">
        <f>COUNTIF(defects!$AB:$AB,Weekly_Pmod!DB$3&amp;Weekly_Pmod!$B16&amp;Weekly_Pmod!$B$3&amp;$B$2&amp;Weekly_Pmod!$B$1)</f>
        <v>0</v>
      </c>
      <c r="DC16" s="2">
        <f>COUNTIF(defects!$AB:$AB,Weekly_Pmod!DC$3&amp;Weekly_Pmod!$B16&amp;Weekly_Pmod!$B$3&amp;$B$2&amp;Weekly_Pmod!$B$1)</f>
        <v>0</v>
      </c>
      <c r="DD16" s="2">
        <f>COUNTIF(defects!$AB:$AB,Weekly_Pmod!DD$3&amp;Weekly_Pmod!$B16&amp;Weekly_Pmod!$B$3&amp;$B$2&amp;Weekly_Pmod!$B$1)</f>
        <v>0</v>
      </c>
      <c r="DE16" s="2">
        <f>COUNTIF(defects!$AB:$AB,Weekly_Pmod!DE$3&amp;Weekly_Pmod!$B16&amp;Weekly_Pmod!$B$3&amp;$B$2&amp;Weekly_Pmod!$B$1)</f>
        <v>0</v>
      </c>
      <c r="DF16" s="2">
        <f>COUNTIF(defects!$AB:$AB,Weekly_Pmod!DF$3&amp;Weekly_Pmod!$B16&amp;Weekly_Pmod!$B$3&amp;$B$2&amp;Weekly_Pmod!$B$1)</f>
        <v>0</v>
      </c>
      <c r="DG16" s="2">
        <f>COUNTIF(defects!$AB:$AB,Weekly_Pmod!DG$3&amp;Weekly_Pmod!$B16&amp;Weekly_Pmod!$B$3&amp;$B$2&amp;Weekly_Pmod!$B$1)</f>
        <v>0</v>
      </c>
      <c r="DH16" s="2">
        <f>COUNTIF(defects!$AB:$AB,Weekly_Pmod!DH$3&amp;Weekly_Pmod!$B16&amp;Weekly_Pmod!$B$3&amp;$B$2&amp;Weekly_Pmod!$B$1)</f>
        <v>0</v>
      </c>
      <c r="DI16" s="2">
        <f>COUNTIF(defects!$AB:$AB,Weekly_Pmod!DI$3&amp;Weekly_Pmod!$B16&amp;Weekly_Pmod!$B$3&amp;$B$2&amp;Weekly_Pmod!$B$1)</f>
        <v>0</v>
      </c>
      <c r="DJ16" s="2">
        <f>COUNTIF(defects!$AB:$AB,Weekly_Pmod!DJ$3&amp;Weekly_Pmod!$B16&amp;Weekly_Pmod!$B$3&amp;$B$2&amp;Weekly_Pmod!$B$1)</f>
        <v>0</v>
      </c>
      <c r="DK16" s="2">
        <f>COUNTIF(defects!$AB:$AB,Weekly_Pmod!DK$3&amp;Weekly_Pmod!$B16&amp;Weekly_Pmod!$B$3&amp;$B$2&amp;Weekly_Pmod!$B$1)</f>
        <v>0</v>
      </c>
      <c r="DL16" s="2">
        <f>COUNTIF(defects!$AB:$AB,Weekly_Pmod!DL$3&amp;Weekly_Pmod!$B16&amp;Weekly_Pmod!$B$3&amp;$B$2&amp;Weekly_Pmod!$B$1)</f>
        <v>0</v>
      </c>
      <c r="DM16" s="2">
        <f>COUNTIF(defects!$AB:$AB,Weekly_Pmod!DM$3&amp;Weekly_Pmod!$B16&amp;Weekly_Pmod!$B$3&amp;$B$2&amp;Weekly_Pmod!$B$1)</f>
        <v>0</v>
      </c>
      <c r="DN16" s="2">
        <f>COUNTIF(defects!$AB:$AB,Weekly_Pmod!DN$3&amp;Weekly_Pmod!$B16&amp;Weekly_Pmod!$B$3&amp;$B$2&amp;Weekly_Pmod!$B$1)</f>
        <v>0</v>
      </c>
      <c r="DO16" s="2">
        <f>COUNTIF(defects!$AB:$AB,Weekly_Pmod!DO$3&amp;Weekly_Pmod!$B16&amp;Weekly_Pmod!$B$3&amp;$B$2&amp;Weekly_Pmod!$B$1)</f>
        <v>0</v>
      </c>
      <c r="DP16" s="2">
        <f>COUNTIF(defects!$AB:$AB,Weekly_Pmod!DP$3&amp;Weekly_Pmod!$B16&amp;Weekly_Pmod!$B$3&amp;$B$2&amp;Weekly_Pmod!$B$1)</f>
        <v>0</v>
      </c>
      <c r="DQ16" s="2">
        <f>COUNTIF(defects!$AB:$AB,Weekly_Pmod!DQ$3&amp;Weekly_Pmod!$B16&amp;Weekly_Pmod!$B$3&amp;$B$2&amp;Weekly_Pmod!$B$1)</f>
        <v>0</v>
      </c>
      <c r="DR16" s="2">
        <f>COUNTIF(defects!$AB:$AB,Weekly_Pmod!DR$3&amp;Weekly_Pmod!$B16&amp;Weekly_Pmod!$B$3&amp;$B$2&amp;Weekly_Pmod!$B$1)</f>
        <v>0</v>
      </c>
      <c r="DS16" s="2">
        <f>COUNTIF(defects!$AB:$AB,Weekly_Pmod!DS$3&amp;Weekly_Pmod!$B16&amp;Weekly_Pmod!$B$3&amp;$B$2&amp;Weekly_Pmod!$B$1)</f>
        <v>0</v>
      </c>
      <c r="DT16" s="2">
        <f>COUNTIF(defects!$AB:$AB,Weekly_Pmod!DT$3&amp;Weekly_Pmod!$B16&amp;Weekly_Pmod!$B$3&amp;$B$2&amp;Weekly_Pmod!$B$1)</f>
        <v>0</v>
      </c>
      <c r="DU16" s="2">
        <f>COUNTIF(defects!$AB:$AB,Weekly_Pmod!DU$3&amp;Weekly_Pmod!$B16&amp;Weekly_Pmod!$B$3&amp;$B$2&amp;Weekly_Pmod!$B$1)</f>
        <v>0</v>
      </c>
      <c r="DV16" s="2">
        <f>COUNTIF(defects!$AB:$AB,Weekly_Pmod!DV$3&amp;Weekly_Pmod!$B16&amp;Weekly_Pmod!$B$3&amp;$B$2&amp;Weekly_Pmod!$B$1)</f>
        <v>0</v>
      </c>
      <c r="DW16" s="2">
        <f>COUNTIF(defects!$AB:$AB,Weekly_Pmod!DW$3&amp;Weekly_Pmod!$B16&amp;Weekly_Pmod!$B$3&amp;$B$2&amp;Weekly_Pmod!$B$1)</f>
        <v>0</v>
      </c>
      <c r="DX16" s="2">
        <f>COUNTIF(defects!$AB:$AB,Weekly_Pmod!DX$3&amp;Weekly_Pmod!$B16&amp;Weekly_Pmod!$B$3&amp;$B$2&amp;Weekly_Pmod!$B$1)</f>
        <v>0</v>
      </c>
      <c r="DY16" s="2">
        <f>COUNTIF(defects!$AB:$AB,Weekly_Pmod!DY$3&amp;Weekly_Pmod!$B16&amp;Weekly_Pmod!$B$3&amp;$B$2&amp;Weekly_Pmod!$B$1)</f>
        <v>0</v>
      </c>
      <c r="DZ16" s="2">
        <f>COUNTIF(defects!$AB:$AB,Weekly_Pmod!DZ$3&amp;Weekly_Pmod!$B16&amp;Weekly_Pmod!$B$3&amp;$B$2&amp;Weekly_Pmod!$B$1)</f>
        <v>0</v>
      </c>
      <c r="EA16" s="2">
        <f>COUNTIF(defects!$AB:$AB,Weekly_Pmod!EA$3&amp;Weekly_Pmod!$B16&amp;Weekly_Pmod!$B$3&amp;$B$2&amp;Weekly_Pmod!$B$1)</f>
        <v>0</v>
      </c>
      <c r="EB16" s="2">
        <f>COUNTIF(defects!$AB:$AB,Weekly_Pmod!EB$3&amp;Weekly_Pmod!$B16&amp;Weekly_Pmod!$B$3&amp;$B$2&amp;Weekly_Pmod!$B$1)</f>
        <v>0</v>
      </c>
      <c r="EC16" s="2">
        <f>COUNTIF(defects!$AB:$AB,Weekly_Pmod!EC$3&amp;Weekly_Pmod!$B16&amp;Weekly_Pmod!$B$3&amp;$B$2&amp;Weekly_Pmod!$B$1)</f>
        <v>0</v>
      </c>
      <c r="ED16" s="2">
        <f>COUNTIF(defects!$AB:$AB,Weekly_Pmod!ED$3&amp;Weekly_Pmod!$B16&amp;Weekly_Pmod!$B$3&amp;$B$2&amp;Weekly_Pmod!$B$1)</f>
        <v>0</v>
      </c>
      <c r="EE16" s="2">
        <f>COUNTIF(defects!$AB:$AB,Weekly_Pmod!EE$3&amp;Weekly_Pmod!$B16&amp;Weekly_Pmod!$B$3&amp;$B$2&amp;Weekly_Pmod!$B$1)</f>
        <v>0</v>
      </c>
      <c r="EF16" s="2">
        <f>COUNTIF(defects!$AB:$AB,Weekly_Pmod!EF$3&amp;Weekly_Pmod!$B16&amp;Weekly_Pmod!$B$3&amp;$B$2&amp;Weekly_Pmod!$B$1)</f>
        <v>0</v>
      </c>
      <c r="EG16" s="2">
        <f>COUNTIF(defects!$AB:$AB,Weekly_Pmod!EG$3&amp;Weekly_Pmod!$B16&amp;Weekly_Pmod!$B$3&amp;$B$2&amp;Weekly_Pmod!$B$1)</f>
        <v>0</v>
      </c>
      <c r="EH16" s="2">
        <f>COUNTIF(defects!$AB:$AB,Weekly_Pmod!EH$3&amp;Weekly_Pmod!$B16&amp;Weekly_Pmod!$B$3&amp;$B$2&amp;Weekly_Pmod!$B$1)</f>
        <v>0</v>
      </c>
      <c r="EI16" s="2">
        <f>COUNTIF(defects!$AB:$AB,Weekly_Pmod!EI$3&amp;Weekly_Pmod!$B16&amp;Weekly_Pmod!$B$3&amp;$B$2&amp;Weekly_Pmod!$B$1)</f>
        <v>0</v>
      </c>
      <c r="EJ16" s="2">
        <f>COUNTIF(defects!$AB:$AB,Weekly_Pmod!EJ$3&amp;Weekly_Pmod!$B16&amp;Weekly_Pmod!$B$3&amp;$B$2&amp;Weekly_Pmod!$B$1)</f>
        <v>0</v>
      </c>
      <c r="EK16" s="2">
        <f>COUNTIF(defects!$AB:$AB,Weekly_Pmod!EK$3&amp;Weekly_Pmod!$B16&amp;Weekly_Pmod!$B$3&amp;$B$2&amp;Weekly_Pmod!$B$1)</f>
        <v>0</v>
      </c>
      <c r="EL16" s="2">
        <f>COUNTIF(defects!$AB:$AB,Weekly_Pmod!EL$3&amp;Weekly_Pmod!$B16&amp;Weekly_Pmod!$B$3&amp;$B$2&amp;Weekly_Pmod!$B$1)</f>
        <v>0</v>
      </c>
      <c r="EM16" s="2">
        <f>COUNTIF(defects!$AB:$AB,Weekly_Pmod!EM$3&amp;Weekly_Pmod!$B16&amp;Weekly_Pmod!$B$3&amp;$B$2&amp;Weekly_Pmod!$B$1)</f>
        <v>0</v>
      </c>
      <c r="EN16" s="2">
        <f>COUNTIF(defects!$AB:$AB,Weekly_Pmod!EN$3&amp;Weekly_Pmod!$B16&amp;Weekly_Pmod!$B$3&amp;$B$2&amp;Weekly_Pmod!$B$1)</f>
        <v>0</v>
      </c>
      <c r="EO16" s="2">
        <f>COUNTIF(defects!$AB:$AB,Weekly_Pmod!EO$3&amp;Weekly_Pmod!$B16&amp;Weekly_Pmod!$B$3&amp;$B$2&amp;Weekly_Pmod!$B$1)</f>
        <v>0</v>
      </c>
      <c r="EP16" s="2">
        <f>COUNTIF(defects!$AB:$AB,Weekly_Pmod!EP$3&amp;Weekly_Pmod!$B16&amp;Weekly_Pmod!$B$3&amp;$B$2&amp;Weekly_Pmod!$B$1)</f>
        <v>0</v>
      </c>
      <c r="EQ16" s="2">
        <f>COUNTIF(defects!$AB:$AB,Weekly_Pmod!EQ$3&amp;Weekly_Pmod!$B16&amp;Weekly_Pmod!$B$3&amp;$B$2&amp;Weekly_Pmod!$B$1)</f>
        <v>0</v>
      </c>
      <c r="ER16" s="2">
        <f>COUNTIF(defects!$AB:$AB,Weekly_Pmod!ER$3&amp;Weekly_Pmod!$B16&amp;Weekly_Pmod!$B$3&amp;$B$2&amp;Weekly_Pmod!$B$1)</f>
        <v>0</v>
      </c>
      <c r="ES16" s="2">
        <f>COUNTIF(defects!$AB:$AB,Weekly_Pmod!ES$3&amp;Weekly_Pmod!$B16&amp;Weekly_Pmod!$B$3&amp;$B$2&amp;Weekly_Pmod!$B$1)</f>
        <v>0</v>
      </c>
      <c r="ET16" s="2">
        <f>COUNTIF(defects!$AB:$AB,Weekly_Pmod!ET$3&amp;Weekly_Pmod!$B16&amp;Weekly_Pmod!$B$3&amp;$B$2&amp;Weekly_Pmod!$B$1)</f>
        <v>0</v>
      </c>
      <c r="EU16" s="2">
        <f>COUNTIF(defects!$AB:$AB,Weekly_Pmod!EU$3&amp;Weekly_Pmod!$B16&amp;Weekly_Pmod!$B$3&amp;$B$2&amp;Weekly_Pmod!$B$1)</f>
        <v>0</v>
      </c>
      <c r="EV16" s="2">
        <f>COUNTIF(defects!$AB:$AB,Weekly_Pmod!EV$3&amp;Weekly_Pmod!$B16&amp;Weekly_Pmod!$B$3&amp;$B$2&amp;Weekly_Pmod!$B$1)</f>
        <v>0</v>
      </c>
      <c r="EW16" s="2">
        <f>COUNTIF(defects!$AB:$AB,Weekly_Pmod!EW$3&amp;Weekly_Pmod!$B16&amp;Weekly_Pmod!$B$3&amp;$B$2&amp;Weekly_Pmod!$B$1)</f>
        <v>0</v>
      </c>
      <c r="EX16" s="2">
        <f>COUNTIF(defects!$AB:$AB,Weekly_Pmod!EX$3&amp;Weekly_Pmod!$B16&amp;Weekly_Pmod!$B$3&amp;$B$2&amp;Weekly_Pmod!$B$1)</f>
        <v>0</v>
      </c>
      <c r="EY16" s="2">
        <f>COUNTIF(defects!$AB:$AB,Weekly_Pmod!EY$3&amp;Weekly_Pmod!$B16&amp;Weekly_Pmod!$B$3&amp;$B$2&amp;Weekly_Pmod!$B$1)</f>
        <v>0</v>
      </c>
      <c r="EZ16" s="2">
        <f>COUNTIF(defects!$AB:$AB,Weekly_Pmod!EZ$3&amp;Weekly_Pmod!$B16&amp;Weekly_Pmod!$B$3&amp;$B$2&amp;Weekly_Pmod!$B$1)</f>
        <v>0</v>
      </c>
      <c r="FA16" s="2">
        <f>COUNTIF(defects!$AB:$AB,Weekly_Pmod!FA$3&amp;Weekly_Pmod!$B16&amp;Weekly_Pmod!$B$3&amp;$B$2&amp;Weekly_Pmod!$B$1)</f>
        <v>0</v>
      </c>
      <c r="FB16" s="2">
        <f>COUNTIF(defects!$AB:$AB,Weekly_Pmod!FB$3&amp;Weekly_Pmod!$B16&amp;Weekly_Pmod!$B$3&amp;$B$2&amp;Weekly_Pmod!$B$1)</f>
        <v>0</v>
      </c>
      <c r="FC16" s="2">
        <f>COUNTIF(defects!$AB:$AB,Weekly_Pmod!FC$3&amp;Weekly_Pmod!$B16&amp;Weekly_Pmod!$B$3&amp;$B$2&amp;Weekly_Pmod!$B$1)</f>
        <v>0</v>
      </c>
      <c r="FD16" s="2">
        <f>COUNTIF(defects!$AB:$AB,Weekly_Pmod!FD$3&amp;Weekly_Pmod!$B16&amp;Weekly_Pmod!$B$3&amp;$B$2&amp;Weekly_Pmod!$B$1)</f>
        <v>0</v>
      </c>
      <c r="FE16" s="2">
        <f>COUNTIF(defects!$AB:$AB,Weekly_Pmod!FE$3&amp;Weekly_Pmod!$B16&amp;Weekly_Pmod!$B$3&amp;$B$2&amp;Weekly_Pmod!$B$1)</f>
        <v>0</v>
      </c>
    </row>
    <row r="17" spans="2:161">
      <c r="B17" s="2" t="s">
        <v>994</v>
      </c>
      <c r="C17" s="2">
        <f>COUNTIF(defects!$AB:$AB,Weekly_Pmod!C$3&amp;Weekly_Pmod!$B17&amp;Weekly_Pmod!$B$3&amp;$B$2&amp;Weekly_Pmod!$B$1)</f>
        <v>0</v>
      </c>
      <c r="D17" s="2">
        <f>COUNTIF(defects!$AB:$AB,Weekly_Pmod!D$3&amp;Weekly_Pmod!$B17&amp;Weekly_Pmod!$B$3&amp;$B$2&amp;Weekly_Pmod!$B$1)</f>
        <v>0</v>
      </c>
      <c r="E17" s="2">
        <f>COUNTIF(defects!$AB:$AB,Weekly_Pmod!E$3&amp;Weekly_Pmod!$B17&amp;Weekly_Pmod!$B$3&amp;$B$2&amp;Weekly_Pmod!$B$1)</f>
        <v>0</v>
      </c>
      <c r="F17" s="2">
        <f>COUNTIF(defects!$AB:$AB,Weekly_Pmod!F$3&amp;Weekly_Pmod!$B17&amp;Weekly_Pmod!$B$3&amp;$B$2&amp;Weekly_Pmod!$B$1)</f>
        <v>0</v>
      </c>
      <c r="G17" s="2">
        <f>COUNTIF(defects!$AB:$AB,Weekly_Pmod!G$3&amp;Weekly_Pmod!$B17&amp;Weekly_Pmod!$B$3&amp;$B$2&amp;Weekly_Pmod!$B$1)</f>
        <v>0</v>
      </c>
      <c r="H17" s="2">
        <f>COUNTIF(defects!$AB:$AB,Weekly_Pmod!H$3&amp;Weekly_Pmod!$B17&amp;Weekly_Pmod!$B$3&amp;$B$2&amp;Weekly_Pmod!$B$1)</f>
        <v>0</v>
      </c>
      <c r="I17" s="2">
        <f>COUNTIF(defects!$AB:$AB,Weekly_Pmod!I$3&amp;Weekly_Pmod!$B17&amp;Weekly_Pmod!$B$3&amp;$B$2&amp;Weekly_Pmod!$B$1)</f>
        <v>0</v>
      </c>
      <c r="J17" s="2">
        <f>COUNTIF(defects!$AB:$AB,Weekly_Pmod!J$3&amp;Weekly_Pmod!$B17&amp;Weekly_Pmod!$B$3&amp;$B$2&amp;Weekly_Pmod!$B$1)</f>
        <v>0</v>
      </c>
      <c r="K17" s="2">
        <f>COUNTIF(defects!$AB:$AB,Weekly_Pmod!K$3&amp;Weekly_Pmod!$B17&amp;Weekly_Pmod!$B$3&amp;$B$2&amp;Weekly_Pmod!$B$1)</f>
        <v>0</v>
      </c>
      <c r="L17" s="2">
        <f>COUNTIF(defects!$AB:$AB,Weekly_Pmod!L$3&amp;Weekly_Pmod!$B17&amp;Weekly_Pmod!$B$3&amp;$B$2&amp;Weekly_Pmod!$B$1)</f>
        <v>0</v>
      </c>
      <c r="M17" s="2">
        <f>COUNTIF(defects!$AB:$AB,Weekly_Pmod!M$3&amp;Weekly_Pmod!$B17&amp;Weekly_Pmod!$B$3&amp;$B$2&amp;Weekly_Pmod!$B$1)</f>
        <v>0</v>
      </c>
      <c r="N17" s="2">
        <f>COUNTIF(defects!$AB:$AB,Weekly_Pmod!N$3&amp;Weekly_Pmod!$B17&amp;Weekly_Pmod!$B$3&amp;$B$2&amp;Weekly_Pmod!$B$1)</f>
        <v>0</v>
      </c>
      <c r="O17" s="2">
        <f>COUNTIF(defects!$AB:$AB,Weekly_Pmod!O$3&amp;Weekly_Pmod!$B17&amp;Weekly_Pmod!$B$3&amp;$B$2&amp;Weekly_Pmod!$B$1)</f>
        <v>0</v>
      </c>
      <c r="P17" s="2">
        <f>COUNTIF(defects!$AB:$AB,Weekly_Pmod!P$3&amp;Weekly_Pmod!$B17&amp;Weekly_Pmod!$B$3&amp;$B$2&amp;Weekly_Pmod!$B$1)</f>
        <v>0</v>
      </c>
      <c r="Q17" s="2">
        <f>COUNTIF(defects!$AB:$AB,Weekly_Pmod!Q$3&amp;Weekly_Pmod!$B17&amp;Weekly_Pmod!$B$3&amp;$B$2&amp;Weekly_Pmod!$B$1)</f>
        <v>0</v>
      </c>
      <c r="R17" s="2">
        <f>COUNTIF(defects!$AB:$AB,Weekly_Pmod!R$3&amp;Weekly_Pmod!$B17&amp;Weekly_Pmod!$B$3&amp;$B$2&amp;Weekly_Pmod!$B$1)</f>
        <v>0</v>
      </c>
      <c r="S17" s="2">
        <f>COUNTIF(defects!$AB:$AB,Weekly_Pmod!S$3&amp;Weekly_Pmod!$B17&amp;Weekly_Pmod!$B$3&amp;$B$2&amp;Weekly_Pmod!$B$1)</f>
        <v>0</v>
      </c>
      <c r="T17" s="2">
        <f>COUNTIF(defects!$AB:$AB,Weekly_Pmod!T$3&amp;Weekly_Pmod!$B17&amp;Weekly_Pmod!$B$3&amp;$B$2&amp;Weekly_Pmod!$B$1)</f>
        <v>0</v>
      </c>
      <c r="U17" s="2">
        <f>COUNTIF(defects!$AB:$AB,Weekly_Pmod!U$3&amp;Weekly_Pmod!$B17&amp;Weekly_Pmod!$B$3&amp;$B$2&amp;Weekly_Pmod!$B$1)</f>
        <v>0</v>
      </c>
      <c r="V17" s="2">
        <f>COUNTIF(defects!$AB:$AB,Weekly_Pmod!V$3&amp;Weekly_Pmod!$B17&amp;Weekly_Pmod!$B$3&amp;$B$2&amp;Weekly_Pmod!$B$1)</f>
        <v>0</v>
      </c>
      <c r="W17" s="2">
        <f>COUNTIF(defects!$AB:$AB,Weekly_Pmod!W$3&amp;Weekly_Pmod!$B17&amp;Weekly_Pmod!$B$3&amp;$B$2&amp;Weekly_Pmod!$B$1)</f>
        <v>0</v>
      </c>
      <c r="X17" s="2">
        <f>COUNTIF(defects!$AB:$AB,Weekly_Pmod!X$3&amp;Weekly_Pmod!$B17&amp;Weekly_Pmod!$B$3&amp;$B$2&amp;Weekly_Pmod!$B$1)</f>
        <v>0</v>
      </c>
      <c r="Y17" s="2">
        <f>COUNTIF(defects!$AB:$AB,Weekly_Pmod!Y$3&amp;Weekly_Pmod!$B17&amp;Weekly_Pmod!$B$3&amp;$B$2&amp;Weekly_Pmod!$B$1)</f>
        <v>0</v>
      </c>
      <c r="Z17" s="2">
        <f>COUNTIF(defects!$AB:$AB,Weekly_Pmod!Z$3&amp;Weekly_Pmod!$B17&amp;Weekly_Pmod!$B$3&amp;$B$2&amp;Weekly_Pmod!$B$1)</f>
        <v>0</v>
      </c>
      <c r="AA17" s="2">
        <f>COUNTIF(defects!$AB:$AB,Weekly_Pmod!AA$3&amp;Weekly_Pmod!$B17&amp;Weekly_Pmod!$B$3&amp;$B$2&amp;Weekly_Pmod!$B$1)</f>
        <v>0</v>
      </c>
      <c r="AB17" s="2">
        <f>COUNTIF(defects!$AB:$AB,Weekly_Pmod!AB$3&amp;Weekly_Pmod!$B17&amp;Weekly_Pmod!$B$3&amp;$B$2&amp;Weekly_Pmod!$B$1)</f>
        <v>0</v>
      </c>
      <c r="AC17" s="2">
        <f>COUNTIF(defects!$AB:$AB,Weekly_Pmod!AC$3&amp;Weekly_Pmod!$B17&amp;Weekly_Pmod!$B$3&amp;$B$2&amp;Weekly_Pmod!$B$1)</f>
        <v>0</v>
      </c>
      <c r="AD17" s="2">
        <f>COUNTIF(defects!$AB:$AB,Weekly_Pmod!AD$3&amp;Weekly_Pmod!$B17&amp;Weekly_Pmod!$B$3&amp;$B$2&amp;Weekly_Pmod!$B$1)</f>
        <v>0</v>
      </c>
      <c r="AE17" s="2">
        <f>COUNTIF(defects!$AB:$AB,Weekly_Pmod!AE$3&amp;Weekly_Pmod!$B17&amp;Weekly_Pmod!$B$3&amp;$B$2&amp;Weekly_Pmod!$B$1)</f>
        <v>0</v>
      </c>
      <c r="AF17" s="2">
        <f>COUNTIF(defects!$AB:$AB,Weekly_Pmod!AF$3&amp;Weekly_Pmod!$B17&amp;Weekly_Pmod!$B$3&amp;$B$2&amp;Weekly_Pmod!$B$1)</f>
        <v>0</v>
      </c>
      <c r="AG17" s="2">
        <f>COUNTIF(defects!$AB:$AB,Weekly_Pmod!AG$3&amp;Weekly_Pmod!$B17&amp;Weekly_Pmod!$B$3&amp;$B$2&amp;Weekly_Pmod!$B$1)</f>
        <v>0</v>
      </c>
      <c r="AH17" s="2">
        <f>COUNTIF(defects!$AB:$AB,Weekly_Pmod!AH$3&amp;Weekly_Pmod!$B17&amp;Weekly_Pmod!$B$3&amp;$B$2&amp;Weekly_Pmod!$B$1)</f>
        <v>0</v>
      </c>
      <c r="AI17" s="2">
        <f>COUNTIF(defects!$AB:$AB,Weekly_Pmod!AI$3&amp;Weekly_Pmod!$B17&amp;Weekly_Pmod!$B$3&amp;$B$2&amp;Weekly_Pmod!$B$1)</f>
        <v>0</v>
      </c>
      <c r="AJ17" s="2">
        <f>COUNTIF(defects!$AB:$AB,Weekly_Pmod!AJ$3&amp;Weekly_Pmod!$B17&amp;Weekly_Pmod!$B$3&amp;$B$2&amp;Weekly_Pmod!$B$1)</f>
        <v>0</v>
      </c>
      <c r="AK17" s="2">
        <f>COUNTIF(defects!$AB:$AB,Weekly_Pmod!AK$3&amp;Weekly_Pmod!$B17&amp;Weekly_Pmod!$B$3&amp;$B$2&amp;Weekly_Pmod!$B$1)</f>
        <v>0</v>
      </c>
      <c r="AL17" s="2">
        <f>COUNTIF(defects!$AB:$AB,Weekly_Pmod!AL$3&amp;Weekly_Pmod!$B17&amp;Weekly_Pmod!$B$3&amp;$B$2&amp;Weekly_Pmod!$B$1)</f>
        <v>0</v>
      </c>
      <c r="AM17" s="2">
        <f>COUNTIF(defects!$AB:$AB,Weekly_Pmod!AM$3&amp;Weekly_Pmod!$B17&amp;Weekly_Pmod!$B$3&amp;$B$2&amp;Weekly_Pmod!$B$1)</f>
        <v>0</v>
      </c>
      <c r="AN17" s="2">
        <f>COUNTIF(defects!$AB:$AB,Weekly_Pmod!AN$3&amp;Weekly_Pmod!$B17&amp;Weekly_Pmod!$B$3&amp;$B$2&amp;Weekly_Pmod!$B$1)</f>
        <v>0</v>
      </c>
      <c r="AO17" s="2">
        <f>COUNTIF(defects!$AB:$AB,Weekly_Pmod!AO$3&amp;Weekly_Pmod!$B17&amp;Weekly_Pmod!$B$3&amp;$B$2&amp;Weekly_Pmod!$B$1)</f>
        <v>0</v>
      </c>
      <c r="AP17" s="2">
        <f>COUNTIF(defects!$AB:$AB,Weekly_Pmod!AP$3&amp;Weekly_Pmod!$B17&amp;Weekly_Pmod!$B$3&amp;$B$2&amp;Weekly_Pmod!$B$1)</f>
        <v>0</v>
      </c>
      <c r="AQ17" s="2">
        <f>COUNTIF(defects!$AB:$AB,Weekly_Pmod!AQ$3&amp;Weekly_Pmod!$B17&amp;Weekly_Pmod!$B$3&amp;$B$2&amp;Weekly_Pmod!$B$1)</f>
        <v>0</v>
      </c>
      <c r="AR17" s="2">
        <f>COUNTIF(defects!$AB:$AB,Weekly_Pmod!AR$3&amp;Weekly_Pmod!$B17&amp;Weekly_Pmod!$B$3&amp;$B$2&amp;Weekly_Pmod!$B$1)</f>
        <v>0</v>
      </c>
      <c r="AS17" s="2">
        <f>COUNTIF(defects!$AB:$AB,Weekly_Pmod!AS$3&amp;Weekly_Pmod!$B17&amp;Weekly_Pmod!$B$3&amp;$B$2&amp;Weekly_Pmod!$B$1)</f>
        <v>0</v>
      </c>
      <c r="AT17" s="2">
        <f>COUNTIF(defects!$AB:$AB,Weekly_Pmod!AT$3&amp;Weekly_Pmod!$B17&amp;Weekly_Pmod!$B$3&amp;$B$2&amp;Weekly_Pmod!$B$1)</f>
        <v>0</v>
      </c>
      <c r="AU17" s="2">
        <f>COUNTIF(defects!$AB:$AB,Weekly_Pmod!AU$3&amp;Weekly_Pmod!$B17&amp;Weekly_Pmod!$B$3&amp;$B$2&amp;Weekly_Pmod!$B$1)</f>
        <v>0</v>
      </c>
      <c r="AV17" s="2">
        <f>COUNTIF(defects!$AB:$AB,Weekly_Pmod!AV$3&amp;Weekly_Pmod!$B17&amp;Weekly_Pmod!$B$3&amp;$B$2&amp;Weekly_Pmod!$B$1)</f>
        <v>0</v>
      </c>
      <c r="AW17" s="2">
        <f>COUNTIF(defects!$AB:$AB,Weekly_Pmod!AW$3&amp;Weekly_Pmod!$B17&amp;Weekly_Pmod!$B$3&amp;$B$2&amp;Weekly_Pmod!$B$1)</f>
        <v>0</v>
      </c>
      <c r="AX17" s="2">
        <f>COUNTIF(defects!$AB:$AB,Weekly_Pmod!AX$3&amp;Weekly_Pmod!$B17&amp;Weekly_Pmod!$B$3&amp;$B$2&amp;Weekly_Pmod!$B$1)</f>
        <v>0</v>
      </c>
      <c r="AY17" s="2">
        <f>COUNTIF(defects!$AB:$AB,Weekly_Pmod!AY$3&amp;Weekly_Pmod!$B17&amp;Weekly_Pmod!$B$3&amp;$B$2&amp;Weekly_Pmod!$B$1)</f>
        <v>0</v>
      </c>
      <c r="AZ17" s="2">
        <f>COUNTIF(defects!$AB:$AB,Weekly_Pmod!AZ$3&amp;Weekly_Pmod!$B17&amp;Weekly_Pmod!$B$3&amp;$B$2&amp;Weekly_Pmod!$B$1)</f>
        <v>0</v>
      </c>
      <c r="BA17" s="2">
        <f>COUNTIF(defects!$AB:$AB,Weekly_Pmod!BA$3&amp;Weekly_Pmod!$B17&amp;Weekly_Pmod!$B$3&amp;$B$2&amp;Weekly_Pmod!$B$1)</f>
        <v>0</v>
      </c>
      <c r="BB17" s="2">
        <f>COUNTIF(defects!$AB:$AB,Weekly_Pmod!BB$3&amp;Weekly_Pmod!$B17&amp;Weekly_Pmod!$B$3&amp;$B$2&amp;Weekly_Pmod!$B$1)</f>
        <v>0</v>
      </c>
      <c r="BC17" s="2">
        <f>COUNTIF(defects!$AB:$AB,Weekly_Pmod!BC$3&amp;Weekly_Pmod!$B17&amp;Weekly_Pmod!$B$3&amp;$B$2&amp;Weekly_Pmod!$B$1)</f>
        <v>0</v>
      </c>
      <c r="BD17" s="2">
        <f>COUNTIF(defects!$AB:$AB,Weekly_Pmod!BD$3&amp;Weekly_Pmod!$B17&amp;Weekly_Pmod!$B$3&amp;$B$2&amp;Weekly_Pmod!$B$1)</f>
        <v>0</v>
      </c>
      <c r="BE17" s="2">
        <f>COUNTIF(defects!$AB:$AB,Weekly_Pmod!BE$3&amp;Weekly_Pmod!$B17&amp;Weekly_Pmod!$B$3&amp;$B$2&amp;Weekly_Pmod!$B$1)</f>
        <v>0</v>
      </c>
      <c r="BF17" s="2">
        <f>COUNTIF(defects!$AB:$AB,Weekly_Pmod!BF$3&amp;Weekly_Pmod!$B17&amp;Weekly_Pmod!$B$3&amp;$B$2&amp;Weekly_Pmod!$B$1)</f>
        <v>0</v>
      </c>
      <c r="BG17" s="2">
        <f>COUNTIF(defects!$AB:$AB,Weekly_Pmod!BG$3&amp;Weekly_Pmod!$B17&amp;Weekly_Pmod!$B$3&amp;$B$2&amp;Weekly_Pmod!$B$1)</f>
        <v>0</v>
      </c>
      <c r="BH17" s="2">
        <f>COUNTIF(defects!$AB:$AB,Weekly_Pmod!BH$3&amp;Weekly_Pmod!$B17&amp;Weekly_Pmod!$B$3&amp;$B$2&amp;Weekly_Pmod!$B$1)</f>
        <v>0</v>
      </c>
      <c r="BI17" s="2">
        <f>COUNTIF(defects!$AB:$AB,Weekly_Pmod!BI$3&amp;Weekly_Pmod!$B17&amp;Weekly_Pmod!$B$3&amp;$B$2&amp;Weekly_Pmod!$B$1)</f>
        <v>0</v>
      </c>
      <c r="BJ17" s="2">
        <f>COUNTIF(defects!$AB:$AB,Weekly_Pmod!BJ$3&amp;Weekly_Pmod!$B17&amp;Weekly_Pmod!$B$3&amp;$B$2&amp;Weekly_Pmod!$B$1)</f>
        <v>0</v>
      </c>
      <c r="BK17" s="2">
        <f>COUNTIF(defects!$AB:$AB,Weekly_Pmod!BK$3&amp;Weekly_Pmod!$B17&amp;Weekly_Pmod!$B$3&amp;$B$2&amp;Weekly_Pmod!$B$1)</f>
        <v>0</v>
      </c>
      <c r="BL17" s="2">
        <f>COUNTIF(defects!$AB:$AB,Weekly_Pmod!BL$3&amp;Weekly_Pmod!$B17&amp;Weekly_Pmod!$B$3&amp;$B$2&amp;Weekly_Pmod!$B$1)</f>
        <v>0</v>
      </c>
      <c r="BM17" s="2">
        <f>COUNTIF(defects!$AB:$AB,Weekly_Pmod!BM$3&amp;Weekly_Pmod!$B17&amp;Weekly_Pmod!$B$3&amp;$B$2&amp;Weekly_Pmod!$B$1)</f>
        <v>0</v>
      </c>
      <c r="BN17" s="2">
        <f>COUNTIF(defects!$AB:$AB,Weekly_Pmod!BN$3&amp;Weekly_Pmod!$B17&amp;Weekly_Pmod!$B$3&amp;$B$2&amp;Weekly_Pmod!$B$1)</f>
        <v>0</v>
      </c>
      <c r="BO17" s="2">
        <f>COUNTIF(defects!$AB:$AB,Weekly_Pmod!BO$3&amp;Weekly_Pmod!$B17&amp;Weekly_Pmod!$B$3&amp;$B$2&amp;Weekly_Pmod!$B$1)</f>
        <v>0</v>
      </c>
      <c r="BP17" s="2">
        <f>COUNTIF(defects!$AB:$AB,Weekly_Pmod!BP$3&amp;Weekly_Pmod!$B17&amp;Weekly_Pmod!$B$3&amp;$B$2&amp;Weekly_Pmod!$B$1)</f>
        <v>0</v>
      </c>
      <c r="BQ17" s="2">
        <f>COUNTIF(defects!$AB:$AB,Weekly_Pmod!BQ$3&amp;Weekly_Pmod!$B17&amp;Weekly_Pmod!$B$3&amp;$B$2&amp;Weekly_Pmod!$B$1)</f>
        <v>0</v>
      </c>
      <c r="BR17" s="2">
        <f>COUNTIF(defects!$AB:$AB,Weekly_Pmod!BR$3&amp;Weekly_Pmod!$B17&amp;Weekly_Pmod!$B$3&amp;$B$2&amp;Weekly_Pmod!$B$1)</f>
        <v>0</v>
      </c>
      <c r="BS17" s="2">
        <f>COUNTIF(defects!$AB:$AB,Weekly_Pmod!BS$3&amp;Weekly_Pmod!$B17&amp;Weekly_Pmod!$B$3&amp;$B$2&amp;Weekly_Pmod!$B$1)</f>
        <v>0</v>
      </c>
      <c r="BT17" s="2">
        <f>COUNTIF(defects!$AB:$AB,Weekly_Pmod!BT$3&amp;Weekly_Pmod!$B17&amp;Weekly_Pmod!$B$3&amp;$B$2&amp;Weekly_Pmod!$B$1)</f>
        <v>0</v>
      </c>
      <c r="BU17" s="2">
        <f>COUNTIF(defects!$AB:$AB,Weekly_Pmod!BU$3&amp;Weekly_Pmod!$B17&amp;Weekly_Pmod!$B$3&amp;$B$2&amp;Weekly_Pmod!$B$1)</f>
        <v>0</v>
      </c>
      <c r="BV17" s="2">
        <f>COUNTIF(defects!$AB:$AB,Weekly_Pmod!BV$3&amp;Weekly_Pmod!$B17&amp;Weekly_Pmod!$B$3&amp;$B$2&amp;Weekly_Pmod!$B$1)</f>
        <v>0</v>
      </c>
      <c r="BW17" s="2">
        <f>COUNTIF(defects!$AB:$AB,Weekly_Pmod!BW$3&amp;Weekly_Pmod!$B17&amp;Weekly_Pmod!$B$3&amp;$B$2&amp;Weekly_Pmod!$B$1)</f>
        <v>0</v>
      </c>
      <c r="BX17" s="2">
        <f>COUNTIF(defects!$AB:$AB,Weekly_Pmod!BX$3&amp;Weekly_Pmod!$B17&amp;Weekly_Pmod!$B$3&amp;$B$2&amp;Weekly_Pmod!$B$1)</f>
        <v>0</v>
      </c>
      <c r="BY17" s="2">
        <f>COUNTIF(defects!$AB:$AB,Weekly_Pmod!BY$3&amp;Weekly_Pmod!$B17&amp;Weekly_Pmod!$B$3&amp;$B$2&amp;Weekly_Pmod!$B$1)</f>
        <v>0</v>
      </c>
      <c r="BZ17" s="2">
        <f>COUNTIF(defects!$AB:$AB,Weekly_Pmod!BZ$3&amp;Weekly_Pmod!$B17&amp;Weekly_Pmod!$B$3&amp;$B$2&amp;Weekly_Pmod!$B$1)</f>
        <v>0</v>
      </c>
      <c r="CA17" s="2">
        <f>COUNTIF(defects!$AB:$AB,Weekly_Pmod!CA$3&amp;Weekly_Pmod!$B17&amp;Weekly_Pmod!$B$3&amp;$B$2&amp;Weekly_Pmod!$B$1)</f>
        <v>0</v>
      </c>
      <c r="CB17" s="2">
        <f>COUNTIF(defects!$AB:$AB,Weekly_Pmod!CB$3&amp;Weekly_Pmod!$B17&amp;Weekly_Pmod!$B$3&amp;$B$2&amp;Weekly_Pmod!$B$1)</f>
        <v>0</v>
      </c>
      <c r="CC17" s="2">
        <f>COUNTIF(defects!$AB:$AB,Weekly_Pmod!CC$3&amp;Weekly_Pmod!$B17&amp;Weekly_Pmod!$B$3&amp;$B$2&amp;Weekly_Pmod!$B$1)</f>
        <v>0</v>
      </c>
      <c r="CD17" s="2">
        <f>COUNTIF(defects!$AB:$AB,Weekly_Pmod!CD$3&amp;Weekly_Pmod!$B17&amp;Weekly_Pmod!$B$3&amp;$B$2&amp;Weekly_Pmod!$B$1)</f>
        <v>0</v>
      </c>
      <c r="CE17" s="2">
        <f>COUNTIF(defects!$AB:$AB,Weekly_Pmod!CE$3&amp;Weekly_Pmod!$B17&amp;Weekly_Pmod!$B$3&amp;$B$2&amp;Weekly_Pmod!$B$1)</f>
        <v>0</v>
      </c>
      <c r="CF17" s="2">
        <f>COUNTIF(defects!$AB:$AB,Weekly_Pmod!CF$3&amp;Weekly_Pmod!$B17&amp;Weekly_Pmod!$B$3&amp;$B$2&amp;Weekly_Pmod!$B$1)</f>
        <v>0</v>
      </c>
      <c r="CG17" s="2">
        <f>COUNTIF(defects!$AB:$AB,Weekly_Pmod!CG$3&amp;Weekly_Pmod!$B17&amp;Weekly_Pmod!$B$3&amp;$B$2&amp;Weekly_Pmod!$B$1)</f>
        <v>0</v>
      </c>
      <c r="CH17" s="2">
        <f>COUNTIF(defects!$AB:$AB,Weekly_Pmod!CH$3&amp;Weekly_Pmod!$B17&amp;Weekly_Pmod!$B$3&amp;$B$2&amp;Weekly_Pmod!$B$1)</f>
        <v>0</v>
      </c>
      <c r="CI17" s="2">
        <f>COUNTIF(defects!$AB:$AB,Weekly_Pmod!CI$3&amp;Weekly_Pmod!$B17&amp;Weekly_Pmod!$B$3&amp;$B$2&amp;Weekly_Pmod!$B$1)</f>
        <v>0</v>
      </c>
      <c r="CJ17" s="2">
        <f>COUNTIF(defects!$AB:$AB,Weekly_Pmod!CJ$3&amp;Weekly_Pmod!$B17&amp;Weekly_Pmod!$B$3&amp;$B$2&amp;Weekly_Pmod!$B$1)</f>
        <v>0</v>
      </c>
      <c r="CK17" s="2">
        <f>COUNTIF(defects!$AB:$AB,Weekly_Pmod!CK$3&amp;Weekly_Pmod!$B17&amp;Weekly_Pmod!$B$3&amp;$B$2&amp;Weekly_Pmod!$B$1)</f>
        <v>0</v>
      </c>
      <c r="CL17" s="2">
        <f>COUNTIF(defects!$AB:$AB,Weekly_Pmod!CL$3&amp;Weekly_Pmod!$B17&amp;Weekly_Pmod!$B$3&amp;$B$2&amp;Weekly_Pmod!$B$1)</f>
        <v>0</v>
      </c>
      <c r="CM17" s="2">
        <f>COUNTIF(defects!$AB:$AB,Weekly_Pmod!CM$3&amp;Weekly_Pmod!$B17&amp;Weekly_Pmod!$B$3&amp;$B$2&amp;Weekly_Pmod!$B$1)</f>
        <v>0</v>
      </c>
      <c r="CN17" s="2">
        <f>COUNTIF(defects!$AB:$AB,Weekly_Pmod!CN$3&amp;Weekly_Pmod!$B17&amp;Weekly_Pmod!$B$3&amp;$B$2&amp;Weekly_Pmod!$B$1)</f>
        <v>0</v>
      </c>
      <c r="CO17" s="2">
        <f>COUNTIF(defects!$AB:$AB,Weekly_Pmod!CO$3&amp;Weekly_Pmod!$B17&amp;Weekly_Pmod!$B$3&amp;$B$2&amp;Weekly_Pmod!$B$1)</f>
        <v>0</v>
      </c>
      <c r="CP17" s="2">
        <f>COUNTIF(defects!$AB:$AB,Weekly_Pmod!CP$3&amp;Weekly_Pmod!$B17&amp;Weekly_Pmod!$B$3&amp;$B$2&amp;Weekly_Pmod!$B$1)</f>
        <v>0</v>
      </c>
      <c r="CQ17" s="2">
        <f>COUNTIF(defects!$AB:$AB,Weekly_Pmod!CQ$3&amp;Weekly_Pmod!$B17&amp;Weekly_Pmod!$B$3&amp;$B$2&amp;Weekly_Pmod!$B$1)</f>
        <v>0</v>
      </c>
      <c r="CR17" s="2">
        <f>COUNTIF(defects!$AB:$AB,Weekly_Pmod!CR$3&amp;Weekly_Pmod!$B17&amp;Weekly_Pmod!$B$3&amp;$B$2&amp;Weekly_Pmod!$B$1)</f>
        <v>0</v>
      </c>
      <c r="CS17" s="2">
        <f>COUNTIF(defects!$AB:$AB,Weekly_Pmod!CS$3&amp;Weekly_Pmod!$B17&amp;Weekly_Pmod!$B$3&amp;$B$2&amp;Weekly_Pmod!$B$1)</f>
        <v>0</v>
      </c>
      <c r="CT17" s="2">
        <f>COUNTIF(defects!$AB:$AB,Weekly_Pmod!CT$3&amp;Weekly_Pmod!$B17&amp;Weekly_Pmod!$B$3&amp;$B$2&amp;Weekly_Pmod!$B$1)</f>
        <v>0</v>
      </c>
      <c r="CU17" s="2">
        <f>COUNTIF(defects!$AB:$AB,Weekly_Pmod!CU$3&amp;Weekly_Pmod!$B17&amp;Weekly_Pmod!$B$3&amp;$B$2&amp;Weekly_Pmod!$B$1)</f>
        <v>0</v>
      </c>
      <c r="CV17" s="2">
        <f>COUNTIF(defects!$AB:$AB,Weekly_Pmod!CV$3&amp;Weekly_Pmod!$B17&amp;Weekly_Pmod!$B$3&amp;$B$2&amp;Weekly_Pmod!$B$1)</f>
        <v>0</v>
      </c>
      <c r="CW17" s="2">
        <f>COUNTIF(defects!$AB:$AB,Weekly_Pmod!CW$3&amp;Weekly_Pmod!$B17&amp;Weekly_Pmod!$B$3&amp;$B$2&amp;Weekly_Pmod!$B$1)</f>
        <v>0</v>
      </c>
      <c r="CX17" s="2">
        <f>COUNTIF(defects!$AB:$AB,Weekly_Pmod!CX$3&amp;Weekly_Pmod!$B17&amp;Weekly_Pmod!$B$3&amp;$B$2&amp;Weekly_Pmod!$B$1)</f>
        <v>0</v>
      </c>
      <c r="CY17" s="2">
        <f>COUNTIF(defects!$AB:$AB,Weekly_Pmod!CY$3&amp;Weekly_Pmod!$B17&amp;Weekly_Pmod!$B$3&amp;$B$2&amp;Weekly_Pmod!$B$1)</f>
        <v>0</v>
      </c>
      <c r="CZ17" s="2">
        <f>COUNTIF(defects!$AB:$AB,Weekly_Pmod!CZ$3&amp;Weekly_Pmod!$B17&amp;Weekly_Pmod!$B$3&amp;$B$2&amp;Weekly_Pmod!$B$1)</f>
        <v>0</v>
      </c>
      <c r="DA17" s="2">
        <f>COUNTIF(defects!$AB:$AB,Weekly_Pmod!DA$3&amp;Weekly_Pmod!$B17&amp;Weekly_Pmod!$B$3&amp;$B$2&amp;Weekly_Pmod!$B$1)</f>
        <v>0</v>
      </c>
      <c r="DB17" s="2">
        <f>COUNTIF(defects!$AB:$AB,Weekly_Pmod!DB$3&amp;Weekly_Pmod!$B17&amp;Weekly_Pmod!$B$3&amp;$B$2&amp;Weekly_Pmod!$B$1)</f>
        <v>0</v>
      </c>
      <c r="DC17" s="2">
        <f>COUNTIF(defects!$AB:$AB,Weekly_Pmod!DC$3&amp;Weekly_Pmod!$B17&amp;Weekly_Pmod!$B$3&amp;$B$2&amp;Weekly_Pmod!$B$1)</f>
        <v>0</v>
      </c>
      <c r="DD17" s="2">
        <f>COUNTIF(defects!$AB:$AB,Weekly_Pmod!DD$3&amp;Weekly_Pmod!$B17&amp;Weekly_Pmod!$B$3&amp;$B$2&amp;Weekly_Pmod!$B$1)</f>
        <v>0</v>
      </c>
      <c r="DE17" s="2">
        <f>COUNTIF(defects!$AB:$AB,Weekly_Pmod!DE$3&amp;Weekly_Pmod!$B17&amp;Weekly_Pmod!$B$3&amp;$B$2&amp;Weekly_Pmod!$B$1)</f>
        <v>0</v>
      </c>
      <c r="DF17" s="2">
        <f>COUNTIF(defects!$AB:$AB,Weekly_Pmod!DF$3&amp;Weekly_Pmod!$B17&amp;Weekly_Pmod!$B$3&amp;$B$2&amp;Weekly_Pmod!$B$1)</f>
        <v>0</v>
      </c>
      <c r="DG17" s="2">
        <f>COUNTIF(defects!$AB:$AB,Weekly_Pmod!DG$3&amp;Weekly_Pmod!$B17&amp;Weekly_Pmod!$B$3&amp;$B$2&amp;Weekly_Pmod!$B$1)</f>
        <v>0</v>
      </c>
      <c r="DH17" s="2">
        <f>COUNTIF(defects!$AB:$AB,Weekly_Pmod!DH$3&amp;Weekly_Pmod!$B17&amp;Weekly_Pmod!$B$3&amp;$B$2&amp;Weekly_Pmod!$B$1)</f>
        <v>0</v>
      </c>
      <c r="DI17" s="2">
        <f>COUNTIF(defects!$AB:$AB,Weekly_Pmod!DI$3&amp;Weekly_Pmod!$B17&amp;Weekly_Pmod!$B$3&amp;$B$2&amp;Weekly_Pmod!$B$1)</f>
        <v>0</v>
      </c>
      <c r="DJ17" s="2">
        <f>COUNTIF(defects!$AB:$AB,Weekly_Pmod!DJ$3&amp;Weekly_Pmod!$B17&amp;Weekly_Pmod!$B$3&amp;$B$2&amp;Weekly_Pmod!$B$1)</f>
        <v>0</v>
      </c>
      <c r="DK17" s="2">
        <f>COUNTIF(defects!$AB:$AB,Weekly_Pmod!DK$3&amp;Weekly_Pmod!$B17&amp;Weekly_Pmod!$B$3&amp;$B$2&amp;Weekly_Pmod!$B$1)</f>
        <v>0</v>
      </c>
      <c r="DL17" s="2">
        <f>COUNTIF(defects!$AB:$AB,Weekly_Pmod!DL$3&amp;Weekly_Pmod!$B17&amp;Weekly_Pmod!$B$3&amp;$B$2&amp;Weekly_Pmod!$B$1)</f>
        <v>0</v>
      </c>
      <c r="DM17" s="2">
        <f>COUNTIF(defects!$AB:$AB,Weekly_Pmod!DM$3&amp;Weekly_Pmod!$B17&amp;Weekly_Pmod!$B$3&amp;$B$2&amp;Weekly_Pmod!$B$1)</f>
        <v>0</v>
      </c>
      <c r="DN17" s="2">
        <f>COUNTIF(defects!$AB:$AB,Weekly_Pmod!DN$3&amp;Weekly_Pmod!$B17&amp;Weekly_Pmod!$B$3&amp;$B$2&amp;Weekly_Pmod!$B$1)</f>
        <v>0</v>
      </c>
      <c r="DO17" s="2">
        <f>COUNTIF(defects!$AB:$AB,Weekly_Pmod!DO$3&amp;Weekly_Pmod!$B17&amp;Weekly_Pmod!$B$3&amp;$B$2&amp;Weekly_Pmod!$B$1)</f>
        <v>0</v>
      </c>
      <c r="DP17" s="2">
        <f>COUNTIF(defects!$AB:$AB,Weekly_Pmod!DP$3&amp;Weekly_Pmod!$B17&amp;Weekly_Pmod!$B$3&amp;$B$2&amp;Weekly_Pmod!$B$1)</f>
        <v>0</v>
      </c>
      <c r="DQ17" s="2">
        <f>COUNTIF(defects!$AB:$AB,Weekly_Pmod!DQ$3&amp;Weekly_Pmod!$B17&amp;Weekly_Pmod!$B$3&amp;$B$2&amp;Weekly_Pmod!$B$1)</f>
        <v>0</v>
      </c>
      <c r="DR17" s="2">
        <f>COUNTIF(defects!$AB:$AB,Weekly_Pmod!DR$3&amp;Weekly_Pmod!$B17&amp;Weekly_Pmod!$B$3&amp;$B$2&amp;Weekly_Pmod!$B$1)</f>
        <v>0</v>
      </c>
      <c r="DS17" s="2">
        <f>COUNTIF(defects!$AB:$AB,Weekly_Pmod!DS$3&amp;Weekly_Pmod!$B17&amp;Weekly_Pmod!$B$3&amp;$B$2&amp;Weekly_Pmod!$B$1)</f>
        <v>0</v>
      </c>
      <c r="DT17" s="2">
        <f>COUNTIF(defects!$AB:$AB,Weekly_Pmod!DT$3&amp;Weekly_Pmod!$B17&amp;Weekly_Pmod!$B$3&amp;$B$2&amp;Weekly_Pmod!$B$1)</f>
        <v>0</v>
      </c>
      <c r="DU17" s="2">
        <f>COUNTIF(defects!$AB:$AB,Weekly_Pmod!DU$3&amp;Weekly_Pmod!$B17&amp;Weekly_Pmod!$B$3&amp;$B$2&amp;Weekly_Pmod!$B$1)</f>
        <v>0</v>
      </c>
      <c r="DV17" s="2">
        <f>COUNTIF(defects!$AB:$AB,Weekly_Pmod!DV$3&amp;Weekly_Pmod!$B17&amp;Weekly_Pmod!$B$3&amp;$B$2&amp;Weekly_Pmod!$B$1)</f>
        <v>0</v>
      </c>
      <c r="DW17" s="2">
        <f>COUNTIF(defects!$AB:$AB,Weekly_Pmod!DW$3&amp;Weekly_Pmod!$B17&amp;Weekly_Pmod!$B$3&amp;$B$2&amp;Weekly_Pmod!$B$1)</f>
        <v>0</v>
      </c>
      <c r="DX17" s="2">
        <f>COUNTIF(defects!$AB:$AB,Weekly_Pmod!DX$3&amp;Weekly_Pmod!$B17&amp;Weekly_Pmod!$B$3&amp;$B$2&amp;Weekly_Pmod!$B$1)</f>
        <v>0</v>
      </c>
      <c r="DY17" s="2">
        <f>COUNTIF(defects!$AB:$AB,Weekly_Pmod!DY$3&amp;Weekly_Pmod!$B17&amp;Weekly_Pmod!$B$3&amp;$B$2&amp;Weekly_Pmod!$B$1)</f>
        <v>0</v>
      </c>
      <c r="DZ17" s="2">
        <f>COUNTIF(defects!$AB:$AB,Weekly_Pmod!DZ$3&amp;Weekly_Pmod!$B17&amp;Weekly_Pmod!$B$3&amp;$B$2&amp;Weekly_Pmod!$B$1)</f>
        <v>0</v>
      </c>
      <c r="EA17" s="2">
        <f>COUNTIF(defects!$AB:$AB,Weekly_Pmod!EA$3&amp;Weekly_Pmod!$B17&amp;Weekly_Pmod!$B$3&amp;$B$2&amp;Weekly_Pmod!$B$1)</f>
        <v>0</v>
      </c>
      <c r="EB17" s="2">
        <f>COUNTIF(defects!$AB:$AB,Weekly_Pmod!EB$3&amp;Weekly_Pmod!$B17&amp;Weekly_Pmod!$B$3&amp;$B$2&amp;Weekly_Pmod!$B$1)</f>
        <v>0</v>
      </c>
      <c r="EC17" s="2">
        <f>COUNTIF(defects!$AB:$AB,Weekly_Pmod!EC$3&amp;Weekly_Pmod!$B17&amp;Weekly_Pmod!$B$3&amp;$B$2&amp;Weekly_Pmod!$B$1)</f>
        <v>0</v>
      </c>
      <c r="ED17" s="2">
        <f>COUNTIF(defects!$AB:$AB,Weekly_Pmod!ED$3&amp;Weekly_Pmod!$B17&amp;Weekly_Pmod!$B$3&amp;$B$2&amp;Weekly_Pmod!$B$1)</f>
        <v>0</v>
      </c>
      <c r="EE17" s="2">
        <f>COUNTIF(defects!$AB:$AB,Weekly_Pmod!EE$3&amp;Weekly_Pmod!$B17&amp;Weekly_Pmod!$B$3&amp;$B$2&amp;Weekly_Pmod!$B$1)</f>
        <v>0</v>
      </c>
      <c r="EF17" s="2">
        <f>COUNTIF(defects!$AB:$AB,Weekly_Pmod!EF$3&amp;Weekly_Pmod!$B17&amp;Weekly_Pmod!$B$3&amp;$B$2&amp;Weekly_Pmod!$B$1)</f>
        <v>0</v>
      </c>
      <c r="EG17" s="2">
        <f>COUNTIF(defects!$AB:$AB,Weekly_Pmod!EG$3&amp;Weekly_Pmod!$B17&amp;Weekly_Pmod!$B$3&amp;$B$2&amp;Weekly_Pmod!$B$1)</f>
        <v>0</v>
      </c>
      <c r="EH17" s="2">
        <f>COUNTIF(defects!$AB:$AB,Weekly_Pmod!EH$3&amp;Weekly_Pmod!$B17&amp;Weekly_Pmod!$B$3&amp;$B$2&amp;Weekly_Pmod!$B$1)</f>
        <v>0</v>
      </c>
      <c r="EI17" s="2">
        <f>COUNTIF(defects!$AB:$AB,Weekly_Pmod!EI$3&amp;Weekly_Pmod!$B17&amp;Weekly_Pmod!$B$3&amp;$B$2&amp;Weekly_Pmod!$B$1)</f>
        <v>0</v>
      </c>
      <c r="EJ17" s="2">
        <f>COUNTIF(defects!$AB:$AB,Weekly_Pmod!EJ$3&amp;Weekly_Pmod!$B17&amp;Weekly_Pmod!$B$3&amp;$B$2&amp;Weekly_Pmod!$B$1)</f>
        <v>0</v>
      </c>
      <c r="EK17" s="2">
        <f>COUNTIF(defects!$AB:$AB,Weekly_Pmod!EK$3&amp;Weekly_Pmod!$B17&amp;Weekly_Pmod!$B$3&amp;$B$2&amp;Weekly_Pmod!$B$1)</f>
        <v>0</v>
      </c>
      <c r="EL17" s="2">
        <f>COUNTIF(defects!$AB:$AB,Weekly_Pmod!EL$3&amp;Weekly_Pmod!$B17&amp;Weekly_Pmod!$B$3&amp;$B$2&amp;Weekly_Pmod!$B$1)</f>
        <v>0</v>
      </c>
      <c r="EM17" s="2">
        <f>COUNTIF(defects!$AB:$AB,Weekly_Pmod!EM$3&amp;Weekly_Pmod!$B17&amp;Weekly_Pmod!$B$3&amp;$B$2&amp;Weekly_Pmod!$B$1)</f>
        <v>0</v>
      </c>
      <c r="EN17" s="2">
        <f>COUNTIF(defects!$AB:$AB,Weekly_Pmod!EN$3&amp;Weekly_Pmod!$B17&amp;Weekly_Pmod!$B$3&amp;$B$2&amp;Weekly_Pmod!$B$1)</f>
        <v>0</v>
      </c>
      <c r="EO17" s="2">
        <f>COUNTIF(defects!$AB:$AB,Weekly_Pmod!EO$3&amp;Weekly_Pmod!$B17&amp;Weekly_Pmod!$B$3&amp;$B$2&amp;Weekly_Pmod!$B$1)</f>
        <v>0</v>
      </c>
      <c r="EP17" s="2">
        <f>COUNTIF(defects!$AB:$AB,Weekly_Pmod!EP$3&amp;Weekly_Pmod!$B17&amp;Weekly_Pmod!$B$3&amp;$B$2&amp;Weekly_Pmod!$B$1)</f>
        <v>0</v>
      </c>
      <c r="EQ17" s="2">
        <f>COUNTIF(defects!$AB:$AB,Weekly_Pmod!EQ$3&amp;Weekly_Pmod!$B17&amp;Weekly_Pmod!$B$3&amp;$B$2&amp;Weekly_Pmod!$B$1)</f>
        <v>0</v>
      </c>
      <c r="ER17" s="2">
        <f>COUNTIF(defects!$AB:$AB,Weekly_Pmod!ER$3&amp;Weekly_Pmod!$B17&amp;Weekly_Pmod!$B$3&amp;$B$2&amp;Weekly_Pmod!$B$1)</f>
        <v>0</v>
      </c>
      <c r="ES17" s="2">
        <f>COUNTIF(defects!$AB:$AB,Weekly_Pmod!ES$3&amp;Weekly_Pmod!$B17&amp;Weekly_Pmod!$B$3&amp;$B$2&amp;Weekly_Pmod!$B$1)</f>
        <v>0</v>
      </c>
      <c r="ET17" s="2">
        <f>COUNTIF(defects!$AB:$AB,Weekly_Pmod!ET$3&amp;Weekly_Pmod!$B17&amp;Weekly_Pmod!$B$3&amp;$B$2&amp;Weekly_Pmod!$B$1)</f>
        <v>0</v>
      </c>
      <c r="EU17" s="2">
        <f>COUNTIF(defects!$AB:$AB,Weekly_Pmod!EU$3&amp;Weekly_Pmod!$B17&amp;Weekly_Pmod!$B$3&amp;$B$2&amp;Weekly_Pmod!$B$1)</f>
        <v>0</v>
      </c>
      <c r="EV17" s="2">
        <f>COUNTIF(defects!$AB:$AB,Weekly_Pmod!EV$3&amp;Weekly_Pmod!$B17&amp;Weekly_Pmod!$B$3&amp;$B$2&amp;Weekly_Pmod!$B$1)</f>
        <v>0</v>
      </c>
      <c r="EW17" s="2">
        <f>COUNTIF(defects!$AB:$AB,Weekly_Pmod!EW$3&amp;Weekly_Pmod!$B17&amp;Weekly_Pmod!$B$3&amp;$B$2&amp;Weekly_Pmod!$B$1)</f>
        <v>0</v>
      </c>
      <c r="EX17" s="2">
        <f>COUNTIF(defects!$AB:$AB,Weekly_Pmod!EX$3&amp;Weekly_Pmod!$B17&amp;Weekly_Pmod!$B$3&amp;$B$2&amp;Weekly_Pmod!$B$1)</f>
        <v>0</v>
      </c>
      <c r="EY17" s="2">
        <f>COUNTIF(defects!$AB:$AB,Weekly_Pmod!EY$3&amp;Weekly_Pmod!$B17&amp;Weekly_Pmod!$B$3&amp;$B$2&amp;Weekly_Pmod!$B$1)</f>
        <v>0</v>
      </c>
      <c r="EZ17" s="2">
        <f>COUNTIF(defects!$AB:$AB,Weekly_Pmod!EZ$3&amp;Weekly_Pmod!$B17&amp;Weekly_Pmod!$B$3&amp;$B$2&amp;Weekly_Pmod!$B$1)</f>
        <v>0</v>
      </c>
      <c r="FA17" s="2">
        <f>COUNTIF(defects!$AB:$AB,Weekly_Pmod!FA$3&amp;Weekly_Pmod!$B17&amp;Weekly_Pmod!$B$3&amp;$B$2&amp;Weekly_Pmod!$B$1)</f>
        <v>0</v>
      </c>
      <c r="FB17" s="2">
        <f>COUNTIF(defects!$AB:$AB,Weekly_Pmod!FB$3&amp;Weekly_Pmod!$B17&amp;Weekly_Pmod!$B$3&amp;$B$2&amp;Weekly_Pmod!$B$1)</f>
        <v>0</v>
      </c>
      <c r="FC17" s="2">
        <f>COUNTIF(defects!$AB:$AB,Weekly_Pmod!FC$3&amp;Weekly_Pmod!$B17&amp;Weekly_Pmod!$B$3&amp;$B$2&amp;Weekly_Pmod!$B$1)</f>
        <v>0</v>
      </c>
      <c r="FD17" s="2">
        <f>COUNTIF(defects!$AB:$AB,Weekly_Pmod!FD$3&amp;Weekly_Pmod!$B17&amp;Weekly_Pmod!$B$3&amp;$B$2&amp;Weekly_Pmod!$B$1)</f>
        <v>0</v>
      </c>
      <c r="FE17" s="2">
        <f>COUNTIF(defects!$AB:$AB,Weekly_Pmod!FE$3&amp;Weekly_Pmod!$B17&amp;Weekly_Pmod!$B$3&amp;$B$2&amp;Weekly_Pmod!$B$1)</f>
        <v>0</v>
      </c>
    </row>
    <row r="18" spans="2:161">
      <c r="B18" s="2" t="s">
        <v>891</v>
      </c>
      <c r="C18" s="2">
        <f>COUNTIF(defects!$AB:$AB,Weekly_Pmod!C$3&amp;Weekly_Pmod!$B18&amp;Weekly_Pmod!$B$3&amp;$B$2&amp;Weekly_Pmod!$B$1)</f>
        <v>0</v>
      </c>
      <c r="D18" s="2">
        <f>COUNTIF(defects!$AB:$AB,Weekly_Pmod!D$3&amp;Weekly_Pmod!$B18&amp;Weekly_Pmod!$B$3&amp;$B$2&amp;Weekly_Pmod!$B$1)</f>
        <v>0</v>
      </c>
      <c r="E18" s="2">
        <f>COUNTIF(defects!$AB:$AB,Weekly_Pmod!E$3&amp;Weekly_Pmod!$B18&amp;Weekly_Pmod!$B$3&amp;$B$2&amp;Weekly_Pmod!$B$1)</f>
        <v>0</v>
      </c>
      <c r="F18" s="2">
        <f>COUNTIF(defects!$AB:$AB,Weekly_Pmod!F$3&amp;Weekly_Pmod!$B18&amp;Weekly_Pmod!$B$3&amp;$B$2&amp;Weekly_Pmod!$B$1)</f>
        <v>0</v>
      </c>
      <c r="G18" s="2">
        <f>COUNTIF(defects!$AB:$AB,Weekly_Pmod!G$3&amp;Weekly_Pmod!$B18&amp;Weekly_Pmod!$B$3&amp;$B$2&amp;Weekly_Pmod!$B$1)</f>
        <v>0</v>
      </c>
      <c r="H18" s="2">
        <f>COUNTIF(defects!$AB:$AB,Weekly_Pmod!H$3&amp;Weekly_Pmod!$B18&amp;Weekly_Pmod!$B$3&amp;$B$2&amp;Weekly_Pmod!$B$1)</f>
        <v>0</v>
      </c>
      <c r="I18" s="2">
        <f>COUNTIF(defects!$AB:$AB,Weekly_Pmod!I$3&amp;Weekly_Pmod!$B18&amp;Weekly_Pmod!$B$3&amp;$B$2&amp;Weekly_Pmod!$B$1)</f>
        <v>0</v>
      </c>
      <c r="J18" s="2">
        <f>COUNTIF(defects!$AB:$AB,Weekly_Pmod!J$3&amp;Weekly_Pmod!$B18&amp;Weekly_Pmod!$B$3&amp;$B$2&amp;Weekly_Pmod!$B$1)</f>
        <v>0</v>
      </c>
      <c r="K18" s="2">
        <f>COUNTIF(defects!$AB:$AB,Weekly_Pmod!K$3&amp;Weekly_Pmod!$B18&amp;Weekly_Pmod!$B$3&amp;$B$2&amp;Weekly_Pmod!$B$1)</f>
        <v>0</v>
      </c>
      <c r="L18" s="2">
        <f>COUNTIF(defects!$AB:$AB,Weekly_Pmod!L$3&amp;Weekly_Pmod!$B18&amp;Weekly_Pmod!$B$3&amp;$B$2&amp;Weekly_Pmod!$B$1)</f>
        <v>0</v>
      </c>
      <c r="M18" s="2">
        <f>COUNTIF(defects!$AB:$AB,Weekly_Pmod!M$3&amp;Weekly_Pmod!$B18&amp;Weekly_Pmod!$B$3&amp;$B$2&amp;Weekly_Pmod!$B$1)</f>
        <v>0</v>
      </c>
      <c r="N18" s="2">
        <f>COUNTIF(defects!$AB:$AB,Weekly_Pmod!N$3&amp;Weekly_Pmod!$B18&amp;Weekly_Pmod!$B$3&amp;$B$2&amp;Weekly_Pmod!$B$1)</f>
        <v>0</v>
      </c>
      <c r="O18" s="2">
        <f>COUNTIF(defects!$AB:$AB,Weekly_Pmod!O$3&amp;Weekly_Pmod!$B18&amp;Weekly_Pmod!$B$3&amp;$B$2&amp;Weekly_Pmod!$B$1)</f>
        <v>0</v>
      </c>
      <c r="P18" s="2">
        <f>COUNTIF(defects!$AB:$AB,Weekly_Pmod!P$3&amp;Weekly_Pmod!$B18&amp;Weekly_Pmod!$B$3&amp;$B$2&amp;Weekly_Pmod!$B$1)</f>
        <v>0</v>
      </c>
      <c r="Q18" s="2">
        <f>COUNTIF(defects!$AB:$AB,Weekly_Pmod!Q$3&amp;Weekly_Pmod!$B18&amp;Weekly_Pmod!$B$3&amp;$B$2&amp;Weekly_Pmod!$B$1)</f>
        <v>0</v>
      </c>
      <c r="R18" s="2">
        <f>COUNTIF(defects!$AB:$AB,Weekly_Pmod!R$3&amp;Weekly_Pmod!$B18&amp;Weekly_Pmod!$B$3&amp;$B$2&amp;Weekly_Pmod!$B$1)</f>
        <v>0</v>
      </c>
      <c r="S18" s="2">
        <f>COUNTIF(defects!$AB:$AB,Weekly_Pmod!S$3&amp;Weekly_Pmod!$B18&amp;Weekly_Pmod!$B$3&amp;$B$2&amp;Weekly_Pmod!$B$1)</f>
        <v>0</v>
      </c>
      <c r="T18" s="2">
        <f>COUNTIF(defects!$AB:$AB,Weekly_Pmod!T$3&amp;Weekly_Pmod!$B18&amp;Weekly_Pmod!$B$3&amp;$B$2&amp;Weekly_Pmod!$B$1)</f>
        <v>0</v>
      </c>
      <c r="U18" s="2">
        <f>COUNTIF(defects!$AB:$AB,Weekly_Pmod!U$3&amp;Weekly_Pmod!$B18&amp;Weekly_Pmod!$B$3&amp;$B$2&amp;Weekly_Pmod!$B$1)</f>
        <v>0</v>
      </c>
      <c r="V18" s="2">
        <f>COUNTIF(defects!$AB:$AB,Weekly_Pmod!V$3&amp;Weekly_Pmod!$B18&amp;Weekly_Pmod!$B$3&amp;$B$2&amp;Weekly_Pmod!$B$1)</f>
        <v>0</v>
      </c>
      <c r="W18" s="2">
        <f>COUNTIF(defects!$AB:$AB,Weekly_Pmod!W$3&amp;Weekly_Pmod!$B18&amp;Weekly_Pmod!$B$3&amp;$B$2&amp;Weekly_Pmod!$B$1)</f>
        <v>0</v>
      </c>
      <c r="X18" s="2">
        <f>COUNTIF(defects!$AB:$AB,Weekly_Pmod!X$3&amp;Weekly_Pmod!$B18&amp;Weekly_Pmod!$B$3&amp;$B$2&amp;Weekly_Pmod!$B$1)</f>
        <v>0</v>
      </c>
      <c r="Y18" s="2">
        <f>COUNTIF(defects!$AB:$AB,Weekly_Pmod!Y$3&amp;Weekly_Pmod!$B18&amp;Weekly_Pmod!$B$3&amp;$B$2&amp;Weekly_Pmod!$B$1)</f>
        <v>0</v>
      </c>
      <c r="Z18" s="2">
        <f>COUNTIF(defects!$AB:$AB,Weekly_Pmod!Z$3&amp;Weekly_Pmod!$B18&amp;Weekly_Pmod!$B$3&amp;$B$2&amp;Weekly_Pmod!$B$1)</f>
        <v>0</v>
      </c>
      <c r="AA18" s="2">
        <f>COUNTIF(defects!$AB:$AB,Weekly_Pmod!AA$3&amp;Weekly_Pmod!$B18&amp;Weekly_Pmod!$B$3&amp;$B$2&amp;Weekly_Pmod!$B$1)</f>
        <v>0</v>
      </c>
      <c r="AB18" s="2">
        <f>COUNTIF(defects!$AB:$AB,Weekly_Pmod!AB$3&amp;Weekly_Pmod!$B18&amp;Weekly_Pmod!$B$3&amp;$B$2&amp;Weekly_Pmod!$B$1)</f>
        <v>0</v>
      </c>
      <c r="AC18" s="2">
        <f>COUNTIF(defects!$AB:$AB,Weekly_Pmod!AC$3&amp;Weekly_Pmod!$B18&amp;Weekly_Pmod!$B$3&amp;$B$2&amp;Weekly_Pmod!$B$1)</f>
        <v>0</v>
      </c>
      <c r="AD18" s="2">
        <f>COUNTIF(defects!$AB:$AB,Weekly_Pmod!AD$3&amp;Weekly_Pmod!$B18&amp;Weekly_Pmod!$B$3&amp;$B$2&amp;Weekly_Pmod!$B$1)</f>
        <v>0</v>
      </c>
      <c r="AE18" s="2">
        <f>COUNTIF(defects!$AB:$AB,Weekly_Pmod!AE$3&amp;Weekly_Pmod!$B18&amp;Weekly_Pmod!$B$3&amp;$B$2&amp;Weekly_Pmod!$B$1)</f>
        <v>0</v>
      </c>
      <c r="AF18" s="2">
        <f>COUNTIF(defects!$AB:$AB,Weekly_Pmod!AF$3&amp;Weekly_Pmod!$B18&amp;Weekly_Pmod!$B$3&amp;$B$2&amp;Weekly_Pmod!$B$1)</f>
        <v>0</v>
      </c>
      <c r="AG18" s="2">
        <f>COUNTIF(defects!$AB:$AB,Weekly_Pmod!AG$3&amp;Weekly_Pmod!$B18&amp;Weekly_Pmod!$B$3&amp;$B$2&amp;Weekly_Pmod!$B$1)</f>
        <v>0</v>
      </c>
      <c r="AH18" s="2">
        <f>COUNTIF(defects!$AB:$AB,Weekly_Pmod!AH$3&amp;Weekly_Pmod!$B18&amp;Weekly_Pmod!$B$3&amp;$B$2&amp;Weekly_Pmod!$B$1)</f>
        <v>0</v>
      </c>
      <c r="AI18" s="2">
        <f>COUNTIF(defects!$AB:$AB,Weekly_Pmod!AI$3&amp;Weekly_Pmod!$B18&amp;Weekly_Pmod!$B$3&amp;$B$2&amp;Weekly_Pmod!$B$1)</f>
        <v>0</v>
      </c>
      <c r="AJ18" s="2">
        <f>COUNTIF(defects!$AB:$AB,Weekly_Pmod!AJ$3&amp;Weekly_Pmod!$B18&amp;Weekly_Pmod!$B$3&amp;$B$2&amp;Weekly_Pmod!$B$1)</f>
        <v>0</v>
      </c>
      <c r="AK18" s="2">
        <f>COUNTIF(defects!$AB:$AB,Weekly_Pmod!AK$3&amp;Weekly_Pmod!$B18&amp;Weekly_Pmod!$B$3&amp;$B$2&amp;Weekly_Pmod!$B$1)</f>
        <v>0</v>
      </c>
      <c r="AL18" s="2">
        <f>COUNTIF(defects!$AB:$AB,Weekly_Pmod!AL$3&amp;Weekly_Pmod!$B18&amp;Weekly_Pmod!$B$3&amp;$B$2&amp;Weekly_Pmod!$B$1)</f>
        <v>0</v>
      </c>
      <c r="AM18" s="2">
        <f>COUNTIF(defects!$AB:$AB,Weekly_Pmod!AM$3&amp;Weekly_Pmod!$B18&amp;Weekly_Pmod!$B$3&amp;$B$2&amp;Weekly_Pmod!$B$1)</f>
        <v>0</v>
      </c>
      <c r="AN18" s="2">
        <f>COUNTIF(defects!$AB:$AB,Weekly_Pmod!AN$3&amp;Weekly_Pmod!$B18&amp;Weekly_Pmod!$B$3&amp;$B$2&amp;Weekly_Pmod!$B$1)</f>
        <v>0</v>
      </c>
      <c r="AO18" s="2">
        <f>COUNTIF(defects!$AB:$AB,Weekly_Pmod!AO$3&amp;Weekly_Pmod!$B18&amp;Weekly_Pmod!$B$3&amp;$B$2&amp;Weekly_Pmod!$B$1)</f>
        <v>0</v>
      </c>
      <c r="AP18" s="2">
        <f>COUNTIF(defects!$AB:$AB,Weekly_Pmod!AP$3&amp;Weekly_Pmod!$B18&amp;Weekly_Pmod!$B$3&amp;$B$2&amp;Weekly_Pmod!$B$1)</f>
        <v>0</v>
      </c>
      <c r="AQ18" s="2">
        <f>COUNTIF(defects!$AB:$AB,Weekly_Pmod!AQ$3&amp;Weekly_Pmod!$B18&amp;Weekly_Pmod!$B$3&amp;$B$2&amp;Weekly_Pmod!$B$1)</f>
        <v>0</v>
      </c>
      <c r="AR18" s="2">
        <f>COUNTIF(defects!$AB:$AB,Weekly_Pmod!AR$3&amp;Weekly_Pmod!$B18&amp;Weekly_Pmod!$B$3&amp;$B$2&amp;Weekly_Pmod!$B$1)</f>
        <v>0</v>
      </c>
      <c r="AS18" s="2">
        <f>COUNTIF(defects!$AB:$AB,Weekly_Pmod!AS$3&amp;Weekly_Pmod!$B18&amp;Weekly_Pmod!$B$3&amp;$B$2&amp;Weekly_Pmod!$B$1)</f>
        <v>0</v>
      </c>
      <c r="AT18" s="2">
        <f>COUNTIF(defects!$AB:$AB,Weekly_Pmod!AT$3&amp;Weekly_Pmod!$B18&amp;Weekly_Pmod!$B$3&amp;$B$2&amp;Weekly_Pmod!$B$1)</f>
        <v>0</v>
      </c>
      <c r="AU18" s="2">
        <f>COUNTIF(defects!$AB:$AB,Weekly_Pmod!AU$3&amp;Weekly_Pmod!$B18&amp;Weekly_Pmod!$B$3&amp;$B$2&amp;Weekly_Pmod!$B$1)</f>
        <v>0</v>
      </c>
      <c r="AV18" s="2">
        <f>COUNTIF(defects!$AB:$AB,Weekly_Pmod!AV$3&amp;Weekly_Pmod!$B18&amp;Weekly_Pmod!$B$3&amp;$B$2&amp;Weekly_Pmod!$B$1)</f>
        <v>0</v>
      </c>
      <c r="AW18" s="2">
        <f>COUNTIF(defects!$AB:$AB,Weekly_Pmod!AW$3&amp;Weekly_Pmod!$B18&amp;Weekly_Pmod!$B$3&amp;$B$2&amp;Weekly_Pmod!$B$1)</f>
        <v>0</v>
      </c>
      <c r="AX18" s="2">
        <f>COUNTIF(defects!$AB:$AB,Weekly_Pmod!AX$3&amp;Weekly_Pmod!$B18&amp;Weekly_Pmod!$B$3&amp;$B$2&amp;Weekly_Pmod!$B$1)</f>
        <v>0</v>
      </c>
      <c r="AY18" s="2">
        <f>COUNTIF(defects!$AB:$AB,Weekly_Pmod!AY$3&amp;Weekly_Pmod!$B18&amp;Weekly_Pmod!$B$3&amp;$B$2&amp;Weekly_Pmod!$B$1)</f>
        <v>0</v>
      </c>
      <c r="AZ18" s="2">
        <f>COUNTIF(defects!$AB:$AB,Weekly_Pmod!AZ$3&amp;Weekly_Pmod!$B18&amp;Weekly_Pmod!$B$3&amp;$B$2&amp;Weekly_Pmod!$B$1)</f>
        <v>0</v>
      </c>
      <c r="BA18" s="2">
        <f>COUNTIF(defects!$AB:$AB,Weekly_Pmod!BA$3&amp;Weekly_Pmod!$B18&amp;Weekly_Pmod!$B$3&amp;$B$2&amp;Weekly_Pmod!$B$1)</f>
        <v>0</v>
      </c>
      <c r="BB18" s="2">
        <f>COUNTIF(defects!$AB:$AB,Weekly_Pmod!BB$3&amp;Weekly_Pmod!$B18&amp;Weekly_Pmod!$B$3&amp;$B$2&amp;Weekly_Pmod!$B$1)</f>
        <v>0</v>
      </c>
      <c r="BC18" s="2">
        <f>COUNTIF(defects!$AB:$AB,Weekly_Pmod!BC$3&amp;Weekly_Pmod!$B18&amp;Weekly_Pmod!$B$3&amp;$B$2&amp;Weekly_Pmod!$B$1)</f>
        <v>0</v>
      </c>
      <c r="BD18" s="2">
        <f>COUNTIF(defects!$AB:$AB,Weekly_Pmod!BD$3&amp;Weekly_Pmod!$B18&amp;Weekly_Pmod!$B$3&amp;$B$2&amp;Weekly_Pmod!$B$1)</f>
        <v>0</v>
      </c>
      <c r="BE18" s="2">
        <f>COUNTIF(defects!$AB:$AB,Weekly_Pmod!BE$3&amp;Weekly_Pmod!$B18&amp;Weekly_Pmod!$B$3&amp;$B$2&amp;Weekly_Pmod!$B$1)</f>
        <v>0</v>
      </c>
      <c r="BF18" s="2">
        <f>COUNTIF(defects!$AB:$AB,Weekly_Pmod!BF$3&amp;Weekly_Pmod!$B18&amp;Weekly_Pmod!$B$3&amp;$B$2&amp;Weekly_Pmod!$B$1)</f>
        <v>0</v>
      </c>
      <c r="BG18" s="2">
        <f>COUNTIF(defects!$AB:$AB,Weekly_Pmod!BG$3&amp;Weekly_Pmod!$B18&amp;Weekly_Pmod!$B$3&amp;$B$2&amp;Weekly_Pmod!$B$1)</f>
        <v>0</v>
      </c>
      <c r="BH18" s="2">
        <f>COUNTIF(defects!$AB:$AB,Weekly_Pmod!BH$3&amp;Weekly_Pmod!$B18&amp;Weekly_Pmod!$B$3&amp;$B$2&amp;Weekly_Pmod!$B$1)</f>
        <v>0</v>
      </c>
      <c r="BI18" s="2">
        <f>COUNTIF(defects!$AB:$AB,Weekly_Pmod!BI$3&amp;Weekly_Pmod!$B18&amp;Weekly_Pmod!$B$3&amp;$B$2&amp;Weekly_Pmod!$B$1)</f>
        <v>0</v>
      </c>
      <c r="BJ18" s="2">
        <f>COUNTIF(defects!$AB:$AB,Weekly_Pmod!BJ$3&amp;Weekly_Pmod!$B18&amp;Weekly_Pmod!$B$3&amp;$B$2&amp;Weekly_Pmod!$B$1)</f>
        <v>0</v>
      </c>
      <c r="BK18" s="2">
        <f>COUNTIF(defects!$AB:$AB,Weekly_Pmod!BK$3&amp;Weekly_Pmod!$B18&amp;Weekly_Pmod!$B$3&amp;$B$2&amp;Weekly_Pmod!$B$1)</f>
        <v>0</v>
      </c>
      <c r="BL18" s="2">
        <f>COUNTIF(defects!$AB:$AB,Weekly_Pmod!BL$3&amp;Weekly_Pmod!$B18&amp;Weekly_Pmod!$B$3&amp;$B$2&amp;Weekly_Pmod!$B$1)</f>
        <v>0</v>
      </c>
      <c r="BM18" s="2">
        <f>COUNTIF(defects!$AB:$AB,Weekly_Pmod!BM$3&amp;Weekly_Pmod!$B18&amp;Weekly_Pmod!$B$3&amp;$B$2&amp;Weekly_Pmod!$B$1)</f>
        <v>0</v>
      </c>
      <c r="BN18" s="2">
        <f>COUNTIF(defects!$AB:$AB,Weekly_Pmod!BN$3&amp;Weekly_Pmod!$B18&amp;Weekly_Pmod!$B$3&amp;$B$2&amp;Weekly_Pmod!$B$1)</f>
        <v>0</v>
      </c>
      <c r="BO18" s="2">
        <f>COUNTIF(defects!$AB:$AB,Weekly_Pmod!BO$3&amp;Weekly_Pmod!$B18&amp;Weekly_Pmod!$B$3&amp;$B$2&amp;Weekly_Pmod!$B$1)</f>
        <v>0</v>
      </c>
      <c r="BP18" s="2">
        <f>COUNTIF(defects!$AB:$AB,Weekly_Pmod!BP$3&amp;Weekly_Pmod!$B18&amp;Weekly_Pmod!$B$3&amp;$B$2&amp;Weekly_Pmod!$B$1)</f>
        <v>0</v>
      </c>
      <c r="BQ18" s="2">
        <f>COUNTIF(defects!$AB:$AB,Weekly_Pmod!BQ$3&amp;Weekly_Pmod!$B18&amp;Weekly_Pmod!$B$3&amp;$B$2&amp;Weekly_Pmod!$B$1)</f>
        <v>0</v>
      </c>
      <c r="BR18" s="2">
        <f>COUNTIF(defects!$AB:$AB,Weekly_Pmod!BR$3&amp;Weekly_Pmod!$B18&amp;Weekly_Pmod!$B$3&amp;$B$2&amp;Weekly_Pmod!$B$1)</f>
        <v>0</v>
      </c>
      <c r="BS18" s="2">
        <f>COUNTIF(defects!$AB:$AB,Weekly_Pmod!BS$3&amp;Weekly_Pmod!$B18&amp;Weekly_Pmod!$B$3&amp;$B$2&amp;Weekly_Pmod!$B$1)</f>
        <v>0</v>
      </c>
      <c r="BT18" s="2">
        <f>COUNTIF(defects!$AB:$AB,Weekly_Pmod!BT$3&amp;Weekly_Pmod!$B18&amp;Weekly_Pmod!$B$3&amp;$B$2&amp;Weekly_Pmod!$B$1)</f>
        <v>0</v>
      </c>
      <c r="BU18" s="2">
        <f>COUNTIF(defects!$AB:$AB,Weekly_Pmod!BU$3&amp;Weekly_Pmod!$B18&amp;Weekly_Pmod!$B$3&amp;$B$2&amp;Weekly_Pmod!$B$1)</f>
        <v>0</v>
      </c>
      <c r="BV18" s="2">
        <f>COUNTIF(defects!$AB:$AB,Weekly_Pmod!BV$3&amp;Weekly_Pmod!$B18&amp;Weekly_Pmod!$B$3&amp;$B$2&amp;Weekly_Pmod!$B$1)</f>
        <v>0</v>
      </c>
      <c r="BW18" s="2">
        <f>COUNTIF(defects!$AB:$AB,Weekly_Pmod!BW$3&amp;Weekly_Pmod!$B18&amp;Weekly_Pmod!$B$3&amp;$B$2&amp;Weekly_Pmod!$B$1)</f>
        <v>0</v>
      </c>
      <c r="BX18" s="2">
        <f>COUNTIF(defects!$AB:$AB,Weekly_Pmod!BX$3&amp;Weekly_Pmod!$B18&amp;Weekly_Pmod!$B$3&amp;$B$2&amp;Weekly_Pmod!$B$1)</f>
        <v>0</v>
      </c>
      <c r="BY18" s="2">
        <f>COUNTIF(defects!$AB:$AB,Weekly_Pmod!BY$3&amp;Weekly_Pmod!$B18&amp;Weekly_Pmod!$B$3&amp;$B$2&amp;Weekly_Pmod!$B$1)</f>
        <v>0</v>
      </c>
      <c r="BZ18" s="2">
        <f>COUNTIF(defects!$AB:$AB,Weekly_Pmod!BZ$3&amp;Weekly_Pmod!$B18&amp;Weekly_Pmod!$B$3&amp;$B$2&amp;Weekly_Pmod!$B$1)</f>
        <v>0</v>
      </c>
      <c r="CA18" s="2">
        <f>COUNTIF(defects!$AB:$AB,Weekly_Pmod!CA$3&amp;Weekly_Pmod!$B18&amp;Weekly_Pmod!$B$3&amp;$B$2&amp;Weekly_Pmod!$B$1)</f>
        <v>0</v>
      </c>
      <c r="CB18" s="2">
        <f>COUNTIF(defects!$AB:$AB,Weekly_Pmod!CB$3&amp;Weekly_Pmod!$B18&amp;Weekly_Pmod!$B$3&amp;$B$2&amp;Weekly_Pmod!$B$1)</f>
        <v>0</v>
      </c>
      <c r="CC18" s="2">
        <f>COUNTIF(defects!$AB:$AB,Weekly_Pmod!CC$3&amp;Weekly_Pmod!$B18&amp;Weekly_Pmod!$B$3&amp;$B$2&amp;Weekly_Pmod!$B$1)</f>
        <v>0</v>
      </c>
      <c r="CD18" s="2">
        <f>COUNTIF(defects!$AB:$AB,Weekly_Pmod!CD$3&amp;Weekly_Pmod!$B18&amp;Weekly_Pmod!$B$3&amp;$B$2&amp;Weekly_Pmod!$B$1)</f>
        <v>0</v>
      </c>
      <c r="CE18" s="2">
        <f>COUNTIF(defects!$AB:$AB,Weekly_Pmod!CE$3&amp;Weekly_Pmod!$B18&amp;Weekly_Pmod!$B$3&amp;$B$2&amp;Weekly_Pmod!$B$1)</f>
        <v>0</v>
      </c>
      <c r="CF18" s="2">
        <f>COUNTIF(defects!$AB:$AB,Weekly_Pmod!CF$3&amp;Weekly_Pmod!$B18&amp;Weekly_Pmod!$B$3&amp;$B$2&amp;Weekly_Pmod!$B$1)</f>
        <v>0</v>
      </c>
      <c r="CG18" s="2">
        <f>COUNTIF(defects!$AB:$AB,Weekly_Pmod!CG$3&amp;Weekly_Pmod!$B18&amp;Weekly_Pmod!$B$3&amp;$B$2&amp;Weekly_Pmod!$B$1)</f>
        <v>0</v>
      </c>
      <c r="CH18" s="2">
        <f>COUNTIF(defects!$AB:$AB,Weekly_Pmod!CH$3&amp;Weekly_Pmod!$B18&amp;Weekly_Pmod!$B$3&amp;$B$2&amp;Weekly_Pmod!$B$1)</f>
        <v>0</v>
      </c>
      <c r="CI18" s="2">
        <f>COUNTIF(defects!$AB:$AB,Weekly_Pmod!CI$3&amp;Weekly_Pmod!$B18&amp;Weekly_Pmod!$B$3&amp;$B$2&amp;Weekly_Pmod!$B$1)</f>
        <v>0</v>
      </c>
      <c r="CJ18" s="2">
        <f>COUNTIF(defects!$AB:$AB,Weekly_Pmod!CJ$3&amp;Weekly_Pmod!$B18&amp;Weekly_Pmod!$B$3&amp;$B$2&amp;Weekly_Pmod!$B$1)</f>
        <v>0</v>
      </c>
      <c r="CK18" s="2">
        <f>COUNTIF(defects!$AB:$AB,Weekly_Pmod!CK$3&amp;Weekly_Pmod!$B18&amp;Weekly_Pmod!$B$3&amp;$B$2&amp;Weekly_Pmod!$B$1)</f>
        <v>0</v>
      </c>
      <c r="CL18" s="2">
        <f>COUNTIF(defects!$AB:$AB,Weekly_Pmod!CL$3&amp;Weekly_Pmod!$B18&amp;Weekly_Pmod!$B$3&amp;$B$2&amp;Weekly_Pmod!$B$1)</f>
        <v>0</v>
      </c>
      <c r="CM18" s="2">
        <f>COUNTIF(defects!$AB:$AB,Weekly_Pmod!CM$3&amp;Weekly_Pmod!$B18&amp;Weekly_Pmod!$B$3&amp;$B$2&amp;Weekly_Pmod!$B$1)</f>
        <v>0</v>
      </c>
      <c r="CN18" s="2">
        <f>COUNTIF(defects!$AB:$AB,Weekly_Pmod!CN$3&amp;Weekly_Pmod!$B18&amp;Weekly_Pmod!$B$3&amp;$B$2&amp;Weekly_Pmod!$B$1)</f>
        <v>0</v>
      </c>
      <c r="CO18" s="2">
        <f>COUNTIF(defects!$AB:$AB,Weekly_Pmod!CO$3&amp;Weekly_Pmod!$B18&amp;Weekly_Pmod!$B$3&amp;$B$2&amp;Weekly_Pmod!$B$1)</f>
        <v>0</v>
      </c>
      <c r="CP18" s="2">
        <f>COUNTIF(defects!$AB:$AB,Weekly_Pmod!CP$3&amp;Weekly_Pmod!$B18&amp;Weekly_Pmod!$B$3&amp;$B$2&amp;Weekly_Pmod!$B$1)</f>
        <v>0</v>
      </c>
      <c r="CQ18" s="2">
        <f>COUNTIF(defects!$AB:$AB,Weekly_Pmod!CQ$3&amp;Weekly_Pmod!$B18&amp;Weekly_Pmod!$B$3&amp;$B$2&amp;Weekly_Pmod!$B$1)</f>
        <v>0</v>
      </c>
      <c r="CR18" s="2">
        <f>COUNTIF(defects!$AB:$AB,Weekly_Pmod!CR$3&amp;Weekly_Pmod!$B18&amp;Weekly_Pmod!$B$3&amp;$B$2&amp;Weekly_Pmod!$B$1)</f>
        <v>0</v>
      </c>
      <c r="CS18" s="2">
        <f>COUNTIF(defects!$AB:$AB,Weekly_Pmod!CS$3&amp;Weekly_Pmod!$B18&amp;Weekly_Pmod!$B$3&amp;$B$2&amp;Weekly_Pmod!$B$1)</f>
        <v>1</v>
      </c>
      <c r="CT18" s="2">
        <f>COUNTIF(defects!$AB:$AB,Weekly_Pmod!CT$3&amp;Weekly_Pmod!$B18&amp;Weekly_Pmod!$B$3&amp;$B$2&amp;Weekly_Pmod!$B$1)</f>
        <v>0</v>
      </c>
      <c r="CU18" s="2">
        <f>COUNTIF(defects!$AB:$AB,Weekly_Pmod!CU$3&amp;Weekly_Pmod!$B18&amp;Weekly_Pmod!$B$3&amp;$B$2&amp;Weekly_Pmod!$B$1)</f>
        <v>0</v>
      </c>
      <c r="CV18" s="2">
        <f>COUNTIF(defects!$AB:$AB,Weekly_Pmod!CV$3&amp;Weekly_Pmod!$B18&amp;Weekly_Pmod!$B$3&amp;$B$2&amp;Weekly_Pmod!$B$1)</f>
        <v>0</v>
      </c>
      <c r="CW18" s="2">
        <f>COUNTIF(defects!$AB:$AB,Weekly_Pmod!CW$3&amp;Weekly_Pmod!$B18&amp;Weekly_Pmod!$B$3&amp;$B$2&amp;Weekly_Pmod!$B$1)</f>
        <v>0</v>
      </c>
      <c r="CX18" s="2">
        <f>COUNTIF(defects!$AB:$AB,Weekly_Pmod!CX$3&amp;Weekly_Pmod!$B18&amp;Weekly_Pmod!$B$3&amp;$B$2&amp;Weekly_Pmod!$B$1)</f>
        <v>0</v>
      </c>
      <c r="CY18" s="2">
        <f>COUNTIF(defects!$AB:$AB,Weekly_Pmod!CY$3&amp;Weekly_Pmod!$B18&amp;Weekly_Pmod!$B$3&amp;$B$2&amp;Weekly_Pmod!$B$1)</f>
        <v>0</v>
      </c>
      <c r="CZ18" s="2">
        <f>COUNTIF(defects!$AB:$AB,Weekly_Pmod!CZ$3&amp;Weekly_Pmod!$B18&amp;Weekly_Pmod!$B$3&amp;$B$2&amp;Weekly_Pmod!$B$1)</f>
        <v>0</v>
      </c>
      <c r="DA18" s="2">
        <f>COUNTIF(defects!$AB:$AB,Weekly_Pmod!DA$3&amp;Weekly_Pmod!$B18&amp;Weekly_Pmod!$B$3&amp;$B$2&amp;Weekly_Pmod!$B$1)</f>
        <v>0</v>
      </c>
      <c r="DB18" s="2">
        <f>COUNTIF(defects!$AB:$AB,Weekly_Pmod!DB$3&amp;Weekly_Pmod!$B18&amp;Weekly_Pmod!$B$3&amp;$B$2&amp;Weekly_Pmod!$B$1)</f>
        <v>0</v>
      </c>
      <c r="DC18" s="2">
        <f>COUNTIF(defects!$AB:$AB,Weekly_Pmod!DC$3&amp;Weekly_Pmod!$B18&amp;Weekly_Pmod!$B$3&amp;$B$2&amp;Weekly_Pmod!$B$1)</f>
        <v>0</v>
      </c>
      <c r="DD18" s="2">
        <f>COUNTIF(defects!$AB:$AB,Weekly_Pmod!DD$3&amp;Weekly_Pmod!$B18&amp;Weekly_Pmod!$B$3&amp;$B$2&amp;Weekly_Pmod!$B$1)</f>
        <v>0</v>
      </c>
      <c r="DE18" s="2">
        <f>COUNTIF(defects!$AB:$AB,Weekly_Pmod!DE$3&amp;Weekly_Pmod!$B18&amp;Weekly_Pmod!$B$3&amp;$B$2&amp;Weekly_Pmod!$B$1)</f>
        <v>0</v>
      </c>
      <c r="DF18" s="2">
        <f>COUNTIF(defects!$AB:$AB,Weekly_Pmod!DF$3&amp;Weekly_Pmod!$B18&amp;Weekly_Pmod!$B$3&amp;$B$2&amp;Weekly_Pmod!$B$1)</f>
        <v>0</v>
      </c>
      <c r="DG18" s="2">
        <f>COUNTIF(defects!$AB:$AB,Weekly_Pmod!DG$3&amp;Weekly_Pmod!$B18&amp;Weekly_Pmod!$B$3&amp;$B$2&amp;Weekly_Pmod!$B$1)</f>
        <v>0</v>
      </c>
      <c r="DH18" s="2">
        <f>COUNTIF(defects!$AB:$AB,Weekly_Pmod!DH$3&amp;Weekly_Pmod!$B18&amp;Weekly_Pmod!$B$3&amp;$B$2&amp;Weekly_Pmod!$B$1)</f>
        <v>0</v>
      </c>
      <c r="DI18" s="2">
        <f>COUNTIF(defects!$AB:$AB,Weekly_Pmod!DI$3&amp;Weekly_Pmod!$B18&amp;Weekly_Pmod!$B$3&amp;$B$2&amp;Weekly_Pmod!$B$1)</f>
        <v>0</v>
      </c>
      <c r="DJ18" s="2">
        <f>COUNTIF(defects!$AB:$AB,Weekly_Pmod!DJ$3&amp;Weekly_Pmod!$B18&amp;Weekly_Pmod!$B$3&amp;$B$2&amp;Weekly_Pmod!$B$1)</f>
        <v>0</v>
      </c>
      <c r="DK18" s="2">
        <f>COUNTIF(defects!$AB:$AB,Weekly_Pmod!DK$3&amp;Weekly_Pmod!$B18&amp;Weekly_Pmod!$B$3&amp;$B$2&amp;Weekly_Pmod!$B$1)</f>
        <v>0</v>
      </c>
      <c r="DL18" s="2">
        <f>COUNTIF(defects!$AB:$AB,Weekly_Pmod!DL$3&amp;Weekly_Pmod!$B18&amp;Weekly_Pmod!$B$3&amp;$B$2&amp;Weekly_Pmod!$B$1)</f>
        <v>0</v>
      </c>
      <c r="DM18" s="2">
        <f>COUNTIF(defects!$AB:$AB,Weekly_Pmod!DM$3&amp;Weekly_Pmod!$B18&amp;Weekly_Pmod!$B$3&amp;$B$2&amp;Weekly_Pmod!$B$1)</f>
        <v>0</v>
      </c>
      <c r="DN18" s="2">
        <f>COUNTIF(defects!$AB:$AB,Weekly_Pmod!DN$3&amp;Weekly_Pmod!$B18&amp;Weekly_Pmod!$B$3&amp;$B$2&amp;Weekly_Pmod!$B$1)</f>
        <v>0</v>
      </c>
      <c r="DO18" s="2">
        <f>COUNTIF(defects!$AB:$AB,Weekly_Pmod!DO$3&amp;Weekly_Pmod!$B18&amp;Weekly_Pmod!$B$3&amp;$B$2&amp;Weekly_Pmod!$B$1)</f>
        <v>0</v>
      </c>
      <c r="DP18" s="2">
        <f>COUNTIF(defects!$AB:$AB,Weekly_Pmod!DP$3&amp;Weekly_Pmod!$B18&amp;Weekly_Pmod!$B$3&amp;$B$2&amp;Weekly_Pmod!$B$1)</f>
        <v>0</v>
      </c>
      <c r="DQ18" s="2">
        <f>COUNTIF(defects!$AB:$AB,Weekly_Pmod!DQ$3&amp;Weekly_Pmod!$B18&amp;Weekly_Pmod!$B$3&amp;$B$2&amp;Weekly_Pmod!$B$1)</f>
        <v>0</v>
      </c>
      <c r="DR18" s="2">
        <f>COUNTIF(defects!$AB:$AB,Weekly_Pmod!DR$3&amp;Weekly_Pmod!$B18&amp;Weekly_Pmod!$B$3&amp;$B$2&amp;Weekly_Pmod!$B$1)</f>
        <v>0</v>
      </c>
      <c r="DS18" s="2">
        <f>COUNTIF(defects!$AB:$AB,Weekly_Pmod!DS$3&amp;Weekly_Pmod!$B18&amp;Weekly_Pmod!$B$3&amp;$B$2&amp;Weekly_Pmod!$B$1)</f>
        <v>0</v>
      </c>
      <c r="DT18" s="2">
        <f>COUNTIF(defects!$AB:$AB,Weekly_Pmod!DT$3&amp;Weekly_Pmod!$B18&amp;Weekly_Pmod!$B$3&amp;$B$2&amp;Weekly_Pmod!$B$1)</f>
        <v>0</v>
      </c>
      <c r="DU18" s="2">
        <f>COUNTIF(defects!$AB:$AB,Weekly_Pmod!DU$3&amp;Weekly_Pmod!$B18&amp;Weekly_Pmod!$B$3&amp;$B$2&amp;Weekly_Pmod!$B$1)</f>
        <v>0</v>
      </c>
      <c r="DV18" s="2">
        <f>COUNTIF(defects!$AB:$AB,Weekly_Pmod!DV$3&amp;Weekly_Pmod!$B18&amp;Weekly_Pmod!$B$3&amp;$B$2&amp;Weekly_Pmod!$B$1)</f>
        <v>0</v>
      </c>
      <c r="DW18" s="2">
        <f>COUNTIF(defects!$AB:$AB,Weekly_Pmod!DW$3&amp;Weekly_Pmod!$B18&amp;Weekly_Pmod!$B$3&amp;$B$2&amp;Weekly_Pmod!$B$1)</f>
        <v>0</v>
      </c>
      <c r="DX18" s="2">
        <f>COUNTIF(defects!$AB:$AB,Weekly_Pmod!DX$3&amp;Weekly_Pmod!$B18&amp;Weekly_Pmod!$B$3&amp;$B$2&amp;Weekly_Pmod!$B$1)</f>
        <v>0</v>
      </c>
      <c r="DY18" s="2">
        <f>COUNTIF(defects!$AB:$AB,Weekly_Pmod!DY$3&amp;Weekly_Pmod!$B18&amp;Weekly_Pmod!$B$3&amp;$B$2&amp;Weekly_Pmod!$B$1)</f>
        <v>0</v>
      </c>
      <c r="DZ18" s="2">
        <f>COUNTIF(defects!$AB:$AB,Weekly_Pmod!DZ$3&amp;Weekly_Pmod!$B18&amp;Weekly_Pmod!$B$3&amp;$B$2&amp;Weekly_Pmod!$B$1)</f>
        <v>0</v>
      </c>
      <c r="EA18" s="2">
        <f>COUNTIF(defects!$AB:$AB,Weekly_Pmod!EA$3&amp;Weekly_Pmod!$B18&amp;Weekly_Pmod!$B$3&amp;$B$2&amp;Weekly_Pmod!$B$1)</f>
        <v>0</v>
      </c>
      <c r="EB18" s="2">
        <f>COUNTIF(defects!$AB:$AB,Weekly_Pmod!EB$3&amp;Weekly_Pmod!$B18&amp;Weekly_Pmod!$B$3&amp;$B$2&amp;Weekly_Pmod!$B$1)</f>
        <v>0</v>
      </c>
      <c r="EC18" s="2">
        <f>COUNTIF(defects!$AB:$AB,Weekly_Pmod!EC$3&amp;Weekly_Pmod!$B18&amp;Weekly_Pmod!$B$3&amp;$B$2&amp;Weekly_Pmod!$B$1)</f>
        <v>0</v>
      </c>
      <c r="ED18" s="2">
        <f>COUNTIF(defects!$AB:$AB,Weekly_Pmod!ED$3&amp;Weekly_Pmod!$B18&amp;Weekly_Pmod!$B$3&amp;$B$2&amp;Weekly_Pmod!$B$1)</f>
        <v>0</v>
      </c>
      <c r="EE18" s="2">
        <f>COUNTIF(defects!$AB:$AB,Weekly_Pmod!EE$3&amp;Weekly_Pmod!$B18&amp;Weekly_Pmod!$B$3&amp;$B$2&amp;Weekly_Pmod!$B$1)</f>
        <v>0</v>
      </c>
      <c r="EF18" s="2">
        <f>COUNTIF(defects!$AB:$AB,Weekly_Pmod!EF$3&amp;Weekly_Pmod!$B18&amp;Weekly_Pmod!$B$3&amp;$B$2&amp;Weekly_Pmod!$B$1)</f>
        <v>0</v>
      </c>
      <c r="EG18" s="2">
        <f>COUNTIF(defects!$AB:$AB,Weekly_Pmod!EG$3&amp;Weekly_Pmod!$B18&amp;Weekly_Pmod!$B$3&amp;$B$2&amp;Weekly_Pmod!$B$1)</f>
        <v>0</v>
      </c>
      <c r="EH18" s="2">
        <f>COUNTIF(defects!$AB:$AB,Weekly_Pmod!EH$3&amp;Weekly_Pmod!$B18&amp;Weekly_Pmod!$B$3&amp;$B$2&amp;Weekly_Pmod!$B$1)</f>
        <v>0</v>
      </c>
      <c r="EI18" s="2">
        <f>COUNTIF(defects!$AB:$AB,Weekly_Pmod!EI$3&amp;Weekly_Pmod!$B18&amp;Weekly_Pmod!$B$3&amp;$B$2&amp;Weekly_Pmod!$B$1)</f>
        <v>0</v>
      </c>
      <c r="EJ18" s="2">
        <f>COUNTIF(defects!$AB:$AB,Weekly_Pmod!EJ$3&amp;Weekly_Pmod!$B18&amp;Weekly_Pmod!$B$3&amp;$B$2&amp;Weekly_Pmod!$B$1)</f>
        <v>0</v>
      </c>
      <c r="EK18" s="2">
        <f>COUNTIF(defects!$AB:$AB,Weekly_Pmod!EK$3&amp;Weekly_Pmod!$B18&amp;Weekly_Pmod!$B$3&amp;$B$2&amp;Weekly_Pmod!$B$1)</f>
        <v>0</v>
      </c>
      <c r="EL18" s="2">
        <f>COUNTIF(defects!$AB:$AB,Weekly_Pmod!EL$3&amp;Weekly_Pmod!$B18&amp;Weekly_Pmod!$B$3&amp;$B$2&amp;Weekly_Pmod!$B$1)</f>
        <v>0</v>
      </c>
      <c r="EM18" s="2">
        <f>COUNTIF(defects!$AB:$AB,Weekly_Pmod!EM$3&amp;Weekly_Pmod!$B18&amp;Weekly_Pmod!$B$3&amp;$B$2&amp;Weekly_Pmod!$B$1)</f>
        <v>0</v>
      </c>
      <c r="EN18" s="2">
        <f>COUNTIF(defects!$AB:$AB,Weekly_Pmod!EN$3&amp;Weekly_Pmod!$B18&amp;Weekly_Pmod!$B$3&amp;$B$2&amp;Weekly_Pmod!$B$1)</f>
        <v>0</v>
      </c>
      <c r="EO18" s="2">
        <f>COUNTIF(defects!$AB:$AB,Weekly_Pmod!EO$3&amp;Weekly_Pmod!$B18&amp;Weekly_Pmod!$B$3&amp;$B$2&amp;Weekly_Pmod!$B$1)</f>
        <v>0</v>
      </c>
      <c r="EP18" s="2">
        <f>COUNTIF(defects!$AB:$AB,Weekly_Pmod!EP$3&amp;Weekly_Pmod!$B18&amp;Weekly_Pmod!$B$3&amp;$B$2&amp;Weekly_Pmod!$B$1)</f>
        <v>0</v>
      </c>
      <c r="EQ18" s="2">
        <f>COUNTIF(defects!$AB:$AB,Weekly_Pmod!EQ$3&amp;Weekly_Pmod!$B18&amp;Weekly_Pmod!$B$3&amp;$B$2&amp;Weekly_Pmod!$B$1)</f>
        <v>0</v>
      </c>
      <c r="ER18" s="2">
        <f>COUNTIF(defects!$AB:$AB,Weekly_Pmod!ER$3&amp;Weekly_Pmod!$B18&amp;Weekly_Pmod!$B$3&amp;$B$2&amp;Weekly_Pmod!$B$1)</f>
        <v>0</v>
      </c>
      <c r="ES18" s="2">
        <f>COUNTIF(defects!$AB:$AB,Weekly_Pmod!ES$3&amp;Weekly_Pmod!$B18&amp;Weekly_Pmod!$B$3&amp;$B$2&amp;Weekly_Pmod!$B$1)</f>
        <v>0</v>
      </c>
      <c r="ET18" s="2">
        <f>COUNTIF(defects!$AB:$AB,Weekly_Pmod!ET$3&amp;Weekly_Pmod!$B18&amp;Weekly_Pmod!$B$3&amp;$B$2&amp;Weekly_Pmod!$B$1)</f>
        <v>0</v>
      </c>
      <c r="EU18" s="2">
        <f>COUNTIF(defects!$AB:$AB,Weekly_Pmod!EU$3&amp;Weekly_Pmod!$B18&amp;Weekly_Pmod!$B$3&amp;$B$2&amp;Weekly_Pmod!$B$1)</f>
        <v>0</v>
      </c>
      <c r="EV18" s="2">
        <f>COUNTIF(defects!$AB:$AB,Weekly_Pmod!EV$3&amp;Weekly_Pmod!$B18&amp;Weekly_Pmod!$B$3&amp;$B$2&amp;Weekly_Pmod!$B$1)</f>
        <v>0</v>
      </c>
      <c r="EW18" s="2">
        <f>COUNTIF(defects!$AB:$AB,Weekly_Pmod!EW$3&amp;Weekly_Pmod!$B18&amp;Weekly_Pmod!$B$3&amp;$B$2&amp;Weekly_Pmod!$B$1)</f>
        <v>0</v>
      </c>
      <c r="EX18" s="2">
        <f>COUNTIF(defects!$AB:$AB,Weekly_Pmod!EX$3&amp;Weekly_Pmod!$B18&amp;Weekly_Pmod!$B$3&amp;$B$2&amp;Weekly_Pmod!$B$1)</f>
        <v>0</v>
      </c>
      <c r="EY18" s="2">
        <f>COUNTIF(defects!$AB:$AB,Weekly_Pmod!EY$3&amp;Weekly_Pmod!$B18&amp;Weekly_Pmod!$B$3&amp;$B$2&amp;Weekly_Pmod!$B$1)</f>
        <v>0</v>
      </c>
      <c r="EZ18" s="2">
        <f>COUNTIF(defects!$AB:$AB,Weekly_Pmod!EZ$3&amp;Weekly_Pmod!$B18&amp;Weekly_Pmod!$B$3&amp;$B$2&amp;Weekly_Pmod!$B$1)</f>
        <v>0</v>
      </c>
      <c r="FA18" s="2">
        <f>COUNTIF(defects!$AB:$AB,Weekly_Pmod!FA$3&amp;Weekly_Pmod!$B18&amp;Weekly_Pmod!$B$3&amp;$B$2&amp;Weekly_Pmod!$B$1)</f>
        <v>0</v>
      </c>
      <c r="FB18" s="2">
        <f>COUNTIF(defects!$AB:$AB,Weekly_Pmod!FB$3&amp;Weekly_Pmod!$B18&amp;Weekly_Pmod!$B$3&amp;$B$2&amp;Weekly_Pmod!$B$1)</f>
        <v>0</v>
      </c>
      <c r="FC18" s="2">
        <f>COUNTIF(defects!$AB:$AB,Weekly_Pmod!FC$3&amp;Weekly_Pmod!$B18&amp;Weekly_Pmod!$B$3&amp;$B$2&amp;Weekly_Pmod!$B$1)</f>
        <v>0</v>
      </c>
      <c r="FD18" s="2">
        <f>COUNTIF(defects!$AB:$AB,Weekly_Pmod!FD$3&amp;Weekly_Pmod!$B18&amp;Weekly_Pmod!$B$3&amp;$B$2&amp;Weekly_Pmod!$B$1)</f>
        <v>0</v>
      </c>
      <c r="FE18" s="2">
        <f>COUNTIF(defects!$AB:$AB,Weekly_Pmod!FE$3&amp;Weekly_Pmod!$B18&amp;Weekly_Pmod!$B$3&amp;$B$2&amp;Weekly_Pmod!$B$1)</f>
        <v>0</v>
      </c>
    </row>
    <row r="19" spans="2:161">
      <c r="B19" s="3" t="s">
        <v>995</v>
      </c>
      <c r="C19" s="2">
        <f>COUNTIF(defects!$AB:$AB,Weekly_Pmod!C$3&amp;Weekly_Pmod!$B19&amp;Weekly_Pmod!$B$3&amp;$B$2&amp;Weekly_Pmod!$B$1)</f>
        <v>0</v>
      </c>
      <c r="D19" s="2">
        <f>COUNTIF(defects!$AB:$AB,Weekly_Pmod!D$3&amp;Weekly_Pmod!$B19&amp;Weekly_Pmod!$B$3&amp;$B$2&amp;Weekly_Pmod!$B$1)</f>
        <v>0</v>
      </c>
      <c r="E19" s="2">
        <f>COUNTIF(defects!$AB:$AB,Weekly_Pmod!E$3&amp;Weekly_Pmod!$B19&amp;Weekly_Pmod!$B$3&amp;$B$2&amp;Weekly_Pmod!$B$1)</f>
        <v>0</v>
      </c>
      <c r="F19" s="2">
        <f>COUNTIF(defects!$AB:$AB,Weekly_Pmod!F$3&amp;Weekly_Pmod!$B19&amp;Weekly_Pmod!$B$3&amp;$B$2&amp;Weekly_Pmod!$B$1)</f>
        <v>0</v>
      </c>
      <c r="G19" s="2">
        <f>COUNTIF(defects!$AB:$AB,Weekly_Pmod!G$3&amp;Weekly_Pmod!$B19&amp;Weekly_Pmod!$B$3&amp;$B$2&amp;Weekly_Pmod!$B$1)</f>
        <v>0</v>
      </c>
      <c r="H19" s="2">
        <f>COUNTIF(defects!$AB:$AB,Weekly_Pmod!H$3&amp;Weekly_Pmod!$B19&amp;Weekly_Pmod!$B$3&amp;$B$2&amp;Weekly_Pmod!$B$1)</f>
        <v>0</v>
      </c>
      <c r="I19" s="2">
        <f>COUNTIF(defects!$AB:$AB,Weekly_Pmod!I$3&amp;Weekly_Pmod!$B19&amp;Weekly_Pmod!$B$3&amp;$B$2&amp;Weekly_Pmod!$B$1)</f>
        <v>0</v>
      </c>
      <c r="J19" s="2">
        <f>COUNTIF(defects!$AB:$AB,Weekly_Pmod!J$3&amp;Weekly_Pmod!$B19&amp;Weekly_Pmod!$B$3&amp;$B$2&amp;Weekly_Pmod!$B$1)</f>
        <v>0</v>
      </c>
      <c r="K19" s="2">
        <f>COUNTIF(defects!$AB:$AB,Weekly_Pmod!K$3&amp;Weekly_Pmod!$B19&amp;Weekly_Pmod!$B$3&amp;$B$2&amp;Weekly_Pmod!$B$1)</f>
        <v>0</v>
      </c>
      <c r="L19" s="2">
        <f>COUNTIF(defects!$AB:$AB,Weekly_Pmod!L$3&amp;Weekly_Pmod!$B19&amp;Weekly_Pmod!$B$3&amp;$B$2&amp;Weekly_Pmod!$B$1)</f>
        <v>0</v>
      </c>
      <c r="M19" s="2">
        <f>COUNTIF(defects!$AB:$AB,Weekly_Pmod!M$3&amp;Weekly_Pmod!$B19&amp;Weekly_Pmod!$B$3&amp;$B$2&amp;Weekly_Pmod!$B$1)</f>
        <v>0</v>
      </c>
      <c r="N19" s="2">
        <f>COUNTIF(defects!$AB:$AB,Weekly_Pmod!N$3&amp;Weekly_Pmod!$B19&amp;Weekly_Pmod!$B$3&amp;$B$2&amp;Weekly_Pmod!$B$1)</f>
        <v>0</v>
      </c>
      <c r="O19" s="2">
        <f>COUNTIF(defects!$AB:$AB,Weekly_Pmod!O$3&amp;Weekly_Pmod!$B19&amp;Weekly_Pmod!$B$3&amp;$B$2&amp;Weekly_Pmod!$B$1)</f>
        <v>0</v>
      </c>
      <c r="P19" s="2">
        <f>COUNTIF(defects!$AB:$AB,Weekly_Pmod!P$3&amp;Weekly_Pmod!$B19&amp;Weekly_Pmod!$B$3&amp;$B$2&amp;Weekly_Pmod!$B$1)</f>
        <v>0</v>
      </c>
      <c r="Q19" s="2">
        <f>COUNTIF(defects!$AB:$AB,Weekly_Pmod!Q$3&amp;Weekly_Pmod!$B19&amp;Weekly_Pmod!$B$3&amp;$B$2&amp;Weekly_Pmod!$B$1)</f>
        <v>0</v>
      </c>
      <c r="R19" s="2">
        <f>COUNTIF(defects!$AB:$AB,Weekly_Pmod!R$3&amp;Weekly_Pmod!$B19&amp;Weekly_Pmod!$B$3&amp;$B$2&amp;Weekly_Pmod!$B$1)</f>
        <v>0</v>
      </c>
      <c r="S19" s="2">
        <f>COUNTIF(defects!$AB:$AB,Weekly_Pmod!S$3&amp;Weekly_Pmod!$B19&amp;Weekly_Pmod!$B$3&amp;$B$2&amp;Weekly_Pmod!$B$1)</f>
        <v>0</v>
      </c>
      <c r="T19" s="2">
        <f>COUNTIF(defects!$AB:$AB,Weekly_Pmod!T$3&amp;Weekly_Pmod!$B19&amp;Weekly_Pmod!$B$3&amp;$B$2&amp;Weekly_Pmod!$B$1)</f>
        <v>0</v>
      </c>
      <c r="U19" s="2">
        <f>COUNTIF(defects!$AB:$AB,Weekly_Pmod!U$3&amp;Weekly_Pmod!$B19&amp;Weekly_Pmod!$B$3&amp;$B$2&amp;Weekly_Pmod!$B$1)</f>
        <v>0</v>
      </c>
      <c r="V19" s="2">
        <f>COUNTIF(defects!$AB:$AB,Weekly_Pmod!V$3&amp;Weekly_Pmod!$B19&amp;Weekly_Pmod!$B$3&amp;$B$2&amp;Weekly_Pmod!$B$1)</f>
        <v>0</v>
      </c>
      <c r="W19" s="2">
        <f>COUNTIF(defects!$AB:$AB,Weekly_Pmod!W$3&amp;Weekly_Pmod!$B19&amp;Weekly_Pmod!$B$3&amp;$B$2&amp;Weekly_Pmod!$B$1)</f>
        <v>0</v>
      </c>
      <c r="X19" s="2">
        <f>COUNTIF(defects!$AB:$AB,Weekly_Pmod!X$3&amp;Weekly_Pmod!$B19&amp;Weekly_Pmod!$B$3&amp;$B$2&amp;Weekly_Pmod!$B$1)</f>
        <v>0</v>
      </c>
      <c r="Y19" s="2">
        <f>COUNTIF(defects!$AB:$AB,Weekly_Pmod!Y$3&amp;Weekly_Pmod!$B19&amp;Weekly_Pmod!$B$3&amp;$B$2&amp;Weekly_Pmod!$B$1)</f>
        <v>0</v>
      </c>
      <c r="Z19" s="2">
        <f>COUNTIF(defects!$AB:$AB,Weekly_Pmod!Z$3&amp;Weekly_Pmod!$B19&amp;Weekly_Pmod!$B$3&amp;$B$2&amp;Weekly_Pmod!$B$1)</f>
        <v>0</v>
      </c>
      <c r="AA19" s="2">
        <f>COUNTIF(defects!$AB:$AB,Weekly_Pmod!AA$3&amp;Weekly_Pmod!$B19&amp;Weekly_Pmod!$B$3&amp;$B$2&amp;Weekly_Pmod!$B$1)</f>
        <v>0</v>
      </c>
      <c r="AB19" s="2">
        <f>COUNTIF(defects!$AB:$AB,Weekly_Pmod!AB$3&amp;Weekly_Pmod!$B19&amp;Weekly_Pmod!$B$3&amp;$B$2&amp;Weekly_Pmod!$B$1)</f>
        <v>0</v>
      </c>
      <c r="AC19" s="2">
        <f>COUNTIF(defects!$AB:$AB,Weekly_Pmod!AC$3&amp;Weekly_Pmod!$B19&amp;Weekly_Pmod!$B$3&amp;$B$2&amp;Weekly_Pmod!$B$1)</f>
        <v>0</v>
      </c>
      <c r="AD19" s="2">
        <f>COUNTIF(defects!$AB:$AB,Weekly_Pmod!AD$3&amp;Weekly_Pmod!$B19&amp;Weekly_Pmod!$B$3&amp;$B$2&amp;Weekly_Pmod!$B$1)</f>
        <v>0</v>
      </c>
      <c r="AE19" s="2">
        <f>COUNTIF(defects!$AB:$AB,Weekly_Pmod!AE$3&amp;Weekly_Pmod!$B19&amp;Weekly_Pmod!$B$3&amp;$B$2&amp;Weekly_Pmod!$B$1)</f>
        <v>0</v>
      </c>
      <c r="AF19" s="2">
        <f>COUNTIF(defects!$AB:$AB,Weekly_Pmod!AF$3&amp;Weekly_Pmod!$B19&amp;Weekly_Pmod!$B$3&amp;$B$2&amp;Weekly_Pmod!$B$1)</f>
        <v>0</v>
      </c>
      <c r="AG19" s="2">
        <f>COUNTIF(defects!$AB:$AB,Weekly_Pmod!AG$3&amp;Weekly_Pmod!$B19&amp;Weekly_Pmod!$B$3&amp;$B$2&amp;Weekly_Pmod!$B$1)</f>
        <v>0</v>
      </c>
      <c r="AH19" s="2">
        <f>COUNTIF(defects!$AB:$AB,Weekly_Pmod!AH$3&amp;Weekly_Pmod!$B19&amp;Weekly_Pmod!$B$3&amp;$B$2&amp;Weekly_Pmod!$B$1)</f>
        <v>0</v>
      </c>
      <c r="AI19" s="2">
        <f>COUNTIF(defects!$AB:$AB,Weekly_Pmod!AI$3&amp;Weekly_Pmod!$B19&amp;Weekly_Pmod!$B$3&amp;$B$2&amp;Weekly_Pmod!$B$1)</f>
        <v>0</v>
      </c>
      <c r="AJ19" s="2">
        <f>COUNTIF(defects!$AB:$AB,Weekly_Pmod!AJ$3&amp;Weekly_Pmod!$B19&amp;Weekly_Pmod!$B$3&amp;$B$2&amp;Weekly_Pmod!$B$1)</f>
        <v>0</v>
      </c>
      <c r="AK19" s="2">
        <f>COUNTIF(defects!$AB:$AB,Weekly_Pmod!AK$3&amp;Weekly_Pmod!$B19&amp;Weekly_Pmod!$B$3&amp;$B$2&amp;Weekly_Pmod!$B$1)</f>
        <v>0</v>
      </c>
      <c r="AL19" s="2">
        <f>COUNTIF(defects!$AB:$AB,Weekly_Pmod!AL$3&amp;Weekly_Pmod!$B19&amp;Weekly_Pmod!$B$3&amp;$B$2&amp;Weekly_Pmod!$B$1)</f>
        <v>0</v>
      </c>
      <c r="AM19" s="2">
        <f>COUNTIF(defects!$AB:$AB,Weekly_Pmod!AM$3&amp;Weekly_Pmod!$B19&amp;Weekly_Pmod!$B$3&amp;$B$2&amp;Weekly_Pmod!$B$1)</f>
        <v>0</v>
      </c>
      <c r="AN19" s="2">
        <f>COUNTIF(defects!$AB:$AB,Weekly_Pmod!AN$3&amp;Weekly_Pmod!$B19&amp;Weekly_Pmod!$B$3&amp;$B$2&amp;Weekly_Pmod!$B$1)</f>
        <v>0</v>
      </c>
      <c r="AO19" s="2">
        <f>COUNTIF(defects!$AB:$AB,Weekly_Pmod!AO$3&amp;Weekly_Pmod!$B19&amp;Weekly_Pmod!$B$3&amp;$B$2&amp;Weekly_Pmod!$B$1)</f>
        <v>0</v>
      </c>
      <c r="AP19" s="2">
        <f>COUNTIF(defects!$AB:$AB,Weekly_Pmod!AP$3&amp;Weekly_Pmod!$B19&amp;Weekly_Pmod!$B$3&amp;$B$2&amp;Weekly_Pmod!$B$1)</f>
        <v>0</v>
      </c>
      <c r="AQ19" s="2">
        <f>COUNTIF(defects!$AB:$AB,Weekly_Pmod!AQ$3&amp;Weekly_Pmod!$B19&amp;Weekly_Pmod!$B$3&amp;$B$2&amp;Weekly_Pmod!$B$1)</f>
        <v>0</v>
      </c>
      <c r="AR19" s="2">
        <f>COUNTIF(defects!$AB:$AB,Weekly_Pmod!AR$3&amp;Weekly_Pmod!$B19&amp;Weekly_Pmod!$B$3&amp;$B$2&amp;Weekly_Pmod!$B$1)</f>
        <v>0</v>
      </c>
      <c r="AS19" s="2">
        <f>COUNTIF(defects!$AB:$AB,Weekly_Pmod!AS$3&amp;Weekly_Pmod!$B19&amp;Weekly_Pmod!$B$3&amp;$B$2&amp;Weekly_Pmod!$B$1)</f>
        <v>0</v>
      </c>
      <c r="AT19" s="2">
        <f>COUNTIF(defects!$AB:$AB,Weekly_Pmod!AT$3&amp;Weekly_Pmod!$B19&amp;Weekly_Pmod!$B$3&amp;$B$2&amp;Weekly_Pmod!$B$1)</f>
        <v>0</v>
      </c>
      <c r="AU19" s="2">
        <f>COUNTIF(defects!$AB:$AB,Weekly_Pmod!AU$3&amp;Weekly_Pmod!$B19&amp;Weekly_Pmod!$B$3&amp;$B$2&amp;Weekly_Pmod!$B$1)</f>
        <v>0</v>
      </c>
      <c r="AV19" s="2">
        <f>COUNTIF(defects!$AB:$AB,Weekly_Pmod!AV$3&amp;Weekly_Pmod!$B19&amp;Weekly_Pmod!$B$3&amp;$B$2&amp;Weekly_Pmod!$B$1)</f>
        <v>0</v>
      </c>
      <c r="AW19" s="2">
        <f>COUNTIF(defects!$AB:$AB,Weekly_Pmod!AW$3&amp;Weekly_Pmod!$B19&amp;Weekly_Pmod!$B$3&amp;$B$2&amp;Weekly_Pmod!$B$1)</f>
        <v>0</v>
      </c>
      <c r="AX19" s="2">
        <f>COUNTIF(defects!$AB:$AB,Weekly_Pmod!AX$3&amp;Weekly_Pmod!$B19&amp;Weekly_Pmod!$B$3&amp;$B$2&amp;Weekly_Pmod!$B$1)</f>
        <v>0</v>
      </c>
      <c r="AY19" s="2">
        <f>COUNTIF(defects!$AB:$AB,Weekly_Pmod!AY$3&amp;Weekly_Pmod!$B19&amp;Weekly_Pmod!$B$3&amp;$B$2&amp;Weekly_Pmod!$B$1)</f>
        <v>0</v>
      </c>
      <c r="AZ19" s="2">
        <f>COUNTIF(defects!$AB:$AB,Weekly_Pmod!AZ$3&amp;Weekly_Pmod!$B19&amp;Weekly_Pmod!$B$3&amp;$B$2&amp;Weekly_Pmod!$B$1)</f>
        <v>0</v>
      </c>
      <c r="BA19" s="2">
        <f>COUNTIF(defects!$AB:$AB,Weekly_Pmod!BA$3&amp;Weekly_Pmod!$B19&amp;Weekly_Pmod!$B$3&amp;$B$2&amp;Weekly_Pmod!$B$1)</f>
        <v>0</v>
      </c>
      <c r="BB19" s="2">
        <f>COUNTIF(defects!$AB:$AB,Weekly_Pmod!BB$3&amp;Weekly_Pmod!$B19&amp;Weekly_Pmod!$B$3&amp;$B$2&amp;Weekly_Pmod!$B$1)</f>
        <v>0</v>
      </c>
      <c r="BC19" s="2">
        <f>COUNTIF(defects!$AB:$AB,Weekly_Pmod!BC$3&amp;Weekly_Pmod!$B19&amp;Weekly_Pmod!$B$3&amp;$B$2&amp;Weekly_Pmod!$B$1)</f>
        <v>0</v>
      </c>
      <c r="BD19" s="2">
        <f>COUNTIF(defects!$AB:$AB,Weekly_Pmod!BD$3&amp;Weekly_Pmod!$B19&amp;Weekly_Pmod!$B$3&amp;$B$2&amp;Weekly_Pmod!$B$1)</f>
        <v>0</v>
      </c>
      <c r="BE19" s="2">
        <f>COUNTIF(defects!$AB:$AB,Weekly_Pmod!BE$3&amp;Weekly_Pmod!$B19&amp;Weekly_Pmod!$B$3&amp;$B$2&amp;Weekly_Pmod!$B$1)</f>
        <v>0</v>
      </c>
      <c r="BF19" s="2">
        <f>COUNTIF(defects!$AB:$AB,Weekly_Pmod!BF$3&amp;Weekly_Pmod!$B19&amp;Weekly_Pmod!$B$3&amp;$B$2&amp;Weekly_Pmod!$B$1)</f>
        <v>0</v>
      </c>
      <c r="BG19" s="2">
        <f>COUNTIF(defects!$AB:$AB,Weekly_Pmod!BG$3&amp;Weekly_Pmod!$B19&amp;Weekly_Pmod!$B$3&amp;$B$2&amp;Weekly_Pmod!$B$1)</f>
        <v>0</v>
      </c>
      <c r="BH19" s="2">
        <f>COUNTIF(defects!$AB:$AB,Weekly_Pmod!BH$3&amp;Weekly_Pmod!$B19&amp;Weekly_Pmod!$B$3&amp;$B$2&amp;Weekly_Pmod!$B$1)</f>
        <v>0</v>
      </c>
      <c r="BI19" s="2">
        <f>COUNTIF(defects!$AB:$AB,Weekly_Pmod!BI$3&amp;Weekly_Pmod!$B19&amp;Weekly_Pmod!$B$3&amp;$B$2&amp;Weekly_Pmod!$B$1)</f>
        <v>0</v>
      </c>
      <c r="BJ19" s="2">
        <f>COUNTIF(defects!$AB:$AB,Weekly_Pmod!BJ$3&amp;Weekly_Pmod!$B19&amp;Weekly_Pmod!$B$3&amp;$B$2&amp;Weekly_Pmod!$B$1)</f>
        <v>0</v>
      </c>
      <c r="BK19" s="2">
        <f>COUNTIF(defects!$AB:$AB,Weekly_Pmod!BK$3&amp;Weekly_Pmod!$B19&amp;Weekly_Pmod!$B$3&amp;$B$2&amp;Weekly_Pmod!$B$1)</f>
        <v>0</v>
      </c>
      <c r="BL19" s="2">
        <f>COUNTIF(defects!$AB:$AB,Weekly_Pmod!BL$3&amp;Weekly_Pmod!$B19&amp;Weekly_Pmod!$B$3&amp;$B$2&amp;Weekly_Pmod!$B$1)</f>
        <v>0</v>
      </c>
      <c r="BM19" s="2">
        <f>COUNTIF(defects!$AB:$AB,Weekly_Pmod!BM$3&amp;Weekly_Pmod!$B19&amp;Weekly_Pmod!$B$3&amp;$B$2&amp;Weekly_Pmod!$B$1)</f>
        <v>0</v>
      </c>
      <c r="BN19" s="2">
        <f>COUNTIF(defects!$AB:$AB,Weekly_Pmod!BN$3&amp;Weekly_Pmod!$B19&amp;Weekly_Pmod!$B$3&amp;$B$2&amp;Weekly_Pmod!$B$1)</f>
        <v>0</v>
      </c>
      <c r="BO19" s="2">
        <f>COUNTIF(defects!$AB:$AB,Weekly_Pmod!BO$3&amp;Weekly_Pmod!$B19&amp;Weekly_Pmod!$B$3&amp;$B$2&amp;Weekly_Pmod!$B$1)</f>
        <v>0</v>
      </c>
      <c r="BP19" s="2">
        <f>COUNTIF(defects!$AB:$AB,Weekly_Pmod!BP$3&amp;Weekly_Pmod!$B19&amp;Weekly_Pmod!$B$3&amp;$B$2&amp;Weekly_Pmod!$B$1)</f>
        <v>0</v>
      </c>
      <c r="BQ19" s="2">
        <f>COUNTIF(defects!$AB:$AB,Weekly_Pmod!BQ$3&amp;Weekly_Pmod!$B19&amp;Weekly_Pmod!$B$3&amp;$B$2&amp;Weekly_Pmod!$B$1)</f>
        <v>0</v>
      </c>
      <c r="BR19" s="2">
        <f>COUNTIF(defects!$AB:$AB,Weekly_Pmod!BR$3&amp;Weekly_Pmod!$B19&amp;Weekly_Pmod!$B$3&amp;$B$2&amp;Weekly_Pmod!$B$1)</f>
        <v>0</v>
      </c>
      <c r="BS19" s="2">
        <f>COUNTIF(defects!$AB:$AB,Weekly_Pmod!BS$3&amp;Weekly_Pmod!$B19&amp;Weekly_Pmod!$B$3&amp;$B$2&amp;Weekly_Pmod!$B$1)</f>
        <v>0</v>
      </c>
      <c r="BT19" s="2">
        <f>COUNTIF(defects!$AB:$AB,Weekly_Pmod!BT$3&amp;Weekly_Pmod!$B19&amp;Weekly_Pmod!$B$3&amp;$B$2&amp;Weekly_Pmod!$B$1)</f>
        <v>0</v>
      </c>
      <c r="BU19" s="2">
        <f>COUNTIF(defects!$AB:$AB,Weekly_Pmod!BU$3&amp;Weekly_Pmod!$B19&amp;Weekly_Pmod!$B$3&amp;$B$2&amp;Weekly_Pmod!$B$1)</f>
        <v>0</v>
      </c>
      <c r="BV19" s="2">
        <f>COUNTIF(defects!$AB:$AB,Weekly_Pmod!BV$3&amp;Weekly_Pmod!$B19&amp;Weekly_Pmod!$B$3&amp;$B$2&amp;Weekly_Pmod!$B$1)</f>
        <v>0</v>
      </c>
      <c r="BW19" s="2">
        <f>COUNTIF(defects!$AB:$AB,Weekly_Pmod!BW$3&amp;Weekly_Pmod!$B19&amp;Weekly_Pmod!$B$3&amp;$B$2&amp;Weekly_Pmod!$B$1)</f>
        <v>0</v>
      </c>
      <c r="BX19" s="2">
        <f>COUNTIF(defects!$AB:$AB,Weekly_Pmod!BX$3&amp;Weekly_Pmod!$B19&amp;Weekly_Pmod!$B$3&amp;$B$2&amp;Weekly_Pmod!$B$1)</f>
        <v>0</v>
      </c>
      <c r="BY19" s="2">
        <f>COUNTIF(defects!$AB:$AB,Weekly_Pmod!BY$3&amp;Weekly_Pmod!$B19&amp;Weekly_Pmod!$B$3&amp;$B$2&amp;Weekly_Pmod!$B$1)</f>
        <v>0</v>
      </c>
      <c r="BZ19" s="2">
        <f>COUNTIF(defects!$AB:$AB,Weekly_Pmod!BZ$3&amp;Weekly_Pmod!$B19&amp;Weekly_Pmod!$B$3&amp;$B$2&amp;Weekly_Pmod!$B$1)</f>
        <v>0</v>
      </c>
      <c r="CA19" s="2">
        <f>COUNTIF(defects!$AB:$AB,Weekly_Pmod!CA$3&amp;Weekly_Pmod!$B19&amp;Weekly_Pmod!$B$3&amp;$B$2&amp;Weekly_Pmod!$B$1)</f>
        <v>0</v>
      </c>
      <c r="CB19" s="2">
        <f>COUNTIF(defects!$AB:$AB,Weekly_Pmod!CB$3&amp;Weekly_Pmod!$B19&amp;Weekly_Pmod!$B$3&amp;$B$2&amp;Weekly_Pmod!$B$1)</f>
        <v>0</v>
      </c>
      <c r="CC19" s="2">
        <f>COUNTIF(defects!$AB:$AB,Weekly_Pmod!CC$3&amp;Weekly_Pmod!$B19&amp;Weekly_Pmod!$B$3&amp;$B$2&amp;Weekly_Pmod!$B$1)</f>
        <v>0</v>
      </c>
      <c r="CD19" s="2">
        <f>COUNTIF(defects!$AB:$AB,Weekly_Pmod!CD$3&amp;Weekly_Pmod!$B19&amp;Weekly_Pmod!$B$3&amp;$B$2&amp;Weekly_Pmod!$B$1)</f>
        <v>0</v>
      </c>
      <c r="CE19" s="2">
        <f>COUNTIF(defects!$AB:$AB,Weekly_Pmod!CE$3&amp;Weekly_Pmod!$B19&amp;Weekly_Pmod!$B$3&amp;$B$2&amp;Weekly_Pmod!$B$1)</f>
        <v>0</v>
      </c>
      <c r="CF19" s="2">
        <f>COUNTIF(defects!$AB:$AB,Weekly_Pmod!CF$3&amp;Weekly_Pmod!$B19&amp;Weekly_Pmod!$B$3&amp;$B$2&amp;Weekly_Pmod!$B$1)</f>
        <v>0</v>
      </c>
      <c r="CG19" s="2">
        <f>COUNTIF(defects!$AB:$AB,Weekly_Pmod!CG$3&amp;Weekly_Pmod!$B19&amp;Weekly_Pmod!$B$3&amp;$B$2&amp;Weekly_Pmod!$B$1)</f>
        <v>0</v>
      </c>
      <c r="CH19" s="2">
        <f>COUNTIF(defects!$AB:$AB,Weekly_Pmod!CH$3&amp;Weekly_Pmod!$B19&amp;Weekly_Pmod!$B$3&amp;$B$2&amp;Weekly_Pmod!$B$1)</f>
        <v>0</v>
      </c>
      <c r="CI19" s="2">
        <f>COUNTIF(defects!$AB:$AB,Weekly_Pmod!CI$3&amp;Weekly_Pmod!$B19&amp;Weekly_Pmod!$B$3&amp;$B$2&amp;Weekly_Pmod!$B$1)</f>
        <v>0</v>
      </c>
      <c r="CJ19" s="2">
        <f>COUNTIF(defects!$AB:$AB,Weekly_Pmod!CJ$3&amp;Weekly_Pmod!$B19&amp;Weekly_Pmod!$B$3&amp;$B$2&amp;Weekly_Pmod!$B$1)</f>
        <v>0</v>
      </c>
      <c r="CK19" s="2">
        <f>COUNTIF(defects!$AB:$AB,Weekly_Pmod!CK$3&amp;Weekly_Pmod!$B19&amp;Weekly_Pmod!$B$3&amp;$B$2&amp;Weekly_Pmod!$B$1)</f>
        <v>0</v>
      </c>
      <c r="CL19" s="2">
        <f>COUNTIF(defects!$AB:$AB,Weekly_Pmod!CL$3&amp;Weekly_Pmod!$B19&amp;Weekly_Pmod!$B$3&amp;$B$2&amp;Weekly_Pmod!$B$1)</f>
        <v>0</v>
      </c>
      <c r="CM19" s="2">
        <f>COUNTIF(defects!$AB:$AB,Weekly_Pmod!CM$3&amp;Weekly_Pmod!$B19&amp;Weekly_Pmod!$B$3&amp;$B$2&amp;Weekly_Pmod!$B$1)</f>
        <v>0</v>
      </c>
      <c r="CN19" s="2">
        <f>COUNTIF(defects!$AB:$AB,Weekly_Pmod!CN$3&amp;Weekly_Pmod!$B19&amp;Weekly_Pmod!$B$3&amp;$B$2&amp;Weekly_Pmod!$B$1)</f>
        <v>0</v>
      </c>
      <c r="CO19" s="2">
        <f>COUNTIF(defects!$AB:$AB,Weekly_Pmod!CO$3&amp;Weekly_Pmod!$B19&amp;Weekly_Pmod!$B$3&amp;$B$2&amp;Weekly_Pmod!$B$1)</f>
        <v>0</v>
      </c>
      <c r="CP19" s="2">
        <f>COUNTIF(defects!$AB:$AB,Weekly_Pmod!CP$3&amp;Weekly_Pmod!$B19&amp;Weekly_Pmod!$B$3&amp;$B$2&amp;Weekly_Pmod!$B$1)</f>
        <v>0</v>
      </c>
      <c r="CQ19" s="2">
        <f>COUNTIF(defects!$AB:$AB,Weekly_Pmod!CQ$3&amp;Weekly_Pmod!$B19&amp;Weekly_Pmod!$B$3&amp;$B$2&amp;Weekly_Pmod!$B$1)</f>
        <v>0</v>
      </c>
      <c r="CR19" s="2">
        <f>COUNTIF(defects!$AB:$AB,Weekly_Pmod!CR$3&amp;Weekly_Pmod!$B19&amp;Weekly_Pmod!$B$3&amp;$B$2&amp;Weekly_Pmod!$B$1)</f>
        <v>0</v>
      </c>
      <c r="CS19" s="2">
        <f>COUNTIF(defects!$AB:$AB,Weekly_Pmod!CS$3&amp;Weekly_Pmod!$B19&amp;Weekly_Pmod!$B$3&amp;$B$2&amp;Weekly_Pmod!$B$1)</f>
        <v>0</v>
      </c>
      <c r="CT19" s="2">
        <f>COUNTIF(defects!$AB:$AB,Weekly_Pmod!CT$3&amp;Weekly_Pmod!$B19&amp;Weekly_Pmod!$B$3&amp;$B$2&amp;Weekly_Pmod!$B$1)</f>
        <v>0</v>
      </c>
      <c r="CU19" s="2">
        <f>COUNTIF(defects!$AB:$AB,Weekly_Pmod!CU$3&amp;Weekly_Pmod!$B19&amp;Weekly_Pmod!$B$3&amp;$B$2&amp;Weekly_Pmod!$B$1)</f>
        <v>0</v>
      </c>
      <c r="CV19" s="2">
        <f>COUNTIF(defects!$AB:$AB,Weekly_Pmod!CV$3&amp;Weekly_Pmod!$B19&amp;Weekly_Pmod!$B$3&amp;$B$2&amp;Weekly_Pmod!$B$1)</f>
        <v>0</v>
      </c>
      <c r="CW19" s="2">
        <f>COUNTIF(defects!$AB:$AB,Weekly_Pmod!CW$3&amp;Weekly_Pmod!$B19&amp;Weekly_Pmod!$B$3&amp;$B$2&amp;Weekly_Pmod!$B$1)</f>
        <v>0</v>
      </c>
      <c r="CX19" s="2">
        <f>COUNTIF(defects!$AB:$AB,Weekly_Pmod!CX$3&amp;Weekly_Pmod!$B19&amp;Weekly_Pmod!$B$3&amp;$B$2&amp;Weekly_Pmod!$B$1)</f>
        <v>0</v>
      </c>
      <c r="CY19" s="2">
        <f>COUNTIF(defects!$AB:$AB,Weekly_Pmod!CY$3&amp;Weekly_Pmod!$B19&amp;Weekly_Pmod!$B$3&amp;$B$2&amp;Weekly_Pmod!$B$1)</f>
        <v>0</v>
      </c>
      <c r="CZ19" s="2">
        <f>COUNTIF(defects!$AB:$AB,Weekly_Pmod!CZ$3&amp;Weekly_Pmod!$B19&amp;Weekly_Pmod!$B$3&amp;$B$2&amp;Weekly_Pmod!$B$1)</f>
        <v>0</v>
      </c>
      <c r="DA19" s="2">
        <f>COUNTIF(defects!$AB:$AB,Weekly_Pmod!DA$3&amp;Weekly_Pmod!$B19&amp;Weekly_Pmod!$B$3&amp;$B$2&amp;Weekly_Pmod!$B$1)</f>
        <v>0</v>
      </c>
      <c r="DB19" s="2">
        <f>COUNTIF(defects!$AB:$AB,Weekly_Pmod!DB$3&amp;Weekly_Pmod!$B19&amp;Weekly_Pmod!$B$3&amp;$B$2&amp;Weekly_Pmod!$B$1)</f>
        <v>0</v>
      </c>
      <c r="DC19" s="2">
        <f>COUNTIF(defects!$AB:$AB,Weekly_Pmod!DC$3&amp;Weekly_Pmod!$B19&amp;Weekly_Pmod!$B$3&amp;$B$2&amp;Weekly_Pmod!$B$1)</f>
        <v>0</v>
      </c>
      <c r="DD19" s="2">
        <f>COUNTIF(defects!$AB:$AB,Weekly_Pmod!DD$3&amp;Weekly_Pmod!$B19&amp;Weekly_Pmod!$B$3&amp;$B$2&amp;Weekly_Pmod!$B$1)</f>
        <v>0</v>
      </c>
      <c r="DE19" s="2">
        <f>COUNTIF(defects!$AB:$AB,Weekly_Pmod!DE$3&amp;Weekly_Pmod!$B19&amp;Weekly_Pmod!$B$3&amp;$B$2&amp;Weekly_Pmod!$B$1)</f>
        <v>0</v>
      </c>
      <c r="DF19" s="2">
        <f>COUNTIF(defects!$AB:$AB,Weekly_Pmod!DF$3&amp;Weekly_Pmod!$B19&amp;Weekly_Pmod!$B$3&amp;$B$2&amp;Weekly_Pmod!$B$1)</f>
        <v>0</v>
      </c>
      <c r="DG19" s="2">
        <f>COUNTIF(defects!$AB:$AB,Weekly_Pmod!DG$3&amp;Weekly_Pmod!$B19&amp;Weekly_Pmod!$B$3&amp;$B$2&amp;Weekly_Pmod!$B$1)</f>
        <v>0</v>
      </c>
      <c r="DH19" s="2">
        <f>COUNTIF(defects!$AB:$AB,Weekly_Pmod!DH$3&amp;Weekly_Pmod!$B19&amp;Weekly_Pmod!$B$3&amp;$B$2&amp;Weekly_Pmod!$B$1)</f>
        <v>0</v>
      </c>
      <c r="DI19" s="2">
        <f>COUNTIF(defects!$AB:$AB,Weekly_Pmod!DI$3&amp;Weekly_Pmod!$B19&amp;Weekly_Pmod!$B$3&amp;$B$2&amp;Weekly_Pmod!$B$1)</f>
        <v>0</v>
      </c>
      <c r="DJ19" s="2">
        <f>COUNTIF(defects!$AB:$AB,Weekly_Pmod!DJ$3&amp;Weekly_Pmod!$B19&amp;Weekly_Pmod!$B$3&amp;$B$2&amp;Weekly_Pmod!$B$1)</f>
        <v>0</v>
      </c>
      <c r="DK19" s="2">
        <f>COUNTIF(defects!$AB:$AB,Weekly_Pmod!DK$3&amp;Weekly_Pmod!$B19&amp;Weekly_Pmod!$B$3&amp;$B$2&amp;Weekly_Pmod!$B$1)</f>
        <v>0</v>
      </c>
      <c r="DL19" s="2">
        <f>COUNTIF(defects!$AB:$AB,Weekly_Pmod!DL$3&amp;Weekly_Pmod!$B19&amp;Weekly_Pmod!$B$3&amp;$B$2&amp;Weekly_Pmod!$B$1)</f>
        <v>0</v>
      </c>
      <c r="DM19" s="2">
        <f>COUNTIF(defects!$AB:$AB,Weekly_Pmod!DM$3&amp;Weekly_Pmod!$B19&amp;Weekly_Pmod!$B$3&amp;$B$2&amp;Weekly_Pmod!$B$1)</f>
        <v>0</v>
      </c>
      <c r="DN19" s="2">
        <f>COUNTIF(defects!$AB:$AB,Weekly_Pmod!DN$3&amp;Weekly_Pmod!$B19&amp;Weekly_Pmod!$B$3&amp;$B$2&amp;Weekly_Pmod!$B$1)</f>
        <v>0</v>
      </c>
      <c r="DO19" s="2">
        <f>COUNTIF(defects!$AB:$AB,Weekly_Pmod!DO$3&amp;Weekly_Pmod!$B19&amp;Weekly_Pmod!$B$3&amp;$B$2&amp;Weekly_Pmod!$B$1)</f>
        <v>0</v>
      </c>
      <c r="DP19" s="2">
        <f>COUNTIF(defects!$AB:$AB,Weekly_Pmod!DP$3&amp;Weekly_Pmod!$B19&amp;Weekly_Pmod!$B$3&amp;$B$2&amp;Weekly_Pmod!$B$1)</f>
        <v>0</v>
      </c>
      <c r="DQ19" s="2">
        <f>COUNTIF(defects!$AB:$AB,Weekly_Pmod!DQ$3&amp;Weekly_Pmod!$B19&amp;Weekly_Pmod!$B$3&amp;$B$2&amp;Weekly_Pmod!$B$1)</f>
        <v>0</v>
      </c>
      <c r="DR19" s="2">
        <f>COUNTIF(defects!$AB:$AB,Weekly_Pmod!DR$3&amp;Weekly_Pmod!$B19&amp;Weekly_Pmod!$B$3&amp;$B$2&amp;Weekly_Pmod!$B$1)</f>
        <v>0</v>
      </c>
      <c r="DS19" s="2">
        <f>COUNTIF(defects!$AB:$AB,Weekly_Pmod!DS$3&amp;Weekly_Pmod!$B19&amp;Weekly_Pmod!$B$3&amp;$B$2&amp;Weekly_Pmod!$B$1)</f>
        <v>0</v>
      </c>
      <c r="DT19" s="2">
        <f>COUNTIF(defects!$AB:$AB,Weekly_Pmod!DT$3&amp;Weekly_Pmod!$B19&amp;Weekly_Pmod!$B$3&amp;$B$2&amp;Weekly_Pmod!$B$1)</f>
        <v>0</v>
      </c>
      <c r="DU19" s="2">
        <f>COUNTIF(defects!$AB:$AB,Weekly_Pmod!DU$3&amp;Weekly_Pmod!$B19&amp;Weekly_Pmod!$B$3&amp;$B$2&amp;Weekly_Pmod!$B$1)</f>
        <v>0</v>
      </c>
      <c r="DV19" s="2">
        <f>COUNTIF(defects!$AB:$AB,Weekly_Pmod!DV$3&amp;Weekly_Pmod!$B19&amp;Weekly_Pmod!$B$3&amp;$B$2&amp;Weekly_Pmod!$B$1)</f>
        <v>0</v>
      </c>
      <c r="DW19" s="2">
        <f>COUNTIF(defects!$AB:$AB,Weekly_Pmod!DW$3&amp;Weekly_Pmod!$B19&amp;Weekly_Pmod!$B$3&amp;$B$2&amp;Weekly_Pmod!$B$1)</f>
        <v>0</v>
      </c>
      <c r="DX19" s="2">
        <f>COUNTIF(defects!$AB:$AB,Weekly_Pmod!DX$3&amp;Weekly_Pmod!$B19&amp;Weekly_Pmod!$B$3&amp;$B$2&amp;Weekly_Pmod!$B$1)</f>
        <v>0</v>
      </c>
      <c r="DY19" s="2">
        <f>COUNTIF(defects!$AB:$AB,Weekly_Pmod!DY$3&amp;Weekly_Pmod!$B19&amp;Weekly_Pmod!$B$3&amp;$B$2&amp;Weekly_Pmod!$B$1)</f>
        <v>0</v>
      </c>
      <c r="DZ19" s="2">
        <f>COUNTIF(defects!$AB:$AB,Weekly_Pmod!DZ$3&amp;Weekly_Pmod!$B19&amp;Weekly_Pmod!$B$3&amp;$B$2&amp;Weekly_Pmod!$B$1)</f>
        <v>0</v>
      </c>
      <c r="EA19" s="2">
        <f>COUNTIF(defects!$AB:$AB,Weekly_Pmod!EA$3&amp;Weekly_Pmod!$B19&amp;Weekly_Pmod!$B$3&amp;$B$2&amp;Weekly_Pmod!$B$1)</f>
        <v>0</v>
      </c>
      <c r="EB19" s="2">
        <f>COUNTIF(defects!$AB:$AB,Weekly_Pmod!EB$3&amp;Weekly_Pmod!$B19&amp;Weekly_Pmod!$B$3&amp;$B$2&amp;Weekly_Pmod!$B$1)</f>
        <v>0</v>
      </c>
      <c r="EC19" s="2">
        <f>COUNTIF(defects!$AB:$AB,Weekly_Pmod!EC$3&amp;Weekly_Pmod!$B19&amp;Weekly_Pmod!$B$3&amp;$B$2&amp;Weekly_Pmod!$B$1)</f>
        <v>0</v>
      </c>
      <c r="ED19" s="2">
        <f>COUNTIF(defects!$AB:$AB,Weekly_Pmod!ED$3&amp;Weekly_Pmod!$B19&amp;Weekly_Pmod!$B$3&amp;$B$2&amp;Weekly_Pmod!$B$1)</f>
        <v>0</v>
      </c>
      <c r="EE19" s="2">
        <f>COUNTIF(defects!$AB:$AB,Weekly_Pmod!EE$3&amp;Weekly_Pmod!$B19&amp;Weekly_Pmod!$B$3&amp;$B$2&amp;Weekly_Pmod!$B$1)</f>
        <v>0</v>
      </c>
      <c r="EF19" s="2">
        <f>COUNTIF(defects!$AB:$AB,Weekly_Pmod!EF$3&amp;Weekly_Pmod!$B19&amp;Weekly_Pmod!$B$3&amp;$B$2&amp;Weekly_Pmod!$B$1)</f>
        <v>0</v>
      </c>
      <c r="EG19" s="2">
        <f>COUNTIF(defects!$AB:$AB,Weekly_Pmod!EG$3&amp;Weekly_Pmod!$B19&amp;Weekly_Pmod!$B$3&amp;$B$2&amp;Weekly_Pmod!$B$1)</f>
        <v>0</v>
      </c>
      <c r="EH19" s="2">
        <f>COUNTIF(defects!$AB:$AB,Weekly_Pmod!EH$3&amp;Weekly_Pmod!$B19&amp;Weekly_Pmod!$B$3&amp;$B$2&amp;Weekly_Pmod!$B$1)</f>
        <v>0</v>
      </c>
      <c r="EI19" s="2">
        <f>COUNTIF(defects!$AB:$AB,Weekly_Pmod!EI$3&amp;Weekly_Pmod!$B19&amp;Weekly_Pmod!$B$3&amp;$B$2&amp;Weekly_Pmod!$B$1)</f>
        <v>0</v>
      </c>
      <c r="EJ19" s="2">
        <f>COUNTIF(defects!$AB:$AB,Weekly_Pmod!EJ$3&amp;Weekly_Pmod!$B19&amp;Weekly_Pmod!$B$3&amp;$B$2&amp;Weekly_Pmod!$B$1)</f>
        <v>0</v>
      </c>
      <c r="EK19" s="2">
        <f>COUNTIF(defects!$AB:$AB,Weekly_Pmod!EK$3&amp;Weekly_Pmod!$B19&amp;Weekly_Pmod!$B$3&amp;$B$2&amp;Weekly_Pmod!$B$1)</f>
        <v>0</v>
      </c>
      <c r="EL19" s="2">
        <f>COUNTIF(defects!$AB:$AB,Weekly_Pmod!EL$3&amp;Weekly_Pmod!$B19&amp;Weekly_Pmod!$B$3&amp;$B$2&amp;Weekly_Pmod!$B$1)</f>
        <v>0</v>
      </c>
      <c r="EM19" s="2">
        <f>COUNTIF(defects!$AB:$AB,Weekly_Pmod!EM$3&amp;Weekly_Pmod!$B19&amp;Weekly_Pmod!$B$3&amp;$B$2&amp;Weekly_Pmod!$B$1)</f>
        <v>0</v>
      </c>
      <c r="EN19" s="2">
        <f>COUNTIF(defects!$AB:$AB,Weekly_Pmod!EN$3&amp;Weekly_Pmod!$B19&amp;Weekly_Pmod!$B$3&amp;$B$2&amp;Weekly_Pmod!$B$1)</f>
        <v>0</v>
      </c>
      <c r="EO19" s="2">
        <f>COUNTIF(defects!$AB:$AB,Weekly_Pmod!EO$3&amp;Weekly_Pmod!$B19&amp;Weekly_Pmod!$B$3&amp;$B$2&amp;Weekly_Pmod!$B$1)</f>
        <v>0</v>
      </c>
      <c r="EP19" s="2">
        <f>COUNTIF(defects!$AB:$AB,Weekly_Pmod!EP$3&amp;Weekly_Pmod!$B19&amp;Weekly_Pmod!$B$3&amp;$B$2&amp;Weekly_Pmod!$B$1)</f>
        <v>0</v>
      </c>
      <c r="EQ19" s="2">
        <f>COUNTIF(defects!$AB:$AB,Weekly_Pmod!EQ$3&amp;Weekly_Pmod!$B19&amp;Weekly_Pmod!$B$3&amp;$B$2&amp;Weekly_Pmod!$B$1)</f>
        <v>0</v>
      </c>
      <c r="ER19" s="2">
        <f>COUNTIF(defects!$AB:$AB,Weekly_Pmod!ER$3&amp;Weekly_Pmod!$B19&amp;Weekly_Pmod!$B$3&amp;$B$2&amp;Weekly_Pmod!$B$1)</f>
        <v>0</v>
      </c>
      <c r="ES19" s="2">
        <f>COUNTIF(defects!$AB:$AB,Weekly_Pmod!ES$3&amp;Weekly_Pmod!$B19&amp;Weekly_Pmod!$B$3&amp;$B$2&amp;Weekly_Pmod!$B$1)</f>
        <v>0</v>
      </c>
      <c r="ET19" s="2">
        <f>COUNTIF(defects!$AB:$AB,Weekly_Pmod!ET$3&amp;Weekly_Pmod!$B19&amp;Weekly_Pmod!$B$3&amp;$B$2&amp;Weekly_Pmod!$B$1)</f>
        <v>0</v>
      </c>
      <c r="EU19" s="2">
        <f>COUNTIF(defects!$AB:$AB,Weekly_Pmod!EU$3&amp;Weekly_Pmod!$B19&amp;Weekly_Pmod!$B$3&amp;$B$2&amp;Weekly_Pmod!$B$1)</f>
        <v>0</v>
      </c>
      <c r="EV19" s="2">
        <f>COUNTIF(defects!$AB:$AB,Weekly_Pmod!EV$3&amp;Weekly_Pmod!$B19&amp;Weekly_Pmod!$B$3&amp;$B$2&amp;Weekly_Pmod!$B$1)</f>
        <v>0</v>
      </c>
      <c r="EW19" s="2">
        <f>COUNTIF(defects!$AB:$AB,Weekly_Pmod!EW$3&amp;Weekly_Pmod!$B19&amp;Weekly_Pmod!$B$3&amp;$B$2&amp;Weekly_Pmod!$B$1)</f>
        <v>0</v>
      </c>
      <c r="EX19" s="2">
        <f>COUNTIF(defects!$AB:$AB,Weekly_Pmod!EX$3&amp;Weekly_Pmod!$B19&amp;Weekly_Pmod!$B$3&amp;$B$2&amp;Weekly_Pmod!$B$1)</f>
        <v>0</v>
      </c>
      <c r="EY19" s="2">
        <f>COUNTIF(defects!$AB:$AB,Weekly_Pmod!EY$3&amp;Weekly_Pmod!$B19&amp;Weekly_Pmod!$B$3&amp;$B$2&amp;Weekly_Pmod!$B$1)</f>
        <v>0</v>
      </c>
      <c r="EZ19" s="2">
        <f>COUNTIF(defects!$AB:$AB,Weekly_Pmod!EZ$3&amp;Weekly_Pmod!$B19&amp;Weekly_Pmod!$B$3&amp;$B$2&amp;Weekly_Pmod!$B$1)</f>
        <v>0</v>
      </c>
      <c r="FA19" s="2">
        <f>COUNTIF(defects!$AB:$AB,Weekly_Pmod!FA$3&amp;Weekly_Pmod!$B19&amp;Weekly_Pmod!$B$3&amp;$B$2&amp;Weekly_Pmod!$B$1)</f>
        <v>0</v>
      </c>
      <c r="FB19" s="2">
        <f>COUNTIF(defects!$AB:$AB,Weekly_Pmod!FB$3&amp;Weekly_Pmod!$B19&amp;Weekly_Pmod!$B$3&amp;$B$2&amp;Weekly_Pmod!$B$1)</f>
        <v>0</v>
      </c>
      <c r="FC19" s="2">
        <f>COUNTIF(defects!$AB:$AB,Weekly_Pmod!FC$3&amp;Weekly_Pmod!$B19&amp;Weekly_Pmod!$B$3&amp;$B$2&amp;Weekly_Pmod!$B$1)</f>
        <v>0</v>
      </c>
      <c r="FD19" s="2">
        <f>COUNTIF(defects!$AB:$AB,Weekly_Pmod!FD$3&amp;Weekly_Pmod!$B19&amp;Weekly_Pmod!$B$3&amp;$B$2&amp;Weekly_Pmod!$B$1)</f>
        <v>0</v>
      </c>
      <c r="FE19" s="2">
        <f>COUNTIF(defects!$AB:$AB,Weekly_Pmod!FE$3&amp;Weekly_Pmod!$B19&amp;Weekly_Pmod!$B$3&amp;$B$2&amp;Weekly_Pmod!$B$1)</f>
        <v>0</v>
      </c>
    </row>
    <row r="20" spans="2:161">
      <c r="B20" s="3" t="s">
        <v>952</v>
      </c>
      <c r="C20" s="2">
        <f>COUNTIF(defects!$AB:$AB,Weekly_Pmod!C$3&amp;Weekly_Pmod!$B20&amp;Weekly_Pmod!$B$3&amp;$B$2&amp;Weekly_Pmod!$B$1)</f>
        <v>0</v>
      </c>
      <c r="D20" s="2">
        <f>COUNTIF(defects!$AB:$AB,Weekly_Pmod!D$3&amp;Weekly_Pmod!$B20&amp;Weekly_Pmod!$B$3&amp;$B$2&amp;Weekly_Pmod!$B$1)</f>
        <v>0</v>
      </c>
      <c r="E20" s="2">
        <f>COUNTIF(defects!$AB:$AB,Weekly_Pmod!E$3&amp;Weekly_Pmod!$B20&amp;Weekly_Pmod!$B$3&amp;$B$2&amp;Weekly_Pmod!$B$1)</f>
        <v>0</v>
      </c>
      <c r="F20" s="2">
        <f>COUNTIF(defects!$AB:$AB,Weekly_Pmod!F$3&amp;Weekly_Pmod!$B20&amp;Weekly_Pmod!$B$3&amp;$B$2&amp;Weekly_Pmod!$B$1)</f>
        <v>0</v>
      </c>
      <c r="G20" s="2">
        <f>COUNTIF(defects!$AB:$AB,Weekly_Pmod!G$3&amp;Weekly_Pmod!$B20&amp;Weekly_Pmod!$B$3&amp;$B$2&amp;Weekly_Pmod!$B$1)</f>
        <v>0</v>
      </c>
      <c r="H20" s="2">
        <f>COUNTIF(defects!$AB:$AB,Weekly_Pmod!H$3&amp;Weekly_Pmod!$B20&amp;Weekly_Pmod!$B$3&amp;$B$2&amp;Weekly_Pmod!$B$1)</f>
        <v>0</v>
      </c>
      <c r="I20" s="2">
        <f>COUNTIF(defects!$AB:$AB,Weekly_Pmod!I$3&amp;Weekly_Pmod!$B20&amp;Weekly_Pmod!$B$3&amp;$B$2&amp;Weekly_Pmod!$B$1)</f>
        <v>0</v>
      </c>
      <c r="J20" s="2">
        <f>COUNTIF(defects!$AB:$AB,Weekly_Pmod!J$3&amp;Weekly_Pmod!$B20&amp;Weekly_Pmod!$B$3&amp;$B$2&amp;Weekly_Pmod!$B$1)</f>
        <v>0</v>
      </c>
      <c r="K20" s="2">
        <f>COUNTIF(defects!$AB:$AB,Weekly_Pmod!K$3&amp;Weekly_Pmod!$B20&amp;Weekly_Pmod!$B$3&amp;$B$2&amp;Weekly_Pmod!$B$1)</f>
        <v>0</v>
      </c>
      <c r="L20" s="2">
        <f>COUNTIF(defects!$AB:$AB,Weekly_Pmod!L$3&amp;Weekly_Pmod!$B20&amp;Weekly_Pmod!$B$3&amp;$B$2&amp;Weekly_Pmod!$B$1)</f>
        <v>0</v>
      </c>
      <c r="M20" s="2">
        <f>COUNTIF(defects!$AB:$AB,Weekly_Pmod!M$3&amp;Weekly_Pmod!$B20&amp;Weekly_Pmod!$B$3&amp;$B$2&amp;Weekly_Pmod!$B$1)</f>
        <v>0</v>
      </c>
      <c r="N20" s="2">
        <f>COUNTIF(defects!$AB:$AB,Weekly_Pmod!N$3&amp;Weekly_Pmod!$B20&amp;Weekly_Pmod!$B$3&amp;$B$2&amp;Weekly_Pmod!$B$1)</f>
        <v>0</v>
      </c>
      <c r="O20" s="2">
        <f>COUNTIF(defects!$AB:$AB,Weekly_Pmod!O$3&amp;Weekly_Pmod!$B20&amp;Weekly_Pmod!$B$3&amp;$B$2&amp;Weekly_Pmod!$B$1)</f>
        <v>0</v>
      </c>
      <c r="P20" s="2">
        <f>COUNTIF(defects!$AB:$AB,Weekly_Pmod!P$3&amp;Weekly_Pmod!$B20&amp;Weekly_Pmod!$B$3&amp;$B$2&amp;Weekly_Pmod!$B$1)</f>
        <v>0</v>
      </c>
      <c r="Q20" s="2">
        <f>COUNTIF(defects!$AB:$AB,Weekly_Pmod!Q$3&amp;Weekly_Pmod!$B20&amp;Weekly_Pmod!$B$3&amp;$B$2&amp;Weekly_Pmod!$B$1)</f>
        <v>0</v>
      </c>
      <c r="R20" s="2">
        <f>COUNTIF(defects!$AB:$AB,Weekly_Pmod!R$3&amp;Weekly_Pmod!$B20&amp;Weekly_Pmod!$B$3&amp;$B$2&amp;Weekly_Pmod!$B$1)</f>
        <v>0</v>
      </c>
      <c r="S20" s="2">
        <f>COUNTIF(defects!$AB:$AB,Weekly_Pmod!S$3&amp;Weekly_Pmod!$B20&amp;Weekly_Pmod!$B$3&amp;$B$2&amp;Weekly_Pmod!$B$1)</f>
        <v>0</v>
      </c>
      <c r="T20" s="2">
        <f>COUNTIF(defects!$AB:$AB,Weekly_Pmod!T$3&amp;Weekly_Pmod!$B20&amp;Weekly_Pmod!$B$3&amp;$B$2&amp;Weekly_Pmod!$B$1)</f>
        <v>0</v>
      </c>
      <c r="U20" s="2">
        <f>COUNTIF(defects!$AB:$AB,Weekly_Pmod!U$3&amp;Weekly_Pmod!$B20&amp;Weekly_Pmod!$B$3&amp;$B$2&amp;Weekly_Pmod!$B$1)</f>
        <v>0</v>
      </c>
      <c r="V20" s="2">
        <f>COUNTIF(defects!$AB:$AB,Weekly_Pmod!V$3&amp;Weekly_Pmod!$B20&amp;Weekly_Pmod!$B$3&amp;$B$2&amp;Weekly_Pmod!$B$1)</f>
        <v>0</v>
      </c>
      <c r="W20" s="2">
        <f>COUNTIF(defects!$AB:$AB,Weekly_Pmod!W$3&amp;Weekly_Pmod!$B20&amp;Weekly_Pmod!$B$3&amp;$B$2&amp;Weekly_Pmod!$B$1)</f>
        <v>0</v>
      </c>
      <c r="X20" s="2">
        <f>COUNTIF(defects!$AB:$AB,Weekly_Pmod!X$3&amp;Weekly_Pmod!$B20&amp;Weekly_Pmod!$B$3&amp;$B$2&amp;Weekly_Pmod!$B$1)</f>
        <v>0</v>
      </c>
      <c r="Y20" s="2">
        <f>COUNTIF(defects!$AB:$AB,Weekly_Pmod!Y$3&amp;Weekly_Pmod!$B20&amp;Weekly_Pmod!$B$3&amp;$B$2&amp;Weekly_Pmod!$B$1)</f>
        <v>0</v>
      </c>
      <c r="Z20" s="2">
        <f>COUNTIF(defects!$AB:$AB,Weekly_Pmod!Z$3&amp;Weekly_Pmod!$B20&amp;Weekly_Pmod!$B$3&amp;$B$2&amp;Weekly_Pmod!$B$1)</f>
        <v>0</v>
      </c>
      <c r="AA20" s="2">
        <f>COUNTIF(defects!$AB:$AB,Weekly_Pmod!AA$3&amp;Weekly_Pmod!$B20&amp;Weekly_Pmod!$B$3&amp;$B$2&amp;Weekly_Pmod!$B$1)</f>
        <v>0</v>
      </c>
      <c r="AB20" s="2">
        <f>COUNTIF(defects!$AB:$AB,Weekly_Pmod!AB$3&amp;Weekly_Pmod!$B20&amp;Weekly_Pmod!$B$3&amp;$B$2&amp;Weekly_Pmod!$B$1)</f>
        <v>0</v>
      </c>
      <c r="AC20" s="2">
        <f>COUNTIF(defects!$AB:$AB,Weekly_Pmod!AC$3&amp;Weekly_Pmod!$B20&amp;Weekly_Pmod!$B$3&amp;$B$2&amp;Weekly_Pmod!$B$1)</f>
        <v>0</v>
      </c>
      <c r="AD20" s="2">
        <f>COUNTIF(defects!$AB:$AB,Weekly_Pmod!AD$3&amp;Weekly_Pmod!$B20&amp;Weekly_Pmod!$B$3&amp;$B$2&amp;Weekly_Pmod!$B$1)</f>
        <v>0</v>
      </c>
      <c r="AE20" s="2">
        <f>COUNTIF(defects!$AB:$AB,Weekly_Pmod!AE$3&amp;Weekly_Pmod!$B20&amp;Weekly_Pmod!$B$3&amp;$B$2&amp;Weekly_Pmod!$B$1)</f>
        <v>0</v>
      </c>
      <c r="AF20" s="2">
        <f>COUNTIF(defects!$AB:$AB,Weekly_Pmod!AF$3&amp;Weekly_Pmod!$B20&amp;Weekly_Pmod!$B$3&amp;$B$2&amp;Weekly_Pmod!$B$1)</f>
        <v>0</v>
      </c>
      <c r="AG20" s="2">
        <f>COUNTIF(defects!$AB:$AB,Weekly_Pmod!AG$3&amp;Weekly_Pmod!$B20&amp;Weekly_Pmod!$B$3&amp;$B$2&amp;Weekly_Pmod!$B$1)</f>
        <v>0</v>
      </c>
      <c r="AH20" s="2">
        <f>COUNTIF(defects!$AB:$AB,Weekly_Pmod!AH$3&amp;Weekly_Pmod!$B20&amp;Weekly_Pmod!$B$3&amp;$B$2&amp;Weekly_Pmod!$B$1)</f>
        <v>0</v>
      </c>
      <c r="AI20" s="2">
        <f>COUNTIF(defects!$AB:$AB,Weekly_Pmod!AI$3&amp;Weekly_Pmod!$B20&amp;Weekly_Pmod!$B$3&amp;$B$2&amp;Weekly_Pmod!$B$1)</f>
        <v>0</v>
      </c>
      <c r="AJ20" s="2">
        <f>COUNTIF(defects!$AB:$AB,Weekly_Pmod!AJ$3&amp;Weekly_Pmod!$B20&amp;Weekly_Pmod!$B$3&amp;$B$2&amp;Weekly_Pmod!$B$1)</f>
        <v>0</v>
      </c>
      <c r="AK20" s="2">
        <f>COUNTIF(defects!$AB:$AB,Weekly_Pmod!AK$3&amp;Weekly_Pmod!$B20&amp;Weekly_Pmod!$B$3&amp;$B$2&amp;Weekly_Pmod!$B$1)</f>
        <v>0</v>
      </c>
      <c r="AL20" s="2">
        <f>COUNTIF(defects!$AB:$AB,Weekly_Pmod!AL$3&amp;Weekly_Pmod!$B20&amp;Weekly_Pmod!$B$3&amp;$B$2&amp;Weekly_Pmod!$B$1)</f>
        <v>0</v>
      </c>
      <c r="AM20" s="2">
        <f>COUNTIF(defects!$AB:$AB,Weekly_Pmod!AM$3&amp;Weekly_Pmod!$B20&amp;Weekly_Pmod!$B$3&amp;$B$2&amp;Weekly_Pmod!$B$1)</f>
        <v>0</v>
      </c>
      <c r="AN20" s="2">
        <f>COUNTIF(defects!$AB:$AB,Weekly_Pmod!AN$3&amp;Weekly_Pmod!$B20&amp;Weekly_Pmod!$B$3&amp;$B$2&amp;Weekly_Pmod!$B$1)</f>
        <v>0</v>
      </c>
      <c r="AO20" s="2">
        <f>COUNTIF(defects!$AB:$AB,Weekly_Pmod!AO$3&amp;Weekly_Pmod!$B20&amp;Weekly_Pmod!$B$3&amp;$B$2&amp;Weekly_Pmod!$B$1)</f>
        <v>0</v>
      </c>
      <c r="AP20" s="2">
        <f>COUNTIF(defects!$AB:$AB,Weekly_Pmod!AP$3&amp;Weekly_Pmod!$B20&amp;Weekly_Pmod!$B$3&amp;$B$2&amp;Weekly_Pmod!$B$1)</f>
        <v>0</v>
      </c>
      <c r="AQ20" s="2">
        <f>COUNTIF(defects!$AB:$AB,Weekly_Pmod!AQ$3&amp;Weekly_Pmod!$B20&amp;Weekly_Pmod!$B$3&amp;$B$2&amp;Weekly_Pmod!$B$1)</f>
        <v>0</v>
      </c>
      <c r="AR20" s="2">
        <f>COUNTIF(defects!$AB:$AB,Weekly_Pmod!AR$3&amp;Weekly_Pmod!$B20&amp;Weekly_Pmod!$B$3&amp;$B$2&amp;Weekly_Pmod!$B$1)</f>
        <v>0</v>
      </c>
      <c r="AS20" s="2">
        <f>COUNTIF(defects!$AB:$AB,Weekly_Pmod!AS$3&amp;Weekly_Pmod!$B20&amp;Weekly_Pmod!$B$3&amp;$B$2&amp;Weekly_Pmod!$B$1)</f>
        <v>0</v>
      </c>
      <c r="AT20" s="2">
        <f>COUNTIF(defects!$AB:$AB,Weekly_Pmod!AT$3&amp;Weekly_Pmod!$B20&amp;Weekly_Pmod!$B$3&amp;$B$2&amp;Weekly_Pmod!$B$1)</f>
        <v>0</v>
      </c>
      <c r="AU20" s="2">
        <f>COUNTIF(defects!$AB:$AB,Weekly_Pmod!AU$3&amp;Weekly_Pmod!$B20&amp;Weekly_Pmod!$B$3&amp;$B$2&amp;Weekly_Pmod!$B$1)</f>
        <v>0</v>
      </c>
      <c r="AV20" s="2">
        <f>COUNTIF(defects!$AB:$AB,Weekly_Pmod!AV$3&amp;Weekly_Pmod!$B20&amp;Weekly_Pmod!$B$3&amp;$B$2&amp;Weekly_Pmod!$B$1)</f>
        <v>0</v>
      </c>
      <c r="AW20" s="2">
        <f>COUNTIF(defects!$AB:$AB,Weekly_Pmod!AW$3&amp;Weekly_Pmod!$B20&amp;Weekly_Pmod!$B$3&amp;$B$2&amp;Weekly_Pmod!$B$1)</f>
        <v>0</v>
      </c>
      <c r="AX20" s="2">
        <f>COUNTIF(defects!$AB:$AB,Weekly_Pmod!AX$3&amp;Weekly_Pmod!$B20&amp;Weekly_Pmod!$B$3&amp;$B$2&amp;Weekly_Pmod!$B$1)</f>
        <v>0</v>
      </c>
      <c r="AY20" s="2">
        <f>COUNTIF(defects!$AB:$AB,Weekly_Pmod!AY$3&amp;Weekly_Pmod!$B20&amp;Weekly_Pmod!$B$3&amp;$B$2&amp;Weekly_Pmod!$B$1)</f>
        <v>0</v>
      </c>
      <c r="AZ20" s="2">
        <f>COUNTIF(defects!$AB:$AB,Weekly_Pmod!AZ$3&amp;Weekly_Pmod!$B20&amp;Weekly_Pmod!$B$3&amp;$B$2&amp;Weekly_Pmod!$B$1)</f>
        <v>0</v>
      </c>
      <c r="BA20" s="2">
        <f>COUNTIF(defects!$AB:$AB,Weekly_Pmod!BA$3&amp;Weekly_Pmod!$B20&amp;Weekly_Pmod!$B$3&amp;$B$2&amp;Weekly_Pmod!$B$1)</f>
        <v>0</v>
      </c>
      <c r="BB20" s="2">
        <f>COUNTIF(defects!$AB:$AB,Weekly_Pmod!BB$3&amp;Weekly_Pmod!$B20&amp;Weekly_Pmod!$B$3&amp;$B$2&amp;Weekly_Pmod!$B$1)</f>
        <v>0</v>
      </c>
      <c r="BC20" s="2">
        <f>COUNTIF(defects!$AB:$AB,Weekly_Pmod!BC$3&amp;Weekly_Pmod!$B20&amp;Weekly_Pmod!$B$3&amp;$B$2&amp;Weekly_Pmod!$B$1)</f>
        <v>0</v>
      </c>
      <c r="BD20" s="2">
        <f>COUNTIF(defects!$AB:$AB,Weekly_Pmod!BD$3&amp;Weekly_Pmod!$B20&amp;Weekly_Pmod!$B$3&amp;$B$2&amp;Weekly_Pmod!$B$1)</f>
        <v>0</v>
      </c>
      <c r="BE20" s="2">
        <f>COUNTIF(defects!$AB:$AB,Weekly_Pmod!BE$3&amp;Weekly_Pmod!$B20&amp;Weekly_Pmod!$B$3&amp;$B$2&amp;Weekly_Pmod!$B$1)</f>
        <v>0</v>
      </c>
      <c r="BF20" s="2">
        <f>COUNTIF(defects!$AB:$AB,Weekly_Pmod!BF$3&amp;Weekly_Pmod!$B20&amp;Weekly_Pmod!$B$3&amp;$B$2&amp;Weekly_Pmod!$B$1)</f>
        <v>0</v>
      </c>
      <c r="BG20" s="2">
        <f>COUNTIF(defects!$AB:$AB,Weekly_Pmod!BG$3&amp;Weekly_Pmod!$B20&amp;Weekly_Pmod!$B$3&amp;$B$2&amp;Weekly_Pmod!$B$1)</f>
        <v>0</v>
      </c>
      <c r="BH20" s="2">
        <f>COUNTIF(defects!$AB:$AB,Weekly_Pmod!BH$3&amp;Weekly_Pmod!$B20&amp;Weekly_Pmod!$B$3&amp;$B$2&amp;Weekly_Pmod!$B$1)</f>
        <v>0</v>
      </c>
      <c r="BI20" s="2">
        <f>COUNTIF(defects!$AB:$AB,Weekly_Pmod!BI$3&amp;Weekly_Pmod!$B20&amp;Weekly_Pmod!$B$3&amp;$B$2&amp;Weekly_Pmod!$B$1)</f>
        <v>0</v>
      </c>
      <c r="BJ20" s="2">
        <f>COUNTIF(defects!$AB:$AB,Weekly_Pmod!BJ$3&amp;Weekly_Pmod!$B20&amp;Weekly_Pmod!$B$3&amp;$B$2&amp;Weekly_Pmod!$B$1)</f>
        <v>0</v>
      </c>
      <c r="BK20" s="2">
        <f>COUNTIF(defects!$AB:$AB,Weekly_Pmod!BK$3&amp;Weekly_Pmod!$B20&amp;Weekly_Pmod!$B$3&amp;$B$2&amp;Weekly_Pmod!$B$1)</f>
        <v>0</v>
      </c>
      <c r="BL20" s="2">
        <f>COUNTIF(defects!$AB:$AB,Weekly_Pmod!BL$3&amp;Weekly_Pmod!$B20&amp;Weekly_Pmod!$B$3&amp;$B$2&amp;Weekly_Pmod!$B$1)</f>
        <v>0</v>
      </c>
      <c r="BM20" s="2">
        <f>COUNTIF(defects!$AB:$AB,Weekly_Pmod!BM$3&amp;Weekly_Pmod!$B20&amp;Weekly_Pmod!$B$3&amp;$B$2&amp;Weekly_Pmod!$B$1)</f>
        <v>0</v>
      </c>
      <c r="BN20" s="2">
        <f>COUNTIF(defects!$AB:$AB,Weekly_Pmod!BN$3&amp;Weekly_Pmod!$B20&amp;Weekly_Pmod!$B$3&amp;$B$2&amp;Weekly_Pmod!$B$1)</f>
        <v>0</v>
      </c>
      <c r="BO20" s="2">
        <f>COUNTIF(defects!$AB:$AB,Weekly_Pmod!BO$3&amp;Weekly_Pmod!$B20&amp;Weekly_Pmod!$B$3&amp;$B$2&amp;Weekly_Pmod!$B$1)</f>
        <v>0</v>
      </c>
      <c r="BP20" s="2">
        <f>COUNTIF(defects!$AB:$AB,Weekly_Pmod!BP$3&amp;Weekly_Pmod!$B20&amp;Weekly_Pmod!$B$3&amp;$B$2&amp;Weekly_Pmod!$B$1)</f>
        <v>0</v>
      </c>
      <c r="BQ20" s="2">
        <f>COUNTIF(defects!$AB:$AB,Weekly_Pmod!BQ$3&amp;Weekly_Pmod!$B20&amp;Weekly_Pmod!$B$3&amp;$B$2&amp;Weekly_Pmod!$B$1)</f>
        <v>0</v>
      </c>
      <c r="BR20" s="2">
        <f>COUNTIF(defects!$AB:$AB,Weekly_Pmod!BR$3&amp;Weekly_Pmod!$B20&amp;Weekly_Pmod!$B$3&amp;$B$2&amp;Weekly_Pmod!$B$1)</f>
        <v>0</v>
      </c>
      <c r="BS20" s="2">
        <f>COUNTIF(defects!$AB:$AB,Weekly_Pmod!BS$3&amp;Weekly_Pmod!$B20&amp;Weekly_Pmod!$B$3&amp;$B$2&amp;Weekly_Pmod!$B$1)</f>
        <v>0</v>
      </c>
      <c r="BT20" s="2">
        <f>COUNTIF(defects!$AB:$AB,Weekly_Pmod!BT$3&amp;Weekly_Pmod!$B20&amp;Weekly_Pmod!$B$3&amp;$B$2&amp;Weekly_Pmod!$B$1)</f>
        <v>0</v>
      </c>
      <c r="BU20" s="2">
        <f>COUNTIF(defects!$AB:$AB,Weekly_Pmod!BU$3&amp;Weekly_Pmod!$B20&amp;Weekly_Pmod!$B$3&amp;$B$2&amp;Weekly_Pmod!$B$1)</f>
        <v>0</v>
      </c>
      <c r="BV20" s="2">
        <f>COUNTIF(defects!$AB:$AB,Weekly_Pmod!BV$3&amp;Weekly_Pmod!$B20&amp;Weekly_Pmod!$B$3&amp;$B$2&amp;Weekly_Pmod!$B$1)</f>
        <v>0</v>
      </c>
      <c r="BW20" s="2">
        <f>COUNTIF(defects!$AB:$AB,Weekly_Pmod!BW$3&amp;Weekly_Pmod!$B20&amp;Weekly_Pmod!$B$3&amp;$B$2&amp;Weekly_Pmod!$B$1)</f>
        <v>0</v>
      </c>
      <c r="BX20" s="2">
        <f>COUNTIF(defects!$AB:$AB,Weekly_Pmod!BX$3&amp;Weekly_Pmod!$B20&amp;Weekly_Pmod!$B$3&amp;$B$2&amp;Weekly_Pmod!$B$1)</f>
        <v>0</v>
      </c>
      <c r="BY20" s="2">
        <f>COUNTIF(defects!$AB:$AB,Weekly_Pmod!BY$3&amp;Weekly_Pmod!$B20&amp;Weekly_Pmod!$B$3&amp;$B$2&amp;Weekly_Pmod!$B$1)</f>
        <v>0</v>
      </c>
      <c r="BZ20" s="2">
        <f>COUNTIF(defects!$AB:$AB,Weekly_Pmod!BZ$3&amp;Weekly_Pmod!$B20&amp;Weekly_Pmod!$B$3&amp;$B$2&amp;Weekly_Pmod!$B$1)</f>
        <v>0</v>
      </c>
      <c r="CA20" s="2">
        <f>COUNTIF(defects!$AB:$AB,Weekly_Pmod!CA$3&amp;Weekly_Pmod!$B20&amp;Weekly_Pmod!$B$3&amp;$B$2&amp;Weekly_Pmod!$B$1)</f>
        <v>0</v>
      </c>
      <c r="CB20" s="2">
        <f>COUNTIF(defects!$AB:$AB,Weekly_Pmod!CB$3&amp;Weekly_Pmod!$B20&amp;Weekly_Pmod!$B$3&amp;$B$2&amp;Weekly_Pmod!$B$1)</f>
        <v>0</v>
      </c>
      <c r="CC20" s="2">
        <f>COUNTIF(defects!$AB:$AB,Weekly_Pmod!CC$3&amp;Weekly_Pmod!$B20&amp;Weekly_Pmod!$B$3&amp;$B$2&amp;Weekly_Pmod!$B$1)</f>
        <v>0</v>
      </c>
      <c r="CD20" s="2">
        <f>COUNTIF(defects!$AB:$AB,Weekly_Pmod!CD$3&amp;Weekly_Pmod!$B20&amp;Weekly_Pmod!$B$3&amp;$B$2&amp;Weekly_Pmod!$B$1)</f>
        <v>0</v>
      </c>
      <c r="CE20" s="2">
        <f>COUNTIF(defects!$AB:$AB,Weekly_Pmod!CE$3&amp;Weekly_Pmod!$B20&amp;Weekly_Pmod!$B$3&amp;$B$2&amp;Weekly_Pmod!$B$1)</f>
        <v>0</v>
      </c>
      <c r="CF20" s="2">
        <f>COUNTIF(defects!$AB:$AB,Weekly_Pmod!CF$3&amp;Weekly_Pmod!$B20&amp;Weekly_Pmod!$B$3&amp;$B$2&amp;Weekly_Pmod!$B$1)</f>
        <v>0</v>
      </c>
      <c r="CG20" s="2">
        <f>COUNTIF(defects!$AB:$AB,Weekly_Pmod!CG$3&amp;Weekly_Pmod!$B20&amp;Weekly_Pmod!$B$3&amp;$B$2&amp;Weekly_Pmod!$B$1)</f>
        <v>0</v>
      </c>
      <c r="CH20" s="2">
        <f>COUNTIF(defects!$AB:$AB,Weekly_Pmod!CH$3&amp;Weekly_Pmod!$B20&amp;Weekly_Pmod!$B$3&amp;$B$2&amp;Weekly_Pmod!$B$1)</f>
        <v>0</v>
      </c>
      <c r="CI20" s="2">
        <f>COUNTIF(defects!$AB:$AB,Weekly_Pmod!CI$3&amp;Weekly_Pmod!$B20&amp;Weekly_Pmod!$B$3&amp;$B$2&amp;Weekly_Pmod!$B$1)</f>
        <v>0</v>
      </c>
      <c r="CJ20" s="2">
        <f>COUNTIF(defects!$AB:$AB,Weekly_Pmod!CJ$3&amp;Weekly_Pmod!$B20&amp;Weekly_Pmod!$B$3&amp;$B$2&amp;Weekly_Pmod!$B$1)</f>
        <v>0</v>
      </c>
      <c r="CK20" s="2">
        <f>COUNTIF(defects!$AB:$AB,Weekly_Pmod!CK$3&amp;Weekly_Pmod!$B20&amp;Weekly_Pmod!$B$3&amp;$B$2&amp;Weekly_Pmod!$B$1)</f>
        <v>0</v>
      </c>
      <c r="CL20" s="2">
        <f>COUNTIF(defects!$AB:$AB,Weekly_Pmod!CL$3&amp;Weekly_Pmod!$B20&amp;Weekly_Pmod!$B$3&amp;$B$2&amp;Weekly_Pmod!$B$1)</f>
        <v>0</v>
      </c>
      <c r="CM20" s="2">
        <f>COUNTIF(defects!$AB:$AB,Weekly_Pmod!CM$3&amp;Weekly_Pmod!$B20&amp;Weekly_Pmod!$B$3&amp;$B$2&amp;Weekly_Pmod!$B$1)</f>
        <v>0</v>
      </c>
      <c r="CN20" s="2">
        <f>COUNTIF(defects!$AB:$AB,Weekly_Pmod!CN$3&amp;Weekly_Pmod!$B20&amp;Weekly_Pmod!$B$3&amp;$B$2&amp;Weekly_Pmod!$B$1)</f>
        <v>0</v>
      </c>
      <c r="CO20" s="2">
        <f>COUNTIF(defects!$AB:$AB,Weekly_Pmod!CO$3&amp;Weekly_Pmod!$B20&amp;Weekly_Pmod!$B$3&amp;$B$2&amp;Weekly_Pmod!$B$1)</f>
        <v>0</v>
      </c>
      <c r="CP20" s="2">
        <f>COUNTIF(defects!$AB:$AB,Weekly_Pmod!CP$3&amp;Weekly_Pmod!$B20&amp;Weekly_Pmod!$B$3&amp;$B$2&amp;Weekly_Pmod!$B$1)</f>
        <v>0</v>
      </c>
      <c r="CQ20" s="2">
        <f>COUNTIF(defects!$AB:$AB,Weekly_Pmod!CQ$3&amp;Weekly_Pmod!$B20&amp;Weekly_Pmod!$B$3&amp;$B$2&amp;Weekly_Pmod!$B$1)</f>
        <v>0</v>
      </c>
      <c r="CR20" s="2">
        <f>COUNTIF(defects!$AB:$AB,Weekly_Pmod!CR$3&amp;Weekly_Pmod!$B20&amp;Weekly_Pmod!$B$3&amp;$B$2&amp;Weekly_Pmod!$B$1)</f>
        <v>0</v>
      </c>
      <c r="CS20" s="2">
        <f>COUNTIF(defects!$AB:$AB,Weekly_Pmod!CS$3&amp;Weekly_Pmod!$B20&amp;Weekly_Pmod!$B$3&amp;$B$2&amp;Weekly_Pmod!$B$1)</f>
        <v>0</v>
      </c>
      <c r="CT20" s="2">
        <f>COUNTIF(defects!$AB:$AB,Weekly_Pmod!CT$3&amp;Weekly_Pmod!$B20&amp;Weekly_Pmod!$B$3&amp;$B$2&amp;Weekly_Pmod!$B$1)</f>
        <v>0</v>
      </c>
      <c r="CU20" s="2">
        <f>COUNTIF(defects!$AB:$AB,Weekly_Pmod!CU$3&amp;Weekly_Pmod!$B20&amp;Weekly_Pmod!$B$3&amp;$B$2&amp;Weekly_Pmod!$B$1)</f>
        <v>0</v>
      </c>
      <c r="CV20" s="2">
        <f>COUNTIF(defects!$AB:$AB,Weekly_Pmod!CV$3&amp;Weekly_Pmod!$B20&amp;Weekly_Pmod!$B$3&amp;$B$2&amp;Weekly_Pmod!$B$1)</f>
        <v>0</v>
      </c>
      <c r="CW20" s="2">
        <f>COUNTIF(defects!$AB:$AB,Weekly_Pmod!CW$3&amp;Weekly_Pmod!$B20&amp;Weekly_Pmod!$B$3&amp;$B$2&amp;Weekly_Pmod!$B$1)</f>
        <v>0</v>
      </c>
      <c r="CX20" s="2">
        <f>COUNTIF(defects!$AB:$AB,Weekly_Pmod!CX$3&amp;Weekly_Pmod!$B20&amp;Weekly_Pmod!$B$3&amp;$B$2&amp;Weekly_Pmod!$B$1)</f>
        <v>0</v>
      </c>
      <c r="CY20" s="2">
        <f>COUNTIF(defects!$AB:$AB,Weekly_Pmod!CY$3&amp;Weekly_Pmod!$B20&amp;Weekly_Pmod!$B$3&amp;$B$2&amp;Weekly_Pmod!$B$1)</f>
        <v>0</v>
      </c>
      <c r="CZ20" s="2">
        <f>COUNTIF(defects!$AB:$AB,Weekly_Pmod!CZ$3&amp;Weekly_Pmod!$B20&amp;Weekly_Pmod!$B$3&amp;$B$2&amp;Weekly_Pmod!$B$1)</f>
        <v>0</v>
      </c>
      <c r="DA20" s="2">
        <f>COUNTIF(defects!$AB:$AB,Weekly_Pmod!DA$3&amp;Weekly_Pmod!$B20&amp;Weekly_Pmod!$B$3&amp;$B$2&amp;Weekly_Pmod!$B$1)</f>
        <v>0</v>
      </c>
      <c r="DB20" s="2">
        <f>COUNTIF(defects!$AB:$AB,Weekly_Pmod!DB$3&amp;Weekly_Pmod!$B20&amp;Weekly_Pmod!$B$3&amp;$B$2&amp;Weekly_Pmod!$B$1)</f>
        <v>0</v>
      </c>
      <c r="DC20" s="2">
        <f>COUNTIF(defects!$AB:$AB,Weekly_Pmod!DC$3&amp;Weekly_Pmod!$B20&amp;Weekly_Pmod!$B$3&amp;$B$2&amp;Weekly_Pmod!$B$1)</f>
        <v>0</v>
      </c>
      <c r="DD20" s="2">
        <f>COUNTIF(defects!$AB:$AB,Weekly_Pmod!DD$3&amp;Weekly_Pmod!$B20&amp;Weekly_Pmod!$B$3&amp;$B$2&amp;Weekly_Pmod!$B$1)</f>
        <v>0</v>
      </c>
      <c r="DE20" s="2">
        <f>COUNTIF(defects!$AB:$AB,Weekly_Pmod!DE$3&amp;Weekly_Pmod!$B20&amp;Weekly_Pmod!$B$3&amp;$B$2&amp;Weekly_Pmod!$B$1)</f>
        <v>0</v>
      </c>
      <c r="DF20" s="2">
        <f>COUNTIF(defects!$AB:$AB,Weekly_Pmod!DF$3&amp;Weekly_Pmod!$B20&amp;Weekly_Pmod!$B$3&amp;$B$2&amp;Weekly_Pmod!$B$1)</f>
        <v>0</v>
      </c>
      <c r="DG20" s="2">
        <f>COUNTIF(defects!$AB:$AB,Weekly_Pmod!DG$3&amp;Weekly_Pmod!$B20&amp;Weekly_Pmod!$B$3&amp;$B$2&amp;Weekly_Pmod!$B$1)</f>
        <v>0</v>
      </c>
      <c r="DH20" s="2">
        <f>COUNTIF(defects!$AB:$AB,Weekly_Pmod!DH$3&amp;Weekly_Pmod!$B20&amp;Weekly_Pmod!$B$3&amp;$B$2&amp;Weekly_Pmod!$B$1)</f>
        <v>0</v>
      </c>
      <c r="DI20" s="2">
        <f>COUNTIF(defects!$AB:$AB,Weekly_Pmod!DI$3&amp;Weekly_Pmod!$B20&amp;Weekly_Pmod!$B$3&amp;$B$2&amp;Weekly_Pmod!$B$1)</f>
        <v>0</v>
      </c>
      <c r="DJ20" s="2">
        <f>COUNTIF(defects!$AB:$AB,Weekly_Pmod!DJ$3&amp;Weekly_Pmod!$B20&amp;Weekly_Pmod!$B$3&amp;$B$2&amp;Weekly_Pmod!$B$1)</f>
        <v>0</v>
      </c>
      <c r="DK20" s="2">
        <f>COUNTIF(defects!$AB:$AB,Weekly_Pmod!DK$3&amp;Weekly_Pmod!$B20&amp;Weekly_Pmod!$B$3&amp;$B$2&amp;Weekly_Pmod!$B$1)</f>
        <v>0</v>
      </c>
      <c r="DL20" s="2">
        <f>COUNTIF(defects!$AB:$AB,Weekly_Pmod!DL$3&amp;Weekly_Pmod!$B20&amp;Weekly_Pmod!$B$3&amp;$B$2&amp;Weekly_Pmod!$B$1)</f>
        <v>0</v>
      </c>
      <c r="DM20" s="2">
        <f>COUNTIF(defects!$AB:$AB,Weekly_Pmod!DM$3&amp;Weekly_Pmod!$B20&amp;Weekly_Pmod!$B$3&amp;$B$2&amp;Weekly_Pmod!$B$1)</f>
        <v>0</v>
      </c>
      <c r="DN20" s="2">
        <f>COUNTIF(defects!$AB:$AB,Weekly_Pmod!DN$3&amp;Weekly_Pmod!$B20&amp;Weekly_Pmod!$B$3&amp;$B$2&amp;Weekly_Pmod!$B$1)</f>
        <v>0</v>
      </c>
      <c r="DO20" s="2">
        <f>COUNTIF(defects!$AB:$AB,Weekly_Pmod!DO$3&amp;Weekly_Pmod!$B20&amp;Weekly_Pmod!$B$3&amp;$B$2&amp;Weekly_Pmod!$B$1)</f>
        <v>0</v>
      </c>
      <c r="DP20" s="2">
        <f>COUNTIF(defects!$AB:$AB,Weekly_Pmod!DP$3&amp;Weekly_Pmod!$B20&amp;Weekly_Pmod!$B$3&amp;$B$2&amp;Weekly_Pmod!$B$1)</f>
        <v>0</v>
      </c>
      <c r="DQ20" s="2">
        <f>COUNTIF(defects!$AB:$AB,Weekly_Pmod!DQ$3&amp;Weekly_Pmod!$B20&amp;Weekly_Pmod!$B$3&amp;$B$2&amp;Weekly_Pmod!$B$1)</f>
        <v>0</v>
      </c>
      <c r="DR20" s="2">
        <f>COUNTIF(defects!$AB:$AB,Weekly_Pmod!DR$3&amp;Weekly_Pmod!$B20&amp;Weekly_Pmod!$B$3&amp;$B$2&amp;Weekly_Pmod!$B$1)</f>
        <v>0</v>
      </c>
      <c r="DS20" s="2">
        <f>COUNTIF(defects!$AB:$AB,Weekly_Pmod!DS$3&amp;Weekly_Pmod!$B20&amp;Weekly_Pmod!$B$3&amp;$B$2&amp;Weekly_Pmod!$B$1)</f>
        <v>0</v>
      </c>
      <c r="DT20" s="2">
        <f>COUNTIF(defects!$AB:$AB,Weekly_Pmod!DT$3&amp;Weekly_Pmod!$B20&amp;Weekly_Pmod!$B$3&amp;$B$2&amp;Weekly_Pmod!$B$1)</f>
        <v>0</v>
      </c>
      <c r="DU20" s="2">
        <f>COUNTIF(defects!$AB:$AB,Weekly_Pmod!DU$3&amp;Weekly_Pmod!$B20&amp;Weekly_Pmod!$B$3&amp;$B$2&amp;Weekly_Pmod!$B$1)</f>
        <v>0</v>
      </c>
      <c r="DV20" s="2">
        <f>COUNTIF(defects!$AB:$AB,Weekly_Pmod!DV$3&amp;Weekly_Pmod!$B20&amp;Weekly_Pmod!$B$3&amp;$B$2&amp;Weekly_Pmod!$B$1)</f>
        <v>0</v>
      </c>
      <c r="DW20" s="2">
        <f>COUNTIF(defects!$AB:$AB,Weekly_Pmod!DW$3&amp;Weekly_Pmod!$B20&amp;Weekly_Pmod!$B$3&amp;$B$2&amp;Weekly_Pmod!$B$1)</f>
        <v>0</v>
      </c>
      <c r="DX20" s="2">
        <f>COUNTIF(defects!$AB:$AB,Weekly_Pmod!DX$3&amp;Weekly_Pmod!$B20&amp;Weekly_Pmod!$B$3&amp;$B$2&amp;Weekly_Pmod!$B$1)</f>
        <v>0</v>
      </c>
      <c r="DY20" s="2">
        <f>COUNTIF(defects!$AB:$AB,Weekly_Pmod!DY$3&amp;Weekly_Pmod!$B20&amp;Weekly_Pmod!$B$3&amp;$B$2&amp;Weekly_Pmod!$B$1)</f>
        <v>0</v>
      </c>
      <c r="DZ20" s="2">
        <f>COUNTIF(defects!$AB:$AB,Weekly_Pmod!DZ$3&amp;Weekly_Pmod!$B20&amp;Weekly_Pmod!$B$3&amp;$B$2&amp;Weekly_Pmod!$B$1)</f>
        <v>0</v>
      </c>
      <c r="EA20" s="2">
        <f>COUNTIF(defects!$AB:$AB,Weekly_Pmod!EA$3&amp;Weekly_Pmod!$B20&amp;Weekly_Pmod!$B$3&amp;$B$2&amp;Weekly_Pmod!$B$1)</f>
        <v>0</v>
      </c>
      <c r="EB20" s="2">
        <f>COUNTIF(defects!$AB:$AB,Weekly_Pmod!EB$3&amp;Weekly_Pmod!$B20&amp;Weekly_Pmod!$B$3&amp;$B$2&amp;Weekly_Pmod!$B$1)</f>
        <v>0</v>
      </c>
      <c r="EC20" s="2">
        <f>COUNTIF(defects!$AB:$AB,Weekly_Pmod!EC$3&amp;Weekly_Pmod!$B20&amp;Weekly_Pmod!$B$3&amp;$B$2&amp;Weekly_Pmod!$B$1)</f>
        <v>0</v>
      </c>
      <c r="ED20" s="2">
        <f>COUNTIF(defects!$AB:$AB,Weekly_Pmod!ED$3&amp;Weekly_Pmod!$B20&amp;Weekly_Pmod!$B$3&amp;$B$2&amp;Weekly_Pmod!$B$1)</f>
        <v>0</v>
      </c>
      <c r="EE20" s="2">
        <f>COUNTIF(defects!$AB:$AB,Weekly_Pmod!EE$3&amp;Weekly_Pmod!$B20&amp;Weekly_Pmod!$B$3&amp;$B$2&amp;Weekly_Pmod!$B$1)</f>
        <v>0</v>
      </c>
      <c r="EF20" s="2">
        <f>COUNTIF(defects!$AB:$AB,Weekly_Pmod!EF$3&amp;Weekly_Pmod!$B20&amp;Weekly_Pmod!$B$3&amp;$B$2&amp;Weekly_Pmod!$B$1)</f>
        <v>0</v>
      </c>
      <c r="EG20" s="2">
        <f>COUNTIF(defects!$AB:$AB,Weekly_Pmod!EG$3&amp;Weekly_Pmod!$B20&amp;Weekly_Pmod!$B$3&amp;$B$2&amp;Weekly_Pmod!$B$1)</f>
        <v>0</v>
      </c>
      <c r="EH20" s="2">
        <f>COUNTIF(defects!$AB:$AB,Weekly_Pmod!EH$3&amp;Weekly_Pmod!$B20&amp;Weekly_Pmod!$B$3&amp;$B$2&amp;Weekly_Pmod!$B$1)</f>
        <v>0</v>
      </c>
      <c r="EI20" s="2">
        <f>COUNTIF(defects!$AB:$AB,Weekly_Pmod!EI$3&amp;Weekly_Pmod!$B20&amp;Weekly_Pmod!$B$3&amp;$B$2&amp;Weekly_Pmod!$B$1)</f>
        <v>0</v>
      </c>
      <c r="EJ20" s="2">
        <f>COUNTIF(defects!$AB:$AB,Weekly_Pmod!EJ$3&amp;Weekly_Pmod!$B20&amp;Weekly_Pmod!$B$3&amp;$B$2&amp;Weekly_Pmod!$B$1)</f>
        <v>0</v>
      </c>
      <c r="EK20" s="2">
        <f>COUNTIF(defects!$AB:$AB,Weekly_Pmod!EK$3&amp;Weekly_Pmod!$B20&amp;Weekly_Pmod!$B$3&amp;$B$2&amp;Weekly_Pmod!$B$1)</f>
        <v>0</v>
      </c>
      <c r="EL20" s="2">
        <f>COUNTIF(defects!$AB:$AB,Weekly_Pmod!EL$3&amp;Weekly_Pmod!$B20&amp;Weekly_Pmod!$B$3&amp;$B$2&amp;Weekly_Pmod!$B$1)</f>
        <v>0</v>
      </c>
      <c r="EM20" s="2">
        <f>COUNTIF(defects!$AB:$AB,Weekly_Pmod!EM$3&amp;Weekly_Pmod!$B20&amp;Weekly_Pmod!$B$3&amp;$B$2&amp;Weekly_Pmod!$B$1)</f>
        <v>0</v>
      </c>
      <c r="EN20" s="2">
        <f>COUNTIF(defects!$AB:$AB,Weekly_Pmod!EN$3&amp;Weekly_Pmod!$B20&amp;Weekly_Pmod!$B$3&amp;$B$2&amp;Weekly_Pmod!$B$1)</f>
        <v>0</v>
      </c>
      <c r="EO20" s="2">
        <f>COUNTIF(defects!$AB:$AB,Weekly_Pmod!EO$3&amp;Weekly_Pmod!$B20&amp;Weekly_Pmod!$B$3&amp;$B$2&amp;Weekly_Pmod!$B$1)</f>
        <v>0</v>
      </c>
      <c r="EP20" s="2">
        <f>COUNTIF(defects!$AB:$AB,Weekly_Pmod!EP$3&amp;Weekly_Pmod!$B20&amp;Weekly_Pmod!$B$3&amp;$B$2&amp;Weekly_Pmod!$B$1)</f>
        <v>0</v>
      </c>
      <c r="EQ20" s="2">
        <f>COUNTIF(defects!$AB:$AB,Weekly_Pmod!EQ$3&amp;Weekly_Pmod!$B20&amp;Weekly_Pmod!$B$3&amp;$B$2&amp;Weekly_Pmod!$B$1)</f>
        <v>0</v>
      </c>
      <c r="ER20" s="2">
        <f>COUNTIF(defects!$AB:$AB,Weekly_Pmod!ER$3&amp;Weekly_Pmod!$B20&amp;Weekly_Pmod!$B$3&amp;$B$2&amp;Weekly_Pmod!$B$1)</f>
        <v>0</v>
      </c>
      <c r="ES20" s="2">
        <f>COUNTIF(defects!$AB:$AB,Weekly_Pmod!ES$3&amp;Weekly_Pmod!$B20&amp;Weekly_Pmod!$B$3&amp;$B$2&amp;Weekly_Pmod!$B$1)</f>
        <v>0</v>
      </c>
      <c r="ET20" s="2">
        <f>COUNTIF(defects!$AB:$AB,Weekly_Pmod!ET$3&amp;Weekly_Pmod!$B20&amp;Weekly_Pmod!$B$3&amp;$B$2&amp;Weekly_Pmod!$B$1)</f>
        <v>0</v>
      </c>
      <c r="EU20" s="2">
        <f>COUNTIF(defects!$AB:$AB,Weekly_Pmod!EU$3&amp;Weekly_Pmod!$B20&amp;Weekly_Pmod!$B$3&amp;$B$2&amp;Weekly_Pmod!$B$1)</f>
        <v>0</v>
      </c>
      <c r="EV20" s="2">
        <f>COUNTIF(defects!$AB:$AB,Weekly_Pmod!EV$3&amp;Weekly_Pmod!$B20&amp;Weekly_Pmod!$B$3&amp;$B$2&amp;Weekly_Pmod!$B$1)</f>
        <v>0</v>
      </c>
      <c r="EW20" s="2">
        <f>COUNTIF(defects!$AB:$AB,Weekly_Pmod!EW$3&amp;Weekly_Pmod!$B20&amp;Weekly_Pmod!$B$3&amp;$B$2&amp;Weekly_Pmod!$B$1)</f>
        <v>0</v>
      </c>
      <c r="EX20" s="2">
        <f>COUNTIF(defects!$AB:$AB,Weekly_Pmod!EX$3&amp;Weekly_Pmod!$B20&amp;Weekly_Pmod!$B$3&amp;$B$2&amp;Weekly_Pmod!$B$1)</f>
        <v>0</v>
      </c>
      <c r="EY20" s="2">
        <f>COUNTIF(defects!$AB:$AB,Weekly_Pmod!EY$3&amp;Weekly_Pmod!$B20&amp;Weekly_Pmod!$B$3&amp;$B$2&amp;Weekly_Pmod!$B$1)</f>
        <v>0</v>
      </c>
      <c r="EZ20" s="2">
        <f>COUNTIF(defects!$AB:$AB,Weekly_Pmod!EZ$3&amp;Weekly_Pmod!$B20&amp;Weekly_Pmod!$B$3&amp;$B$2&amp;Weekly_Pmod!$B$1)</f>
        <v>0</v>
      </c>
      <c r="FA20" s="2">
        <f>COUNTIF(defects!$AB:$AB,Weekly_Pmod!FA$3&amp;Weekly_Pmod!$B20&amp;Weekly_Pmod!$B$3&amp;$B$2&amp;Weekly_Pmod!$B$1)</f>
        <v>0</v>
      </c>
      <c r="FB20" s="2">
        <f>COUNTIF(defects!$AB:$AB,Weekly_Pmod!FB$3&amp;Weekly_Pmod!$B20&amp;Weekly_Pmod!$B$3&amp;$B$2&amp;Weekly_Pmod!$B$1)</f>
        <v>0</v>
      </c>
      <c r="FC20" s="2">
        <f>COUNTIF(defects!$AB:$AB,Weekly_Pmod!FC$3&amp;Weekly_Pmod!$B20&amp;Weekly_Pmod!$B$3&amp;$B$2&amp;Weekly_Pmod!$B$1)</f>
        <v>0</v>
      </c>
      <c r="FD20" s="2">
        <f>COUNTIF(defects!$AB:$AB,Weekly_Pmod!FD$3&amp;Weekly_Pmod!$B20&amp;Weekly_Pmod!$B$3&amp;$B$2&amp;Weekly_Pmod!$B$1)</f>
        <v>0</v>
      </c>
      <c r="FE20" s="2">
        <f>COUNTIF(defects!$AB:$AB,Weekly_Pmod!FE$3&amp;Weekly_Pmod!$B20&amp;Weekly_Pmod!$B$3&amp;$B$2&amp;Weekly_Pmod!$B$1)</f>
        <v>0</v>
      </c>
    </row>
    <row r="21" spans="2:161">
      <c r="B21" s="3" t="s">
        <v>948</v>
      </c>
      <c r="C21" s="2">
        <f>COUNTIF(defects!$AB:$AB,Weekly_Pmod!C$3&amp;Weekly_Pmod!$B21&amp;Weekly_Pmod!$B$3&amp;$B$2&amp;Weekly_Pmod!$B$1)</f>
        <v>0</v>
      </c>
      <c r="D21" s="2">
        <f>COUNTIF(defects!$AB:$AB,Weekly_Pmod!D$3&amp;Weekly_Pmod!$B21&amp;Weekly_Pmod!$B$3&amp;$B$2&amp;Weekly_Pmod!$B$1)</f>
        <v>0</v>
      </c>
      <c r="E21" s="2">
        <f>COUNTIF(defects!$AB:$AB,Weekly_Pmod!E$3&amp;Weekly_Pmod!$B21&amp;Weekly_Pmod!$B$3&amp;$B$2&amp;Weekly_Pmod!$B$1)</f>
        <v>0</v>
      </c>
      <c r="F21" s="2">
        <f>COUNTIF(defects!$AB:$AB,Weekly_Pmod!F$3&amp;Weekly_Pmod!$B21&amp;Weekly_Pmod!$B$3&amp;$B$2&amp;Weekly_Pmod!$B$1)</f>
        <v>0</v>
      </c>
      <c r="G21" s="2">
        <f>COUNTIF(defects!$AB:$AB,Weekly_Pmod!G$3&amp;Weekly_Pmod!$B21&amp;Weekly_Pmod!$B$3&amp;$B$2&amp;Weekly_Pmod!$B$1)</f>
        <v>0</v>
      </c>
      <c r="H21" s="2">
        <f>COUNTIF(defects!$AB:$AB,Weekly_Pmod!H$3&amp;Weekly_Pmod!$B21&amp;Weekly_Pmod!$B$3&amp;$B$2&amp;Weekly_Pmod!$B$1)</f>
        <v>0</v>
      </c>
      <c r="I21" s="2">
        <f>COUNTIF(defects!$AB:$AB,Weekly_Pmod!I$3&amp;Weekly_Pmod!$B21&amp;Weekly_Pmod!$B$3&amp;$B$2&amp;Weekly_Pmod!$B$1)</f>
        <v>0</v>
      </c>
      <c r="J21" s="2">
        <f>COUNTIF(defects!$AB:$AB,Weekly_Pmod!J$3&amp;Weekly_Pmod!$B21&amp;Weekly_Pmod!$B$3&amp;$B$2&amp;Weekly_Pmod!$B$1)</f>
        <v>0</v>
      </c>
      <c r="K21" s="2">
        <f>COUNTIF(defects!$AB:$AB,Weekly_Pmod!K$3&amp;Weekly_Pmod!$B21&amp;Weekly_Pmod!$B$3&amp;$B$2&amp;Weekly_Pmod!$B$1)</f>
        <v>0</v>
      </c>
      <c r="L21" s="2">
        <f>COUNTIF(defects!$AB:$AB,Weekly_Pmod!L$3&amp;Weekly_Pmod!$B21&amp;Weekly_Pmod!$B$3&amp;$B$2&amp;Weekly_Pmod!$B$1)</f>
        <v>0</v>
      </c>
      <c r="M21" s="2">
        <f>COUNTIF(defects!$AB:$AB,Weekly_Pmod!M$3&amp;Weekly_Pmod!$B21&amp;Weekly_Pmod!$B$3&amp;$B$2&amp;Weekly_Pmod!$B$1)</f>
        <v>0</v>
      </c>
      <c r="N21" s="2">
        <f>COUNTIF(defects!$AB:$AB,Weekly_Pmod!N$3&amp;Weekly_Pmod!$B21&amp;Weekly_Pmod!$B$3&amp;$B$2&amp;Weekly_Pmod!$B$1)</f>
        <v>0</v>
      </c>
      <c r="O21" s="2">
        <f>COUNTIF(defects!$AB:$AB,Weekly_Pmod!O$3&amp;Weekly_Pmod!$B21&amp;Weekly_Pmod!$B$3&amp;$B$2&amp;Weekly_Pmod!$B$1)</f>
        <v>0</v>
      </c>
      <c r="P21" s="2">
        <f>COUNTIF(defects!$AB:$AB,Weekly_Pmod!P$3&amp;Weekly_Pmod!$B21&amp;Weekly_Pmod!$B$3&amp;$B$2&amp;Weekly_Pmod!$B$1)</f>
        <v>0</v>
      </c>
      <c r="Q21" s="2">
        <f>COUNTIF(defects!$AB:$AB,Weekly_Pmod!Q$3&amp;Weekly_Pmod!$B21&amp;Weekly_Pmod!$B$3&amp;$B$2&amp;Weekly_Pmod!$B$1)</f>
        <v>0</v>
      </c>
      <c r="R21" s="2">
        <f>COUNTIF(defects!$AB:$AB,Weekly_Pmod!R$3&amp;Weekly_Pmod!$B21&amp;Weekly_Pmod!$B$3&amp;$B$2&amp;Weekly_Pmod!$B$1)</f>
        <v>0</v>
      </c>
      <c r="S21" s="2">
        <f>COUNTIF(defects!$AB:$AB,Weekly_Pmod!S$3&amp;Weekly_Pmod!$B21&amp;Weekly_Pmod!$B$3&amp;$B$2&amp;Weekly_Pmod!$B$1)</f>
        <v>0</v>
      </c>
      <c r="T21" s="2">
        <f>COUNTIF(defects!$AB:$AB,Weekly_Pmod!T$3&amp;Weekly_Pmod!$B21&amp;Weekly_Pmod!$B$3&amp;$B$2&amp;Weekly_Pmod!$B$1)</f>
        <v>0</v>
      </c>
      <c r="U21" s="2">
        <f>COUNTIF(defects!$AB:$AB,Weekly_Pmod!U$3&amp;Weekly_Pmod!$B21&amp;Weekly_Pmod!$B$3&amp;$B$2&amp;Weekly_Pmod!$B$1)</f>
        <v>0</v>
      </c>
      <c r="V21" s="2">
        <f>COUNTIF(defects!$AB:$AB,Weekly_Pmod!V$3&amp;Weekly_Pmod!$B21&amp;Weekly_Pmod!$B$3&amp;$B$2&amp;Weekly_Pmod!$B$1)</f>
        <v>0</v>
      </c>
      <c r="W21" s="2">
        <f>COUNTIF(defects!$AB:$AB,Weekly_Pmod!W$3&amp;Weekly_Pmod!$B21&amp;Weekly_Pmod!$B$3&amp;$B$2&amp;Weekly_Pmod!$B$1)</f>
        <v>0</v>
      </c>
      <c r="X21" s="2">
        <f>COUNTIF(defects!$AB:$AB,Weekly_Pmod!X$3&amp;Weekly_Pmod!$B21&amp;Weekly_Pmod!$B$3&amp;$B$2&amp;Weekly_Pmod!$B$1)</f>
        <v>0</v>
      </c>
      <c r="Y21" s="2">
        <f>COUNTIF(defects!$AB:$AB,Weekly_Pmod!Y$3&amp;Weekly_Pmod!$B21&amp;Weekly_Pmod!$B$3&amp;$B$2&amp;Weekly_Pmod!$B$1)</f>
        <v>0</v>
      </c>
      <c r="Z21" s="2">
        <f>COUNTIF(defects!$AB:$AB,Weekly_Pmod!Z$3&amp;Weekly_Pmod!$B21&amp;Weekly_Pmod!$B$3&amp;$B$2&amp;Weekly_Pmod!$B$1)</f>
        <v>0</v>
      </c>
      <c r="AA21" s="2">
        <f>COUNTIF(defects!$AB:$AB,Weekly_Pmod!AA$3&amp;Weekly_Pmod!$B21&amp;Weekly_Pmod!$B$3&amp;$B$2&amp;Weekly_Pmod!$B$1)</f>
        <v>0</v>
      </c>
      <c r="AB21" s="2">
        <f>COUNTIF(defects!$AB:$AB,Weekly_Pmod!AB$3&amp;Weekly_Pmod!$B21&amp;Weekly_Pmod!$B$3&amp;$B$2&amp;Weekly_Pmod!$B$1)</f>
        <v>0</v>
      </c>
      <c r="AC21" s="2">
        <f>COUNTIF(defects!$AB:$AB,Weekly_Pmod!AC$3&amp;Weekly_Pmod!$B21&amp;Weekly_Pmod!$B$3&amp;$B$2&amp;Weekly_Pmod!$B$1)</f>
        <v>0</v>
      </c>
      <c r="AD21" s="2">
        <f>COUNTIF(defects!$AB:$AB,Weekly_Pmod!AD$3&amp;Weekly_Pmod!$B21&amp;Weekly_Pmod!$B$3&amp;$B$2&amp;Weekly_Pmod!$B$1)</f>
        <v>0</v>
      </c>
      <c r="AE21" s="2">
        <f>COUNTIF(defects!$AB:$AB,Weekly_Pmod!AE$3&amp;Weekly_Pmod!$B21&amp;Weekly_Pmod!$B$3&amp;$B$2&amp;Weekly_Pmod!$B$1)</f>
        <v>0</v>
      </c>
      <c r="AF21" s="2">
        <f>COUNTIF(defects!$AB:$AB,Weekly_Pmod!AF$3&amp;Weekly_Pmod!$B21&amp;Weekly_Pmod!$B$3&amp;$B$2&amp;Weekly_Pmod!$B$1)</f>
        <v>0</v>
      </c>
      <c r="AG21" s="2">
        <f>COUNTIF(defects!$AB:$AB,Weekly_Pmod!AG$3&amp;Weekly_Pmod!$B21&amp;Weekly_Pmod!$B$3&amp;$B$2&amp;Weekly_Pmod!$B$1)</f>
        <v>0</v>
      </c>
      <c r="AH21" s="2">
        <f>COUNTIF(defects!$AB:$AB,Weekly_Pmod!AH$3&amp;Weekly_Pmod!$B21&amp;Weekly_Pmod!$B$3&amp;$B$2&amp;Weekly_Pmod!$B$1)</f>
        <v>0</v>
      </c>
      <c r="AI21" s="2">
        <f>COUNTIF(defects!$AB:$AB,Weekly_Pmod!AI$3&amp;Weekly_Pmod!$B21&amp;Weekly_Pmod!$B$3&amp;$B$2&amp;Weekly_Pmod!$B$1)</f>
        <v>0</v>
      </c>
      <c r="AJ21" s="2">
        <f>COUNTIF(defects!$AB:$AB,Weekly_Pmod!AJ$3&amp;Weekly_Pmod!$B21&amp;Weekly_Pmod!$B$3&amp;$B$2&amp;Weekly_Pmod!$B$1)</f>
        <v>0</v>
      </c>
      <c r="AK21" s="2">
        <f>COUNTIF(defects!$AB:$AB,Weekly_Pmod!AK$3&amp;Weekly_Pmod!$B21&amp;Weekly_Pmod!$B$3&amp;$B$2&amp;Weekly_Pmod!$B$1)</f>
        <v>0</v>
      </c>
      <c r="AL21" s="2">
        <f>COUNTIF(defects!$AB:$AB,Weekly_Pmod!AL$3&amp;Weekly_Pmod!$B21&amp;Weekly_Pmod!$B$3&amp;$B$2&amp;Weekly_Pmod!$B$1)</f>
        <v>0</v>
      </c>
      <c r="AM21" s="2">
        <f>COUNTIF(defects!$AB:$AB,Weekly_Pmod!AM$3&amp;Weekly_Pmod!$B21&amp;Weekly_Pmod!$B$3&amp;$B$2&amp;Weekly_Pmod!$B$1)</f>
        <v>0</v>
      </c>
      <c r="AN21" s="2">
        <f>COUNTIF(defects!$AB:$AB,Weekly_Pmod!AN$3&amp;Weekly_Pmod!$B21&amp;Weekly_Pmod!$B$3&amp;$B$2&amp;Weekly_Pmod!$B$1)</f>
        <v>0</v>
      </c>
      <c r="AO21" s="2">
        <f>COUNTIF(defects!$AB:$AB,Weekly_Pmod!AO$3&amp;Weekly_Pmod!$B21&amp;Weekly_Pmod!$B$3&amp;$B$2&amp;Weekly_Pmod!$B$1)</f>
        <v>0</v>
      </c>
      <c r="AP21" s="2">
        <f>COUNTIF(defects!$AB:$AB,Weekly_Pmod!AP$3&amp;Weekly_Pmod!$B21&amp;Weekly_Pmod!$B$3&amp;$B$2&amp;Weekly_Pmod!$B$1)</f>
        <v>0</v>
      </c>
      <c r="AQ21" s="2">
        <f>COUNTIF(defects!$AB:$AB,Weekly_Pmod!AQ$3&amp;Weekly_Pmod!$B21&amp;Weekly_Pmod!$B$3&amp;$B$2&amp;Weekly_Pmod!$B$1)</f>
        <v>0</v>
      </c>
      <c r="AR21" s="2">
        <f>COUNTIF(defects!$AB:$AB,Weekly_Pmod!AR$3&amp;Weekly_Pmod!$B21&amp;Weekly_Pmod!$B$3&amp;$B$2&amp;Weekly_Pmod!$B$1)</f>
        <v>0</v>
      </c>
      <c r="AS21" s="2">
        <f>COUNTIF(defects!$AB:$AB,Weekly_Pmod!AS$3&amp;Weekly_Pmod!$B21&amp;Weekly_Pmod!$B$3&amp;$B$2&amp;Weekly_Pmod!$B$1)</f>
        <v>0</v>
      </c>
      <c r="AT21" s="2">
        <f>COUNTIF(defects!$AB:$AB,Weekly_Pmod!AT$3&amp;Weekly_Pmod!$B21&amp;Weekly_Pmod!$B$3&amp;$B$2&amp;Weekly_Pmod!$B$1)</f>
        <v>0</v>
      </c>
      <c r="AU21" s="2">
        <f>COUNTIF(defects!$AB:$AB,Weekly_Pmod!AU$3&amp;Weekly_Pmod!$B21&amp;Weekly_Pmod!$B$3&amp;$B$2&amp;Weekly_Pmod!$B$1)</f>
        <v>0</v>
      </c>
      <c r="AV21" s="2">
        <f>COUNTIF(defects!$AB:$AB,Weekly_Pmod!AV$3&amp;Weekly_Pmod!$B21&amp;Weekly_Pmod!$B$3&amp;$B$2&amp;Weekly_Pmod!$B$1)</f>
        <v>0</v>
      </c>
      <c r="AW21" s="2">
        <f>COUNTIF(defects!$AB:$AB,Weekly_Pmod!AW$3&amp;Weekly_Pmod!$B21&amp;Weekly_Pmod!$B$3&amp;$B$2&amp;Weekly_Pmod!$B$1)</f>
        <v>0</v>
      </c>
      <c r="AX21" s="2">
        <f>COUNTIF(defects!$AB:$AB,Weekly_Pmod!AX$3&amp;Weekly_Pmod!$B21&amp;Weekly_Pmod!$B$3&amp;$B$2&amp;Weekly_Pmod!$B$1)</f>
        <v>0</v>
      </c>
      <c r="AY21" s="2">
        <f>COUNTIF(defects!$AB:$AB,Weekly_Pmod!AY$3&amp;Weekly_Pmod!$B21&amp;Weekly_Pmod!$B$3&amp;$B$2&amp;Weekly_Pmod!$B$1)</f>
        <v>0</v>
      </c>
      <c r="AZ21" s="2">
        <f>COUNTIF(defects!$AB:$AB,Weekly_Pmod!AZ$3&amp;Weekly_Pmod!$B21&amp;Weekly_Pmod!$B$3&amp;$B$2&amp;Weekly_Pmod!$B$1)</f>
        <v>0</v>
      </c>
      <c r="BA21" s="2">
        <f>COUNTIF(defects!$AB:$AB,Weekly_Pmod!BA$3&amp;Weekly_Pmod!$B21&amp;Weekly_Pmod!$B$3&amp;$B$2&amp;Weekly_Pmod!$B$1)</f>
        <v>0</v>
      </c>
      <c r="BB21" s="2">
        <f>COUNTIF(defects!$AB:$AB,Weekly_Pmod!BB$3&amp;Weekly_Pmod!$B21&amp;Weekly_Pmod!$B$3&amp;$B$2&amp;Weekly_Pmod!$B$1)</f>
        <v>0</v>
      </c>
      <c r="BC21" s="2">
        <f>COUNTIF(defects!$AB:$AB,Weekly_Pmod!BC$3&amp;Weekly_Pmod!$B21&amp;Weekly_Pmod!$B$3&amp;$B$2&amp;Weekly_Pmod!$B$1)</f>
        <v>0</v>
      </c>
      <c r="BD21" s="2">
        <f>COUNTIF(defects!$AB:$AB,Weekly_Pmod!BD$3&amp;Weekly_Pmod!$B21&amp;Weekly_Pmod!$B$3&amp;$B$2&amp;Weekly_Pmod!$B$1)</f>
        <v>0</v>
      </c>
      <c r="BE21" s="2">
        <f>COUNTIF(defects!$AB:$AB,Weekly_Pmod!BE$3&amp;Weekly_Pmod!$B21&amp;Weekly_Pmod!$B$3&amp;$B$2&amp;Weekly_Pmod!$B$1)</f>
        <v>0</v>
      </c>
      <c r="BF21" s="2">
        <f>COUNTIF(defects!$AB:$AB,Weekly_Pmod!BF$3&amp;Weekly_Pmod!$B21&amp;Weekly_Pmod!$B$3&amp;$B$2&amp;Weekly_Pmod!$B$1)</f>
        <v>0</v>
      </c>
      <c r="BG21" s="2">
        <f>COUNTIF(defects!$AB:$AB,Weekly_Pmod!BG$3&amp;Weekly_Pmod!$B21&amp;Weekly_Pmod!$B$3&amp;$B$2&amp;Weekly_Pmod!$B$1)</f>
        <v>0</v>
      </c>
      <c r="BH21" s="2">
        <f>COUNTIF(defects!$AB:$AB,Weekly_Pmod!BH$3&amp;Weekly_Pmod!$B21&amp;Weekly_Pmod!$B$3&amp;$B$2&amp;Weekly_Pmod!$B$1)</f>
        <v>0</v>
      </c>
      <c r="BI21" s="2">
        <f>COUNTIF(defects!$AB:$AB,Weekly_Pmod!BI$3&amp;Weekly_Pmod!$B21&amp;Weekly_Pmod!$B$3&amp;$B$2&amp;Weekly_Pmod!$B$1)</f>
        <v>0</v>
      </c>
      <c r="BJ21" s="2">
        <f>COUNTIF(defects!$AB:$AB,Weekly_Pmod!BJ$3&amp;Weekly_Pmod!$B21&amp;Weekly_Pmod!$B$3&amp;$B$2&amp;Weekly_Pmod!$B$1)</f>
        <v>0</v>
      </c>
      <c r="BK21" s="2">
        <f>COUNTIF(defects!$AB:$AB,Weekly_Pmod!BK$3&amp;Weekly_Pmod!$B21&amp;Weekly_Pmod!$B$3&amp;$B$2&amp;Weekly_Pmod!$B$1)</f>
        <v>0</v>
      </c>
      <c r="BL21" s="2">
        <f>COUNTIF(defects!$AB:$AB,Weekly_Pmod!BL$3&amp;Weekly_Pmod!$B21&amp;Weekly_Pmod!$B$3&amp;$B$2&amp;Weekly_Pmod!$B$1)</f>
        <v>0</v>
      </c>
      <c r="BM21" s="2">
        <f>COUNTIF(defects!$AB:$AB,Weekly_Pmod!BM$3&amp;Weekly_Pmod!$B21&amp;Weekly_Pmod!$B$3&amp;$B$2&amp;Weekly_Pmod!$B$1)</f>
        <v>0</v>
      </c>
      <c r="BN21" s="2">
        <f>COUNTIF(defects!$AB:$AB,Weekly_Pmod!BN$3&amp;Weekly_Pmod!$B21&amp;Weekly_Pmod!$B$3&amp;$B$2&amp;Weekly_Pmod!$B$1)</f>
        <v>0</v>
      </c>
      <c r="BO21" s="2">
        <f>COUNTIF(defects!$AB:$AB,Weekly_Pmod!BO$3&amp;Weekly_Pmod!$B21&amp;Weekly_Pmod!$B$3&amp;$B$2&amp;Weekly_Pmod!$B$1)</f>
        <v>0</v>
      </c>
      <c r="BP21" s="2">
        <f>COUNTIF(defects!$AB:$AB,Weekly_Pmod!BP$3&amp;Weekly_Pmod!$B21&amp;Weekly_Pmod!$B$3&amp;$B$2&amp;Weekly_Pmod!$B$1)</f>
        <v>0</v>
      </c>
      <c r="BQ21" s="2">
        <f>COUNTIF(defects!$AB:$AB,Weekly_Pmod!BQ$3&amp;Weekly_Pmod!$B21&amp;Weekly_Pmod!$B$3&amp;$B$2&amp;Weekly_Pmod!$B$1)</f>
        <v>0</v>
      </c>
      <c r="BR21" s="2">
        <f>COUNTIF(defects!$AB:$AB,Weekly_Pmod!BR$3&amp;Weekly_Pmod!$B21&amp;Weekly_Pmod!$B$3&amp;$B$2&amp;Weekly_Pmod!$B$1)</f>
        <v>0</v>
      </c>
      <c r="BS21" s="2">
        <f>COUNTIF(defects!$AB:$AB,Weekly_Pmod!BS$3&amp;Weekly_Pmod!$B21&amp;Weekly_Pmod!$B$3&amp;$B$2&amp;Weekly_Pmod!$B$1)</f>
        <v>0</v>
      </c>
      <c r="BT21" s="2">
        <f>COUNTIF(defects!$AB:$AB,Weekly_Pmod!BT$3&amp;Weekly_Pmod!$B21&amp;Weekly_Pmod!$B$3&amp;$B$2&amp;Weekly_Pmod!$B$1)</f>
        <v>0</v>
      </c>
      <c r="BU21" s="2">
        <f>COUNTIF(defects!$AB:$AB,Weekly_Pmod!BU$3&amp;Weekly_Pmod!$B21&amp;Weekly_Pmod!$B$3&amp;$B$2&amp;Weekly_Pmod!$B$1)</f>
        <v>0</v>
      </c>
      <c r="BV21" s="2">
        <f>COUNTIF(defects!$AB:$AB,Weekly_Pmod!BV$3&amp;Weekly_Pmod!$B21&amp;Weekly_Pmod!$B$3&amp;$B$2&amp;Weekly_Pmod!$B$1)</f>
        <v>0</v>
      </c>
      <c r="BW21" s="2">
        <f>COUNTIF(defects!$AB:$AB,Weekly_Pmod!BW$3&amp;Weekly_Pmod!$B21&amp;Weekly_Pmod!$B$3&amp;$B$2&amp;Weekly_Pmod!$B$1)</f>
        <v>0</v>
      </c>
      <c r="BX21" s="2">
        <f>COUNTIF(defects!$AB:$AB,Weekly_Pmod!BX$3&amp;Weekly_Pmod!$B21&amp;Weekly_Pmod!$B$3&amp;$B$2&amp;Weekly_Pmod!$B$1)</f>
        <v>0</v>
      </c>
      <c r="BY21" s="2">
        <f>COUNTIF(defects!$AB:$AB,Weekly_Pmod!BY$3&amp;Weekly_Pmod!$B21&amp;Weekly_Pmod!$B$3&amp;$B$2&amp;Weekly_Pmod!$B$1)</f>
        <v>0</v>
      </c>
      <c r="BZ21" s="2">
        <f>COUNTIF(defects!$AB:$AB,Weekly_Pmod!BZ$3&amp;Weekly_Pmod!$B21&amp;Weekly_Pmod!$B$3&amp;$B$2&amp;Weekly_Pmod!$B$1)</f>
        <v>0</v>
      </c>
      <c r="CA21" s="2">
        <f>COUNTIF(defects!$AB:$AB,Weekly_Pmod!CA$3&amp;Weekly_Pmod!$B21&amp;Weekly_Pmod!$B$3&amp;$B$2&amp;Weekly_Pmod!$B$1)</f>
        <v>0</v>
      </c>
      <c r="CB21" s="2">
        <f>COUNTIF(defects!$AB:$AB,Weekly_Pmod!CB$3&amp;Weekly_Pmod!$B21&amp;Weekly_Pmod!$B$3&amp;$B$2&amp;Weekly_Pmod!$B$1)</f>
        <v>0</v>
      </c>
      <c r="CC21" s="2">
        <f>COUNTIF(defects!$AB:$AB,Weekly_Pmod!CC$3&amp;Weekly_Pmod!$B21&amp;Weekly_Pmod!$B$3&amp;$B$2&amp;Weekly_Pmod!$B$1)</f>
        <v>0</v>
      </c>
      <c r="CD21" s="2">
        <f>COUNTIF(defects!$AB:$AB,Weekly_Pmod!CD$3&amp;Weekly_Pmod!$B21&amp;Weekly_Pmod!$B$3&amp;$B$2&amp;Weekly_Pmod!$B$1)</f>
        <v>0</v>
      </c>
      <c r="CE21" s="2">
        <f>COUNTIF(defects!$AB:$AB,Weekly_Pmod!CE$3&amp;Weekly_Pmod!$B21&amp;Weekly_Pmod!$B$3&amp;$B$2&amp;Weekly_Pmod!$B$1)</f>
        <v>0</v>
      </c>
      <c r="CF21" s="2">
        <f>COUNTIF(defects!$AB:$AB,Weekly_Pmod!CF$3&amp;Weekly_Pmod!$B21&amp;Weekly_Pmod!$B$3&amp;$B$2&amp;Weekly_Pmod!$B$1)</f>
        <v>0</v>
      </c>
      <c r="CG21" s="2">
        <f>COUNTIF(defects!$AB:$AB,Weekly_Pmod!CG$3&amp;Weekly_Pmod!$B21&amp;Weekly_Pmod!$B$3&amp;$B$2&amp;Weekly_Pmod!$B$1)</f>
        <v>0</v>
      </c>
      <c r="CH21" s="2">
        <f>COUNTIF(defects!$AB:$AB,Weekly_Pmod!CH$3&amp;Weekly_Pmod!$B21&amp;Weekly_Pmod!$B$3&amp;$B$2&amp;Weekly_Pmod!$B$1)</f>
        <v>0</v>
      </c>
      <c r="CI21" s="2">
        <f>COUNTIF(defects!$AB:$AB,Weekly_Pmod!CI$3&amp;Weekly_Pmod!$B21&amp;Weekly_Pmod!$B$3&amp;$B$2&amp;Weekly_Pmod!$B$1)</f>
        <v>0</v>
      </c>
      <c r="CJ21" s="2">
        <f>COUNTIF(defects!$AB:$AB,Weekly_Pmod!CJ$3&amp;Weekly_Pmod!$B21&amp;Weekly_Pmod!$B$3&amp;$B$2&amp;Weekly_Pmod!$B$1)</f>
        <v>0</v>
      </c>
      <c r="CK21" s="2">
        <f>COUNTIF(defects!$AB:$AB,Weekly_Pmod!CK$3&amp;Weekly_Pmod!$B21&amp;Weekly_Pmod!$B$3&amp;$B$2&amp;Weekly_Pmod!$B$1)</f>
        <v>0</v>
      </c>
      <c r="CL21" s="2">
        <f>COUNTIF(defects!$AB:$AB,Weekly_Pmod!CL$3&amp;Weekly_Pmod!$B21&amp;Weekly_Pmod!$B$3&amp;$B$2&amp;Weekly_Pmod!$B$1)</f>
        <v>0</v>
      </c>
      <c r="CM21" s="2">
        <f>COUNTIF(defects!$AB:$AB,Weekly_Pmod!CM$3&amp;Weekly_Pmod!$B21&amp;Weekly_Pmod!$B$3&amp;$B$2&amp;Weekly_Pmod!$B$1)</f>
        <v>0</v>
      </c>
      <c r="CN21" s="2">
        <f>COUNTIF(defects!$AB:$AB,Weekly_Pmod!CN$3&amp;Weekly_Pmod!$B21&amp;Weekly_Pmod!$B$3&amp;$B$2&amp;Weekly_Pmod!$B$1)</f>
        <v>0</v>
      </c>
      <c r="CO21" s="2">
        <f>COUNTIF(defects!$AB:$AB,Weekly_Pmod!CO$3&amp;Weekly_Pmod!$B21&amp;Weekly_Pmod!$B$3&amp;$B$2&amp;Weekly_Pmod!$B$1)</f>
        <v>0</v>
      </c>
      <c r="CP21" s="2">
        <f>COUNTIF(defects!$AB:$AB,Weekly_Pmod!CP$3&amp;Weekly_Pmod!$B21&amp;Weekly_Pmod!$B$3&amp;$B$2&amp;Weekly_Pmod!$B$1)</f>
        <v>0</v>
      </c>
      <c r="CQ21" s="2">
        <f>COUNTIF(defects!$AB:$AB,Weekly_Pmod!CQ$3&amp;Weekly_Pmod!$B21&amp;Weekly_Pmod!$B$3&amp;$B$2&amp;Weekly_Pmod!$B$1)</f>
        <v>0</v>
      </c>
      <c r="CR21" s="2">
        <f>COUNTIF(defects!$AB:$AB,Weekly_Pmod!CR$3&amp;Weekly_Pmod!$B21&amp;Weekly_Pmod!$B$3&amp;$B$2&amp;Weekly_Pmod!$B$1)</f>
        <v>0</v>
      </c>
      <c r="CS21" s="2">
        <f>COUNTIF(defects!$AB:$AB,Weekly_Pmod!CS$3&amp;Weekly_Pmod!$B21&amp;Weekly_Pmod!$B$3&amp;$B$2&amp;Weekly_Pmod!$B$1)</f>
        <v>0</v>
      </c>
      <c r="CT21" s="2">
        <f>COUNTIF(defects!$AB:$AB,Weekly_Pmod!CT$3&amp;Weekly_Pmod!$B21&amp;Weekly_Pmod!$B$3&amp;$B$2&amp;Weekly_Pmod!$B$1)</f>
        <v>0</v>
      </c>
      <c r="CU21" s="2">
        <f>COUNTIF(defects!$AB:$AB,Weekly_Pmod!CU$3&amp;Weekly_Pmod!$B21&amp;Weekly_Pmod!$B$3&amp;$B$2&amp;Weekly_Pmod!$B$1)</f>
        <v>0</v>
      </c>
      <c r="CV21" s="2">
        <f>COUNTIF(defects!$AB:$AB,Weekly_Pmod!CV$3&amp;Weekly_Pmod!$B21&amp;Weekly_Pmod!$B$3&amp;$B$2&amp;Weekly_Pmod!$B$1)</f>
        <v>0</v>
      </c>
      <c r="CW21" s="2">
        <f>COUNTIF(defects!$AB:$AB,Weekly_Pmod!CW$3&amp;Weekly_Pmod!$B21&amp;Weekly_Pmod!$B$3&amp;$B$2&amp;Weekly_Pmod!$B$1)</f>
        <v>0</v>
      </c>
      <c r="CX21" s="2">
        <f>COUNTIF(defects!$AB:$AB,Weekly_Pmod!CX$3&amp;Weekly_Pmod!$B21&amp;Weekly_Pmod!$B$3&amp;$B$2&amp;Weekly_Pmod!$B$1)</f>
        <v>0</v>
      </c>
      <c r="CY21" s="2">
        <f>COUNTIF(defects!$AB:$AB,Weekly_Pmod!CY$3&amp;Weekly_Pmod!$B21&amp;Weekly_Pmod!$B$3&amp;$B$2&amp;Weekly_Pmod!$B$1)</f>
        <v>0</v>
      </c>
      <c r="CZ21" s="2">
        <f>COUNTIF(defects!$AB:$AB,Weekly_Pmod!CZ$3&amp;Weekly_Pmod!$B21&amp;Weekly_Pmod!$B$3&amp;$B$2&amp;Weekly_Pmod!$B$1)</f>
        <v>0</v>
      </c>
      <c r="DA21" s="2">
        <f>COUNTIF(defects!$AB:$AB,Weekly_Pmod!DA$3&amp;Weekly_Pmod!$B21&amp;Weekly_Pmod!$B$3&amp;$B$2&amp;Weekly_Pmod!$B$1)</f>
        <v>0</v>
      </c>
      <c r="DB21" s="2">
        <f>COUNTIF(defects!$AB:$AB,Weekly_Pmod!DB$3&amp;Weekly_Pmod!$B21&amp;Weekly_Pmod!$B$3&amp;$B$2&amp;Weekly_Pmod!$B$1)</f>
        <v>0</v>
      </c>
      <c r="DC21" s="2">
        <f>COUNTIF(defects!$AB:$AB,Weekly_Pmod!DC$3&amp;Weekly_Pmod!$B21&amp;Weekly_Pmod!$B$3&amp;$B$2&amp;Weekly_Pmod!$B$1)</f>
        <v>0</v>
      </c>
      <c r="DD21" s="2">
        <f>COUNTIF(defects!$AB:$AB,Weekly_Pmod!DD$3&amp;Weekly_Pmod!$B21&amp;Weekly_Pmod!$B$3&amp;$B$2&amp;Weekly_Pmod!$B$1)</f>
        <v>0</v>
      </c>
      <c r="DE21" s="2">
        <f>COUNTIF(defects!$AB:$AB,Weekly_Pmod!DE$3&amp;Weekly_Pmod!$B21&amp;Weekly_Pmod!$B$3&amp;$B$2&amp;Weekly_Pmod!$B$1)</f>
        <v>0</v>
      </c>
      <c r="DF21" s="2">
        <f>COUNTIF(defects!$AB:$AB,Weekly_Pmod!DF$3&amp;Weekly_Pmod!$B21&amp;Weekly_Pmod!$B$3&amp;$B$2&amp;Weekly_Pmod!$B$1)</f>
        <v>0</v>
      </c>
      <c r="DG21" s="2">
        <f>COUNTIF(defects!$AB:$AB,Weekly_Pmod!DG$3&amp;Weekly_Pmod!$B21&amp;Weekly_Pmod!$B$3&amp;$B$2&amp;Weekly_Pmod!$B$1)</f>
        <v>0</v>
      </c>
      <c r="DH21" s="2">
        <f>COUNTIF(defects!$AB:$AB,Weekly_Pmod!DH$3&amp;Weekly_Pmod!$B21&amp;Weekly_Pmod!$B$3&amp;$B$2&amp;Weekly_Pmod!$B$1)</f>
        <v>0</v>
      </c>
      <c r="DI21" s="2">
        <f>COUNTIF(defects!$AB:$AB,Weekly_Pmod!DI$3&amp;Weekly_Pmod!$B21&amp;Weekly_Pmod!$B$3&amp;$B$2&amp;Weekly_Pmod!$B$1)</f>
        <v>0</v>
      </c>
      <c r="DJ21" s="2">
        <f>COUNTIF(defects!$AB:$AB,Weekly_Pmod!DJ$3&amp;Weekly_Pmod!$B21&amp;Weekly_Pmod!$B$3&amp;$B$2&amp;Weekly_Pmod!$B$1)</f>
        <v>0</v>
      </c>
      <c r="DK21" s="2">
        <f>COUNTIF(defects!$AB:$AB,Weekly_Pmod!DK$3&amp;Weekly_Pmod!$B21&amp;Weekly_Pmod!$B$3&amp;$B$2&amp;Weekly_Pmod!$B$1)</f>
        <v>0</v>
      </c>
      <c r="DL21" s="2">
        <f>COUNTIF(defects!$AB:$AB,Weekly_Pmod!DL$3&amp;Weekly_Pmod!$B21&amp;Weekly_Pmod!$B$3&amp;$B$2&amp;Weekly_Pmod!$B$1)</f>
        <v>0</v>
      </c>
      <c r="DM21" s="2">
        <f>COUNTIF(defects!$AB:$AB,Weekly_Pmod!DM$3&amp;Weekly_Pmod!$B21&amp;Weekly_Pmod!$B$3&amp;$B$2&amp;Weekly_Pmod!$B$1)</f>
        <v>0</v>
      </c>
      <c r="DN21" s="2">
        <f>COUNTIF(defects!$AB:$AB,Weekly_Pmod!DN$3&amp;Weekly_Pmod!$B21&amp;Weekly_Pmod!$B$3&amp;$B$2&amp;Weekly_Pmod!$B$1)</f>
        <v>0</v>
      </c>
      <c r="DO21" s="2">
        <f>COUNTIF(defects!$AB:$AB,Weekly_Pmod!DO$3&amp;Weekly_Pmod!$B21&amp;Weekly_Pmod!$B$3&amp;$B$2&amp;Weekly_Pmod!$B$1)</f>
        <v>0</v>
      </c>
      <c r="DP21" s="2">
        <f>COUNTIF(defects!$AB:$AB,Weekly_Pmod!DP$3&amp;Weekly_Pmod!$B21&amp;Weekly_Pmod!$B$3&amp;$B$2&amp;Weekly_Pmod!$B$1)</f>
        <v>0</v>
      </c>
      <c r="DQ21" s="2">
        <f>COUNTIF(defects!$AB:$AB,Weekly_Pmod!DQ$3&amp;Weekly_Pmod!$B21&amp;Weekly_Pmod!$B$3&amp;$B$2&amp;Weekly_Pmod!$B$1)</f>
        <v>0</v>
      </c>
      <c r="DR21" s="2">
        <f>COUNTIF(defects!$AB:$AB,Weekly_Pmod!DR$3&amp;Weekly_Pmod!$B21&amp;Weekly_Pmod!$B$3&amp;$B$2&amp;Weekly_Pmod!$B$1)</f>
        <v>0</v>
      </c>
      <c r="DS21" s="2">
        <f>COUNTIF(defects!$AB:$AB,Weekly_Pmod!DS$3&amp;Weekly_Pmod!$B21&amp;Weekly_Pmod!$B$3&amp;$B$2&amp;Weekly_Pmod!$B$1)</f>
        <v>0</v>
      </c>
      <c r="DT21" s="2">
        <f>COUNTIF(defects!$AB:$AB,Weekly_Pmod!DT$3&amp;Weekly_Pmod!$B21&amp;Weekly_Pmod!$B$3&amp;$B$2&amp;Weekly_Pmod!$B$1)</f>
        <v>0</v>
      </c>
      <c r="DU21" s="2">
        <f>COUNTIF(defects!$AB:$AB,Weekly_Pmod!DU$3&amp;Weekly_Pmod!$B21&amp;Weekly_Pmod!$B$3&amp;$B$2&amp;Weekly_Pmod!$B$1)</f>
        <v>0</v>
      </c>
      <c r="DV21" s="2">
        <f>COUNTIF(defects!$AB:$AB,Weekly_Pmod!DV$3&amp;Weekly_Pmod!$B21&amp;Weekly_Pmod!$B$3&amp;$B$2&amp;Weekly_Pmod!$B$1)</f>
        <v>0</v>
      </c>
      <c r="DW21" s="2">
        <f>COUNTIF(defects!$AB:$AB,Weekly_Pmod!DW$3&amp;Weekly_Pmod!$B21&amp;Weekly_Pmod!$B$3&amp;$B$2&amp;Weekly_Pmod!$B$1)</f>
        <v>0</v>
      </c>
      <c r="DX21" s="2">
        <f>COUNTIF(defects!$AB:$AB,Weekly_Pmod!DX$3&amp;Weekly_Pmod!$B21&amp;Weekly_Pmod!$B$3&amp;$B$2&amp;Weekly_Pmod!$B$1)</f>
        <v>0</v>
      </c>
      <c r="DY21" s="2">
        <f>COUNTIF(defects!$AB:$AB,Weekly_Pmod!DY$3&amp;Weekly_Pmod!$B21&amp;Weekly_Pmod!$B$3&amp;$B$2&amp;Weekly_Pmod!$B$1)</f>
        <v>0</v>
      </c>
      <c r="DZ21" s="2">
        <f>COUNTIF(defects!$AB:$AB,Weekly_Pmod!DZ$3&amp;Weekly_Pmod!$B21&amp;Weekly_Pmod!$B$3&amp;$B$2&amp;Weekly_Pmod!$B$1)</f>
        <v>0</v>
      </c>
      <c r="EA21" s="2">
        <f>COUNTIF(defects!$AB:$AB,Weekly_Pmod!EA$3&amp;Weekly_Pmod!$B21&amp;Weekly_Pmod!$B$3&amp;$B$2&amp;Weekly_Pmod!$B$1)</f>
        <v>0</v>
      </c>
      <c r="EB21" s="2">
        <f>COUNTIF(defects!$AB:$AB,Weekly_Pmod!EB$3&amp;Weekly_Pmod!$B21&amp;Weekly_Pmod!$B$3&amp;$B$2&amp;Weekly_Pmod!$B$1)</f>
        <v>0</v>
      </c>
      <c r="EC21" s="2">
        <f>COUNTIF(defects!$AB:$AB,Weekly_Pmod!EC$3&amp;Weekly_Pmod!$B21&amp;Weekly_Pmod!$B$3&amp;$B$2&amp;Weekly_Pmod!$B$1)</f>
        <v>0</v>
      </c>
      <c r="ED21" s="2">
        <f>COUNTIF(defects!$AB:$AB,Weekly_Pmod!ED$3&amp;Weekly_Pmod!$B21&amp;Weekly_Pmod!$B$3&amp;$B$2&amp;Weekly_Pmod!$B$1)</f>
        <v>0</v>
      </c>
      <c r="EE21" s="2">
        <f>COUNTIF(defects!$AB:$AB,Weekly_Pmod!EE$3&amp;Weekly_Pmod!$B21&amp;Weekly_Pmod!$B$3&amp;$B$2&amp;Weekly_Pmod!$B$1)</f>
        <v>0</v>
      </c>
      <c r="EF21" s="2">
        <f>COUNTIF(defects!$AB:$AB,Weekly_Pmod!EF$3&amp;Weekly_Pmod!$B21&amp;Weekly_Pmod!$B$3&amp;$B$2&amp;Weekly_Pmod!$B$1)</f>
        <v>0</v>
      </c>
      <c r="EG21" s="2">
        <f>COUNTIF(defects!$AB:$AB,Weekly_Pmod!EG$3&amp;Weekly_Pmod!$B21&amp;Weekly_Pmod!$B$3&amp;$B$2&amp;Weekly_Pmod!$B$1)</f>
        <v>0</v>
      </c>
      <c r="EH21" s="2">
        <f>COUNTIF(defects!$AB:$AB,Weekly_Pmod!EH$3&amp;Weekly_Pmod!$B21&amp;Weekly_Pmod!$B$3&amp;$B$2&amp;Weekly_Pmod!$B$1)</f>
        <v>0</v>
      </c>
      <c r="EI21" s="2">
        <f>COUNTIF(defects!$AB:$AB,Weekly_Pmod!EI$3&amp;Weekly_Pmod!$B21&amp;Weekly_Pmod!$B$3&amp;$B$2&amp;Weekly_Pmod!$B$1)</f>
        <v>0</v>
      </c>
      <c r="EJ21" s="2">
        <f>COUNTIF(defects!$AB:$AB,Weekly_Pmod!EJ$3&amp;Weekly_Pmod!$B21&amp;Weekly_Pmod!$B$3&amp;$B$2&amp;Weekly_Pmod!$B$1)</f>
        <v>0</v>
      </c>
      <c r="EK21" s="2">
        <f>COUNTIF(defects!$AB:$AB,Weekly_Pmod!EK$3&amp;Weekly_Pmod!$B21&amp;Weekly_Pmod!$B$3&amp;$B$2&amp;Weekly_Pmod!$B$1)</f>
        <v>0</v>
      </c>
      <c r="EL21" s="2">
        <f>COUNTIF(defects!$AB:$AB,Weekly_Pmod!EL$3&amp;Weekly_Pmod!$B21&amp;Weekly_Pmod!$B$3&amp;$B$2&amp;Weekly_Pmod!$B$1)</f>
        <v>0</v>
      </c>
      <c r="EM21" s="2">
        <f>COUNTIF(defects!$AB:$AB,Weekly_Pmod!EM$3&amp;Weekly_Pmod!$B21&amp;Weekly_Pmod!$B$3&amp;$B$2&amp;Weekly_Pmod!$B$1)</f>
        <v>0</v>
      </c>
      <c r="EN21" s="2">
        <f>COUNTIF(defects!$AB:$AB,Weekly_Pmod!EN$3&amp;Weekly_Pmod!$B21&amp;Weekly_Pmod!$B$3&amp;$B$2&amp;Weekly_Pmod!$B$1)</f>
        <v>0</v>
      </c>
      <c r="EO21" s="2">
        <f>COUNTIF(defects!$AB:$AB,Weekly_Pmod!EO$3&amp;Weekly_Pmod!$B21&amp;Weekly_Pmod!$B$3&amp;$B$2&amp;Weekly_Pmod!$B$1)</f>
        <v>0</v>
      </c>
      <c r="EP21" s="2">
        <f>COUNTIF(defects!$AB:$AB,Weekly_Pmod!EP$3&amp;Weekly_Pmod!$B21&amp;Weekly_Pmod!$B$3&amp;$B$2&amp;Weekly_Pmod!$B$1)</f>
        <v>0</v>
      </c>
      <c r="EQ21" s="2">
        <f>COUNTIF(defects!$AB:$AB,Weekly_Pmod!EQ$3&amp;Weekly_Pmod!$B21&amp;Weekly_Pmod!$B$3&amp;$B$2&amp;Weekly_Pmod!$B$1)</f>
        <v>0</v>
      </c>
      <c r="ER21" s="2">
        <f>COUNTIF(defects!$AB:$AB,Weekly_Pmod!ER$3&amp;Weekly_Pmod!$B21&amp;Weekly_Pmod!$B$3&amp;$B$2&amp;Weekly_Pmod!$B$1)</f>
        <v>0</v>
      </c>
      <c r="ES21" s="2">
        <f>COUNTIF(defects!$AB:$AB,Weekly_Pmod!ES$3&amp;Weekly_Pmod!$B21&amp;Weekly_Pmod!$B$3&amp;$B$2&amp;Weekly_Pmod!$B$1)</f>
        <v>0</v>
      </c>
      <c r="ET21" s="2">
        <f>COUNTIF(defects!$AB:$AB,Weekly_Pmod!ET$3&amp;Weekly_Pmod!$B21&amp;Weekly_Pmod!$B$3&amp;$B$2&amp;Weekly_Pmod!$B$1)</f>
        <v>0</v>
      </c>
      <c r="EU21" s="2">
        <f>COUNTIF(defects!$AB:$AB,Weekly_Pmod!EU$3&amp;Weekly_Pmod!$B21&amp;Weekly_Pmod!$B$3&amp;$B$2&amp;Weekly_Pmod!$B$1)</f>
        <v>0</v>
      </c>
      <c r="EV21" s="2">
        <f>COUNTIF(defects!$AB:$AB,Weekly_Pmod!EV$3&amp;Weekly_Pmod!$B21&amp;Weekly_Pmod!$B$3&amp;$B$2&amp;Weekly_Pmod!$B$1)</f>
        <v>0</v>
      </c>
      <c r="EW21" s="2">
        <f>COUNTIF(defects!$AB:$AB,Weekly_Pmod!EW$3&amp;Weekly_Pmod!$B21&amp;Weekly_Pmod!$B$3&amp;$B$2&amp;Weekly_Pmod!$B$1)</f>
        <v>0</v>
      </c>
      <c r="EX21" s="2">
        <f>COUNTIF(defects!$AB:$AB,Weekly_Pmod!EX$3&amp;Weekly_Pmod!$B21&amp;Weekly_Pmod!$B$3&amp;$B$2&amp;Weekly_Pmod!$B$1)</f>
        <v>0</v>
      </c>
      <c r="EY21" s="2">
        <f>COUNTIF(defects!$AB:$AB,Weekly_Pmod!EY$3&amp;Weekly_Pmod!$B21&amp;Weekly_Pmod!$B$3&amp;$B$2&amp;Weekly_Pmod!$B$1)</f>
        <v>0</v>
      </c>
      <c r="EZ21" s="2">
        <f>COUNTIF(defects!$AB:$AB,Weekly_Pmod!EZ$3&amp;Weekly_Pmod!$B21&amp;Weekly_Pmod!$B$3&amp;$B$2&amp;Weekly_Pmod!$B$1)</f>
        <v>0</v>
      </c>
      <c r="FA21" s="2">
        <f>COUNTIF(defects!$AB:$AB,Weekly_Pmod!FA$3&amp;Weekly_Pmod!$B21&amp;Weekly_Pmod!$B$3&amp;$B$2&amp;Weekly_Pmod!$B$1)</f>
        <v>0</v>
      </c>
      <c r="FB21" s="2">
        <f>COUNTIF(defects!$AB:$AB,Weekly_Pmod!FB$3&amp;Weekly_Pmod!$B21&amp;Weekly_Pmod!$B$3&amp;$B$2&amp;Weekly_Pmod!$B$1)</f>
        <v>0</v>
      </c>
      <c r="FC21" s="2">
        <f>COUNTIF(defects!$AB:$AB,Weekly_Pmod!FC$3&amp;Weekly_Pmod!$B21&amp;Weekly_Pmod!$B$3&amp;$B$2&amp;Weekly_Pmod!$B$1)</f>
        <v>0</v>
      </c>
      <c r="FD21" s="2">
        <f>COUNTIF(defects!$AB:$AB,Weekly_Pmod!FD$3&amp;Weekly_Pmod!$B21&amp;Weekly_Pmod!$B$3&amp;$B$2&amp;Weekly_Pmod!$B$1)</f>
        <v>0</v>
      </c>
      <c r="FE21" s="2">
        <f>COUNTIF(defects!$AB:$AB,Weekly_Pmod!FE$3&amp;Weekly_Pmod!$B21&amp;Weekly_Pmod!$B$3&amp;$B$2&amp;Weekly_Pmod!$B$1)</f>
        <v>0</v>
      </c>
    </row>
    <row r="22" spans="2:161">
      <c r="B22" s="3" t="s">
        <v>959</v>
      </c>
      <c r="C22" s="2">
        <f>COUNTIF(defects!$AB:$AB,Weekly_Pmod!C$3&amp;Weekly_Pmod!$B22&amp;Weekly_Pmod!$B$3&amp;$B$2&amp;Weekly_Pmod!$B$1)</f>
        <v>0</v>
      </c>
      <c r="D22" s="2">
        <f>COUNTIF(defects!$AB:$AB,Weekly_Pmod!D$3&amp;Weekly_Pmod!$B22&amp;Weekly_Pmod!$B$3&amp;$B$2&amp;Weekly_Pmod!$B$1)</f>
        <v>0</v>
      </c>
      <c r="E22" s="2">
        <f>COUNTIF(defects!$AB:$AB,Weekly_Pmod!E$3&amp;Weekly_Pmod!$B22&amp;Weekly_Pmod!$B$3&amp;$B$2&amp;Weekly_Pmod!$B$1)</f>
        <v>0</v>
      </c>
      <c r="F22" s="2">
        <f>COUNTIF(defects!$AB:$AB,Weekly_Pmod!F$3&amp;Weekly_Pmod!$B22&amp;Weekly_Pmod!$B$3&amp;$B$2&amp;Weekly_Pmod!$B$1)</f>
        <v>0</v>
      </c>
      <c r="G22" s="2">
        <f>COUNTIF(defects!$AB:$AB,Weekly_Pmod!G$3&amp;Weekly_Pmod!$B22&amp;Weekly_Pmod!$B$3&amp;$B$2&amp;Weekly_Pmod!$B$1)</f>
        <v>0</v>
      </c>
      <c r="H22" s="2">
        <f>COUNTIF(defects!$AB:$AB,Weekly_Pmod!H$3&amp;Weekly_Pmod!$B22&amp;Weekly_Pmod!$B$3&amp;$B$2&amp;Weekly_Pmod!$B$1)</f>
        <v>0</v>
      </c>
      <c r="I22" s="2">
        <f>COUNTIF(defects!$AB:$AB,Weekly_Pmod!I$3&amp;Weekly_Pmod!$B22&amp;Weekly_Pmod!$B$3&amp;$B$2&amp;Weekly_Pmod!$B$1)</f>
        <v>0</v>
      </c>
      <c r="J22" s="2">
        <f>COUNTIF(defects!$AB:$AB,Weekly_Pmod!J$3&amp;Weekly_Pmod!$B22&amp;Weekly_Pmod!$B$3&amp;$B$2&amp;Weekly_Pmod!$B$1)</f>
        <v>0</v>
      </c>
      <c r="K22" s="2">
        <f>COUNTIF(defects!$AB:$AB,Weekly_Pmod!K$3&amp;Weekly_Pmod!$B22&amp;Weekly_Pmod!$B$3&amp;$B$2&amp;Weekly_Pmod!$B$1)</f>
        <v>0</v>
      </c>
      <c r="L22" s="2">
        <f>COUNTIF(defects!$AB:$AB,Weekly_Pmod!L$3&amp;Weekly_Pmod!$B22&amp;Weekly_Pmod!$B$3&amp;$B$2&amp;Weekly_Pmod!$B$1)</f>
        <v>0</v>
      </c>
      <c r="M22" s="2">
        <f>COUNTIF(defects!$AB:$AB,Weekly_Pmod!M$3&amp;Weekly_Pmod!$B22&amp;Weekly_Pmod!$B$3&amp;$B$2&amp;Weekly_Pmod!$B$1)</f>
        <v>0</v>
      </c>
      <c r="N22" s="2">
        <f>COUNTIF(defects!$AB:$AB,Weekly_Pmod!N$3&amp;Weekly_Pmod!$B22&amp;Weekly_Pmod!$B$3&amp;$B$2&amp;Weekly_Pmod!$B$1)</f>
        <v>0</v>
      </c>
      <c r="O22" s="2">
        <f>COUNTIF(defects!$AB:$AB,Weekly_Pmod!O$3&amp;Weekly_Pmod!$B22&amp;Weekly_Pmod!$B$3&amp;$B$2&amp;Weekly_Pmod!$B$1)</f>
        <v>0</v>
      </c>
      <c r="P22" s="2">
        <f>COUNTIF(defects!$AB:$AB,Weekly_Pmod!P$3&amp;Weekly_Pmod!$B22&amp;Weekly_Pmod!$B$3&amp;$B$2&amp;Weekly_Pmod!$B$1)</f>
        <v>0</v>
      </c>
      <c r="Q22" s="2">
        <f>COUNTIF(defects!$AB:$AB,Weekly_Pmod!Q$3&amp;Weekly_Pmod!$B22&amp;Weekly_Pmod!$B$3&amp;$B$2&amp;Weekly_Pmod!$B$1)</f>
        <v>0</v>
      </c>
      <c r="R22" s="2">
        <f>COUNTIF(defects!$AB:$AB,Weekly_Pmod!R$3&amp;Weekly_Pmod!$B22&amp;Weekly_Pmod!$B$3&amp;$B$2&amp;Weekly_Pmod!$B$1)</f>
        <v>0</v>
      </c>
      <c r="S22" s="2">
        <f>COUNTIF(defects!$AB:$AB,Weekly_Pmod!S$3&amp;Weekly_Pmod!$B22&amp;Weekly_Pmod!$B$3&amp;$B$2&amp;Weekly_Pmod!$B$1)</f>
        <v>0</v>
      </c>
      <c r="T22" s="2">
        <f>COUNTIF(defects!$AB:$AB,Weekly_Pmod!T$3&amp;Weekly_Pmod!$B22&amp;Weekly_Pmod!$B$3&amp;$B$2&amp;Weekly_Pmod!$B$1)</f>
        <v>0</v>
      </c>
      <c r="U22" s="2">
        <f>COUNTIF(defects!$AB:$AB,Weekly_Pmod!U$3&amp;Weekly_Pmod!$B22&amp;Weekly_Pmod!$B$3&amp;$B$2&amp;Weekly_Pmod!$B$1)</f>
        <v>0</v>
      </c>
      <c r="V22" s="2">
        <f>COUNTIF(defects!$AB:$AB,Weekly_Pmod!V$3&amp;Weekly_Pmod!$B22&amp;Weekly_Pmod!$B$3&amp;$B$2&amp;Weekly_Pmod!$B$1)</f>
        <v>0</v>
      </c>
      <c r="W22" s="2">
        <f>COUNTIF(defects!$AB:$AB,Weekly_Pmod!W$3&amp;Weekly_Pmod!$B22&amp;Weekly_Pmod!$B$3&amp;$B$2&amp;Weekly_Pmod!$B$1)</f>
        <v>0</v>
      </c>
      <c r="X22" s="2">
        <f>COUNTIF(defects!$AB:$AB,Weekly_Pmod!X$3&amp;Weekly_Pmod!$B22&amp;Weekly_Pmod!$B$3&amp;$B$2&amp;Weekly_Pmod!$B$1)</f>
        <v>0</v>
      </c>
      <c r="Y22" s="2">
        <f>COUNTIF(defects!$AB:$AB,Weekly_Pmod!Y$3&amp;Weekly_Pmod!$B22&amp;Weekly_Pmod!$B$3&amp;$B$2&amp;Weekly_Pmod!$B$1)</f>
        <v>0</v>
      </c>
      <c r="Z22" s="2">
        <f>COUNTIF(defects!$AB:$AB,Weekly_Pmod!Z$3&amp;Weekly_Pmod!$B22&amp;Weekly_Pmod!$B$3&amp;$B$2&amp;Weekly_Pmod!$B$1)</f>
        <v>0</v>
      </c>
      <c r="AA22" s="2">
        <f>COUNTIF(defects!$AB:$AB,Weekly_Pmod!AA$3&amp;Weekly_Pmod!$B22&amp;Weekly_Pmod!$B$3&amp;$B$2&amp;Weekly_Pmod!$B$1)</f>
        <v>0</v>
      </c>
      <c r="AB22" s="2">
        <f>COUNTIF(defects!$AB:$AB,Weekly_Pmod!AB$3&amp;Weekly_Pmod!$B22&amp;Weekly_Pmod!$B$3&amp;$B$2&amp;Weekly_Pmod!$B$1)</f>
        <v>0</v>
      </c>
      <c r="AC22" s="2">
        <f>COUNTIF(defects!$AB:$AB,Weekly_Pmod!AC$3&amp;Weekly_Pmod!$B22&amp;Weekly_Pmod!$B$3&amp;$B$2&amp;Weekly_Pmod!$B$1)</f>
        <v>0</v>
      </c>
      <c r="AD22" s="2">
        <f>COUNTIF(defects!$AB:$AB,Weekly_Pmod!AD$3&amp;Weekly_Pmod!$B22&amp;Weekly_Pmod!$B$3&amp;$B$2&amp;Weekly_Pmod!$B$1)</f>
        <v>0</v>
      </c>
      <c r="AE22" s="2">
        <f>COUNTIF(defects!$AB:$AB,Weekly_Pmod!AE$3&amp;Weekly_Pmod!$B22&amp;Weekly_Pmod!$B$3&amp;$B$2&amp;Weekly_Pmod!$B$1)</f>
        <v>0</v>
      </c>
      <c r="AF22" s="2">
        <f>COUNTIF(defects!$AB:$AB,Weekly_Pmod!AF$3&amp;Weekly_Pmod!$B22&amp;Weekly_Pmod!$B$3&amp;$B$2&amp;Weekly_Pmod!$B$1)</f>
        <v>0</v>
      </c>
      <c r="AG22" s="2">
        <f>COUNTIF(defects!$AB:$AB,Weekly_Pmod!AG$3&amp;Weekly_Pmod!$B22&amp;Weekly_Pmod!$B$3&amp;$B$2&amp;Weekly_Pmod!$B$1)</f>
        <v>0</v>
      </c>
      <c r="AH22" s="2">
        <f>COUNTIF(defects!$AB:$AB,Weekly_Pmod!AH$3&amp;Weekly_Pmod!$B22&amp;Weekly_Pmod!$B$3&amp;$B$2&amp;Weekly_Pmod!$B$1)</f>
        <v>0</v>
      </c>
      <c r="AI22" s="2">
        <f>COUNTIF(defects!$AB:$AB,Weekly_Pmod!AI$3&amp;Weekly_Pmod!$B22&amp;Weekly_Pmod!$B$3&amp;$B$2&amp;Weekly_Pmod!$B$1)</f>
        <v>0</v>
      </c>
      <c r="AJ22" s="2">
        <f>COUNTIF(defects!$AB:$AB,Weekly_Pmod!AJ$3&amp;Weekly_Pmod!$B22&amp;Weekly_Pmod!$B$3&amp;$B$2&amp;Weekly_Pmod!$B$1)</f>
        <v>0</v>
      </c>
      <c r="AK22" s="2">
        <f>COUNTIF(defects!$AB:$AB,Weekly_Pmod!AK$3&amp;Weekly_Pmod!$B22&amp;Weekly_Pmod!$B$3&amp;$B$2&amp;Weekly_Pmod!$B$1)</f>
        <v>0</v>
      </c>
      <c r="AL22" s="2">
        <f>COUNTIF(defects!$AB:$AB,Weekly_Pmod!AL$3&amp;Weekly_Pmod!$B22&amp;Weekly_Pmod!$B$3&amp;$B$2&amp;Weekly_Pmod!$B$1)</f>
        <v>0</v>
      </c>
      <c r="AM22" s="2">
        <f>COUNTIF(defects!$AB:$AB,Weekly_Pmod!AM$3&amp;Weekly_Pmod!$B22&amp;Weekly_Pmod!$B$3&amp;$B$2&amp;Weekly_Pmod!$B$1)</f>
        <v>0</v>
      </c>
      <c r="AN22" s="2">
        <f>COUNTIF(defects!$AB:$AB,Weekly_Pmod!AN$3&amp;Weekly_Pmod!$B22&amp;Weekly_Pmod!$B$3&amp;$B$2&amp;Weekly_Pmod!$B$1)</f>
        <v>0</v>
      </c>
      <c r="AO22" s="2">
        <f>COUNTIF(defects!$AB:$AB,Weekly_Pmod!AO$3&amp;Weekly_Pmod!$B22&amp;Weekly_Pmod!$B$3&amp;$B$2&amp;Weekly_Pmod!$B$1)</f>
        <v>0</v>
      </c>
      <c r="AP22" s="2">
        <f>COUNTIF(defects!$AB:$AB,Weekly_Pmod!AP$3&amp;Weekly_Pmod!$B22&amp;Weekly_Pmod!$B$3&amp;$B$2&amp;Weekly_Pmod!$B$1)</f>
        <v>0</v>
      </c>
      <c r="AQ22" s="2">
        <f>COUNTIF(defects!$AB:$AB,Weekly_Pmod!AQ$3&amp;Weekly_Pmod!$B22&amp;Weekly_Pmod!$B$3&amp;$B$2&amp;Weekly_Pmod!$B$1)</f>
        <v>0</v>
      </c>
      <c r="AR22" s="2">
        <f>COUNTIF(defects!$AB:$AB,Weekly_Pmod!AR$3&amp;Weekly_Pmod!$B22&amp;Weekly_Pmod!$B$3&amp;$B$2&amp;Weekly_Pmod!$B$1)</f>
        <v>0</v>
      </c>
      <c r="AS22" s="2">
        <f>COUNTIF(defects!$AB:$AB,Weekly_Pmod!AS$3&amp;Weekly_Pmod!$B22&amp;Weekly_Pmod!$B$3&amp;$B$2&amp;Weekly_Pmod!$B$1)</f>
        <v>0</v>
      </c>
      <c r="AT22" s="2">
        <f>COUNTIF(defects!$AB:$AB,Weekly_Pmod!AT$3&amp;Weekly_Pmod!$B22&amp;Weekly_Pmod!$B$3&amp;$B$2&amp;Weekly_Pmod!$B$1)</f>
        <v>0</v>
      </c>
      <c r="AU22" s="2">
        <f>COUNTIF(defects!$AB:$AB,Weekly_Pmod!AU$3&amp;Weekly_Pmod!$B22&amp;Weekly_Pmod!$B$3&amp;$B$2&amp;Weekly_Pmod!$B$1)</f>
        <v>0</v>
      </c>
      <c r="AV22" s="2">
        <f>COUNTIF(defects!$AB:$AB,Weekly_Pmod!AV$3&amp;Weekly_Pmod!$B22&amp;Weekly_Pmod!$B$3&amp;$B$2&amp;Weekly_Pmod!$B$1)</f>
        <v>0</v>
      </c>
      <c r="AW22" s="2">
        <f>COUNTIF(defects!$AB:$AB,Weekly_Pmod!AW$3&amp;Weekly_Pmod!$B22&amp;Weekly_Pmod!$B$3&amp;$B$2&amp;Weekly_Pmod!$B$1)</f>
        <v>0</v>
      </c>
      <c r="AX22" s="2">
        <f>COUNTIF(defects!$AB:$AB,Weekly_Pmod!AX$3&amp;Weekly_Pmod!$B22&amp;Weekly_Pmod!$B$3&amp;$B$2&amp;Weekly_Pmod!$B$1)</f>
        <v>0</v>
      </c>
      <c r="AY22" s="2">
        <f>COUNTIF(defects!$AB:$AB,Weekly_Pmod!AY$3&amp;Weekly_Pmod!$B22&amp;Weekly_Pmod!$B$3&amp;$B$2&amp;Weekly_Pmod!$B$1)</f>
        <v>0</v>
      </c>
      <c r="AZ22" s="2">
        <f>COUNTIF(defects!$AB:$AB,Weekly_Pmod!AZ$3&amp;Weekly_Pmod!$B22&amp;Weekly_Pmod!$B$3&amp;$B$2&amp;Weekly_Pmod!$B$1)</f>
        <v>0</v>
      </c>
      <c r="BA22" s="2">
        <f>COUNTIF(defects!$AB:$AB,Weekly_Pmod!BA$3&amp;Weekly_Pmod!$B22&amp;Weekly_Pmod!$B$3&amp;$B$2&amp;Weekly_Pmod!$B$1)</f>
        <v>0</v>
      </c>
      <c r="BB22" s="2">
        <f>COUNTIF(defects!$AB:$AB,Weekly_Pmod!BB$3&amp;Weekly_Pmod!$B22&amp;Weekly_Pmod!$B$3&amp;$B$2&amp;Weekly_Pmod!$B$1)</f>
        <v>0</v>
      </c>
      <c r="BC22" s="2">
        <f>COUNTIF(defects!$AB:$AB,Weekly_Pmod!BC$3&amp;Weekly_Pmod!$B22&amp;Weekly_Pmod!$B$3&amp;$B$2&amp;Weekly_Pmod!$B$1)</f>
        <v>0</v>
      </c>
      <c r="BD22" s="2">
        <f>COUNTIF(defects!$AB:$AB,Weekly_Pmod!BD$3&amp;Weekly_Pmod!$B22&amp;Weekly_Pmod!$B$3&amp;$B$2&amp;Weekly_Pmod!$B$1)</f>
        <v>0</v>
      </c>
      <c r="BE22" s="2">
        <f>COUNTIF(defects!$AB:$AB,Weekly_Pmod!BE$3&amp;Weekly_Pmod!$B22&amp;Weekly_Pmod!$B$3&amp;$B$2&amp;Weekly_Pmod!$B$1)</f>
        <v>0</v>
      </c>
      <c r="BF22" s="2">
        <f>COUNTIF(defects!$AB:$AB,Weekly_Pmod!BF$3&amp;Weekly_Pmod!$B22&amp;Weekly_Pmod!$B$3&amp;$B$2&amp;Weekly_Pmod!$B$1)</f>
        <v>0</v>
      </c>
      <c r="BG22" s="2">
        <f>COUNTIF(defects!$AB:$AB,Weekly_Pmod!BG$3&amp;Weekly_Pmod!$B22&amp;Weekly_Pmod!$B$3&amp;$B$2&amp;Weekly_Pmod!$B$1)</f>
        <v>0</v>
      </c>
      <c r="BH22" s="2">
        <f>COUNTIF(defects!$AB:$AB,Weekly_Pmod!BH$3&amp;Weekly_Pmod!$B22&amp;Weekly_Pmod!$B$3&amp;$B$2&amp;Weekly_Pmod!$B$1)</f>
        <v>0</v>
      </c>
      <c r="BI22" s="2">
        <f>COUNTIF(defects!$AB:$AB,Weekly_Pmod!BI$3&amp;Weekly_Pmod!$B22&amp;Weekly_Pmod!$B$3&amp;$B$2&amp;Weekly_Pmod!$B$1)</f>
        <v>0</v>
      </c>
      <c r="BJ22" s="2">
        <f>COUNTIF(defects!$AB:$AB,Weekly_Pmod!BJ$3&amp;Weekly_Pmod!$B22&amp;Weekly_Pmod!$B$3&amp;$B$2&amp;Weekly_Pmod!$B$1)</f>
        <v>0</v>
      </c>
      <c r="BK22" s="2">
        <f>COUNTIF(defects!$AB:$AB,Weekly_Pmod!BK$3&amp;Weekly_Pmod!$B22&amp;Weekly_Pmod!$B$3&amp;$B$2&amp;Weekly_Pmod!$B$1)</f>
        <v>0</v>
      </c>
      <c r="BL22" s="2">
        <f>COUNTIF(defects!$AB:$AB,Weekly_Pmod!BL$3&amp;Weekly_Pmod!$B22&amp;Weekly_Pmod!$B$3&amp;$B$2&amp;Weekly_Pmod!$B$1)</f>
        <v>0</v>
      </c>
      <c r="BM22" s="2">
        <f>COUNTIF(defects!$AB:$AB,Weekly_Pmod!BM$3&amp;Weekly_Pmod!$B22&amp;Weekly_Pmod!$B$3&amp;$B$2&amp;Weekly_Pmod!$B$1)</f>
        <v>0</v>
      </c>
      <c r="BN22" s="2">
        <f>COUNTIF(defects!$AB:$AB,Weekly_Pmod!BN$3&amp;Weekly_Pmod!$B22&amp;Weekly_Pmod!$B$3&amp;$B$2&amp;Weekly_Pmod!$B$1)</f>
        <v>0</v>
      </c>
      <c r="BO22" s="2">
        <f>COUNTIF(defects!$AB:$AB,Weekly_Pmod!BO$3&amp;Weekly_Pmod!$B22&amp;Weekly_Pmod!$B$3&amp;$B$2&amp;Weekly_Pmod!$B$1)</f>
        <v>0</v>
      </c>
      <c r="BP22" s="2">
        <f>COUNTIF(defects!$AB:$AB,Weekly_Pmod!BP$3&amp;Weekly_Pmod!$B22&amp;Weekly_Pmod!$B$3&amp;$B$2&amp;Weekly_Pmod!$B$1)</f>
        <v>0</v>
      </c>
      <c r="BQ22" s="2">
        <f>COUNTIF(defects!$AB:$AB,Weekly_Pmod!BQ$3&amp;Weekly_Pmod!$B22&amp;Weekly_Pmod!$B$3&amp;$B$2&amp;Weekly_Pmod!$B$1)</f>
        <v>0</v>
      </c>
      <c r="BR22" s="2">
        <f>COUNTIF(defects!$AB:$AB,Weekly_Pmod!BR$3&amp;Weekly_Pmod!$B22&amp;Weekly_Pmod!$B$3&amp;$B$2&amp;Weekly_Pmod!$B$1)</f>
        <v>0</v>
      </c>
      <c r="BS22" s="2">
        <f>COUNTIF(defects!$AB:$AB,Weekly_Pmod!BS$3&amp;Weekly_Pmod!$B22&amp;Weekly_Pmod!$B$3&amp;$B$2&amp;Weekly_Pmod!$B$1)</f>
        <v>0</v>
      </c>
      <c r="BT22" s="2">
        <f>COUNTIF(defects!$AB:$AB,Weekly_Pmod!BT$3&amp;Weekly_Pmod!$B22&amp;Weekly_Pmod!$B$3&amp;$B$2&amp;Weekly_Pmod!$B$1)</f>
        <v>0</v>
      </c>
      <c r="BU22" s="2">
        <f>COUNTIF(defects!$AB:$AB,Weekly_Pmod!BU$3&amp;Weekly_Pmod!$B22&amp;Weekly_Pmod!$B$3&amp;$B$2&amp;Weekly_Pmod!$B$1)</f>
        <v>0</v>
      </c>
      <c r="BV22" s="2">
        <f>COUNTIF(defects!$AB:$AB,Weekly_Pmod!BV$3&amp;Weekly_Pmod!$B22&amp;Weekly_Pmod!$B$3&amp;$B$2&amp;Weekly_Pmod!$B$1)</f>
        <v>0</v>
      </c>
      <c r="BW22" s="2">
        <f>COUNTIF(defects!$AB:$AB,Weekly_Pmod!BW$3&amp;Weekly_Pmod!$B22&amp;Weekly_Pmod!$B$3&amp;$B$2&amp;Weekly_Pmod!$B$1)</f>
        <v>0</v>
      </c>
      <c r="BX22" s="2">
        <f>COUNTIF(defects!$AB:$AB,Weekly_Pmod!BX$3&amp;Weekly_Pmod!$B22&amp;Weekly_Pmod!$B$3&amp;$B$2&amp;Weekly_Pmod!$B$1)</f>
        <v>0</v>
      </c>
      <c r="BY22" s="2">
        <f>COUNTIF(defects!$AB:$AB,Weekly_Pmod!BY$3&amp;Weekly_Pmod!$B22&amp;Weekly_Pmod!$B$3&amp;$B$2&amp;Weekly_Pmod!$B$1)</f>
        <v>0</v>
      </c>
      <c r="BZ22" s="2">
        <f>COUNTIF(defects!$AB:$AB,Weekly_Pmod!BZ$3&amp;Weekly_Pmod!$B22&amp;Weekly_Pmod!$B$3&amp;$B$2&amp;Weekly_Pmod!$B$1)</f>
        <v>0</v>
      </c>
      <c r="CA22" s="2">
        <f>COUNTIF(defects!$AB:$AB,Weekly_Pmod!CA$3&amp;Weekly_Pmod!$B22&amp;Weekly_Pmod!$B$3&amp;$B$2&amp;Weekly_Pmod!$B$1)</f>
        <v>0</v>
      </c>
      <c r="CB22" s="2">
        <f>COUNTIF(defects!$AB:$AB,Weekly_Pmod!CB$3&amp;Weekly_Pmod!$B22&amp;Weekly_Pmod!$B$3&amp;$B$2&amp;Weekly_Pmod!$B$1)</f>
        <v>0</v>
      </c>
      <c r="CC22" s="2">
        <f>COUNTIF(defects!$AB:$AB,Weekly_Pmod!CC$3&amp;Weekly_Pmod!$B22&amp;Weekly_Pmod!$B$3&amp;$B$2&amp;Weekly_Pmod!$B$1)</f>
        <v>0</v>
      </c>
      <c r="CD22" s="2">
        <f>COUNTIF(defects!$AB:$AB,Weekly_Pmod!CD$3&amp;Weekly_Pmod!$B22&amp;Weekly_Pmod!$B$3&amp;$B$2&amp;Weekly_Pmod!$B$1)</f>
        <v>0</v>
      </c>
      <c r="CE22" s="2">
        <f>COUNTIF(defects!$AB:$AB,Weekly_Pmod!CE$3&amp;Weekly_Pmod!$B22&amp;Weekly_Pmod!$B$3&amp;$B$2&amp;Weekly_Pmod!$B$1)</f>
        <v>0</v>
      </c>
      <c r="CF22" s="2">
        <f>COUNTIF(defects!$AB:$AB,Weekly_Pmod!CF$3&amp;Weekly_Pmod!$B22&amp;Weekly_Pmod!$B$3&amp;$B$2&amp;Weekly_Pmod!$B$1)</f>
        <v>0</v>
      </c>
      <c r="CG22" s="2">
        <f>COUNTIF(defects!$AB:$AB,Weekly_Pmod!CG$3&amp;Weekly_Pmod!$B22&amp;Weekly_Pmod!$B$3&amp;$B$2&amp;Weekly_Pmod!$B$1)</f>
        <v>2</v>
      </c>
      <c r="CH22" s="2">
        <f>COUNTIF(defects!$AB:$AB,Weekly_Pmod!CH$3&amp;Weekly_Pmod!$B22&amp;Weekly_Pmod!$B$3&amp;$B$2&amp;Weekly_Pmod!$B$1)</f>
        <v>0</v>
      </c>
      <c r="CI22" s="2">
        <f>COUNTIF(defects!$AB:$AB,Weekly_Pmod!CI$3&amp;Weekly_Pmod!$B22&amp;Weekly_Pmod!$B$3&amp;$B$2&amp;Weekly_Pmod!$B$1)</f>
        <v>0</v>
      </c>
      <c r="CJ22" s="2">
        <f>COUNTIF(defects!$AB:$AB,Weekly_Pmod!CJ$3&amp;Weekly_Pmod!$B22&amp;Weekly_Pmod!$B$3&amp;$B$2&amp;Weekly_Pmod!$B$1)</f>
        <v>0</v>
      </c>
      <c r="CK22" s="2">
        <f>COUNTIF(defects!$AB:$AB,Weekly_Pmod!CK$3&amp;Weekly_Pmod!$B22&amp;Weekly_Pmod!$B$3&amp;$B$2&amp;Weekly_Pmod!$B$1)</f>
        <v>0</v>
      </c>
      <c r="CL22" s="2">
        <f>COUNTIF(defects!$AB:$AB,Weekly_Pmod!CL$3&amp;Weekly_Pmod!$B22&amp;Weekly_Pmod!$B$3&amp;$B$2&amp;Weekly_Pmod!$B$1)</f>
        <v>0</v>
      </c>
      <c r="CM22" s="2">
        <f>COUNTIF(defects!$AB:$AB,Weekly_Pmod!CM$3&amp;Weekly_Pmod!$B22&amp;Weekly_Pmod!$B$3&amp;$B$2&amp;Weekly_Pmod!$B$1)</f>
        <v>0</v>
      </c>
      <c r="CN22" s="2">
        <f>COUNTIF(defects!$AB:$AB,Weekly_Pmod!CN$3&amp;Weekly_Pmod!$B22&amp;Weekly_Pmod!$B$3&amp;$B$2&amp;Weekly_Pmod!$B$1)</f>
        <v>0</v>
      </c>
      <c r="CO22" s="2">
        <f>COUNTIF(defects!$AB:$AB,Weekly_Pmod!CO$3&amp;Weekly_Pmod!$B22&amp;Weekly_Pmod!$B$3&amp;$B$2&amp;Weekly_Pmod!$B$1)</f>
        <v>0</v>
      </c>
      <c r="CP22" s="2">
        <f>COUNTIF(defects!$AB:$AB,Weekly_Pmod!CP$3&amp;Weekly_Pmod!$B22&amp;Weekly_Pmod!$B$3&amp;$B$2&amp;Weekly_Pmod!$B$1)</f>
        <v>0</v>
      </c>
      <c r="CQ22" s="2">
        <f>COUNTIF(defects!$AB:$AB,Weekly_Pmod!CQ$3&amp;Weekly_Pmod!$B22&amp;Weekly_Pmod!$B$3&amp;$B$2&amp;Weekly_Pmod!$B$1)</f>
        <v>0</v>
      </c>
      <c r="CR22" s="2">
        <f>COUNTIF(defects!$AB:$AB,Weekly_Pmod!CR$3&amp;Weekly_Pmod!$B22&amp;Weekly_Pmod!$B$3&amp;$B$2&amp;Weekly_Pmod!$B$1)</f>
        <v>0</v>
      </c>
      <c r="CS22" s="2">
        <f>COUNTIF(defects!$AB:$AB,Weekly_Pmod!CS$3&amp;Weekly_Pmod!$B22&amp;Weekly_Pmod!$B$3&amp;$B$2&amp;Weekly_Pmod!$B$1)</f>
        <v>0</v>
      </c>
      <c r="CT22" s="2">
        <f>COUNTIF(defects!$AB:$AB,Weekly_Pmod!CT$3&amp;Weekly_Pmod!$B22&amp;Weekly_Pmod!$B$3&amp;$B$2&amp;Weekly_Pmod!$B$1)</f>
        <v>0</v>
      </c>
      <c r="CU22" s="2">
        <f>COUNTIF(defects!$AB:$AB,Weekly_Pmod!CU$3&amp;Weekly_Pmod!$B22&amp;Weekly_Pmod!$B$3&amp;$B$2&amp;Weekly_Pmod!$B$1)</f>
        <v>0</v>
      </c>
      <c r="CV22" s="2">
        <f>COUNTIF(defects!$AB:$AB,Weekly_Pmod!CV$3&amp;Weekly_Pmod!$B22&amp;Weekly_Pmod!$B$3&amp;$B$2&amp;Weekly_Pmod!$B$1)</f>
        <v>0</v>
      </c>
      <c r="CW22" s="2">
        <f>COUNTIF(defects!$AB:$AB,Weekly_Pmod!CW$3&amp;Weekly_Pmod!$B22&amp;Weekly_Pmod!$B$3&amp;$B$2&amp;Weekly_Pmod!$B$1)</f>
        <v>0</v>
      </c>
      <c r="CX22" s="2">
        <f>COUNTIF(defects!$AB:$AB,Weekly_Pmod!CX$3&amp;Weekly_Pmod!$B22&amp;Weekly_Pmod!$B$3&amp;$B$2&amp;Weekly_Pmod!$B$1)</f>
        <v>0</v>
      </c>
      <c r="CY22" s="2">
        <f>COUNTIF(defects!$AB:$AB,Weekly_Pmod!CY$3&amp;Weekly_Pmod!$B22&amp;Weekly_Pmod!$B$3&amp;$B$2&amp;Weekly_Pmod!$B$1)</f>
        <v>0</v>
      </c>
      <c r="CZ22" s="2">
        <f>COUNTIF(defects!$AB:$AB,Weekly_Pmod!CZ$3&amp;Weekly_Pmod!$B22&amp;Weekly_Pmod!$B$3&amp;$B$2&amp;Weekly_Pmod!$B$1)</f>
        <v>0</v>
      </c>
      <c r="DA22" s="2">
        <f>COUNTIF(defects!$AB:$AB,Weekly_Pmod!DA$3&amp;Weekly_Pmod!$B22&amp;Weekly_Pmod!$B$3&amp;$B$2&amp;Weekly_Pmod!$B$1)</f>
        <v>0</v>
      </c>
      <c r="DB22" s="2">
        <f>COUNTIF(defects!$AB:$AB,Weekly_Pmod!DB$3&amp;Weekly_Pmod!$B22&amp;Weekly_Pmod!$B$3&amp;$B$2&amp;Weekly_Pmod!$B$1)</f>
        <v>0</v>
      </c>
      <c r="DC22" s="2">
        <f>COUNTIF(defects!$AB:$AB,Weekly_Pmod!DC$3&amp;Weekly_Pmod!$B22&amp;Weekly_Pmod!$B$3&amp;$B$2&amp;Weekly_Pmod!$B$1)</f>
        <v>0</v>
      </c>
      <c r="DD22" s="2">
        <f>COUNTIF(defects!$AB:$AB,Weekly_Pmod!DD$3&amp;Weekly_Pmod!$B22&amp;Weekly_Pmod!$B$3&amp;$B$2&amp;Weekly_Pmod!$B$1)</f>
        <v>0</v>
      </c>
      <c r="DE22" s="2">
        <f>COUNTIF(defects!$AB:$AB,Weekly_Pmod!DE$3&amp;Weekly_Pmod!$B22&amp;Weekly_Pmod!$B$3&amp;$B$2&amp;Weekly_Pmod!$B$1)</f>
        <v>0</v>
      </c>
      <c r="DF22" s="2">
        <f>COUNTIF(defects!$AB:$AB,Weekly_Pmod!DF$3&amp;Weekly_Pmod!$B22&amp;Weekly_Pmod!$B$3&amp;$B$2&amp;Weekly_Pmod!$B$1)</f>
        <v>0</v>
      </c>
      <c r="DG22" s="2">
        <f>COUNTIF(defects!$AB:$AB,Weekly_Pmod!DG$3&amp;Weekly_Pmod!$B22&amp;Weekly_Pmod!$B$3&amp;$B$2&amp;Weekly_Pmod!$B$1)</f>
        <v>0</v>
      </c>
      <c r="DH22" s="2">
        <f>COUNTIF(defects!$AB:$AB,Weekly_Pmod!DH$3&amp;Weekly_Pmod!$B22&amp;Weekly_Pmod!$B$3&amp;$B$2&amp;Weekly_Pmod!$B$1)</f>
        <v>0</v>
      </c>
      <c r="DI22" s="2">
        <f>COUNTIF(defects!$AB:$AB,Weekly_Pmod!DI$3&amp;Weekly_Pmod!$B22&amp;Weekly_Pmod!$B$3&amp;$B$2&amp;Weekly_Pmod!$B$1)</f>
        <v>0</v>
      </c>
      <c r="DJ22" s="2">
        <f>COUNTIF(defects!$AB:$AB,Weekly_Pmod!DJ$3&amp;Weekly_Pmod!$B22&amp;Weekly_Pmod!$B$3&amp;$B$2&amp;Weekly_Pmod!$B$1)</f>
        <v>0</v>
      </c>
      <c r="DK22" s="2">
        <f>COUNTIF(defects!$AB:$AB,Weekly_Pmod!DK$3&amp;Weekly_Pmod!$B22&amp;Weekly_Pmod!$B$3&amp;$B$2&amp;Weekly_Pmod!$B$1)</f>
        <v>0</v>
      </c>
      <c r="DL22" s="2">
        <f>COUNTIF(defects!$AB:$AB,Weekly_Pmod!DL$3&amp;Weekly_Pmod!$B22&amp;Weekly_Pmod!$B$3&amp;$B$2&amp;Weekly_Pmod!$B$1)</f>
        <v>0</v>
      </c>
      <c r="DM22" s="2">
        <f>COUNTIF(defects!$AB:$AB,Weekly_Pmod!DM$3&amp;Weekly_Pmod!$B22&amp;Weekly_Pmod!$B$3&amp;$B$2&amp;Weekly_Pmod!$B$1)</f>
        <v>0</v>
      </c>
      <c r="DN22" s="2">
        <f>COUNTIF(defects!$AB:$AB,Weekly_Pmod!DN$3&amp;Weekly_Pmod!$B22&amp;Weekly_Pmod!$B$3&amp;$B$2&amp;Weekly_Pmod!$B$1)</f>
        <v>0</v>
      </c>
      <c r="DO22" s="2">
        <f>COUNTIF(defects!$AB:$AB,Weekly_Pmod!DO$3&amp;Weekly_Pmod!$B22&amp;Weekly_Pmod!$B$3&amp;$B$2&amp;Weekly_Pmod!$B$1)</f>
        <v>0</v>
      </c>
      <c r="DP22" s="2">
        <f>COUNTIF(defects!$AB:$AB,Weekly_Pmod!DP$3&amp;Weekly_Pmod!$B22&amp;Weekly_Pmod!$B$3&amp;$B$2&amp;Weekly_Pmod!$B$1)</f>
        <v>0</v>
      </c>
      <c r="DQ22" s="2">
        <f>COUNTIF(defects!$AB:$AB,Weekly_Pmod!DQ$3&amp;Weekly_Pmod!$B22&amp;Weekly_Pmod!$B$3&amp;$B$2&amp;Weekly_Pmod!$B$1)</f>
        <v>0</v>
      </c>
      <c r="DR22" s="2">
        <f>COUNTIF(defects!$AB:$AB,Weekly_Pmod!DR$3&amp;Weekly_Pmod!$B22&amp;Weekly_Pmod!$B$3&amp;$B$2&amp;Weekly_Pmod!$B$1)</f>
        <v>0</v>
      </c>
      <c r="DS22" s="2">
        <f>COUNTIF(defects!$AB:$AB,Weekly_Pmod!DS$3&amp;Weekly_Pmod!$B22&amp;Weekly_Pmod!$B$3&amp;$B$2&amp;Weekly_Pmod!$B$1)</f>
        <v>0</v>
      </c>
      <c r="DT22" s="2">
        <f>COUNTIF(defects!$AB:$AB,Weekly_Pmod!DT$3&amp;Weekly_Pmod!$B22&amp;Weekly_Pmod!$B$3&amp;$B$2&amp;Weekly_Pmod!$B$1)</f>
        <v>0</v>
      </c>
      <c r="DU22" s="2">
        <f>COUNTIF(defects!$AB:$AB,Weekly_Pmod!DU$3&amp;Weekly_Pmod!$B22&amp;Weekly_Pmod!$B$3&amp;$B$2&amp;Weekly_Pmod!$B$1)</f>
        <v>0</v>
      </c>
      <c r="DV22" s="2">
        <f>COUNTIF(defects!$AB:$AB,Weekly_Pmod!DV$3&amp;Weekly_Pmod!$B22&amp;Weekly_Pmod!$B$3&amp;$B$2&amp;Weekly_Pmod!$B$1)</f>
        <v>0</v>
      </c>
      <c r="DW22" s="2">
        <f>COUNTIF(defects!$AB:$AB,Weekly_Pmod!DW$3&amp;Weekly_Pmod!$B22&amp;Weekly_Pmod!$B$3&amp;$B$2&amp;Weekly_Pmod!$B$1)</f>
        <v>0</v>
      </c>
      <c r="DX22" s="2">
        <f>COUNTIF(defects!$AB:$AB,Weekly_Pmod!DX$3&amp;Weekly_Pmod!$B22&amp;Weekly_Pmod!$B$3&amp;$B$2&amp;Weekly_Pmod!$B$1)</f>
        <v>0</v>
      </c>
      <c r="DY22" s="2">
        <f>COUNTIF(defects!$AB:$AB,Weekly_Pmod!DY$3&amp;Weekly_Pmod!$B22&amp;Weekly_Pmod!$B$3&amp;$B$2&amp;Weekly_Pmod!$B$1)</f>
        <v>0</v>
      </c>
      <c r="DZ22" s="2">
        <f>COUNTIF(defects!$AB:$AB,Weekly_Pmod!DZ$3&amp;Weekly_Pmod!$B22&amp;Weekly_Pmod!$B$3&amp;$B$2&amp;Weekly_Pmod!$B$1)</f>
        <v>0</v>
      </c>
      <c r="EA22" s="2">
        <f>COUNTIF(defects!$AB:$AB,Weekly_Pmod!EA$3&amp;Weekly_Pmod!$B22&amp;Weekly_Pmod!$B$3&amp;$B$2&amp;Weekly_Pmod!$B$1)</f>
        <v>0</v>
      </c>
      <c r="EB22" s="2">
        <f>COUNTIF(defects!$AB:$AB,Weekly_Pmod!EB$3&amp;Weekly_Pmod!$B22&amp;Weekly_Pmod!$B$3&amp;$B$2&amp;Weekly_Pmod!$B$1)</f>
        <v>0</v>
      </c>
      <c r="EC22" s="2">
        <f>COUNTIF(defects!$AB:$AB,Weekly_Pmod!EC$3&amp;Weekly_Pmod!$B22&amp;Weekly_Pmod!$B$3&amp;$B$2&amp;Weekly_Pmod!$B$1)</f>
        <v>0</v>
      </c>
      <c r="ED22" s="2">
        <f>COUNTIF(defects!$AB:$AB,Weekly_Pmod!ED$3&amp;Weekly_Pmod!$B22&amp;Weekly_Pmod!$B$3&amp;$B$2&amp;Weekly_Pmod!$B$1)</f>
        <v>0</v>
      </c>
      <c r="EE22" s="2">
        <f>COUNTIF(defects!$AB:$AB,Weekly_Pmod!EE$3&amp;Weekly_Pmod!$B22&amp;Weekly_Pmod!$B$3&amp;$B$2&amp;Weekly_Pmod!$B$1)</f>
        <v>0</v>
      </c>
      <c r="EF22" s="2">
        <f>COUNTIF(defects!$AB:$AB,Weekly_Pmod!EF$3&amp;Weekly_Pmod!$B22&amp;Weekly_Pmod!$B$3&amp;$B$2&amp;Weekly_Pmod!$B$1)</f>
        <v>0</v>
      </c>
      <c r="EG22" s="2">
        <f>COUNTIF(defects!$AB:$AB,Weekly_Pmod!EG$3&amp;Weekly_Pmod!$B22&amp;Weekly_Pmod!$B$3&amp;$B$2&amp;Weekly_Pmod!$B$1)</f>
        <v>0</v>
      </c>
      <c r="EH22" s="2">
        <f>COUNTIF(defects!$AB:$AB,Weekly_Pmod!EH$3&amp;Weekly_Pmod!$B22&amp;Weekly_Pmod!$B$3&amp;$B$2&amp;Weekly_Pmod!$B$1)</f>
        <v>0</v>
      </c>
      <c r="EI22" s="2">
        <f>COUNTIF(defects!$AB:$AB,Weekly_Pmod!EI$3&amp;Weekly_Pmod!$B22&amp;Weekly_Pmod!$B$3&amp;$B$2&amp;Weekly_Pmod!$B$1)</f>
        <v>0</v>
      </c>
      <c r="EJ22" s="2">
        <f>COUNTIF(defects!$AB:$AB,Weekly_Pmod!EJ$3&amp;Weekly_Pmod!$B22&amp;Weekly_Pmod!$B$3&amp;$B$2&amp;Weekly_Pmod!$B$1)</f>
        <v>0</v>
      </c>
      <c r="EK22" s="2">
        <f>COUNTIF(defects!$AB:$AB,Weekly_Pmod!EK$3&amp;Weekly_Pmod!$B22&amp;Weekly_Pmod!$B$3&amp;$B$2&amp;Weekly_Pmod!$B$1)</f>
        <v>0</v>
      </c>
      <c r="EL22" s="2">
        <f>COUNTIF(defects!$AB:$AB,Weekly_Pmod!EL$3&amp;Weekly_Pmod!$B22&amp;Weekly_Pmod!$B$3&amp;$B$2&amp;Weekly_Pmod!$B$1)</f>
        <v>0</v>
      </c>
      <c r="EM22" s="2">
        <f>COUNTIF(defects!$AB:$AB,Weekly_Pmod!EM$3&amp;Weekly_Pmod!$B22&amp;Weekly_Pmod!$B$3&amp;$B$2&amp;Weekly_Pmod!$B$1)</f>
        <v>0</v>
      </c>
      <c r="EN22" s="2">
        <f>COUNTIF(defects!$AB:$AB,Weekly_Pmod!EN$3&amp;Weekly_Pmod!$B22&amp;Weekly_Pmod!$B$3&amp;$B$2&amp;Weekly_Pmod!$B$1)</f>
        <v>0</v>
      </c>
      <c r="EO22" s="2">
        <f>COUNTIF(defects!$AB:$AB,Weekly_Pmod!EO$3&amp;Weekly_Pmod!$B22&amp;Weekly_Pmod!$B$3&amp;$B$2&amp;Weekly_Pmod!$B$1)</f>
        <v>0</v>
      </c>
      <c r="EP22" s="2">
        <f>COUNTIF(defects!$AB:$AB,Weekly_Pmod!EP$3&amp;Weekly_Pmod!$B22&amp;Weekly_Pmod!$B$3&amp;$B$2&amp;Weekly_Pmod!$B$1)</f>
        <v>0</v>
      </c>
      <c r="EQ22" s="2">
        <f>COUNTIF(defects!$AB:$AB,Weekly_Pmod!EQ$3&amp;Weekly_Pmod!$B22&amp;Weekly_Pmod!$B$3&amp;$B$2&amp;Weekly_Pmod!$B$1)</f>
        <v>0</v>
      </c>
      <c r="ER22" s="2">
        <f>COUNTIF(defects!$AB:$AB,Weekly_Pmod!ER$3&amp;Weekly_Pmod!$B22&amp;Weekly_Pmod!$B$3&amp;$B$2&amp;Weekly_Pmod!$B$1)</f>
        <v>0</v>
      </c>
      <c r="ES22" s="2">
        <f>COUNTIF(defects!$AB:$AB,Weekly_Pmod!ES$3&amp;Weekly_Pmod!$B22&amp;Weekly_Pmod!$B$3&amp;$B$2&amp;Weekly_Pmod!$B$1)</f>
        <v>0</v>
      </c>
      <c r="ET22" s="2">
        <f>COUNTIF(defects!$AB:$AB,Weekly_Pmod!ET$3&amp;Weekly_Pmod!$B22&amp;Weekly_Pmod!$B$3&amp;$B$2&amp;Weekly_Pmod!$B$1)</f>
        <v>0</v>
      </c>
      <c r="EU22" s="2">
        <f>COUNTIF(defects!$AB:$AB,Weekly_Pmod!EU$3&amp;Weekly_Pmod!$B22&amp;Weekly_Pmod!$B$3&amp;$B$2&amp;Weekly_Pmod!$B$1)</f>
        <v>0</v>
      </c>
      <c r="EV22" s="2">
        <f>COUNTIF(defects!$AB:$AB,Weekly_Pmod!EV$3&amp;Weekly_Pmod!$B22&amp;Weekly_Pmod!$B$3&amp;$B$2&amp;Weekly_Pmod!$B$1)</f>
        <v>0</v>
      </c>
      <c r="EW22" s="2">
        <f>COUNTIF(defects!$AB:$AB,Weekly_Pmod!EW$3&amp;Weekly_Pmod!$B22&amp;Weekly_Pmod!$B$3&amp;$B$2&amp;Weekly_Pmod!$B$1)</f>
        <v>0</v>
      </c>
      <c r="EX22" s="2">
        <f>COUNTIF(defects!$AB:$AB,Weekly_Pmod!EX$3&amp;Weekly_Pmod!$B22&amp;Weekly_Pmod!$B$3&amp;$B$2&amp;Weekly_Pmod!$B$1)</f>
        <v>0</v>
      </c>
      <c r="EY22" s="2">
        <f>COUNTIF(defects!$AB:$AB,Weekly_Pmod!EY$3&amp;Weekly_Pmod!$B22&amp;Weekly_Pmod!$B$3&amp;$B$2&amp;Weekly_Pmod!$B$1)</f>
        <v>0</v>
      </c>
      <c r="EZ22" s="2">
        <f>COUNTIF(defects!$AB:$AB,Weekly_Pmod!EZ$3&amp;Weekly_Pmod!$B22&amp;Weekly_Pmod!$B$3&amp;$B$2&amp;Weekly_Pmod!$B$1)</f>
        <v>0</v>
      </c>
      <c r="FA22" s="2">
        <f>COUNTIF(defects!$AB:$AB,Weekly_Pmod!FA$3&amp;Weekly_Pmod!$B22&amp;Weekly_Pmod!$B$3&amp;$B$2&amp;Weekly_Pmod!$B$1)</f>
        <v>0</v>
      </c>
      <c r="FB22" s="2">
        <f>COUNTIF(defects!$AB:$AB,Weekly_Pmod!FB$3&amp;Weekly_Pmod!$B22&amp;Weekly_Pmod!$B$3&amp;$B$2&amp;Weekly_Pmod!$B$1)</f>
        <v>0</v>
      </c>
      <c r="FC22" s="2">
        <f>COUNTIF(defects!$AB:$AB,Weekly_Pmod!FC$3&amp;Weekly_Pmod!$B22&amp;Weekly_Pmod!$B$3&amp;$B$2&amp;Weekly_Pmod!$B$1)</f>
        <v>0</v>
      </c>
      <c r="FD22" s="2">
        <f>COUNTIF(defects!$AB:$AB,Weekly_Pmod!FD$3&amp;Weekly_Pmod!$B22&amp;Weekly_Pmod!$B$3&amp;$B$2&amp;Weekly_Pmod!$B$1)</f>
        <v>0</v>
      </c>
      <c r="FE22" s="2">
        <f>COUNTIF(defects!$AB:$AB,Weekly_Pmod!FE$3&amp;Weekly_Pmod!$B22&amp;Weekly_Pmod!$B$3&amp;$B$2&amp;Weekly_Pmod!$B$1)</f>
        <v>0</v>
      </c>
    </row>
    <row r="23" spans="2:161">
      <c r="B23" s="3" t="s">
        <v>951</v>
      </c>
      <c r="C23" s="2">
        <f>COUNTIF(defects!$AB:$AB,Weekly_Pmod!C$3&amp;Weekly_Pmod!$B23&amp;Weekly_Pmod!$B$3&amp;$B$2&amp;Weekly_Pmod!$B$1)</f>
        <v>0</v>
      </c>
      <c r="D23" s="2">
        <f>COUNTIF(defects!$AB:$AB,Weekly_Pmod!D$3&amp;Weekly_Pmod!$B23&amp;Weekly_Pmod!$B$3&amp;$B$2&amp;Weekly_Pmod!$B$1)</f>
        <v>0</v>
      </c>
      <c r="E23" s="2">
        <f>COUNTIF(defects!$AB:$AB,Weekly_Pmod!E$3&amp;Weekly_Pmod!$B23&amp;Weekly_Pmod!$B$3&amp;$B$2&amp;Weekly_Pmod!$B$1)</f>
        <v>0</v>
      </c>
      <c r="F23" s="2">
        <f>COUNTIF(defects!$AB:$AB,Weekly_Pmod!F$3&amp;Weekly_Pmod!$B23&amp;Weekly_Pmod!$B$3&amp;$B$2&amp;Weekly_Pmod!$B$1)</f>
        <v>0</v>
      </c>
      <c r="G23" s="2">
        <f>COUNTIF(defects!$AB:$AB,Weekly_Pmod!G$3&amp;Weekly_Pmod!$B23&amp;Weekly_Pmod!$B$3&amp;$B$2&amp;Weekly_Pmod!$B$1)</f>
        <v>0</v>
      </c>
      <c r="H23" s="2">
        <f>COUNTIF(defects!$AB:$AB,Weekly_Pmod!H$3&amp;Weekly_Pmod!$B23&amp;Weekly_Pmod!$B$3&amp;$B$2&amp;Weekly_Pmod!$B$1)</f>
        <v>0</v>
      </c>
      <c r="I23" s="2">
        <f>COUNTIF(defects!$AB:$AB,Weekly_Pmod!I$3&amp;Weekly_Pmod!$B23&amp;Weekly_Pmod!$B$3&amp;$B$2&amp;Weekly_Pmod!$B$1)</f>
        <v>0</v>
      </c>
      <c r="J23" s="2">
        <f>COUNTIF(defects!$AB:$AB,Weekly_Pmod!J$3&amp;Weekly_Pmod!$B23&amp;Weekly_Pmod!$B$3&amp;$B$2&amp;Weekly_Pmod!$B$1)</f>
        <v>0</v>
      </c>
      <c r="K23" s="2">
        <f>COUNTIF(defects!$AB:$AB,Weekly_Pmod!K$3&amp;Weekly_Pmod!$B23&amp;Weekly_Pmod!$B$3&amp;$B$2&amp;Weekly_Pmod!$B$1)</f>
        <v>0</v>
      </c>
      <c r="L23" s="2">
        <f>COUNTIF(defects!$AB:$AB,Weekly_Pmod!L$3&amp;Weekly_Pmod!$B23&amp;Weekly_Pmod!$B$3&amp;$B$2&amp;Weekly_Pmod!$B$1)</f>
        <v>0</v>
      </c>
      <c r="M23" s="2">
        <f>COUNTIF(defects!$AB:$AB,Weekly_Pmod!M$3&amp;Weekly_Pmod!$B23&amp;Weekly_Pmod!$B$3&amp;$B$2&amp;Weekly_Pmod!$B$1)</f>
        <v>0</v>
      </c>
      <c r="N23" s="2">
        <f>COUNTIF(defects!$AB:$AB,Weekly_Pmod!N$3&amp;Weekly_Pmod!$B23&amp;Weekly_Pmod!$B$3&amp;$B$2&amp;Weekly_Pmod!$B$1)</f>
        <v>0</v>
      </c>
      <c r="O23" s="2">
        <f>COUNTIF(defects!$AB:$AB,Weekly_Pmod!O$3&amp;Weekly_Pmod!$B23&amp;Weekly_Pmod!$B$3&amp;$B$2&amp;Weekly_Pmod!$B$1)</f>
        <v>0</v>
      </c>
      <c r="P23" s="2">
        <f>COUNTIF(defects!$AB:$AB,Weekly_Pmod!P$3&amp;Weekly_Pmod!$B23&amp;Weekly_Pmod!$B$3&amp;$B$2&amp;Weekly_Pmod!$B$1)</f>
        <v>0</v>
      </c>
      <c r="Q23" s="2">
        <f>COUNTIF(defects!$AB:$AB,Weekly_Pmod!Q$3&amp;Weekly_Pmod!$B23&amp;Weekly_Pmod!$B$3&amp;$B$2&amp;Weekly_Pmod!$B$1)</f>
        <v>0</v>
      </c>
      <c r="R23" s="2">
        <f>COUNTIF(defects!$AB:$AB,Weekly_Pmod!R$3&amp;Weekly_Pmod!$B23&amp;Weekly_Pmod!$B$3&amp;$B$2&amp;Weekly_Pmod!$B$1)</f>
        <v>0</v>
      </c>
      <c r="S23" s="2">
        <f>COUNTIF(defects!$AB:$AB,Weekly_Pmod!S$3&amp;Weekly_Pmod!$B23&amp;Weekly_Pmod!$B$3&amp;$B$2&amp;Weekly_Pmod!$B$1)</f>
        <v>0</v>
      </c>
      <c r="T23" s="2">
        <f>COUNTIF(defects!$AB:$AB,Weekly_Pmod!T$3&amp;Weekly_Pmod!$B23&amp;Weekly_Pmod!$B$3&amp;$B$2&amp;Weekly_Pmod!$B$1)</f>
        <v>0</v>
      </c>
      <c r="U23" s="2">
        <f>COUNTIF(defects!$AB:$AB,Weekly_Pmod!U$3&amp;Weekly_Pmod!$B23&amp;Weekly_Pmod!$B$3&amp;$B$2&amp;Weekly_Pmod!$B$1)</f>
        <v>0</v>
      </c>
      <c r="V23" s="2">
        <f>COUNTIF(defects!$AB:$AB,Weekly_Pmod!V$3&amp;Weekly_Pmod!$B23&amp;Weekly_Pmod!$B$3&amp;$B$2&amp;Weekly_Pmod!$B$1)</f>
        <v>0</v>
      </c>
      <c r="W23" s="2">
        <f>COUNTIF(defects!$AB:$AB,Weekly_Pmod!W$3&amp;Weekly_Pmod!$B23&amp;Weekly_Pmod!$B$3&amp;$B$2&amp;Weekly_Pmod!$B$1)</f>
        <v>0</v>
      </c>
      <c r="X23" s="2">
        <f>COUNTIF(defects!$AB:$AB,Weekly_Pmod!X$3&amp;Weekly_Pmod!$B23&amp;Weekly_Pmod!$B$3&amp;$B$2&amp;Weekly_Pmod!$B$1)</f>
        <v>0</v>
      </c>
      <c r="Y23" s="2">
        <f>COUNTIF(defects!$AB:$AB,Weekly_Pmod!Y$3&amp;Weekly_Pmod!$B23&amp;Weekly_Pmod!$B$3&amp;$B$2&amp;Weekly_Pmod!$B$1)</f>
        <v>0</v>
      </c>
      <c r="Z23" s="2">
        <f>COUNTIF(defects!$AB:$AB,Weekly_Pmod!Z$3&amp;Weekly_Pmod!$B23&amp;Weekly_Pmod!$B$3&amp;$B$2&amp;Weekly_Pmod!$B$1)</f>
        <v>0</v>
      </c>
      <c r="AA23" s="2">
        <f>COUNTIF(defects!$AB:$AB,Weekly_Pmod!AA$3&amp;Weekly_Pmod!$B23&amp;Weekly_Pmod!$B$3&amp;$B$2&amp;Weekly_Pmod!$B$1)</f>
        <v>0</v>
      </c>
      <c r="AB23" s="2">
        <f>COUNTIF(defects!$AB:$AB,Weekly_Pmod!AB$3&amp;Weekly_Pmod!$B23&amp;Weekly_Pmod!$B$3&amp;$B$2&amp;Weekly_Pmod!$B$1)</f>
        <v>0</v>
      </c>
      <c r="AC23" s="2">
        <f>COUNTIF(defects!$AB:$AB,Weekly_Pmod!AC$3&amp;Weekly_Pmod!$B23&amp;Weekly_Pmod!$B$3&amp;$B$2&amp;Weekly_Pmod!$B$1)</f>
        <v>0</v>
      </c>
      <c r="AD23" s="2">
        <f>COUNTIF(defects!$AB:$AB,Weekly_Pmod!AD$3&amp;Weekly_Pmod!$B23&amp;Weekly_Pmod!$B$3&amp;$B$2&amp;Weekly_Pmod!$B$1)</f>
        <v>0</v>
      </c>
      <c r="AE23" s="2">
        <f>COUNTIF(defects!$AB:$AB,Weekly_Pmod!AE$3&amp;Weekly_Pmod!$B23&amp;Weekly_Pmod!$B$3&amp;$B$2&amp;Weekly_Pmod!$B$1)</f>
        <v>0</v>
      </c>
      <c r="AF23" s="2">
        <f>COUNTIF(defects!$AB:$AB,Weekly_Pmod!AF$3&amp;Weekly_Pmod!$B23&amp;Weekly_Pmod!$B$3&amp;$B$2&amp;Weekly_Pmod!$B$1)</f>
        <v>0</v>
      </c>
      <c r="AG23" s="2">
        <f>COUNTIF(defects!$AB:$AB,Weekly_Pmod!AG$3&amp;Weekly_Pmod!$B23&amp;Weekly_Pmod!$B$3&amp;$B$2&amp;Weekly_Pmod!$B$1)</f>
        <v>0</v>
      </c>
      <c r="AH23" s="2">
        <f>COUNTIF(defects!$AB:$AB,Weekly_Pmod!AH$3&amp;Weekly_Pmod!$B23&amp;Weekly_Pmod!$B$3&amp;$B$2&amp;Weekly_Pmod!$B$1)</f>
        <v>0</v>
      </c>
      <c r="AI23" s="2">
        <f>COUNTIF(defects!$AB:$AB,Weekly_Pmod!AI$3&amp;Weekly_Pmod!$B23&amp;Weekly_Pmod!$B$3&amp;$B$2&amp;Weekly_Pmod!$B$1)</f>
        <v>0</v>
      </c>
      <c r="AJ23" s="2">
        <f>COUNTIF(defects!$AB:$AB,Weekly_Pmod!AJ$3&amp;Weekly_Pmod!$B23&amp;Weekly_Pmod!$B$3&amp;$B$2&amp;Weekly_Pmod!$B$1)</f>
        <v>0</v>
      </c>
      <c r="AK23" s="2">
        <f>COUNTIF(defects!$AB:$AB,Weekly_Pmod!AK$3&amp;Weekly_Pmod!$B23&amp;Weekly_Pmod!$B$3&amp;$B$2&amp;Weekly_Pmod!$B$1)</f>
        <v>0</v>
      </c>
      <c r="AL23" s="2">
        <f>COUNTIF(defects!$AB:$AB,Weekly_Pmod!AL$3&amp;Weekly_Pmod!$B23&amp;Weekly_Pmod!$B$3&amp;$B$2&amp;Weekly_Pmod!$B$1)</f>
        <v>0</v>
      </c>
      <c r="AM23" s="2">
        <f>COUNTIF(defects!$AB:$AB,Weekly_Pmod!AM$3&amp;Weekly_Pmod!$B23&amp;Weekly_Pmod!$B$3&amp;$B$2&amp;Weekly_Pmod!$B$1)</f>
        <v>0</v>
      </c>
      <c r="AN23" s="2">
        <f>COUNTIF(defects!$AB:$AB,Weekly_Pmod!AN$3&amp;Weekly_Pmod!$B23&amp;Weekly_Pmod!$B$3&amp;$B$2&amp;Weekly_Pmod!$B$1)</f>
        <v>0</v>
      </c>
      <c r="AO23" s="2">
        <f>COUNTIF(defects!$AB:$AB,Weekly_Pmod!AO$3&amp;Weekly_Pmod!$B23&amp;Weekly_Pmod!$B$3&amp;$B$2&amp;Weekly_Pmod!$B$1)</f>
        <v>0</v>
      </c>
      <c r="AP23" s="2">
        <f>COUNTIF(defects!$AB:$AB,Weekly_Pmod!AP$3&amp;Weekly_Pmod!$B23&amp;Weekly_Pmod!$B$3&amp;$B$2&amp;Weekly_Pmod!$B$1)</f>
        <v>0</v>
      </c>
      <c r="AQ23" s="2">
        <f>COUNTIF(defects!$AB:$AB,Weekly_Pmod!AQ$3&amp;Weekly_Pmod!$B23&amp;Weekly_Pmod!$B$3&amp;$B$2&amp;Weekly_Pmod!$B$1)</f>
        <v>0</v>
      </c>
      <c r="AR23" s="2">
        <f>COUNTIF(defects!$AB:$AB,Weekly_Pmod!AR$3&amp;Weekly_Pmod!$B23&amp;Weekly_Pmod!$B$3&amp;$B$2&amp;Weekly_Pmod!$B$1)</f>
        <v>0</v>
      </c>
      <c r="AS23" s="2">
        <f>COUNTIF(defects!$AB:$AB,Weekly_Pmod!AS$3&amp;Weekly_Pmod!$B23&amp;Weekly_Pmod!$B$3&amp;$B$2&amp;Weekly_Pmod!$B$1)</f>
        <v>0</v>
      </c>
      <c r="AT23" s="2">
        <f>COUNTIF(defects!$AB:$AB,Weekly_Pmod!AT$3&amp;Weekly_Pmod!$B23&amp;Weekly_Pmod!$B$3&amp;$B$2&amp;Weekly_Pmod!$B$1)</f>
        <v>0</v>
      </c>
      <c r="AU23" s="2">
        <f>COUNTIF(defects!$AB:$AB,Weekly_Pmod!AU$3&amp;Weekly_Pmod!$B23&amp;Weekly_Pmod!$B$3&amp;$B$2&amp;Weekly_Pmod!$B$1)</f>
        <v>0</v>
      </c>
      <c r="AV23" s="2">
        <f>COUNTIF(defects!$AB:$AB,Weekly_Pmod!AV$3&amp;Weekly_Pmod!$B23&amp;Weekly_Pmod!$B$3&amp;$B$2&amp;Weekly_Pmod!$B$1)</f>
        <v>0</v>
      </c>
      <c r="AW23" s="2">
        <f>COUNTIF(defects!$AB:$AB,Weekly_Pmod!AW$3&amp;Weekly_Pmod!$B23&amp;Weekly_Pmod!$B$3&amp;$B$2&amp;Weekly_Pmod!$B$1)</f>
        <v>0</v>
      </c>
      <c r="AX23" s="2">
        <f>COUNTIF(defects!$AB:$AB,Weekly_Pmod!AX$3&amp;Weekly_Pmod!$B23&amp;Weekly_Pmod!$B$3&amp;$B$2&amp;Weekly_Pmod!$B$1)</f>
        <v>0</v>
      </c>
      <c r="AY23" s="2">
        <f>COUNTIF(defects!$AB:$AB,Weekly_Pmod!AY$3&amp;Weekly_Pmod!$B23&amp;Weekly_Pmod!$B$3&amp;$B$2&amp;Weekly_Pmod!$B$1)</f>
        <v>0</v>
      </c>
      <c r="AZ23" s="2">
        <f>COUNTIF(defects!$AB:$AB,Weekly_Pmod!AZ$3&amp;Weekly_Pmod!$B23&amp;Weekly_Pmod!$B$3&amp;$B$2&amp;Weekly_Pmod!$B$1)</f>
        <v>0</v>
      </c>
      <c r="BA23" s="2">
        <f>COUNTIF(defects!$AB:$AB,Weekly_Pmod!BA$3&amp;Weekly_Pmod!$B23&amp;Weekly_Pmod!$B$3&amp;$B$2&amp;Weekly_Pmod!$B$1)</f>
        <v>0</v>
      </c>
      <c r="BB23" s="2">
        <f>COUNTIF(defects!$AB:$AB,Weekly_Pmod!BB$3&amp;Weekly_Pmod!$B23&amp;Weekly_Pmod!$B$3&amp;$B$2&amp;Weekly_Pmod!$B$1)</f>
        <v>0</v>
      </c>
      <c r="BC23" s="2">
        <f>COUNTIF(defects!$AB:$AB,Weekly_Pmod!BC$3&amp;Weekly_Pmod!$B23&amp;Weekly_Pmod!$B$3&amp;$B$2&amp;Weekly_Pmod!$B$1)</f>
        <v>0</v>
      </c>
      <c r="BD23" s="2">
        <f>COUNTIF(defects!$AB:$AB,Weekly_Pmod!BD$3&amp;Weekly_Pmod!$B23&amp;Weekly_Pmod!$B$3&amp;$B$2&amp;Weekly_Pmod!$B$1)</f>
        <v>0</v>
      </c>
      <c r="BE23" s="2">
        <f>COUNTIF(defects!$AB:$AB,Weekly_Pmod!BE$3&amp;Weekly_Pmod!$B23&amp;Weekly_Pmod!$B$3&amp;$B$2&amp;Weekly_Pmod!$B$1)</f>
        <v>0</v>
      </c>
      <c r="BF23" s="2">
        <f>COUNTIF(defects!$AB:$AB,Weekly_Pmod!BF$3&amp;Weekly_Pmod!$B23&amp;Weekly_Pmod!$B$3&amp;$B$2&amp;Weekly_Pmod!$B$1)</f>
        <v>0</v>
      </c>
      <c r="BG23" s="2">
        <f>COUNTIF(defects!$AB:$AB,Weekly_Pmod!BG$3&amp;Weekly_Pmod!$B23&amp;Weekly_Pmod!$B$3&amp;$B$2&amp;Weekly_Pmod!$B$1)</f>
        <v>0</v>
      </c>
      <c r="BH23" s="2">
        <f>COUNTIF(defects!$AB:$AB,Weekly_Pmod!BH$3&amp;Weekly_Pmod!$B23&amp;Weekly_Pmod!$B$3&amp;$B$2&amp;Weekly_Pmod!$B$1)</f>
        <v>0</v>
      </c>
      <c r="BI23" s="2">
        <f>COUNTIF(defects!$AB:$AB,Weekly_Pmod!BI$3&amp;Weekly_Pmod!$B23&amp;Weekly_Pmod!$B$3&amp;$B$2&amp;Weekly_Pmod!$B$1)</f>
        <v>0</v>
      </c>
      <c r="BJ23" s="2">
        <f>COUNTIF(defects!$AB:$AB,Weekly_Pmod!BJ$3&amp;Weekly_Pmod!$B23&amp;Weekly_Pmod!$B$3&amp;$B$2&amp;Weekly_Pmod!$B$1)</f>
        <v>0</v>
      </c>
      <c r="BK23" s="2">
        <f>COUNTIF(defects!$AB:$AB,Weekly_Pmod!BK$3&amp;Weekly_Pmod!$B23&amp;Weekly_Pmod!$B$3&amp;$B$2&amp;Weekly_Pmod!$B$1)</f>
        <v>0</v>
      </c>
      <c r="BL23" s="2">
        <f>COUNTIF(defects!$AB:$AB,Weekly_Pmod!BL$3&amp;Weekly_Pmod!$B23&amp;Weekly_Pmod!$B$3&amp;$B$2&amp;Weekly_Pmod!$B$1)</f>
        <v>0</v>
      </c>
      <c r="BM23" s="2">
        <f>COUNTIF(defects!$AB:$AB,Weekly_Pmod!BM$3&amp;Weekly_Pmod!$B23&amp;Weekly_Pmod!$B$3&amp;$B$2&amp;Weekly_Pmod!$B$1)</f>
        <v>0</v>
      </c>
      <c r="BN23" s="2">
        <f>COUNTIF(defects!$AB:$AB,Weekly_Pmod!BN$3&amp;Weekly_Pmod!$B23&amp;Weekly_Pmod!$B$3&amp;$B$2&amp;Weekly_Pmod!$B$1)</f>
        <v>0</v>
      </c>
      <c r="BO23" s="2">
        <f>COUNTIF(defects!$AB:$AB,Weekly_Pmod!BO$3&amp;Weekly_Pmod!$B23&amp;Weekly_Pmod!$B$3&amp;$B$2&amp;Weekly_Pmod!$B$1)</f>
        <v>0</v>
      </c>
      <c r="BP23" s="2">
        <f>COUNTIF(defects!$AB:$AB,Weekly_Pmod!BP$3&amp;Weekly_Pmod!$B23&amp;Weekly_Pmod!$B$3&amp;$B$2&amp;Weekly_Pmod!$B$1)</f>
        <v>0</v>
      </c>
      <c r="BQ23" s="2">
        <f>COUNTIF(defects!$AB:$AB,Weekly_Pmod!BQ$3&amp;Weekly_Pmod!$B23&amp;Weekly_Pmod!$B$3&amp;$B$2&amp;Weekly_Pmod!$B$1)</f>
        <v>0</v>
      </c>
      <c r="BR23" s="2">
        <f>COUNTIF(defects!$AB:$AB,Weekly_Pmod!BR$3&amp;Weekly_Pmod!$B23&amp;Weekly_Pmod!$B$3&amp;$B$2&amp;Weekly_Pmod!$B$1)</f>
        <v>0</v>
      </c>
      <c r="BS23" s="2">
        <f>COUNTIF(defects!$AB:$AB,Weekly_Pmod!BS$3&amp;Weekly_Pmod!$B23&amp;Weekly_Pmod!$B$3&amp;$B$2&amp;Weekly_Pmod!$B$1)</f>
        <v>0</v>
      </c>
      <c r="BT23" s="2">
        <f>COUNTIF(defects!$AB:$AB,Weekly_Pmod!BT$3&amp;Weekly_Pmod!$B23&amp;Weekly_Pmod!$B$3&amp;$B$2&amp;Weekly_Pmod!$B$1)</f>
        <v>0</v>
      </c>
      <c r="BU23" s="2">
        <f>COUNTIF(defects!$AB:$AB,Weekly_Pmod!BU$3&amp;Weekly_Pmod!$B23&amp;Weekly_Pmod!$B$3&amp;$B$2&amp;Weekly_Pmod!$B$1)</f>
        <v>0</v>
      </c>
      <c r="BV23" s="2">
        <f>COUNTIF(defects!$AB:$AB,Weekly_Pmod!BV$3&amp;Weekly_Pmod!$B23&amp;Weekly_Pmod!$B$3&amp;$B$2&amp;Weekly_Pmod!$B$1)</f>
        <v>0</v>
      </c>
      <c r="BW23" s="2">
        <f>COUNTIF(defects!$AB:$AB,Weekly_Pmod!BW$3&amp;Weekly_Pmod!$B23&amp;Weekly_Pmod!$B$3&amp;$B$2&amp;Weekly_Pmod!$B$1)</f>
        <v>0</v>
      </c>
      <c r="BX23" s="2">
        <f>COUNTIF(defects!$AB:$AB,Weekly_Pmod!BX$3&amp;Weekly_Pmod!$B23&amp;Weekly_Pmod!$B$3&amp;$B$2&amp;Weekly_Pmod!$B$1)</f>
        <v>0</v>
      </c>
      <c r="BY23" s="2">
        <f>COUNTIF(defects!$AB:$AB,Weekly_Pmod!BY$3&amp;Weekly_Pmod!$B23&amp;Weekly_Pmod!$B$3&amp;$B$2&amp;Weekly_Pmod!$B$1)</f>
        <v>0</v>
      </c>
      <c r="BZ23" s="2">
        <f>COUNTIF(defects!$AB:$AB,Weekly_Pmod!BZ$3&amp;Weekly_Pmod!$B23&amp;Weekly_Pmod!$B$3&amp;$B$2&amp;Weekly_Pmod!$B$1)</f>
        <v>0</v>
      </c>
      <c r="CA23" s="2">
        <f>COUNTIF(defects!$AB:$AB,Weekly_Pmod!CA$3&amp;Weekly_Pmod!$B23&amp;Weekly_Pmod!$B$3&amp;$B$2&amp;Weekly_Pmod!$B$1)</f>
        <v>0</v>
      </c>
      <c r="CB23" s="2">
        <f>COUNTIF(defects!$AB:$AB,Weekly_Pmod!CB$3&amp;Weekly_Pmod!$B23&amp;Weekly_Pmod!$B$3&amp;$B$2&amp;Weekly_Pmod!$B$1)</f>
        <v>0</v>
      </c>
      <c r="CC23" s="2">
        <f>COUNTIF(defects!$AB:$AB,Weekly_Pmod!CC$3&amp;Weekly_Pmod!$B23&amp;Weekly_Pmod!$B$3&amp;$B$2&amp;Weekly_Pmod!$B$1)</f>
        <v>0</v>
      </c>
      <c r="CD23" s="2">
        <f>COUNTIF(defects!$AB:$AB,Weekly_Pmod!CD$3&amp;Weekly_Pmod!$B23&amp;Weekly_Pmod!$B$3&amp;$B$2&amp;Weekly_Pmod!$B$1)</f>
        <v>0</v>
      </c>
      <c r="CE23" s="2">
        <f>COUNTIF(defects!$AB:$AB,Weekly_Pmod!CE$3&amp;Weekly_Pmod!$B23&amp;Weekly_Pmod!$B$3&amp;$B$2&amp;Weekly_Pmod!$B$1)</f>
        <v>0</v>
      </c>
      <c r="CF23" s="2">
        <f>COUNTIF(defects!$AB:$AB,Weekly_Pmod!CF$3&amp;Weekly_Pmod!$B23&amp;Weekly_Pmod!$B$3&amp;$B$2&amp;Weekly_Pmod!$B$1)</f>
        <v>0</v>
      </c>
      <c r="CG23" s="2">
        <f>COUNTIF(defects!$AB:$AB,Weekly_Pmod!CG$3&amp;Weekly_Pmod!$B23&amp;Weekly_Pmod!$B$3&amp;$B$2&amp;Weekly_Pmod!$B$1)</f>
        <v>0</v>
      </c>
      <c r="CH23" s="2">
        <f>COUNTIF(defects!$AB:$AB,Weekly_Pmod!CH$3&amp;Weekly_Pmod!$B23&amp;Weekly_Pmod!$B$3&amp;$B$2&amp;Weekly_Pmod!$B$1)</f>
        <v>0</v>
      </c>
      <c r="CI23" s="2">
        <f>COUNTIF(defects!$AB:$AB,Weekly_Pmod!CI$3&amp;Weekly_Pmod!$B23&amp;Weekly_Pmod!$B$3&amp;$B$2&amp;Weekly_Pmod!$B$1)</f>
        <v>0</v>
      </c>
      <c r="CJ23" s="2">
        <f>COUNTIF(defects!$AB:$AB,Weekly_Pmod!CJ$3&amp;Weekly_Pmod!$B23&amp;Weekly_Pmod!$B$3&amp;$B$2&amp;Weekly_Pmod!$B$1)</f>
        <v>0</v>
      </c>
      <c r="CK23" s="2">
        <f>COUNTIF(defects!$AB:$AB,Weekly_Pmod!CK$3&amp;Weekly_Pmod!$B23&amp;Weekly_Pmod!$B$3&amp;$B$2&amp;Weekly_Pmod!$B$1)</f>
        <v>0</v>
      </c>
      <c r="CL23" s="2">
        <f>COUNTIF(defects!$AB:$AB,Weekly_Pmod!CL$3&amp;Weekly_Pmod!$B23&amp;Weekly_Pmod!$B$3&amp;$B$2&amp;Weekly_Pmod!$B$1)</f>
        <v>0</v>
      </c>
      <c r="CM23" s="2">
        <f>COUNTIF(defects!$AB:$AB,Weekly_Pmod!CM$3&amp;Weekly_Pmod!$B23&amp;Weekly_Pmod!$B$3&amp;$B$2&amp;Weekly_Pmod!$B$1)</f>
        <v>0</v>
      </c>
      <c r="CN23" s="2">
        <f>COUNTIF(defects!$AB:$AB,Weekly_Pmod!CN$3&amp;Weekly_Pmod!$B23&amp;Weekly_Pmod!$B$3&amp;$B$2&amp;Weekly_Pmod!$B$1)</f>
        <v>0</v>
      </c>
      <c r="CO23" s="2">
        <f>COUNTIF(defects!$AB:$AB,Weekly_Pmod!CO$3&amp;Weekly_Pmod!$B23&amp;Weekly_Pmod!$B$3&amp;$B$2&amp;Weekly_Pmod!$B$1)</f>
        <v>0</v>
      </c>
      <c r="CP23" s="2">
        <f>COUNTIF(defects!$AB:$AB,Weekly_Pmod!CP$3&amp;Weekly_Pmod!$B23&amp;Weekly_Pmod!$B$3&amp;$B$2&amp;Weekly_Pmod!$B$1)</f>
        <v>0</v>
      </c>
      <c r="CQ23" s="2">
        <f>COUNTIF(defects!$AB:$AB,Weekly_Pmod!CQ$3&amp;Weekly_Pmod!$B23&amp;Weekly_Pmod!$B$3&amp;$B$2&amp;Weekly_Pmod!$B$1)</f>
        <v>0</v>
      </c>
      <c r="CR23" s="2">
        <f>COUNTIF(defects!$AB:$AB,Weekly_Pmod!CR$3&amp;Weekly_Pmod!$B23&amp;Weekly_Pmod!$B$3&amp;$B$2&amp;Weekly_Pmod!$B$1)</f>
        <v>0</v>
      </c>
      <c r="CS23" s="2">
        <f>COUNTIF(defects!$AB:$AB,Weekly_Pmod!CS$3&amp;Weekly_Pmod!$B23&amp;Weekly_Pmod!$B$3&amp;$B$2&amp;Weekly_Pmod!$B$1)</f>
        <v>0</v>
      </c>
      <c r="CT23" s="2">
        <f>COUNTIF(defects!$AB:$AB,Weekly_Pmod!CT$3&amp;Weekly_Pmod!$B23&amp;Weekly_Pmod!$B$3&amp;$B$2&amp;Weekly_Pmod!$B$1)</f>
        <v>0</v>
      </c>
      <c r="CU23" s="2">
        <f>COUNTIF(defects!$AB:$AB,Weekly_Pmod!CU$3&amp;Weekly_Pmod!$B23&amp;Weekly_Pmod!$B$3&amp;$B$2&amp;Weekly_Pmod!$B$1)</f>
        <v>0</v>
      </c>
      <c r="CV23" s="2">
        <f>COUNTIF(defects!$AB:$AB,Weekly_Pmod!CV$3&amp;Weekly_Pmod!$B23&amp;Weekly_Pmod!$B$3&amp;$B$2&amp;Weekly_Pmod!$B$1)</f>
        <v>0</v>
      </c>
      <c r="CW23" s="2">
        <f>COUNTIF(defects!$AB:$AB,Weekly_Pmod!CW$3&amp;Weekly_Pmod!$B23&amp;Weekly_Pmod!$B$3&amp;$B$2&amp;Weekly_Pmod!$B$1)</f>
        <v>0</v>
      </c>
      <c r="CX23" s="2">
        <f>COUNTIF(defects!$AB:$AB,Weekly_Pmod!CX$3&amp;Weekly_Pmod!$B23&amp;Weekly_Pmod!$B$3&amp;$B$2&amp;Weekly_Pmod!$B$1)</f>
        <v>0</v>
      </c>
      <c r="CY23" s="2">
        <f>COUNTIF(defects!$AB:$AB,Weekly_Pmod!CY$3&amp;Weekly_Pmod!$B23&amp;Weekly_Pmod!$B$3&amp;$B$2&amp;Weekly_Pmod!$B$1)</f>
        <v>0</v>
      </c>
      <c r="CZ23" s="2">
        <f>COUNTIF(defects!$AB:$AB,Weekly_Pmod!CZ$3&amp;Weekly_Pmod!$B23&amp;Weekly_Pmod!$B$3&amp;$B$2&amp;Weekly_Pmod!$B$1)</f>
        <v>0</v>
      </c>
      <c r="DA23" s="2">
        <f>COUNTIF(defects!$AB:$AB,Weekly_Pmod!DA$3&amp;Weekly_Pmod!$B23&amp;Weekly_Pmod!$B$3&amp;$B$2&amp;Weekly_Pmod!$B$1)</f>
        <v>0</v>
      </c>
      <c r="DB23" s="2">
        <f>COUNTIF(defects!$AB:$AB,Weekly_Pmod!DB$3&amp;Weekly_Pmod!$B23&amp;Weekly_Pmod!$B$3&amp;$B$2&amp;Weekly_Pmod!$B$1)</f>
        <v>0</v>
      </c>
      <c r="DC23" s="2">
        <f>COUNTIF(defects!$AB:$AB,Weekly_Pmod!DC$3&amp;Weekly_Pmod!$B23&amp;Weekly_Pmod!$B$3&amp;$B$2&amp;Weekly_Pmod!$B$1)</f>
        <v>0</v>
      </c>
      <c r="DD23" s="2">
        <f>COUNTIF(defects!$AB:$AB,Weekly_Pmod!DD$3&amp;Weekly_Pmod!$B23&amp;Weekly_Pmod!$B$3&amp;$B$2&amp;Weekly_Pmod!$B$1)</f>
        <v>0</v>
      </c>
      <c r="DE23" s="2">
        <f>COUNTIF(defects!$AB:$AB,Weekly_Pmod!DE$3&amp;Weekly_Pmod!$B23&amp;Weekly_Pmod!$B$3&amp;$B$2&amp;Weekly_Pmod!$B$1)</f>
        <v>0</v>
      </c>
      <c r="DF23" s="2">
        <f>COUNTIF(defects!$AB:$AB,Weekly_Pmod!DF$3&amp;Weekly_Pmod!$B23&amp;Weekly_Pmod!$B$3&amp;$B$2&amp;Weekly_Pmod!$B$1)</f>
        <v>0</v>
      </c>
      <c r="DG23" s="2">
        <f>COUNTIF(defects!$AB:$AB,Weekly_Pmod!DG$3&amp;Weekly_Pmod!$B23&amp;Weekly_Pmod!$B$3&amp;$B$2&amp;Weekly_Pmod!$B$1)</f>
        <v>0</v>
      </c>
      <c r="DH23" s="2">
        <f>COUNTIF(defects!$AB:$AB,Weekly_Pmod!DH$3&amp;Weekly_Pmod!$B23&amp;Weekly_Pmod!$B$3&amp;$B$2&amp;Weekly_Pmod!$B$1)</f>
        <v>0</v>
      </c>
      <c r="DI23" s="2">
        <f>COUNTIF(defects!$AB:$AB,Weekly_Pmod!DI$3&amp;Weekly_Pmod!$B23&amp;Weekly_Pmod!$B$3&amp;$B$2&amp;Weekly_Pmod!$B$1)</f>
        <v>0</v>
      </c>
      <c r="DJ23" s="2">
        <f>COUNTIF(defects!$AB:$AB,Weekly_Pmod!DJ$3&amp;Weekly_Pmod!$B23&amp;Weekly_Pmod!$B$3&amp;$B$2&amp;Weekly_Pmod!$B$1)</f>
        <v>0</v>
      </c>
      <c r="DK23" s="2">
        <f>COUNTIF(defects!$AB:$AB,Weekly_Pmod!DK$3&amp;Weekly_Pmod!$B23&amp;Weekly_Pmod!$B$3&amp;$B$2&amp;Weekly_Pmod!$B$1)</f>
        <v>0</v>
      </c>
      <c r="DL23" s="2">
        <f>COUNTIF(defects!$AB:$AB,Weekly_Pmod!DL$3&amp;Weekly_Pmod!$B23&amp;Weekly_Pmod!$B$3&amp;$B$2&amp;Weekly_Pmod!$B$1)</f>
        <v>0</v>
      </c>
      <c r="DM23" s="2">
        <f>COUNTIF(defects!$AB:$AB,Weekly_Pmod!DM$3&amp;Weekly_Pmod!$B23&amp;Weekly_Pmod!$B$3&amp;$B$2&amp;Weekly_Pmod!$B$1)</f>
        <v>0</v>
      </c>
      <c r="DN23" s="2">
        <f>COUNTIF(defects!$AB:$AB,Weekly_Pmod!DN$3&amp;Weekly_Pmod!$B23&amp;Weekly_Pmod!$B$3&amp;$B$2&amp;Weekly_Pmod!$B$1)</f>
        <v>0</v>
      </c>
      <c r="DO23" s="2">
        <f>COUNTIF(defects!$AB:$AB,Weekly_Pmod!DO$3&amp;Weekly_Pmod!$B23&amp;Weekly_Pmod!$B$3&amp;$B$2&amp;Weekly_Pmod!$B$1)</f>
        <v>0</v>
      </c>
      <c r="DP23" s="2">
        <f>COUNTIF(defects!$AB:$AB,Weekly_Pmod!DP$3&amp;Weekly_Pmod!$B23&amp;Weekly_Pmod!$B$3&amp;$B$2&amp;Weekly_Pmod!$B$1)</f>
        <v>0</v>
      </c>
      <c r="DQ23" s="2">
        <f>COUNTIF(defects!$AB:$AB,Weekly_Pmod!DQ$3&amp;Weekly_Pmod!$B23&amp;Weekly_Pmod!$B$3&amp;$B$2&amp;Weekly_Pmod!$B$1)</f>
        <v>0</v>
      </c>
      <c r="DR23" s="2">
        <f>COUNTIF(defects!$AB:$AB,Weekly_Pmod!DR$3&amp;Weekly_Pmod!$B23&amp;Weekly_Pmod!$B$3&amp;$B$2&amp;Weekly_Pmod!$B$1)</f>
        <v>0</v>
      </c>
      <c r="DS23" s="2">
        <f>COUNTIF(defects!$AB:$AB,Weekly_Pmod!DS$3&amp;Weekly_Pmod!$B23&amp;Weekly_Pmod!$B$3&amp;$B$2&amp;Weekly_Pmod!$B$1)</f>
        <v>0</v>
      </c>
      <c r="DT23" s="2">
        <f>COUNTIF(defects!$AB:$AB,Weekly_Pmod!DT$3&amp;Weekly_Pmod!$B23&amp;Weekly_Pmod!$B$3&amp;$B$2&amp;Weekly_Pmod!$B$1)</f>
        <v>0</v>
      </c>
      <c r="DU23" s="2">
        <f>COUNTIF(defects!$AB:$AB,Weekly_Pmod!DU$3&amp;Weekly_Pmod!$B23&amp;Weekly_Pmod!$B$3&amp;$B$2&amp;Weekly_Pmod!$B$1)</f>
        <v>0</v>
      </c>
      <c r="DV23" s="2">
        <f>COUNTIF(defects!$AB:$AB,Weekly_Pmod!DV$3&amp;Weekly_Pmod!$B23&amp;Weekly_Pmod!$B$3&amp;$B$2&amp;Weekly_Pmod!$B$1)</f>
        <v>0</v>
      </c>
      <c r="DW23" s="2">
        <f>COUNTIF(defects!$AB:$AB,Weekly_Pmod!DW$3&amp;Weekly_Pmod!$B23&amp;Weekly_Pmod!$B$3&amp;$B$2&amp;Weekly_Pmod!$B$1)</f>
        <v>0</v>
      </c>
      <c r="DX23" s="2">
        <f>COUNTIF(defects!$AB:$AB,Weekly_Pmod!DX$3&amp;Weekly_Pmod!$B23&amp;Weekly_Pmod!$B$3&amp;$B$2&amp;Weekly_Pmod!$B$1)</f>
        <v>0</v>
      </c>
      <c r="DY23" s="2">
        <f>COUNTIF(defects!$AB:$AB,Weekly_Pmod!DY$3&amp;Weekly_Pmod!$B23&amp;Weekly_Pmod!$B$3&amp;$B$2&amp;Weekly_Pmod!$B$1)</f>
        <v>0</v>
      </c>
      <c r="DZ23" s="2">
        <f>COUNTIF(defects!$AB:$AB,Weekly_Pmod!DZ$3&amp;Weekly_Pmod!$B23&amp;Weekly_Pmod!$B$3&amp;$B$2&amp;Weekly_Pmod!$B$1)</f>
        <v>0</v>
      </c>
      <c r="EA23" s="2">
        <f>COUNTIF(defects!$AB:$AB,Weekly_Pmod!EA$3&amp;Weekly_Pmod!$B23&amp;Weekly_Pmod!$B$3&amp;$B$2&amp;Weekly_Pmod!$B$1)</f>
        <v>0</v>
      </c>
      <c r="EB23" s="2">
        <f>COUNTIF(defects!$AB:$AB,Weekly_Pmod!EB$3&amp;Weekly_Pmod!$B23&amp;Weekly_Pmod!$B$3&amp;$B$2&amp;Weekly_Pmod!$B$1)</f>
        <v>0</v>
      </c>
      <c r="EC23" s="2">
        <f>COUNTIF(defects!$AB:$AB,Weekly_Pmod!EC$3&amp;Weekly_Pmod!$B23&amp;Weekly_Pmod!$B$3&amp;$B$2&amp;Weekly_Pmod!$B$1)</f>
        <v>0</v>
      </c>
      <c r="ED23" s="2">
        <f>COUNTIF(defects!$AB:$AB,Weekly_Pmod!ED$3&amp;Weekly_Pmod!$B23&amp;Weekly_Pmod!$B$3&amp;$B$2&amp;Weekly_Pmod!$B$1)</f>
        <v>0</v>
      </c>
      <c r="EE23" s="2">
        <f>COUNTIF(defects!$AB:$AB,Weekly_Pmod!EE$3&amp;Weekly_Pmod!$B23&amp;Weekly_Pmod!$B$3&amp;$B$2&amp;Weekly_Pmod!$B$1)</f>
        <v>0</v>
      </c>
      <c r="EF23" s="2">
        <f>COUNTIF(defects!$AB:$AB,Weekly_Pmod!EF$3&amp;Weekly_Pmod!$B23&amp;Weekly_Pmod!$B$3&amp;$B$2&amp;Weekly_Pmod!$B$1)</f>
        <v>0</v>
      </c>
      <c r="EG23" s="2">
        <f>COUNTIF(defects!$AB:$AB,Weekly_Pmod!EG$3&amp;Weekly_Pmod!$B23&amp;Weekly_Pmod!$B$3&amp;$B$2&amp;Weekly_Pmod!$B$1)</f>
        <v>0</v>
      </c>
      <c r="EH23" s="2">
        <f>COUNTIF(defects!$AB:$AB,Weekly_Pmod!EH$3&amp;Weekly_Pmod!$B23&amp;Weekly_Pmod!$B$3&amp;$B$2&amp;Weekly_Pmod!$B$1)</f>
        <v>0</v>
      </c>
      <c r="EI23" s="2">
        <f>COUNTIF(defects!$AB:$AB,Weekly_Pmod!EI$3&amp;Weekly_Pmod!$B23&amp;Weekly_Pmod!$B$3&amp;$B$2&amp;Weekly_Pmod!$B$1)</f>
        <v>0</v>
      </c>
      <c r="EJ23" s="2">
        <f>COUNTIF(defects!$AB:$AB,Weekly_Pmod!EJ$3&amp;Weekly_Pmod!$B23&amp;Weekly_Pmod!$B$3&amp;$B$2&amp;Weekly_Pmod!$B$1)</f>
        <v>0</v>
      </c>
      <c r="EK23" s="2">
        <f>COUNTIF(defects!$AB:$AB,Weekly_Pmod!EK$3&amp;Weekly_Pmod!$B23&amp;Weekly_Pmod!$B$3&amp;$B$2&amp;Weekly_Pmod!$B$1)</f>
        <v>0</v>
      </c>
      <c r="EL23" s="2">
        <f>COUNTIF(defects!$AB:$AB,Weekly_Pmod!EL$3&amp;Weekly_Pmod!$B23&amp;Weekly_Pmod!$B$3&amp;$B$2&amp;Weekly_Pmod!$B$1)</f>
        <v>0</v>
      </c>
      <c r="EM23" s="2">
        <f>COUNTIF(defects!$AB:$AB,Weekly_Pmod!EM$3&amp;Weekly_Pmod!$B23&amp;Weekly_Pmod!$B$3&amp;$B$2&amp;Weekly_Pmod!$B$1)</f>
        <v>0</v>
      </c>
      <c r="EN23" s="2">
        <f>COUNTIF(defects!$AB:$AB,Weekly_Pmod!EN$3&amp;Weekly_Pmod!$B23&amp;Weekly_Pmod!$B$3&amp;$B$2&amp;Weekly_Pmod!$B$1)</f>
        <v>0</v>
      </c>
      <c r="EO23" s="2">
        <f>COUNTIF(defects!$AB:$AB,Weekly_Pmod!EO$3&amp;Weekly_Pmod!$B23&amp;Weekly_Pmod!$B$3&amp;$B$2&amp;Weekly_Pmod!$B$1)</f>
        <v>0</v>
      </c>
      <c r="EP23" s="2">
        <f>COUNTIF(defects!$AB:$AB,Weekly_Pmod!EP$3&amp;Weekly_Pmod!$B23&amp;Weekly_Pmod!$B$3&amp;$B$2&amp;Weekly_Pmod!$B$1)</f>
        <v>0</v>
      </c>
      <c r="EQ23" s="2">
        <f>COUNTIF(defects!$AB:$AB,Weekly_Pmod!EQ$3&amp;Weekly_Pmod!$B23&amp;Weekly_Pmod!$B$3&amp;$B$2&amp;Weekly_Pmod!$B$1)</f>
        <v>0</v>
      </c>
      <c r="ER23" s="2">
        <f>COUNTIF(defects!$AB:$AB,Weekly_Pmod!ER$3&amp;Weekly_Pmod!$B23&amp;Weekly_Pmod!$B$3&amp;$B$2&amp;Weekly_Pmod!$B$1)</f>
        <v>0</v>
      </c>
      <c r="ES23" s="2">
        <f>COUNTIF(defects!$AB:$AB,Weekly_Pmod!ES$3&amp;Weekly_Pmod!$B23&amp;Weekly_Pmod!$B$3&amp;$B$2&amp;Weekly_Pmod!$B$1)</f>
        <v>0</v>
      </c>
      <c r="ET23" s="2">
        <f>COUNTIF(defects!$AB:$AB,Weekly_Pmod!ET$3&amp;Weekly_Pmod!$B23&amp;Weekly_Pmod!$B$3&amp;$B$2&amp;Weekly_Pmod!$B$1)</f>
        <v>0</v>
      </c>
      <c r="EU23" s="2">
        <f>COUNTIF(defects!$AB:$AB,Weekly_Pmod!EU$3&amp;Weekly_Pmod!$B23&amp;Weekly_Pmod!$B$3&amp;$B$2&amp;Weekly_Pmod!$B$1)</f>
        <v>0</v>
      </c>
      <c r="EV23" s="2">
        <f>COUNTIF(defects!$AB:$AB,Weekly_Pmod!EV$3&amp;Weekly_Pmod!$B23&amp;Weekly_Pmod!$B$3&amp;$B$2&amp;Weekly_Pmod!$B$1)</f>
        <v>0</v>
      </c>
      <c r="EW23" s="2">
        <f>COUNTIF(defects!$AB:$AB,Weekly_Pmod!EW$3&amp;Weekly_Pmod!$B23&amp;Weekly_Pmod!$B$3&amp;$B$2&amp;Weekly_Pmod!$B$1)</f>
        <v>0</v>
      </c>
      <c r="EX23" s="2">
        <f>COUNTIF(defects!$AB:$AB,Weekly_Pmod!EX$3&amp;Weekly_Pmod!$B23&amp;Weekly_Pmod!$B$3&amp;$B$2&amp;Weekly_Pmod!$B$1)</f>
        <v>0</v>
      </c>
      <c r="EY23" s="2">
        <f>COUNTIF(defects!$AB:$AB,Weekly_Pmod!EY$3&amp;Weekly_Pmod!$B23&amp;Weekly_Pmod!$B$3&amp;$B$2&amp;Weekly_Pmod!$B$1)</f>
        <v>0</v>
      </c>
      <c r="EZ23" s="2">
        <f>COUNTIF(defects!$AB:$AB,Weekly_Pmod!EZ$3&amp;Weekly_Pmod!$B23&amp;Weekly_Pmod!$B$3&amp;$B$2&amp;Weekly_Pmod!$B$1)</f>
        <v>0</v>
      </c>
      <c r="FA23" s="2">
        <f>COUNTIF(defects!$AB:$AB,Weekly_Pmod!FA$3&amp;Weekly_Pmod!$B23&amp;Weekly_Pmod!$B$3&amp;$B$2&amp;Weekly_Pmod!$B$1)</f>
        <v>0</v>
      </c>
      <c r="FB23" s="2">
        <f>COUNTIF(defects!$AB:$AB,Weekly_Pmod!FB$3&amp;Weekly_Pmod!$B23&amp;Weekly_Pmod!$B$3&amp;$B$2&amp;Weekly_Pmod!$B$1)</f>
        <v>0</v>
      </c>
      <c r="FC23" s="2">
        <f>COUNTIF(defects!$AB:$AB,Weekly_Pmod!FC$3&amp;Weekly_Pmod!$B23&amp;Weekly_Pmod!$B$3&amp;$B$2&amp;Weekly_Pmod!$B$1)</f>
        <v>0</v>
      </c>
      <c r="FD23" s="2">
        <f>COUNTIF(defects!$AB:$AB,Weekly_Pmod!FD$3&amp;Weekly_Pmod!$B23&amp;Weekly_Pmod!$B$3&amp;$B$2&amp;Weekly_Pmod!$B$1)</f>
        <v>0</v>
      </c>
      <c r="FE23" s="2">
        <f>COUNTIF(defects!$AB:$AB,Weekly_Pmod!FE$3&amp;Weekly_Pmod!$B23&amp;Weekly_Pmod!$B$3&amp;$B$2&amp;Weekly_Pmod!$B$1)</f>
        <v>0</v>
      </c>
    </row>
    <row r="24" spans="2:161">
      <c r="B24" s="3" t="s">
        <v>996</v>
      </c>
      <c r="C24" s="2">
        <f>COUNTIF(defects!$AB:$AB,Weekly_Pmod!C$3&amp;Weekly_Pmod!$B24&amp;Weekly_Pmod!$B$3&amp;$B$2&amp;Weekly_Pmod!$B$1)</f>
        <v>0</v>
      </c>
      <c r="D24" s="2">
        <f>COUNTIF(defects!$AB:$AB,Weekly_Pmod!D$3&amp;Weekly_Pmod!$B24&amp;Weekly_Pmod!$B$3&amp;$B$2&amp;Weekly_Pmod!$B$1)</f>
        <v>0</v>
      </c>
      <c r="E24" s="2">
        <f>COUNTIF(defects!$AB:$AB,Weekly_Pmod!E$3&amp;Weekly_Pmod!$B24&amp;Weekly_Pmod!$B$3&amp;$B$2&amp;Weekly_Pmod!$B$1)</f>
        <v>0</v>
      </c>
      <c r="F24" s="2">
        <f>COUNTIF(defects!$AB:$AB,Weekly_Pmod!F$3&amp;Weekly_Pmod!$B24&amp;Weekly_Pmod!$B$3&amp;$B$2&amp;Weekly_Pmod!$B$1)</f>
        <v>0</v>
      </c>
      <c r="G24" s="2">
        <f>COUNTIF(defects!$AB:$AB,Weekly_Pmod!G$3&amp;Weekly_Pmod!$B24&amp;Weekly_Pmod!$B$3&amp;$B$2&amp;Weekly_Pmod!$B$1)</f>
        <v>0</v>
      </c>
      <c r="H24" s="2">
        <f>COUNTIF(defects!$AB:$AB,Weekly_Pmod!H$3&amp;Weekly_Pmod!$B24&amp;Weekly_Pmod!$B$3&amp;$B$2&amp;Weekly_Pmod!$B$1)</f>
        <v>0</v>
      </c>
      <c r="I24" s="2">
        <f>COUNTIF(defects!$AB:$AB,Weekly_Pmod!I$3&amp;Weekly_Pmod!$B24&amp;Weekly_Pmod!$B$3&amp;$B$2&amp;Weekly_Pmod!$B$1)</f>
        <v>0</v>
      </c>
      <c r="J24" s="2">
        <f>COUNTIF(defects!$AB:$AB,Weekly_Pmod!J$3&amp;Weekly_Pmod!$B24&amp;Weekly_Pmod!$B$3&amp;$B$2&amp;Weekly_Pmod!$B$1)</f>
        <v>0</v>
      </c>
      <c r="K24" s="2">
        <f>COUNTIF(defects!$AB:$AB,Weekly_Pmod!K$3&amp;Weekly_Pmod!$B24&amp;Weekly_Pmod!$B$3&amp;$B$2&amp;Weekly_Pmod!$B$1)</f>
        <v>0</v>
      </c>
      <c r="L24" s="2">
        <f>COUNTIF(defects!$AB:$AB,Weekly_Pmod!L$3&amp;Weekly_Pmod!$B24&amp;Weekly_Pmod!$B$3&amp;$B$2&amp;Weekly_Pmod!$B$1)</f>
        <v>0</v>
      </c>
      <c r="M24" s="2">
        <f>COUNTIF(defects!$AB:$AB,Weekly_Pmod!M$3&amp;Weekly_Pmod!$B24&amp;Weekly_Pmod!$B$3&amp;$B$2&amp;Weekly_Pmod!$B$1)</f>
        <v>0</v>
      </c>
      <c r="N24" s="2">
        <f>COUNTIF(defects!$AB:$AB,Weekly_Pmod!N$3&amp;Weekly_Pmod!$B24&amp;Weekly_Pmod!$B$3&amp;$B$2&amp;Weekly_Pmod!$B$1)</f>
        <v>0</v>
      </c>
      <c r="O24" s="2">
        <f>COUNTIF(defects!$AB:$AB,Weekly_Pmod!O$3&amp;Weekly_Pmod!$B24&amp;Weekly_Pmod!$B$3&amp;$B$2&amp;Weekly_Pmod!$B$1)</f>
        <v>0</v>
      </c>
      <c r="P24" s="2">
        <f>COUNTIF(defects!$AB:$AB,Weekly_Pmod!P$3&amp;Weekly_Pmod!$B24&amp;Weekly_Pmod!$B$3&amp;$B$2&amp;Weekly_Pmod!$B$1)</f>
        <v>0</v>
      </c>
      <c r="Q24" s="2">
        <f>COUNTIF(defects!$AB:$AB,Weekly_Pmod!Q$3&amp;Weekly_Pmod!$B24&amp;Weekly_Pmod!$B$3&amp;$B$2&amp;Weekly_Pmod!$B$1)</f>
        <v>0</v>
      </c>
      <c r="R24" s="2">
        <f>COUNTIF(defects!$AB:$AB,Weekly_Pmod!R$3&amp;Weekly_Pmod!$B24&amp;Weekly_Pmod!$B$3&amp;$B$2&amp;Weekly_Pmod!$B$1)</f>
        <v>0</v>
      </c>
      <c r="S24" s="2">
        <f>COUNTIF(defects!$AB:$AB,Weekly_Pmod!S$3&amp;Weekly_Pmod!$B24&amp;Weekly_Pmod!$B$3&amp;$B$2&amp;Weekly_Pmod!$B$1)</f>
        <v>0</v>
      </c>
      <c r="T24" s="2">
        <f>COUNTIF(defects!$AB:$AB,Weekly_Pmod!T$3&amp;Weekly_Pmod!$B24&amp;Weekly_Pmod!$B$3&amp;$B$2&amp;Weekly_Pmod!$B$1)</f>
        <v>0</v>
      </c>
      <c r="U24" s="2">
        <f>COUNTIF(defects!$AB:$AB,Weekly_Pmod!U$3&amp;Weekly_Pmod!$B24&amp;Weekly_Pmod!$B$3&amp;$B$2&amp;Weekly_Pmod!$B$1)</f>
        <v>0</v>
      </c>
      <c r="V24" s="2">
        <f>COUNTIF(defects!$AB:$AB,Weekly_Pmod!V$3&amp;Weekly_Pmod!$B24&amp;Weekly_Pmod!$B$3&amp;$B$2&amp;Weekly_Pmod!$B$1)</f>
        <v>0</v>
      </c>
      <c r="W24" s="2">
        <f>COUNTIF(defects!$AB:$AB,Weekly_Pmod!W$3&amp;Weekly_Pmod!$B24&amp;Weekly_Pmod!$B$3&amp;$B$2&amp;Weekly_Pmod!$B$1)</f>
        <v>0</v>
      </c>
      <c r="X24" s="2">
        <f>COUNTIF(defects!$AB:$AB,Weekly_Pmod!X$3&amp;Weekly_Pmod!$B24&amp;Weekly_Pmod!$B$3&amp;$B$2&amp;Weekly_Pmod!$B$1)</f>
        <v>0</v>
      </c>
      <c r="Y24" s="2">
        <f>COUNTIF(defects!$AB:$AB,Weekly_Pmod!Y$3&amp;Weekly_Pmod!$B24&amp;Weekly_Pmod!$B$3&amp;$B$2&amp;Weekly_Pmod!$B$1)</f>
        <v>0</v>
      </c>
      <c r="Z24" s="2">
        <f>COUNTIF(defects!$AB:$AB,Weekly_Pmod!Z$3&amp;Weekly_Pmod!$B24&amp;Weekly_Pmod!$B$3&amp;$B$2&amp;Weekly_Pmod!$B$1)</f>
        <v>0</v>
      </c>
      <c r="AA24" s="2">
        <f>COUNTIF(defects!$AB:$AB,Weekly_Pmod!AA$3&amp;Weekly_Pmod!$B24&amp;Weekly_Pmod!$B$3&amp;$B$2&amp;Weekly_Pmod!$B$1)</f>
        <v>0</v>
      </c>
      <c r="AB24" s="2">
        <f>COUNTIF(defects!$AB:$AB,Weekly_Pmod!AB$3&amp;Weekly_Pmod!$B24&amp;Weekly_Pmod!$B$3&amp;$B$2&amp;Weekly_Pmod!$B$1)</f>
        <v>0</v>
      </c>
      <c r="AC24" s="2">
        <f>COUNTIF(defects!$AB:$AB,Weekly_Pmod!AC$3&amp;Weekly_Pmod!$B24&amp;Weekly_Pmod!$B$3&amp;$B$2&amp;Weekly_Pmod!$B$1)</f>
        <v>0</v>
      </c>
      <c r="AD24" s="2">
        <f>COUNTIF(defects!$AB:$AB,Weekly_Pmod!AD$3&amp;Weekly_Pmod!$B24&amp;Weekly_Pmod!$B$3&amp;$B$2&amp;Weekly_Pmod!$B$1)</f>
        <v>0</v>
      </c>
      <c r="AE24" s="2">
        <f>COUNTIF(defects!$AB:$AB,Weekly_Pmod!AE$3&amp;Weekly_Pmod!$B24&amp;Weekly_Pmod!$B$3&amp;$B$2&amp;Weekly_Pmod!$B$1)</f>
        <v>0</v>
      </c>
      <c r="AF24" s="2">
        <f>COUNTIF(defects!$AB:$AB,Weekly_Pmod!AF$3&amp;Weekly_Pmod!$B24&amp;Weekly_Pmod!$B$3&amp;$B$2&amp;Weekly_Pmod!$B$1)</f>
        <v>0</v>
      </c>
      <c r="AG24" s="2">
        <f>COUNTIF(defects!$AB:$AB,Weekly_Pmod!AG$3&amp;Weekly_Pmod!$B24&amp;Weekly_Pmod!$B$3&amp;$B$2&amp;Weekly_Pmod!$B$1)</f>
        <v>0</v>
      </c>
      <c r="AH24" s="2">
        <f>COUNTIF(defects!$AB:$AB,Weekly_Pmod!AH$3&amp;Weekly_Pmod!$B24&amp;Weekly_Pmod!$B$3&amp;$B$2&amp;Weekly_Pmod!$B$1)</f>
        <v>0</v>
      </c>
      <c r="AI24" s="2">
        <f>COUNTIF(defects!$AB:$AB,Weekly_Pmod!AI$3&amp;Weekly_Pmod!$B24&amp;Weekly_Pmod!$B$3&amp;$B$2&amp;Weekly_Pmod!$B$1)</f>
        <v>0</v>
      </c>
      <c r="AJ24" s="2">
        <f>COUNTIF(defects!$AB:$AB,Weekly_Pmod!AJ$3&amp;Weekly_Pmod!$B24&amp;Weekly_Pmod!$B$3&amp;$B$2&amp;Weekly_Pmod!$B$1)</f>
        <v>0</v>
      </c>
      <c r="AK24" s="2">
        <f>COUNTIF(defects!$AB:$AB,Weekly_Pmod!AK$3&amp;Weekly_Pmod!$B24&amp;Weekly_Pmod!$B$3&amp;$B$2&amp;Weekly_Pmod!$B$1)</f>
        <v>0</v>
      </c>
      <c r="AL24" s="2">
        <f>COUNTIF(defects!$AB:$AB,Weekly_Pmod!AL$3&amp;Weekly_Pmod!$B24&amp;Weekly_Pmod!$B$3&amp;$B$2&amp;Weekly_Pmod!$B$1)</f>
        <v>0</v>
      </c>
      <c r="AM24" s="2">
        <f>COUNTIF(defects!$AB:$AB,Weekly_Pmod!AM$3&amp;Weekly_Pmod!$B24&amp;Weekly_Pmod!$B$3&amp;$B$2&amp;Weekly_Pmod!$B$1)</f>
        <v>0</v>
      </c>
      <c r="AN24" s="2">
        <f>COUNTIF(defects!$AB:$AB,Weekly_Pmod!AN$3&amp;Weekly_Pmod!$B24&amp;Weekly_Pmod!$B$3&amp;$B$2&amp;Weekly_Pmod!$B$1)</f>
        <v>0</v>
      </c>
      <c r="AO24" s="2">
        <f>COUNTIF(defects!$AB:$AB,Weekly_Pmod!AO$3&amp;Weekly_Pmod!$B24&amp;Weekly_Pmod!$B$3&amp;$B$2&amp;Weekly_Pmod!$B$1)</f>
        <v>0</v>
      </c>
      <c r="AP24" s="2">
        <f>COUNTIF(defects!$AB:$AB,Weekly_Pmod!AP$3&amp;Weekly_Pmod!$B24&amp;Weekly_Pmod!$B$3&amp;$B$2&amp;Weekly_Pmod!$B$1)</f>
        <v>0</v>
      </c>
      <c r="AQ24" s="2">
        <f>COUNTIF(defects!$AB:$AB,Weekly_Pmod!AQ$3&amp;Weekly_Pmod!$B24&amp;Weekly_Pmod!$B$3&amp;$B$2&amp;Weekly_Pmod!$B$1)</f>
        <v>0</v>
      </c>
      <c r="AR24" s="2">
        <f>COUNTIF(defects!$AB:$AB,Weekly_Pmod!AR$3&amp;Weekly_Pmod!$B24&amp;Weekly_Pmod!$B$3&amp;$B$2&amp;Weekly_Pmod!$B$1)</f>
        <v>0</v>
      </c>
      <c r="AS24" s="2">
        <f>COUNTIF(defects!$AB:$AB,Weekly_Pmod!AS$3&amp;Weekly_Pmod!$B24&amp;Weekly_Pmod!$B$3&amp;$B$2&amp;Weekly_Pmod!$B$1)</f>
        <v>0</v>
      </c>
      <c r="AT24" s="2">
        <f>COUNTIF(defects!$AB:$AB,Weekly_Pmod!AT$3&amp;Weekly_Pmod!$B24&amp;Weekly_Pmod!$B$3&amp;$B$2&amp;Weekly_Pmod!$B$1)</f>
        <v>0</v>
      </c>
      <c r="AU24" s="2">
        <f>COUNTIF(defects!$AB:$AB,Weekly_Pmod!AU$3&amp;Weekly_Pmod!$B24&amp;Weekly_Pmod!$B$3&amp;$B$2&amp;Weekly_Pmod!$B$1)</f>
        <v>0</v>
      </c>
      <c r="AV24" s="2">
        <f>COUNTIF(defects!$AB:$AB,Weekly_Pmod!AV$3&amp;Weekly_Pmod!$B24&amp;Weekly_Pmod!$B$3&amp;$B$2&amp;Weekly_Pmod!$B$1)</f>
        <v>0</v>
      </c>
      <c r="AW24" s="2">
        <f>COUNTIF(defects!$AB:$AB,Weekly_Pmod!AW$3&amp;Weekly_Pmod!$B24&amp;Weekly_Pmod!$B$3&amp;$B$2&amp;Weekly_Pmod!$B$1)</f>
        <v>0</v>
      </c>
      <c r="AX24" s="2">
        <f>COUNTIF(defects!$AB:$AB,Weekly_Pmod!AX$3&amp;Weekly_Pmod!$B24&amp;Weekly_Pmod!$B$3&amp;$B$2&amp;Weekly_Pmod!$B$1)</f>
        <v>0</v>
      </c>
      <c r="AY24" s="2">
        <f>COUNTIF(defects!$AB:$AB,Weekly_Pmod!AY$3&amp;Weekly_Pmod!$B24&amp;Weekly_Pmod!$B$3&amp;$B$2&amp;Weekly_Pmod!$B$1)</f>
        <v>0</v>
      </c>
      <c r="AZ24" s="2">
        <f>COUNTIF(defects!$AB:$AB,Weekly_Pmod!AZ$3&amp;Weekly_Pmod!$B24&amp;Weekly_Pmod!$B$3&amp;$B$2&amp;Weekly_Pmod!$B$1)</f>
        <v>0</v>
      </c>
      <c r="BA24" s="2">
        <f>COUNTIF(defects!$AB:$AB,Weekly_Pmod!BA$3&amp;Weekly_Pmod!$B24&amp;Weekly_Pmod!$B$3&amp;$B$2&amp;Weekly_Pmod!$B$1)</f>
        <v>0</v>
      </c>
      <c r="BB24" s="2">
        <f>COUNTIF(defects!$AB:$AB,Weekly_Pmod!BB$3&amp;Weekly_Pmod!$B24&amp;Weekly_Pmod!$B$3&amp;$B$2&amp;Weekly_Pmod!$B$1)</f>
        <v>0</v>
      </c>
      <c r="BC24" s="2">
        <f>COUNTIF(defects!$AB:$AB,Weekly_Pmod!BC$3&amp;Weekly_Pmod!$B24&amp;Weekly_Pmod!$B$3&amp;$B$2&amp;Weekly_Pmod!$B$1)</f>
        <v>0</v>
      </c>
      <c r="BD24" s="2">
        <f>COUNTIF(defects!$AB:$AB,Weekly_Pmod!BD$3&amp;Weekly_Pmod!$B24&amp;Weekly_Pmod!$B$3&amp;$B$2&amp;Weekly_Pmod!$B$1)</f>
        <v>0</v>
      </c>
      <c r="BE24" s="2">
        <f>COUNTIF(defects!$AB:$AB,Weekly_Pmod!BE$3&amp;Weekly_Pmod!$B24&amp;Weekly_Pmod!$B$3&amp;$B$2&amp;Weekly_Pmod!$B$1)</f>
        <v>0</v>
      </c>
      <c r="BF24" s="2">
        <f>COUNTIF(defects!$AB:$AB,Weekly_Pmod!BF$3&amp;Weekly_Pmod!$B24&amp;Weekly_Pmod!$B$3&amp;$B$2&amp;Weekly_Pmod!$B$1)</f>
        <v>0</v>
      </c>
      <c r="BG24" s="2">
        <f>COUNTIF(defects!$AB:$AB,Weekly_Pmod!BG$3&amp;Weekly_Pmod!$B24&amp;Weekly_Pmod!$B$3&amp;$B$2&amp;Weekly_Pmod!$B$1)</f>
        <v>0</v>
      </c>
      <c r="BH24" s="2">
        <f>COUNTIF(defects!$AB:$AB,Weekly_Pmod!BH$3&amp;Weekly_Pmod!$B24&amp;Weekly_Pmod!$B$3&amp;$B$2&amp;Weekly_Pmod!$B$1)</f>
        <v>0</v>
      </c>
      <c r="BI24" s="2">
        <f>COUNTIF(defects!$AB:$AB,Weekly_Pmod!BI$3&amp;Weekly_Pmod!$B24&amp;Weekly_Pmod!$B$3&amp;$B$2&amp;Weekly_Pmod!$B$1)</f>
        <v>0</v>
      </c>
      <c r="BJ24" s="2">
        <f>COUNTIF(defects!$AB:$AB,Weekly_Pmod!BJ$3&amp;Weekly_Pmod!$B24&amp;Weekly_Pmod!$B$3&amp;$B$2&amp;Weekly_Pmod!$B$1)</f>
        <v>0</v>
      </c>
      <c r="BK24" s="2">
        <f>COUNTIF(defects!$AB:$AB,Weekly_Pmod!BK$3&amp;Weekly_Pmod!$B24&amp;Weekly_Pmod!$B$3&amp;$B$2&amp;Weekly_Pmod!$B$1)</f>
        <v>0</v>
      </c>
      <c r="BL24" s="2">
        <f>COUNTIF(defects!$AB:$AB,Weekly_Pmod!BL$3&amp;Weekly_Pmod!$B24&amp;Weekly_Pmod!$B$3&amp;$B$2&amp;Weekly_Pmod!$B$1)</f>
        <v>0</v>
      </c>
      <c r="BM24" s="2">
        <f>COUNTIF(defects!$AB:$AB,Weekly_Pmod!BM$3&amp;Weekly_Pmod!$B24&amp;Weekly_Pmod!$B$3&amp;$B$2&amp;Weekly_Pmod!$B$1)</f>
        <v>0</v>
      </c>
      <c r="BN24" s="2">
        <f>COUNTIF(defects!$AB:$AB,Weekly_Pmod!BN$3&amp;Weekly_Pmod!$B24&amp;Weekly_Pmod!$B$3&amp;$B$2&amp;Weekly_Pmod!$B$1)</f>
        <v>0</v>
      </c>
      <c r="BO24" s="2">
        <f>COUNTIF(defects!$AB:$AB,Weekly_Pmod!BO$3&amp;Weekly_Pmod!$B24&amp;Weekly_Pmod!$B$3&amp;$B$2&amp;Weekly_Pmod!$B$1)</f>
        <v>0</v>
      </c>
      <c r="BP24" s="2">
        <f>COUNTIF(defects!$AB:$AB,Weekly_Pmod!BP$3&amp;Weekly_Pmod!$B24&amp;Weekly_Pmod!$B$3&amp;$B$2&amp;Weekly_Pmod!$B$1)</f>
        <v>0</v>
      </c>
      <c r="BQ24" s="2">
        <f>COUNTIF(defects!$AB:$AB,Weekly_Pmod!BQ$3&amp;Weekly_Pmod!$B24&amp;Weekly_Pmod!$B$3&amp;$B$2&amp;Weekly_Pmod!$B$1)</f>
        <v>0</v>
      </c>
      <c r="BR24" s="2">
        <f>COUNTIF(defects!$AB:$AB,Weekly_Pmod!BR$3&amp;Weekly_Pmod!$B24&amp;Weekly_Pmod!$B$3&amp;$B$2&amp;Weekly_Pmod!$B$1)</f>
        <v>0</v>
      </c>
      <c r="BS24" s="2">
        <f>COUNTIF(defects!$AB:$AB,Weekly_Pmod!BS$3&amp;Weekly_Pmod!$B24&amp;Weekly_Pmod!$B$3&amp;$B$2&amp;Weekly_Pmod!$B$1)</f>
        <v>0</v>
      </c>
      <c r="BT24" s="2">
        <f>COUNTIF(defects!$AB:$AB,Weekly_Pmod!BT$3&amp;Weekly_Pmod!$B24&amp;Weekly_Pmod!$B$3&amp;$B$2&amp;Weekly_Pmod!$B$1)</f>
        <v>0</v>
      </c>
      <c r="BU24" s="2">
        <f>COUNTIF(defects!$AB:$AB,Weekly_Pmod!BU$3&amp;Weekly_Pmod!$B24&amp;Weekly_Pmod!$B$3&amp;$B$2&amp;Weekly_Pmod!$B$1)</f>
        <v>0</v>
      </c>
      <c r="BV24" s="2">
        <f>COUNTIF(defects!$AB:$AB,Weekly_Pmod!BV$3&amp;Weekly_Pmod!$B24&amp;Weekly_Pmod!$B$3&amp;$B$2&amp;Weekly_Pmod!$B$1)</f>
        <v>0</v>
      </c>
      <c r="BW24" s="2">
        <f>COUNTIF(defects!$AB:$AB,Weekly_Pmod!BW$3&amp;Weekly_Pmod!$B24&amp;Weekly_Pmod!$B$3&amp;$B$2&amp;Weekly_Pmod!$B$1)</f>
        <v>0</v>
      </c>
      <c r="BX24" s="2">
        <f>COUNTIF(defects!$AB:$AB,Weekly_Pmod!BX$3&amp;Weekly_Pmod!$B24&amp;Weekly_Pmod!$B$3&amp;$B$2&amp;Weekly_Pmod!$B$1)</f>
        <v>0</v>
      </c>
      <c r="BY24" s="2">
        <f>COUNTIF(defects!$AB:$AB,Weekly_Pmod!BY$3&amp;Weekly_Pmod!$B24&amp;Weekly_Pmod!$B$3&amp;$B$2&amp;Weekly_Pmod!$B$1)</f>
        <v>0</v>
      </c>
      <c r="BZ24" s="2">
        <f>COUNTIF(defects!$AB:$AB,Weekly_Pmod!BZ$3&amp;Weekly_Pmod!$B24&amp;Weekly_Pmod!$B$3&amp;$B$2&amp;Weekly_Pmod!$B$1)</f>
        <v>0</v>
      </c>
      <c r="CA24" s="2">
        <f>COUNTIF(defects!$AB:$AB,Weekly_Pmod!CA$3&amp;Weekly_Pmod!$B24&amp;Weekly_Pmod!$B$3&amp;$B$2&amp;Weekly_Pmod!$B$1)</f>
        <v>0</v>
      </c>
      <c r="CB24" s="2">
        <f>COUNTIF(defects!$AB:$AB,Weekly_Pmod!CB$3&amp;Weekly_Pmod!$B24&amp;Weekly_Pmod!$B$3&amp;$B$2&amp;Weekly_Pmod!$B$1)</f>
        <v>0</v>
      </c>
      <c r="CC24" s="2">
        <f>COUNTIF(defects!$AB:$AB,Weekly_Pmod!CC$3&amp;Weekly_Pmod!$B24&amp;Weekly_Pmod!$B$3&amp;$B$2&amp;Weekly_Pmod!$B$1)</f>
        <v>0</v>
      </c>
      <c r="CD24" s="2">
        <f>COUNTIF(defects!$AB:$AB,Weekly_Pmod!CD$3&amp;Weekly_Pmod!$B24&amp;Weekly_Pmod!$B$3&amp;$B$2&amp;Weekly_Pmod!$B$1)</f>
        <v>0</v>
      </c>
      <c r="CE24" s="2">
        <f>COUNTIF(defects!$AB:$AB,Weekly_Pmod!CE$3&amp;Weekly_Pmod!$B24&amp;Weekly_Pmod!$B$3&amp;$B$2&amp;Weekly_Pmod!$B$1)</f>
        <v>0</v>
      </c>
      <c r="CF24" s="2">
        <f>COUNTIF(defects!$AB:$AB,Weekly_Pmod!CF$3&amp;Weekly_Pmod!$B24&amp;Weekly_Pmod!$B$3&amp;$B$2&amp;Weekly_Pmod!$B$1)</f>
        <v>0</v>
      </c>
      <c r="CG24" s="2">
        <f>COUNTIF(defects!$AB:$AB,Weekly_Pmod!CG$3&amp;Weekly_Pmod!$B24&amp;Weekly_Pmod!$B$3&amp;$B$2&amp;Weekly_Pmod!$B$1)</f>
        <v>0</v>
      </c>
      <c r="CH24" s="2">
        <f>COUNTIF(defects!$AB:$AB,Weekly_Pmod!CH$3&amp;Weekly_Pmod!$B24&amp;Weekly_Pmod!$B$3&amp;$B$2&amp;Weekly_Pmod!$B$1)</f>
        <v>0</v>
      </c>
      <c r="CI24" s="2">
        <f>COUNTIF(defects!$AB:$AB,Weekly_Pmod!CI$3&amp;Weekly_Pmod!$B24&amp;Weekly_Pmod!$B$3&amp;$B$2&amp;Weekly_Pmod!$B$1)</f>
        <v>0</v>
      </c>
      <c r="CJ24" s="2">
        <f>COUNTIF(defects!$AB:$AB,Weekly_Pmod!CJ$3&amp;Weekly_Pmod!$B24&amp;Weekly_Pmod!$B$3&amp;$B$2&amp;Weekly_Pmod!$B$1)</f>
        <v>0</v>
      </c>
      <c r="CK24" s="2">
        <f>COUNTIF(defects!$AB:$AB,Weekly_Pmod!CK$3&amp;Weekly_Pmod!$B24&amp;Weekly_Pmod!$B$3&amp;$B$2&amp;Weekly_Pmod!$B$1)</f>
        <v>0</v>
      </c>
      <c r="CL24" s="2">
        <f>COUNTIF(defects!$AB:$AB,Weekly_Pmod!CL$3&amp;Weekly_Pmod!$B24&amp;Weekly_Pmod!$B$3&amp;$B$2&amp;Weekly_Pmod!$B$1)</f>
        <v>0</v>
      </c>
      <c r="CM24" s="2">
        <f>COUNTIF(defects!$AB:$AB,Weekly_Pmod!CM$3&amp;Weekly_Pmod!$B24&amp;Weekly_Pmod!$B$3&amp;$B$2&amp;Weekly_Pmod!$B$1)</f>
        <v>0</v>
      </c>
      <c r="CN24" s="2">
        <f>COUNTIF(defects!$AB:$AB,Weekly_Pmod!CN$3&amp;Weekly_Pmod!$B24&amp;Weekly_Pmod!$B$3&amp;$B$2&amp;Weekly_Pmod!$B$1)</f>
        <v>0</v>
      </c>
      <c r="CO24" s="2">
        <f>COUNTIF(defects!$AB:$AB,Weekly_Pmod!CO$3&amp;Weekly_Pmod!$B24&amp;Weekly_Pmod!$B$3&amp;$B$2&amp;Weekly_Pmod!$B$1)</f>
        <v>0</v>
      </c>
      <c r="CP24" s="2">
        <f>COUNTIF(defects!$AB:$AB,Weekly_Pmod!CP$3&amp;Weekly_Pmod!$B24&amp;Weekly_Pmod!$B$3&amp;$B$2&amp;Weekly_Pmod!$B$1)</f>
        <v>0</v>
      </c>
      <c r="CQ24" s="2">
        <f>COUNTIF(defects!$AB:$AB,Weekly_Pmod!CQ$3&amp;Weekly_Pmod!$B24&amp;Weekly_Pmod!$B$3&amp;$B$2&amp;Weekly_Pmod!$B$1)</f>
        <v>0</v>
      </c>
      <c r="CR24" s="2">
        <f>COUNTIF(defects!$AB:$AB,Weekly_Pmod!CR$3&amp;Weekly_Pmod!$B24&amp;Weekly_Pmod!$B$3&amp;$B$2&amp;Weekly_Pmod!$B$1)</f>
        <v>0</v>
      </c>
      <c r="CS24" s="2">
        <f>COUNTIF(defects!$AB:$AB,Weekly_Pmod!CS$3&amp;Weekly_Pmod!$B24&amp;Weekly_Pmod!$B$3&amp;$B$2&amp;Weekly_Pmod!$B$1)</f>
        <v>0</v>
      </c>
      <c r="CT24" s="2">
        <f>COUNTIF(defects!$AB:$AB,Weekly_Pmod!CT$3&amp;Weekly_Pmod!$B24&amp;Weekly_Pmod!$B$3&amp;$B$2&amp;Weekly_Pmod!$B$1)</f>
        <v>0</v>
      </c>
      <c r="CU24" s="2">
        <f>COUNTIF(defects!$AB:$AB,Weekly_Pmod!CU$3&amp;Weekly_Pmod!$B24&amp;Weekly_Pmod!$B$3&amp;$B$2&amp;Weekly_Pmod!$B$1)</f>
        <v>0</v>
      </c>
      <c r="CV24" s="2">
        <f>COUNTIF(defects!$AB:$AB,Weekly_Pmod!CV$3&amp;Weekly_Pmod!$B24&amp;Weekly_Pmod!$B$3&amp;$B$2&amp;Weekly_Pmod!$B$1)</f>
        <v>0</v>
      </c>
      <c r="CW24" s="2">
        <f>COUNTIF(defects!$AB:$AB,Weekly_Pmod!CW$3&amp;Weekly_Pmod!$B24&amp;Weekly_Pmod!$B$3&amp;$B$2&amp;Weekly_Pmod!$B$1)</f>
        <v>0</v>
      </c>
      <c r="CX24" s="2">
        <f>COUNTIF(defects!$AB:$AB,Weekly_Pmod!CX$3&amp;Weekly_Pmod!$B24&amp;Weekly_Pmod!$B$3&amp;$B$2&amp;Weekly_Pmod!$B$1)</f>
        <v>0</v>
      </c>
      <c r="CY24" s="2">
        <f>COUNTIF(defects!$AB:$AB,Weekly_Pmod!CY$3&amp;Weekly_Pmod!$B24&amp;Weekly_Pmod!$B$3&amp;$B$2&amp;Weekly_Pmod!$B$1)</f>
        <v>0</v>
      </c>
      <c r="CZ24" s="2">
        <f>COUNTIF(defects!$AB:$AB,Weekly_Pmod!CZ$3&amp;Weekly_Pmod!$B24&amp;Weekly_Pmod!$B$3&amp;$B$2&amp;Weekly_Pmod!$B$1)</f>
        <v>0</v>
      </c>
      <c r="DA24" s="2">
        <f>COUNTIF(defects!$AB:$AB,Weekly_Pmod!DA$3&amp;Weekly_Pmod!$B24&amp;Weekly_Pmod!$B$3&amp;$B$2&amp;Weekly_Pmod!$B$1)</f>
        <v>0</v>
      </c>
      <c r="DB24" s="2">
        <f>COUNTIF(defects!$AB:$AB,Weekly_Pmod!DB$3&amp;Weekly_Pmod!$B24&amp;Weekly_Pmod!$B$3&amp;$B$2&amp;Weekly_Pmod!$B$1)</f>
        <v>0</v>
      </c>
      <c r="DC24" s="2">
        <f>COUNTIF(defects!$AB:$AB,Weekly_Pmod!DC$3&amp;Weekly_Pmod!$B24&amp;Weekly_Pmod!$B$3&amp;$B$2&amp;Weekly_Pmod!$B$1)</f>
        <v>0</v>
      </c>
      <c r="DD24" s="2">
        <f>COUNTIF(defects!$AB:$AB,Weekly_Pmod!DD$3&amp;Weekly_Pmod!$B24&amp;Weekly_Pmod!$B$3&amp;$B$2&amp;Weekly_Pmod!$B$1)</f>
        <v>0</v>
      </c>
      <c r="DE24" s="2">
        <f>COUNTIF(defects!$AB:$AB,Weekly_Pmod!DE$3&amp;Weekly_Pmod!$B24&amp;Weekly_Pmod!$B$3&amp;$B$2&amp;Weekly_Pmod!$B$1)</f>
        <v>0</v>
      </c>
      <c r="DF24" s="2">
        <f>COUNTIF(defects!$AB:$AB,Weekly_Pmod!DF$3&amp;Weekly_Pmod!$B24&amp;Weekly_Pmod!$B$3&amp;$B$2&amp;Weekly_Pmod!$B$1)</f>
        <v>0</v>
      </c>
      <c r="DG24" s="2">
        <f>COUNTIF(defects!$AB:$AB,Weekly_Pmod!DG$3&amp;Weekly_Pmod!$B24&amp;Weekly_Pmod!$B$3&amp;$B$2&amp;Weekly_Pmod!$B$1)</f>
        <v>0</v>
      </c>
      <c r="DH24" s="2">
        <f>COUNTIF(defects!$AB:$AB,Weekly_Pmod!DH$3&amp;Weekly_Pmod!$B24&amp;Weekly_Pmod!$B$3&amp;$B$2&amp;Weekly_Pmod!$B$1)</f>
        <v>0</v>
      </c>
      <c r="DI24" s="2">
        <f>COUNTIF(defects!$AB:$AB,Weekly_Pmod!DI$3&amp;Weekly_Pmod!$B24&amp;Weekly_Pmod!$B$3&amp;$B$2&amp;Weekly_Pmod!$B$1)</f>
        <v>0</v>
      </c>
      <c r="DJ24" s="2">
        <f>COUNTIF(defects!$AB:$AB,Weekly_Pmod!DJ$3&amp;Weekly_Pmod!$B24&amp;Weekly_Pmod!$B$3&amp;$B$2&amp;Weekly_Pmod!$B$1)</f>
        <v>0</v>
      </c>
      <c r="DK24" s="2">
        <f>COUNTIF(defects!$AB:$AB,Weekly_Pmod!DK$3&amp;Weekly_Pmod!$B24&amp;Weekly_Pmod!$B$3&amp;$B$2&amp;Weekly_Pmod!$B$1)</f>
        <v>0</v>
      </c>
      <c r="DL24" s="2">
        <f>COUNTIF(defects!$AB:$AB,Weekly_Pmod!DL$3&amp;Weekly_Pmod!$B24&amp;Weekly_Pmod!$B$3&amp;$B$2&amp;Weekly_Pmod!$B$1)</f>
        <v>0</v>
      </c>
      <c r="DM24" s="2">
        <f>COUNTIF(defects!$AB:$AB,Weekly_Pmod!DM$3&amp;Weekly_Pmod!$B24&amp;Weekly_Pmod!$B$3&amp;$B$2&amp;Weekly_Pmod!$B$1)</f>
        <v>0</v>
      </c>
      <c r="DN24" s="2">
        <f>COUNTIF(defects!$AB:$AB,Weekly_Pmod!DN$3&amp;Weekly_Pmod!$B24&amp;Weekly_Pmod!$B$3&amp;$B$2&amp;Weekly_Pmod!$B$1)</f>
        <v>0</v>
      </c>
      <c r="DO24" s="2">
        <f>COUNTIF(defects!$AB:$AB,Weekly_Pmod!DO$3&amp;Weekly_Pmod!$B24&amp;Weekly_Pmod!$B$3&amp;$B$2&amp;Weekly_Pmod!$B$1)</f>
        <v>0</v>
      </c>
      <c r="DP24" s="2">
        <f>COUNTIF(defects!$AB:$AB,Weekly_Pmod!DP$3&amp;Weekly_Pmod!$B24&amp;Weekly_Pmod!$B$3&amp;$B$2&amp;Weekly_Pmod!$B$1)</f>
        <v>0</v>
      </c>
      <c r="DQ24" s="2">
        <f>COUNTIF(defects!$AB:$AB,Weekly_Pmod!DQ$3&amp;Weekly_Pmod!$B24&amp;Weekly_Pmod!$B$3&amp;$B$2&amp;Weekly_Pmod!$B$1)</f>
        <v>0</v>
      </c>
      <c r="DR24" s="2">
        <f>COUNTIF(defects!$AB:$AB,Weekly_Pmod!DR$3&amp;Weekly_Pmod!$B24&amp;Weekly_Pmod!$B$3&amp;$B$2&amp;Weekly_Pmod!$B$1)</f>
        <v>0</v>
      </c>
      <c r="DS24" s="2">
        <f>COUNTIF(defects!$AB:$AB,Weekly_Pmod!DS$3&amp;Weekly_Pmod!$B24&amp;Weekly_Pmod!$B$3&amp;$B$2&amp;Weekly_Pmod!$B$1)</f>
        <v>0</v>
      </c>
      <c r="DT24" s="2">
        <f>COUNTIF(defects!$AB:$AB,Weekly_Pmod!DT$3&amp;Weekly_Pmod!$B24&amp;Weekly_Pmod!$B$3&amp;$B$2&amp;Weekly_Pmod!$B$1)</f>
        <v>0</v>
      </c>
      <c r="DU24" s="2">
        <f>COUNTIF(defects!$AB:$AB,Weekly_Pmod!DU$3&amp;Weekly_Pmod!$B24&amp;Weekly_Pmod!$B$3&amp;$B$2&amp;Weekly_Pmod!$B$1)</f>
        <v>0</v>
      </c>
      <c r="DV24" s="2">
        <f>COUNTIF(defects!$AB:$AB,Weekly_Pmod!DV$3&amp;Weekly_Pmod!$B24&amp;Weekly_Pmod!$B$3&amp;$B$2&amp;Weekly_Pmod!$B$1)</f>
        <v>0</v>
      </c>
      <c r="DW24" s="2">
        <f>COUNTIF(defects!$AB:$AB,Weekly_Pmod!DW$3&amp;Weekly_Pmod!$B24&amp;Weekly_Pmod!$B$3&amp;$B$2&amp;Weekly_Pmod!$B$1)</f>
        <v>0</v>
      </c>
      <c r="DX24" s="2">
        <f>COUNTIF(defects!$AB:$AB,Weekly_Pmod!DX$3&amp;Weekly_Pmod!$B24&amp;Weekly_Pmod!$B$3&amp;$B$2&amp;Weekly_Pmod!$B$1)</f>
        <v>0</v>
      </c>
      <c r="DY24" s="2">
        <f>COUNTIF(defects!$AB:$AB,Weekly_Pmod!DY$3&amp;Weekly_Pmod!$B24&amp;Weekly_Pmod!$B$3&amp;$B$2&amp;Weekly_Pmod!$B$1)</f>
        <v>0</v>
      </c>
      <c r="DZ24" s="2">
        <f>COUNTIF(defects!$AB:$AB,Weekly_Pmod!DZ$3&amp;Weekly_Pmod!$B24&amp;Weekly_Pmod!$B$3&amp;$B$2&amp;Weekly_Pmod!$B$1)</f>
        <v>0</v>
      </c>
      <c r="EA24" s="2">
        <f>COUNTIF(defects!$AB:$AB,Weekly_Pmod!EA$3&amp;Weekly_Pmod!$B24&amp;Weekly_Pmod!$B$3&amp;$B$2&amp;Weekly_Pmod!$B$1)</f>
        <v>0</v>
      </c>
      <c r="EB24" s="2">
        <f>COUNTIF(defects!$AB:$AB,Weekly_Pmod!EB$3&amp;Weekly_Pmod!$B24&amp;Weekly_Pmod!$B$3&amp;$B$2&amp;Weekly_Pmod!$B$1)</f>
        <v>0</v>
      </c>
      <c r="EC24" s="2">
        <f>COUNTIF(defects!$AB:$AB,Weekly_Pmod!EC$3&amp;Weekly_Pmod!$B24&amp;Weekly_Pmod!$B$3&amp;$B$2&amp;Weekly_Pmod!$B$1)</f>
        <v>0</v>
      </c>
      <c r="ED24" s="2">
        <f>COUNTIF(defects!$AB:$AB,Weekly_Pmod!ED$3&amp;Weekly_Pmod!$B24&amp;Weekly_Pmod!$B$3&amp;$B$2&amp;Weekly_Pmod!$B$1)</f>
        <v>0</v>
      </c>
      <c r="EE24" s="2">
        <f>COUNTIF(defects!$AB:$AB,Weekly_Pmod!EE$3&amp;Weekly_Pmod!$B24&amp;Weekly_Pmod!$B$3&amp;$B$2&amp;Weekly_Pmod!$B$1)</f>
        <v>0</v>
      </c>
      <c r="EF24" s="2">
        <f>COUNTIF(defects!$AB:$AB,Weekly_Pmod!EF$3&amp;Weekly_Pmod!$B24&amp;Weekly_Pmod!$B$3&amp;$B$2&amp;Weekly_Pmod!$B$1)</f>
        <v>0</v>
      </c>
      <c r="EG24" s="2">
        <f>COUNTIF(defects!$AB:$AB,Weekly_Pmod!EG$3&amp;Weekly_Pmod!$B24&amp;Weekly_Pmod!$B$3&amp;$B$2&amp;Weekly_Pmod!$B$1)</f>
        <v>0</v>
      </c>
      <c r="EH24" s="2">
        <f>COUNTIF(defects!$AB:$AB,Weekly_Pmod!EH$3&amp;Weekly_Pmod!$B24&amp;Weekly_Pmod!$B$3&amp;$B$2&amp;Weekly_Pmod!$B$1)</f>
        <v>0</v>
      </c>
      <c r="EI24" s="2">
        <f>COUNTIF(defects!$AB:$AB,Weekly_Pmod!EI$3&amp;Weekly_Pmod!$B24&amp;Weekly_Pmod!$B$3&amp;$B$2&amp;Weekly_Pmod!$B$1)</f>
        <v>0</v>
      </c>
      <c r="EJ24" s="2">
        <f>COUNTIF(defects!$AB:$AB,Weekly_Pmod!EJ$3&amp;Weekly_Pmod!$B24&amp;Weekly_Pmod!$B$3&amp;$B$2&amp;Weekly_Pmod!$B$1)</f>
        <v>0</v>
      </c>
      <c r="EK24" s="2">
        <f>COUNTIF(defects!$AB:$AB,Weekly_Pmod!EK$3&amp;Weekly_Pmod!$B24&amp;Weekly_Pmod!$B$3&amp;$B$2&amp;Weekly_Pmod!$B$1)</f>
        <v>0</v>
      </c>
      <c r="EL24" s="2">
        <f>COUNTIF(defects!$AB:$AB,Weekly_Pmod!EL$3&amp;Weekly_Pmod!$B24&amp;Weekly_Pmod!$B$3&amp;$B$2&amp;Weekly_Pmod!$B$1)</f>
        <v>0</v>
      </c>
      <c r="EM24" s="2">
        <f>COUNTIF(defects!$AB:$AB,Weekly_Pmod!EM$3&amp;Weekly_Pmod!$B24&amp;Weekly_Pmod!$B$3&amp;$B$2&amp;Weekly_Pmod!$B$1)</f>
        <v>0</v>
      </c>
      <c r="EN24" s="2">
        <f>COUNTIF(defects!$AB:$AB,Weekly_Pmod!EN$3&amp;Weekly_Pmod!$B24&amp;Weekly_Pmod!$B$3&amp;$B$2&amp;Weekly_Pmod!$B$1)</f>
        <v>0</v>
      </c>
      <c r="EO24" s="2">
        <f>COUNTIF(defects!$AB:$AB,Weekly_Pmod!EO$3&amp;Weekly_Pmod!$B24&amp;Weekly_Pmod!$B$3&amp;$B$2&amp;Weekly_Pmod!$B$1)</f>
        <v>0</v>
      </c>
      <c r="EP24" s="2">
        <f>COUNTIF(defects!$AB:$AB,Weekly_Pmod!EP$3&amp;Weekly_Pmod!$B24&amp;Weekly_Pmod!$B$3&amp;$B$2&amp;Weekly_Pmod!$B$1)</f>
        <v>0</v>
      </c>
      <c r="EQ24" s="2">
        <f>COUNTIF(defects!$AB:$AB,Weekly_Pmod!EQ$3&amp;Weekly_Pmod!$B24&amp;Weekly_Pmod!$B$3&amp;$B$2&amp;Weekly_Pmod!$B$1)</f>
        <v>0</v>
      </c>
      <c r="ER24" s="2">
        <f>COUNTIF(defects!$AB:$AB,Weekly_Pmod!ER$3&amp;Weekly_Pmod!$B24&amp;Weekly_Pmod!$B$3&amp;$B$2&amp;Weekly_Pmod!$B$1)</f>
        <v>0</v>
      </c>
      <c r="ES24" s="2">
        <f>COUNTIF(defects!$AB:$AB,Weekly_Pmod!ES$3&amp;Weekly_Pmod!$B24&amp;Weekly_Pmod!$B$3&amp;$B$2&amp;Weekly_Pmod!$B$1)</f>
        <v>0</v>
      </c>
      <c r="ET24" s="2">
        <f>COUNTIF(defects!$AB:$AB,Weekly_Pmod!ET$3&amp;Weekly_Pmod!$B24&amp;Weekly_Pmod!$B$3&amp;$B$2&amp;Weekly_Pmod!$B$1)</f>
        <v>0</v>
      </c>
      <c r="EU24" s="2">
        <f>COUNTIF(defects!$AB:$AB,Weekly_Pmod!EU$3&amp;Weekly_Pmod!$B24&amp;Weekly_Pmod!$B$3&amp;$B$2&amp;Weekly_Pmod!$B$1)</f>
        <v>0</v>
      </c>
      <c r="EV24" s="2">
        <f>COUNTIF(defects!$AB:$AB,Weekly_Pmod!EV$3&amp;Weekly_Pmod!$B24&amp;Weekly_Pmod!$B$3&amp;$B$2&amp;Weekly_Pmod!$B$1)</f>
        <v>0</v>
      </c>
      <c r="EW24" s="2">
        <f>COUNTIF(defects!$AB:$AB,Weekly_Pmod!EW$3&amp;Weekly_Pmod!$B24&amp;Weekly_Pmod!$B$3&amp;$B$2&amp;Weekly_Pmod!$B$1)</f>
        <v>0</v>
      </c>
      <c r="EX24" s="2">
        <f>COUNTIF(defects!$AB:$AB,Weekly_Pmod!EX$3&amp;Weekly_Pmod!$B24&amp;Weekly_Pmod!$B$3&amp;$B$2&amp;Weekly_Pmod!$B$1)</f>
        <v>0</v>
      </c>
      <c r="EY24" s="2">
        <f>COUNTIF(defects!$AB:$AB,Weekly_Pmod!EY$3&amp;Weekly_Pmod!$B24&amp;Weekly_Pmod!$B$3&amp;$B$2&amp;Weekly_Pmod!$B$1)</f>
        <v>0</v>
      </c>
      <c r="EZ24" s="2">
        <f>COUNTIF(defects!$AB:$AB,Weekly_Pmod!EZ$3&amp;Weekly_Pmod!$B24&amp;Weekly_Pmod!$B$3&amp;$B$2&amp;Weekly_Pmod!$B$1)</f>
        <v>0</v>
      </c>
      <c r="FA24" s="2">
        <f>COUNTIF(defects!$AB:$AB,Weekly_Pmod!FA$3&amp;Weekly_Pmod!$B24&amp;Weekly_Pmod!$B$3&amp;$B$2&amp;Weekly_Pmod!$B$1)</f>
        <v>0</v>
      </c>
      <c r="FB24" s="2">
        <f>COUNTIF(defects!$AB:$AB,Weekly_Pmod!FB$3&amp;Weekly_Pmod!$B24&amp;Weekly_Pmod!$B$3&amp;$B$2&amp;Weekly_Pmod!$B$1)</f>
        <v>0</v>
      </c>
      <c r="FC24" s="2">
        <f>COUNTIF(defects!$AB:$AB,Weekly_Pmod!FC$3&amp;Weekly_Pmod!$B24&amp;Weekly_Pmod!$B$3&amp;$B$2&amp;Weekly_Pmod!$B$1)</f>
        <v>0</v>
      </c>
      <c r="FD24" s="2">
        <f>COUNTIF(defects!$AB:$AB,Weekly_Pmod!FD$3&amp;Weekly_Pmod!$B24&amp;Weekly_Pmod!$B$3&amp;$B$2&amp;Weekly_Pmod!$B$1)</f>
        <v>0</v>
      </c>
      <c r="FE24" s="2">
        <f>COUNTIF(defects!$AB:$AB,Weekly_Pmod!FE$3&amp;Weekly_Pmod!$B24&amp;Weekly_Pmod!$B$3&amp;$B$2&amp;Weekly_Pmod!$B$1)</f>
        <v>0</v>
      </c>
    </row>
    <row r="25" spans="2:161">
      <c r="C25" s="2"/>
    </row>
  </sheetData>
  <phoneticPr fontId="7" type="noConversion"/>
  <conditionalFormatting sqref="C4:FE5 C6:C25 D6:FE24">
    <cfRule type="cellIs" dxfId="14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CD10C-D8A2-4BB2-BF4A-31D9AAE2F938}">
  <sheetPr codeName="wsMonthly3">
    <tabColor rgb="FF00CC99"/>
  </sheetPr>
  <dimension ref="B1:AV48"/>
  <sheetViews>
    <sheetView zoomScale="85" zoomScaleNormal="85" workbookViewId="0">
      <selection activeCell="AR3" sqref="AR3"/>
    </sheetView>
  </sheetViews>
  <sheetFormatPr defaultColWidth="8.90625" defaultRowHeight="14.5"/>
  <cols>
    <col min="1" max="1" width="3" style="3" customWidth="1"/>
    <col min="2" max="5" width="11.08984375" style="3" customWidth="1"/>
    <col min="6" max="29" width="9.453125" style="3" hidden="1" customWidth="1"/>
    <col min="30" max="31" width="9.453125" style="3" customWidth="1"/>
    <col min="32" max="42" width="9.453125" style="3" hidden="1" customWidth="1"/>
    <col min="43" max="48" width="9.453125" style="3" customWidth="1"/>
    <col min="49" max="16384" width="8.90625" style="3"/>
  </cols>
  <sheetData>
    <row r="1" spans="2:48">
      <c r="B1" s="3" t="str">
        <f>Report!O2</f>
        <v>85AG</v>
      </c>
    </row>
    <row r="2" spans="2:48">
      <c r="B2" s="3" t="s">
        <v>28</v>
      </c>
      <c r="C2" s="3" t="str">
        <f>B3</f>
        <v>FY21</v>
      </c>
      <c r="D2" s="3" t="str">
        <f>"FY" &amp; (RIGHT(B3,2)+1)</f>
        <v>FY22</v>
      </c>
      <c r="F2" s="3" t="s">
        <v>961</v>
      </c>
      <c r="G2" s="3" t="s">
        <v>961</v>
      </c>
      <c r="H2" s="3" t="s">
        <v>961</v>
      </c>
      <c r="I2" s="3" t="s">
        <v>961</v>
      </c>
      <c r="J2" s="3" t="s">
        <v>961</v>
      </c>
      <c r="K2" s="3" t="s">
        <v>961</v>
      </c>
      <c r="L2" s="3" t="s">
        <v>961</v>
      </c>
      <c r="M2" s="3" t="s">
        <v>961</v>
      </c>
      <c r="N2" s="3" t="s">
        <v>961</v>
      </c>
      <c r="O2" s="3" t="s">
        <v>961</v>
      </c>
      <c r="P2" s="3" t="s">
        <v>961</v>
      </c>
      <c r="Q2" s="3" t="s">
        <v>961</v>
      </c>
      <c r="R2" s="3" t="s">
        <v>960</v>
      </c>
      <c r="S2" s="3" t="s">
        <v>960</v>
      </c>
      <c r="T2" s="3" t="s">
        <v>960</v>
      </c>
      <c r="U2" s="3" t="s">
        <v>960</v>
      </c>
      <c r="V2" s="3" t="s">
        <v>960</v>
      </c>
      <c r="W2" s="3" t="s">
        <v>960</v>
      </c>
      <c r="X2" s="3" t="s">
        <v>960</v>
      </c>
      <c r="Y2" s="3" t="s">
        <v>960</v>
      </c>
      <c r="Z2" s="3" t="s">
        <v>960</v>
      </c>
      <c r="AA2" s="3" t="s">
        <v>960</v>
      </c>
      <c r="AB2" s="3" t="s">
        <v>960</v>
      </c>
      <c r="AC2" s="3" t="s">
        <v>960</v>
      </c>
      <c r="AD2" s="3" t="s">
        <v>1025</v>
      </c>
      <c r="AE2" s="3" t="s">
        <v>1025</v>
      </c>
      <c r="AF2" s="3" t="s">
        <v>1025</v>
      </c>
      <c r="AG2" s="3" t="s">
        <v>1025</v>
      </c>
      <c r="AH2" s="3" t="s">
        <v>1025</v>
      </c>
      <c r="AI2" s="3" t="s">
        <v>1025</v>
      </c>
      <c r="AJ2" s="3" t="s">
        <v>1025</v>
      </c>
      <c r="AK2" s="3" t="s">
        <v>1025</v>
      </c>
      <c r="AL2" s="3" t="s">
        <v>1025</v>
      </c>
      <c r="AM2" s="3" t="s">
        <v>1025</v>
      </c>
      <c r="AN2" s="3" t="s">
        <v>1025</v>
      </c>
      <c r="AO2" s="3" t="s">
        <v>1025</v>
      </c>
      <c r="AP2" s="3" t="s">
        <v>6951</v>
      </c>
    </row>
    <row r="3" spans="2:48">
      <c r="B3" s="9" t="str">
        <f>Report!M2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988</v>
      </c>
      <c r="G3" s="10" t="s">
        <v>987</v>
      </c>
      <c r="H3" s="10" t="s">
        <v>986</v>
      </c>
      <c r="I3" s="10" t="s">
        <v>977</v>
      </c>
      <c r="J3" s="10" t="s">
        <v>978</v>
      </c>
      <c r="K3" s="10" t="s">
        <v>979</v>
      </c>
      <c r="L3" s="10" t="s">
        <v>980</v>
      </c>
      <c r="M3" s="10" t="s">
        <v>981</v>
      </c>
      <c r="N3" s="10" t="s">
        <v>982</v>
      </c>
      <c r="O3" s="10" t="s">
        <v>983</v>
      </c>
      <c r="P3" s="10" t="s">
        <v>984</v>
      </c>
      <c r="Q3" s="10" t="s">
        <v>985</v>
      </c>
      <c r="R3" s="10" t="s">
        <v>976</v>
      </c>
      <c r="S3" s="10" t="s">
        <v>975</v>
      </c>
      <c r="T3" s="10" t="s">
        <v>969</v>
      </c>
      <c r="U3" s="10" t="s">
        <v>970</v>
      </c>
      <c r="V3" s="10" t="s">
        <v>971</v>
      </c>
      <c r="W3" s="10" t="s">
        <v>972</v>
      </c>
      <c r="X3" s="10" t="s">
        <v>973</v>
      </c>
      <c r="Y3" s="10" t="s">
        <v>974</v>
      </c>
      <c r="Z3" s="10" t="s">
        <v>997</v>
      </c>
      <c r="AA3" s="10" t="s">
        <v>998</v>
      </c>
      <c r="AB3" s="10" t="s">
        <v>999</v>
      </c>
      <c r="AC3" s="10" t="s">
        <v>1000</v>
      </c>
      <c r="AD3" s="10" t="s">
        <v>1001</v>
      </c>
      <c r="AE3" s="10" t="s">
        <v>1002</v>
      </c>
      <c r="AF3" s="10" t="s">
        <v>1003</v>
      </c>
      <c r="AG3" s="10" t="s">
        <v>1004</v>
      </c>
      <c r="AH3" s="10" t="s">
        <v>1005</v>
      </c>
      <c r="AI3" s="10" t="s">
        <v>1006</v>
      </c>
      <c r="AJ3" s="10" t="s">
        <v>1007</v>
      </c>
      <c r="AK3" s="10" t="s">
        <v>1008</v>
      </c>
      <c r="AL3" s="10" t="s">
        <v>1009</v>
      </c>
      <c r="AM3" s="10" t="s">
        <v>1010</v>
      </c>
      <c r="AN3" s="10" t="s">
        <v>1011</v>
      </c>
      <c r="AO3" s="10" t="s">
        <v>1012</v>
      </c>
      <c r="AP3" s="10" t="s">
        <v>1013</v>
      </c>
      <c r="AQ3" s="10"/>
      <c r="AR3" s="11" cm="1">
        <f t="array" ref="AR3">GetPreviousWkNo(AS3)</f>
        <v>2151</v>
      </c>
      <c r="AS3" s="11" cm="1">
        <f t="array" ref="AS3">GetPreviousWkNo(AT3)</f>
        <v>2152</v>
      </c>
      <c r="AT3" s="16">
        <f>Report!N2</f>
        <v>2201</v>
      </c>
      <c r="AU3" s="10"/>
      <c r="AV3" s="12" t="s">
        <v>1024</v>
      </c>
    </row>
    <row r="4" spans="2:48">
      <c r="B4" s="12" t="s">
        <v>989</v>
      </c>
      <c r="C4" s="12">
        <f>SUMIF($F$2:$AP$2,C$2,$F4:$AP4)</f>
        <v>14673</v>
      </c>
      <c r="D4" s="12">
        <f>SUMIF($F$2:$AP$2,D$2,$F4:$AP4)</f>
        <v>0</v>
      </c>
      <c r="E4" s="12"/>
      <c r="F4" s="12">
        <f>SUMIF(inputs!$N:$N,$B$3&amp;F$3&amp;$B$1,inputs!$D:$D)</f>
        <v>0</v>
      </c>
      <c r="G4" s="12">
        <f>SUMIF(inputs!$N:$N,$B$3&amp;G$3&amp;$B$1,inputs!$D:$D)</f>
        <v>0</v>
      </c>
      <c r="H4" s="12">
        <f>SUMIF(inputs!$N:$N,$B$3&amp;H$3&amp;$B$1,inputs!$D:$D)</f>
        <v>0</v>
      </c>
      <c r="I4" s="12">
        <f>SUMIF(inputs!$N:$N,$B$3&amp;I$3&amp;$B$1,inputs!$D:$D)</f>
        <v>0</v>
      </c>
      <c r="J4" s="12">
        <f>SUMIF(inputs!$N:$N,$B$3&amp;J$3&amp;$B$1,inputs!$D:$D)</f>
        <v>0</v>
      </c>
      <c r="K4" s="12">
        <f>SUMIF(inputs!$N:$N,$B$3&amp;K$3&amp;$B$1,inputs!$D:$D)</f>
        <v>0</v>
      </c>
      <c r="L4" s="12">
        <f>SUMIF(inputs!$N:$N,$B$3&amp;L$3&amp;$B$1,inputs!$D:$D)</f>
        <v>0</v>
      </c>
      <c r="M4" s="12">
        <f>SUMIF(inputs!$N:$N,$B$3&amp;M$3&amp;$B$1,inputs!$D:$D)</f>
        <v>0</v>
      </c>
      <c r="N4" s="12">
        <f>SUMIF(inputs!$N:$N,$B$3&amp;N$3&amp;$B$1,inputs!$D:$D)</f>
        <v>0</v>
      </c>
      <c r="O4" s="12">
        <f>SUMIF(inputs!$N:$N,$B$3&amp;O$3&amp;$B$1,inputs!$D:$D)</f>
        <v>0</v>
      </c>
      <c r="P4" s="12">
        <f>SUMIF(inputs!$N:$N,$B$3&amp;P$3&amp;$B$1,inputs!$D:$D)</f>
        <v>0</v>
      </c>
      <c r="Q4" s="12">
        <f>SUMIF(inputs!$N:$N,$B$3&amp;Q$3&amp;$B$1,inputs!$D:$D)</f>
        <v>0</v>
      </c>
      <c r="R4" s="12">
        <f>SUMIF(inputs!$N:$N,$B$3&amp;R$3&amp;$B$1,inputs!$D:$D)</f>
        <v>0</v>
      </c>
      <c r="S4" s="12">
        <f>SUMIF(inputs!$N:$N,$B$3&amp;S$3&amp;$B$1,inputs!$D:$D)</f>
        <v>0</v>
      </c>
      <c r="T4" s="12">
        <f>SUMIF(inputs!$N:$N,$B$3&amp;T$3&amp;$B$1,inputs!$D:$D)</f>
        <v>0</v>
      </c>
      <c r="U4" s="12">
        <f>SUMIF(inputs!$N:$N,$B$3&amp;U$3&amp;$B$1,inputs!$D:$D)</f>
        <v>0</v>
      </c>
      <c r="V4" s="12">
        <f>SUMIF(inputs!$N:$N,$B$3&amp;V$3&amp;$B$1,inputs!$D:$D)</f>
        <v>1015</v>
      </c>
      <c r="W4" s="12">
        <f>SUMIF(inputs!$N:$N,$B$3&amp;W$3&amp;$B$1,inputs!$D:$D)</f>
        <v>897</v>
      </c>
      <c r="X4" s="12">
        <f>SUMIF(inputs!$N:$N,$B$3&amp;X$3&amp;$B$1,inputs!$D:$D)</f>
        <v>3172</v>
      </c>
      <c r="Y4" s="12">
        <f>SUMIF(inputs!$N:$N,$B$3&amp;Y$3&amp;$B$1,inputs!$D:$D)</f>
        <v>2771</v>
      </c>
      <c r="Z4" s="12">
        <f>SUMIF(inputs!$N:$N,$B$3&amp;Z$3&amp;$B$1,inputs!$D:$D)</f>
        <v>2702</v>
      </c>
      <c r="AA4" s="12">
        <f>SUMIF(inputs!$N:$N,$B$3&amp;AA$3&amp;$B$1,inputs!$D:$D)</f>
        <v>895</v>
      </c>
      <c r="AB4" s="12">
        <f>SUMIF(inputs!$N:$N,$B$3&amp;AB$3&amp;$B$1,inputs!$D:$D)</f>
        <v>2424</v>
      </c>
      <c r="AC4" s="12">
        <f>SUMIF(inputs!$N:$N,$B$3&amp;AC$3&amp;$B$1,inputs!$D:$D)</f>
        <v>797</v>
      </c>
      <c r="AD4" s="12">
        <f>SUMIF(inputs!$N:$N,$B$3&amp;AD$3&amp;$B$1,inputs!$D:$D)</f>
        <v>0</v>
      </c>
      <c r="AE4" s="12">
        <f>SUMIF(inputs!$N:$N,$B$3&amp;AE$3&amp;$B$1,inputs!$D:$D)</f>
        <v>0</v>
      </c>
      <c r="AF4" s="12">
        <f>SUMIF(inputs!$N:$N,$B$3&amp;AF$3&amp;$B$1,inputs!$D:$D)</f>
        <v>0</v>
      </c>
      <c r="AG4" s="12">
        <f>SUMIF(inputs!$N:$N,$B$3&amp;AG$3&amp;$B$1,inputs!$D:$D)</f>
        <v>0</v>
      </c>
      <c r="AH4" s="12">
        <f>SUMIF(inputs!$N:$N,$B$3&amp;AH$3&amp;$B$1,inputs!$D:$D)</f>
        <v>0</v>
      </c>
      <c r="AI4" s="12">
        <f>SUMIF(inputs!$N:$N,$B$3&amp;AI$3&amp;$B$1,inputs!$D:$D)</f>
        <v>0</v>
      </c>
      <c r="AJ4" s="12">
        <f>SUMIF(inputs!$N:$N,$B$3&amp;AJ$3&amp;$B$1,inputs!$D:$D)</f>
        <v>0</v>
      </c>
      <c r="AK4" s="12">
        <f>SUMIF(inputs!$N:$N,$B$3&amp;AK$3&amp;$B$1,inputs!$D:$D)</f>
        <v>0</v>
      </c>
      <c r="AL4" s="12">
        <f>SUMIF(inputs!$N:$N,$B$3&amp;AL$3&amp;$B$1,inputs!$D:$D)</f>
        <v>0</v>
      </c>
      <c r="AM4" s="12">
        <f>SUMIF(inputs!$N:$N,$B$3&amp;AM$3&amp;$B$1,inputs!$D:$D)</f>
        <v>0</v>
      </c>
      <c r="AN4" s="12">
        <f>SUMIF(inputs!$N:$N,$B$3&amp;AN$3&amp;$B$1,inputs!$D:$D)</f>
        <v>0</v>
      </c>
      <c r="AO4" s="12">
        <f>SUMIF(inputs!$N:$N,$B$3&amp;AO$3&amp;$B$1,inputs!$D:$D)</f>
        <v>0</v>
      </c>
      <c r="AP4" s="12">
        <f>SUMIF(inputs!$N:$N,$B$3&amp;AP$3&amp;$B$1,inputs!$D:$D)</f>
        <v>0</v>
      </c>
      <c r="AQ4" s="12"/>
      <c r="AR4" s="12">
        <f>HLOOKUP(AR$3,Weekly_Pmod!$3:$24,MATCH($B4,Weekly_Pmod!$B$3:$B$24,0),0)</f>
        <v>0</v>
      </c>
      <c r="AS4" s="12">
        <f>HLOOKUP(AS$3,Weekly_Pmod!$3:$24,MATCH($B4,Weekly_Pmod!$B$3:$B$24,0),0)</f>
        <v>103</v>
      </c>
      <c r="AT4" s="12">
        <f>HLOOKUP(AT$3,Weekly_Pmod!$3:$24,MATCH($B4,Weekly_Pmod!$B$3:$B$24,0),0)</f>
        <v>0</v>
      </c>
      <c r="AU4" s="12"/>
      <c r="AV4" s="12">
        <f>SUM(F4:AP4)</f>
        <v>14673</v>
      </c>
    </row>
    <row r="5" spans="2:48">
      <c r="B5" s="12" t="s">
        <v>990</v>
      </c>
      <c r="C5" s="12">
        <f t="shared" ref="C5:D24" si="0">SUMIF($F$2:$AP$2,C$2,$F5:$AP5)</f>
        <v>19</v>
      </c>
      <c r="D5" s="12">
        <f t="shared" si="0"/>
        <v>0</v>
      </c>
      <c r="E5" s="12"/>
      <c r="F5" s="12">
        <f>SUM(F6:F24)</f>
        <v>0</v>
      </c>
      <c r="G5" s="12">
        <f>SUM(G6:G24)</f>
        <v>0</v>
      </c>
      <c r="H5" s="12">
        <f t="shared" ref="H5:AP5" si="1">SUM(H6:H24)</f>
        <v>0</v>
      </c>
      <c r="I5" s="12">
        <f t="shared" si="1"/>
        <v>0</v>
      </c>
      <c r="J5" s="12">
        <f t="shared" si="1"/>
        <v>0</v>
      </c>
      <c r="K5" s="12">
        <f t="shared" si="1"/>
        <v>0</v>
      </c>
      <c r="L5" s="12">
        <f t="shared" si="1"/>
        <v>0</v>
      </c>
      <c r="M5" s="12">
        <f t="shared" si="1"/>
        <v>0</v>
      </c>
      <c r="N5" s="12">
        <f t="shared" si="1"/>
        <v>0</v>
      </c>
      <c r="O5" s="12">
        <f t="shared" si="1"/>
        <v>0</v>
      </c>
      <c r="P5" s="12">
        <f t="shared" si="1"/>
        <v>0</v>
      </c>
      <c r="Q5" s="12">
        <f t="shared" si="1"/>
        <v>0</v>
      </c>
      <c r="R5" s="12">
        <f t="shared" si="1"/>
        <v>0</v>
      </c>
      <c r="S5" s="12">
        <f t="shared" si="1"/>
        <v>0</v>
      </c>
      <c r="T5" s="12">
        <f t="shared" si="1"/>
        <v>0</v>
      </c>
      <c r="U5" s="12">
        <f t="shared" si="1"/>
        <v>0</v>
      </c>
      <c r="V5" s="12">
        <f t="shared" si="1"/>
        <v>2</v>
      </c>
      <c r="W5" s="12">
        <f t="shared" si="1"/>
        <v>1</v>
      </c>
      <c r="X5" s="12">
        <f t="shared" si="1"/>
        <v>8</v>
      </c>
      <c r="Y5" s="12">
        <f t="shared" si="1"/>
        <v>3</v>
      </c>
      <c r="Z5" s="12">
        <f t="shared" si="1"/>
        <v>3</v>
      </c>
      <c r="AA5" s="12">
        <f t="shared" si="1"/>
        <v>1</v>
      </c>
      <c r="AB5" s="12">
        <f t="shared" si="1"/>
        <v>1</v>
      </c>
      <c r="AC5" s="12">
        <f t="shared" si="1"/>
        <v>0</v>
      </c>
      <c r="AD5" s="12">
        <f t="shared" si="1"/>
        <v>0</v>
      </c>
      <c r="AE5" s="12">
        <f t="shared" si="1"/>
        <v>0</v>
      </c>
      <c r="AF5" s="12">
        <f t="shared" si="1"/>
        <v>0</v>
      </c>
      <c r="AG5" s="12">
        <f t="shared" si="1"/>
        <v>0</v>
      </c>
      <c r="AH5" s="12">
        <f t="shared" si="1"/>
        <v>0</v>
      </c>
      <c r="AI5" s="12">
        <f t="shared" si="1"/>
        <v>0</v>
      </c>
      <c r="AJ5" s="12">
        <f t="shared" si="1"/>
        <v>0</v>
      </c>
      <c r="AK5" s="12">
        <f t="shared" si="1"/>
        <v>0</v>
      </c>
      <c r="AL5" s="12">
        <f t="shared" si="1"/>
        <v>0</v>
      </c>
      <c r="AM5" s="12">
        <f t="shared" si="1"/>
        <v>0</v>
      </c>
      <c r="AN5" s="12">
        <f t="shared" si="1"/>
        <v>0</v>
      </c>
      <c r="AO5" s="12">
        <f t="shared" si="1"/>
        <v>0</v>
      </c>
      <c r="AP5" s="12">
        <f t="shared" si="1"/>
        <v>0</v>
      </c>
      <c r="AQ5" s="12"/>
      <c r="AR5" s="12">
        <f>HLOOKUP(AR$3,Weekly_Pmod!$3:$24,MATCH($B5,Weekly_Pmod!$B$3:$B$24,0),0)</f>
        <v>0</v>
      </c>
      <c r="AS5" s="12">
        <f>HLOOKUP(AS$3,Weekly_Pmod!$3:$24,MATCH($B5,Weekly_Pmod!$B$3:$B$24,0),0)</f>
        <v>0</v>
      </c>
      <c r="AT5" s="12">
        <f>HLOOKUP(AT$3,Weekly_Pmod!$3:$24,MATCH($B5,Weekly_Pmod!$B$3:$B$24,0),0)</f>
        <v>0</v>
      </c>
      <c r="AU5" s="12"/>
      <c r="AV5" s="12">
        <f>SUM(F5:AP5)</f>
        <v>19</v>
      </c>
    </row>
    <row r="6" spans="2:48">
      <c r="B6" s="12" t="s">
        <v>991</v>
      </c>
      <c r="C6" s="12">
        <f t="shared" si="0"/>
        <v>0</v>
      </c>
      <c r="D6" s="12">
        <f t="shared" si="0"/>
        <v>0</v>
      </c>
      <c r="E6" s="12"/>
      <c r="F6" s="12">
        <f>COUNTIF(defects!$AC:$AC,Monthly_Pmod!$B6&amp;Monthly_Pmod!$B$3&amp;$B$2&amp;Monthly_Pmod!F$3&amp;$B$1)</f>
        <v>0</v>
      </c>
      <c r="G6" s="12">
        <f>COUNTIF(defects!$AC:$AC,Monthly_Pmod!$B6&amp;Monthly_Pmod!$B$3&amp;$B$2&amp;Monthly_Pmod!G$3&amp;$B$1)</f>
        <v>0</v>
      </c>
      <c r="H6" s="12">
        <f>COUNTIF(defects!$AC:$AC,Monthly_Pmod!$B6&amp;Monthly_Pmod!$B$3&amp;$B$2&amp;Monthly_Pmod!H$3&amp;$B$1)</f>
        <v>0</v>
      </c>
      <c r="I6" s="12">
        <f>COUNTIF(defects!$AC:$AC,Monthly_Pmod!$B6&amp;Monthly_Pmod!$B$3&amp;$B$2&amp;Monthly_Pmod!I$3&amp;$B$1)</f>
        <v>0</v>
      </c>
      <c r="J6" s="12">
        <f>COUNTIF(defects!$AC:$AC,Monthly_Pmod!$B6&amp;Monthly_Pmod!$B$3&amp;$B$2&amp;Monthly_Pmod!J$3&amp;$B$1)</f>
        <v>0</v>
      </c>
      <c r="K6" s="12">
        <f>COUNTIF(defects!$AC:$AC,Monthly_Pmod!$B6&amp;Monthly_Pmod!$B$3&amp;$B$2&amp;Monthly_Pmod!K$3&amp;$B$1)</f>
        <v>0</v>
      </c>
      <c r="L6" s="12">
        <f>COUNTIF(defects!$AC:$AC,Monthly_Pmod!$B6&amp;Monthly_Pmod!$B$3&amp;$B$2&amp;Monthly_Pmod!L$3&amp;$B$1)</f>
        <v>0</v>
      </c>
      <c r="M6" s="12">
        <f>COUNTIF(defects!$AC:$AC,Monthly_Pmod!$B6&amp;Monthly_Pmod!$B$3&amp;$B$2&amp;Monthly_Pmod!M$3&amp;$B$1)</f>
        <v>0</v>
      </c>
      <c r="N6" s="12">
        <f>COUNTIF(defects!$AC:$AC,Monthly_Pmod!$B6&amp;Monthly_Pmod!$B$3&amp;$B$2&amp;Monthly_Pmod!N$3&amp;$B$1)</f>
        <v>0</v>
      </c>
      <c r="O6" s="12">
        <f>COUNTIF(defects!$AC:$AC,Monthly_Pmod!$B6&amp;Monthly_Pmod!$B$3&amp;$B$2&amp;Monthly_Pmod!O$3&amp;$B$1)</f>
        <v>0</v>
      </c>
      <c r="P6" s="12">
        <f>COUNTIF(defects!$AC:$AC,Monthly_Pmod!$B6&amp;Monthly_Pmod!$B$3&amp;$B$2&amp;Monthly_Pmod!P$3&amp;$B$1)</f>
        <v>0</v>
      </c>
      <c r="Q6" s="12">
        <f>COUNTIF(defects!$AC:$AC,Monthly_Pmod!$B6&amp;Monthly_Pmod!$B$3&amp;$B$2&amp;Monthly_Pmod!Q$3&amp;$B$1)</f>
        <v>0</v>
      </c>
      <c r="R6" s="12">
        <f>COUNTIF(defects!$AC:$AC,Monthly_Pmod!$B6&amp;Monthly_Pmod!$B$3&amp;$B$2&amp;Monthly_Pmod!R$3&amp;$B$1)</f>
        <v>0</v>
      </c>
      <c r="S6" s="12">
        <f>COUNTIF(defects!$AC:$AC,Monthly_Pmod!$B6&amp;Monthly_Pmod!$B$3&amp;$B$2&amp;Monthly_Pmod!S$3&amp;$B$1)</f>
        <v>0</v>
      </c>
      <c r="T6" s="12">
        <f>COUNTIF(defects!$AC:$AC,Monthly_Pmod!$B6&amp;Monthly_Pmod!$B$3&amp;$B$2&amp;Monthly_Pmod!T$3&amp;$B$1)</f>
        <v>0</v>
      </c>
      <c r="U6" s="12">
        <f>COUNTIF(defects!$AC:$AC,Monthly_Pmod!$B6&amp;Monthly_Pmod!$B$3&amp;$B$2&amp;Monthly_Pmod!U$3&amp;$B$1)</f>
        <v>0</v>
      </c>
      <c r="V6" s="12">
        <f>COUNTIF(defects!$AC:$AC,Monthly_Pmod!$B6&amp;Monthly_Pmod!$B$3&amp;$B$2&amp;Monthly_Pmod!V$3&amp;$B$1)</f>
        <v>0</v>
      </c>
      <c r="W6" s="12">
        <f>COUNTIF(defects!$AC:$AC,Monthly_Pmod!$B6&amp;Monthly_Pmod!$B$3&amp;$B$2&amp;Monthly_Pmod!W$3&amp;$B$1)</f>
        <v>0</v>
      </c>
      <c r="X6" s="12">
        <f>COUNTIF(defects!$AC:$AC,Monthly_Pmod!$B6&amp;Monthly_Pmod!$B$3&amp;$B$2&amp;Monthly_Pmod!X$3&amp;$B$1)</f>
        <v>0</v>
      </c>
      <c r="Y6" s="12">
        <f>COUNTIF(defects!$AC:$AC,Monthly_Pmod!$B6&amp;Monthly_Pmod!$B$3&amp;$B$2&amp;Monthly_Pmod!Y$3&amp;$B$1)</f>
        <v>0</v>
      </c>
      <c r="Z6" s="12">
        <f>COUNTIF(defects!$AC:$AC,Monthly_Pmod!$B6&amp;Monthly_Pmod!$B$3&amp;$B$2&amp;Monthly_Pmod!Z$3&amp;$B$1)</f>
        <v>0</v>
      </c>
      <c r="AA6" s="12">
        <f>COUNTIF(defects!$AC:$AC,Monthly_Pmod!$B6&amp;Monthly_Pmod!$B$3&amp;$B$2&amp;Monthly_Pmod!AA$3&amp;$B$1)</f>
        <v>0</v>
      </c>
      <c r="AB6" s="12">
        <f>COUNTIF(defects!$AC:$AC,Monthly_Pmod!$B6&amp;Monthly_Pmod!$B$3&amp;$B$2&amp;Monthly_Pmod!AB$3&amp;$B$1)</f>
        <v>0</v>
      </c>
      <c r="AC6" s="12">
        <f>COUNTIF(defects!$AC:$AC,Monthly_Pmod!$B6&amp;Monthly_Pmod!$B$3&amp;$B$2&amp;Monthly_Pmod!AC$3&amp;$B$1)</f>
        <v>0</v>
      </c>
      <c r="AD6" s="12">
        <f>COUNTIF(defects!$AC:$AC,Monthly_Pmod!$B6&amp;Monthly_Pmod!$B$3&amp;$B$2&amp;Monthly_Pmod!AD$3&amp;$B$1)</f>
        <v>0</v>
      </c>
      <c r="AE6" s="12">
        <f>COUNTIF(defects!$AC:$AC,Monthly_Pmod!$B6&amp;Monthly_Pmod!$B$3&amp;$B$2&amp;Monthly_Pmod!AE$3&amp;$B$1)</f>
        <v>0</v>
      </c>
      <c r="AF6" s="12">
        <f>COUNTIF(defects!$AC:$AC,Monthly_Pmod!$B6&amp;Monthly_Pmod!$B$3&amp;$B$2&amp;Monthly_Pmod!AF$3&amp;$B$1)</f>
        <v>0</v>
      </c>
      <c r="AG6" s="12">
        <f>COUNTIF(defects!$AC:$AC,Monthly_Pmod!$B6&amp;Monthly_Pmod!$B$3&amp;$B$2&amp;Monthly_Pmod!AG$3&amp;$B$1)</f>
        <v>0</v>
      </c>
      <c r="AH6" s="12">
        <f>COUNTIF(defects!$AC:$AC,Monthly_Pmod!$B6&amp;Monthly_Pmod!$B$3&amp;$B$2&amp;Monthly_Pmod!AH$3&amp;$B$1)</f>
        <v>0</v>
      </c>
      <c r="AI6" s="12">
        <f>COUNTIF(defects!$AC:$AC,Monthly_Pmod!$B6&amp;Monthly_Pmod!$B$3&amp;$B$2&amp;Monthly_Pmod!AI$3&amp;$B$1)</f>
        <v>0</v>
      </c>
      <c r="AJ6" s="12">
        <f>COUNTIF(defects!$AC:$AC,Monthly_Pmod!$B6&amp;Monthly_Pmod!$B$3&amp;$B$2&amp;Monthly_Pmod!AJ$3&amp;$B$1)</f>
        <v>0</v>
      </c>
      <c r="AK6" s="12">
        <f>COUNTIF(defects!$AC:$AC,Monthly_Pmod!$B6&amp;Monthly_Pmod!$B$3&amp;$B$2&amp;Monthly_Pmod!AK$3&amp;$B$1)</f>
        <v>0</v>
      </c>
      <c r="AL6" s="12">
        <f>COUNTIF(defects!$AC:$AC,Monthly_Pmod!$B6&amp;Monthly_Pmod!$B$3&amp;$B$2&amp;Monthly_Pmod!AL$3&amp;$B$1)</f>
        <v>0</v>
      </c>
      <c r="AM6" s="12">
        <f>COUNTIF(defects!$AC:$AC,Monthly_Pmod!$B6&amp;Monthly_Pmod!$B$3&amp;$B$2&amp;Monthly_Pmod!AM$3&amp;$B$1)</f>
        <v>0</v>
      </c>
      <c r="AN6" s="12">
        <f>COUNTIF(defects!$AC:$AC,Monthly_Pmod!$B6&amp;Monthly_Pmod!$B$3&amp;$B$2&amp;Monthly_Pmod!AN$3&amp;$B$1)</f>
        <v>0</v>
      </c>
      <c r="AO6" s="12">
        <f>COUNTIF(defects!$AC:$AC,Monthly_Pmod!$B6&amp;Monthly_Pmod!$B$3&amp;$B$2&amp;Monthly_Pmod!AO$3&amp;$B$1)</f>
        <v>0</v>
      </c>
      <c r="AP6" s="12">
        <f>COUNTIF(defects!$AC:$AC,Monthly_Pmod!$B6&amp;Monthly_Pmod!$B$3&amp;$B$2&amp;Monthly_Pmod!AP$3&amp;$B$1)</f>
        <v>0</v>
      </c>
      <c r="AQ6" s="12"/>
      <c r="AR6" s="12">
        <f>HLOOKUP(AR$3,Weekly_Pmod!$3:$24,MATCH($B6,Weekly_Pmod!$B$3:$B$24,0),0)</f>
        <v>0</v>
      </c>
      <c r="AS6" s="12">
        <f>HLOOKUP(AS$3,Weekly_Pmod!$3:$24,MATCH($B6,Weekly_Pmod!$B$3:$B$24,0),0)</f>
        <v>0</v>
      </c>
      <c r="AT6" s="12">
        <f>HLOOKUP(AT$3,Weekly_Pmod!$3:$24,MATCH($B6,Weekly_Pmod!$B$3:$B$24,0),0)</f>
        <v>0</v>
      </c>
      <c r="AU6" s="12"/>
      <c r="AV6" s="12">
        <f>SUM(F6:AP6)</f>
        <v>0</v>
      </c>
    </row>
    <row r="7" spans="2:48">
      <c r="B7" s="12" t="s">
        <v>957</v>
      </c>
      <c r="C7" s="12">
        <f t="shared" si="0"/>
        <v>1</v>
      </c>
      <c r="D7" s="12">
        <f t="shared" si="0"/>
        <v>0</v>
      </c>
      <c r="E7" s="12"/>
      <c r="F7" s="12">
        <f>COUNTIF(defects!$AC:$AC,Monthly_Pmod!$B7&amp;Monthly_Pmod!$B$3&amp;$B$2&amp;Monthly_Pmod!F$3&amp;$B$1)</f>
        <v>0</v>
      </c>
      <c r="G7" s="12">
        <f>COUNTIF(defects!$AC:$AC,Monthly_Pmod!$B7&amp;Monthly_Pmod!$B$3&amp;$B$2&amp;Monthly_Pmod!G$3&amp;$B$1)</f>
        <v>0</v>
      </c>
      <c r="H7" s="12">
        <f>COUNTIF(defects!$AC:$AC,Monthly_Pmod!$B7&amp;Monthly_Pmod!$B$3&amp;$B$2&amp;Monthly_Pmod!H$3&amp;$B$1)</f>
        <v>0</v>
      </c>
      <c r="I7" s="12">
        <f>COUNTIF(defects!$AC:$AC,Monthly_Pmod!$B7&amp;Monthly_Pmod!$B$3&amp;$B$2&amp;Monthly_Pmod!I$3&amp;$B$1)</f>
        <v>0</v>
      </c>
      <c r="J7" s="12">
        <f>COUNTIF(defects!$AC:$AC,Monthly_Pmod!$B7&amp;Monthly_Pmod!$B$3&amp;$B$2&amp;Monthly_Pmod!J$3&amp;$B$1)</f>
        <v>0</v>
      </c>
      <c r="K7" s="12">
        <f>COUNTIF(defects!$AC:$AC,Monthly_Pmod!$B7&amp;Monthly_Pmod!$B$3&amp;$B$2&amp;Monthly_Pmod!K$3&amp;$B$1)</f>
        <v>0</v>
      </c>
      <c r="L7" s="12">
        <f>COUNTIF(defects!$AC:$AC,Monthly_Pmod!$B7&amp;Monthly_Pmod!$B$3&amp;$B$2&amp;Monthly_Pmod!L$3&amp;$B$1)</f>
        <v>0</v>
      </c>
      <c r="M7" s="12">
        <f>COUNTIF(defects!$AC:$AC,Monthly_Pmod!$B7&amp;Monthly_Pmod!$B$3&amp;$B$2&amp;Monthly_Pmod!M$3&amp;$B$1)</f>
        <v>0</v>
      </c>
      <c r="N7" s="12">
        <f>COUNTIF(defects!$AC:$AC,Monthly_Pmod!$B7&amp;Monthly_Pmod!$B$3&amp;$B$2&amp;Monthly_Pmod!N$3&amp;$B$1)</f>
        <v>0</v>
      </c>
      <c r="O7" s="12">
        <f>COUNTIF(defects!$AC:$AC,Monthly_Pmod!$B7&amp;Monthly_Pmod!$B$3&amp;$B$2&amp;Monthly_Pmod!O$3&amp;$B$1)</f>
        <v>0</v>
      </c>
      <c r="P7" s="12">
        <f>COUNTIF(defects!$AC:$AC,Monthly_Pmod!$B7&amp;Monthly_Pmod!$B$3&amp;$B$2&amp;Monthly_Pmod!P$3&amp;$B$1)</f>
        <v>0</v>
      </c>
      <c r="Q7" s="12">
        <f>COUNTIF(defects!$AC:$AC,Monthly_Pmod!$B7&amp;Monthly_Pmod!$B$3&amp;$B$2&amp;Monthly_Pmod!Q$3&amp;$B$1)</f>
        <v>0</v>
      </c>
      <c r="R7" s="12">
        <f>COUNTIF(defects!$AC:$AC,Monthly_Pmod!$B7&amp;Monthly_Pmod!$B$3&amp;$B$2&amp;Monthly_Pmod!R$3&amp;$B$1)</f>
        <v>0</v>
      </c>
      <c r="S7" s="12">
        <f>COUNTIF(defects!$AC:$AC,Monthly_Pmod!$B7&amp;Monthly_Pmod!$B$3&amp;$B$2&amp;Monthly_Pmod!S$3&amp;$B$1)</f>
        <v>0</v>
      </c>
      <c r="T7" s="12">
        <f>COUNTIF(defects!$AC:$AC,Monthly_Pmod!$B7&amp;Monthly_Pmod!$B$3&amp;$B$2&amp;Monthly_Pmod!T$3&amp;$B$1)</f>
        <v>0</v>
      </c>
      <c r="U7" s="12">
        <f>COUNTIF(defects!$AC:$AC,Monthly_Pmod!$B7&amp;Monthly_Pmod!$B$3&amp;$B$2&amp;Monthly_Pmod!U$3&amp;$B$1)</f>
        <v>0</v>
      </c>
      <c r="V7" s="12">
        <f>COUNTIF(defects!$AC:$AC,Monthly_Pmod!$B7&amp;Monthly_Pmod!$B$3&amp;$B$2&amp;Monthly_Pmod!V$3&amp;$B$1)</f>
        <v>0</v>
      </c>
      <c r="W7" s="12">
        <f>COUNTIF(defects!$AC:$AC,Monthly_Pmod!$B7&amp;Monthly_Pmod!$B$3&amp;$B$2&amp;Monthly_Pmod!W$3&amp;$B$1)</f>
        <v>0</v>
      </c>
      <c r="X7" s="12">
        <f>COUNTIF(defects!$AC:$AC,Monthly_Pmod!$B7&amp;Monthly_Pmod!$B$3&amp;$B$2&amp;Monthly_Pmod!X$3&amp;$B$1)</f>
        <v>1</v>
      </c>
      <c r="Y7" s="12">
        <f>COUNTIF(defects!$AC:$AC,Monthly_Pmod!$B7&amp;Monthly_Pmod!$B$3&amp;$B$2&amp;Monthly_Pmod!Y$3&amp;$B$1)</f>
        <v>0</v>
      </c>
      <c r="Z7" s="12">
        <f>COUNTIF(defects!$AC:$AC,Monthly_Pmod!$B7&amp;Monthly_Pmod!$B$3&amp;$B$2&amp;Monthly_Pmod!Z$3&amp;$B$1)</f>
        <v>0</v>
      </c>
      <c r="AA7" s="12">
        <f>COUNTIF(defects!$AC:$AC,Monthly_Pmod!$B7&amp;Monthly_Pmod!$B$3&amp;$B$2&amp;Monthly_Pmod!AA$3&amp;$B$1)</f>
        <v>0</v>
      </c>
      <c r="AB7" s="12">
        <f>COUNTIF(defects!$AC:$AC,Monthly_Pmod!$B7&amp;Monthly_Pmod!$B$3&amp;$B$2&amp;Monthly_Pmod!AB$3&amp;$B$1)</f>
        <v>0</v>
      </c>
      <c r="AC7" s="12">
        <f>COUNTIF(defects!$AC:$AC,Monthly_Pmod!$B7&amp;Monthly_Pmod!$B$3&amp;$B$2&amp;Monthly_Pmod!AC$3&amp;$B$1)</f>
        <v>0</v>
      </c>
      <c r="AD7" s="12">
        <f>COUNTIF(defects!$AC:$AC,Monthly_Pmod!$B7&amp;Monthly_Pmod!$B$3&amp;$B$2&amp;Monthly_Pmod!AD$3&amp;$B$1)</f>
        <v>0</v>
      </c>
      <c r="AE7" s="12">
        <f>COUNTIF(defects!$AC:$AC,Monthly_Pmod!$B7&amp;Monthly_Pmod!$B$3&amp;$B$2&amp;Monthly_Pmod!AE$3&amp;$B$1)</f>
        <v>0</v>
      </c>
      <c r="AF7" s="12">
        <f>COUNTIF(defects!$AC:$AC,Monthly_Pmod!$B7&amp;Monthly_Pmod!$B$3&amp;$B$2&amp;Monthly_Pmod!AF$3&amp;$B$1)</f>
        <v>0</v>
      </c>
      <c r="AG7" s="12">
        <f>COUNTIF(defects!$AC:$AC,Monthly_Pmod!$B7&amp;Monthly_Pmod!$B$3&amp;$B$2&amp;Monthly_Pmod!AG$3&amp;$B$1)</f>
        <v>0</v>
      </c>
      <c r="AH7" s="12">
        <f>COUNTIF(defects!$AC:$AC,Monthly_Pmod!$B7&amp;Monthly_Pmod!$B$3&amp;$B$2&amp;Monthly_Pmod!AH$3&amp;$B$1)</f>
        <v>0</v>
      </c>
      <c r="AI7" s="12">
        <f>COUNTIF(defects!$AC:$AC,Monthly_Pmod!$B7&amp;Monthly_Pmod!$B$3&amp;$B$2&amp;Monthly_Pmod!AI$3&amp;$B$1)</f>
        <v>0</v>
      </c>
      <c r="AJ7" s="12">
        <f>COUNTIF(defects!$AC:$AC,Monthly_Pmod!$B7&amp;Monthly_Pmod!$B$3&amp;$B$2&amp;Monthly_Pmod!AJ$3&amp;$B$1)</f>
        <v>0</v>
      </c>
      <c r="AK7" s="12">
        <f>COUNTIF(defects!$AC:$AC,Monthly_Pmod!$B7&amp;Monthly_Pmod!$B$3&amp;$B$2&amp;Monthly_Pmod!AK$3&amp;$B$1)</f>
        <v>0</v>
      </c>
      <c r="AL7" s="12">
        <f>COUNTIF(defects!$AC:$AC,Monthly_Pmod!$B7&amp;Monthly_Pmod!$B$3&amp;$B$2&amp;Monthly_Pmod!AL$3&amp;$B$1)</f>
        <v>0</v>
      </c>
      <c r="AM7" s="12">
        <f>COUNTIF(defects!$AC:$AC,Monthly_Pmod!$B7&amp;Monthly_Pmod!$B$3&amp;$B$2&amp;Monthly_Pmod!AM$3&amp;$B$1)</f>
        <v>0</v>
      </c>
      <c r="AN7" s="12">
        <f>COUNTIF(defects!$AC:$AC,Monthly_Pmod!$B7&amp;Monthly_Pmod!$B$3&amp;$B$2&amp;Monthly_Pmod!AN$3&amp;$B$1)</f>
        <v>0</v>
      </c>
      <c r="AO7" s="12">
        <f>COUNTIF(defects!$AC:$AC,Monthly_Pmod!$B7&amp;Monthly_Pmod!$B$3&amp;$B$2&amp;Monthly_Pmod!AO$3&amp;$B$1)</f>
        <v>0</v>
      </c>
      <c r="AP7" s="12">
        <f>COUNTIF(defects!$AC:$AC,Monthly_Pmod!$B7&amp;Monthly_Pmod!$B$3&amp;$B$2&amp;Monthly_Pmod!AP$3&amp;$B$1)</f>
        <v>0</v>
      </c>
      <c r="AQ7" s="12"/>
      <c r="AR7" s="12">
        <f>HLOOKUP(AR$3,Weekly_Pmod!$3:$24,MATCH($B7,Weekly_Pmod!$B$3:$B$24,0),0)</f>
        <v>0</v>
      </c>
      <c r="AS7" s="12">
        <f>HLOOKUP(AS$3,Weekly_Pmod!$3:$24,MATCH($B7,Weekly_Pmod!$B$3:$B$24,0),0)</f>
        <v>0</v>
      </c>
      <c r="AT7" s="12">
        <f>HLOOKUP(AT$3,Weekly_Pmod!$3:$24,MATCH($B7,Weekly_Pmod!$B$3:$B$24,0),0)</f>
        <v>0</v>
      </c>
      <c r="AU7" s="12"/>
      <c r="AV7" s="12">
        <f t="shared" ref="AV7:AV24" si="2">SUM(F7:AP7)</f>
        <v>1</v>
      </c>
    </row>
    <row r="8" spans="2:48">
      <c r="B8" s="12" t="s">
        <v>955</v>
      </c>
      <c r="C8" s="12">
        <f t="shared" si="0"/>
        <v>3</v>
      </c>
      <c r="D8" s="12">
        <f t="shared" si="0"/>
        <v>0</v>
      </c>
      <c r="E8" s="12"/>
      <c r="F8" s="12">
        <f>COUNTIF(defects!$AC:$AC,Monthly_Pmod!$B8&amp;Monthly_Pmod!$B$3&amp;$B$2&amp;Monthly_Pmod!F$3&amp;$B$1)</f>
        <v>0</v>
      </c>
      <c r="G8" s="12">
        <f>COUNTIF(defects!$AC:$AC,Monthly_Pmod!$B8&amp;Monthly_Pmod!$B$3&amp;$B$2&amp;Monthly_Pmod!G$3&amp;$B$1)</f>
        <v>0</v>
      </c>
      <c r="H8" s="12">
        <f>COUNTIF(defects!$AC:$AC,Monthly_Pmod!$B8&amp;Monthly_Pmod!$B$3&amp;$B$2&amp;Monthly_Pmod!H$3&amp;$B$1)</f>
        <v>0</v>
      </c>
      <c r="I8" s="12">
        <f>COUNTIF(defects!$AC:$AC,Monthly_Pmod!$B8&amp;Monthly_Pmod!$B$3&amp;$B$2&amp;Monthly_Pmod!I$3&amp;$B$1)</f>
        <v>0</v>
      </c>
      <c r="J8" s="12">
        <f>COUNTIF(defects!$AC:$AC,Monthly_Pmod!$B8&amp;Monthly_Pmod!$B$3&amp;$B$2&amp;Monthly_Pmod!J$3&amp;$B$1)</f>
        <v>0</v>
      </c>
      <c r="K8" s="12">
        <f>COUNTIF(defects!$AC:$AC,Monthly_Pmod!$B8&amp;Monthly_Pmod!$B$3&amp;$B$2&amp;Monthly_Pmod!K$3&amp;$B$1)</f>
        <v>0</v>
      </c>
      <c r="L8" s="12">
        <f>COUNTIF(defects!$AC:$AC,Monthly_Pmod!$B8&amp;Monthly_Pmod!$B$3&amp;$B$2&amp;Monthly_Pmod!L$3&amp;$B$1)</f>
        <v>0</v>
      </c>
      <c r="M8" s="12">
        <f>COUNTIF(defects!$AC:$AC,Monthly_Pmod!$B8&amp;Monthly_Pmod!$B$3&amp;$B$2&amp;Monthly_Pmod!M$3&amp;$B$1)</f>
        <v>0</v>
      </c>
      <c r="N8" s="12">
        <f>COUNTIF(defects!$AC:$AC,Monthly_Pmod!$B8&amp;Monthly_Pmod!$B$3&amp;$B$2&amp;Monthly_Pmod!N$3&amp;$B$1)</f>
        <v>0</v>
      </c>
      <c r="O8" s="12">
        <f>COUNTIF(defects!$AC:$AC,Monthly_Pmod!$B8&amp;Monthly_Pmod!$B$3&amp;$B$2&amp;Monthly_Pmod!O$3&amp;$B$1)</f>
        <v>0</v>
      </c>
      <c r="P8" s="12">
        <f>COUNTIF(defects!$AC:$AC,Monthly_Pmod!$B8&amp;Monthly_Pmod!$B$3&amp;$B$2&amp;Monthly_Pmod!P$3&amp;$B$1)</f>
        <v>0</v>
      </c>
      <c r="Q8" s="12">
        <f>COUNTIF(defects!$AC:$AC,Monthly_Pmod!$B8&amp;Monthly_Pmod!$B$3&amp;$B$2&amp;Monthly_Pmod!Q$3&amp;$B$1)</f>
        <v>0</v>
      </c>
      <c r="R8" s="12">
        <f>COUNTIF(defects!$AC:$AC,Monthly_Pmod!$B8&amp;Monthly_Pmod!$B$3&amp;$B$2&amp;Monthly_Pmod!R$3&amp;$B$1)</f>
        <v>0</v>
      </c>
      <c r="S8" s="12">
        <f>COUNTIF(defects!$AC:$AC,Monthly_Pmod!$B8&amp;Monthly_Pmod!$B$3&amp;$B$2&amp;Monthly_Pmod!S$3&amp;$B$1)</f>
        <v>0</v>
      </c>
      <c r="T8" s="12">
        <f>COUNTIF(defects!$AC:$AC,Monthly_Pmod!$B8&amp;Monthly_Pmod!$B$3&amp;$B$2&amp;Monthly_Pmod!T$3&amp;$B$1)</f>
        <v>0</v>
      </c>
      <c r="U8" s="12">
        <f>COUNTIF(defects!$AC:$AC,Monthly_Pmod!$B8&amp;Monthly_Pmod!$B$3&amp;$B$2&amp;Monthly_Pmod!U$3&amp;$B$1)</f>
        <v>0</v>
      </c>
      <c r="V8" s="12">
        <f>COUNTIF(defects!$AC:$AC,Monthly_Pmod!$B8&amp;Monthly_Pmod!$B$3&amp;$B$2&amp;Monthly_Pmod!V$3&amp;$B$1)</f>
        <v>1</v>
      </c>
      <c r="W8" s="12">
        <f>COUNTIF(defects!$AC:$AC,Monthly_Pmod!$B8&amp;Monthly_Pmod!$B$3&amp;$B$2&amp;Monthly_Pmod!W$3&amp;$B$1)</f>
        <v>0</v>
      </c>
      <c r="X8" s="12">
        <f>COUNTIF(defects!$AC:$AC,Monthly_Pmod!$B8&amp;Monthly_Pmod!$B$3&amp;$B$2&amp;Monthly_Pmod!X$3&amp;$B$1)</f>
        <v>0</v>
      </c>
      <c r="Y8" s="12">
        <f>COUNTIF(defects!$AC:$AC,Monthly_Pmod!$B8&amp;Monthly_Pmod!$B$3&amp;$B$2&amp;Monthly_Pmod!Y$3&amp;$B$1)</f>
        <v>1</v>
      </c>
      <c r="Z8" s="12">
        <f>COUNTIF(defects!$AC:$AC,Monthly_Pmod!$B8&amp;Monthly_Pmod!$B$3&amp;$B$2&amp;Monthly_Pmod!Z$3&amp;$B$1)</f>
        <v>1</v>
      </c>
      <c r="AA8" s="12">
        <f>COUNTIF(defects!$AC:$AC,Monthly_Pmod!$B8&amp;Monthly_Pmod!$B$3&amp;$B$2&amp;Monthly_Pmod!AA$3&amp;$B$1)</f>
        <v>0</v>
      </c>
      <c r="AB8" s="12">
        <f>COUNTIF(defects!$AC:$AC,Monthly_Pmod!$B8&amp;Monthly_Pmod!$B$3&amp;$B$2&amp;Monthly_Pmod!AB$3&amp;$B$1)</f>
        <v>0</v>
      </c>
      <c r="AC8" s="12">
        <f>COUNTIF(defects!$AC:$AC,Monthly_Pmod!$B8&amp;Monthly_Pmod!$B$3&amp;$B$2&amp;Monthly_Pmod!AC$3&amp;$B$1)</f>
        <v>0</v>
      </c>
      <c r="AD8" s="12">
        <f>COUNTIF(defects!$AC:$AC,Monthly_Pmod!$B8&amp;Monthly_Pmod!$B$3&amp;$B$2&amp;Monthly_Pmod!AD$3&amp;$B$1)</f>
        <v>0</v>
      </c>
      <c r="AE8" s="12">
        <f>COUNTIF(defects!$AC:$AC,Monthly_Pmod!$B8&amp;Monthly_Pmod!$B$3&amp;$B$2&amp;Monthly_Pmod!AE$3&amp;$B$1)</f>
        <v>0</v>
      </c>
      <c r="AF8" s="12">
        <f>COUNTIF(defects!$AC:$AC,Monthly_Pmod!$B8&amp;Monthly_Pmod!$B$3&amp;$B$2&amp;Monthly_Pmod!AF$3&amp;$B$1)</f>
        <v>0</v>
      </c>
      <c r="AG8" s="12">
        <f>COUNTIF(defects!$AC:$AC,Monthly_Pmod!$B8&amp;Monthly_Pmod!$B$3&amp;$B$2&amp;Monthly_Pmod!AG$3&amp;$B$1)</f>
        <v>0</v>
      </c>
      <c r="AH8" s="12">
        <f>COUNTIF(defects!$AC:$AC,Monthly_Pmod!$B8&amp;Monthly_Pmod!$B$3&amp;$B$2&amp;Monthly_Pmod!AH$3&amp;$B$1)</f>
        <v>0</v>
      </c>
      <c r="AI8" s="12">
        <f>COUNTIF(defects!$AC:$AC,Monthly_Pmod!$B8&amp;Monthly_Pmod!$B$3&amp;$B$2&amp;Monthly_Pmod!AI$3&amp;$B$1)</f>
        <v>0</v>
      </c>
      <c r="AJ8" s="12">
        <f>COUNTIF(defects!$AC:$AC,Monthly_Pmod!$B8&amp;Monthly_Pmod!$B$3&amp;$B$2&amp;Monthly_Pmod!AJ$3&amp;$B$1)</f>
        <v>0</v>
      </c>
      <c r="AK8" s="12">
        <f>COUNTIF(defects!$AC:$AC,Monthly_Pmod!$B8&amp;Monthly_Pmod!$B$3&amp;$B$2&amp;Monthly_Pmod!AK$3&amp;$B$1)</f>
        <v>0</v>
      </c>
      <c r="AL8" s="12">
        <f>COUNTIF(defects!$AC:$AC,Monthly_Pmod!$B8&amp;Monthly_Pmod!$B$3&amp;$B$2&amp;Monthly_Pmod!AL$3&amp;$B$1)</f>
        <v>0</v>
      </c>
      <c r="AM8" s="12">
        <f>COUNTIF(defects!$AC:$AC,Monthly_Pmod!$B8&amp;Monthly_Pmod!$B$3&amp;$B$2&amp;Monthly_Pmod!AM$3&amp;$B$1)</f>
        <v>0</v>
      </c>
      <c r="AN8" s="12">
        <f>COUNTIF(defects!$AC:$AC,Monthly_Pmod!$B8&amp;Monthly_Pmod!$B$3&amp;$B$2&amp;Monthly_Pmod!AN$3&amp;$B$1)</f>
        <v>0</v>
      </c>
      <c r="AO8" s="12">
        <f>COUNTIF(defects!$AC:$AC,Monthly_Pmod!$B8&amp;Monthly_Pmod!$B$3&amp;$B$2&amp;Monthly_Pmod!AO$3&amp;$B$1)</f>
        <v>0</v>
      </c>
      <c r="AP8" s="12">
        <f>COUNTIF(defects!$AC:$AC,Monthly_Pmod!$B8&amp;Monthly_Pmod!$B$3&amp;$B$2&amp;Monthly_Pmod!AP$3&amp;$B$1)</f>
        <v>0</v>
      </c>
      <c r="AQ8" s="12"/>
      <c r="AR8" s="12">
        <f>HLOOKUP(AR$3,Weekly_Pmod!$3:$24,MATCH($B8,Weekly_Pmod!$B$3:$B$24,0),0)</f>
        <v>0</v>
      </c>
      <c r="AS8" s="12">
        <f>HLOOKUP(AS$3,Weekly_Pmod!$3:$24,MATCH($B8,Weekly_Pmod!$B$3:$B$24,0),0)</f>
        <v>0</v>
      </c>
      <c r="AT8" s="12">
        <f>HLOOKUP(AT$3,Weekly_Pmod!$3:$24,MATCH($B8,Weekly_Pmod!$B$3:$B$24,0),0)</f>
        <v>0</v>
      </c>
      <c r="AU8" s="12"/>
      <c r="AV8" s="12">
        <f t="shared" si="2"/>
        <v>3</v>
      </c>
    </row>
    <row r="9" spans="2:48">
      <c r="B9" s="12" t="s">
        <v>953</v>
      </c>
      <c r="C9" s="12">
        <f t="shared" si="0"/>
        <v>0</v>
      </c>
      <c r="D9" s="12">
        <f t="shared" si="0"/>
        <v>0</v>
      </c>
      <c r="E9" s="12"/>
      <c r="F9" s="12">
        <f>COUNTIF(defects!$AC:$AC,Monthly_Pmod!$B9&amp;Monthly_Pmod!$B$3&amp;$B$2&amp;Monthly_Pmod!F$3&amp;$B$1)</f>
        <v>0</v>
      </c>
      <c r="G9" s="12">
        <f>COUNTIF(defects!$AC:$AC,Monthly_Pmod!$B9&amp;Monthly_Pmod!$B$3&amp;$B$2&amp;Monthly_Pmod!G$3&amp;$B$1)</f>
        <v>0</v>
      </c>
      <c r="H9" s="12">
        <f>COUNTIF(defects!$AC:$AC,Monthly_Pmod!$B9&amp;Monthly_Pmod!$B$3&amp;$B$2&amp;Monthly_Pmod!H$3&amp;$B$1)</f>
        <v>0</v>
      </c>
      <c r="I9" s="12">
        <f>COUNTIF(defects!$AC:$AC,Monthly_Pmod!$B9&amp;Monthly_Pmod!$B$3&amp;$B$2&amp;Monthly_Pmod!I$3&amp;$B$1)</f>
        <v>0</v>
      </c>
      <c r="J9" s="12">
        <f>COUNTIF(defects!$AC:$AC,Monthly_Pmod!$B9&amp;Monthly_Pmod!$B$3&amp;$B$2&amp;Monthly_Pmod!J$3&amp;$B$1)</f>
        <v>0</v>
      </c>
      <c r="K9" s="12">
        <f>COUNTIF(defects!$AC:$AC,Monthly_Pmod!$B9&amp;Monthly_Pmod!$B$3&amp;$B$2&amp;Monthly_Pmod!K$3&amp;$B$1)</f>
        <v>0</v>
      </c>
      <c r="L9" s="12">
        <f>COUNTIF(defects!$AC:$AC,Monthly_Pmod!$B9&amp;Monthly_Pmod!$B$3&amp;$B$2&amp;Monthly_Pmod!L$3&amp;$B$1)</f>
        <v>0</v>
      </c>
      <c r="M9" s="12">
        <f>COUNTIF(defects!$AC:$AC,Monthly_Pmod!$B9&amp;Monthly_Pmod!$B$3&amp;$B$2&amp;Monthly_Pmod!M$3&amp;$B$1)</f>
        <v>0</v>
      </c>
      <c r="N9" s="12">
        <f>COUNTIF(defects!$AC:$AC,Monthly_Pmod!$B9&amp;Monthly_Pmod!$B$3&amp;$B$2&amp;Monthly_Pmod!N$3&amp;$B$1)</f>
        <v>0</v>
      </c>
      <c r="O9" s="12">
        <f>COUNTIF(defects!$AC:$AC,Monthly_Pmod!$B9&amp;Monthly_Pmod!$B$3&amp;$B$2&amp;Monthly_Pmod!O$3&amp;$B$1)</f>
        <v>0</v>
      </c>
      <c r="P9" s="12">
        <f>COUNTIF(defects!$AC:$AC,Monthly_Pmod!$B9&amp;Monthly_Pmod!$B$3&amp;$B$2&amp;Monthly_Pmod!P$3&amp;$B$1)</f>
        <v>0</v>
      </c>
      <c r="Q9" s="12">
        <f>COUNTIF(defects!$AC:$AC,Monthly_Pmod!$B9&amp;Monthly_Pmod!$B$3&amp;$B$2&amp;Monthly_Pmod!Q$3&amp;$B$1)</f>
        <v>0</v>
      </c>
      <c r="R9" s="12">
        <f>COUNTIF(defects!$AC:$AC,Monthly_Pmod!$B9&amp;Monthly_Pmod!$B$3&amp;$B$2&amp;Monthly_Pmod!R$3&amp;$B$1)</f>
        <v>0</v>
      </c>
      <c r="S9" s="12">
        <f>COUNTIF(defects!$AC:$AC,Monthly_Pmod!$B9&amp;Monthly_Pmod!$B$3&amp;$B$2&amp;Monthly_Pmod!S$3&amp;$B$1)</f>
        <v>0</v>
      </c>
      <c r="T9" s="12">
        <f>COUNTIF(defects!$AC:$AC,Monthly_Pmod!$B9&amp;Monthly_Pmod!$B$3&amp;$B$2&amp;Monthly_Pmod!T$3&amp;$B$1)</f>
        <v>0</v>
      </c>
      <c r="U9" s="12">
        <f>COUNTIF(defects!$AC:$AC,Monthly_Pmod!$B9&amp;Monthly_Pmod!$B$3&amp;$B$2&amp;Monthly_Pmod!U$3&amp;$B$1)</f>
        <v>0</v>
      </c>
      <c r="V9" s="12">
        <f>COUNTIF(defects!$AC:$AC,Monthly_Pmod!$B9&amp;Monthly_Pmod!$B$3&amp;$B$2&amp;Monthly_Pmod!V$3&amp;$B$1)</f>
        <v>0</v>
      </c>
      <c r="W9" s="12">
        <f>COUNTIF(defects!$AC:$AC,Monthly_Pmod!$B9&amp;Monthly_Pmod!$B$3&amp;$B$2&amp;Monthly_Pmod!W$3&amp;$B$1)</f>
        <v>0</v>
      </c>
      <c r="X9" s="12">
        <f>COUNTIF(defects!$AC:$AC,Monthly_Pmod!$B9&amp;Monthly_Pmod!$B$3&amp;$B$2&amp;Monthly_Pmod!X$3&amp;$B$1)</f>
        <v>0</v>
      </c>
      <c r="Y9" s="12">
        <f>COUNTIF(defects!$AC:$AC,Monthly_Pmod!$B9&amp;Monthly_Pmod!$B$3&amp;$B$2&amp;Monthly_Pmod!Y$3&amp;$B$1)</f>
        <v>0</v>
      </c>
      <c r="Z9" s="12">
        <f>COUNTIF(defects!$AC:$AC,Monthly_Pmod!$B9&amp;Monthly_Pmod!$B$3&amp;$B$2&amp;Monthly_Pmod!Z$3&amp;$B$1)</f>
        <v>0</v>
      </c>
      <c r="AA9" s="12">
        <f>COUNTIF(defects!$AC:$AC,Monthly_Pmod!$B9&amp;Monthly_Pmod!$B$3&amp;$B$2&amp;Monthly_Pmod!AA$3&amp;$B$1)</f>
        <v>0</v>
      </c>
      <c r="AB9" s="12">
        <f>COUNTIF(defects!$AC:$AC,Monthly_Pmod!$B9&amp;Monthly_Pmod!$B$3&amp;$B$2&amp;Monthly_Pmod!AB$3&amp;$B$1)</f>
        <v>0</v>
      </c>
      <c r="AC9" s="12">
        <f>COUNTIF(defects!$AC:$AC,Monthly_Pmod!$B9&amp;Monthly_Pmod!$B$3&amp;$B$2&amp;Monthly_Pmod!AC$3&amp;$B$1)</f>
        <v>0</v>
      </c>
      <c r="AD9" s="12">
        <f>COUNTIF(defects!$AC:$AC,Monthly_Pmod!$B9&amp;Monthly_Pmod!$B$3&amp;$B$2&amp;Monthly_Pmod!AD$3&amp;$B$1)</f>
        <v>0</v>
      </c>
      <c r="AE9" s="12">
        <f>COUNTIF(defects!$AC:$AC,Monthly_Pmod!$B9&amp;Monthly_Pmod!$B$3&amp;$B$2&amp;Monthly_Pmod!AE$3&amp;$B$1)</f>
        <v>0</v>
      </c>
      <c r="AF9" s="12">
        <f>COUNTIF(defects!$AC:$AC,Monthly_Pmod!$B9&amp;Monthly_Pmod!$B$3&amp;$B$2&amp;Monthly_Pmod!AF$3&amp;$B$1)</f>
        <v>0</v>
      </c>
      <c r="AG9" s="12">
        <f>COUNTIF(defects!$AC:$AC,Monthly_Pmod!$B9&amp;Monthly_Pmod!$B$3&amp;$B$2&amp;Monthly_Pmod!AG$3&amp;$B$1)</f>
        <v>0</v>
      </c>
      <c r="AH9" s="12">
        <f>COUNTIF(defects!$AC:$AC,Monthly_Pmod!$B9&amp;Monthly_Pmod!$B$3&amp;$B$2&amp;Monthly_Pmod!AH$3&amp;$B$1)</f>
        <v>0</v>
      </c>
      <c r="AI9" s="12">
        <f>COUNTIF(defects!$AC:$AC,Monthly_Pmod!$B9&amp;Monthly_Pmod!$B$3&amp;$B$2&amp;Monthly_Pmod!AI$3&amp;$B$1)</f>
        <v>0</v>
      </c>
      <c r="AJ9" s="12">
        <f>COUNTIF(defects!$AC:$AC,Monthly_Pmod!$B9&amp;Monthly_Pmod!$B$3&amp;$B$2&amp;Monthly_Pmod!AJ$3&amp;$B$1)</f>
        <v>0</v>
      </c>
      <c r="AK9" s="12">
        <f>COUNTIF(defects!$AC:$AC,Monthly_Pmod!$B9&amp;Monthly_Pmod!$B$3&amp;$B$2&amp;Monthly_Pmod!AK$3&amp;$B$1)</f>
        <v>0</v>
      </c>
      <c r="AL9" s="12">
        <f>COUNTIF(defects!$AC:$AC,Monthly_Pmod!$B9&amp;Monthly_Pmod!$B$3&amp;$B$2&amp;Monthly_Pmod!AL$3&amp;$B$1)</f>
        <v>0</v>
      </c>
      <c r="AM9" s="12">
        <f>COUNTIF(defects!$AC:$AC,Monthly_Pmod!$B9&amp;Monthly_Pmod!$B$3&amp;$B$2&amp;Monthly_Pmod!AM$3&amp;$B$1)</f>
        <v>0</v>
      </c>
      <c r="AN9" s="12">
        <f>COUNTIF(defects!$AC:$AC,Monthly_Pmod!$B9&amp;Monthly_Pmod!$B$3&amp;$B$2&amp;Monthly_Pmod!AN$3&amp;$B$1)</f>
        <v>0</v>
      </c>
      <c r="AO9" s="12">
        <f>COUNTIF(defects!$AC:$AC,Monthly_Pmod!$B9&amp;Monthly_Pmod!$B$3&amp;$B$2&amp;Monthly_Pmod!AO$3&amp;$B$1)</f>
        <v>0</v>
      </c>
      <c r="AP9" s="12">
        <f>COUNTIF(defects!$AC:$AC,Monthly_Pmod!$B9&amp;Monthly_Pmod!$B$3&amp;$B$2&amp;Monthly_Pmod!AP$3&amp;$B$1)</f>
        <v>0</v>
      </c>
      <c r="AQ9" s="12"/>
      <c r="AR9" s="12">
        <f>HLOOKUP(AR$3,Weekly_Pmod!$3:$24,MATCH($B9,Weekly_Pmod!$B$3:$B$24,0),0)</f>
        <v>0</v>
      </c>
      <c r="AS9" s="12">
        <f>HLOOKUP(AS$3,Weekly_Pmod!$3:$24,MATCH($B9,Weekly_Pmod!$B$3:$B$24,0),0)</f>
        <v>0</v>
      </c>
      <c r="AT9" s="12">
        <f>HLOOKUP(AT$3,Weekly_Pmod!$3:$24,MATCH($B9,Weekly_Pmod!$B$3:$B$24,0),0)</f>
        <v>0</v>
      </c>
      <c r="AU9" s="12"/>
      <c r="AV9" s="12">
        <f t="shared" si="2"/>
        <v>0</v>
      </c>
    </row>
    <row r="10" spans="2:48">
      <c r="B10" s="12" t="s">
        <v>954</v>
      </c>
      <c r="C10" s="12">
        <f t="shared" si="0"/>
        <v>0</v>
      </c>
      <c r="D10" s="12">
        <f t="shared" si="0"/>
        <v>0</v>
      </c>
      <c r="E10" s="12"/>
      <c r="F10" s="12">
        <f>COUNTIF(defects!$AC:$AC,Monthly_Pmod!$B10&amp;Monthly_Pmod!$B$3&amp;$B$2&amp;Monthly_Pmod!F$3&amp;$B$1)</f>
        <v>0</v>
      </c>
      <c r="G10" s="12">
        <f>COUNTIF(defects!$AC:$AC,Monthly_Pmod!$B10&amp;Monthly_Pmod!$B$3&amp;$B$2&amp;Monthly_Pmod!G$3&amp;$B$1)</f>
        <v>0</v>
      </c>
      <c r="H10" s="12">
        <f>COUNTIF(defects!$AC:$AC,Monthly_Pmod!$B10&amp;Monthly_Pmod!$B$3&amp;$B$2&amp;Monthly_Pmod!H$3&amp;$B$1)</f>
        <v>0</v>
      </c>
      <c r="I10" s="12">
        <f>COUNTIF(defects!$AC:$AC,Monthly_Pmod!$B10&amp;Monthly_Pmod!$B$3&amp;$B$2&amp;Monthly_Pmod!I$3&amp;$B$1)</f>
        <v>0</v>
      </c>
      <c r="J10" s="12">
        <f>COUNTIF(defects!$AC:$AC,Monthly_Pmod!$B10&amp;Monthly_Pmod!$B$3&amp;$B$2&amp;Monthly_Pmod!J$3&amp;$B$1)</f>
        <v>0</v>
      </c>
      <c r="K10" s="12">
        <f>COUNTIF(defects!$AC:$AC,Monthly_Pmod!$B10&amp;Monthly_Pmod!$B$3&amp;$B$2&amp;Monthly_Pmod!K$3&amp;$B$1)</f>
        <v>0</v>
      </c>
      <c r="L10" s="12">
        <f>COUNTIF(defects!$AC:$AC,Monthly_Pmod!$B10&amp;Monthly_Pmod!$B$3&amp;$B$2&amp;Monthly_Pmod!L$3&amp;$B$1)</f>
        <v>0</v>
      </c>
      <c r="M10" s="12">
        <f>COUNTIF(defects!$AC:$AC,Monthly_Pmod!$B10&amp;Monthly_Pmod!$B$3&amp;$B$2&amp;Monthly_Pmod!M$3&amp;$B$1)</f>
        <v>0</v>
      </c>
      <c r="N10" s="12">
        <f>COUNTIF(defects!$AC:$AC,Monthly_Pmod!$B10&amp;Monthly_Pmod!$B$3&amp;$B$2&amp;Monthly_Pmod!N$3&amp;$B$1)</f>
        <v>0</v>
      </c>
      <c r="O10" s="12">
        <f>COUNTIF(defects!$AC:$AC,Monthly_Pmod!$B10&amp;Monthly_Pmod!$B$3&amp;$B$2&amp;Monthly_Pmod!O$3&amp;$B$1)</f>
        <v>0</v>
      </c>
      <c r="P10" s="12">
        <f>COUNTIF(defects!$AC:$AC,Monthly_Pmod!$B10&amp;Monthly_Pmod!$B$3&amp;$B$2&amp;Monthly_Pmod!P$3&amp;$B$1)</f>
        <v>0</v>
      </c>
      <c r="Q10" s="12">
        <f>COUNTIF(defects!$AC:$AC,Monthly_Pmod!$B10&amp;Monthly_Pmod!$B$3&amp;$B$2&amp;Monthly_Pmod!Q$3&amp;$B$1)</f>
        <v>0</v>
      </c>
      <c r="R10" s="12">
        <f>COUNTIF(defects!$AC:$AC,Monthly_Pmod!$B10&amp;Monthly_Pmod!$B$3&amp;$B$2&amp;Monthly_Pmod!R$3&amp;$B$1)</f>
        <v>0</v>
      </c>
      <c r="S10" s="12">
        <f>COUNTIF(defects!$AC:$AC,Monthly_Pmod!$B10&amp;Monthly_Pmod!$B$3&amp;$B$2&amp;Monthly_Pmod!S$3&amp;$B$1)</f>
        <v>0</v>
      </c>
      <c r="T10" s="12">
        <f>COUNTIF(defects!$AC:$AC,Monthly_Pmod!$B10&amp;Monthly_Pmod!$B$3&amp;$B$2&amp;Monthly_Pmod!T$3&amp;$B$1)</f>
        <v>0</v>
      </c>
      <c r="U10" s="12">
        <f>COUNTIF(defects!$AC:$AC,Monthly_Pmod!$B10&amp;Monthly_Pmod!$B$3&amp;$B$2&amp;Monthly_Pmod!U$3&amp;$B$1)</f>
        <v>0</v>
      </c>
      <c r="V10" s="12">
        <f>COUNTIF(defects!$AC:$AC,Monthly_Pmod!$B10&amp;Monthly_Pmod!$B$3&amp;$B$2&amp;Monthly_Pmod!V$3&amp;$B$1)</f>
        <v>0</v>
      </c>
      <c r="W10" s="12">
        <f>COUNTIF(defects!$AC:$AC,Monthly_Pmod!$B10&amp;Monthly_Pmod!$B$3&amp;$B$2&amp;Monthly_Pmod!W$3&amp;$B$1)</f>
        <v>0</v>
      </c>
      <c r="X10" s="12">
        <f>COUNTIF(defects!$AC:$AC,Monthly_Pmod!$B10&amp;Monthly_Pmod!$B$3&amp;$B$2&amp;Monthly_Pmod!X$3&amp;$B$1)</f>
        <v>0</v>
      </c>
      <c r="Y10" s="12">
        <f>COUNTIF(defects!$AC:$AC,Monthly_Pmod!$B10&amp;Monthly_Pmod!$B$3&amp;$B$2&amp;Monthly_Pmod!Y$3&amp;$B$1)</f>
        <v>0</v>
      </c>
      <c r="Z10" s="12">
        <f>COUNTIF(defects!$AC:$AC,Monthly_Pmod!$B10&amp;Monthly_Pmod!$B$3&amp;$B$2&amp;Monthly_Pmod!Z$3&amp;$B$1)</f>
        <v>0</v>
      </c>
      <c r="AA10" s="12">
        <f>COUNTIF(defects!$AC:$AC,Monthly_Pmod!$B10&amp;Monthly_Pmod!$B$3&amp;$B$2&amp;Monthly_Pmod!AA$3&amp;$B$1)</f>
        <v>0</v>
      </c>
      <c r="AB10" s="12">
        <f>COUNTIF(defects!$AC:$AC,Monthly_Pmod!$B10&amp;Monthly_Pmod!$B$3&amp;$B$2&amp;Monthly_Pmod!AB$3&amp;$B$1)</f>
        <v>0</v>
      </c>
      <c r="AC10" s="12">
        <f>COUNTIF(defects!$AC:$AC,Monthly_Pmod!$B10&amp;Monthly_Pmod!$B$3&amp;$B$2&amp;Monthly_Pmod!AC$3&amp;$B$1)</f>
        <v>0</v>
      </c>
      <c r="AD10" s="12">
        <f>COUNTIF(defects!$AC:$AC,Monthly_Pmod!$B10&amp;Monthly_Pmod!$B$3&amp;$B$2&amp;Monthly_Pmod!AD$3&amp;$B$1)</f>
        <v>0</v>
      </c>
      <c r="AE10" s="12">
        <f>COUNTIF(defects!$AC:$AC,Monthly_Pmod!$B10&amp;Monthly_Pmod!$B$3&amp;$B$2&amp;Monthly_Pmod!AE$3&amp;$B$1)</f>
        <v>0</v>
      </c>
      <c r="AF10" s="12">
        <f>COUNTIF(defects!$AC:$AC,Monthly_Pmod!$B10&amp;Monthly_Pmod!$B$3&amp;$B$2&amp;Monthly_Pmod!AF$3&amp;$B$1)</f>
        <v>0</v>
      </c>
      <c r="AG10" s="12">
        <f>COUNTIF(defects!$AC:$AC,Monthly_Pmod!$B10&amp;Monthly_Pmod!$B$3&amp;$B$2&amp;Monthly_Pmod!AG$3&amp;$B$1)</f>
        <v>0</v>
      </c>
      <c r="AH10" s="12">
        <f>COUNTIF(defects!$AC:$AC,Monthly_Pmod!$B10&amp;Monthly_Pmod!$B$3&amp;$B$2&amp;Monthly_Pmod!AH$3&amp;$B$1)</f>
        <v>0</v>
      </c>
      <c r="AI10" s="12">
        <f>COUNTIF(defects!$AC:$AC,Monthly_Pmod!$B10&amp;Monthly_Pmod!$B$3&amp;$B$2&amp;Monthly_Pmod!AI$3&amp;$B$1)</f>
        <v>0</v>
      </c>
      <c r="AJ10" s="12">
        <f>COUNTIF(defects!$AC:$AC,Monthly_Pmod!$B10&amp;Monthly_Pmod!$B$3&amp;$B$2&amp;Monthly_Pmod!AJ$3&amp;$B$1)</f>
        <v>0</v>
      </c>
      <c r="AK10" s="12">
        <f>COUNTIF(defects!$AC:$AC,Monthly_Pmod!$B10&amp;Monthly_Pmod!$B$3&amp;$B$2&amp;Monthly_Pmod!AK$3&amp;$B$1)</f>
        <v>0</v>
      </c>
      <c r="AL10" s="12">
        <f>COUNTIF(defects!$AC:$AC,Monthly_Pmod!$B10&amp;Monthly_Pmod!$B$3&amp;$B$2&amp;Monthly_Pmod!AL$3&amp;$B$1)</f>
        <v>0</v>
      </c>
      <c r="AM10" s="12">
        <f>COUNTIF(defects!$AC:$AC,Monthly_Pmod!$B10&amp;Monthly_Pmod!$B$3&amp;$B$2&amp;Monthly_Pmod!AM$3&amp;$B$1)</f>
        <v>0</v>
      </c>
      <c r="AN10" s="12">
        <f>COUNTIF(defects!$AC:$AC,Monthly_Pmod!$B10&amp;Monthly_Pmod!$B$3&amp;$B$2&amp;Monthly_Pmod!AN$3&amp;$B$1)</f>
        <v>0</v>
      </c>
      <c r="AO10" s="12">
        <f>COUNTIF(defects!$AC:$AC,Monthly_Pmod!$B10&amp;Monthly_Pmod!$B$3&amp;$B$2&amp;Monthly_Pmod!AO$3&amp;$B$1)</f>
        <v>0</v>
      </c>
      <c r="AP10" s="12">
        <f>COUNTIF(defects!$AC:$AC,Monthly_Pmod!$B10&amp;Monthly_Pmod!$B$3&amp;$B$2&amp;Monthly_Pmod!AP$3&amp;$B$1)</f>
        <v>0</v>
      </c>
      <c r="AQ10" s="12"/>
      <c r="AR10" s="12">
        <f>HLOOKUP(AR$3,Weekly_Pmod!$3:$24,MATCH($B10,Weekly_Pmod!$B$3:$B$24,0),0)</f>
        <v>0</v>
      </c>
      <c r="AS10" s="12">
        <f>HLOOKUP(AS$3,Weekly_Pmod!$3:$24,MATCH($B10,Weekly_Pmod!$B$3:$B$24,0),0)</f>
        <v>0</v>
      </c>
      <c r="AT10" s="12">
        <f>HLOOKUP(AT$3,Weekly_Pmod!$3:$24,MATCH($B10,Weekly_Pmod!$B$3:$B$24,0),0)</f>
        <v>0</v>
      </c>
      <c r="AU10" s="12"/>
      <c r="AV10" s="12">
        <f t="shared" si="2"/>
        <v>0</v>
      </c>
    </row>
    <row r="11" spans="2:48">
      <c r="B11" s="12" t="s">
        <v>956</v>
      </c>
      <c r="C11" s="12">
        <f t="shared" si="0"/>
        <v>0</v>
      </c>
      <c r="D11" s="12">
        <f t="shared" si="0"/>
        <v>0</v>
      </c>
      <c r="E11" s="12"/>
      <c r="F11" s="12">
        <f>COUNTIF(defects!$AC:$AC,Monthly_Pmod!$B11&amp;Monthly_Pmod!$B$3&amp;$B$2&amp;Monthly_Pmod!F$3&amp;$B$1)</f>
        <v>0</v>
      </c>
      <c r="G11" s="12">
        <f>COUNTIF(defects!$AC:$AC,Monthly_Pmod!$B11&amp;Monthly_Pmod!$B$3&amp;$B$2&amp;Monthly_Pmod!G$3&amp;$B$1)</f>
        <v>0</v>
      </c>
      <c r="H11" s="12">
        <f>COUNTIF(defects!$AC:$AC,Monthly_Pmod!$B11&amp;Monthly_Pmod!$B$3&amp;$B$2&amp;Monthly_Pmod!H$3&amp;$B$1)</f>
        <v>0</v>
      </c>
      <c r="I11" s="12">
        <f>COUNTIF(defects!$AC:$AC,Monthly_Pmod!$B11&amp;Monthly_Pmod!$B$3&amp;$B$2&amp;Monthly_Pmod!I$3&amp;$B$1)</f>
        <v>0</v>
      </c>
      <c r="J11" s="12">
        <f>COUNTIF(defects!$AC:$AC,Monthly_Pmod!$B11&amp;Monthly_Pmod!$B$3&amp;$B$2&amp;Monthly_Pmod!J$3&amp;$B$1)</f>
        <v>0</v>
      </c>
      <c r="K11" s="12">
        <f>COUNTIF(defects!$AC:$AC,Monthly_Pmod!$B11&amp;Monthly_Pmod!$B$3&amp;$B$2&amp;Monthly_Pmod!K$3&amp;$B$1)</f>
        <v>0</v>
      </c>
      <c r="L11" s="12">
        <f>COUNTIF(defects!$AC:$AC,Monthly_Pmod!$B11&amp;Monthly_Pmod!$B$3&amp;$B$2&amp;Monthly_Pmod!L$3&amp;$B$1)</f>
        <v>0</v>
      </c>
      <c r="M11" s="12">
        <f>COUNTIF(defects!$AC:$AC,Monthly_Pmod!$B11&amp;Monthly_Pmod!$B$3&amp;$B$2&amp;Monthly_Pmod!M$3&amp;$B$1)</f>
        <v>0</v>
      </c>
      <c r="N11" s="12">
        <f>COUNTIF(defects!$AC:$AC,Monthly_Pmod!$B11&amp;Monthly_Pmod!$B$3&amp;$B$2&amp;Monthly_Pmod!N$3&amp;$B$1)</f>
        <v>0</v>
      </c>
      <c r="O11" s="12">
        <f>COUNTIF(defects!$AC:$AC,Monthly_Pmod!$B11&amp;Monthly_Pmod!$B$3&amp;$B$2&amp;Monthly_Pmod!O$3&amp;$B$1)</f>
        <v>0</v>
      </c>
      <c r="P11" s="12">
        <f>COUNTIF(defects!$AC:$AC,Monthly_Pmod!$B11&amp;Monthly_Pmod!$B$3&amp;$B$2&amp;Monthly_Pmod!P$3&amp;$B$1)</f>
        <v>0</v>
      </c>
      <c r="Q11" s="12">
        <f>COUNTIF(defects!$AC:$AC,Monthly_Pmod!$B11&amp;Monthly_Pmod!$B$3&amp;$B$2&amp;Monthly_Pmod!Q$3&amp;$B$1)</f>
        <v>0</v>
      </c>
      <c r="R11" s="12">
        <f>COUNTIF(defects!$AC:$AC,Monthly_Pmod!$B11&amp;Monthly_Pmod!$B$3&amp;$B$2&amp;Monthly_Pmod!R$3&amp;$B$1)</f>
        <v>0</v>
      </c>
      <c r="S11" s="12">
        <f>COUNTIF(defects!$AC:$AC,Monthly_Pmod!$B11&amp;Monthly_Pmod!$B$3&amp;$B$2&amp;Monthly_Pmod!S$3&amp;$B$1)</f>
        <v>0</v>
      </c>
      <c r="T11" s="12">
        <f>COUNTIF(defects!$AC:$AC,Monthly_Pmod!$B11&amp;Monthly_Pmod!$B$3&amp;$B$2&amp;Monthly_Pmod!T$3&amp;$B$1)</f>
        <v>0</v>
      </c>
      <c r="U11" s="12">
        <f>COUNTIF(defects!$AC:$AC,Monthly_Pmod!$B11&amp;Monthly_Pmod!$B$3&amp;$B$2&amp;Monthly_Pmod!U$3&amp;$B$1)</f>
        <v>0</v>
      </c>
      <c r="V11" s="12">
        <f>COUNTIF(defects!$AC:$AC,Monthly_Pmod!$B11&amp;Monthly_Pmod!$B$3&amp;$B$2&amp;Monthly_Pmod!V$3&amp;$B$1)</f>
        <v>0</v>
      </c>
      <c r="W11" s="12">
        <f>COUNTIF(defects!$AC:$AC,Monthly_Pmod!$B11&amp;Monthly_Pmod!$B$3&amp;$B$2&amp;Monthly_Pmod!W$3&amp;$B$1)</f>
        <v>0</v>
      </c>
      <c r="X11" s="12">
        <f>COUNTIF(defects!$AC:$AC,Monthly_Pmod!$B11&amp;Monthly_Pmod!$B$3&amp;$B$2&amp;Monthly_Pmod!X$3&amp;$B$1)</f>
        <v>0</v>
      </c>
      <c r="Y11" s="12">
        <f>COUNTIF(defects!$AC:$AC,Monthly_Pmod!$B11&amp;Monthly_Pmod!$B$3&amp;$B$2&amp;Monthly_Pmod!Y$3&amp;$B$1)</f>
        <v>0</v>
      </c>
      <c r="Z11" s="12">
        <f>COUNTIF(defects!$AC:$AC,Monthly_Pmod!$B11&amp;Monthly_Pmod!$B$3&amp;$B$2&amp;Monthly_Pmod!Z$3&amp;$B$1)</f>
        <v>0</v>
      </c>
      <c r="AA11" s="12">
        <f>COUNTIF(defects!$AC:$AC,Monthly_Pmod!$B11&amp;Monthly_Pmod!$B$3&amp;$B$2&amp;Monthly_Pmod!AA$3&amp;$B$1)</f>
        <v>0</v>
      </c>
      <c r="AB11" s="12">
        <f>COUNTIF(defects!$AC:$AC,Monthly_Pmod!$B11&amp;Monthly_Pmod!$B$3&amp;$B$2&amp;Monthly_Pmod!AB$3&amp;$B$1)</f>
        <v>0</v>
      </c>
      <c r="AC11" s="12">
        <f>COUNTIF(defects!$AC:$AC,Monthly_Pmod!$B11&amp;Monthly_Pmod!$B$3&amp;$B$2&amp;Monthly_Pmod!AC$3&amp;$B$1)</f>
        <v>0</v>
      </c>
      <c r="AD11" s="12">
        <f>COUNTIF(defects!$AC:$AC,Monthly_Pmod!$B11&amp;Monthly_Pmod!$B$3&amp;$B$2&amp;Monthly_Pmod!AD$3&amp;$B$1)</f>
        <v>0</v>
      </c>
      <c r="AE11" s="12">
        <f>COUNTIF(defects!$AC:$AC,Monthly_Pmod!$B11&amp;Monthly_Pmod!$B$3&amp;$B$2&amp;Monthly_Pmod!AE$3&amp;$B$1)</f>
        <v>0</v>
      </c>
      <c r="AF11" s="12">
        <f>COUNTIF(defects!$AC:$AC,Monthly_Pmod!$B11&amp;Monthly_Pmod!$B$3&amp;$B$2&amp;Monthly_Pmod!AF$3&amp;$B$1)</f>
        <v>0</v>
      </c>
      <c r="AG11" s="12">
        <f>COUNTIF(defects!$AC:$AC,Monthly_Pmod!$B11&amp;Monthly_Pmod!$B$3&amp;$B$2&amp;Monthly_Pmod!AG$3&amp;$B$1)</f>
        <v>0</v>
      </c>
      <c r="AH11" s="12">
        <f>COUNTIF(defects!$AC:$AC,Monthly_Pmod!$B11&amp;Monthly_Pmod!$B$3&amp;$B$2&amp;Monthly_Pmod!AH$3&amp;$B$1)</f>
        <v>0</v>
      </c>
      <c r="AI11" s="12">
        <f>COUNTIF(defects!$AC:$AC,Monthly_Pmod!$B11&amp;Monthly_Pmod!$B$3&amp;$B$2&amp;Monthly_Pmod!AI$3&amp;$B$1)</f>
        <v>0</v>
      </c>
      <c r="AJ11" s="12">
        <f>COUNTIF(defects!$AC:$AC,Monthly_Pmod!$B11&amp;Monthly_Pmod!$B$3&amp;$B$2&amp;Monthly_Pmod!AJ$3&amp;$B$1)</f>
        <v>0</v>
      </c>
      <c r="AK11" s="12">
        <f>COUNTIF(defects!$AC:$AC,Monthly_Pmod!$B11&amp;Monthly_Pmod!$B$3&amp;$B$2&amp;Monthly_Pmod!AK$3&amp;$B$1)</f>
        <v>0</v>
      </c>
      <c r="AL11" s="12">
        <f>COUNTIF(defects!$AC:$AC,Monthly_Pmod!$B11&amp;Monthly_Pmod!$B$3&amp;$B$2&amp;Monthly_Pmod!AL$3&amp;$B$1)</f>
        <v>0</v>
      </c>
      <c r="AM11" s="12">
        <f>COUNTIF(defects!$AC:$AC,Monthly_Pmod!$B11&amp;Monthly_Pmod!$B$3&amp;$B$2&amp;Monthly_Pmod!AM$3&amp;$B$1)</f>
        <v>0</v>
      </c>
      <c r="AN11" s="12">
        <f>COUNTIF(defects!$AC:$AC,Monthly_Pmod!$B11&amp;Monthly_Pmod!$B$3&amp;$B$2&amp;Monthly_Pmod!AN$3&amp;$B$1)</f>
        <v>0</v>
      </c>
      <c r="AO11" s="12">
        <f>COUNTIF(defects!$AC:$AC,Monthly_Pmod!$B11&amp;Monthly_Pmod!$B$3&amp;$B$2&amp;Monthly_Pmod!AO$3&amp;$B$1)</f>
        <v>0</v>
      </c>
      <c r="AP11" s="12">
        <f>COUNTIF(defects!$AC:$AC,Monthly_Pmod!$B11&amp;Monthly_Pmod!$B$3&amp;$B$2&amp;Monthly_Pmod!AP$3&amp;$B$1)</f>
        <v>0</v>
      </c>
      <c r="AQ11" s="12"/>
      <c r="AR11" s="12">
        <f>HLOOKUP(AR$3,Weekly_Pmod!$3:$24,MATCH($B11,Weekly_Pmod!$B$3:$B$24,0),0)</f>
        <v>0</v>
      </c>
      <c r="AS11" s="12">
        <f>HLOOKUP(AS$3,Weekly_Pmod!$3:$24,MATCH($B11,Weekly_Pmod!$B$3:$B$24,0),0)</f>
        <v>0</v>
      </c>
      <c r="AT11" s="12">
        <f>HLOOKUP(AT$3,Weekly_Pmod!$3:$24,MATCH($B11,Weekly_Pmod!$B$3:$B$24,0),0)</f>
        <v>0</v>
      </c>
      <c r="AU11" s="12"/>
      <c r="AV11" s="12">
        <f t="shared" si="2"/>
        <v>0</v>
      </c>
    </row>
    <row r="12" spans="2:48">
      <c r="B12" s="12" t="s">
        <v>992</v>
      </c>
      <c r="C12" s="12">
        <f t="shared" si="0"/>
        <v>0</v>
      </c>
      <c r="D12" s="12">
        <f t="shared" si="0"/>
        <v>0</v>
      </c>
      <c r="E12" s="12"/>
      <c r="F12" s="12">
        <f>COUNTIF(defects!$AC:$AC,Monthly_Pmod!$B12&amp;Monthly_Pmod!$B$3&amp;$B$2&amp;Monthly_Pmod!F$3&amp;$B$1)</f>
        <v>0</v>
      </c>
      <c r="G12" s="12">
        <f>COUNTIF(defects!$AC:$AC,Monthly_Pmod!$B12&amp;Monthly_Pmod!$B$3&amp;$B$2&amp;Monthly_Pmod!G$3&amp;$B$1)</f>
        <v>0</v>
      </c>
      <c r="H12" s="12">
        <f>COUNTIF(defects!$AC:$AC,Monthly_Pmod!$B12&amp;Monthly_Pmod!$B$3&amp;$B$2&amp;Monthly_Pmod!H$3&amp;$B$1)</f>
        <v>0</v>
      </c>
      <c r="I12" s="12">
        <f>COUNTIF(defects!$AC:$AC,Monthly_Pmod!$B12&amp;Monthly_Pmod!$B$3&amp;$B$2&amp;Monthly_Pmod!I$3&amp;$B$1)</f>
        <v>0</v>
      </c>
      <c r="J12" s="12">
        <f>COUNTIF(defects!$AC:$AC,Monthly_Pmod!$B12&amp;Monthly_Pmod!$B$3&amp;$B$2&amp;Monthly_Pmod!J$3&amp;$B$1)</f>
        <v>0</v>
      </c>
      <c r="K12" s="12">
        <f>COUNTIF(defects!$AC:$AC,Monthly_Pmod!$B12&amp;Monthly_Pmod!$B$3&amp;$B$2&amp;Monthly_Pmod!K$3&amp;$B$1)</f>
        <v>0</v>
      </c>
      <c r="L12" s="12">
        <f>COUNTIF(defects!$AC:$AC,Monthly_Pmod!$B12&amp;Monthly_Pmod!$B$3&amp;$B$2&amp;Monthly_Pmod!L$3&amp;$B$1)</f>
        <v>0</v>
      </c>
      <c r="M12" s="12">
        <f>COUNTIF(defects!$AC:$AC,Monthly_Pmod!$B12&amp;Monthly_Pmod!$B$3&amp;$B$2&amp;Monthly_Pmod!M$3&amp;$B$1)</f>
        <v>0</v>
      </c>
      <c r="N12" s="12">
        <f>COUNTIF(defects!$AC:$AC,Monthly_Pmod!$B12&amp;Monthly_Pmod!$B$3&amp;$B$2&amp;Monthly_Pmod!N$3&amp;$B$1)</f>
        <v>0</v>
      </c>
      <c r="O12" s="12">
        <f>COUNTIF(defects!$AC:$AC,Monthly_Pmod!$B12&amp;Monthly_Pmod!$B$3&amp;$B$2&amp;Monthly_Pmod!O$3&amp;$B$1)</f>
        <v>0</v>
      </c>
      <c r="P12" s="12">
        <f>COUNTIF(defects!$AC:$AC,Monthly_Pmod!$B12&amp;Monthly_Pmod!$B$3&amp;$B$2&amp;Monthly_Pmod!P$3&amp;$B$1)</f>
        <v>0</v>
      </c>
      <c r="Q12" s="12">
        <f>COUNTIF(defects!$AC:$AC,Monthly_Pmod!$B12&amp;Monthly_Pmod!$B$3&amp;$B$2&amp;Monthly_Pmod!Q$3&amp;$B$1)</f>
        <v>0</v>
      </c>
      <c r="R12" s="12">
        <f>COUNTIF(defects!$AC:$AC,Monthly_Pmod!$B12&amp;Monthly_Pmod!$B$3&amp;$B$2&amp;Monthly_Pmod!R$3&amp;$B$1)</f>
        <v>0</v>
      </c>
      <c r="S12" s="12">
        <f>COUNTIF(defects!$AC:$AC,Monthly_Pmod!$B12&amp;Monthly_Pmod!$B$3&amp;$B$2&amp;Monthly_Pmod!S$3&amp;$B$1)</f>
        <v>0</v>
      </c>
      <c r="T12" s="12">
        <f>COUNTIF(defects!$AC:$AC,Monthly_Pmod!$B12&amp;Monthly_Pmod!$B$3&amp;$B$2&amp;Monthly_Pmod!T$3&amp;$B$1)</f>
        <v>0</v>
      </c>
      <c r="U12" s="12">
        <f>COUNTIF(defects!$AC:$AC,Monthly_Pmod!$B12&amp;Monthly_Pmod!$B$3&amp;$B$2&amp;Monthly_Pmod!U$3&amp;$B$1)</f>
        <v>0</v>
      </c>
      <c r="V12" s="12">
        <f>COUNTIF(defects!$AC:$AC,Monthly_Pmod!$B12&amp;Monthly_Pmod!$B$3&amp;$B$2&amp;Monthly_Pmod!V$3&amp;$B$1)</f>
        <v>0</v>
      </c>
      <c r="W12" s="12">
        <f>COUNTIF(defects!$AC:$AC,Monthly_Pmod!$B12&amp;Monthly_Pmod!$B$3&amp;$B$2&amp;Monthly_Pmod!W$3&amp;$B$1)</f>
        <v>0</v>
      </c>
      <c r="X12" s="12">
        <f>COUNTIF(defects!$AC:$AC,Monthly_Pmod!$B12&amp;Monthly_Pmod!$B$3&amp;$B$2&amp;Monthly_Pmod!X$3&amp;$B$1)</f>
        <v>0</v>
      </c>
      <c r="Y12" s="12">
        <f>COUNTIF(defects!$AC:$AC,Monthly_Pmod!$B12&amp;Monthly_Pmod!$B$3&amp;$B$2&amp;Monthly_Pmod!Y$3&amp;$B$1)</f>
        <v>0</v>
      </c>
      <c r="Z12" s="12">
        <f>COUNTIF(defects!$AC:$AC,Monthly_Pmod!$B12&amp;Monthly_Pmod!$B$3&amp;$B$2&amp;Monthly_Pmod!Z$3&amp;$B$1)</f>
        <v>0</v>
      </c>
      <c r="AA12" s="12">
        <f>COUNTIF(defects!$AC:$AC,Monthly_Pmod!$B12&amp;Monthly_Pmod!$B$3&amp;$B$2&amp;Monthly_Pmod!AA$3&amp;$B$1)</f>
        <v>0</v>
      </c>
      <c r="AB12" s="12">
        <f>COUNTIF(defects!$AC:$AC,Monthly_Pmod!$B12&amp;Monthly_Pmod!$B$3&amp;$B$2&amp;Monthly_Pmod!AB$3&amp;$B$1)</f>
        <v>0</v>
      </c>
      <c r="AC12" s="12">
        <f>COUNTIF(defects!$AC:$AC,Monthly_Pmod!$B12&amp;Monthly_Pmod!$B$3&amp;$B$2&amp;Monthly_Pmod!AC$3&amp;$B$1)</f>
        <v>0</v>
      </c>
      <c r="AD12" s="12">
        <f>COUNTIF(defects!$AC:$AC,Monthly_Pmod!$B12&amp;Monthly_Pmod!$B$3&amp;$B$2&amp;Monthly_Pmod!AD$3&amp;$B$1)</f>
        <v>0</v>
      </c>
      <c r="AE12" s="12">
        <f>COUNTIF(defects!$AC:$AC,Monthly_Pmod!$B12&amp;Monthly_Pmod!$B$3&amp;$B$2&amp;Monthly_Pmod!AE$3&amp;$B$1)</f>
        <v>0</v>
      </c>
      <c r="AF12" s="12">
        <f>COUNTIF(defects!$AC:$AC,Monthly_Pmod!$B12&amp;Monthly_Pmod!$B$3&amp;$B$2&amp;Monthly_Pmod!AF$3&amp;$B$1)</f>
        <v>0</v>
      </c>
      <c r="AG12" s="12">
        <f>COUNTIF(defects!$AC:$AC,Monthly_Pmod!$B12&amp;Monthly_Pmod!$B$3&amp;$B$2&amp;Monthly_Pmod!AG$3&amp;$B$1)</f>
        <v>0</v>
      </c>
      <c r="AH12" s="12">
        <f>COUNTIF(defects!$AC:$AC,Monthly_Pmod!$B12&amp;Monthly_Pmod!$B$3&amp;$B$2&amp;Monthly_Pmod!AH$3&amp;$B$1)</f>
        <v>0</v>
      </c>
      <c r="AI12" s="12">
        <f>COUNTIF(defects!$AC:$AC,Monthly_Pmod!$B12&amp;Monthly_Pmod!$B$3&amp;$B$2&amp;Monthly_Pmod!AI$3&amp;$B$1)</f>
        <v>0</v>
      </c>
      <c r="AJ12" s="12">
        <f>COUNTIF(defects!$AC:$AC,Monthly_Pmod!$B12&amp;Monthly_Pmod!$B$3&amp;$B$2&amp;Monthly_Pmod!AJ$3&amp;$B$1)</f>
        <v>0</v>
      </c>
      <c r="AK12" s="12">
        <f>COUNTIF(defects!$AC:$AC,Monthly_Pmod!$B12&amp;Monthly_Pmod!$B$3&amp;$B$2&amp;Monthly_Pmod!AK$3&amp;$B$1)</f>
        <v>0</v>
      </c>
      <c r="AL12" s="12">
        <f>COUNTIF(defects!$AC:$AC,Monthly_Pmod!$B12&amp;Monthly_Pmod!$B$3&amp;$B$2&amp;Monthly_Pmod!AL$3&amp;$B$1)</f>
        <v>0</v>
      </c>
      <c r="AM12" s="12">
        <f>COUNTIF(defects!$AC:$AC,Monthly_Pmod!$B12&amp;Monthly_Pmod!$B$3&amp;$B$2&amp;Monthly_Pmod!AM$3&amp;$B$1)</f>
        <v>0</v>
      </c>
      <c r="AN12" s="12">
        <f>COUNTIF(defects!$AC:$AC,Monthly_Pmod!$B12&amp;Monthly_Pmod!$B$3&amp;$B$2&amp;Monthly_Pmod!AN$3&amp;$B$1)</f>
        <v>0</v>
      </c>
      <c r="AO12" s="12">
        <f>COUNTIF(defects!$AC:$AC,Monthly_Pmod!$B12&amp;Monthly_Pmod!$B$3&amp;$B$2&amp;Monthly_Pmod!AO$3&amp;$B$1)</f>
        <v>0</v>
      </c>
      <c r="AP12" s="12">
        <f>COUNTIF(defects!$AC:$AC,Monthly_Pmod!$B12&amp;Monthly_Pmod!$B$3&amp;$B$2&amp;Monthly_Pmod!AP$3&amp;$B$1)</f>
        <v>0</v>
      </c>
      <c r="AQ12" s="12"/>
      <c r="AR12" s="12">
        <f>HLOOKUP(AR$3,Weekly_Pmod!$3:$24,MATCH($B12,Weekly_Pmod!$B$3:$B$24,0),0)</f>
        <v>0</v>
      </c>
      <c r="AS12" s="12">
        <f>HLOOKUP(AS$3,Weekly_Pmod!$3:$24,MATCH($B12,Weekly_Pmod!$B$3:$B$24,0),0)</f>
        <v>0</v>
      </c>
      <c r="AT12" s="12">
        <f>HLOOKUP(AT$3,Weekly_Pmod!$3:$24,MATCH($B12,Weekly_Pmod!$B$3:$B$24,0),0)</f>
        <v>0</v>
      </c>
      <c r="AU12" s="12"/>
      <c r="AV12" s="12">
        <f t="shared" si="2"/>
        <v>0</v>
      </c>
    </row>
    <row r="13" spans="2:48">
      <c r="B13" s="12" t="s">
        <v>950</v>
      </c>
      <c r="C13" s="12">
        <f t="shared" si="0"/>
        <v>6</v>
      </c>
      <c r="D13" s="12">
        <f t="shared" si="0"/>
        <v>0</v>
      </c>
      <c r="E13" s="12"/>
      <c r="F13" s="12">
        <f>COUNTIF(defects!$AC:$AC,Monthly_Pmod!$B13&amp;Monthly_Pmod!$B$3&amp;$B$2&amp;Monthly_Pmod!F$3&amp;$B$1)</f>
        <v>0</v>
      </c>
      <c r="G13" s="12">
        <f>COUNTIF(defects!$AC:$AC,Monthly_Pmod!$B13&amp;Monthly_Pmod!$B$3&amp;$B$2&amp;Monthly_Pmod!G$3&amp;$B$1)</f>
        <v>0</v>
      </c>
      <c r="H13" s="12">
        <f>COUNTIF(defects!$AC:$AC,Monthly_Pmod!$B13&amp;Monthly_Pmod!$B$3&amp;$B$2&amp;Monthly_Pmod!H$3&amp;$B$1)</f>
        <v>0</v>
      </c>
      <c r="I13" s="12">
        <f>COUNTIF(defects!$AC:$AC,Monthly_Pmod!$B13&amp;Monthly_Pmod!$B$3&amp;$B$2&amp;Monthly_Pmod!I$3&amp;$B$1)</f>
        <v>0</v>
      </c>
      <c r="J13" s="12">
        <f>COUNTIF(defects!$AC:$AC,Monthly_Pmod!$B13&amp;Monthly_Pmod!$B$3&amp;$B$2&amp;Monthly_Pmod!J$3&amp;$B$1)</f>
        <v>0</v>
      </c>
      <c r="K13" s="12">
        <f>COUNTIF(defects!$AC:$AC,Monthly_Pmod!$B13&amp;Monthly_Pmod!$B$3&amp;$B$2&amp;Monthly_Pmod!K$3&amp;$B$1)</f>
        <v>0</v>
      </c>
      <c r="L13" s="12">
        <f>COUNTIF(defects!$AC:$AC,Monthly_Pmod!$B13&amp;Monthly_Pmod!$B$3&amp;$B$2&amp;Monthly_Pmod!L$3&amp;$B$1)</f>
        <v>0</v>
      </c>
      <c r="M13" s="12">
        <f>COUNTIF(defects!$AC:$AC,Monthly_Pmod!$B13&amp;Monthly_Pmod!$B$3&amp;$B$2&amp;Monthly_Pmod!M$3&amp;$B$1)</f>
        <v>0</v>
      </c>
      <c r="N13" s="12">
        <f>COUNTIF(defects!$AC:$AC,Monthly_Pmod!$B13&amp;Monthly_Pmod!$B$3&amp;$B$2&amp;Monthly_Pmod!N$3&amp;$B$1)</f>
        <v>0</v>
      </c>
      <c r="O13" s="12">
        <f>COUNTIF(defects!$AC:$AC,Monthly_Pmod!$B13&amp;Monthly_Pmod!$B$3&amp;$B$2&amp;Monthly_Pmod!O$3&amp;$B$1)</f>
        <v>0</v>
      </c>
      <c r="P13" s="12">
        <f>COUNTIF(defects!$AC:$AC,Monthly_Pmod!$B13&amp;Monthly_Pmod!$B$3&amp;$B$2&amp;Monthly_Pmod!P$3&amp;$B$1)</f>
        <v>0</v>
      </c>
      <c r="Q13" s="12">
        <f>COUNTIF(defects!$AC:$AC,Monthly_Pmod!$B13&amp;Monthly_Pmod!$B$3&amp;$B$2&amp;Monthly_Pmod!Q$3&amp;$B$1)</f>
        <v>0</v>
      </c>
      <c r="R13" s="12">
        <f>COUNTIF(defects!$AC:$AC,Monthly_Pmod!$B13&amp;Monthly_Pmod!$B$3&amp;$B$2&amp;Monthly_Pmod!R$3&amp;$B$1)</f>
        <v>0</v>
      </c>
      <c r="S13" s="12">
        <f>COUNTIF(defects!$AC:$AC,Monthly_Pmod!$B13&amp;Monthly_Pmod!$B$3&amp;$B$2&amp;Monthly_Pmod!S$3&amp;$B$1)</f>
        <v>0</v>
      </c>
      <c r="T13" s="12">
        <f>COUNTIF(defects!$AC:$AC,Monthly_Pmod!$B13&amp;Monthly_Pmod!$B$3&amp;$B$2&amp;Monthly_Pmod!T$3&amp;$B$1)</f>
        <v>0</v>
      </c>
      <c r="U13" s="12">
        <f>COUNTIF(defects!$AC:$AC,Monthly_Pmod!$B13&amp;Monthly_Pmod!$B$3&amp;$B$2&amp;Monthly_Pmod!U$3&amp;$B$1)</f>
        <v>0</v>
      </c>
      <c r="V13" s="12">
        <f>COUNTIF(defects!$AC:$AC,Monthly_Pmod!$B13&amp;Monthly_Pmod!$B$3&amp;$B$2&amp;Monthly_Pmod!V$3&amp;$B$1)</f>
        <v>1</v>
      </c>
      <c r="W13" s="12">
        <f>COUNTIF(defects!$AC:$AC,Monthly_Pmod!$B13&amp;Monthly_Pmod!$B$3&amp;$B$2&amp;Monthly_Pmod!W$3&amp;$B$1)</f>
        <v>0</v>
      </c>
      <c r="X13" s="12">
        <f>COUNTIF(defects!$AC:$AC,Monthly_Pmod!$B13&amp;Monthly_Pmod!$B$3&amp;$B$2&amp;Monthly_Pmod!X$3&amp;$B$1)</f>
        <v>3</v>
      </c>
      <c r="Y13" s="12">
        <f>COUNTIF(defects!$AC:$AC,Monthly_Pmod!$B13&amp;Monthly_Pmod!$B$3&amp;$B$2&amp;Monthly_Pmod!Y$3&amp;$B$1)</f>
        <v>0</v>
      </c>
      <c r="Z13" s="12">
        <f>COUNTIF(defects!$AC:$AC,Monthly_Pmod!$B13&amp;Monthly_Pmod!$B$3&amp;$B$2&amp;Monthly_Pmod!Z$3&amp;$B$1)</f>
        <v>2</v>
      </c>
      <c r="AA13" s="12">
        <f>COUNTIF(defects!$AC:$AC,Monthly_Pmod!$B13&amp;Monthly_Pmod!$B$3&amp;$B$2&amp;Monthly_Pmod!AA$3&amp;$B$1)</f>
        <v>0</v>
      </c>
      <c r="AB13" s="12">
        <f>COUNTIF(defects!$AC:$AC,Monthly_Pmod!$B13&amp;Monthly_Pmod!$B$3&amp;$B$2&amp;Monthly_Pmod!AB$3&amp;$B$1)</f>
        <v>0</v>
      </c>
      <c r="AC13" s="12">
        <f>COUNTIF(defects!$AC:$AC,Monthly_Pmod!$B13&amp;Monthly_Pmod!$B$3&amp;$B$2&amp;Monthly_Pmod!AC$3&amp;$B$1)</f>
        <v>0</v>
      </c>
      <c r="AD13" s="12">
        <f>COUNTIF(defects!$AC:$AC,Monthly_Pmod!$B13&amp;Monthly_Pmod!$B$3&amp;$B$2&amp;Monthly_Pmod!AD$3&amp;$B$1)</f>
        <v>0</v>
      </c>
      <c r="AE13" s="12">
        <f>COUNTIF(defects!$AC:$AC,Monthly_Pmod!$B13&amp;Monthly_Pmod!$B$3&amp;$B$2&amp;Monthly_Pmod!AE$3&amp;$B$1)</f>
        <v>0</v>
      </c>
      <c r="AF13" s="12">
        <f>COUNTIF(defects!$AC:$AC,Monthly_Pmod!$B13&amp;Monthly_Pmod!$B$3&amp;$B$2&amp;Monthly_Pmod!AF$3&amp;$B$1)</f>
        <v>0</v>
      </c>
      <c r="AG13" s="12">
        <f>COUNTIF(defects!$AC:$AC,Monthly_Pmod!$B13&amp;Monthly_Pmod!$B$3&amp;$B$2&amp;Monthly_Pmod!AG$3&amp;$B$1)</f>
        <v>0</v>
      </c>
      <c r="AH13" s="12">
        <f>COUNTIF(defects!$AC:$AC,Monthly_Pmod!$B13&amp;Monthly_Pmod!$B$3&amp;$B$2&amp;Monthly_Pmod!AH$3&amp;$B$1)</f>
        <v>0</v>
      </c>
      <c r="AI13" s="12">
        <f>COUNTIF(defects!$AC:$AC,Monthly_Pmod!$B13&amp;Monthly_Pmod!$B$3&amp;$B$2&amp;Monthly_Pmod!AI$3&amp;$B$1)</f>
        <v>0</v>
      </c>
      <c r="AJ13" s="12">
        <f>COUNTIF(defects!$AC:$AC,Monthly_Pmod!$B13&amp;Monthly_Pmod!$B$3&amp;$B$2&amp;Monthly_Pmod!AJ$3&amp;$B$1)</f>
        <v>0</v>
      </c>
      <c r="AK13" s="12">
        <f>COUNTIF(defects!$AC:$AC,Monthly_Pmod!$B13&amp;Monthly_Pmod!$B$3&amp;$B$2&amp;Monthly_Pmod!AK$3&amp;$B$1)</f>
        <v>0</v>
      </c>
      <c r="AL13" s="12">
        <f>COUNTIF(defects!$AC:$AC,Monthly_Pmod!$B13&amp;Monthly_Pmod!$B$3&amp;$B$2&amp;Monthly_Pmod!AL$3&amp;$B$1)</f>
        <v>0</v>
      </c>
      <c r="AM13" s="12">
        <f>COUNTIF(defects!$AC:$AC,Monthly_Pmod!$B13&amp;Monthly_Pmod!$B$3&amp;$B$2&amp;Monthly_Pmod!AM$3&amp;$B$1)</f>
        <v>0</v>
      </c>
      <c r="AN13" s="12">
        <f>COUNTIF(defects!$AC:$AC,Monthly_Pmod!$B13&amp;Monthly_Pmod!$B$3&amp;$B$2&amp;Monthly_Pmod!AN$3&amp;$B$1)</f>
        <v>0</v>
      </c>
      <c r="AO13" s="12">
        <f>COUNTIF(defects!$AC:$AC,Monthly_Pmod!$B13&amp;Monthly_Pmod!$B$3&amp;$B$2&amp;Monthly_Pmod!AO$3&amp;$B$1)</f>
        <v>0</v>
      </c>
      <c r="AP13" s="12">
        <f>COUNTIF(defects!$AC:$AC,Monthly_Pmod!$B13&amp;Monthly_Pmod!$B$3&amp;$B$2&amp;Monthly_Pmod!AP$3&amp;$B$1)</f>
        <v>0</v>
      </c>
      <c r="AQ13" s="12"/>
      <c r="AR13" s="12">
        <f>HLOOKUP(AR$3,Weekly_Pmod!$3:$24,MATCH($B13,Weekly_Pmod!$B$3:$B$24,0),0)</f>
        <v>0</v>
      </c>
      <c r="AS13" s="12">
        <f>HLOOKUP(AS$3,Weekly_Pmod!$3:$24,MATCH($B13,Weekly_Pmod!$B$3:$B$24,0),0)</f>
        <v>0</v>
      </c>
      <c r="AT13" s="12">
        <f>HLOOKUP(AT$3,Weekly_Pmod!$3:$24,MATCH($B13,Weekly_Pmod!$B$3:$B$24,0),0)</f>
        <v>0</v>
      </c>
      <c r="AU13" s="12"/>
      <c r="AV13" s="12">
        <f t="shared" si="2"/>
        <v>6</v>
      </c>
    </row>
    <row r="14" spans="2:48">
      <c r="B14" s="12" t="s">
        <v>993</v>
      </c>
      <c r="C14" s="12">
        <f t="shared" si="0"/>
        <v>0</v>
      </c>
      <c r="D14" s="12">
        <f t="shared" si="0"/>
        <v>0</v>
      </c>
      <c r="E14" s="12"/>
      <c r="F14" s="12">
        <f>COUNTIF(defects!$AC:$AC,Monthly_Pmod!$B14&amp;Monthly_Pmod!$B$3&amp;$B$2&amp;Monthly_Pmod!F$3&amp;$B$1)</f>
        <v>0</v>
      </c>
      <c r="G14" s="12">
        <f>COUNTIF(defects!$AC:$AC,Monthly_Pmod!$B14&amp;Monthly_Pmod!$B$3&amp;$B$2&amp;Monthly_Pmod!G$3&amp;$B$1)</f>
        <v>0</v>
      </c>
      <c r="H14" s="12">
        <f>COUNTIF(defects!$AC:$AC,Monthly_Pmod!$B14&amp;Monthly_Pmod!$B$3&amp;$B$2&amp;Monthly_Pmod!H$3&amp;$B$1)</f>
        <v>0</v>
      </c>
      <c r="I14" s="12">
        <f>COUNTIF(defects!$AC:$AC,Monthly_Pmod!$B14&amp;Monthly_Pmod!$B$3&amp;$B$2&amp;Monthly_Pmod!I$3&amp;$B$1)</f>
        <v>0</v>
      </c>
      <c r="J14" s="12">
        <f>COUNTIF(defects!$AC:$AC,Monthly_Pmod!$B14&amp;Monthly_Pmod!$B$3&amp;$B$2&amp;Monthly_Pmod!J$3&amp;$B$1)</f>
        <v>0</v>
      </c>
      <c r="K14" s="12">
        <f>COUNTIF(defects!$AC:$AC,Monthly_Pmod!$B14&amp;Monthly_Pmod!$B$3&amp;$B$2&amp;Monthly_Pmod!K$3&amp;$B$1)</f>
        <v>0</v>
      </c>
      <c r="L14" s="12">
        <f>COUNTIF(defects!$AC:$AC,Monthly_Pmod!$B14&amp;Monthly_Pmod!$B$3&amp;$B$2&amp;Monthly_Pmod!L$3&amp;$B$1)</f>
        <v>0</v>
      </c>
      <c r="M14" s="12">
        <f>COUNTIF(defects!$AC:$AC,Monthly_Pmod!$B14&amp;Monthly_Pmod!$B$3&amp;$B$2&amp;Monthly_Pmod!M$3&amp;$B$1)</f>
        <v>0</v>
      </c>
      <c r="N14" s="12">
        <f>COUNTIF(defects!$AC:$AC,Monthly_Pmod!$B14&amp;Monthly_Pmod!$B$3&amp;$B$2&amp;Monthly_Pmod!N$3&amp;$B$1)</f>
        <v>0</v>
      </c>
      <c r="O14" s="12">
        <f>COUNTIF(defects!$AC:$AC,Monthly_Pmod!$B14&amp;Monthly_Pmod!$B$3&amp;$B$2&amp;Monthly_Pmod!O$3&amp;$B$1)</f>
        <v>0</v>
      </c>
      <c r="P14" s="12">
        <f>COUNTIF(defects!$AC:$AC,Monthly_Pmod!$B14&amp;Monthly_Pmod!$B$3&amp;$B$2&amp;Monthly_Pmod!P$3&amp;$B$1)</f>
        <v>0</v>
      </c>
      <c r="Q14" s="12">
        <f>COUNTIF(defects!$AC:$AC,Monthly_Pmod!$B14&amp;Monthly_Pmod!$B$3&amp;$B$2&amp;Monthly_Pmod!Q$3&amp;$B$1)</f>
        <v>0</v>
      </c>
      <c r="R14" s="12">
        <f>COUNTIF(defects!$AC:$AC,Monthly_Pmod!$B14&amp;Monthly_Pmod!$B$3&amp;$B$2&amp;Monthly_Pmod!R$3&amp;$B$1)</f>
        <v>0</v>
      </c>
      <c r="S14" s="12">
        <f>COUNTIF(defects!$AC:$AC,Monthly_Pmod!$B14&amp;Monthly_Pmod!$B$3&amp;$B$2&amp;Monthly_Pmod!S$3&amp;$B$1)</f>
        <v>0</v>
      </c>
      <c r="T14" s="12">
        <f>COUNTIF(defects!$AC:$AC,Monthly_Pmod!$B14&amp;Monthly_Pmod!$B$3&amp;$B$2&amp;Monthly_Pmod!T$3&amp;$B$1)</f>
        <v>0</v>
      </c>
      <c r="U14" s="12">
        <f>COUNTIF(defects!$AC:$AC,Monthly_Pmod!$B14&amp;Monthly_Pmod!$B$3&amp;$B$2&amp;Monthly_Pmod!U$3&amp;$B$1)</f>
        <v>0</v>
      </c>
      <c r="V14" s="12">
        <f>COUNTIF(defects!$AC:$AC,Monthly_Pmod!$B14&amp;Monthly_Pmod!$B$3&amp;$B$2&amp;Monthly_Pmod!V$3&amp;$B$1)</f>
        <v>0</v>
      </c>
      <c r="W14" s="12">
        <f>COUNTIF(defects!$AC:$AC,Monthly_Pmod!$B14&amp;Monthly_Pmod!$B$3&amp;$B$2&amp;Monthly_Pmod!W$3&amp;$B$1)</f>
        <v>0</v>
      </c>
      <c r="X14" s="12">
        <f>COUNTIF(defects!$AC:$AC,Monthly_Pmod!$B14&amp;Monthly_Pmod!$B$3&amp;$B$2&amp;Monthly_Pmod!X$3&amp;$B$1)</f>
        <v>0</v>
      </c>
      <c r="Y14" s="12">
        <f>COUNTIF(defects!$AC:$AC,Monthly_Pmod!$B14&amp;Monthly_Pmod!$B$3&amp;$B$2&amp;Monthly_Pmod!Y$3&amp;$B$1)</f>
        <v>0</v>
      </c>
      <c r="Z14" s="12">
        <f>COUNTIF(defects!$AC:$AC,Monthly_Pmod!$B14&amp;Monthly_Pmod!$B$3&amp;$B$2&amp;Monthly_Pmod!Z$3&amp;$B$1)</f>
        <v>0</v>
      </c>
      <c r="AA14" s="12">
        <f>COUNTIF(defects!$AC:$AC,Monthly_Pmod!$B14&amp;Monthly_Pmod!$B$3&amp;$B$2&amp;Monthly_Pmod!AA$3&amp;$B$1)</f>
        <v>0</v>
      </c>
      <c r="AB14" s="12">
        <f>COUNTIF(defects!$AC:$AC,Monthly_Pmod!$B14&amp;Monthly_Pmod!$B$3&amp;$B$2&amp;Monthly_Pmod!AB$3&amp;$B$1)</f>
        <v>0</v>
      </c>
      <c r="AC14" s="12">
        <f>COUNTIF(defects!$AC:$AC,Monthly_Pmod!$B14&amp;Monthly_Pmod!$B$3&amp;$B$2&amp;Monthly_Pmod!AC$3&amp;$B$1)</f>
        <v>0</v>
      </c>
      <c r="AD14" s="12">
        <f>COUNTIF(defects!$AC:$AC,Monthly_Pmod!$B14&amp;Monthly_Pmod!$B$3&amp;$B$2&amp;Monthly_Pmod!AD$3&amp;$B$1)</f>
        <v>0</v>
      </c>
      <c r="AE14" s="12">
        <f>COUNTIF(defects!$AC:$AC,Monthly_Pmod!$B14&amp;Monthly_Pmod!$B$3&amp;$B$2&amp;Monthly_Pmod!AE$3&amp;$B$1)</f>
        <v>0</v>
      </c>
      <c r="AF14" s="12">
        <f>COUNTIF(defects!$AC:$AC,Monthly_Pmod!$B14&amp;Monthly_Pmod!$B$3&amp;$B$2&amp;Monthly_Pmod!AF$3&amp;$B$1)</f>
        <v>0</v>
      </c>
      <c r="AG14" s="12">
        <f>COUNTIF(defects!$AC:$AC,Monthly_Pmod!$B14&amp;Monthly_Pmod!$B$3&amp;$B$2&amp;Monthly_Pmod!AG$3&amp;$B$1)</f>
        <v>0</v>
      </c>
      <c r="AH14" s="12">
        <f>COUNTIF(defects!$AC:$AC,Monthly_Pmod!$B14&amp;Monthly_Pmod!$B$3&amp;$B$2&amp;Monthly_Pmod!AH$3&amp;$B$1)</f>
        <v>0</v>
      </c>
      <c r="AI14" s="12">
        <f>COUNTIF(defects!$AC:$AC,Monthly_Pmod!$B14&amp;Monthly_Pmod!$B$3&amp;$B$2&amp;Monthly_Pmod!AI$3&amp;$B$1)</f>
        <v>0</v>
      </c>
      <c r="AJ14" s="12">
        <f>COUNTIF(defects!$AC:$AC,Monthly_Pmod!$B14&amp;Monthly_Pmod!$B$3&amp;$B$2&amp;Monthly_Pmod!AJ$3&amp;$B$1)</f>
        <v>0</v>
      </c>
      <c r="AK14" s="12">
        <f>COUNTIF(defects!$AC:$AC,Monthly_Pmod!$B14&amp;Monthly_Pmod!$B$3&amp;$B$2&amp;Monthly_Pmod!AK$3&amp;$B$1)</f>
        <v>0</v>
      </c>
      <c r="AL14" s="12">
        <f>COUNTIF(defects!$AC:$AC,Monthly_Pmod!$B14&amp;Monthly_Pmod!$B$3&amp;$B$2&amp;Monthly_Pmod!AL$3&amp;$B$1)</f>
        <v>0</v>
      </c>
      <c r="AM14" s="12">
        <f>COUNTIF(defects!$AC:$AC,Monthly_Pmod!$B14&amp;Monthly_Pmod!$B$3&amp;$B$2&amp;Monthly_Pmod!AM$3&amp;$B$1)</f>
        <v>0</v>
      </c>
      <c r="AN14" s="12">
        <f>COUNTIF(defects!$AC:$AC,Monthly_Pmod!$B14&amp;Monthly_Pmod!$B$3&amp;$B$2&amp;Monthly_Pmod!AN$3&amp;$B$1)</f>
        <v>0</v>
      </c>
      <c r="AO14" s="12">
        <f>COUNTIF(defects!$AC:$AC,Monthly_Pmod!$B14&amp;Monthly_Pmod!$B$3&amp;$B$2&amp;Monthly_Pmod!AO$3&amp;$B$1)</f>
        <v>0</v>
      </c>
      <c r="AP14" s="12">
        <f>COUNTIF(defects!$AC:$AC,Monthly_Pmod!$B14&amp;Monthly_Pmod!$B$3&amp;$B$2&amp;Monthly_Pmod!AP$3&amp;$B$1)</f>
        <v>0</v>
      </c>
      <c r="AQ14" s="12"/>
      <c r="AR14" s="12">
        <f>HLOOKUP(AR$3,Weekly_Pmod!$3:$24,MATCH($B14,Weekly_Pmod!$B$3:$B$24,0),0)</f>
        <v>0</v>
      </c>
      <c r="AS14" s="12">
        <f>HLOOKUP(AS$3,Weekly_Pmod!$3:$24,MATCH($B14,Weekly_Pmod!$B$3:$B$24,0),0)</f>
        <v>0</v>
      </c>
      <c r="AT14" s="12">
        <f>HLOOKUP(AT$3,Weekly_Pmod!$3:$24,MATCH($B14,Weekly_Pmod!$B$3:$B$24,0),0)</f>
        <v>0</v>
      </c>
      <c r="AU14" s="12"/>
      <c r="AV14" s="12">
        <f t="shared" si="2"/>
        <v>0</v>
      </c>
    </row>
    <row r="15" spans="2:48">
      <c r="B15" s="12" t="s">
        <v>949</v>
      </c>
      <c r="C15" s="12">
        <f t="shared" si="0"/>
        <v>3</v>
      </c>
      <c r="D15" s="12">
        <f t="shared" si="0"/>
        <v>0</v>
      </c>
      <c r="E15" s="12"/>
      <c r="F15" s="12">
        <f>COUNTIF(defects!$AC:$AC,Monthly_Pmod!$B15&amp;Monthly_Pmod!$B$3&amp;$B$2&amp;Monthly_Pmod!F$3&amp;$B$1)</f>
        <v>0</v>
      </c>
      <c r="G15" s="12">
        <f>COUNTIF(defects!$AC:$AC,Monthly_Pmod!$B15&amp;Monthly_Pmod!$B$3&amp;$B$2&amp;Monthly_Pmod!G$3&amp;$B$1)</f>
        <v>0</v>
      </c>
      <c r="H15" s="12">
        <f>COUNTIF(defects!$AC:$AC,Monthly_Pmod!$B15&amp;Monthly_Pmod!$B$3&amp;$B$2&amp;Monthly_Pmod!H$3&amp;$B$1)</f>
        <v>0</v>
      </c>
      <c r="I15" s="12">
        <f>COUNTIF(defects!$AC:$AC,Monthly_Pmod!$B15&amp;Monthly_Pmod!$B$3&amp;$B$2&amp;Monthly_Pmod!I$3&amp;$B$1)</f>
        <v>0</v>
      </c>
      <c r="J15" s="12">
        <f>COUNTIF(defects!$AC:$AC,Monthly_Pmod!$B15&amp;Monthly_Pmod!$B$3&amp;$B$2&amp;Monthly_Pmod!J$3&amp;$B$1)</f>
        <v>0</v>
      </c>
      <c r="K15" s="12">
        <f>COUNTIF(defects!$AC:$AC,Monthly_Pmod!$B15&amp;Monthly_Pmod!$B$3&amp;$B$2&amp;Monthly_Pmod!K$3&amp;$B$1)</f>
        <v>0</v>
      </c>
      <c r="L15" s="12">
        <f>COUNTIF(defects!$AC:$AC,Monthly_Pmod!$B15&amp;Monthly_Pmod!$B$3&amp;$B$2&amp;Monthly_Pmod!L$3&amp;$B$1)</f>
        <v>0</v>
      </c>
      <c r="M15" s="12">
        <f>COUNTIF(defects!$AC:$AC,Monthly_Pmod!$B15&amp;Monthly_Pmod!$B$3&amp;$B$2&amp;Monthly_Pmod!M$3&amp;$B$1)</f>
        <v>0</v>
      </c>
      <c r="N15" s="12">
        <f>COUNTIF(defects!$AC:$AC,Monthly_Pmod!$B15&amp;Monthly_Pmod!$B$3&amp;$B$2&amp;Monthly_Pmod!N$3&amp;$B$1)</f>
        <v>0</v>
      </c>
      <c r="O15" s="12">
        <f>COUNTIF(defects!$AC:$AC,Monthly_Pmod!$B15&amp;Monthly_Pmod!$B$3&amp;$B$2&amp;Monthly_Pmod!O$3&amp;$B$1)</f>
        <v>0</v>
      </c>
      <c r="P15" s="12">
        <f>COUNTIF(defects!$AC:$AC,Monthly_Pmod!$B15&amp;Monthly_Pmod!$B$3&amp;$B$2&amp;Monthly_Pmod!P$3&amp;$B$1)</f>
        <v>0</v>
      </c>
      <c r="Q15" s="12">
        <f>COUNTIF(defects!$AC:$AC,Monthly_Pmod!$B15&amp;Monthly_Pmod!$B$3&amp;$B$2&amp;Monthly_Pmod!Q$3&amp;$B$1)</f>
        <v>0</v>
      </c>
      <c r="R15" s="12">
        <f>COUNTIF(defects!$AC:$AC,Monthly_Pmod!$B15&amp;Monthly_Pmod!$B$3&amp;$B$2&amp;Monthly_Pmod!R$3&amp;$B$1)</f>
        <v>0</v>
      </c>
      <c r="S15" s="12">
        <f>COUNTIF(defects!$AC:$AC,Monthly_Pmod!$B15&amp;Monthly_Pmod!$B$3&amp;$B$2&amp;Monthly_Pmod!S$3&amp;$B$1)</f>
        <v>0</v>
      </c>
      <c r="T15" s="12">
        <f>COUNTIF(defects!$AC:$AC,Monthly_Pmod!$B15&amp;Monthly_Pmod!$B$3&amp;$B$2&amp;Monthly_Pmod!T$3&amp;$B$1)</f>
        <v>0</v>
      </c>
      <c r="U15" s="12">
        <f>COUNTIF(defects!$AC:$AC,Monthly_Pmod!$B15&amp;Monthly_Pmod!$B$3&amp;$B$2&amp;Monthly_Pmod!U$3&amp;$B$1)</f>
        <v>0</v>
      </c>
      <c r="V15" s="12">
        <f>COUNTIF(defects!$AC:$AC,Monthly_Pmod!$B15&amp;Monthly_Pmod!$B$3&amp;$B$2&amp;Monthly_Pmod!V$3&amp;$B$1)</f>
        <v>0</v>
      </c>
      <c r="W15" s="12">
        <f>COUNTIF(defects!$AC:$AC,Monthly_Pmod!$B15&amp;Monthly_Pmod!$B$3&amp;$B$2&amp;Monthly_Pmod!W$3&amp;$B$1)</f>
        <v>0</v>
      </c>
      <c r="X15" s="12">
        <f>COUNTIF(defects!$AC:$AC,Monthly_Pmod!$B15&amp;Monthly_Pmod!$B$3&amp;$B$2&amp;Monthly_Pmod!X$3&amp;$B$1)</f>
        <v>2</v>
      </c>
      <c r="Y15" s="12">
        <f>COUNTIF(defects!$AC:$AC,Monthly_Pmod!$B15&amp;Monthly_Pmod!$B$3&amp;$B$2&amp;Monthly_Pmod!Y$3&amp;$B$1)</f>
        <v>0</v>
      </c>
      <c r="Z15" s="12">
        <f>COUNTIF(defects!$AC:$AC,Monthly_Pmod!$B15&amp;Monthly_Pmod!$B$3&amp;$B$2&amp;Monthly_Pmod!Z$3&amp;$B$1)</f>
        <v>0</v>
      </c>
      <c r="AA15" s="12">
        <f>COUNTIF(defects!$AC:$AC,Monthly_Pmod!$B15&amp;Monthly_Pmod!$B$3&amp;$B$2&amp;Monthly_Pmod!AA$3&amp;$B$1)</f>
        <v>0</v>
      </c>
      <c r="AB15" s="12">
        <f>COUNTIF(defects!$AC:$AC,Monthly_Pmod!$B15&amp;Monthly_Pmod!$B$3&amp;$B$2&amp;Monthly_Pmod!AB$3&amp;$B$1)</f>
        <v>1</v>
      </c>
      <c r="AC15" s="12">
        <f>COUNTIF(defects!$AC:$AC,Monthly_Pmod!$B15&amp;Monthly_Pmod!$B$3&amp;$B$2&amp;Monthly_Pmod!AC$3&amp;$B$1)</f>
        <v>0</v>
      </c>
      <c r="AD15" s="12">
        <f>COUNTIF(defects!$AC:$AC,Monthly_Pmod!$B15&amp;Monthly_Pmod!$B$3&amp;$B$2&amp;Monthly_Pmod!AD$3&amp;$B$1)</f>
        <v>0</v>
      </c>
      <c r="AE15" s="12">
        <f>COUNTIF(defects!$AC:$AC,Monthly_Pmod!$B15&amp;Monthly_Pmod!$B$3&amp;$B$2&amp;Monthly_Pmod!AE$3&amp;$B$1)</f>
        <v>0</v>
      </c>
      <c r="AF15" s="12">
        <f>COUNTIF(defects!$AC:$AC,Monthly_Pmod!$B15&amp;Monthly_Pmod!$B$3&amp;$B$2&amp;Monthly_Pmod!AF$3&amp;$B$1)</f>
        <v>0</v>
      </c>
      <c r="AG15" s="12">
        <f>COUNTIF(defects!$AC:$AC,Monthly_Pmod!$B15&amp;Monthly_Pmod!$B$3&amp;$B$2&amp;Monthly_Pmod!AG$3&amp;$B$1)</f>
        <v>0</v>
      </c>
      <c r="AH15" s="12">
        <f>COUNTIF(defects!$AC:$AC,Monthly_Pmod!$B15&amp;Monthly_Pmod!$B$3&amp;$B$2&amp;Monthly_Pmod!AH$3&amp;$B$1)</f>
        <v>0</v>
      </c>
      <c r="AI15" s="12">
        <f>COUNTIF(defects!$AC:$AC,Monthly_Pmod!$B15&amp;Monthly_Pmod!$B$3&amp;$B$2&amp;Monthly_Pmod!AI$3&amp;$B$1)</f>
        <v>0</v>
      </c>
      <c r="AJ15" s="12">
        <f>COUNTIF(defects!$AC:$AC,Monthly_Pmod!$B15&amp;Monthly_Pmod!$B$3&amp;$B$2&amp;Monthly_Pmod!AJ$3&amp;$B$1)</f>
        <v>0</v>
      </c>
      <c r="AK15" s="12">
        <f>COUNTIF(defects!$AC:$AC,Monthly_Pmod!$B15&amp;Monthly_Pmod!$B$3&amp;$B$2&amp;Monthly_Pmod!AK$3&amp;$B$1)</f>
        <v>0</v>
      </c>
      <c r="AL15" s="12">
        <f>COUNTIF(defects!$AC:$AC,Monthly_Pmod!$B15&amp;Monthly_Pmod!$B$3&amp;$B$2&amp;Monthly_Pmod!AL$3&amp;$B$1)</f>
        <v>0</v>
      </c>
      <c r="AM15" s="12">
        <f>COUNTIF(defects!$AC:$AC,Monthly_Pmod!$B15&amp;Monthly_Pmod!$B$3&amp;$B$2&amp;Monthly_Pmod!AM$3&amp;$B$1)</f>
        <v>0</v>
      </c>
      <c r="AN15" s="12">
        <f>COUNTIF(defects!$AC:$AC,Monthly_Pmod!$B15&amp;Monthly_Pmod!$B$3&amp;$B$2&amp;Monthly_Pmod!AN$3&amp;$B$1)</f>
        <v>0</v>
      </c>
      <c r="AO15" s="12">
        <f>COUNTIF(defects!$AC:$AC,Monthly_Pmod!$B15&amp;Monthly_Pmod!$B$3&amp;$B$2&amp;Monthly_Pmod!AO$3&amp;$B$1)</f>
        <v>0</v>
      </c>
      <c r="AP15" s="12">
        <f>COUNTIF(defects!$AC:$AC,Monthly_Pmod!$B15&amp;Monthly_Pmod!$B$3&amp;$B$2&amp;Monthly_Pmod!AP$3&amp;$B$1)</f>
        <v>0</v>
      </c>
      <c r="AQ15" s="12"/>
      <c r="AR15" s="12">
        <f>HLOOKUP(AR$3,Weekly_Pmod!$3:$24,MATCH($B15,Weekly_Pmod!$B$3:$B$24,0),0)</f>
        <v>0</v>
      </c>
      <c r="AS15" s="12">
        <f>HLOOKUP(AS$3,Weekly_Pmod!$3:$24,MATCH($B15,Weekly_Pmod!$B$3:$B$24,0),0)</f>
        <v>0</v>
      </c>
      <c r="AT15" s="12">
        <f>HLOOKUP(AT$3,Weekly_Pmod!$3:$24,MATCH($B15,Weekly_Pmod!$B$3:$B$24,0),0)</f>
        <v>0</v>
      </c>
      <c r="AU15" s="12"/>
      <c r="AV15" s="12">
        <f t="shared" si="2"/>
        <v>3</v>
      </c>
    </row>
    <row r="16" spans="2:48">
      <c r="B16" s="12" t="s">
        <v>28</v>
      </c>
      <c r="C16" s="12">
        <f t="shared" si="0"/>
        <v>3</v>
      </c>
      <c r="D16" s="12">
        <f t="shared" si="0"/>
        <v>0</v>
      </c>
      <c r="E16" s="12"/>
      <c r="F16" s="12">
        <f>COUNTIF(defects!$AC:$AC,Monthly_Pmod!$B16&amp;Monthly_Pmod!$B$3&amp;$B$2&amp;Monthly_Pmod!F$3&amp;$B$1)</f>
        <v>0</v>
      </c>
      <c r="G16" s="12">
        <f>COUNTIF(defects!$AC:$AC,Monthly_Pmod!$B16&amp;Monthly_Pmod!$B$3&amp;$B$2&amp;Monthly_Pmod!G$3&amp;$B$1)</f>
        <v>0</v>
      </c>
      <c r="H16" s="12">
        <f>COUNTIF(defects!$AC:$AC,Monthly_Pmod!$B16&amp;Monthly_Pmod!$B$3&amp;$B$2&amp;Monthly_Pmod!H$3&amp;$B$1)</f>
        <v>0</v>
      </c>
      <c r="I16" s="12">
        <f>COUNTIF(defects!$AC:$AC,Monthly_Pmod!$B16&amp;Monthly_Pmod!$B$3&amp;$B$2&amp;Monthly_Pmod!I$3&amp;$B$1)</f>
        <v>0</v>
      </c>
      <c r="J16" s="12">
        <f>COUNTIF(defects!$AC:$AC,Monthly_Pmod!$B16&amp;Monthly_Pmod!$B$3&amp;$B$2&amp;Monthly_Pmod!J$3&amp;$B$1)</f>
        <v>0</v>
      </c>
      <c r="K16" s="12">
        <f>COUNTIF(defects!$AC:$AC,Monthly_Pmod!$B16&amp;Monthly_Pmod!$B$3&amp;$B$2&amp;Monthly_Pmod!K$3&amp;$B$1)</f>
        <v>0</v>
      </c>
      <c r="L16" s="12">
        <f>COUNTIF(defects!$AC:$AC,Monthly_Pmod!$B16&amp;Monthly_Pmod!$B$3&amp;$B$2&amp;Monthly_Pmod!L$3&amp;$B$1)</f>
        <v>0</v>
      </c>
      <c r="M16" s="12">
        <f>COUNTIF(defects!$AC:$AC,Monthly_Pmod!$B16&amp;Monthly_Pmod!$B$3&amp;$B$2&amp;Monthly_Pmod!M$3&amp;$B$1)</f>
        <v>0</v>
      </c>
      <c r="N16" s="12">
        <f>COUNTIF(defects!$AC:$AC,Monthly_Pmod!$B16&amp;Monthly_Pmod!$B$3&amp;$B$2&amp;Monthly_Pmod!N$3&amp;$B$1)</f>
        <v>0</v>
      </c>
      <c r="O16" s="12">
        <f>COUNTIF(defects!$AC:$AC,Monthly_Pmod!$B16&amp;Monthly_Pmod!$B$3&amp;$B$2&amp;Monthly_Pmod!O$3&amp;$B$1)</f>
        <v>0</v>
      </c>
      <c r="P16" s="12">
        <f>COUNTIF(defects!$AC:$AC,Monthly_Pmod!$B16&amp;Monthly_Pmod!$B$3&amp;$B$2&amp;Monthly_Pmod!P$3&amp;$B$1)</f>
        <v>0</v>
      </c>
      <c r="Q16" s="12">
        <f>COUNTIF(defects!$AC:$AC,Monthly_Pmod!$B16&amp;Monthly_Pmod!$B$3&amp;$B$2&amp;Monthly_Pmod!Q$3&amp;$B$1)</f>
        <v>0</v>
      </c>
      <c r="R16" s="12">
        <f>COUNTIF(defects!$AC:$AC,Monthly_Pmod!$B16&amp;Monthly_Pmod!$B$3&amp;$B$2&amp;Monthly_Pmod!R$3&amp;$B$1)</f>
        <v>0</v>
      </c>
      <c r="S16" s="12">
        <f>COUNTIF(defects!$AC:$AC,Monthly_Pmod!$B16&amp;Monthly_Pmod!$B$3&amp;$B$2&amp;Monthly_Pmod!S$3&amp;$B$1)</f>
        <v>0</v>
      </c>
      <c r="T16" s="12">
        <f>COUNTIF(defects!$AC:$AC,Monthly_Pmod!$B16&amp;Monthly_Pmod!$B$3&amp;$B$2&amp;Monthly_Pmod!T$3&amp;$B$1)</f>
        <v>0</v>
      </c>
      <c r="U16" s="12">
        <f>COUNTIF(defects!$AC:$AC,Monthly_Pmod!$B16&amp;Monthly_Pmod!$B$3&amp;$B$2&amp;Monthly_Pmod!U$3&amp;$B$1)</f>
        <v>0</v>
      </c>
      <c r="V16" s="12">
        <f>COUNTIF(defects!$AC:$AC,Monthly_Pmod!$B16&amp;Monthly_Pmod!$B$3&amp;$B$2&amp;Monthly_Pmod!V$3&amp;$B$1)</f>
        <v>0</v>
      </c>
      <c r="W16" s="12">
        <f>COUNTIF(defects!$AC:$AC,Monthly_Pmod!$B16&amp;Monthly_Pmod!$B$3&amp;$B$2&amp;Monthly_Pmod!W$3&amp;$B$1)</f>
        <v>1</v>
      </c>
      <c r="X16" s="12">
        <f>COUNTIF(defects!$AC:$AC,Monthly_Pmod!$B16&amp;Monthly_Pmod!$B$3&amp;$B$2&amp;Monthly_Pmod!X$3&amp;$B$1)</f>
        <v>0</v>
      </c>
      <c r="Y16" s="12">
        <f>COUNTIF(defects!$AC:$AC,Monthly_Pmod!$B16&amp;Monthly_Pmod!$B$3&amp;$B$2&amp;Monthly_Pmod!Y$3&amp;$B$1)</f>
        <v>2</v>
      </c>
      <c r="Z16" s="12">
        <f>COUNTIF(defects!$AC:$AC,Monthly_Pmod!$B16&amp;Monthly_Pmod!$B$3&amp;$B$2&amp;Monthly_Pmod!Z$3&amp;$B$1)</f>
        <v>0</v>
      </c>
      <c r="AA16" s="12">
        <f>COUNTIF(defects!$AC:$AC,Monthly_Pmod!$B16&amp;Monthly_Pmod!$B$3&amp;$B$2&amp;Monthly_Pmod!AA$3&amp;$B$1)</f>
        <v>0</v>
      </c>
      <c r="AB16" s="12">
        <f>COUNTIF(defects!$AC:$AC,Monthly_Pmod!$B16&amp;Monthly_Pmod!$B$3&amp;$B$2&amp;Monthly_Pmod!AB$3&amp;$B$1)</f>
        <v>0</v>
      </c>
      <c r="AC16" s="12">
        <f>COUNTIF(defects!$AC:$AC,Monthly_Pmod!$B16&amp;Monthly_Pmod!$B$3&amp;$B$2&amp;Monthly_Pmod!AC$3&amp;$B$1)</f>
        <v>0</v>
      </c>
      <c r="AD16" s="12">
        <f>COUNTIF(defects!$AC:$AC,Monthly_Pmod!$B16&amp;Monthly_Pmod!$B$3&amp;$B$2&amp;Monthly_Pmod!AD$3&amp;$B$1)</f>
        <v>0</v>
      </c>
      <c r="AE16" s="12">
        <f>COUNTIF(defects!$AC:$AC,Monthly_Pmod!$B16&amp;Monthly_Pmod!$B$3&amp;$B$2&amp;Monthly_Pmod!AE$3&amp;$B$1)</f>
        <v>0</v>
      </c>
      <c r="AF16" s="12">
        <f>COUNTIF(defects!$AC:$AC,Monthly_Pmod!$B16&amp;Monthly_Pmod!$B$3&amp;$B$2&amp;Monthly_Pmod!AF$3&amp;$B$1)</f>
        <v>0</v>
      </c>
      <c r="AG16" s="12">
        <f>COUNTIF(defects!$AC:$AC,Monthly_Pmod!$B16&amp;Monthly_Pmod!$B$3&amp;$B$2&amp;Monthly_Pmod!AG$3&amp;$B$1)</f>
        <v>0</v>
      </c>
      <c r="AH16" s="12">
        <f>COUNTIF(defects!$AC:$AC,Monthly_Pmod!$B16&amp;Monthly_Pmod!$B$3&amp;$B$2&amp;Monthly_Pmod!AH$3&amp;$B$1)</f>
        <v>0</v>
      </c>
      <c r="AI16" s="12">
        <f>COUNTIF(defects!$AC:$AC,Monthly_Pmod!$B16&amp;Monthly_Pmod!$B$3&amp;$B$2&amp;Monthly_Pmod!AI$3&amp;$B$1)</f>
        <v>0</v>
      </c>
      <c r="AJ16" s="12">
        <f>COUNTIF(defects!$AC:$AC,Monthly_Pmod!$B16&amp;Monthly_Pmod!$B$3&amp;$B$2&amp;Monthly_Pmod!AJ$3&amp;$B$1)</f>
        <v>0</v>
      </c>
      <c r="AK16" s="12">
        <f>COUNTIF(defects!$AC:$AC,Monthly_Pmod!$B16&amp;Monthly_Pmod!$B$3&amp;$B$2&amp;Monthly_Pmod!AK$3&amp;$B$1)</f>
        <v>0</v>
      </c>
      <c r="AL16" s="12">
        <f>COUNTIF(defects!$AC:$AC,Monthly_Pmod!$B16&amp;Monthly_Pmod!$B$3&amp;$B$2&amp;Monthly_Pmod!AL$3&amp;$B$1)</f>
        <v>0</v>
      </c>
      <c r="AM16" s="12">
        <f>COUNTIF(defects!$AC:$AC,Monthly_Pmod!$B16&amp;Monthly_Pmod!$B$3&amp;$B$2&amp;Monthly_Pmod!AM$3&amp;$B$1)</f>
        <v>0</v>
      </c>
      <c r="AN16" s="12">
        <f>COUNTIF(defects!$AC:$AC,Monthly_Pmod!$B16&amp;Monthly_Pmod!$B$3&amp;$B$2&amp;Monthly_Pmod!AN$3&amp;$B$1)</f>
        <v>0</v>
      </c>
      <c r="AO16" s="12">
        <f>COUNTIF(defects!$AC:$AC,Monthly_Pmod!$B16&amp;Monthly_Pmod!$B$3&amp;$B$2&amp;Monthly_Pmod!AO$3&amp;$B$1)</f>
        <v>0</v>
      </c>
      <c r="AP16" s="12">
        <f>COUNTIF(defects!$AC:$AC,Monthly_Pmod!$B16&amp;Monthly_Pmod!$B$3&amp;$B$2&amp;Monthly_Pmod!AP$3&amp;$B$1)</f>
        <v>0</v>
      </c>
      <c r="AQ16" s="12"/>
      <c r="AR16" s="12">
        <f>HLOOKUP(AR$3,Weekly_Pmod!$3:$24,MATCH($B16,Weekly_Pmod!$B$3:$B$24,0),0)</f>
        <v>0</v>
      </c>
      <c r="AS16" s="12">
        <f>HLOOKUP(AS$3,Weekly_Pmod!$3:$24,MATCH($B16,Weekly_Pmod!$B$3:$B$24,0),0)</f>
        <v>0</v>
      </c>
      <c r="AT16" s="12">
        <f>HLOOKUP(AT$3,Weekly_Pmod!$3:$24,MATCH($B16,Weekly_Pmod!$B$3:$B$24,0),0)</f>
        <v>0</v>
      </c>
      <c r="AU16" s="12"/>
      <c r="AV16" s="12">
        <f t="shared" si="2"/>
        <v>3</v>
      </c>
    </row>
    <row r="17" spans="2:48">
      <c r="B17" s="12" t="s">
        <v>994</v>
      </c>
      <c r="C17" s="12">
        <f t="shared" si="0"/>
        <v>0</v>
      </c>
      <c r="D17" s="12">
        <f t="shared" si="0"/>
        <v>0</v>
      </c>
      <c r="E17" s="12"/>
      <c r="F17" s="12">
        <f>COUNTIF(defects!$AC:$AC,Monthly_Pmod!$B17&amp;Monthly_Pmod!$B$3&amp;$B$2&amp;Monthly_Pmod!F$3&amp;$B$1)</f>
        <v>0</v>
      </c>
      <c r="G17" s="12">
        <f>COUNTIF(defects!$AC:$AC,Monthly_Pmod!$B17&amp;Monthly_Pmod!$B$3&amp;$B$2&amp;Monthly_Pmod!G$3&amp;$B$1)</f>
        <v>0</v>
      </c>
      <c r="H17" s="12">
        <f>COUNTIF(defects!$AC:$AC,Monthly_Pmod!$B17&amp;Monthly_Pmod!$B$3&amp;$B$2&amp;Monthly_Pmod!H$3&amp;$B$1)</f>
        <v>0</v>
      </c>
      <c r="I17" s="12">
        <f>COUNTIF(defects!$AC:$AC,Monthly_Pmod!$B17&amp;Monthly_Pmod!$B$3&amp;$B$2&amp;Monthly_Pmod!I$3&amp;$B$1)</f>
        <v>0</v>
      </c>
      <c r="J17" s="12">
        <f>COUNTIF(defects!$AC:$AC,Monthly_Pmod!$B17&amp;Monthly_Pmod!$B$3&amp;$B$2&amp;Monthly_Pmod!J$3&amp;$B$1)</f>
        <v>0</v>
      </c>
      <c r="K17" s="12">
        <f>COUNTIF(defects!$AC:$AC,Monthly_Pmod!$B17&amp;Monthly_Pmod!$B$3&amp;$B$2&amp;Monthly_Pmod!K$3&amp;$B$1)</f>
        <v>0</v>
      </c>
      <c r="L17" s="12">
        <f>COUNTIF(defects!$AC:$AC,Monthly_Pmod!$B17&amp;Monthly_Pmod!$B$3&amp;$B$2&amp;Monthly_Pmod!L$3&amp;$B$1)</f>
        <v>0</v>
      </c>
      <c r="M17" s="12">
        <f>COUNTIF(defects!$AC:$AC,Monthly_Pmod!$B17&amp;Monthly_Pmod!$B$3&amp;$B$2&amp;Monthly_Pmod!M$3&amp;$B$1)</f>
        <v>0</v>
      </c>
      <c r="N17" s="12">
        <f>COUNTIF(defects!$AC:$AC,Monthly_Pmod!$B17&amp;Monthly_Pmod!$B$3&amp;$B$2&amp;Monthly_Pmod!N$3&amp;$B$1)</f>
        <v>0</v>
      </c>
      <c r="O17" s="12">
        <f>COUNTIF(defects!$AC:$AC,Monthly_Pmod!$B17&amp;Monthly_Pmod!$B$3&amp;$B$2&amp;Monthly_Pmod!O$3&amp;$B$1)</f>
        <v>0</v>
      </c>
      <c r="P17" s="12">
        <f>COUNTIF(defects!$AC:$AC,Monthly_Pmod!$B17&amp;Monthly_Pmod!$B$3&amp;$B$2&amp;Monthly_Pmod!P$3&amp;$B$1)</f>
        <v>0</v>
      </c>
      <c r="Q17" s="12">
        <f>COUNTIF(defects!$AC:$AC,Monthly_Pmod!$B17&amp;Monthly_Pmod!$B$3&amp;$B$2&amp;Monthly_Pmod!Q$3&amp;$B$1)</f>
        <v>0</v>
      </c>
      <c r="R17" s="12">
        <f>COUNTIF(defects!$AC:$AC,Monthly_Pmod!$B17&amp;Monthly_Pmod!$B$3&amp;$B$2&amp;Monthly_Pmod!R$3&amp;$B$1)</f>
        <v>0</v>
      </c>
      <c r="S17" s="12">
        <f>COUNTIF(defects!$AC:$AC,Monthly_Pmod!$B17&amp;Monthly_Pmod!$B$3&amp;$B$2&amp;Monthly_Pmod!S$3&amp;$B$1)</f>
        <v>0</v>
      </c>
      <c r="T17" s="12">
        <f>COUNTIF(defects!$AC:$AC,Monthly_Pmod!$B17&amp;Monthly_Pmod!$B$3&amp;$B$2&amp;Monthly_Pmod!T$3&amp;$B$1)</f>
        <v>0</v>
      </c>
      <c r="U17" s="12">
        <f>COUNTIF(defects!$AC:$AC,Monthly_Pmod!$B17&amp;Monthly_Pmod!$B$3&amp;$B$2&amp;Monthly_Pmod!U$3&amp;$B$1)</f>
        <v>0</v>
      </c>
      <c r="V17" s="12">
        <f>COUNTIF(defects!$AC:$AC,Monthly_Pmod!$B17&amp;Monthly_Pmod!$B$3&amp;$B$2&amp;Monthly_Pmod!V$3&amp;$B$1)</f>
        <v>0</v>
      </c>
      <c r="W17" s="12">
        <f>COUNTIF(defects!$AC:$AC,Monthly_Pmod!$B17&amp;Monthly_Pmod!$B$3&amp;$B$2&amp;Monthly_Pmod!W$3&amp;$B$1)</f>
        <v>0</v>
      </c>
      <c r="X17" s="12">
        <f>COUNTIF(defects!$AC:$AC,Monthly_Pmod!$B17&amp;Monthly_Pmod!$B$3&amp;$B$2&amp;Monthly_Pmod!X$3&amp;$B$1)</f>
        <v>0</v>
      </c>
      <c r="Y17" s="12">
        <f>COUNTIF(defects!$AC:$AC,Monthly_Pmod!$B17&amp;Monthly_Pmod!$B$3&amp;$B$2&amp;Monthly_Pmod!Y$3&amp;$B$1)</f>
        <v>0</v>
      </c>
      <c r="Z17" s="12">
        <f>COUNTIF(defects!$AC:$AC,Monthly_Pmod!$B17&amp;Monthly_Pmod!$B$3&amp;$B$2&amp;Monthly_Pmod!Z$3&amp;$B$1)</f>
        <v>0</v>
      </c>
      <c r="AA17" s="12">
        <f>COUNTIF(defects!$AC:$AC,Monthly_Pmod!$B17&amp;Monthly_Pmod!$B$3&amp;$B$2&amp;Monthly_Pmod!AA$3&amp;$B$1)</f>
        <v>0</v>
      </c>
      <c r="AB17" s="12">
        <f>COUNTIF(defects!$AC:$AC,Monthly_Pmod!$B17&amp;Monthly_Pmod!$B$3&amp;$B$2&amp;Monthly_Pmod!AB$3&amp;$B$1)</f>
        <v>0</v>
      </c>
      <c r="AC17" s="12">
        <f>COUNTIF(defects!$AC:$AC,Monthly_Pmod!$B17&amp;Monthly_Pmod!$B$3&amp;$B$2&amp;Monthly_Pmod!AC$3&amp;$B$1)</f>
        <v>0</v>
      </c>
      <c r="AD17" s="12">
        <f>COUNTIF(defects!$AC:$AC,Monthly_Pmod!$B17&amp;Monthly_Pmod!$B$3&amp;$B$2&amp;Monthly_Pmod!AD$3&amp;$B$1)</f>
        <v>0</v>
      </c>
      <c r="AE17" s="12">
        <f>COUNTIF(defects!$AC:$AC,Monthly_Pmod!$B17&amp;Monthly_Pmod!$B$3&amp;$B$2&amp;Monthly_Pmod!AE$3&amp;$B$1)</f>
        <v>0</v>
      </c>
      <c r="AF17" s="12">
        <f>COUNTIF(defects!$AC:$AC,Monthly_Pmod!$B17&amp;Monthly_Pmod!$B$3&amp;$B$2&amp;Monthly_Pmod!AF$3&amp;$B$1)</f>
        <v>0</v>
      </c>
      <c r="AG17" s="12">
        <f>COUNTIF(defects!$AC:$AC,Monthly_Pmod!$B17&amp;Monthly_Pmod!$B$3&amp;$B$2&amp;Monthly_Pmod!AG$3&amp;$B$1)</f>
        <v>0</v>
      </c>
      <c r="AH17" s="12">
        <f>COUNTIF(defects!$AC:$AC,Monthly_Pmod!$B17&amp;Monthly_Pmod!$B$3&amp;$B$2&amp;Monthly_Pmod!AH$3&amp;$B$1)</f>
        <v>0</v>
      </c>
      <c r="AI17" s="12">
        <f>COUNTIF(defects!$AC:$AC,Monthly_Pmod!$B17&amp;Monthly_Pmod!$B$3&amp;$B$2&amp;Monthly_Pmod!AI$3&amp;$B$1)</f>
        <v>0</v>
      </c>
      <c r="AJ17" s="12">
        <f>COUNTIF(defects!$AC:$AC,Monthly_Pmod!$B17&amp;Monthly_Pmod!$B$3&amp;$B$2&amp;Monthly_Pmod!AJ$3&amp;$B$1)</f>
        <v>0</v>
      </c>
      <c r="AK17" s="12">
        <f>COUNTIF(defects!$AC:$AC,Monthly_Pmod!$B17&amp;Monthly_Pmod!$B$3&amp;$B$2&amp;Monthly_Pmod!AK$3&amp;$B$1)</f>
        <v>0</v>
      </c>
      <c r="AL17" s="12">
        <f>COUNTIF(defects!$AC:$AC,Monthly_Pmod!$B17&amp;Monthly_Pmod!$B$3&amp;$B$2&amp;Monthly_Pmod!AL$3&amp;$B$1)</f>
        <v>0</v>
      </c>
      <c r="AM17" s="12">
        <f>COUNTIF(defects!$AC:$AC,Monthly_Pmod!$B17&amp;Monthly_Pmod!$B$3&amp;$B$2&amp;Monthly_Pmod!AM$3&amp;$B$1)</f>
        <v>0</v>
      </c>
      <c r="AN17" s="12">
        <f>COUNTIF(defects!$AC:$AC,Monthly_Pmod!$B17&amp;Monthly_Pmod!$B$3&amp;$B$2&amp;Monthly_Pmod!AN$3&amp;$B$1)</f>
        <v>0</v>
      </c>
      <c r="AO17" s="12">
        <f>COUNTIF(defects!$AC:$AC,Monthly_Pmod!$B17&amp;Monthly_Pmod!$B$3&amp;$B$2&amp;Monthly_Pmod!AO$3&amp;$B$1)</f>
        <v>0</v>
      </c>
      <c r="AP17" s="12">
        <f>COUNTIF(defects!$AC:$AC,Monthly_Pmod!$B17&amp;Monthly_Pmod!$B$3&amp;$B$2&amp;Monthly_Pmod!AP$3&amp;$B$1)</f>
        <v>0</v>
      </c>
      <c r="AQ17" s="12"/>
      <c r="AR17" s="12">
        <f>HLOOKUP(AR$3,Weekly_Pmod!$3:$24,MATCH($B17,Weekly_Pmod!$B$3:$B$24,0),0)</f>
        <v>0</v>
      </c>
      <c r="AS17" s="12">
        <f>HLOOKUP(AS$3,Weekly_Pmod!$3:$24,MATCH($B17,Weekly_Pmod!$B$3:$B$24,0),0)</f>
        <v>0</v>
      </c>
      <c r="AT17" s="12">
        <f>HLOOKUP(AT$3,Weekly_Pmod!$3:$24,MATCH($B17,Weekly_Pmod!$B$3:$B$24,0),0)</f>
        <v>0</v>
      </c>
      <c r="AU17" s="12"/>
      <c r="AV17" s="12">
        <f t="shared" si="2"/>
        <v>0</v>
      </c>
    </row>
    <row r="18" spans="2:48">
      <c r="B18" s="12" t="s">
        <v>891</v>
      </c>
      <c r="C18" s="12">
        <f t="shared" si="0"/>
        <v>1</v>
      </c>
      <c r="D18" s="12">
        <f t="shared" si="0"/>
        <v>0</v>
      </c>
      <c r="E18" s="12"/>
      <c r="F18" s="12">
        <f>COUNTIF(defects!$AC:$AC,Monthly_Pmod!$B18&amp;Monthly_Pmod!$B$3&amp;$B$2&amp;Monthly_Pmod!F$3&amp;$B$1)</f>
        <v>0</v>
      </c>
      <c r="G18" s="12">
        <f>COUNTIF(defects!$AC:$AC,Monthly_Pmod!$B18&amp;Monthly_Pmod!$B$3&amp;$B$2&amp;Monthly_Pmod!G$3&amp;$B$1)</f>
        <v>0</v>
      </c>
      <c r="H18" s="12">
        <f>COUNTIF(defects!$AC:$AC,Monthly_Pmod!$B18&amp;Monthly_Pmod!$B$3&amp;$B$2&amp;Monthly_Pmod!H$3&amp;$B$1)</f>
        <v>0</v>
      </c>
      <c r="I18" s="12">
        <f>COUNTIF(defects!$AC:$AC,Monthly_Pmod!$B18&amp;Monthly_Pmod!$B$3&amp;$B$2&amp;Monthly_Pmod!I$3&amp;$B$1)</f>
        <v>0</v>
      </c>
      <c r="J18" s="12">
        <f>COUNTIF(defects!$AC:$AC,Monthly_Pmod!$B18&amp;Monthly_Pmod!$B$3&amp;$B$2&amp;Monthly_Pmod!J$3&amp;$B$1)</f>
        <v>0</v>
      </c>
      <c r="K18" s="12">
        <f>COUNTIF(defects!$AC:$AC,Monthly_Pmod!$B18&amp;Monthly_Pmod!$B$3&amp;$B$2&amp;Monthly_Pmod!K$3&amp;$B$1)</f>
        <v>0</v>
      </c>
      <c r="L18" s="12">
        <f>COUNTIF(defects!$AC:$AC,Monthly_Pmod!$B18&amp;Monthly_Pmod!$B$3&amp;$B$2&amp;Monthly_Pmod!L$3&amp;$B$1)</f>
        <v>0</v>
      </c>
      <c r="M18" s="12">
        <f>COUNTIF(defects!$AC:$AC,Monthly_Pmod!$B18&amp;Monthly_Pmod!$B$3&amp;$B$2&amp;Monthly_Pmod!M$3&amp;$B$1)</f>
        <v>0</v>
      </c>
      <c r="N18" s="12">
        <f>COUNTIF(defects!$AC:$AC,Monthly_Pmod!$B18&amp;Monthly_Pmod!$B$3&amp;$B$2&amp;Monthly_Pmod!N$3&amp;$B$1)</f>
        <v>0</v>
      </c>
      <c r="O18" s="12">
        <f>COUNTIF(defects!$AC:$AC,Monthly_Pmod!$B18&amp;Monthly_Pmod!$B$3&amp;$B$2&amp;Monthly_Pmod!O$3&amp;$B$1)</f>
        <v>0</v>
      </c>
      <c r="P18" s="12">
        <f>COUNTIF(defects!$AC:$AC,Monthly_Pmod!$B18&amp;Monthly_Pmod!$B$3&amp;$B$2&amp;Monthly_Pmod!P$3&amp;$B$1)</f>
        <v>0</v>
      </c>
      <c r="Q18" s="12">
        <f>COUNTIF(defects!$AC:$AC,Monthly_Pmod!$B18&amp;Monthly_Pmod!$B$3&amp;$B$2&amp;Monthly_Pmod!Q$3&amp;$B$1)</f>
        <v>0</v>
      </c>
      <c r="R18" s="12">
        <f>COUNTIF(defects!$AC:$AC,Monthly_Pmod!$B18&amp;Monthly_Pmod!$B$3&amp;$B$2&amp;Monthly_Pmod!R$3&amp;$B$1)</f>
        <v>0</v>
      </c>
      <c r="S18" s="12">
        <f>COUNTIF(defects!$AC:$AC,Monthly_Pmod!$B18&amp;Monthly_Pmod!$B$3&amp;$B$2&amp;Monthly_Pmod!S$3&amp;$B$1)</f>
        <v>0</v>
      </c>
      <c r="T18" s="12">
        <f>COUNTIF(defects!$AC:$AC,Monthly_Pmod!$B18&amp;Monthly_Pmod!$B$3&amp;$B$2&amp;Monthly_Pmod!T$3&amp;$B$1)</f>
        <v>0</v>
      </c>
      <c r="U18" s="12">
        <f>COUNTIF(defects!$AC:$AC,Monthly_Pmod!$B18&amp;Monthly_Pmod!$B$3&amp;$B$2&amp;Monthly_Pmod!U$3&amp;$B$1)</f>
        <v>0</v>
      </c>
      <c r="V18" s="12">
        <f>COUNTIF(defects!$AC:$AC,Monthly_Pmod!$B18&amp;Monthly_Pmod!$B$3&amp;$B$2&amp;Monthly_Pmod!V$3&amp;$B$1)</f>
        <v>0</v>
      </c>
      <c r="W18" s="12">
        <f>COUNTIF(defects!$AC:$AC,Monthly_Pmod!$B18&amp;Monthly_Pmod!$B$3&amp;$B$2&amp;Monthly_Pmod!W$3&amp;$B$1)</f>
        <v>0</v>
      </c>
      <c r="X18" s="12">
        <f>COUNTIF(defects!$AC:$AC,Monthly_Pmod!$B18&amp;Monthly_Pmod!$B$3&amp;$B$2&amp;Monthly_Pmod!X$3&amp;$B$1)</f>
        <v>0</v>
      </c>
      <c r="Y18" s="12">
        <f>COUNTIF(defects!$AC:$AC,Monthly_Pmod!$B18&amp;Monthly_Pmod!$B$3&amp;$B$2&amp;Monthly_Pmod!Y$3&amp;$B$1)</f>
        <v>0</v>
      </c>
      <c r="Z18" s="12">
        <f>COUNTIF(defects!$AC:$AC,Monthly_Pmod!$B18&amp;Monthly_Pmod!$B$3&amp;$B$2&amp;Monthly_Pmod!Z$3&amp;$B$1)</f>
        <v>0</v>
      </c>
      <c r="AA18" s="12">
        <f>COUNTIF(defects!$AC:$AC,Monthly_Pmod!$B18&amp;Monthly_Pmod!$B$3&amp;$B$2&amp;Monthly_Pmod!AA$3&amp;$B$1)</f>
        <v>1</v>
      </c>
      <c r="AB18" s="12">
        <f>COUNTIF(defects!$AC:$AC,Monthly_Pmod!$B18&amp;Monthly_Pmod!$B$3&amp;$B$2&amp;Monthly_Pmod!AB$3&amp;$B$1)</f>
        <v>0</v>
      </c>
      <c r="AC18" s="12">
        <f>COUNTIF(defects!$AC:$AC,Monthly_Pmod!$B18&amp;Monthly_Pmod!$B$3&amp;$B$2&amp;Monthly_Pmod!AC$3&amp;$B$1)</f>
        <v>0</v>
      </c>
      <c r="AD18" s="12">
        <f>COUNTIF(defects!$AC:$AC,Monthly_Pmod!$B18&amp;Monthly_Pmod!$B$3&amp;$B$2&amp;Monthly_Pmod!AD$3&amp;$B$1)</f>
        <v>0</v>
      </c>
      <c r="AE18" s="12">
        <f>COUNTIF(defects!$AC:$AC,Monthly_Pmod!$B18&amp;Monthly_Pmod!$B$3&amp;$B$2&amp;Monthly_Pmod!AE$3&amp;$B$1)</f>
        <v>0</v>
      </c>
      <c r="AF18" s="12">
        <f>COUNTIF(defects!$AC:$AC,Monthly_Pmod!$B18&amp;Monthly_Pmod!$B$3&amp;$B$2&amp;Monthly_Pmod!AF$3&amp;$B$1)</f>
        <v>0</v>
      </c>
      <c r="AG18" s="12">
        <f>COUNTIF(defects!$AC:$AC,Monthly_Pmod!$B18&amp;Monthly_Pmod!$B$3&amp;$B$2&amp;Monthly_Pmod!AG$3&amp;$B$1)</f>
        <v>0</v>
      </c>
      <c r="AH18" s="12">
        <f>COUNTIF(defects!$AC:$AC,Monthly_Pmod!$B18&amp;Monthly_Pmod!$B$3&amp;$B$2&amp;Monthly_Pmod!AH$3&amp;$B$1)</f>
        <v>0</v>
      </c>
      <c r="AI18" s="12">
        <f>COUNTIF(defects!$AC:$AC,Monthly_Pmod!$B18&amp;Monthly_Pmod!$B$3&amp;$B$2&amp;Monthly_Pmod!AI$3&amp;$B$1)</f>
        <v>0</v>
      </c>
      <c r="AJ18" s="12">
        <f>COUNTIF(defects!$AC:$AC,Monthly_Pmod!$B18&amp;Monthly_Pmod!$B$3&amp;$B$2&amp;Monthly_Pmod!AJ$3&amp;$B$1)</f>
        <v>0</v>
      </c>
      <c r="AK18" s="12">
        <f>COUNTIF(defects!$AC:$AC,Monthly_Pmod!$B18&amp;Monthly_Pmod!$B$3&amp;$B$2&amp;Monthly_Pmod!AK$3&amp;$B$1)</f>
        <v>0</v>
      </c>
      <c r="AL18" s="12">
        <f>COUNTIF(defects!$AC:$AC,Monthly_Pmod!$B18&amp;Monthly_Pmod!$B$3&amp;$B$2&amp;Monthly_Pmod!AL$3&amp;$B$1)</f>
        <v>0</v>
      </c>
      <c r="AM18" s="12">
        <f>COUNTIF(defects!$AC:$AC,Monthly_Pmod!$B18&amp;Monthly_Pmod!$B$3&amp;$B$2&amp;Monthly_Pmod!AM$3&amp;$B$1)</f>
        <v>0</v>
      </c>
      <c r="AN18" s="12">
        <f>COUNTIF(defects!$AC:$AC,Monthly_Pmod!$B18&amp;Monthly_Pmod!$B$3&amp;$B$2&amp;Monthly_Pmod!AN$3&amp;$B$1)</f>
        <v>0</v>
      </c>
      <c r="AO18" s="12">
        <f>COUNTIF(defects!$AC:$AC,Monthly_Pmod!$B18&amp;Monthly_Pmod!$B$3&amp;$B$2&amp;Monthly_Pmod!AO$3&amp;$B$1)</f>
        <v>0</v>
      </c>
      <c r="AP18" s="12">
        <f>COUNTIF(defects!$AC:$AC,Monthly_Pmod!$B18&amp;Monthly_Pmod!$B$3&amp;$B$2&amp;Monthly_Pmod!AP$3&amp;$B$1)</f>
        <v>0</v>
      </c>
      <c r="AQ18" s="12"/>
      <c r="AR18" s="12">
        <f>HLOOKUP(AR$3,Weekly_Pmod!$3:$24,MATCH($B18,Weekly_Pmod!$B$3:$B$24,0),0)</f>
        <v>0</v>
      </c>
      <c r="AS18" s="12">
        <f>HLOOKUP(AS$3,Weekly_Pmod!$3:$24,MATCH($B18,Weekly_Pmod!$B$3:$B$24,0),0)</f>
        <v>0</v>
      </c>
      <c r="AT18" s="12">
        <f>HLOOKUP(AT$3,Weekly_Pmod!$3:$24,MATCH($B18,Weekly_Pmod!$B$3:$B$24,0),0)</f>
        <v>0</v>
      </c>
      <c r="AU18" s="12"/>
      <c r="AV18" s="12">
        <f t="shared" si="2"/>
        <v>1</v>
      </c>
    </row>
    <row r="19" spans="2:48">
      <c r="B19" s="12" t="s">
        <v>995</v>
      </c>
      <c r="C19" s="12">
        <f t="shared" si="0"/>
        <v>0</v>
      </c>
      <c r="D19" s="12">
        <f t="shared" si="0"/>
        <v>0</v>
      </c>
      <c r="E19" s="12"/>
      <c r="F19" s="12">
        <f>COUNTIF(defects!$AC:$AC,Monthly_Pmod!$B19&amp;Monthly_Pmod!$B$3&amp;$B$2&amp;Monthly_Pmod!F$3&amp;$B$1)</f>
        <v>0</v>
      </c>
      <c r="G19" s="12">
        <f>COUNTIF(defects!$AC:$AC,Monthly_Pmod!$B19&amp;Monthly_Pmod!$B$3&amp;$B$2&amp;Monthly_Pmod!G$3&amp;$B$1)</f>
        <v>0</v>
      </c>
      <c r="H19" s="12">
        <f>COUNTIF(defects!$AC:$AC,Monthly_Pmod!$B19&amp;Monthly_Pmod!$B$3&amp;$B$2&amp;Monthly_Pmod!H$3&amp;$B$1)</f>
        <v>0</v>
      </c>
      <c r="I19" s="12">
        <f>COUNTIF(defects!$AC:$AC,Monthly_Pmod!$B19&amp;Monthly_Pmod!$B$3&amp;$B$2&amp;Monthly_Pmod!I$3&amp;$B$1)</f>
        <v>0</v>
      </c>
      <c r="J19" s="12">
        <f>COUNTIF(defects!$AC:$AC,Monthly_Pmod!$B19&amp;Monthly_Pmod!$B$3&amp;$B$2&amp;Monthly_Pmod!J$3&amp;$B$1)</f>
        <v>0</v>
      </c>
      <c r="K19" s="12">
        <f>COUNTIF(defects!$AC:$AC,Monthly_Pmod!$B19&amp;Monthly_Pmod!$B$3&amp;$B$2&amp;Monthly_Pmod!K$3&amp;$B$1)</f>
        <v>0</v>
      </c>
      <c r="L19" s="12">
        <f>COUNTIF(defects!$AC:$AC,Monthly_Pmod!$B19&amp;Monthly_Pmod!$B$3&amp;$B$2&amp;Monthly_Pmod!L$3&amp;$B$1)</f>
        <v>0</v>
      </c>
      <c r="M19" s="12">
        <f>COUNTIF(defects!$AC:$AC,Monthly_Pmod!$B19&amp;Monthly_Pmod!$B$3&amp;$B$2&amp;Monthly_Pmod!M$3&amp;$B$1)</f>
        <v>0</v>
      </c>
      <c r="N19" s="12">
        <f>COUNTIF(defects!$AC:$AC,Monthly_Pmod!$B19&amp;Monthly_Pmod!$B$3&amp;$B$2&amp;Monthly_Pmod!N$3&amp;$B$1)</f>
        <v>0</v>
      </c>
      <c r="O19" s="12">
        <f>COUNTIF(defects!$AC:$AC,Monthly_Pmod!$B19&amp;Monthly_Pmod!$B$3&amp;$B$2&amp;Monthly_Pmod!O$3&amp;$B$1)</f>
        <v>0</v>
      </c>
      <c r="P19" s="12">
        <f>COUNTIF(defects!$AC:$AC,Monthly_Pmod!$B19&amp;Monthly_Pmod!$B$3&amp;$B$2&amp;Monthly_Pmod!P$3&amp;$B$1)</f>
        <v>0</v>
      </c>
      <c r="Q19" s="12">
        <f>COUNTIF(defects!$AC:$AC,Monthly_Pmod!$B19&amp;Monthly_Pmod!$B$3&amp;$B$2&amp;Monthly_Pmod!Q$3&amp;$B$1)</f>
        <v>0</v>
      </c>
      <c r="R19" s="12">
        <f>COUNTIF(defects!$AC:$AC,Monthly_Pmod!$B19&amp;Monthly_Pmod!$B$3&amp;$B$2&amp;Monthly_Pmod!R$3&amp;$B$1)</f>
        <v>0</v>
      </c>
      <c r="S19" s="12">
        <f>COUNTIF(defects!$AC:$AC,Monthly_Pmod!$B19&amp;Monthly_Pmod!$B$3&amp;$B$2&amp;Monthly_Pmod!S$3&amp;$B$1)</f>
        <v>0</v>
      </c>
      <c r="T19" s="12">
        <f>COUNTIF(defects!$AC:$AC,Monthly_Pmod!$B19&amp;Monthly_Pmod!$B$3&amp;$B$2&amp;Monthly_Pmod!T$3&amp;$B$1)</f>
        <v>0</v>
      </c>
      <c r="U19" s="12">
        <f>COUNTIF(defects!$AC:$AC,Monthly_Pmod!$B19&amp;Monthly_Pmod!$B$3&amp;$B$2&amp;Monthly_Pmod!U$3&amp;$B$1)</f>
        <v>0</v>
      </c>
      <c r="V19" s="12">
        <f>COUNTIF(defects!$AC:$AC,Monthly_Pmod!$B19&amp;Monthly_Pmod!$B$3&amp;$B$2&amp;Monthly_Pmod!V$3&amp;$B$1)</f>
        <v>0</v>
      </c>
      <c r="W19" s="12">
        <f>COUNTIF(defects!$AC:$AC,Monthly_Pmod!$B19&amp;Monthly_Pmod!$B$3&amp;$B$2&amp;Monthly_Pmod!W$3&amp;$B$1)</f>
        <v>0</v>
      </c>
      <c r="X19" s="12">
        <f>COUNTIF(defects!$AC:$AC,Monthly_Pmod!$B19&amp;Monthly_Pmod!$B$3&amp;$B$2&amp;Monthly_Pmod!X$3&amp;$B$1)</f>
        <v>0</v>
      </c>
      <c r="Y19" s="12">
        <f>COUNTIF(defects!$AC:$AC,Monthly_Pmod!$B19&amp;Monthly_Pmod!$B$3&amp;$B$2&amp;Monthly_Pmod!Y$3&amp;$B$1)</f>
        <v>0</v>
      </c>
      <c r="Z19" s="12">
        <f>COUNTIF(defects!$AC:$AC,Monthly_Pmod!$B19&amp;Monthly_Pmod!$B$3&amp;$B$2&amp;Monthly_Pmod!Z$3&amp;$B$1)</f>
        <v>0</v>
      </c>
      <c r="AA19" s="12">
        <f>COUNTIF(defects!$AC:$AC,Monthly_Pmod!$B19&amp;Monthly_Pmod!$B$3&amp;$B$2&amp;Monthly_Pmod!AA$3&amp;$B$1)</f>
        <v>0</v>
      </c>
      <c r="AB19" s="12">
        <f>COUNTIF(defects!$AC:$AC,Monthly_Pmod!$B19&amp;Monthly_Pmod!$B$3&amp;$B$2&amp;Monthly_Pmod!AB$3&amp;$B$1)</f>
        <v>0</v>
      </c>
      <c r="AC19" s="12">
        <f>COUNTIF(defects!$AC:$AC,Monthly_Pmod!$B19&amp;Monthly_Pmod!$B$3&amp;$B$2&amp;Monthly_Pmod!AC$3&amp;$B$1)</f>
        <v>0</v>
      </c>
      <c r="AD19" s="12">
        <f>COUNTIF(defects!$AC:$AC,Monthly_Pmod!$B19&amp;Monthly_Pmod!$B$3&amp;$B$2&amp;Monthly_Pmod!AD$3&amp;$B$1)</f>
        <v>0</v>
      </c>
      <c r="AE19" s="12">
        <f>COUNTIF(defects!$AC:$AC,Monthly_Pmod!$B19&amp;Monthly_Pmod!$B$3&amp;$B$2&amp;Monthly_Pmod!AE$3&amp;$B$1)</f>
        <v>0</v>
      </c>
      <c r="AF19" s="12">
        <f>COUNTIF(defects!$AC:$AC,Monthly_Pmod!$B19&amp;Monthly_Pmod!$B$3&amp;$B$2&amp;Monthly_Pmod!AF$3&amp;$B$1)</f>
        <v>0</v>
      </c>
      <c r="AG19" s="12">
        <f>COUNTIF(defects!$AC:$AC,Monthly_Pmod!$B19&amp;Monthly_Pmod!$B$3&amp;$B$2&amp;Monthly_Pmod!AG$3&amp;$B$1)</f>
        <v>0</v>
      </c>
      <c r="AH19" s="12">
        <f>COUNTIF(defects!$AC:$AC,Monthly_Pmod!$B19&amp;Monthly_Pmod!$B$3&amp;$B$2&amp;Monthly_Pmod!AH$3&amp;$B$1)</f>
        <v>0</v>
      </c>
      <c r="AI19" s="12">
        <f>COUNTIF(defects!$AC:$AC,Monthly_Pmod!$B19&amp;Monthly_Pmod!$B$3&amp;$B$2&amp;Monthly_Pmod!AI$3&amp;$B$1)</f>
        <v>0</v>
      </c>
      <c r="AJ19" s="12">
        <f>COUNTIF(defects!$AC:$AC,Monthly_Pmod!$B19&amp;Monthly_Pmod!$B$3&amp;$B$2&amp;Monthly_Pmod!AJ$3&amp;$B$1)</f>
        <v>0</v>
      </c>
      <c r="AK19" s="12">
        <f>COUNTIF(defects!$AC:$AC,Monthly_Pmod!$B19&amp;Monthly_Pmod!$B$3&amp;$B$2&amp;Monthly_Pmod!AK$3&amp;$B$1)</f>
        <v>0</v>
      </c>
      <c r="AL19" s="12">
        <f>COUNTIF(defects!$AC:$AC,Monthly_Pmod!$B19&amp;Monthly_Pmod!$B$3&amp;$B$2&amp;Monthly_Pmod!AL$3&amp;$B$1)</f>
        <v>0</v>
      </c>
      <c r="AM19" s="12">
        <f>COUNTIF(defects!$AC:$AC,Monthly_Pmod!$B19&amp;Monthly_Pmod!$B$3&amp;$B$2&amp;Monthly_Pmod!AM$3&amp;$B$1)</f>
        <v>0</v>
      </c>
      <c r="AN19" s="12">
        <f>COUNTIF(defects!$AC:$AC,Monthly_Pmod!$B19&amp;Monthly_Pmod!$B$3&amp;$B$2&amp;Monthly_Pmod!AN$3&amp;$B$1)</f>
        <v>0</v>
      </c>
      <c r="AO19" s="12">
        <f>COUNTIF(defects!$AC:$AC,Monthly_Pmod!$B19&amp;Monthly_Pmod!$B$3&amp;$B$2&amp;Monthly_Pmod!AO$3&amp;$B$1)</f>
        <v>0</v>
      </c>
      <c r="AP19" s="12">
        <f>COUNTIF(defects!$AC:$AC,Monthly_Pmod!$B19&amp;Monthly_Pmod!$B$3&amp;$B$2&amp;Monthly_Pmod!AP$3&amp;$B$1)</f>
        <v>0</v>
      </c>
      <c r="AQ19" s="12"/>
      <c r="AR19" s="12">
        <f>HLOOKUP(AR$3,Weekly_Pmod!$3:$24,MATCH($B19,Weekly_Pmod!$B$3:$B$24,0),0)</f>
        <v>0</v>
      </c>
      <c r="AS19" s="12">
        <f>HLOOKUP(AS$3,Weekly_Pmod!$3:$24,MATCH($B19,Weekly_Pmod!$B$3:$B$24,0),0)</f>
        <v>0</v>
      </c>
      <c r="AT19" s="12">
        <f>HLOOKUP(AT$3,Weekly_Pmod!$3:$24,MATCH($B19,Weekly_Pmod!$B$3:$B$24,0),0)</f>
        <v>0</v>
      </c>
      <c r="AU19" s="12"/>
      <c r="AV19" s="12">
        <f t="shared" si="2"/>
        <v>0</v>
      </c>
    </row>
    <row r="20" spans="2:48">
      <c r="B20" s="12" t="s">
        <v>952</v>
      </c>
      <c r="C20" s="12">
        <f t="shared" si="0"/>
        <v>0</v>
      </c>
      <c r="D20" s="12">
        <f t="shared" si="0"/>
        <v>0</v>
      </c>
      <c r="E20" s="12"/>
      <c r="F20" s="12">
        <f>COUNTIF(defects!$AC:$AC,Monthly_Pmod!$B20&amp;Monthly_Pmod!$B$3&amp;$B$2&amp;Monthly_Pmod!F$3&amp;$B$1)</f>
        <v>0</v>
      </c>
      <c r="G20" s="12">
        <f>COUNTIF(defects!$AC:$AC,Monthly_Pmod!$B20&amp;Monthly_Pmod!$B$3&amp;$B$2&amp;Monthly_Pmod!G$3&amp;$B$1)</f>
        <v>0</v>
      </c>
      <c r="H20" s="12">
        <f>COUNTIF(defects!$AC:$AC,Monthly_Pmod!$B20&amp;Monthly_Pmod!$B$3&amp;$B$2&amp;Monthly_Pmod!H$3&amp;$B$1)</f>
        <v>0</v>
      </c>
      <c r="I20" s="12">
        <f>COUNTIF(defects!$AC:$AC,Monthly_Pmod!$B20&amp;Monthly_Pmod!$B$3&amp;$B$2&amp;Monthly_Pmod!I$3&amp;$B$1)</f>
        <v>0</v>
      </c>
      <c r="J20" s="12">
        <f>COUNTIF(defects!$AC:$AC,Monthly_Pmod!$B20&amp;Monthly_Pmod!$B$3&amp;$B$2&amp;Monthly_Pmod!J$3&amp;$B$1)</f>
        <v>0</v>
      </c>
      <c r="K20" s="12">
        <f>COUNTIF(defects!$AC:$AC,Monthly_Pmod!$B20&amp;Monthly_Pmod!$B$3&amp;$B$2&amp;Monthly_Pmod!K$3&amp;$B$1)</f>
        <v>0</v>
      </c>
      <c r="L20" s="12">
        <f>COUNTIF(defects!$AC:$AC,Monthly_Pmod!$B20&amp;Monthly_Pmod!$B$3&amp;$B$2&amp;Monthly_Pmod!L$3&amp;$B$1)</f>
        <v>0</v>
      </c>
      <c r="M20" s="12">
        <f>COUNTIF(defects!$AC:$AC,Monthly_Pmod!$B20&amp;Monthly_Pmod!$B$3&amp;$B$2&amp;Monthly_Pmod!M$3&amp;$B$1)</f>
        <v>0</v>
      </c>
      <c r="N20" s="12">
        <f>COUNTIF(defects!$AC:$AC,Monthly_Pmod!$B20&amp;Monthly_Pmod!$B$3&amp;$B$2&amp;Monthly_Pmod!N$3&amp;$B$1)</f>
        <v>0</v>
      </c>
      <c r="O20" s="12">
        <f>COUNTIF(defects!$AC:$AC,Monthly_Pmod!$B20&amp;Monthly_Pmod!$B$3&amp;$B$2&amp;Monthly_Pmod!O$3&amp;$B$1)</f>
        <v>0</v>
      </c>
      <c r="P20" s="12">
        <f>COUNTIF(defects!$AC:$AC,Monthly_Pmod!$B20&amp;Monthly_Pmod!$B$3&amp;$B$2&amp;Monthly_Pmod!P$3&amp;$B$1)</f>
        <v>0</v>
      </c>
      <c r="Q20" s="12">
        <f>COUNTIF(defects!$AC:$AC,Monthly_Pmod!$B20&amp;Monthly_Pmod!$B$3&amp;$B$2&amp;Monthly_Pmod!Q$3&amp;$B$1)</f>
        <v>0</v>
      </c>
      <c r="R20" s="12">
        <f>COUNTIF(defects!$AC:$AC,Monthly_Pmod!$B20&amp;Monthly_Pmod!$B$3&amp;$B$2&amp;Monthly_Pmod!R$3&amp;$B$1)</f>
        <v>0</v>
      </c>
      <c r="S20" s="12">
        <f>COUNTIF(defects!$AC:$AC,Monthly_Pmod!$B20&amp;Monthly_Pmod!$B$3&amp;$B$2&amp;Monthly_Pmod!S$3&amp;$B$1)</f>
        <v>0</v>
      </c>
      <c r="T20" s="12">
        <f>COUNTIF(defects!$AC:$AC,Monthly_Pmod!$B20&amp;Monthly_Pmod!$B$3&amp;$B$2&amp;Monthly_Pmod!T$3&amp;$B$1)</f>
        <v>0</v>
      </c>
      <c r="U20" s="12">
        <f>COUNTIF(defects!$AC:$AC,Monthly_Pmod!$B20&amp;Monthly_Pmod!$B$3&amp;$B$2&amp;Monthly_Pmod!U$3&amp;$B$1)</f>
        <v>0</v>
      </c>
      <c r="V20" s="12">
        <f>COUNTIF(defects!$AC:$AC,Monthly_Pmod!$B20&amp;Monthly_Pmod!$B$3&amp;$B$2&amp;Monthly_Pmod!V$3&amp;$B$1)</f>
        <v>0</v>
      </c>
      <c r="W20" s="12">
        <f>COUNTIF(defects!$AC:$AC,Monthly_Pmod!$B20&amp;Monthly_Pmod!$B$3&amp;$B$2&amp;Monthly_Pmod!W$3&amp;$B$1)</f>
        <v>0</v>
      </c>
      <c r="X20" s="12">
        <f>COUNTIF(defects!$AC:$AC,Monthly_Pmod!$B20&amp;Monthly_Pmod!$B$3&amp;$B$2&amp;Monthly_Pmod!X$3&amp;$B$1)</f>
        <v>0</v>
      </c>
      <c r="Y20" s="12">
        <f>COUNTIF(defects!$AC:$AC,Monthly_Pmod!$B20&amp;Monthly_Pmod!$B$3&amp;$B$2&amp;Monthly_Pmod!Y$3&amp;$B$1)</f>
        <v>0</v>
      </c>
      <c r="Z20" s="12">
        <f>COUNTIF(defects!$AC:$AC,Monthly_Pmod!$B20&amp;Monthly_Pmod!$B$3&amp;$B$2&amp;Monthly_Pmod!Z$3&amp;$B$1)</f>
        <v>0</v>
      </c>
      <c r="AA20" s="12">
        <f>COUNTIF(defects!$AC:$AC,Monthly_Pmod!$B20&amp;Monthly_Pmod!$B$3&amp;$B$2&amp;Monthly_Pmod!AA$3&amp;$B$1)</f>
        <v>0</v>
      </c>
      <c r="AB20" s="12">
        <f>COUNTIF(defects!$AC:$AC,Monthly_Pmod!$B20&amp;Monthly_Pmod!$B$3&amp;$B$2&amp;Monthly_Pmod!AB$3&amp;$B$1)</f>
        <v>0</v>
      </c>
      <c r="AC20" s="12">
        <f>COUNTIF(defects!$AC:$AC,Monthly_Pmod!$B20&amp;Monthly_Pmod!$B$3&amp;$B$2&amp;Monthly_Pmod!AC$3&amp;$B$1)</f>
        <v>0</v>
      </c>
      <c r="AD20" s="12">
        <f>COUNTIF(defects!$AC:$AC,Monthly_Pmod!$B20&amp;Monthly_Pmod!$B$3&amp;$B$2&amp;Monthly_Pmod!AD$3&amp;$B$1)</f>
        <v>0</v>
      </c>
      <c r="AE20" s="12">
        <f>COUNTIF(defects!$AC:$AC,Monthly_Pmod!$B20&amp;Monthly_Pmod!$B$3&amp;$B$2&amp;Monthly_Pmod!AE$3&amp;$B$1)</f>
        <v>0</v>
      </c>
      <c r="AF20" s="12">
        <f>COUNTIF(defects!$AC:$AC,Monthly_Pmod!$B20&amp;Monthly_Pmod!$B$3&amp;$B$2&amp;Monthly_Pmod!AF$3&amp;$B$1)</f>
        <v>0</v>
      </c>
      <c r="AG20" s="12">
        <f>COUNTIF(defects!$AC:$AC,Monthly_Pmod!$B20&amp;Monthly_Pmod!$B$3&amp;$B$2&amp;Monthly_Pmod!AG$3&amp;$B$1)</f>
        <v>0</v>
      </c>
      <c r="AH20" s="12">
        <f>COUNTIF(defects!$AC:$AC,Monthly_Pmod!$B20&amp;Monthly_Pmod!$B$3&amp;$B$2&amp;Monthly_Pmod!AH$3&amp;$B$1)</f>
        <v>0</v>
      </c>
      <c r="AI20" s="12">
        <f>COUNTIF(defects!$AC:$AC,Monthly_Pmod!$B20&amp;Monthly_Pmod!$B$3&amp;$B$2&amp;Monthly_Pmod!AI$3&amp;$B$1)</f>
        <v>0</v>
      </c>
      <c r="AJ20" s="12">
        <f>COUNTIF(defects!$AC:$AC,Monthly_Pmod!$B20&amp;Monthly_Pmod!$B$3&amp;$B$2&amp;Monthly_Pmod!AJ$3&amp;$B$1)</f>
        <v>0</v>
      </c>
      <c r="AK20" s="12">
        <f>COUNTIF(defects!$AC:$AC,Monthly_Pmod!$B20&amp;Monthly_Pmod!$B$3&amp;$B$2&amp;Monthly_Pmod!AK$3&amp;$B$1)</f>
        <v>0</v>
      </c>
      <c r="AL20" s="12">
        <f>COUNTIF(defects!$AC:$AC,Monthly_Pmod!$B20&amp;Monthly_Pmod!$B$3&amp;$B$2&amp;Monthly_Pmod!AL$3&amp;$B$1)</f>
        <v>0</v>
      </c>
      <c r="AM20" s="12">
        <f>COUNTIF(defects!$AC:$AC,Monthly_Pmod!$B20&amp;Monthly_Pmod!$B$3&amp;$B$2&amp;Monthly_Pmod!AM$3&amp;$B$1)</f>
        <v>0</v>
      </c>
      <c r="AN20" s="12">
        <f>COUNTIF(defects!$AC:$AC,Monthly_Pmod!$B20&amp;Monthly_Pmod!$B$3&amp;$B$2&amp;Monthly_Pmod!AN$3&amp;$B$1)</f>
        <v>0</v>
      </c>
      <c r="AO20" s="12">
        <f>COUNTIF(defects!$AC:$AC,Monthly_Pmod!$B20&amp;Monthly_Pmod!$B$3&amp;$B$2&amp;Monthly_Pmod!AO$3&amp;$B$1)</f>
        <v>0</v>
      </c>
      <c r="AP20" s="12">
        <f>COUNTIF(defects!$AC:$AC,Monthly_Pmod!$B20&amp;Monthly_Pmod!$B$3&amp;$B$2&amp;Monthly_Pmod!AP$3&amp;$B$1)</f>
        <v>0</v>
      </c>
      <c r="AQ20" s="12"/>
      <c r="AR20" s="12">
        <f>HLOOKUP(AR$3,Weekly_Pmod!$3:$24,MATCH($B20,Weekly_Pmod!$B$3:$B$24,0),0)</f>
        <v>0</v>
      </c>
      <c r="AS20" s="12">
        <f>HLOOKUP(AS$3,Weekly_Pmod!$3:$24,MATCH($B20,Weekly_Pmod!$B$3:$B$24,0),0)</f>
        <v>0</v>
      </c>
      <c r="AT20" s="12">
        <f>HLOOKUP(AT$3,Weekly_Pmod!$3:$24,MATCH($B20,Weekly_Pmod!$B$3:$B$24,0),0)</f>
        <v>0</v>
      </c>
      <c r="AU20" s="12"/>
      <c r="AV20" s="12">
        <f t="shared" si="2"/>
        <v>0</v>
      </c>
    </row>
    <row r="21" spans="2:48">
      <c r="B21" s="12" t="s">
        <v>948</v>
      </c>
      <c r="C21" s="12">
        <f t="shared" si="0"/>
        <v>0</v>
      </c>
      <c r="D21" s="12">
        <f t="shared" si="0"/>
        <v>0</v>
      </c>
      <c r="E21" s="12"/>
      <c r="F21" s="12">
        <f>COUNTIF(defects!$AC:$AC,Monthly_Pmod!$B21&amp;Monthly_Pmod!$B$3&amp;$B$2&amp;Monthly_Pmod!F$3&amp;$B$1)</f>
        <v>0</v>
      </c>
      <c r="G21" s="12">
        <f>COUNTIF(defects!$AC:$AC,Monthly_Pmod!$B21&amp;Monthly_Pmod!$B$3&amp;$B$2&amp;Monthly_Pmod!G$3&amp;$B$1)</f>
        <v>0</v>
      </c>
      <c r="H21" s="12">
        <f>COUNTIF(defects!$AC:$AC,Monthly_Pmod!$B21&amp;Monthly_Pmod!$B$3&amp;$B$2&amp;Monthly_Pmod!H$3&amp;$B$1)</f>
        <v>0</v>
      </c>
      <c r="I21" s="12">
        <f>COUNTIF(defects!$AC:$AC,Monthly_Pmod!$B21&amp;Monthly_Pmod!$B$3&amp;$B$2&amp;Monthly_Pmod!I$3&amp;$B$1)</f>
        <v>0</v>
      </c>
      <c r="J21" s="12">
        <f>COUNTIF(defects!$AC:$AC,Monthly_Pmod!$B21&amp;Monthly_Pmod!$B$3&amp;$B$2&amp;Monthly_Pmod!J$3&amp;$B$1)</f>
        <v>0</v>
      </c>
      <c r="K21" s="12">
        <f>COUNTIF(defects!$AC:$AC,Monthly_Pmod!$B21&amp;Monthly_Pmod!$B$3&amp;$B$2&amp;Monthly_Pmod!K$3&amp;$B$1)</f>
        <v>0</v>
      </c>
      <c r="L21" s="12">
        <f>COUNTIF(defects!$AC:$AC,Monthly_Pmod!$B21&amp;Monthly_Pmod!$B$3&amp;$B$2&amp;Monthly_Pmod!L$3&amp;$B$1)</f>
        <v>0</v>
      </c>
      <c r="M21" s="12">
        <f>COUNTIF(defects!$AC:$AC,Monthly_Pmod!$B21&amp;Monthly_Pmod!$B$3&amp;$B$2&amp;Monthly_Pmod!M$3&amp;$B$1)</f>
        <v>0</v>
      </c>
      <c r="N21" s="12">
        <f>COUNTIF(defects!$AC:$AC,Monthly_Pmod!$B21&amp;Monthly_Pmod!$B$3&amp;$B$2&amp;Monthly_Pmod!N$3&amp;$B$1)</f>
        <v>0</v>
      </c>
      <c r="O21" s="12">
        <f>COUNTIF(defects!$AC:$AC,Monthly_Pmod!$B21&amp;Monthly_Pmod!$B$3&amp;$B$2&amp;Monthly_Pmod!O$3&amp;$B$1)</f>
        <v>0</v>
      </c>
      <c r="P21" s="12">
        <f>COUNTIF(defects!$AC:$AC,Monthly_Pmod!$B21&amp;Monthly_Pmod!$B$3&amp;$B$2&amp;Monthly_Pmod!P$3&amp;$B$1)</f>
        <v>0</v>
      </c>
      <c r="Q21" s="12">
        <f>COUNTIF(defects!$AC:$AC,Monthly_Pmod!$B21&amp;Monthly_Pmod!$B$3&amp;$B$2&amp;Monthly_Pmod!Q$3&amp;$B$1)</f>
        <v>0</v>
      </c>
      <c r="R21" s="12">
        <f>COUNTIF(defects!$AC:$AC,Monthly_Pmod!$B21&amp;Monthly_Pmod!$B$3&amp;$B$2&amp;Monthly_Pmod!R$3&amp;$B$1)</f>
        <v>0</v>
      </c>
      <c r="S21" s="12">
        <f>COUNTIF(defects!$AC:$AC,Monthly_Pmod!$B21&amp;Monthly_Pmod!$B$3&amp;$B$2&amp;Monthly_Pmod!S$3&amp;$B$1)</f>
        <v>0</v>
      </c>
      <c r="T21" s="12">
        <f>COUNTIF(defects!$AC:$AC,Monthly_Pmod!$B21&amp;Monthly_Pmod!$B$3&amp;$B$2&amp;Monthly_Pmod!T$3&amp;$B$1)</f>
        <v>0</v>
      </c>
      <c r="U21" s="12">
        <f>COUNTIF(defects!$AC:$AC,Monthly_Pmod!$B21&amp;Monthly_Pmod!$B$3&amp;$B$2&amp;Monthly_Pmod!U$3&amp;$B$1)</f>
        <v>0</v>
      </c>
      <c r="V21" s="12">
        <f>COUNTIF(defects!$AC:$AC,Monthly_Pmod!$B21&amp;Monthly_Pmod!$B$3&amp;$B$2&amp;Monthly_Pmod!V$3&amp;$B$1)</f>
        <v>0</v>
      </c>
      <c r="W21" s="12">
        <f>COUNTIF(defects!$AC:$AC,Monthly_Pmod!$B21&amp;Monthly_Pmod!$B$3&amp;$B$2&amp;Monthly_Pmod!W$3&amp;$B$1)</f>
        <v>0</v>
      </c>
      <c r="X21" s="12">
        <f>COUNTIF(defects!$AC:$AC,Monthly_Pmod!$B21&amp;Monthly_Pmod!$B$3&amp;$B$2&amp;Monthly_Pmod!X$3&amp;$B$1)</f>
        <v>0</v>
      </c>
      <c r="Y21" s="12">
        <f>COUNTIF(defects!$AC:$AC,Monthly_Pmod!$B21&amp;Monthly_Pmod!$B$3&amp;$B$2&amp;Monthly_Pmod!Y$3&amp;$B$1)</f>
        <v>0</v>
      </c>
      <c r="Z21" s="12">
        <f>COUNTIF(defects!$AC:$AC,Monthly_Pmod!$B21&amp;Monthly_Pmod!$B$3&amp;$B$2&amp;Monthly_Pmod!Z$3&amp;$B$1)</f>
        <v>0</v>
      </c>
      <c r="AA21" s="12">
        <f>COUNTIF(defects!$AC:$AC,Monthly_Pmod!$B21&amp;Monthly_Pmod!$B$3&amp;$B$2&amp;Monthly_Pmod!AA$3&amp;$B$1)</f>
        <v>0</v>
      </c>
      <c r="AB21" s="12">
        <f>COUNTIF(defects!$AC:$AC,Monthly_Pmod!$B21&amp;Monthly_Pmod!$B$3&amp;$B$2&amp;Monthly_Pmod!AB$3&amp;$B$1)</f>
        <v>0</v>
      </c>
      <c r="AC21" s="12">
        <f>COUNTIF(defects!$AC:$AC,Monthly_Pmod!$B21&amp;Monthly_Pmod!$B$3&amp;$B$2&amp;Monthly_Pmod!AC$3&amp;$B$1)</f>
        <v>0</v>
      </c>
      <c r="AD21" s="12">
        <f>COUNTIF(defects!$AC:$AC,Monthly_Pmod!$B21&amp;Monthly_Pmod!$B$3&amp;$B$2&amp;Monthly_Pmod!AD$3&amp;$B$1)</f>
        <v>0</v>
      </c>
      <c r="AE21" s="12">
        <f>COUNTIF(defects!$AC:$AC,Monthly_Pmod!$B21&amp;Monthly_Pmod!$B$3&amp;$B$2&amp;Monthly_Pmod!AE$3&amp;$B$1)</f>
        <v>0</v>
      </c>
      <c r="AF21" s="12">
        <f>COUNTIF(defects!$AC:$AC,Monthly_Pmod!$B21&amp;Monthly_Pmod!$B$3&amp;$B$2&amp;Monthly_Pmod!AF$3&amp;$B$1)</f>
        <v>0</v>
      </c>
      <c r="AG21" s="12">
        <f>COUNTIF(defects!$AC:$AC,Monthly_Pmod!$B21&amp;Monthly_Pmod!$B$3&amp;$B$2&amp;Monthly_Pmod!AG$3&amp;$B$1)</f>
        <v>0</v>
      </c>
      <c r="AH21" s="12">
        <f>COUNTIF(defects!$AC:$AC,Monthly_Pmod!$B21&amp;Monthly_Pmod!$B$3&amp;$B$2&amp;Monthly_Pmod!AH$3&amp;$B$1)</f>
        <v>0</v>
      </c>
      <c r="AI21" s="12">
        <f>COUNTIF(defects!$AC:$AC,Monthly_Pmod!$B21&amp;Monthly_Pmod!$B$3&amp;$B$2&amp;Monthly_Pmod!AI$3&amp;$B$1)</f>
        <v>0</v>
      </c>
      <c r="AJ21" s="12">
        <f>COUNTIF(defects!$AC:$AC,Monthly_Pmod!$B21&amp;Monthly_Pmod!$B$3&amp;$B$2&amp;Monthly_Pmod!AJ$3&amp;$B$1)</f>
        <v>0</v>
      </c>
      <c r="AK21" s="12">
        <f>COUNTIF(defects!$AC:$AC,Monthly_Pmod!$B21&amp;Monthly_Pmod!$B$3&amp;$B$2&amp;Monthly_Pmod!AK$3&amp;$B$1)</f>
        <v>0</v>
      </c>
      <c r="AL21" s="12">
        <f>COUNTIF(defects!$AC:$AC,Monthly_Pmod!$B21&amp;Monthly_Pmod!$B$3&amp;$B$2&amp;Monthly_Pmod!AL$3&amp;$B$1)</f>
        <v>0</v>
      </c>
      <c r="AM21" s="12">
        <f>COUNTIF(defects!$AC:$AC,Monthly_Pmod!$B21&amp;Monthly_Pmod!$B$3&amp;$B$2&amp;Monthly_Pmod!AM$3&amp;$B$1)</f>
        <v>0</v>
      </c>
      <c r="AN21" s="12">
        <f>COUNTIF(defects!$AC:$AC,Monthly_Pmod!$B21&amp;Monthly_Pmod!$B$3&amp;$B$2&amp;Monthly_Pmod!AN$3&amp;$B$1)</f>
        <v>0</v>
      </c>
      <c r="AO21" s="12">
        <f>COUNTIF(defects!$AC:$AC,Monthly_Pmod!$B21&amp;Monthly_Pmod!$B$3&amp;$B$2&amp;Monthly_Pmod!AO$3&amp;$B$1)</f>
        <v>0</v>
      </c>
      <c r="AP21" s="12">
        <f>COUNTIF(defects!$AC:$AC,Monthly_Pmod!$B21&amp;Monthly_Pmod!$B$3&amp;$B$2&amp;Monthly_Pmod!AP$3&amp;$B$1)</f>
        <v>0</v>
      </c>
      <c r="AQ21" s="12"/>
      <c r="AR21" s="12">
        <f>HLOOKUP(AR$3,Weekly_Pmod!$3:$24,MATCH($B21,Weekly_Pmod!$B$3:$B$24,0),0)</f>
        <v>0</v>
      </c>
      <c r="AS21" s="12">
        <f>HLOOKUP(AS$3,Weekly_Pmod!$3:$24,MATCH($B21,Weekly_Pmod!$B$3:$B$24,0),0)</f>
        <v>0</v>
      </c>
      <c r="AT21" s="12">
        <f>HLOOKUP(AT$3,Weekly_Pmod!$3:$24,MATCH($B21,Weekly_Pmod!$B$3:$B$24,0),0)</f>
        <v>0</v>
      </c>
      <c r="AU21" s="12"/>
      <c r="AV21" s="12">
        <f t="shared" si="2"/>
        <v>0</v>
      </c>
    </row>
    <row r="22" spans="2:48">
      <c r="B22" s="12" t="s">
        <v>959</v>
      </c>
      <c r="C22" s="12">
        <f t="shared" si="0"/>
        <v>2</v>
      </c>
      <c r="D22" s="12">
        <f t="shared" si="0"/>
        <v>0</v>
      </c>
      <c r="E22" s="12"/>
      <c r="F22" s="12">
        <f>COUNTIF(defects!$AC:$AC,Monthly_Pmod!$B22&amp;Monthly_Pmod!$B$3&amp;$B$2&amp;Monthly_Pmod!F$3&amp;$B$1)</f>
        <v>0</v>
      </c>
      <c r="G22" s="12">
        <f>COUNTIF(defects!$AC:$AC,Monthly_Pmod!$B22&amp;Monthly_Pmod!$B$3&amp;$B$2&amp;Monthly_Pmod!G$3&amp;$B$1)</f>
        <v>0</v>
      </c>
      <c r="H22" s="12">
        <f>COUNTIF(defects!$AC:$AC,Monthly_Pmod!$B22&amp;Monthly_Pmod!$B$3&amp;$B$2&amp;Monthly_Pmod!H$3&amp;$B$1)</f>
        <v>0</v>
      </c>
      <c r="I22" s="12">
        <f>COUNTIF(defects!$AC:$AC,Monthly_Pmod!$B22&amp;Monthly_Pmod!$B$3&amp;$B$2&amp;Monthly_Pmod!I$3&amp;$B$1)</f>
        <v>0</v>
      </c>
      <c r="J22" s="12">
        <f>COUNTIF(defects!$AC:$AC,Monthly_Pmod!$B22&amp;Monthly_Pmod!$B$3&amp;$B$2&amp;Monthly_Pmod!J$3&amp;$B$1)</f>
        <v>0</v>
      </c>
      <c r="K22" s="12">
        <f>COUNTIF(defects!$AC:$AC,Monthly_Pmod!$B22&amp;Monthly_Pmod!$B$3&amp;$B$2&amp;Monthly_Pmod!K$3&amp;$B$1)</f>
        <v>0</v>
      </c>
      <c r="L22" s="12">
        <f>COUNTIF(defects!$AC:$AC,Monthly_Pmod!$B22&amp;Monthly_Pmod!$B$3&amp;$B$2&amp;Monthly_Pmod!L$3&amp;$B$1)</f>
        <v>0</v>
      </c>
      <c r="M22" s="12">
        <f>COUNTIF(defects!$AC:$AC,Monthly_Pmod!$B22&amp;Monthly_Pmod!$B$3&amp;$B$2&amp;Monthly_Pmod!M$3&amp;$B$1)</f>
        <v>0</v>
      </c>
      <c r="N22" s="12">
        <f>COUNTIF(defects!$AC:$AC,Monthly_Pmod!$B22&amp;Monthly_Pmod!$B$3&amp;$B$2&amp;Monthly_Pmod!N$3&amp;$B$1)</f>
        <v>0</v>
      </c>
      <c r="O22" s="12">
        <f>COUNTIF(defects!$AC:$AC,Monthly_Pmod!$B22&amp;Monthly_Pmod!$B$3&amp;$B$2&amp;Monthly_Pmod!O$3&amp;$B$1)</f>
        <v>0</v>
      </c>
      <c r="P22" s="12">
        <f>COUNTIF(defects!$AC:$AC,Monthly_Pmod!$B22&amp;Monthly_Pmod!$B$3&amp;$B$2&amp;Monthly_Pmod!P$3&amp;$B$1)</f>
        <v>0</v>
      </c>
      <c r="Q22" s="12">
        <f>COUNTIF(defects!$AC:$AC,Monthly_Pmod!$B22&amp;Monthly_Pmod!$B$3&amp;$B$2&amp;Monthly_Pmod!Q$3&amp;$B$1)</f>
        <v>0</v>
      </c>
      <c r="R22" s="12">
        <f>COUNTIF(defects!$AC:$AC,Monthly_Pmod!$B22&amp;Monthly_Pmod!$B$3&amp;$B$2&amp;Monthly_Pmod!R$3&amp;$B$1)</f>
        <v>0</v>
      </c>
      <c r="S22" s="12">
        <f>COUNTIF(defects!$AC:$AC,Monthly_Pmod!$B22&amp;Monthly_Pmod!$B$3&amp;$B$2&amp;Monthly_Pmod!S$3&amp;$B$1)</f>
        <v>0</v>
      </c>
      <c r="T22" s="12">
        <f>COUNTIF(defects!$AC:$AC,Monthly_Pmod!$B22&amp;Monthly_Pmod!$B$3&amp;$B$2&amp;Monthly_Pmod!T$3&amp;$B$1)</f>
        <v>0</v>
      </c>
      <c r="U22" s="12">
        <f>COUNTIF(defects!$AC:$AC,Monthly_Pmod!$B22&amp;Monthly_Pmod!$B$3&amp;$B$2&amp;Monthly_Pmod!U$3&amp;$B$1)</f>
        <v>0</v>
      </c>
      <c r="V22" s="12">
        <f>COUNTIF(defects!$AC:$AC,Monthly_Pmod!$B22&amp;Monthly_Pmod!$B$3&amp;$B$2&amp;Monthly_Pmod!V$3&amp;$B$1)</f>
        <v>0</v>
      </c>
      <c r="W22" s="12">
        <f>COUNTIF(defects!$AC:$AC,Monthly_Pmod!$B22&amp;Monthly_Pmod!$B$3&amp;$B$2&amp;Monthly_Pmod!W$3&amp;$B$1)</f>
        <v>0</v>
      </c>
      <c r="X22" s="12">
        <f>COUNTIF(defects!$AC:$AC,Monthly_Pmod!$B22&amp;Monthly_Pmod!$B$3&amp;$B$2&amp;Monthly_Pmod!X$3&amp;$B$1)</f>
        <v>2</v>
      </c>
      <c r="Y22" s="12">
        <f>COUNTIF(defects!$AC:$AC,Monthly_Pmod!$B22&amp;Monthly_Pmod!$B$3&amp;$B$2&amp;Monthly_Pmod!Y$3&amp;$B$1)</f>
        <v>0</v>
      </c>
      <c r="Z22" s="12">
        <f>COUNTIF(defects!$AC:$AC,Monthly_Pmod!$B22&amp;Monthly_Pmod!$B$3&amp;$B$2&amp;Monthly_Pmod!Z$3&amp;$B$1)</f>
        <v>0</v>
      </c>
      <c r="AA22" s="12">
        <f>COUNTIF(defects!$AC:$AC,Monthly_Pmod!$B22&amp;Monthly_Pmod!$B$3&amp;$B$2&amp;Monthly_Pmod!AA$3&amp;$B$1)</f>
        <v>0</v>
      </c>
      <c r="AB22" s="12">
        <f>COUNTIF(defects!$AC:$AC,Monthly_Pmod!$B22&amp;Monthly_Pmod!$B$3&amp;$B$2&amp;Monthly_Pmod!AB$3&amp;$B$1)</f>
        <v>0</v>
      </c>
      <c r="AC22" s="12">
        <f>COUNTIF(defects!$AC:$AC,Monthly_Pmod!$B22&amp;Monthly_Pmod!$B$3&amp;$B$2&amp;Monthly_Pmod!AC$3&amp;$B$1)</f>
        <v>0</v>
      </c>
      <c r="AD22" s="12">
        <f>COUNTIF(defects!$AC:$AC,Monthly_Pmod!$B22&amp;Monthly_Pmod!$B$3&amp;$B$2&amp;Monthly_Pmod!AD$3&amp;$B$1)</f>
        <v>0</v>
      </c>
      <c r="AE22" s="12">
        <f>COUNTIF(defects!$AC:$AC,Monthly_Pmod!$B22&amp;Monthly_Pmod!$B$3&amp;$B$2&amp;Monthly_Pmod!AE$3&amp;$B$1)</f>
        <v>0</v>
      </c>
      <c r="AF22" s="12">
        <f>COUNTIF(defects!$AC:$AC,Monthly_Pmod!$B22&amp;Monthly_Pmod!$B$3&amp;$B$2&amp;Monthly_Pmod!AF$3&amp;$B$1)</f>
        <v>0</v>
      </c>
      <c r="AG22" s="12">
        <f>COUNTIF(defects!$AC:$AC,Monthly_Pmod!$B22&amp;Monthly_Pmod!$B$3&amp;$B$2&amp;Monthly_Pmod!AG$3&amp;$B$1)</f>
        <v>0</v>
      </c>
      <c r="AH22" s="12">
        <f>COUNTIF(defects!$AC:$AC,Monthly_Pmod!$B22&amp;Monthly_Pmod!$B$3&amp;$B$2&amp;Monthly_Pmod!AH$3&amp;$B$1)</f>
        <v>0</v>
      </c>
      <c r="AI22" s="12">
        <f>COUNTIF(defects!$AC:$AC,Monthly_Pmod!$B22&amp;Monthly_Pmod!$B$3&amp;$B$2&amp;Monthly_Pmod!AI$3&amp;$B$1)</f>
        <v>0</v>
      </c>
      <c r="AJ22" s="12">
        <f>COUNTIF(defects!$AC:$AC,Monthly_Pmod!$B22&amp;Monthly_Pmod!$B$3&amp;$B$2&amp;Monthly_Pmod!AJ$3&amp;$B$1)</f>
        <v>0</v>
      </c>
      <c r="AK22" s="12">
        <f>COUNTIF(defects!$AC:$AC,Monthly_Pmod!$B22&amp;Monthly_Pmod!$B$3&amp;$B$2&amp;Monthly_Pmod!AK$3&amp;$B$1)</f>
        <v>0</v>
      </c>
      <c r="AL22" s="12">
        <f>COUNTIF(defects!$AC:$AC,Monthly_Pmod!$B22&amp;Monthly_Pmod!$B$3&amp;$B$2&amp;Monthly_Pmod!AL$3&amp;$B$1)</f>
        <v>0</v>
      </c>
      <c r="AM22" s="12">
        <f>COUNTIF(defects!$AC:$AC,Monthly_Pmod!$B22&amp;Monthly_Pmod!$B$3&amp;$B$2&amp;Monthly_Pmod!AM$3&amp;$B$1)</f>
        <v>0</v>
      </c>
      <c r="AN22" s="12">
        <f>COUNTIF(defects!$AC:$AC,Monthly_Pmod!$B22&amp;Monthly_Pmod!$B$3&amp;$B$2&amp;Monthly_Pmod!AN$3&amp;$B$1)</f>
        <v>0</v>
      </c>
      <c r="AO22" s="12">
        <f>COUNTIF(defects!$AC:$AC,Monthly_Pmod!$B22&amp;Monthly_Pmod!$B$3&amp;$B$2&amp;Monthly_Pmod!AO$3&amp;$B$1)</f>
        <v>0</v>
      </c>
      <c r="AP22" s="12">
        <f>COUNTIF(defects!$AC:$AC,Monthly_Pmod!$B22&amp;Monthly_Pmod!$B$3&amp;$B$2&amp;Monthly_Pmod!AP$3&amp;$B$1)</f>
        <v>0</v>
      </c>
      <c r="AQ22" s="12"/>
      <c r="AR22" s="12">
        <f>HLOOKUP(AR$3,Weekly_Pmod!$3:$24,MATCH($B22,Weekly_Pmod!$B$3:$B$24,0),0)</f>
        <v>0</v>
      </c>
      <c r="AS22" s="12">
        <f>HLOOKUP(AS$3,Weekly_Pmod!$3:$24,MATCH($B22,Weekly_Pmod!$B$3:$B$24,0),0)</f>
        <v>0</v>
      </c>
      <c r="AT22" s="12">
        <f>HLOOKUP(AT$3,Weekly_Pmod!$3:$24,MATCH($B22,Weekly_Pmod!$B$3:$B$24,0),0)</f>
        <v>0</v>
      </c>
      <c r="AU22" s="12"/>
      <c r="AV22" s="12">
        <f t="shared" si="2"/>
        <v>2</v>
      </c>
    </row>
    <row r="23" spans="2:48">
      <c r="B23" s="12" t="s">
        <v>951</v>
      </c>
      <c r="C23" s="12">
        <f t="shared" si="0"/>
        <v>0</v>
      </c>
      <c r="D23" s="12">
        <f t="shared" si="0"/>
        <v>0</v>
      </c>
      <c r="E23" s="12"/>
      <c r="F23" s="12">
        <f>COUNTIF(defects!$AC:$AC,Monthly_Pmod!$B23&amp;Monthly_Pmod!$B$3&amp;$B$2&amp;Monthly_Pmod!F$3&amp;$B$1)</f>
        <v>0</v>
      </c>
      <c r="G23" s="12">
        <f>COUNTIF(defects!$AC:$AC,Monthly_Pmod!$B23&amp;Monthly_Pmod!$B$3&amp;$B$2&amp;Monthly_Pmod!G$3&amp;$B$1)</f>
        <v>0</v>
      </c>
      <c r="H23" s="12">
        <f>COUNTIF(defects!$AC:$AC,Monthly_Pmod!$B23&amp;Monthly_Pmod!$B$3&amp;$B$2&amp;Monthly_Pmod!H$3&amp;$B$1)</f>
        <v>0</v>
      </c>
      <c r="I23" s="12">
        <f>COUNTIF(defects!$AC:$AC,Monthly_Pmod!$B23&amp;Monthly_Pmod!$B$3&amp;$B$2&amp;Monthly_Pmod!I$3&amp;$B$1)</f>
        <v>0</v>
      </c>
      <c r="J23" s="12">
        <f>COUNTIF(defects!$AC:$AC,Monthly_Pmod!$B23&amp;Monthly_Pmod!$B$3&amp;$B$2&amp;Monthly_Pmod!J$3&amp;$B$1)</f>
        <v>0</v>
      </c>
      <c r="K23" s="12">
        <f>COUNTIF(defects!$AC:$AC,Monthly_Pmod!$B23&amp;Monthly_Pmod!$B$3&amp;$B$2&amp;Monthly_Pmod!K$3&amp;$B$1)</f>
        <v>0</v>
      </c>
      <c r="L23" s="12">
        <f>COUNTIF(defects!$AC:$AC,Monthly_Pmod!$B23&amp;Monthly_Pmod!$B$3&amp;$B$2&amp;Monthly_Pmod!L$3&amp;$B$1)</f>
        <v>0</v>
      </c>
      <c r="M23" s="12">
        <f>COUNTIF(defects!$AC:$AC,Monthly_Pmod!$B23&amp;Monthly_Pmod!$B$3&amp;$B$2&amp;Monthly_Pmod!M$3&amp;$B$1)</f>
        <v>0</v>
      </c>
      <c r="N23" s="12">
        <f>COUNTIF(defects!$AC:$AC,Monthly_Pmod!$B23&amp;Monthly_Pmod!$B$3&amp;$B$2&amp;Monthly_Pmod!N$3&amp;$B$1)</f>
        <v>0</v>
      </c>
      <c r="O23" s="12">
        <f>COUNTIF(defects!$AC:$AC,Monthly_Pmod!$B23&amp;Monthly_Pmod!$B$3&amp;$B$2&amp;Monthly_Pmod!O$3&amp;$B$1)</f>
        <v>0</v>
      </c>
      <c r="P23" s="12">
        <f>COUNTIF(defects!$AC:$AC,Monthly_Pmod!$B23&amp;Monthly_Pmod!$B$3&amp;$B$2&amp;Monthly_Pmod!P$3&amp;$B$1)</f>
        <v>0</v>
      </c>
      <c r="Q23" s="12">
        <f>COUNTIF(defects!$AC:$AC,Monthly_Pmod!$B23&amp;Monthly_Pmod!$B$3&amp;$B$2&amp;Monthly_Pmod!Q$3&amp;$B$1)</f>
        <v>0</v>
      </c>
      <c r="R23" s="12">
        <f>COUNTIF(defects!$AC:$AC,Monthly_Pmod!$B23&amp;Monthly_Pmod!$B$3&amp;$B$2&amp;Monthly_Pmod!R$3&amp;$B$1)</f>
        <v>0</v>
      </c>
      <c r="S23" s="12">
        <f>COUNTIF(defects!$AC:$AC,Monthly_Pmod!$B23&amp;Monthly_Pmod!$B$3&amp;$B$2&amp;Monthly_Pmod!S$3&amp;$B$1)</f>
        <v>0</v>
      </c>
      <c r="T23" s="12">
        <f>COUNTIF(defects!$AC:$AC,Monthly_Pmod!$B23&amp;Monthly_Pmod!$B$3&amp;$B$2&amp;Monthly_Pmod!T$3&amp;$B$1)</f>
        <v>0</v>
      </c>
      <c r="U23" s="12">
        <f>COUNTIF(defects!$AC:$AC,Monthly_Pmod!$B23&amp;Monthly_Pmod!$B$3&amp;$B$2&amp;Monthly_Pmod!U$3&amp;$B$1)</f>
        <v>0</v>
      </c>
      <c r="V23" s="12">
        <f>COUNTIF(defects!$AC:$AC,Monthly_Pmod!$B23&amp;Monthly_Pmod!$B$3&amp;$B$2&amp;Monthly_Pmod!V$3&amp;$B$1)</f>
        <v>0</v>
      </c>
      <c r="W23" s="12">
        <f>COUNTIF(defects!$AC:$AC,Monthly_Pmod!$B23&amp;Monthly_Pmod!$B$3&amp;$B$2&amp;Monthly_Pmod!W$3&amp;$B$1)</f>
        <v>0</v>
      </c>
      <c r="X23" s="12">
        <f>COUNTIF(defects!$AC:$AC,Monthly_Pmod!$B23&amp;Monthly_Pmod!$B$3&amp;$B$2&amp;Monthly_Pmod!X$3&amp;$B$1)</f>
        <v>0</v>
      </c>
      <c r="Y23" s="12">
        <f>COUNTIF(defects!$AC:$AC,Monthly_Pmod!$B23&amp;Monthly_Pmod!$B$3&amp;$B$2&amp;Monthly_Pmod!Y$3&amp;$B$1)</f>
        <v>0</v>
      </c>
      <c r="Z23" s="12">
        <f>COUNTIF(defects!$AC:$AC,Monthly_Pmod!$B23&amp;Monthly_Pmod!$B$3&amp;$B$2&amp;Monthly_Pmod!Z$3&amp;$B$1)</f>
        <v>0</v>
      </c>
      <c r="AA23" s="12">
        <f>COUNTIF(defects!$AC:$AC,Monthly_Pmod!$B23&amp;Monthly_Pmod!$B$3&amp;$B$2&amp;Monthly_Pmod!AA$3&amp;$B$1)</f>
        <v>0</v>
      </c>
      <c r="AB23" s="12">
        <f>COUNTIF(defects!$AC:$AC,Monthly_Pmod!$B23&amp;Monthly_Pmod!$B$3&amp;$B$2&amp;Monthly_Pmod!AB$3&amp;$B$1)</f>
        <v>0</v>
      </c>
      <c r="AC23" s="12">
        <f>COUNTIF(defects!$AC:$AC,Monthly_Pmod!$B23&amp;Monthly_Pmod!$B$3&amp;$B$2&amp;Monthly_Pmod!AC$3&amp;$B$1)</f>
        <v>0</v>
      </c>
      <c r="AD23" s="12">
        <f>COUNTIF(defects!$AC:$AC,Monthly_Pmod!$B23&amp;Monthly_Pmod!$B$3&amp;$B$2&amp;Monthly_Pmod!AD$3&amp;$B$1)</f>
        <v>0</v>
      </c>
      <c r="AE23" s="12">
        <f>COUNTIF(defects!$AC:$AC,Monthly_Pmod!$B23&amp;Monthly_Pmod!$B$3&amp;$B$2&amp;Monthly_Pmod!AE$3&amp;$B$1)</f>
        <v>0</v>
      </c>
      <c r="AF23" s="12">
        <f>COUNTIF(defects!$AC:$AC,Monthly_Pmod!$B23&amp;Monthly_Pmod!$B$3&amp;$B$2&amp;Monthly_Pmod!AF$3&amp;$B$1)</f>
        <v>0</v>
      </c>
      <c r="AG23" s="12">
        <f>COUNTIF(defects!$AC:$AC,Monthly_Pmod!$B23&amp;Monthly_Pmod!$B$3&amp;$B$2&amp;Monthly_Pmod!AG$3&amp;$B$1)</f>
        <v>0</v>
      </c>
      <c r="AH23" s="12">
        <f>COUNTIF(defects!$AC:$AC,Monthly_Pmod!$B23&amp;Monthly_Pmod!$B$3&amp;$B$2&amp;Monthly_Pmod!AH$3&amp;$B$1)</f>
        <v>0</v>
      </c>
      <c r="AI23" s="12">
        <f>COUNTIF(defects!$AC:$AC,Monthly_Pmod!$B23&amp;Monthly_Pmod!$B$3&amp;$B$2&amp;Monthly_Pmod!AI$3&amp;$B$1)</f>
        <v>0</v>
      </c>
      <c r="AJ23" s="12">
        <f>COUNTIF(defects!$AC:$AC,Monthly_Pmod!$B23&amp;Monthly_Pmod!$B$3&amp;$B$2&amp;Monthly_Pmod!AJ$3&amp;$B$1)</f>
        <v>0</v>
      </c>
      <c r="AK23" s="12">
        <f>COUNTIF(defects!$AC:$AC,Monthly_Pmod!$B23&amp;Monthly_Pmod!$B$3&amp;$B$2&amp;Monthly_Pmod!AK$3&amp;$B$1)</f>
        <v>0</v>
      </c>
      <c r="AL23" s="12">
        <f>COUNTIF(defects!$AC:$AC,Monthly_Pmod!$B23&amp;Monthly_Pmod!$B$3&amp;$B$2&amp;Monthly_Pmod!AL$3&amp;$B$1)</f>
        <v>0</v>
      </c>
      <c r="AM23" s="12">
        <f>COUNTIF(defects!$AC:$AC,Monthly_Pmod!$B23&amp;Monthly_Pmod!$B$3&amp;$B$2&amp;Monthly_Pmod!AM$3&amp;$B$1)</f>
        <v>0</v>
      </c>
      <c r="AN23" s="12">
        <f>COUNTIF(defects!$AC:$AC,Monthly_Pmod!$B23&amp;Monthly_Pmod!$B$3&amp;$B$2&amp;Monthly_Pmod!AN$3&amp;$B$1)</f>
        <v>0</v>
      </c>
      <c r="AO23" s="12">
        <f>COUNTIF(defects!$AC:$AC,Monthly_Pmod!$B23&amp;Monthly_Pmod!$B$3&amp;$B$2&amp;Monthly_Pmod!AO$3&amp;$B$1)</f>
        <v>0</v>
      </c>
      <c r="AP23" s="12">
        <f>COUNTIF(defects!$AC:$AC,Monthly_Pmod!$B23&amp;Monthly_Pmod!$B$3&amp;$B$2&amp;Monthly_Pmod!AP$3&amp;$B$1)</f>
        <v>0</v>
      </c>
      <c r="AQ23" s="12"/>
      <c r="AR23" s="12">
        <f>HLOOKUP(AR$3,Weekly_Pmod!$3:$24,MATCH($B23,Weekly_Pmod!$B$3:$B$24,0),0)</f>
        <v>0</v>
      </c>
      <c r="AS23" s="12">
        <f>HLOOKUP(AS$3,Weekly_Pmod!$3:$24,MATCH($B23,Weekly_Pmod!$B$3:$B$24,0),0)</f>
        <v>0</v>
      </c>
      <c r="AT23" s="12">
        <f>HLOOKUP(AT$3,Weekly_Pmod!$3:$24,MATCH($B23,Weekly_Pmod!$B$3:$B$24,0),0)</f>
        <v>0</v>
      </c>
      <c r="AU23" s="12"/>
      <c r="AV23" s="12">
        <f t="shared" si="2"/>
        <v>0</v>
      </c>
    </row>
    <row r="24" spans="2:48">
      <c r="B24" s="12" t="s">
        <v>996</v>
      </c>
      <c r="C24" s="12">
        <f t="shared" si="0"/>
        <v>0</v>
      </c>
      <c r="D24" s="12">
        <f t="shared" si="0"/>
        <v>0</v>
      </c>
      <c r="E24" s="12"/>
      <c r="F24" s="12">
        <f>COUNTIF(defects!$AC:$AC,Monthly_Pmod!$B24&amp;Monthly_Pmod!$B$3&amp;$B$2&amp;Monthly_Pmod!F$3&amp;$B$1)</f>
        <v>0</v>
      </c>
      <c r="G24" s="12">
        <f>COUNTIF(defects!$AC:$AC,Monthly_Pmod!$B24&amp;Monthly_Pmod!$B$3&amp;$B$2&amp;Monthly_Pmod!G$3&amp;$B$1)</f>
        <v>0</v>
      </c>
      <c r="H24" s="12">
        <f>COUNTIF(defects!$AC:$AC,Monthly_Pmod!$B24&amp;Monthly_Pmod!$B$3&amp;$B$2&amp;Monthly_Pmod!H$3&amp;$B$1)</f>
        <v>0</v>
      </c>
      <c r="I24" s="12">
        <f>COUNTIF(defects!$AC:$AC,Monthly_Pmod!$B24&amp;Monthly_Pmod!$B$3&amp;$B$2&amp;Monthly_Pmod!I$3&amp;$B$1)</f>
        <v>0</v>
      </c>
      <c r="J24" s="12">
        <f>COUNTIF(defects!$AC:$AC,Monthly_Pmod!$B24&amp;Monthly_Pmod!$B$3&amp;$B$2&amp;Monthly_Pmod!J$3&amp;$B$1)</f>
        <v>0</v>
      </c>
      <c r="K24" s="12">
        <f>COUNTIF(defects!$AC:$AC,Monthly_Pmod!$B24&amp;Monthly_Pmod!$B$3&amp;$B$2&amp;Monthly_Pmod!K$3&amp;$B$1)</f>
        <v>0</v>
      </c>
      <c r="L24" s="12">
        <f>COUNTIF(defects!$AC:$AC,Monthly_Pmod!$B24&amp;Monthly_Pmod!$B$3&amp;$B$2&amp;Monthly_Pmod!L$3&amp;$B$1)</f>
        <v>0</v>
      </c>
      <c r="M24" s="12">
        <f>COUNTIF(defects!$AC:$AC,Monthly_Pmod!$B24&amp;Monthly_Pmod!$B$3&amp;$B$2&amp;Monthly_Pmod!M$3&amp;$B$1)</f>
        <v>0</v>
      </c>
      <c r="N24" s="12">
        <f>COUNTIF(defects!$AC:$AC,Monthly_Pmod!$B24&amp;Monthly_Pmod!$B$3&amp;$B$2&amp;Monthly_Pmod!N$3&amp;$B$1)</f>
        <v>0</v>
      </c>
      <c r="O24" s="12">
        <f>COUNTIF(defects!$AC:$AC,Monthly_Pmod!$B24&amp;Monthly_Pmod!$B$3&amp;$B$2&amp;Monthly_Pmod!O$3&amp;$B$1)</f>
        <v>0</v>
      </c>
      <c r="P24" s="12">
        <f>COUNTIF(defects!$AC:$AC,Monthly_Pmod!$B24&amp;Monthly_Pmod!$B$3&amp;$B$2&amp;Monthly_Pmod!P$3&amp;$B$1)</f>
        <v>0</v>
      </c>
      <c r="Q24" s="12">
        <f>COUNTIF(defects!$AC:$AC,Monthly_Pmod!$B24&amp;Monthly_Pmod!$B$3&amp;$B$2&amp;Monthly_Pmod!Q$3&amp;$B$1)</f>
        <v>0</v>
      </c>
      <c r="R24" s="12">
        <f>COUNTIF(defects!$AC:$AC,Monthly_Pmod!$B24&amp;Monthly_Pmod!$B$3&amp;$B$2&amp;Monthly_Pmod!R$3&amp;$B$1)</f>
        <v>0</v>
      </c>
      <c r="S24" s="12">
        <f>COUNTIF(defects!$AC:$AC,Monthly_Pmod!$B24&amp;Monthly_Pmod!$B$3&amp;$B$2&amp;Monthly_Pmod!S$3&amp;$B$1)</f>
        <v>0</v>
      </c>
      <c r="T24" s="12">
        <f>COUNTIF(defects!$AC:$AC,Monthly_Pmod!$B24&amp;Monthly_Pmod!$B$3&amp;$B$2&amp;Monthly_Pmod!T$3&amp;$B$1)</f>
        <v>0</v>
      </c>
      <c r="U24" s="12">
        <f>COUNTIF(defects!$AC:$AC,Monthly_Pmod!$B24&amp;Monthly_Pmod!$B$3&amp;$B$2&amp;Monthly_Pmod!U$3&amp;$B$1)</f>
        <v>0</v>
      </c>
      <c r="V24" s="12">
        <f>COUNTIF(defects!$AC:$AC,Monthly_Pmod!$B24&amp;Monthly_Pmod!$B$3&amp;$B$2&amp;Monthly_Pmod!V$3&amp;$B$1)</f>
        <v>0</v>
      </c>
      <c r="W24" s="12">
        <f>COUNTIF(defects!$AC:$AC,Monthly_Pmod!$B24&amp;Monthly_Pmod!$B$3&amp;$B$2&amp;Monthly_Pmod!W$3&amp;$B$1)</f>
        <v>0</v>
      </c>
      <c r="X24" s="12">
        <f>COUNTIF(defects!$AC:$AC,Monthly_Pmod!$B24&amp;Monthly_Pmod!$B$3&amp;$B$2&amp;Monthly_Pmod!X$3&amp;$B$1)</f>
        <v>0</v>
      </c>
      <c r="Y24" s="12">
        <f>COUNTIF(defects!$AC:$AC,Monthly_Pmod!$B24&amp;Monthly_Pmod!$B$3&amp;$B$2&amp;Monthly_Pmod!Y$3&amp;$B$1)</f>
        <v>0</v>
      </c>
      <c r="Z24" s="12">
        <f>COUNTIF(defects!$AC:$AC,Monthly_Pmod!$B24&amp;Monthly_Pmod!$B$3&amp;$B$2&amp;Monthly_Pmod!Z$3&amp;$B$1)</f>
        <v>0</v>
      </c>
      <c r="AA24" s="12">
        <f>COUNTIF(defects!$AC:$AC,Monthly_Pmod!$B24&amp;Monthly_Pmod!$B$3&amp;$B$2&amp;Monthly_Pmod!AA$3&amp;$B$1)</f>
        <v>0</v>
      </c>
      <c r="AB24" s="12">
        <f>COUNTIF(defects!$AC:$AC,Monthly_Pmod!$B24&amp;Monthly_Pmod!$B$3&amp;$B$2&amp;Monthly_Pmod!AB$3&amp;$B$1)</f>
        <v>0</v>
      </c>
      <c r="AC24" s="12">
        <f>COUNTIF(defects!$AC:$AC,Monthly_Pmod!$B24&amp;Monthly_Pmod!$B$3&amp;$B$2&amp;Monthly_Pmod!AC$3&amp;$B$1)</f>
        <v>0</v>
      </c>
      <c r="AD24" s="12">
        <f>COUNTIF(defects!$AC:$AC,Monthly_Pmod!$B24&amp;Monthly_Pmod!$B$3&amp;$B$2&amp;Monthly_Pmod!AD$3&amp;$B$1)</f>
        <v>0</v>
      </c>
      <c r="AE24" s="12">
        <f>COUNTIF(defects!$AC:$AC,Monthly_Pmod!$B24&amp;Monthly_Pmod!$B$3&amp;$B$2&amp;Monthly_Pmod!AE$3&amp;$B$1)</f>
        <v>0</v>
      </c>
      <c r="AF24" s="12">
        <f>COUNTIF(defects!$AC:$AC,Monthly_Pmod!$B24&amp;Monthly_Pmod!$B$3&amp;$B$2&amp;Monthly_Pmod!AF$3&amp;$B$1)</f>
        <v>0</v>
      </c>
      <c r="AG24" s="12">
        <f>COUNTIF(defects!$AC:$AC,Monthly_Pmod!$B24&amp;Monthly_Pmod!$B$3&amp;$B$2&amp;Monthly_Pmod!AG$3&amp;$B$1)</f>
        <v>0</v>
      </c>
      <c r="AH24" s="12">
        <f>COUNTIF(defects!$AC:$AC,Monthly_Pmod!$B24&amp;Monthly_Pmod!$B$3&amp;$B$2&amp;Monthly_Pmod!AH$3&amp;$B$1)</f>
        <v>0</v>
      </c>
      <c r="AI24" s="12">
        <f>COUNTIF(defects!$AC:$AC,Monthly_Pmod!$B24&amp;Monthly_Pmod!$B$3&amp;$B$2&amp;Monthly_Pmod!AI$3&amp;$B$1)</f>
        <v>0</v>
      </c>
      <c r="AJ24" s="12">
        <f>COUNTIF(defects!$AC:$AC,Monthly_Pmod!$B24&amp;Monthly_Pmod!$B$3&amp;$B$2&amp;Monthly_Pmod!AJ$3&amp;$B$1)</f>
        <v>0</v>
      </c>
      <c r="AK24" s="12">
        <f>COUNTIF(defects!$AC:$AC,Monthly_Pmod!$B24&amp;Monthly_Pmod!$B$3&amp;$B$2&amp;Monthly_Pmod!AK$3&amp;$B$1)</f>
        <v>0</v>
      </c>
      <c r="AL24" s="12">
        <f>COUNTIF(defects!$AC:$AC,Monthly_Pmod!$B24&amp;Monthly_Pmod!$B$3&amp;$B$2&amp;Monthly_Pmod!AL$3&amp;$B$1)</f>
        <v>0</v>
      </c>
      <c r="AM24" s="12">
        <f>COUNTIF(defects!$AC:$AC,Monthly_Pmod!$B24&amp;Monthly_Pmod!$B$3&amp;$B$2&amp;Monthly_Pmod!AM$3&amp;$B$1)</f>
        <v>0</v>
      </c>
      <c r="AN24" s="12">
        <f>COUNTIF(defects!$AC:$AC,Monthly_Pmod!$B24&amp;Monthly_Pmod!$B$3&amp;$B$2&amp;Monthly_Pmod!AN$3&amp;$B$1)</f>
        <v>0</v>
      </c>
      <c r="AO24" s="12">
        <f>COUNTIF(defects!$AC:$AC,Monthly_Pmod!$B24&amp;Monthly_Pmod!$B$3&amp;$B$2&amp;Monthly_Pmod!AO$3&amp;$B$1)</f>
        <v>0</v>
      </c>
      <c r="AP24" s="12">
        <f>COUNTIF(defects!$AC:$AC,Monthly_Pmod!$B24&amp;Monthly_Pmod!$B$3&amp;$B$2&amp;Monthly_Pmod!AP$3&amp;$B$1)</f>
        <v>0</v>
      </c>
      <c r="AQ24" s="12"/>
      <c r="AR24" s="12">
        <f>HLOOKUP(AR$3,Weekly_Pmod!$3:$24,MATCH($B24,Weekly_Pmod!$B$3:$B$24,0),0)</f>
        <v>0</v>
      </c>
      <c r="AS24" s="12">
        <f>HLOOKUP(AS$3,Weekly_Pmod!$3:$24,MATCH($B24,Weekly_Pmod!$B$3:$B$24,0),0)</f>
        <v>0</v>
      </c>
      <c r="AT24" s="12">
        <f>HLOOKUP(AT$3,Weekly_Pmod!$3:$24,MATCH($B24,Weekly_Pmod!$B$3:$B$24,0),0)</f>
        <v>0</v>
      </c>
      <c r="AU24" s="12"/>
      <c r="AV24" s="12">
        <f t="shared" si="2"/>
        <v>0</v>
      </c>
    </row>
    <row r="25" spans="2:48" ht="14.15" customHeight="1"/>
    <row r="26" spans="2:48">
      <c r="B26" s="12"/>
      <c r="C26" s="10" t="str">
        <f t="shared" ref="C26:D26" si="3">C3</f>
        <v>FY21 TTL</v>
      </c>
      <c r="D26" s="10" t="str">
        <f t="shared" si="3"/>
        <v>FY22 TTL</v>
      </c>
      <c r="E26" s="10"/>
      <c r="F26" s="10" t="str">
        <f>F3</f>
        <v>20 Jan</v>
      </c>
      <c r="G26" s="10" t="str">
        <f t="shared" ref="G26:AV26" si="4">G3</f>
        <v>20 Feb</v>
      </c>
      <c r="H26" s="10" t="str">
        <f t="shared" si="4"/>
        <v>20 Mar</v>
      </c>
      <c r="I26" s="10" t="str">
        <f t="shared" si="4"/>
        <v>20 Apr</v>
      </c>
      <c r="J26" s="10" t="str">
        <f t="shared" si="4"/>
        <v>20 May</v>
      </c>
      <c r="K26" s="10" t="str">
        <f t="shared" si="4"/>
        <v>20 Jun</v>
      </c>
      <c r="L26" s="10" t="str">
        <f t="shared" si="4"/>
        <v>20 Jul</v>
      </c>
      <c r="M26" s="10" t="str">
        <f t="shared" si="4"/>
        <v>20 Aug</v>
      </c>
      <c r="N26" s="10" t="str">
        <f t="shared" si="4"/>
        <v>20 Sep</v>
      </c>
      <c r="O26" s="10" t="str">
        <f t="shared" si="4"/>
        <v>20 Oct</v>
      </c>
      <c r="P26" s="10" t="str">
        <f t="shared" si="4"/>
        <v>20 Nov</v>
      </c>
      <c r="Q26" s="10" t="str">
        <f t="shared" si="4"/>
        <v>20 Dec</v>
      </c>
      <c r="R26" s="10" t="str">
        <f t="shared" si="4"/>
        <v>21 Jan</v>
      </c>
      <c r="S26" s="10" t="str">
        <f t="shared" si="4"/>
        <v>21 Feb</v>
      </c>
      <c r="T26" s="10" t="str">
        <f t="shared" si="4"/>
        <v>21 Mar</v>
      </c>
      <c r="U26" s="10" t="str">
        <f t="shared" si="4"/>
        <v>21 Apr</v>
      </c>
      <c r="V26" s="10" t="str">
        <f t="shared" si="4"/>
        <v>21 May</v>
      </c>
      <c r="W26" s="10" t="str">
        <f t="shared" si="4"/>
        <v>21 Jun</v>
      </c>
      <c r="X26" s="10" t="str">
        <f t="shared" si="4"/>
        <v>21 Jul</v>
      </c>
      <c r="Y26" s="10" t="str">
        <f t="shared" si="4"/>
        <v>21 Aug</v>
      </c>
      <c r="Z26" s="10" t="str">
        <f t="shared" si="4"/>
        <v>21 Sep</v>
      </c>
      <c r="AA26" s="10" t="str">
        <f t="shared" si="4"/>
        <v>21 Oct</v>
      </c>
      <c r="AB26" s="10" t="str">
        <f t="shared" si="4"/>
        <v>21 Nov</v>
      </c>
      <c r="AC26" s="10" t="str">
        <f t="shared" si="4"/>
        <v>21 Dec</v>
      </c>
      <c r="AD26" s="10" t="str">
        <f t="shared" si="4"/>
        <v>22 Jan</v>
      </c>
      <c r="AE26" s="10" t="str">
        <f t="shared" si="4"/>
        <v>22 Feb</v>
      </c>
      <c r="AF26" s="10" t="str">
        <f t="shared" si="4"/>
        <v>22 Mar</v>
      </c>
      <c r="AG26" s="10" t="str">
        <f t="shared" si="4"/>
        <v>22 Apr</v>
      </c>
      <c r="AH26" s="10" t="str">
        <f t="shared" si="4"/>
        <v>22 May</v>
      </c>
      <c r="AI26" s="10" t="str">
        <f t="shared" si="4"/>
        <v>22 Jun</v>
      </c>
      <c r="AJ26" s="10" t="str">
        <f t="shared" si="4"/>
        <v>22 Jul</v>
      </c>
      <c r="AK26" s="10" t="str">
        <f t="shared" si="4"/>
        <v>22 Aug</v>
      </c>
      <c r="AL26" s="10" t="str">
        <f t="shared" si="4"/>
        <v>22 Sep</v>
      </c>
      <c r="AM26" s="10" t="str">
        <f t="shared" si="4"/>
        <v>22 Oct</v>
      </c>
      <c r="AN26" s="10" t="str">
        <f t="shared" si="4"/>
        <v>22 Nov</v>
      </c>
      <c r="AO26" s="10" t="str">
        <f t="shared" si="4"/>
        <v>22 Dec</v>
      </c>
      <c r="AP26" s="10" t="str">
        <f t="shared" si="4"/>
        <v>23 Jan</v>
      </c>
      <c r="AQ26" s="10"/>
      <c r="AR26" s="11">
        <f t="shared" si="4"/>
        <v>2151</v>
      </c>
      <c r="AS26" s="11">
        <f t="shared" si="4"/>
        <v>2152</v>
      </c>
      <c r="AT26" s="11">
        <f t="shared" si="4"/>
        <v>2201</v>
      </c>
      <c r="AU26" s="10"/>
      <c r="AV26" s="10" t="str">
        <f t="shared" si="4"/>
        <v>TTL</v>
      </c>
    </row>
    <row r="27" spans="2:48" s="7" customFormat="1">
      <c r="B27" s="13" t="s">
        <v>1014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>
      <c r="B28" s="13" t="s">
        <v>989</v>
      </c>
      <c r="C28" s="11">
        <f t="shared" ref="C28:D28" si="5">C4</f>
        <v>14673</v>
      </c>
      <c r="D28" s="11">
        <f t="shared" si="5"/>
        <v>0</v>
      </c>
      <c r="E28" s="11"/>
      <c r="F28" s="11">
        <f t="shared" ref="F28:AP28" si="6">F4</f>
        <v>0</v>
      </c>
      <c r="G28" s="11">
        <f t="shared" si="6"/>
        <v>0</v>
      </c>
      <c r="H28" s="11">
        <f t="shared" si="6"/>
        <v>0</v>
      </c>
      <c r="I28" s="11">
        <f t="shared" si="6"/>
        <v>0</v>
      </c>
      <c r="J28" s="11">
        <f t="shared" si="6"/>
        <v>0</v>
      </c>
      <c r="K28" s="11">
        <f t="shared" si="6"/>
        <v>0</v>
      </c>
      <c r="L28" s="11">
        <f t="shared" si="6"/>
        <v>0</v>
      </c>
      <c r="M28" s="11">
        <f t="shared" si="6"/>
        <v>0</v>
      </c>
      <c r="N28" s="11">
        <f t="shared" si="6"/>
        <v>0</v>
      </c>
      <c r="O28" s="11">
        <f t="shared" si="6"/>
        <v>0</v>
      </c>
      <c r="P28" s="11">
        <f t="shared" si="6"/>
        <v>0</v>
      </c>
      <c r="Q28" s="11">
        <f t="shared" si="6"/>
        <v>0</v>
      </c>
      <c r="R28" s="11">
        <f t="shared" si="6"/>
        <v>0</v>
      </c>
      <c r="S28" s="11">
        <f t="shared" si="6"/>
        <v>0</v>
      </c>
      <c r="T28" s="11">
        <f t="shared" si="6"/>
        <v>0</v>
      </c>
      <c r="U28" s="11">
        <f t="shared" si="6"/>
        <v>0</v>
      </c>
      <c r="V28" s="11">
        <f t="shared" si="6"/>
        <v>1015</v>
      </c>
      <c r="W28" s="11">
        <f t="shared" si="6"/>
        <v>897</v>
      </c>
      <c r="X28" s="11">
        <f t="shared" si="6"/>
        <v>3172</v>
      </c>
      <c r="Y28" s="11">
        <f t="shared" si="6"/>
        <v>2771</v>
      </c>
      <c r="Z28" s="11">
        <f t="shared" si="6"/>
        <v>2702</v>
      </c>
      <c r="AA28" s="11">
        <f t="shared" si="6"/>
        <v>895</v>
      </c>
      <c r="AB28" s="11">
        <f t="shared" si="6"/>
        <v>2424</v>
      </c>
      <c r="AC28" s="11">
        <f t="shared" si="6"/>
        <v>797</v>
      </c>
      <c r="AD28" s="11">
        <f t="shared" si="6"/>
        <v>0</v>
      </c>
      <c r="AE28" s="11">
        <f t="shared" si="6"/>
        <v>0</v>
      </c>
      <c r="AF28" s="11">
        <f t="shared" si="6"/>
        <v>0</v>
      </c>
      <c r="AG28" s="11">
        <f t="shared" si="6"/>
        <v>0</v>
      </c>
      <c r="AH28" s="11">
        <f t="shared" si="6"/>
        <v>0</v>
      </c>
      <c r="AI28" s="11">
        <f t="shared" si="6"/>
        <v>0</v>
      </c>
      <c r="AJ28" s="11">
        <f t="shared" si="6"/>
        <v>0</v>
      </c>
      <c r="AK28" s="11">
        <f t="shared" si="6"/>
        <v>0</v>
      </c>
      <c r="AL28" s="11">
        <f t="shared" si="6"/>
        <v>0</v>
      </c>
      <c r="AM28" s="11">
        <f t="shared" si="6"/>
        <v>0</v>
      </c>
      <c r="AN28" s="11">
        <f t="shared" si="6"/>
        <v>0</v>
      </c>
      <c r="AO28" s="11">
        <f t="shared" si="6"/>
        <v>0</v>
      </c>
      <c r="AP28" s="11">
        <f t="shared" si="6"/>
        <v>0</v>
      </c>
      <c r="AQ28" s="11"/>
      <c r="AR28" s="11">
        <f>AR4</f>
        <v>0</v>
      </c>
      <c r="AS28" s="11">
        <f>AS4</f>
        <v>103</v>
      </c>
      <c r="AT28" s="11">
        <f>AT4</f>
        <v>0</v>
      </c>
      <c r="AU28" s="11"/>
      <c r="AV28" s="11">
        <f>AV4</f>
        <v>14673</v>
      </c>
    </row>
    <row r="29" spans="2:48">
      <c r="B29" s="12" t="s">
        <v>1018</v>
      </c>
      <c r="C29" s="12">
        <f t="shared" ref="C29:R44" si="7">IFERROR(ROUNDUP(C5/C$4*10^6,0),0)</f>
        <v>1295</v>
      </c>
      <c r="D29" s="12">
        <f t="shared" si="7"/>
        <v>0</v>
      </c>
      <c r="E29" s="12"/>
      <c r="F29" s="12">
        <f t="shared" ref="F29:U44" si="8">IFERROR(ROUNDUP(F5/F$4*10^6,0),0)</f>
        <v>0</v>
      </c>
      <c r="G29" s="12">
        <f t="shared" si="8"/>
        <v>0</v>
      </c>
      <c r="H29" s="12">
        <f t="shared" si="8"/>
        <v>0</v>
      </c>
      <c r="I29" s="12">
        <f t="shared" si="8"/>
        <v>0</v>
      </c>
      <c r="J29" s="12">
        <f t="shared" si="8"/>
        <v>0</v>
      </c>
      <c r="K29" s="12">
        <f t="shared" si="8"/>
        <v>0</v>
      </c>
      <c r="L29" s="12">
        <f t="shared" si="8"/>
        <v>0</v>
      </c>
      <c r="M29" s="12">
        <f t="shared" si="8"/>
        <v>0</v>
      </c>
      <c r="N29" s="12">
        <f t="shared" si="8"/>
        <v>0</v>
      </c>
      <c r="O29" s="12">
        <f t="shared" si="8"/>
        <v>0</v>
      </c>
      <c r="P29" s="12">
        <f t="shared" si="8"/>
        <v>0</v>
      </c>
      <c r="Q29" s="12">
        <f t="shared" si="8"/>
        <v>0</v>
      </c>
      <c r="R29" s="12">
        <f t="shared" si="8"/>
        <v>0</v>
      </c>
      <c r="S29" s="12">
        <f>IFERROR(ROUNDUP(S5/S$4*10^6,0),0)</f>
        <v>0</v>
      </c>
      <c r="T29" s="12">
        <f t="shared" ref="T29:AP41" si="9">IFERROR(ROUNDUP(T5/T$4*10^6,0),0)</f>
        <v>0</v>
      </c>
      <c r="U29" s="12">
        <f t="shared" si="9"/>
        <v>0</v>
      </c>
      <c r="V29" s="12">
        <f t="shared" si="9"/>
        <v>1971</v>
      </c>
      <c r="W29" s="12">
        <f t="shared" si="9"/>
        <v>1115</v>
      </c>
      <c r="X29" s="12">
        <f t="shared" si="9"/>
        <v>2523</v>
      </c>
      <c r="Y29" s="12">
        <f t="shared" si="9"/>
        <v>1083</v>
      </c>
      <c r="Z29" s="12">
        <f t="shared" si="9"/>
        <v>1111</v>
      </c>
      <c r="AA29" s="12">
        <f t="shared" si="9"/>
        <v>1118</v>
      </c>
      <c r="AB29" s="12">
        <f t="shared" si="9"/>
        <v>413</v>
      </c>
      <c r="AC29" s="12">
        <f t="shared" si="9"/>
        <v>0</v>
      </c>
      <c r="AD29" s="12">
        <f t="shared" si="9"/>
        <v>0</v>
      </c>
      <c r="AE29" s="12">
        <f t="shared" si="9"/>
        <v>0</v>
      </c>
      <c r="AF29" s="12">
        <f t="shared" si="9"/>
        <v>0</v>
      </c>
      <c r="AG29" s="12">
        <f t="shared" si="9"/>
        <v>0</v>
      </c>
      <c r="AH29" s="12">
        <f t="shared" si="9"/>
        <v>0</v>
      </c>
      <c r="AI29" s="12">
        <f t="shared" si="9"/>
        <v>0</v>
      </c>
      <c r="AJ29" s="12">
        <f t="shared" si="9"/>
        <v>0</v>
      </c>
      <c r="AK29" s="12">
        <f t="shared" si="9"/>
        <v>0</v>
      </c>
      <c r="AL29" s="12">
        <f t="shared" si="9"/>
        <v>0</v>
      </c>
      <c r="AM29" s="12">
        <f t="shared" si="9"/>
        <v>0</v>
      </c>
      <c r="AN29" s="12">
        <f t="shared" si="9"/>
        <v>0</v>
      </c>
      <c r="AO29" s="12">
        <f t="shared" si="9"/>
        <v>0</v>
      </c>
      <c r="AP29" s="12">
        <f t="shared" si="9"/>
        <v>0</v>
      </c>
      <c r="AQ29" s="12"/>
      <c r="AR29" s="12">
        <f>IFERROR(ROUNDUP(AR5/AR$4*10^6,0),0)</f>
        <v>0</v>
      </c>
      <c r="AS29" s="12">
        <f>IFERROR(ROUNDUP(AS5/AS$4*10^6,0),0)</f>
        <v>0</v>
      </c>
      <c r="AT29" s="12">
        <f>IFERROR(ROUNDUP(AT5/AT$4*10^6,0),0)</f>
        <v>0</v>
      </c>
      <c r="AU29" s="12"/>
      <c r="AV29" s="12">
        <f>IFERROR(ROUNDUP(AV5/$AV$4*10^6,0),0)</f>
        <v>1295</v>
      </c>
    </row>
    <row r="30" spans="2:48">
      <c r="B30" s="12" t="s">
        <v>991</v>
      </c>
      <c r="C30" s="12">
        <f t="shared" si="7"/>
        <v>0</v>
      </c>
      <c r="D30" s="12">
        <f t="shared" si="7"/>
        <v>0</v>
      </c>
      <c r="E30" s="12">
        <f t="shared" si="7"/>
        <v>0</v>
      </c>
      <c r="F30" s="12">
        <f>IFERROR(ROUNDUP(F6/F$4*10^6,0),0)</f>
        <v>0</v>
      </c>
      <c r="G30" s="12">
        <f t="shared" si="8"/>
        <v>0</v>
      </c>
      <c r="H30" s="12">
        <f t="shared" si="8"/>
        <v>0</v>
      </c>
      <c r="I30" s="12">
        <f t="shared" si="8"/>
        <v>0</v>
      </c>
      <c r="J30" s="12">
        <f t="shared" si="8"/>
        <v>0</v>
      </c>
      <c r="K30" s="12">
        <f t="shared" si="8"/>
        <v>0</v>
      </c>
      <c r="L30" s="12">
        <f t="shared" si="8"/>
        <v>0</v>
      </c>
      <c r="M30" s="12">
        <f t="shared" si="8"/>
        <v>0</v>
      </c>
      <c r="N30" s="12">
        <f t="shared" si="8"/>
        <v>0</v>
      </c>
      <c r="O30" s="12">
        <f t="shared" si="8"/>
        <v>0</v>
      </c>
      <c r="P30" s="12">
        <f t="shared" si="8"/>
        <v>0</v>
      </c>
      <c r="Q30" s="12">
        <f t="shared" si="8"/>
        <v>0</v>
      </c>
      <c r="R30" s="12">
        <f t="shared" si="8"/>
        <v>0</v>
      </c>
      <c r="S30" s="12">
        <f t="shared" si="8"/>
        <v>0</v>
      </c>
      <c r="T30" s="12">
        <f t="shared" si="8"/>
        <v>0</v>
      </c>
      <c r="U30" s="12">
        <f t="shared" si="8"/>
        <v>0</v>
      </c>
      <c r="V30" s="12">
        <f t="shared" si="9"/>
        <v>0</v>
      </c>
      <c r="W30" s="12">
        <f t="shared" si="9"/>
        <v>0</v>
      </c>
      <c r="X30" s="12">
        <f t="shared" si="9"/>
        <v>0</v>
      </c>
      <c r="Y30" s="12">
        <f t="shared" si="9"/>
        <v>0</v>
      </c>
      <c r="Z30" s="12">
        <f t="shared" si="9"/>
        <v>0</v>
      </c>
      <c r="AA30" s="12">
        <f t="shared" si="9"/>
        <v>0</v>
      </c>
      <c r="AB30" s="12">
        <f t="shared" si="9"/>
        <v>0</v>
      </c>
      <c r="AC30" s="12">
        <f t="shared" si="9"/>
        <v>0</v>
      </c>
      <c r="AD30" s="12">
        <f t="shared" si="9"/>
        <v>0</v>
      </c>
      <c r="AE30" s="12">
        <f t="shared" si="9"/>
        <v>0</v>
      </c>
      <c r="AF30" s="12">
        <f t="shared" si="9"/>
        <v>0</v>
      </c>
      <c r="AG30" s="12">
        <f t="shared" si="9"/>
        <v>0</v>
      </c>
      <c r="AH30" s="12">
        <f t="shared" si="9"/>
        <v>0</v>
      </c>
      <c r="AI30" s="12">
        <f t="shared" si="9"/>
        <v>0</v>
      </c>
      <c r="AJ30" s="12">
        <f t="shared" si="9"/>
        <v>0</v>
      </c>
      <c r="AK30" s="12">
        <f t="shared" si="9"/>
        <v>0</v>
      </c>
      <c r="AL30" s="12">
        <f t="shared" si="9"/>
        <v>0</v>
      </c>
      <c r="AM30" s="12">
        <f t="shared" si="9"/>
        <v>0</v>
      </c>
      <c r="AN30" s="12">
        <f t="shared" si="9"/>
        <v>0</v>
      </c>
      <c r="AO30" s="12">
        <f t="shared" si="9"/>
        <v>0</v>
      </c>
      <c r="AP30" s="12">
        <f t="shared" si="9"/>
        <v>0</v>
      </c>
      <c r="AQ30" s="12">
        <f t="shared" ref="AQ30:AT40" si="10">IFERROR(ROUNDUP(AQ6/AQ$4*10^6,0),0)</f>
        <v>0</v>
      </c>
      <c r="AR30" s="12">
        <f t="shared" si="10"/>
        <v>0</v>
      </c>
      <c r="AS30" s="12">
        <f t="shared" si="10"/>
        <v>0</v>
      </c>
      <c r="AT30" s="12">
        <f t="shared" si="10"/>
        <v>0</v>
      </c>
      <c r="AU30" s="12"/>
      <c r="AV30" s="12">
        <f t="shared" ref="AV30:AV48" si="11">IFERROR(ROUNDUP(AV6/$AV$4*10^6,0),0)</f>
        <v>0</v>
      </c>
    </row>
    <row r="31" spans="2:48">
      <c r="B31" s="12" t="s">
        <v>957</v>
      </c>
      <c r="C31" s="12">
        <f t="shared" si="7"/>
        <v>69</v>
      </c>
      <c r="D31" s="12">
        <f t="shared" si="7"/>
        <v>0</v>
      </c>
      <c r="E31" s="12">
        <f t="shared" si="7"/>
        <v>0</v>
      </c>
      <c r="F31" s="12">
        <f t="shared" si="7"/>
        <v>0</v>
      </c>
      <c r="G31" s="12">
        <f t="shared" si="7"/>
        <v>0</v>
      </c>
      <c r="H31" s="12">
        <f t="shared" si="7"/>
        <v>0</v>
      </c>
      <c r="I31" s="12">
        <f t="shared" si="7"/>
        <v>0</v>
      </c>
      <c r="J31" s="12">
        <f t="shared" si="7"/>
        <v>0</v>
      </c>
      <c r="K31" s="12">
        <f t="shared" si="7"/>
        <v>0</v>
      </c>
      <c r="L31" s="12">
        <f t="shared" si="7"/>
        <v>0</v>
      </c>
      <c r="M31" s="12">
        <f t="shared" si="7"/>
        <v>0</v>
      </c>
      <c r="N31" s="12">
        <f t="shared" si="7"/>
        <v>0</v>
      </c>
      <c r="O31" s="12">
        <f t="shared" si="7"/>
        <v>0</v>
      </c>
      <c r="P31" s="12">
        <f t="shared" si="7"/>
        <v>0</v>
      </c>
      <c r="Q31" s="12">
        <f t="shared" si="7"/>
        <v>0</v>
      </c>
      <c r="R31" s="12">
        <f t="shared" si="7"/>
        <v>0</v>
      </c>
      <c r="S31" s="12">
        <f t="shared" si="8"/>
        <v>0</v>
      </c>
      <c r="T31" s="12">
        <f t="shared" si="8"/>
        <v>0</v>
      </c>
      <c r="U31" s="12">
        <f t="shared" si="8"/>
        <v>0</v>
      </c>
      <c r="V31" s="12">
        <f t="shared" si="9"/>
        <v>0</v>
      </c>
      <c r="W31" s="12">
        <f t="shared" si="9"/>
        <v>0</v>
      </c>
      <c r="X31" s="12">
        <f t="shared" si="9"/>
        <v>316</v>
      </c>
      <c r="Y31" s="12">
        <f t="shared" si="9"/>
        <v>0</v>
      </c>
      <c r="Z31" s="12">
        <f t="shared" si="9"/>
        <v>0</v>
      </c>
      <c r="AA31" s="12">
        <f t="shared" si="9"/>
        <v>0</v>
      </c>
      <c r="AB31" s="12">
        <f t="shared" si="9"/>
        <v>0</v>
      </c>
      <c r="AC31" s="12">
        <f t="shared" si="9"/>
        <v>0</v>
      </c>
      <c r="AD31" s="12">
        <f t="shared" si="9"/>
        <v>0</v>
      </c>
      <c r="AE31" s="12">
        <f t="shared" si="9"/>
        <v>0</v>
      </c>
      <c r="AF31" s="12">
        <f t="shared" si="9"/>
        <v>0</v>
      </c>
      <c r="AG31" s="12">
        <f t="shared" si="9"/>
        <v>0</v>
      </c>
      <c r="AH31" s="12">
        <f t="shared" si="9"/>
        <v>0</v>
      </c>
      <c r="AI31" s="12">
        <f t="shared" si="9"/>
        <v>0</v>
      </c>
      <c r="AJ31" s="12">
        <f t="shared" si="9"/>
        <v>0</v>
      </c>
      <c r="AK31" s="12">
        <f t="shared" si="9"/>
        <v>0</v>
      </c>
      <c r="AL31" s="12">
        <f t="shared" si="9"/>
        <v>0</v>
      </c>
      <c r="AM31" s="12">
        <f t="shared" si="9"/>
        <v>0</v>
      </c>
      <c r="AN31" s="12">
        <f t="shared" si="9"/>
        <v>0</v>
      </c>
      <c r="AO31" s="12">
        <f t="shared" si="9"/>
        <v>0</v>
      </c>
      <c r="AP31" s="12">
        <f t="shared" si="9"/>
        <v>0</v>
      </c>
      <c r="AQ31" s="12">
        <f t="shared" si="10"/>
        <v>0</v>
      </c>
      <c r="AR31" s="12">
        <f t="shared" si="10"/>
        <v>0</v>
      </c>
      <c r="AS31" s="12">
        <f t="shared" si="10"/>
        <v>0</v>
      </c>
      <c r="AT31" s="12">
        <f t="shared" si="10"/>
        <v>0</v>
      </c>
      <c r="AU31" s="12"/>
      <c r="AV31" s="12">
        <f t="shared" si="11"/>
        <v>69</v>
      </c>
    </row>
    <row r="32" spans="2:48">
      <c r="B32" s="12" t="s">
        <v>955</v>
      </c>
      <c r="C32" s="12">
        <f t="shared" si="7"/>
        <v>205</v>
      </c>
      <c r="D32" s="12">
        <f t="shared" si="7"/>
        <v>0</v>
      </c>
      <c r="E32" s="12">
        <f t="shared" si="7"/>
        <v>0</v>
      </c>
      <c r="F32" s="12">
        <f t="shared" si="8"/>
        <v>0</v>
      </c>
      <c r="G32" s="12">
        <f t="shared" si="8"/>
        <v>0</v>
      </c>
      <c r="H32" s="12">
        <f t="shared" si="8"/>
        <v>0</v>
      </c>
      <c r="I32" s="12">
        <f t="shared" si="8"/>
        <v>0</v>
      </c>
      <c r="J32" s="12">
        <f t="shared" si="8"/>
        <v>0</v>
      </c>
      <c r="K32" s="12">
        <f t="shared" si="8"/>
        <v>0</v>
      </c>
      <c r="L32" s="12">
        <f t="shared" si="8"/>
        <v>0</v>
      </c>
      <c r="M32" s="12">
        <f t="shared" si="8"/>
        <v>0</v>
      </c>
      <c r="N32" s="12">
        <f t="shared" si="8"/>
        <v>0</v>
      </c>
      <c r="O32" s="12">
        <f t="shared" si="8"/>
        <v>0</v>
      </c>
      <c r="P32" s="12">
        <f t="shared" si="8"/>
        <v>0</v>
      </c>
      <c r="Q32" s="12">
        <f t="shared" si="8"/>
        <v>0</v>
      </c>
      <c r="R32" s="12">
        <f t="shared" si="8"/>
        <v>0</v>
      </c>
      <c r="S32" s="12">
        <f t="shared" si="8"/>
        <v>0</v>
      </c>
      <c r="T32" s="12">
        <f t="shared" si="8"/>
        <v>0</v>
      </c>
      <c r="U32" s="12">
        <f t="shared" si="8"/>
        <v>0</v>
      </c>
      <c r="V32" s="12">
        <f t="shared" si="9"/>
        <v>986</v>
      </c>
      <c r="W32" s="12">
        <f t="shared" si="9"/>
        <v>0</v>
      </c>
      <c r="X32" s="12">
        <f t="shared" si="9"/>
        <v>0</v>
      </c>
      <c r="Y32" s="12">
        <f t="shared" si="9"/>
        <v>361</v>
      </c>
      <c r="Z32" s="12">
        <f t="shared" si="9"/>
        <v>371</v>
      </c>
      <c r="AA32" s="12">
        <f t="shared" si="9"/>
        <v>0</v>
      </c>
      <c r="AB32" s="12">
        <f t="shared" si="9"/>
        <v>0</v>
      </c>
      <c r="AC32" s="12">
        <f t="shared" si="9"/>
        <v>0</v>
      </c>
      <c r="AD32" s="12">
        <f t="shared" si="9"/>
        <v>0</v>
      </c>
      <c r="AE32" s="12">
        <f t="shared" si="9"/>
        <v>0</v>
      </c>
      <c r="AF32" s="12">
        <f t="shared" si="9"/>
        <v>0</v>
      </c>
      <c r="AG32" s="12">
        <f t="shared" si="9"/>
        <v>0</v>
      </c>
      <c r="AH32" s="12">
        <f t="shared" si="9"/>
        <v>0</v>
      </c>
      <c r="AI32" s="12">
        <f t="shared" si="9"/>
        <v>0</v>
      </c>
      <c r="AJ32" s="12">
        <f t="shared" si="9"/>
        <v>0</v>
      </c>
      <c r="AK32" s="12">
        <f t="shared" si="9"/>
        <v>0</v>
      </c>
      <c r="AL32" s="12">
        <f t="shared" si="9"/>
        <v>0</v>
      </c>
      <c r="AM32" s="12">
        <f t="shared" si="9"/>
        <v>0</v>
      </c>
      <c r="AN32" s="12">
        <f t="shared" si="9"/>
        <v>0</v>
      </c>
      <c r="AO32" s="12">
        <f t="shared" si="9"/>
        <v>0</v>
      </c>
      <c r="AP32" s="12">
        <f t="shared" si="9"/>
        <v>0</v>
      </c>
      <c r="AQ32" s="12">
        <f t="shared" si="10"/>
        <v>0</v>
      </c>
      <c r="AR32" s="12">
        <f t="shared" si="10"/>
        <v>0</v>
      </c>
      <c r="AS32" s="12">
        <f t="shared" si="10"/>
        <v>0</v>
      </c>
      <c r="AT32" s="12">
        <f t="shared" si="10"/>
        <v>0</v>
      </c>
      <c r="AU32" s="12"/>
      <c r="AV32" s="12">
        <f t="shared" si="11"/>
        <v>205</v>
      </c>
    </row>
    <row r="33" spans="2:48">
      <c r="B33" s="12" t="s">
        <v>953</v>
      </c>
      <c r="C33" s="12">
        <f t="shared" si="7"/>
        <v>0</v>
      </c>
      <c r="D33" s="12">
        <f t="shared" si="7"/>
        <v>0</v>
      </c>
      <c r="E33" s="12">
        <f t="shared" si="7"/>
        <v>0</v>
      </c>
      <c r="F33" s="12">
        <f t="shared" si="8"/>
        <v>0</v>
      </c>
      <c r="G33" s="12">
        <f t="shared" si="8"/>
        <v>0</v>
      </c>
      <c r="H33" s="12">
        <f t="shared" si="8"/>
        <v>0</v>
      </c>
      <c r="I33" s="12">
        <f t="shared" si="8"/>
        <v>0</v>
      </c>
      <c r="J33" s="12">
        <f t="shared" si="8"/>
        <v>0</v>
      </c>
      <c r="K33" s="12">
        <f t="shared" si="8"/>
        <v>0</v>
      </c>
      <c r="L33" s="12">
        <f t="shared" si="8"/>
        <v>0</v>
      </c>
      <c r="M33" s="12">
        <f t="shared" si="8"/>
        <v>0</v>
      </c>
      <c r="N33" s="12">
        <f t="shared" si="8"/>
        <v>0</v>
      </c>
      <c r="O33" s="12">
        <f t="shared" si="8"/>
        <v>0</v>
      </c>
      <c r="P33" s="12">
        <f t="shared" si="8"/>
        <v>0</v>
      </c>
      <c r="Q33" s="12">
        <f t="shared" si="8"/>
        <v>0</v>
      </c>
      <c r="R33" s="12">
        <f t="shared" si="8"/>
        <v>0</v>
      </c>
      <c r="S33" s="12">
        <f t="shared" si="8"/>
        <v>0</v>
      </c>
      <c r="T33" s="12">
        <f t="shared" si="8"/>
        <v>0</v>
      </c>
      <c r="U33" s="12">
        <f t="shared" si="8"/>
        <v>0</v>
      </c>
      <c r="V33" s="12">
        <f t="shared" si="9"/>
        <v>0</v>
      </c>
      <c r="W33" s="12">
        <f t="shared" si="9"/>
        <v>0</v>
      </c>
      <c r="X33" s="12">
        <f t="shared" si="9"/>
        <v>0</v>
      </c>
      <c r="Y33" s="12">
        <f t="shared" si="9"/>
        <v>0</v>
      </c>
      <c r="Z33" s="12">
        <f t="shared" si="9"/>
        <v>0</v>
      </c>
      <c r="AA33" s="12">
        <f t="shared" si="9"/>
        <v>0</v>
      </c>
      <c r="AB33" s="12">
        <f t="shared" si="9"/>
        <v>0</v>
      </c>
      <c r="AC33" s="12">
        <f t="shared" si="9"/>
        <v>0</v>
      </c>
      <c r="AD33" s="12">
        <f t="shared" si="9"/>
        <v>0</v>
      </c>
      <c r="AE33" s="12">
        <f t="shared" si="9"/>
        <v>0</v>
      </c>
      <c r="AF33" s="12">
        <f t="shared" si="9"/>
        <v>0</v>
      </c>
      <c r="AG33" s="12">
        <f t="shared" si="9"/>
        <v>0</v>
      </c>
      <c r="AH33" s="12">
        <f t="shared" si="9"/>
        <v>0</v>
      </c>
      <c r="AI33" s="12">
        <f t="shared" si="9"/>
        <v>0</v>
      </c>
      <c r="AJ33" s="12">
        <f t="shared" si="9"/>
        <v>0</v>
      </c>
      <c r="AK33" s="12">
        <f t="shared" si="9"/>
        <v>0</v>
      </c>
      <c r="AL33" s="12">
        <f t="shared" si="9"/>
        <v>0</v>
      </c>
      <c r="AM33" s="12">
        <f t="shared" si="9"/>
        <v>0</v>
      </c>
      <c r="AN33" s="12">
        <f t="shared" si="9"/>
        <v>0</v>
      </c>
      <c r="AO33" s="12">
        <f t="shared" si="9"/>
        <v>0</v>
      </c>
      <c r="AP33" s="12">
        <f t="shared" si="9"/>
        <v>0</v>
      </c>
      <c r="AQ33" s="12">
        <f t="shared" si="10"/>
        <v>0</v>
      </c>
      <c r="AR33" s="12">
        <f t="shared" si="10"/>
        <v>0</v>
      </c>
      <c r="AS33" s="12">
        <f t="shared" si="10"/>
        <v>0</v>
      </c>
      <c r="AT33" s="12">
        <f t="shared" si="10"/>
        <v>0</v>
      </c>
      <c r="AU33" s="12"/>
      <c r="AV33" s="12">
        <f t="shared" si="11"/>
        <v>0</v>
      </c>
    </row>
    <row r="34" spans="2:48">
      <c r="B34" s="12" t="s">
        <v>954</v>
      </c>
      <c r="C34" s="12">
        <f t="shared" si="7"/>
        <v>0</v>
      </c>
      <c r="D34" s="12">
        <f t="shared" si="7"/>
        <v>0</v>
      </c>
      <c r="E34" s="12">
        <f t="shared" si="7"/>
        <v>0</v>
      </c>
      <c r="F34" s="12">
        <f t="shared" si="8"/>
        <v>0</v>
      </c>
      <c r="G34" s="12">
        <f t="shared" si="8"/>
        <v>0</v>
      </c>
      <c r="H34" s="12">
        <f t="shared" si="8"/>
        <v>0</v>
      </c>
      <c r="I34" s="12">
        <f t="shared" si="8"/>
        <v>0</v>
      </c>
      <c r="J34" s="12">
        <f t="shared" si="8"/>
        <v>0</v>
      </c>
      <c r="K34" s="12">
        <f t="shared" si="8"/>
        <v>0</v>
      </c>
      <c r="L34" s="12">
        <f t="shared" si="8"/>
        <v>0</v>
      </c>
      <c r="M34" s="12">
        <f t="shared" si="8"/>
        <v>0</v>
      </c>
      <c r="N34" s="12">
        <f t="shared" si="8"/>
        <v>0</v>
      </c>
      <c r="O34" s="12">
        <f t="shared" si="8"/>
        <v>0</v>
      </c>
      <c r="P34" s="12">
        <f t="shared" si="8"/>
        <v>0</v>
      </c>
      <c r="Q34" s="12">
        <f t="shared" si="8"/>
        <v>0</v>
      </c>
      <c r="R34" s="12">
        <f t="shared" si="8"/>
        <v>0</v>
      </c>
      <c r="S34" s="12">
        <f t="shared" si="8"/>
        <v>0</v>
      </c>
      <c r="T34" s="12">
        <f t="shared" si="8"/>
        <v>0</v>
      </c>
      <c r="U34" s="12">
        <f t="shared" si="8"/>
        <v>0</v>
      </c>
      <c r="V34" s="12">
        <f t="shared" si="9"/>
        <v>0</v>
      </c>
      <c r="W34" s="12">
        <f t="shared" si="9"/>
        <v>0</v>
      </c>
      <c r="X34" s="12">
        <f t="shared" si="9"/>
        <v>0</v>
      </c>
      <c r="Y34" s="12">
        <f t="shared" si="9"/>
        <v>0</v>
      </c>
      <c r="Z34" s="12">
        <f t="shared" si="9"/>
        <v>0</v>
      </c>
      <c r="AA34" s="12">
        <f t="shared" si="9"/>
        <v>0</v>
      </c>
      <c r="AB34" s="12">
        <f t="shared" si="9"/>
        <v>0</v>
      </c>
      <c r="AC34" s="12">
        <f t="shared" si="9"/>
        <v>0</v>
      </c>
      <c r="AD34" s="12">
        <f t="shared" si="9"/>
        <v>0</v>
      </c>
      <c r="AE34" s="12">
        <f t="shared" si="9"/>
        <v>0</v>
      </c>
      <c r="AF34" s="12">
        <f t="shared" si="9"/>
        <v>0</v>
      </c>
      <c r="AG34" s="12">
        <f t="shared" si="9"/>
        <v>0</v>
      </c>
      <c r="AH34" s="12">
        <f t="shared" si="9"/>
        <v>0</v>
      </c>
      <c r="AI34" s="12">
        <f t="shared" si="9"/>
        <v>0</v>
      </c>
      <c r="AJ34" s="12">
        <f t="shared" si="9"/>
        <v>0</v>
      </c>
      <c r="AK34" s="12">
        <f t="shared" si="9"/>
        <v>0</v>
      </c>
      <c r="AL34" s="12">
        <f t="shared" si="9"/>
        <v>0</v>
      </c>
      <c r="AM34" s="12">
        <f t="shared" si="9"/>
        <v>0</v>
      </c>
      <c r="AN34" s="12">
        <f t="shared" si="9"/>
        <v>0</v>
      </c>
      <c r="AO34" s="12">
        <f t="shared" si="9"/>
        <v>0</v>
      </c>
      <c r="AP34" s="12">
        <f t="shared" si="9"/>
        <v>0</v>
      </c>
      <c r="AQ34" s="12">
        <f t="shared" si="10"/>
        <v>0</v>
      </c>
      <c r="AR34" s="12">
        <f t="shared" si="10"/>
        <v>0</v>
      </c>
      <c r="AS34" s="12">
        <f t="shared" si="10"/>
        <v>0</v>
      </c>
      <c r="AT34" s="12">
        <f t="shared" si="10"/>
        <v>0</v>
      </c>
      <c r="AU34" s="12"/>
      <c r="AV34" s="12">
        <f t="shared" si="11"/>
        <v>0</v>
      </c>
    </row>
    <row r="35" spans="2:48">
      <c r="B35" s="12" t="s">
        <v>956</v>
      </c>
      <c r="C35" s="12">
        <f t="shared" si="7"/>
        <v>0</v>
      </c>
      <c r="D35" s="12">
        <f t="shared" si="7"/>
        <v>0</v>
      </c>
      <c r="E35" s="12">
        <f t="shared" si="7"/>
        <v>0</v>
      </c>
      <c r="F35" s="12">
        <f t="shared" si="8"/>
        <v>0</v>
      </c>
      <c r="G35" s="12">
        <f t="shared" si="8"/>
        <v>0</v>
      </c>
      <c r="H35" s="12">
        <f t="shared" si="8"/>
        <v>0</v>
      </c>
      <c r="I35" s="12">
        <f t="shared" si="8"/>
        <v>0</v>
      </c>
      <c r="J35" s="12">
        <f t="shared" si="8"/>
        <v>0</v>
      </c>
      <c r="K35" s="12">
        <f t="shared" si="8"/>
        <v>0</v>
      </c>
      <c r="L35" s="12">
        <f t="shared" si="8"/>
        <v>0</v>
      </c>
      <c r="M35" s="12">
        <f t="shared" si="8"/>
        <v>0</v>
      </c>
      <c r="N35" s="12">
        <f t="shared" si="8"/>
        <v>0</v>
      </c>
      <c r="O35" s="12">
        <f t="shared" si="8"/>
        <v>0</v>
      </c>
      <c r="P35" s="12">
        <f t="shared" si="8"/>
        <v>0</v>
      </c>
      <c r="Q35" s="12">
        <f t="shared" si="8"/>
        <v>0</v>
      </c>
      <c r="R35" s="12">
        <f t="shared" si="8"/>
        <v>0</v>
      </c>
      <c r="S35" s="12">
        <f t="shared" si="8"/>
        <v>0</v>
      </c>
      <c r="T35" s="12">
        <f t="shared" si="8"/>
        <v>0</v>
      </c>
      <c r="U35" s="12">
        <f t="shared" si="8"/>
        <v>0</v>
      </c>
      <c r="V35" s="12">
        <f t="shared" si="9"/>
        <v>0</v>
      </c>
      <c r="W35" s="12">
        <f t="shared" si="9"/>
        <v>0</v>
      </c>
      <c r="X35" s="12">
        <f t="shared" si="9"/>
        <v>0</v>
      </c>
      <c r="Y35" s="12">
        <f t="shared" si="9"/>
        <v>0</v>
      </c>
      <c r="Z35" s="12">
        <f t="shared" si="9"/>
        <v>0</v>
      </c>
      <c r="AA35" s="12">
        <f t="shared" si="9"/>
        <v>0</v>
      </c>
      <c r="AB35" s="12">
        <f t="shared" si="9"/>
        <v>0</v>
      </c>
      <c r="AC35" s="12">
        <f t="shared" si="9"/>
        <v>0</v>
      </c>
      <c r="AD35" s="12">
        <f t="shared" si="9"/>
        <v>0</v>
      </c>
      <c r="AE35" s="12">
        <f t="shared" si="9"/>
        <v>0</v>
      </c>
      <c r="AF35" s="12">
        <f t="shared" si="9"/>
        <v>0</v>
      </c>
      <c r="AG35" s="12">
        <f t="shared" si="9"/>
        <v>0</v>
      </c>
      <c r="AH35" s="12">
        <f t="shared" si="9"/>
        <v>0</v>
      </c>
      <c r="AI35" s="12">
        <f t="shared" si="9"/>
        <v>0</v>
      </c>
      <c r="AJ35" s="12">
        <f t="shared" si="9"/>
        <v>0</v>
      </c>
      <c r="AK35" s="12">
        <f t="shared" si="9"/>
        <v>0</v>
      </c>
      <c r="AL35" s="12">
        <f t="shared" si="9"/>
        <v>0</v>
      </c>
      <c r="AM35" s="12">
        <f t="shared" si="9"/>
        <v>0</v>
      </c>
      <c r="AN35" s="12">
        <f t="shared" si="9"/>
        <v>0</v>
      </c>
      <c r="AO35" s="12">
        <f t="shared" si="9"/>
        <v>0</v>
      </c>
      <c r="AP35" s="12">
        <f t="shared" si="9"/>
        <v>0</v>
      </c>
      <c r="AQ35" s="12">
        <f t="shared" si="10"/>
        <v>0</v>
      </c>
      <c r="AR35" s="12">
        <f t="shared" si="10"/>
        <v>0</v>
      </c>
      <c r="AS35" s="12">
        <f t="shared" si="10"/>
        <v>0</v>
      </c>
      <c r="AT35" s="12">
        <f t="shared" si="10"/>
        <v>0</v>
      </c>
      <c r="AU35" s="12"/>
      <c r="AV35" s="12">
        <f t="shared" si="11"/>
        <v>0</v>
      </c>
    </row>
    <row r="36" spans="2:48">
      <c r="B36" s="12" t="s">
        <v>992</v>
      </c>
      <c r="C36" s="12">
        <f t="shared" si="7"/>
        <v>0</v>
      </c>
      <c r="D36" s="12">
        <f t="shared" si="7"/>
        <v>0</v>
      </c>
      <c r="E36" s="12">
        <f t="shared" si="7"/>
        <v>0</v>
      </c>
      <c r="F36" s="12">
        <f t="shared" si="8"/>
        <v>0</v>
      </c>
      <c r="G36" s="12">
        <f t="shared" si="8"/>
        <v>0</v>
      </c>
      <c r="H36" s="12">
        <f t="shared" si="8"/>
        <v>0</v>
      </c>
      <c r="I36" s="12">
        <f t="shared" si="8"/>
        <v>0</v>
      </c>
      <c r="J36" s="12">
        <f t="shared" si="8"/>
        <v>0</v>
      </c>
      <c r="K36" s="12">
        <f t="shared" si="8"/>
        <v>0</v>
      </c>
      <c r="L36" s="12">
        <f t="shared" si="8"/>
        <v>0</v>
      </c>
      <c r="M36" s="12">
        <f t="shared" si="8"/>
        <v>0</v>
      </c>
      <c r="N36" s="12">
        <f t="shared" si="8"/>
        <v>0</v>
      </c>
      <c r="O36" s="12">
        <f t="shared" si="8"/>
        <v>0</v>
      </c>
      <c r="P36" s="12">
        <f t="shared" si="8"/>
        <v>0</v>
      </c>
      <c r="Q36" s="12">
        <f t="shared" si="8"/>
        <v>0</v>
      </c>
      <c r="R36" s="12">
        <f t="shared" si="8"/>
        <v>0</v>
      </c>
      <c r="S36" s="12">
        <f t="shared" si="8"/>
        <v>0</v>
      </c>
      <c r="T36" s="12">
        <f t="shared" si="8"/>
        <v>0</v>
      </c>
      <c r="U36" s="12">
        <f t="shared" si="8"/>
        <v>0</v>
      </c>
      <c r="V36" s="12">
        <f t="shared" si="9"/>
        <v>0</v>
      </c>
      <c r="W36" s="12">
        <f t="shared" si="9"/>
        <v>0</v>
      </c>
      <c r="X36" s="12">
        <f t="shared" si="9"/>
        <v>0</v>
      </c>
      <c r="Y36" s="12">
        <f t="shared" si="9"/>
        <v>0</v>
      </c>
      <c r="Z36" s="12">
        <f t="shared" si="9"/>
        <v>0</v>
      </c>
      <c r="AA36" s="12">
        <f t="shared" si="9"/>
        <v>0</v>
      </c>
      <c r="AB36" s="12">
        <f t="shared" si="9"/>
        <v>0</v>
      </c>
      <c r="AC36" s="12">
        <f t="shared" si="9"/>
        <v>0</v>
      </c>
      <c r="AD36" s="12">
        <f t="shared" si="9"/>
        <v>0</v>
      </c>
      <c r="AE36" s="12">
        <f t="shared" si="9"/>
        <v>0</v>
      </c>
      <c r="AF36" s="12">
        <f t="shared" si="9"/>
        <v>0</v>
      </c>
      <c r="AG36" s="12">
        <f t="shared" si="9"/>
        <v>0</v>
      </c>
      <c r="AH36" s="12">
        <f t="shared" si="9"/>
        <v>0</v>
      </c>
      <c r="AI36" s="12">
        <f t="shared" si="9"/>
        <v>0</v>
      </c>
      <c r="AJ36" s="12">
        <f t="shared" si="9"/>
        <v>0</v>
      </c>
      <c r="AK36" s="12">
        <f t="shared" si="9"/>
        <v>0</v>
      </c>
      <c r="AL36" s="12">
        <f t="shared" si="9"/>
        <v>0</v>
      </c>
      <c r="AM36" s="12">
        <f t="shared" si="9"/>
        <v>0</v>
      </c>
      <c r="AN36" s="12">
        <f t="shared" si="9"/>
        <v>0</v>
      </c>
      <c r="AO36" s="12">
        <f t="shared" si="9"/>
        <v>0</v>
      </c>
      <c r="AP36" s="12">
        <f t="shared" si="9"/>
        <v>0</v>
      </c>
      <c r="AQ36" s="12">
        <f t="shared" si="10"/>
        <v>0</v>
      </c>
      <c r="AR36" s="12">
        <f t="shared" si="10"/>
        <v>0</v>
      </c>
      <c r="AS36" s="12">
        <f t="shared" si="10"/>
        <v>0</v>
      </c>
      <c r="AT36" s="12">
        <f t="shared" si="10"/>
        <v>0</v>
      </c>
      <c r="AU36" s="12"/>
      <c r="AV36" s="12">
        <f t="shared" si="11"/>
        <v>0</v>
      </c>
    </row>
    <row r="37" spans="2:48">
      <c r="B37" s="12" t="s">
        <v>950</v>
      </c>
      <c r="C37" s="12">
        <f t="shared" si="7"/>
        <v>409</v>
      </c>
      <c r="D37" s="12">
        <f t="shared" si="7"/>
        <v>0</v>
      </c>
      <c r="E37" s="12">
        <f t="shared" si="7"/>
        <v>0</v>
      </c>
      <c r="F37" s="12">
        <f t="shared" si="8"/>
        <v>0</v>
      </c>
      <c r="G37" s="12">
        <f t="shared" si="8"/>
        <v>0</v>
      </c>
      <c r="H37" s="12">
        <f t="shared" si="8"/>
        <v>0</v>
      </c>
      <c r="I37" s="12">
        <f t="shared" si="8"/>
        <v>0</v>
      </c>
      <c r="J37" s="12">
        <f t="shared" si="8"/>
        <v>0</v>
      </c>
      <c r="K37" s="12">
        <f t="shared" si="8"/>
        <v>0</v>
      </c>
      <c r="L37" s="12">
        <f t="shared" si="8"/>
        <v>0</v>
      </c>
      <c r="M37" s="12">
        <f t="shared" si="8"/>
        <v>0</v>
      </c>
      <c r="N37" s="12">
        <f t="shared" si="8"/>
        <v>0</v>
      </c>
      <c r="O37" s="12">
        <f t="shared" si="8"/>
        <v>0</v>
      </c>
      <c r="P37" s="12">
        <f t="shared" si="8"/>
        <v>0</v>
      </c>
      <c r="Q37" s="12">
        <f t="shared" si="8"/>
        <v>0</v>
      </c>
      <c r="R37" s="12">
        <f t="shared" si="8"/>
        <v>0</v>
      </c>
      <c r="S37" s="12">
        <f t="shared" si="8"/>
        <v>0</v>
      </c>
      <c r="T37" s="12">
        <f t="shared" si="8"/>
        <v>0</v>
      </c>
      <c r="U37" s="12">
        <f t="shared" si="8"/>
        <v>0</v>
      </c>
      <c r="V37" s="12">
        <f t="shared" si="9"/>
        <v>986</v>
      </c>
      <c r="W37" s="12">
        <f t="shared" si="9"/>
        <v>0</v>
      </c>
      <c r="X37" s="12">
        <f t="shared" si="9"/>
        <v>946</v>
      </c>
      <c r="Y37" s="12">
        <f t="shared" si="9"/>
        <v>0</v>
      </c>
      <c r="Z37" s="12">
        <f t="shared" si="9"/>
        <v>741</v>
      </c>
      <c r="AA37" s="12">
        <f t="shared" si="9"/>
        <v>0</v>
      </c>
      <c r="AB37" s="12">
        <f t="shared" si="9"/>
        <v>0</v>
      </c>
      <c r="AC37" s="12">
        <f t="shared" si="9"/>
        <v>0</v>
      </c>
      <c r="AD37" s="12">
        <f t="shared" si="9"/>
        <v>0</v>
      </c>
      <c r="AE37" s="12">
        <f t="shared" si="9"/>
        <v>0</v>
      </c>
      <c r="AF37" s="12">
        <f t="shared" si="9"/>
        <v>0</v>
      </c>
      <c r="AG37" s="12">
        <f t="shared" si="9"/>
        <v>0</v>
      </c>
      <c r="AH37" s="12">
        <f t="shared" si="9"/>
        <v>0</v>
      </c>
      <c r="AI37" s="12">
        <f t="shared" si="9"/>
        <v>0</v>
      </c>
      <c r="AJ37" s="12">
        <f t="shared" si="9"/>
        <v>0</v>
      </c>
      <c r="AK37" s="12">
        <f t="shared" si="9"/>
        <v>0</v>
      </c>
      <c r="AL37" s="12">
        <f t="shared" si="9"/>
        <v>0</v>
      </c>
      <c r="AM37" s="12">
        <f t="shared" si="9"/>
        <v>0</v>
      </c>
      <c r="AN37" s="12">
        <f t="shared" si="9"/>
        <v>0</v>
      </c>
      <c r="AO37" s="12">
        <f t="shared" si="9"/>
        <v>0</v>
      </c>
      <c r="AP37" s="12">
        <f t="shared" si="9"/>
        <v>0</v>
      </c>
      <c r="AQ37" s="12">
        <f t="shared" si="10"/>
        <v>0</v>
      </c>
      <c r="AR37" s="12">
        <f>IFERROR(ROUNDUP(AR13/AR$4*10^6,0),0)</f>
        <v>0</v>
      </c>
      <c r="AS37" s="12">
        <f t="shared" si="10"/>
        <v>0</v>
      </c>
      <c r="AT37" s="12">
        <f t="shared" si="10"/>
        <v>0</v>
      </c>
      <c r="AU37" s="12"/>
      <c r="AV37" s="12">
        <f t="shared" si="11"/>
        <v>409</v>
      </c>
    </row>
    <row r="38" spans="2:48">
      <c r="B38" s="12" t="s">
        <v>993</v>
      </c>
      <c r="C38" s="12">
        <f t="shared" si="7"/>
        <v>0</v>
      </c>
      <c r="D38" s="12">
        <f t="shared" si="7"/>
        <v>0</v>
      </c>
      <c r="E38" s="12">
        <f t="shared" si="7"/>
        <v>0</v>
      </c>
      <c r="F38" s="12">
        <f t="shared" si="8"/>
        <v>0</v>
      </c>
      <c r="G38" s="12">
        <f t="shared" si="8"/>
        <v>0</v>
      </c>
      <c r="H38" s="12">
        <f t="shared" si="8"/>
        <v>0</v>
      </c>
      <c r="I38" s="12">
        <f t="shared" si="8"/>
        <v>0</v>
      </c>
      <c r="J38" s="12">
        <f t="shared" si="8"/>
        <v>0</v>
      </c>
      <c r="K38" s="12">
        <f t="shared" si="8"/>
        <v>0</v>
      </c>
      <c r="L38" s="12">
        <f t="shared" si="8"/>
        <v>0</v>
      </c>
      <c r="M38" s="12">
        <f t="shared" si="8"/>
        <v>0</v>
      </c>
      <c r="N38" s="12">
        <f t="shared" si="8"/>
        <v>0</v>
      </c>
      <c r="O38" s="12">
        <f t="shared" si="8"/>
        <v>0</v>
      </c>
      <c r="P38" s="12">
        <f t="shared" si="8"/>
        <v>0</v>
      </c>
      <c r="Q38" s="12">
        <f t="shared" si="8"/>
        <v>0</v>
      </c>
      <c r="R38" s="12">
        <f t="shared" si="8"/>
        <v>0</v>
      </c>
      <c r="S38" s="12">
        <f t="shared" si="8"/>
        <v>0</v>
      </c>
      <c r="T38" s="12">
        <f t="shared" si="8"/>
        <v>0</v>
      </c>
      <c r="U38" s="12">
        <f t="shared" si="8"/>
        <v>0</v>
      </c>
      <c r="V38" s="12">
        <f t="shared" si="9"/>
        <v>0</v>
      </c>
      <c r="W38" s="12">
        <f t="shared" si="9"/>
        <v>0</v>
      </c>
      <c r="X38" s="12">
        <f t="shared" si="9"/>
        <v>0</v>
      </c>
      <c r="Y38" s="12">
        <f t="shared" si="9"/>
        <v>0</v>
      </c>
      <c r="Z38" s="12">
        <f t="shared" si="9"/>
        <v>0</v>
      </c>
      <c r="AA38" s="12">
        <f t="shared" si="9"/>
        <v>0</v>
      </c>
      <c r="AB38" s="12">
        <f t="shared" si="9"/>
        <v>0</v>
      </c>
      <c r="AC38" s="12">
        <f t="shared" si="9"/>
        <v>0</v>
      </c>
      <c r="AD38" s="12">
        <f t="shared" si="9"/>
        <v>0</v>
      </c>
      <c r="AE38" s="12">
        <f t="shared" si="9"/>
        <v>0</v>
      </c>
      <c r="AF38" s="12">
        <f t="shared" si="9"/>
        <v>0</v>
      </c>
      <c r="AG38" s="12">
        <f t="shared" si="9"/>
        <v>0</v>
      </c>
      <c r="AH38" s="12">
        <f t="shared" si="9"/>
        <v>0</v>
      </c>
      <c r="AI38" s="12">
        <f t="shared" si="9"/>
        <v>0</v>
      </c>
      <c r="AJ38" s="12">
        <f t="shared" si="9"/>
        <v>0</v>
      </c>
      <c r="AK38" s="12">
        <f t="shared" si="9"/>
        <v>0</v>
      </c>
      <c r="AL38" s="12">
        <f t="shared" si="9"/>
        <v>0</v>
      </c>
      <c r="AM38" s="12">
        <f t="shared" si="9"/>
        <v>0</v>
      </c>
      <c r="AN38" s="12">
        <f t="shared" si="9"/>
        <v>0</v>
      </c>
      <c r="AO38" s="12">
        <f t="shared" si="9"/>
        <v>0</v>
      </c>
      <c r="AP38" s="12">
        <f t="shared" si="9"/>
        <v>0</v>
      </c>
      <c r="AQ38" s="12">
        <f t="shared" si="10"/>
        <v>0</v>
      </c>
      <c r="AR38" s="12">
        <f t="shared" si="10"/>
        <v>0</v>
      </c>
      <c r="AS38" s="12">
        <f t="shared" si="10"/>
        <v>0</v>
      </c>
      <c r="AT38" s="12">
        <f t="shared" si="10"/>
        <v>0</v>
      </c>
      <c r="AU38" s="12"/>
      <c r="AV38" s="12">
        <f t="shared" si="11"/>
        <v>0</v>
      </c>
    </row>
    <row r="39" spans="2:48">
      <c r="B39" s="12" t="s">
        <v>949</v>
      </c>
      <c r="C39" s="12">
        <f t="shared" si="7"/>
        <v>205</v>
      </c>
      <c r="D39" s="12">
        <f t="shared" si="7"/>
        <v>0</v>
      </c>
      <c r="E39" s="12">
        <f t="shared" si="7"/>
        <v>0</v>
      </c>
      <c r="F39" s="12">
        <f t="shared" si="8"/>
        <v>0</v>
      </c>
      <c r="G39" s="12">
        <f t="shared" si="8"/>
        <v>0</v>
      </c>
      <c r="H39" s="12">
        <f t="shared" si="8"/>
        <v>0</v>
      </c>
      <c r="I39" s="12">
        <f t="shared" si="8"/>
        <v>0</v>
      </c>
      <c r="J39" s="12">
        <f t="shared" si="8"/>
        <v>0</v>
      </c>
      <c r="K39" s="12">
        <f t="shared" si="8"/>
        <v>0</v>
      </c>
      <c r="L39" s="12">
        <f t="shared" si="8"/>
        <v>0</v>
      </c>
      <c r="M39" s="12">
        <f t="shared" si="8"/>
        <v>0</v>
      </c>
      <c r="N39" s="12">
        <f t="shared" si="8"/>
        <v>0</v>
      </c>
      <c r="O39" s="12">
        <f t="shared" si="8"/>
        <v>0</v>
      </c>
      <c r="P39" s="12">
        <f t="shared" si="8"/>
        <v>0</v>
      </c>
      <c r="Q39" s="12">
        <f t="shared" si="8"/>
        <v>0</v>
      </c>
      <c r="R39" s="12">
        <f t="shared" si="8"/>
        <v>0</v>
      </c>
      <c r="S39" s="12">
        <f t="shared" si="8"/>
        <v>0</v>
      </c>
      <c r="T39" s="12">
        <f t="shared" si="8"/>
        <v>0</v>
      </c>
      <c r="U39" s="12">
        <f t="shared" si="8"/>
        <v>0</v>
      </c>
      <c r="V39" s="12">
        <f t="shared" si="9"/>
        <v>0</v>
      </c>
      <c r="W39" s="12">
        <f t="shared" si="9"/>
        <v>0</v>
      </c>
      <c r="X39" s="12">
        <f t="shared" si="9"/>
        <v>631</v>
      </c>
      <c r="Y39" s="12">
        <f t="shared" si="9"/>
        <v>0</v>
      </c>
      <c r="Z39" s="12">
        <f t="shared" si="9"/>
        <v>0</v>
      </c>
      <c r="AA39" s="12">
        <f t="shared" si="9"/>
        <v>0</v>
      </c>
      <c r="AB39" s="12">
        <f t="shared" si="9"/>
        <v>413</v>
      </c>
      <c r="AC39" s="12">
        <f t="shared" si="9"/>
        <v>0</v>
      </c>
      <c r="AD39" s="12">
        <f t="shared" si="9"/>
        <v>0</v>
      </c>
      <c r="AE39" s="12">
        <f t="shared" si="9"/>
        <v>0</v>
      </c>
      <c r="AF39" s="12">
        <f t="shared" si="9"/>
        <v>0</v>
      </c>
      <c r="AG39" s="12">
        <f t="shared" si="9"/>
        <v>0</v>
      </c>
      <c r="AH39" s="12">
        <f t="shared" si="9"/>
        <v>0</v>
      </c>
      <c r="AI39" s="12">
        <f t="shared" si="9"/>
        <v>0</v>
      </c>
      <c r="AJ39" s="12">
        <f t="shared" si="9"/>
        <v>0</v>
      </c>
      <c r="AK39" s="12">
        <f t="shared" si="9"/>
        <v>0</v>
      </c>
      <c r="AL39" s="12">
        <f t="shared" si="9"/>
        <v>0</v>
      </c>
      <c r="AM39" s="12">
        <f t="shared" si="9"/>
        <v>0</v>
      </c>
      <c r="AN39" s="12">
        <f t="shared" si="9"/>
        <v>0</v>
      </c>
      <c r="AO39" s="12">
        <f t="shared" si="9"/>
        <v>0</v>
      </c>
      <c r="AP39" s="12">
        <f t="shared" si="9"/>
        <v>0</v>
      </c>
      <c r="AQ39" s="12">
        <f t="shared" si="10"/>
        <v>0</v>
      </c>
      <c r="AR39" s="12">
        <f t="shared" si="10"/>
        <v>0</v>
      </c>
      <c r="AS39" s="12">
        <f t="shared" si="10"/>
        <v>0</v>
      </c>
      <c r="AT39" s="12">
        <f t="shared" si="10"/>
        <v>0</v>
      </c>
      <c r="AU39" s="12"/>
      <c r="AV39" s="12">
        <f t="shared" si="11"/>
        <v>205</v>
      </c>
    </row>
    <row r="40" spans="2:48">
      <c r="B40" s="12" t="s">
        <v>28</v>
      </c>
      <c r="C40" s="12">
        <f t="shared" si="7"/>
        <v>205</v>
      </c>
      <c r="D40" s="12">
        <f t="shared" si="7"/>
        <v>0</v>
      </c>
      <c r="E40" s="12">
        <f t="shared" si="7"/>
        <v>0</v>
      </c>
      <c r="F40" s="12">
        <f t="shared" si="8"/>
        <v>0</v>
      </c>
      <c r="G40" s="12">
        <f t="shared" si="8"/>
        <v>0</v>
      </c>
      <c r="H40" s="12">
        <f t="shared" si="8"/>
        <v>0</v>
      </c>
      <c r="I40" s="12">
        <f t="shared" si="8"/>
        <v>0</v>
      </c>
      <c r="J40" s="12">
        <f t="shared" si="8"/>
        <v>0</v>
      </c>
      <c r="K40" s="12">
        <f t="shared" si="8"/>
        <v>0</v>
      </c>
      <c r="L40" s="12">
        <f t="shared" si="8"/>
        <v>0</v>
      </c>
      <c r="M40" s="12">
        <f t="shared" si="8"/>
        <v>0</v>
      </c>
      <c r="N40" s="12">
        <f t="shared" si="8"/>
        <v>0</v>
      </c>
      <c r="O40" s="12">
        <f t="shared" si="8"/>
        <v>0</v>
      </c>
      <c r="P40" s="12">
        <f t="shared" si="8"/>
        <v>0</v>
      </c>
      <c r="Q40" s="12">
        <f t="shared" si="8"/>
        <v>0</v>
      </c>
      <c r="R40" s="12">
        <f t="shared" si="8"/>
        <v>0</v>
      </c>
      <c r="S40" s="12">
        <f t="shared" si="8"/>
        <v>0</v>
      </c>
      <c r="T40" s="12">
        <f t="shared" si="8"/>
        <v>0</v>
      </c>
      <c r="U40" s="12">
        <f t="shared" si="8"/>
        <v>0</v>
      </c>
      <c r="V40" s="12">
        <f t="shared" si="9"/>
        <v>0</v>
      </c>
      <c r="W40" s="12">
        <f t="shared" si="9"/>
        <v>1115</v>
      </c>
      <c r="X40" s="12">
        <f t="shared" si="9"/>
        <v>0</v>
      </c>
      <c r="Y40" s="12">
        <f t="shared" si="9"/>
        <v>722</v>
      </c>
      <c r="Z40" s="12">
        <f t="shared" si="9"/>
        <v>0</v>
      </c>
      <c r="AA40" s="12">
        <f t="shared" si="9"/>
        <v>0</v>
      </c>
      <c r="AB40" s="12">
        <f t="shared" si="9"/>
        <v>0</v>
      </c>
      <c r="AC40" s="12">
        <f t="shared" si="9"/>
        <v>0</v>
      </c>
      <c r="AD40" s="12">
        <f t="shared" si="9"/>
        <v>0</v>
      </c>
      <c r="AE40" s="12">
        <f t="shared" si="9"/>
        <v>0</v>
      </c>
      <c r="AF40" s="12">
        <f t="shared" si="9"/>
        <v>0</v>
      </c>
      <c r="AG40" s="12">
        <f t="shared" si="9"/>
        <v>0</v>
      </c>
      <c r="AH40" s="12">
        <f t="shared" si="9"/>
        <v>0</v>
      </c>
      <c r="AI40" s="12">
        <f t="shared" si="9"/>
        <v>0</v>
      </c>
      <c r="AJ40" s="12">
        <f t="shared" si="9"/>
        <v>0</v>
      </c>
      <c r="AK40" s="12">
        <f t="shared" si="9"/>
        <v>0</v>
      </c>
      <c r="AL40" s="12">
        <f t="shared" si="9"/>
        <v>0</v>
      </c>
      <c r="AM40" s="12">
        <f t="shared" si="9"/>
        <v>0</v>
      </c>
      <c r="AN40" s="12">
        <f t="shared" si="9"/>
        <v>0</v>
      </c>
      <c r="AO40" s="12">
        <f t="shared" si="9"/>
        <v>0</v>
      </c>
      <c r="AP40" s="12">
        <f t="shared" si="9"/>
        <v>0</v>
      </c>
      <c r="AQ40" s="12">
        <f t="shared" si="10"/>
        <v>0</v>
      </c>
      <c r="AR40" s="12">
        <f t="shared" si="10"/>
        <v>0</v>
      </c>
      <c r="AS40" s="12">
        <f t="shared" si="10"/>
        <v>0</v>
      </c>
      <c r="AT40" s="12">
        <f t="shared" si="10"/>
        <v>0</v>
      </c>
      <c r="AU40" s="12"/>
      <c r="AV40" s="12">
        <f t="shared" si="11"/>
        <v>205</v>
      </c>
    </row>
    <row r="41" spans="2:48">
      <c r="B41" s="12" t="s">
        <v>994</v>
      </c>
      <c r="C41" s="12">
        <f t="shared" si="7"/>
        <v>0</v>
      </c>
      <c r="D41" s="12">
        <f t="shared" si="7"/>
        <v>0</v>
      </c>
      <c r="E41" s="12">
        <f t="shared" si="7"/>
        <v>0</v>
      </c>
      <c r="F41" s="12">
        <f t="shared" si="8"/>
        <v>0</v>
      </c>
      <c r="G41" s="12">
        <f t="shared" si="8"/>
        <v>0</v>
      </c>
      <c r="H41" s="12">
        <f t="shared" si="8"/>
        <v>0</v>
      </c>
      <c r="I41" s="12">
        <f t="shared" si="8"/>
        <v>0</v>
      </c>
      <c r="J41" s="12">
        <f t="shared" si="8"/>
        <v>0</v>
      </c>
      <c r="K41" s="12">
        <f t="shared" si="8"/>
        <v>0</v>
      </c>
      <c r="L41" s="12">
        <f t="shared" si="8"/>
        <v>0</v>
      </c>
      <c r="M41" s="12">
        <f t="shared" si="8"/>
        <v>0</v>
      </c>
      <c r="N41" s="12">
        <f t="shared" si="8"/>
        <v>0</v>
      </c>
      <c r="O41" s="12">
        <f t="shared" si="8"/>
        <v>0</v>
      </c>
      <c r="P41" s="12">
        <f t="shared" si="8"/>
        <v>0</v>
      </c>
      <c r="Q41" s="12">
        <f t="shared" si="8"/>
        <v>0</v>
      </c>
      <c r="R41" s="12">
        <f t="shared" si="8"/>
        <v>0</v>
      </c>
      <c r="S41" s="12">
        <f t="shared" si="8"/>
        <v>0</v>
      </c>
      <c r="T41" s="12">
        <f t="shared" si="8"/>
        <v>0</v>
      </c>
      <c r="U41" s="12">
        <f t="shared" si="8"/>
        <v>0</v>
      </c>
      <c r="V41" s="12">
        <f t="shared" si="9"/>
        <v>0</v>
      </c>
      <c r="W41" s="12">
        <f t="shared" ref="W41:AT41" si="12">IFERROR(ROUNDUP(W17/W$4*10^6,0),0)</f>
        <v>0</v>
      </c>
      <c r="X41" s="12">
        <f t="shared" si="12"/>
        <v>0</v>
      </c>
      <c r="Y41" s="12">
        <f t="shared" si="12"/>
        <v>0</v>
      </c>
      <c r="Z41" s="12">
        <f t="shared" si="12"/>
        <v>0</v>
      </c>
      <c r="AA41" s="12">
        <f t="shared" si="12"/>
        <v>0</v>
      </c>
      <c r="AB41" s="12">
        <f t="shared" si="12"/>
        <v>0</v>
      </c>
      <c r="AC41" s="12">
        <f t="shared" si="12"/>
        <v>0</v>
      </c>
      <c r="AD41" s="12">
        <f t="shared" si="12"/>
        <v>0</v>
      </c>
      <c r="AE41" s="12">
        <f t="shared" si="12"/>
        <v>0</v>
      </c>
      <c r="AF41" s="12">
        <f t="shared" si="12"/>
        <v>0</v>
      </c>
      <c r="AG41" s="12">
        <f t="shared" si="12"/>
        <v>0</v>
      </c>
      <c r="AH41" s="12">
        <f t="shared" si="12"/>
        <v>0</v>
      </c>
      <c r="AI41" s="12">
        <f t="shared" si="12"/>
        <v>0</v>
      </c>
      <c r="AJ41" s="12">
        <f t="shared" si="12"/>
        <v>0</v>
      </c>
      <c r="AK41" s="12">
        <f t="shared" si="12"/>
        <v>0</v>
      </c>
      <c r="AL41" s="12">
        <f t="shared" si="12"/>
        <v>0</v>
      </c>
      <c r="AM41" s="12">
        <f t="shared" si="12"/>
        <v>0</v>
      </c>
      <c r="AN41" s="12">
        <f t="shared" si="12"/>
        <v>0</v>
      </c>
      <c r="AO41" s="12">
        <f t="shared" si="12"/>
        <v>0</v>
      </c>
      <c r="AP41" s="12">
        <f t="shared" si="12"/>
        <v>0</v>
      </c>
      <c r="AQ41" s="12">
        <f t="shared" si="12"/>
        <v>0</v>
      </c>
      <c r="AR41" s="12">
        <f t="shared" si="12"/>
        <v>0</v>
      </c>
      <c r="AS41" s="12">
        <f t="shared" si="12"/>
        <v>0</v>
      </c>
      <c r="AT41" s="12">
        <f t="shared" si="12"/>
        <v>0</v>
      </c>
      <c r="AU41" s="12"/>
      <c r="AV41" s="12">
        <f t="shared" si="11"/>
        <v>0</v>
      </c>
    </row>
    <row r="42" spans="2:48">
      <c r="B42" s="12" t="s">
        <v>891</v>
      </c>
      <c r="C42" s="12">
        <f t="shared" si="7"/>
        <v>69</v>
      </c>
      <c r="D42" s="12">
        <f t="shared" si="7"/>
        <v>0</v>
      </c>
      <c r="E42" s="12">
        <f t="shared" si="7"/>
        <v>0</v>
      </c>
      <c r="F42" s="12">
        <f t="shared" si="8"/>
        <v>0</v>
      </c>
      <c r="G42" s="12">
        <f t="shared" si="8"/>
        <v>0</v>
      </c>
      <c r="H42" s="12">
        <f t="shared" si="8"/>
        <v>0</v>
      </c>
      <c r="I42" s="12">
        <f t="shared" si="8"/>
        <v>0</v>
      </c>
      <c r="J42" s="12">
        <f t="shared" si="8"/>
        <v>0</v>
      </c>
      <c r="K42" s="12">
        <f t="shared" si="8"/>
        <v>0</v>
      </c>
      <c r="L42" s="12">
        <f t="shared" si="8"/>
        <v>0</v>
      </c>
      <c r="M42" s="12">
        <f t="shared" si="8"/>
        <v>0</v>
      </c>
      <c r="N42" s="12">
        <f t="shared" si="8"/>
        <v>0</v>
      </c>
      <c r="O42" s="12">
        <f t="shared" si="8"/>
        <v>0</v>
      </c>
      <c r="P42" s="12">
        <f t="shared" si="8"/>
        <v>0</v>
      </c>
      <c r="Q42" s="12">
        <f t="shared" si="8"/>
        <v>0</v>
      </c>
      <c r="R42" s="12">
        <f t="shared" si="8"/>
        <v>0</v>
      </c>
      <c r="S42" s="12">
        <f t="shared" si="8"/>
        <v>0</v>
      </c>
      <c r="T42" s="12">
        <f t="shared" si="8"/>
        <v>0</v>
      </c>
      <c r="U42" s="12">
        <f t="shared" si="8"/>
        <v>0</v>
      </c>
      <c r="V42" s="12">
        <f t="shared" ref="V42:AT44" si="13">IFERROR(ROUNDUP(V18/V$4*10^6,0),0)</f>
        <v>0</v>
      </c>
      <c r="W42" s="12">
        <f t="shared" si="13"/>
        <v>0</v>
      </c>
      <c r="X42" s="12">
        <f t="shared" si="13"/>
        <v>0</v>
      </c>
      <c r="Y42" s="12">
        <f t="shared" si="13"/>
        <v>0</v>
      </c>
      <c r="Z42" s="12">
        <f t="shared" si="13"/>
        <v>0</v>
      </c>
      <c r="AA42" s="12">
        <f t="shared" si="13"/>
        <v>1118</v>
      </c>
      <c r="AB42" s="12">
        <f t="shared" si="13"/>
        <v>0</v>
      </c>
      <c r="AC42" s="12">
        <f t="shared" si="13"/>
        <v>0</v>
      </c>
      <c r="AD42" s="12">
        <f t="shared" si="13"/>
        <v>0</v>
      </c>
      <c r="AE42" s="12">
        <f t="shared" si="13"/>
        <v>0</v>
      </c>
      <c r="AF42" s="12">
        <f t="shared" si="13"/>
        <v>0</v>
      </c>
      <c r="AG42" s="12">
        <f t="shared" si="13"/>
        <v>0</v>
      </c>
      <c r="AH42" s="12">
        <f t="shared" si="13"/>
        <v>0</v>
      </c>
      <c r="AI42" s="12">
        <f t="shared" si="13"/>
        <v>0</v>
      </c>
      <c r="AJ42" s="12">
        <f t="shared" si="13"/>
        <v>0</v>
      </c>
      <c r="AK42" s="12">
        <f t="shared" si="13"/>
        <v>0</v>
      </c>
      <c r="AL42" s="12">
        <f t="shared" si="13"/>
        <v>0</v>
      </c>
      <c r="AM42" s="12">
        <f t="shared" si="13"/>
        <v>0</v>
      </c>
      <c r="AN42" s="12">
        <f t="shared" si="13"/>
        <v>0</v>
      </c>
      <c r="AO42" s="12">
        <f t="shared" si="13"/>
        <v>0</v>
      </c>
      <c r="AP42" s="12">
        <f t="shared" si="13"/>
        <v>0</v>
      </c>
      <c r="AQ42" s="12">
        <f t="shared" si="13"/>
        <v>0</v>
      </c>
      <c r="AR42" s="12">
        <f t="shared" si="13"/>
        <v>0</v>
      </c>
      <c r="AS42" s="12">
        <f t="shared" si="13"/>
        <v>0</v>
      </c>
      <c r="AT42" s="12">
        <f t="shared" si="13"/>
        <v>0</v>
      </c>
      <c r="AU42" s="12"/>
      <c r="AV42" s="12">
        <f t="shared" si="11"/>
        <v>69</v>
      </c>
    </row>
    <row r="43" spans="2:48">
      <c r="B43" s="12" t="s">
        <v>995</v>
      </c>
      <c r="C43" s="12">
        <f t="shared" si="7"/>
        <v>0</v>
      </c>
      <c r="D43" s="12">
        <f t="shared" si="7"/>
        <v>0</v>
      </c>
      <c r="E43" s="12">
        <f t="shared" si="7"/>
        <v>0</v>
      </c>
      <c r="F43" s="12">
        <f t="shared" si="8"/>
        <v>0</v>
      </c>
      <c r="G43" s="12">
        <f t="shared" si="8"/>
        <v>0</v>
      </c>
      <c r="H43" s="12">
        <f t="shared" si="8"/>
        <v>0</v>
      </c>
      <c r="I43" s="12">
        <f t="shared" si="8"/>
        <v>0</v>
      </c>
      <c r="J43" s="12">
        <f t="shared" si="8"/>
        <v>0</v>
      </c>
      <c r="K43" s="12">
        <f t="shared" si="8"/>
        <v>0</v>
      </c>
      <c r="L43" s="12">
        <f t="shared" si="8"/>
        <v>0</v>
      </c>
      <c r="M43" s="12">
        <f t="shared" si="8"/>
        <v>0</v>
      </c>
      <c r="N43" s="12">
        <f t="shared" si="8"/>
        <v>0</v>
      </c>
      <c r="O43" s="12">
        <f t="shared" si="8"/>
        <v>0</v>
      </c>
      <c r="P43" s="12">
        <f t="shared" si="8"/>
        <v>0</v>
      </c>
      <c r="Q43" s="12">
        <f t="shared" si="8"/>
        <v>0</v>
      </c>
      <c r="R43" s="12">
        <f t="shared" si="8"/>
        <v>0</v>
      </c>
      <c r="S43" s="12">
        <f t="shared" si="8"/>
        <v>0</v>
      </c>
      <c r="T43" s="12">
        <f t="shared" si="8"/>
        <v>0</v>
      </c>
      <c r="U43" s="12">
        <f t="shared" si="8"/>
        <v>0</v>
      </c>
      <c r="V43" s="12">
        <f t="shared" si="13"/>
        <v>0</v>
      </c>
      <c r="W43" s="12">
        <f t="shared" si="13"/>
        <v>0</v>
      </c>
      <c r="X43" s="12">
        <f t="shared" si="13"/>
        <v>0</v>
      </c>
      <c r="Y43" s="12">
        <f t="shared" si="13"/>
        <v>0</v>
      </c>
      <c r="Z43" s="12">
        <f t="shared" si="13"/>
        <v>0</v>
      </c>
      <c r="AA43" s="12">
        <f t="shared" si="13"/>
        <v>0</v>
      </c>
      <c r="AB43" s="12">
        <f t="shared" si="13"/>
        <v>0</v>
      </c>
      <c r="AC43" s="12">
        <f t="shared" si="13"/>
        <v>0</v>
      </c>
      <c r="AD43" s="12">
        <f t="shared" si="13"/>
        <v>0</v>
      </c>
      <c r="AE43" s="12">
        <f t="shared" si="13"/>
        <v>0</v>
      </c>
      <c r="AF43" s="12">
        <f t="shared" si="13"/>
        <v>0</v>
      </c>
      <c r="AG43" s="12">
        <f t="shared" si="13"/>
        <v>0</v>
      </c>
      <c r="AH43" s="12">
        <f t="shared" si="13"/>
        <v>0</v>
      </c>
      <c r="AI43" s="12">
        <f t="shared" si="13"/>
        <v>0</v>
      </c>
      <c r="AJ43" s="12">
        <f t="shared" si="13"/>
        <v>0</v>
      </c>
      <c r="AK43" s="12">
        <f t="shared" si="13"/>
        <v>0</v>
      </c>
      <c r="AL43" s="12">
        <f t="shared" si="13"/>
        <v>0</v>
      </c>
      <c r="AM43" s="12">
        <f t="shared" si="13"/>
        <v>0</v>
      </c>
      <c r="AN43" s="12">
        <f t="shared" si="13"/>
        <v>0</v>
      </c>
      <c r="AO43" s="12">
        <f t="shared" si="13"/>
        <v>0</v>
      </c>
      <c r="AP43" s="12">
        <f t="shared" si="13"/>
        <v>0</v>
      </c>
      <c r="AQ43" s="12">
        <f t="shared" si="13"/>
        <v>0</v>
      </c>
      <c r="AR43" s="12">
        <f t="shared" si="13"/>
        <v>0</v>
      </c>
      <c r="AS43" s="12">
        <f t="shared" si="13"/>
        <v>0</v>
      </c>
      <c r="AT43" s="12">
        <f t="shared" si="13"/>
        <v>0</v>
      </c>
      <c r="AU43" s="12"/>
      <c r="AV43" s="12">
        <f t="shared" si="11"/>
        <v>0</v>
      </c>
    </row>
    <row r="44" spans="2:48">
      <c r="B44" s="12" t="s">
        <v>952</v>
      </c>
      <c r="C44" s="12">
        <f t="shared" si="7"/>
        <v>0</v>
      </c>
      <c r="D44" s="12">
        <f t="shared" si="7"/>
        <v>0</v>
      </c>
      <c r="E44" s="12">
        <f t="shared" si="7"/>
        <v>0</v>
      </c>
      <c r="F44" s="12">
        <f t="shared" si="8"/>
        <v>0</v>
      </c>
      <c r="G44" s="12">
        <f t="shared" si="8"/>
        <v>0</v>
      </c>
      <c r="H44" s="12">
        <f t="shared" si="8"/>
        <v>0</v>
      </c>
      <c r="I44" s="12">
        <f t="shared" si="8"/>
        <v>0</v>
      </c>
      <c r="J44" s="12">
        <f t="shared" si="8"/>
        <v>0</v>
      </c>
      <c r="K44" s="12">
        <f t="shared" si="8"/>
        <v>0</v>
      </c>
      <c r="L44" s="12">
        <f t="shared" si="8"/>
        <v>0</v>
      </c>
      <c r="M44" s="12">
        <f t="shared" si="8"/>
        <v>0</v>
      </c>
      <c r="N44" s="12">
        <f t="shared" si="8"/>
        <v>0</v>
      </c>
      <c r="O44" s="12">
        <f t="shared" si="8"/>
        <v>0</v>
      </c>
      <c r="P44" s="12">
        <f t="shared" si="8"/>
        <v>0</v>
      </c>
      <c r="Q44" s="12">
        <f t="shared" si="8"/>
        <v>0</v>
      </c>
      <c r="R44" s="12">
        <f t="shared" si="8"/>
        <v>0</v>
      </c>
      <c r="S44" s="12">
        <f t="shared" si="8"/>
        <v>0</v>
      </c>
      <c r="T44" s="12">
        <f t="shared" si="8"/>
        <v>0</v>
      </c>
      <c r="U44" s="12">
        <f t="shared" si="8"/>
        <v>0</v>
      </c>
      <c r="V44" s="12">
        <f t="shared" si="13"/>
        <v>0</v>
      </c>
      <c r="W44" s="12">
        <f t="shared" si="13"/>
        <v>0</v>
      </c>
      <c r="X44" s="12">
        <f t="shared" si="13"/>
        <v>0</v>
      </c>
      <c r="Y44" s="12">
        <f t="shared" si="13"/>
        <v>0</v>
      </c>
      <c r="Z44" s="12">
        <f t="shared" si="13"/>
        <v>0</v>
      </c>
      <c r="AA44" s="12">
        <f t="shared" si="13"/>
        <v>0</v>
      </c>
      <c r="AB44" s="12">
        <f t="shared" si="13"/>
        <v>0</v>
      </c>
      <c r="AC44" s="12">
        <f t="shared" si="13"/>
        <v>0</v>
      </c>
      <c r="AD44" s="12">
        <f t="shared" si="13"/>
        <v>0</v>
      </c>
      <c r="AE44" s="12">
        <f t="shared" si="13"/>
        <v>0</v>
      </c>
      <c r="AF44" s="12">
        <f t="shared" si="13"/>
        <v>0</v>
      </c>
      <c r="AG44" s="12">
        <f t="shared" si="13"/>
        <v>0</v>
      </c>
      <c r="AH44" s="12">
        <f t="shared" si="13"/>
        <v>0</v>
      </c>
      <c r="AI44" s="12">
        <f t="shared" si="13"/>
        <v>0</v>
      </c>
      <c r="AJ44" s="12">
        <f t="shared" si="13"/>
        <v>0</v>
      </c>
      <c r="AK44" s="12">
        <f t="shared" si="13"/>
        <v>0</v>
      </c>
      <c r="AL44" s="12">
        <f t="shared" si="13"/>
        <v>0</v>
      </c>
      <c r="AM44" s="12">
        <f t="shared" si="13"/>
        <v>0</v>
      </c>
      <c r="AN44" s="12">
        <f t="shared" si="13"/>
        <v>0</v>
      </c>
      <c r="AO44" s="12">
        <f t="shared" si="13"/>
        <v>0</v>
      </c>
      <c r="AP44" s="12">
        <f t="shared" si="13"/>
        <v>0</v>
      </c>
      <c r="AQ44" s="12">
        <f t="shared" si="13"/>
        <v>0</v>
      </c>
      <c r="AR44" s="12">
        <f t="shared" si="13"/>
        <v>0</v>
      </c>
      <c r="AS44" s="12">
        <f t="shared" si="13"/>
        <v>0</v>
      </c>
      <c r="AT44" s="12">
        <f t="shared" si="13"/>
        <v>0</v>
      </c>
      <c r="AU44" s="12"/>
      <c r="AV44" s="12">
        <f t="shared" si="11"/>
        <v>0</v>
      </c>
    </row>
    <row r="45" spans="2:48">
      <c r="B45" s="12" t="s">
        <v>948</v>
      </c>
      <c r="C45" s="12">
        <f t="shared" ref="C45:AT48" si="14">IFERROR(ROUNDUP(C21/C$4*10^6,0),0)</f>
        <v>0</v>
      </c>
      <c r="D45" s="12">
        <f t="shared" si="14"/>
        <v>0</v>
      </c>
      <c r="E45" s="12">
        <f t="shared" si="14"/>
        <v>0</v>
      </c>
      <c r="F45" s="12">
        <f t="shared" si="14"/>
        <v>0</v>
      </c>
      <c r="G45" s="12">
        <f t="shared" si="14"/>
        <v>0</v>
      </c>
      <c r="H45" s="12">
        <f t="shared" si="14"/>
        <v>0</v>
      </c>
      <c r="I45" s="12">
        <f t="shared" si="14"/>
        <v>0</v>
      </c>
      <c r="J45" s="12">
        <f t="shared" si="14"/>
        <v>0</v>
      </c>
      <c r="K45" s="12">
        <f t="shared" si="14"/>
        <v>0</v>
      </c>
      <c r="L45" s="12">
        <f t="shared" si="14"/>
        <v>0</v>
      </c>
      <c r="M45" s="12">
        <f t="shared" si="14"/>
        <v>0</v>
      </c>
      <c r="N45" s="12">
        <f t="shared" si="14"/>
        <v>0</v>
      </c>
      <c r="O45" s="12">
        <f t="shared" si="14"/>
        <v>0</v>
      </c>
      <c r="P45" s="12">
        <f t="shared" si="14"/>
        <v>0</v>
      </c>
      <c r="Q45" s="12">
        <f t="shared" si="14"/>
        <v>0</v>
      </c>
      <c r="R45" s="12">
        <f t="shared" si="14"/>
        <v>0</v>
      </c>
      <c r="S45" s="12">
        <f t="shared" si="14"/>
        <v>0</v>
      </c>
      <c r="T45" s="12">
        <f t="shared" si="14"/>
        <v>0</v>
      </c>
      <c r="U45" s="12">
        <f t="shared" si="14"/>
        <v>0</v>
      </c>
      <c r="V45" s="12">
        <f t="shared" si="14"/>
        <v>0</v>
      </c>
      <c r="W45" s="12">
        <f t="shared" si="14"/>
        <v>0</v>
      </c>
      <c r="X45" s="12">
        <f t="shared" si="14"/>
        <v>0</v>
      </c>
      <c r="Y45" s="12">
        <f t="shared" si="14"/>
        <v>0</v>
      </c>
      <c r="Z45" s="12">
        <f t="shared" si="14"/>
        <v>0</v>
      </c>
      <c r="AA45" s="12">
        <f t="shared" si="14"/>
        <v>0</v>
      </c>
      <c r="AB45" s="12">
        <f t="shared" si="14"/>
        <v>0</v>
      </c>
      <c r="AC45" s="12">
        <f t="shared" si="14"/>
        <v>0</v>
      </c>
      <c r="AD45" s="12">
        <f t="shared" si="14"/>
        <v>0</v>
      </c>
      <c r="AE45" s="12">
        <f t="shared" si="14"/>
        <v>0</v>
      </c>
      <c r="AF45" s="12">
        <f t="shared" si="14"/>
        <v>0</v>
      </c>
      <c r="AG45" s="12">
        <f t="shared" si="14"/>
        <v>0</v>
      </c>
      <c r="AH45" s="12">
        <f t="shared" si="14"/>
        <v>0</v>
      </c>
      <c r="AI45" s="12">
        <f t="shared" si="14"/>
        <v>0</v>
      </c>
      <c r="AJ45" s="12">
        <f t="shared" si="14"/>
        <v>0</v>
      </c>
      <c r="AK45" s="12">
        <f t="shared" si="14"/>
        <v>0</v>
      </c>
      <c r="AL45" s="12">
        <f t="shared" si="14"/>
        <v>0</v>
      </c>
      <c r="AM45" s="12">
        <f t="shared" si="14"/>
        <v>0</v>
      </c>
      <c r="AN45" s="12">
        <f t="shared" si="14"/>
        <v>0</v>
      </c>
      <c r="AO45" s="12">
        <f t="shared" si="14"/>
        <v>0</v>
      </c>
      <c r="AP45" s="12">
        <f t="shared" si="14"/>
        <v>0</v>
      </c>
      <c r="AQ45" s="12">
        <f t="shared" si="14"/>
        <v>0</v>
      </c>
      <c r="AR45" s="12">
        <f t="shared" si="14"/>
        <v>0</v>
      </c>
      <c r="AS45" s="12">
        <f t="shared" si="14"/>
        <v>0</v>
      </c>
      <c r="AT45" s="12">
        <f t="shared" si="14"/>
        <v>0</v>
      </c>
      <c r="AU45" s="12"/>
      <c r="AV45" s="12">
        <f t="shared" si="11"/>
        <v>0</v>
      </c>
    </row>
    <row r="46" spans="2:48">
      <c r="B46" s="12" t="s">
        <v>959</v>
      </c>
      <c r="C46" s="12">
        <f t="shared" si="14"/>
        <v>137</v>
      </c>
      <c r="D46" s="12">
        <f t="shared" si="14"/>
        <v>0</v>
      </c>
      <c r="E46" s="12">
        <f t="shared" si="14"/>
        <v>0</v>
      </c>
      <c r="F46" s="12">
        <f t="shared" si="14"/>
        <v>0</v>
      </c>
      <c r="G46" s="12">
        <f t="shared" si="14"/>
        <v>0</v>
      </c>
      <c r="H46" s="12">
        <f t="shared" si="14"/>
        <v>0</v>
      </c>
      <c r="I46" s="12">
        <f t="shared" si="14"/>
        <v>0</v>
      </c>
      <c r="J46" s="12">
        <f t="shared" si="14"/>
        <v>0</v>
      </c>
      <c r="K46" s="12">
        <f t="shared" si="14"/>
        <v>0</v>
      </c>
      <c r="L46" s="12">
        <f t="shared" si="14"/>
        <v>0</v>
      </c>
      <c r="M46" s="12">
        <f t="shared" si="14"/>
        <v>0</v>
      </c>
      <c r="N46" s="12">
        <f t="shared" si="14"/>
        <v>0</v>
      </c>
      <c r="O46" s="12">
        <f t="shared" si="14"/>
        <v>0</v>
      </c>
      <c r="P46" s="12">
        <f t="shared" si="14"/>
        <v>0</v>
      </c>
      <c r="Q46" s="12">
        <f t="shared" si="14"/>
        <v>0</v>
      </c>
      <c r="R46" s="12">
        <f t="shared" si="14"/>
        <v>0</v>
      </c>
      <c r="S46" s="12">
        <f t="shared" si="14"/>
        <v>0</v>
      </c>
      <c r="T46" s="12">
        <f t="shared" si="14"/>
        <v>0</v>
      </c>
      <c r="U46" s="12">
        <f t="shared" si="14"/>
        <v>0</v>
      </c>
      <c r="V46" s="12">
        <f t="shared" si="14"/>
        <v>0</v>
      </c>
      <c r="W46" s="12">
        <f t="shared" si="14"/>
        <v>0</v>
      </c>
      <c r="X46" s="12">
        <f t="shared" si="14"/>
        <v>631</v>
      </c>
      <c r="Y46" s="12">
        <f t="shared" si="14"/>
        <v>0</v>
      </c>
      <c r="Z46" s="12">
        <f t="shared" si="14"/>
        <v>0</v>
      </c>
      <c r="AA46" s="12">
        <f t="shared" si="14"/>
        <v>0</v>
      </c>
      <c r="AB46" s="12">
        <f t="shared" si="14"/>
        <v>0</v>
      </c>
      <c r="AC46" s="12">
        <f t="shared" si="14"/>
        <v>0</v>
      </c>
      <c r="AD46" s="12">
        <f t="shared" si="14"/>
        <v>0</v>
      </c>
      <c r="AE46" s="12">
        <f t="shared" si="14"/>
        <v>0</v>
      </c>
      <c r="AF46" s="12">
        <f t="shared" si="14"/>
        <v>0</v>
      </c>
      <c r="AG46" s="12">
        <f t="shared" si="14"/>
        <v>0</v>
      </c>
      <c r="AH46" s="12">
        <f t="shared" si="14"/>
        <v>0</v>
      </c>
      <c r="AI46" s="12">
        <f t="shared" si="14"/>
        <v>0</v>
      </c>
      <c r="AJ46" s="12">
        <f t="shared" si="14"/>
        <v>0</v>
      </c>
      <c r="AK46" s="12">
        <f t="shared" si="14"/>
        <v>0</v>
      </c>
      <c r="AL46" s="12">
        <f t="shared" si="14"/>
        <v>0</v>
      </c>
      <c r="AM46" s="12">
        <f t="shared" si="14"/>
        <v>0</v>
      </c>
      <c r="AN46" s="12">
        <f t="shared" si="14"/>
        <v>0</v>
      </c>
      <c r="AO46" s="12">
        <f t="shared" si="14"/>
        <v>0</v>
      </c>
      <c r="AP46" s="12">
        <f t="shared" si="14"/>
        <v>0</v>
      </c>
      <c r="AQ46" s="12">
        <f t="shared" si="14"/>
        <v>0</v>
      </c>
      <c r="AR46" s="12">
        <f t="shared" si="14"/>
        <v>0</v>
      </c>
      <c r="AS46" s="12">
        <f t="shared" si="14"/>
        <v>0</v>
      </c>
      <c r="AT46" s="12">
        <f t="shared" si="14"/>
        <v>0</v>
      </c>
      <c r="AU46" s="12">
        <f t="shared" ref="AU46:AU48" si="15">IFERROR(ROUNDUP(AU22/AU$4*10^6,0),0)</f>
        <v>0</v>
      </c>
      <c r="AV46" s="12">
        <f t="shared" si="11"/>
        <v>137</v>
      </c>
    </row>
    <row r="47" spans="2:48">
      <c r="B47" s="12" t="s">
        <v>951</v>
      </c>
      <c r="C47" s="12">
        <f t="shared" si="14"/>
        <v>0</v>
      </c>
      <c r="D47" s="12">
        <f t="shared" si="14"/>
        <v>0</v>
      </c>
      <c r="E47" s="12">
        <f t="shared" si="14"/>
        <v>0</v>
      </c>
      <c r="F47" s="12">
        <f t="shared" si="14"/>
        <v>0</v>
      </c>
      <c r="G47" s="12">
        <f t="shared" si="14"/>
        <v>0</v>
      </c>
      <c r="H47" s="12">
        <f t="shared" si="14"/>
        <v>0</v>
      </c>
      <c r="I47" s="12">
        <f t="shared" si="14"/>
        <v>0</v>
      </c>
      <c r="J47" s="12">
        <f t="shared" si="14"/>
        <v>0</v>
      </c>
      <c r="K47" s="12">
        <f t="shared" si="14"/>
        <v>0</v>
      </c>
      <c r="L47" s="12">
        <f t="shared" si="14"/>
        <v>0</v>
      </c>
      <c r="M47" s="12">
        <f t="shared" si="14"/>
        <v>0</v>
      </c>
      <c r="N47" s="12">
        <f t="shared" si="14"/>
        <v>0</v>
      </c>
      <c r="O47" s="12">
        <f t="shared" si="14"/>
        <v>0</v>
      </c>
      <c r="P47" s="12">
        <f t="shared" si="14"/>
        <v>0</v>
      </c>
      <c r="Q47" s="12">
        <f t="shared" si="14"/>
        <v>0</v>
      </c>
      <c r="R47" s="12">
        <f t="shared" si="14"/>
        <v>0</v>
      </c>
      <c r="S47" s="12">
        <f t="shared" si="14"/>
        <v>0</v>
      </c>
      <c r="T47" s="12">
        <f t="shared" si="14"/>
        <v>0</v>
      </c>
      <c r="U47" s="12">
        <f t="shared" si="14"/>
        <v>0</v>
      </c>
      <c r="V47" s="12">
        <f t="shared" si="14"/>
        <v>0</v>
      </c>
      <c r="W47" s="12">
        <f t="shared" si="14"/>
        <v>0</v>
      </c>
      <c r="X47" s="12">
        <f t="shared" si="14"/>
        <v>0</v>
      </c>
      <c r="Y47" s="12">
        <f t="shared" si="14"/>
        <v>0</v>
      </c>
      <c r="Z47" s="12">
        <f t="shared" si="14"/>
        <v>0</v>
      </c>
      <c r="AA47" s="12">
        <f t="shared" si="14"/>
        <v>0</v>
      </c>
      <c r="AB47" s="12">
        <f t="shared" si="14"/>
        <v>0</v>
      </c>
      <c r="AC47" s="12">
        <f t="shared" si="14"/>
        <v>0</v>
      </c>
      <c r="AD47" s="12">
        <f t="shared" si="14"/>
        <v>0</v>
      </c>
      <c r="AE47" s="12">
        <f t="shared" si="14"/>
        <v>0</v>
      </c>
      <c r="AF47" s="12">
        <f t="shared" si="14"/>
        <v>0</v>
      </c>
      <c r="AG47" s="12">
        <f t="shared" si="14"/>
        <v>0</v>
      </c>
      <c r="AH47" s="12">
        <f t="shared" si="14"/>
        <v>0</v>
      </c>
      <c r="AI47" s="12">
        <f t="shared" si="14"/>
        <v>0</v>
      </c>
      <c r="AJ47" s="12">
        <f t="shared" si="14"/>
        <v>0</v>
      </c>
      <c r="AK47" s="12">
        <f t="shared" si="14"/>
        <v>0</v>
      </c>
      <c r="AL47" s="12">
        <f t="shared" si="14"/>
        <v>0</v>
      </c>
      <c r="AM47" s="12">
        <f t="shared" si="14"/>
        <v>0</v>
      </c>
      <c r="AN47" s="12">
        <f t="shared" si="14"/>
        <v>0</v>
      </c>
      <c r="AO47" s="12">
        <f t="shared" si="14"/>
        <v>0</v>
      </c>
      <c r="AP47" s="12">
        <f t="shared" si="14"/>
        <v>0</v>
      </c>
      <c r="AQ47" s="12">
        <f t="shared" si="14"/>
        <v>0</v>
      </c>
      <c r="AR47" s="12">
        <f t="shared" si="14"/>
        <v>0</v>
      </c>
      <c r="AS47" s="12">
        <f t="shared" si="14"/>
        <v>0</v>
      </c>
      <c r="AT47" s="12">
        <f t="shared" si="14"/>
        <v>0</v>
      </c>
      <c r="AU47" s="12">
        <f t="shared" si="15"/>
        <v>0</v>
      </c>
      <c r="AV47" s="12">
        <f t="shared" si="11"/>
        <v>0</v>
      </c>
    </row>
    <row r="48" spans="2:48">
      <c r="B48" s="12" t="s">
        <v>996</v>
      </c>
      <c r="C48" s="12">
        <f t="shared" si="14"/>
        <v>0</v>
      </c>
      <c r="D48" s="12">
        <f t="shared" si="14"/>
        <v>0</v>
      </c>
      <c r="E48" s="12">
        <f t="shared" si="14"/>
        <v>0</v>
      </c>
      <c r="F48" s="12">
        <f t="shared" si="14"/>
        <v>0</v>
      </c>
      <c r="G48" s="12">
        <f t="shared" si="14"/>
        <v>0</v>
      </c>
      <c r="H48" s="12">
        <f t="shared" si="14"/>
        <v>0</v>
      </c>
      <c r="I48" s="12">
        <f t="shared" si="14"/>
        <v>0</v>
      </c>
      <c r="J48" s="12">
        <f t="shared" si="14"/>
        <v>0</v>
      </c>
      <c r="K48" s="12">
        <f t="shared" si="14"/>
        <v>0</v>
      </c>
      <c r="L48" s="12">
        <f t="shared" si="14"/>
        <v>0</v>
      </c>
      <c r="M48" s="12">
        <f t="shared" si="14"/>
        <v>0</v>
      </c>
      <c r="N48" s="12">
        <f t="shared" si="14"/>
        <v>0</v>
      </c>
      <c r="O48" s="12">
        <f t="shared" si="14"/>
        <v>0</v>
      </c>
      <c r="P48" s="12">
        <f t="shared" si="14"/>
        <v>0</v>
      </c>
      <c r="Q48" s="12">
        <f t="shared" si="14"/>
        <v>0</v>
      </c>
      <c r="R48" s="12">
        <f t="shared" si="14"/>
        <v>0</v>
      </c>
      <c r="S48" s="12">
        <f t="shared" si="14"/>
        <v>0</v>
      </c>
      <c r="T48" s="12">
        <f t="shared" si="14"/>
        <v>0</v>
      </c>
      <c r="U48" s="12">
        <f t="shared" si="14"/>
        <v>0</v>
      </c>
      <c r="V48" s="12">
        <f t="shared" si="14"/>
        <v>0</v>
      </c>
      <c r="W48" s="12">
        <f t="shared" si="14"/>
        <v>0</v>
      </c>
      <c r="X48" s="12">
        <f t="shared" si="14"/>
        <v>0</v>
      </c>
      <c r="Y48" s="12">
        <f t="shared" si="14"/>
        <v>0</v>
      </c>
      <c r="Z48" s="12">
        <f t="shared" si="14"/>
        <v>0</v>
      </c>
      <c r="AA48" s="12">
        <f t="shared" si="14"/>
        <v>0</v>
      </c>
      <c r="AB48" s="12">
        <f t="shared" si="14"/>
        <v>0</v>
      </c>
      <c r="AC48" s="12">
        <f t="shared" si="14"/>
        <v>0</v>
      </c>
      <c r="AD48" s="12">
        <f t="shared" si="14"/>
        <v>0</v>
      </c>
      <c r="AE48" s="12">
        <f t="shared" si="14"/>
        <v>0</v>
      </c>
      <c r="AF48" s="12">
        <f t="shared" si="14"/>
        <v>0</v>
      </c>
      <c r="AG48" s="12">
        <f t="shared" si="14"/>
        <v>0</v>
      </c>
      <c r="AH48" s="12">
        <f t="shared" si="14"/>
        <v>0</v>
      </c>
      <c r="AI48" s="12">
        <f t="shared" si="14"/>
        <v>0</v>
      </c>
      <c r="AJ48" s="12">
        <f t="shared" si="14"/>
        <v>0</v>
      </c>
      <c r="AK48" s="12">
        <f t="shared" si="14"/>
        <v>0</v>
      </c>
      <c r="AL48" s="12">
        <f t="shared" si="14"/>
        <v>0</v>
      </c>
      <c r="AM48" s="12">
        <f t="shared" si="14"/>
        <v>0</v>
      </c>
      <c r="AN48" s="12">
        <f t="shared" si="14"/>
        <v>0</v>
      </c>
      <c r="AO48" s="12">
        <f t="shared" si="14"/>
        <v>0</v>
      </c>
      <c r="AP48" s="12">
        <f t="shared" si="14"/>
        <v>0</v>
      </c>
      <c r="AQ48" s="12">
        <f t="shared" si="14"/>
        <v>0</v>
      </c>
      <c r="AR48" s="12">
        <f t="shared" si="14"/>
        <v>0</v>
      </c>
      <c r="AS48" s="12">
        <f t="shared" si="14"/>
        <v>0</v>
      </c>
      <c r="AT48" s="12">
        <f t="shared" si="14"/>
        <v>0</v>
      </c>
      <c r="AU48" s="12">
        <f t="shared" si="15"/>
        <v>0</v>
      </c>
      <c r="AV48" s="12">
        <f t="shared" si="11"/>
        <v>0</v>
      </c>
    </row>
  </sheetData>
  <phoneticPr fontId="7" type="noConversion"/>
  <conditionalFormatting sqref="C30:E48 C28:E28 B29:E29 F4:AT24">
    <cfRule type="cellIs" dxfId="13" priority="2" operator="equal">
      <formula>0</formula>
    </cfRule>
  </conditionalFormatting>
  <conditionalFormatting sqref="F28:AT48 AU46:AU48">
    <cfRule type="cellIs" dxfId="12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AD23C-7847-45E5-AB96-C560A9AF0CE6}">
  <sheetPr codeName="wsWeekly2">
    <tabColor rgb="FF0099FF"/>
  </sheetPr>
  <dimension ref="B1:FE25"/>
  <sheetViews>
    <sheetView zoomScale="70" zoomScaleNormal="70" workbookViewId="0">
      <selection activeCell="B6" sqref="B6:B24"/>
    </sheetView>
  </sheetViews>
  <sheetFormatPr defaultColWidth="8.90625" defaultRowHeight="14.5"/>
  <cols>
    <col min="1" max="1" width="3.08984375" style="3" customWidth="1"/>
    <col min="2" max="2" width="11.08984375" style="3" customWidth="1"/>
    <col min="3" max="3" width="9.453125" style="3" customWidth="1"/>
    <col min="4" max="54" width="9.453125" style="3" bestFit="1" customWidth="1"/>
    <col min="55" max="16384" width="8.90625" style="3"/>
  </cols>
  <sheetData>
    <row r="1" spans="2:161" s="5" customFormat="1" ht="14.15" customHeight="1">
      <c r="B1" s="5" t="str">
        <f>Report!O26</f>
        <v>SOEM</v>
      </c>
      <c r="C1" s="4" t="str">
        <f>Report!P26</f>
        <v>75APH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5" customHeight="1">
      <c r="B2" s="24" t="s">
        <v>28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>
      <c r="B3" s="17" t="str">
        <f>Report!M26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2053</v>
      </c>
      <c r="BD3" s="6">
        <v>2101</v>
      </c>
      <c r="BE3" s="6">
        <v>2102</v>
      </c>
      <c r="BF3" s="6">
        <v>2103</v>
      </c>
      <c r="BG3" s="6">
        <v>2104</v>
      </c>
      <c r="BH3" s="6">
        <v>2105</v>
      </c>
      <c r="BI3" s="6">
        <v>2106</v>
      </c>
      <c r="BJ3" s="6">
        <v>2107</v>
      </c>
      <c r="BK3" s="6">
        <v>2108</v>
      </c>
      <c r="BL3" s="6">
        <v>2109</v>
      </c>
      <c r="BM3" s="6">
        <v>2110</v>
      </c>
      <c r="BN3" s="6">
        <v>2111</v>
      </c>
      <c r="BO3" s="6">
        <v>2112</v>
      </c>
      <c r="BP3" s="6">
        <v>2113</v>
      </c>
      <c r="BQ3" s="6">
        <v>2114</v>
      </c>
      <c r="BR3" s="6">
        <v>2115</v>
      </c>
      <c r="BS3" s="6">
        <v>2116</v>
      </c>
      <c r="BT3" s="6">
        <v>2117</v>
      </c>
      <c r="BU3" s="6">
        <v>2118</v>
      </c>
      <c r="BV3" s="6">
        <v>2119</v>
      </c>
      <c r="BW3" s="6">
        <v>2120</v>
      </c>
      <c r="BX3" s="6">
        <v>2121</v>
      </c>
      <c r="BY3" s="6">
        <v>2122</v>
      </c>
      <c r="BZ3" s="6">
        <v>2123</v>
      </c>
      <c r="CA3" s="6">
        <v>2124</v>
      </c>
      <c r="CB3" s="6">
        <v>2125</v>
      </c>
      <c r="CC3" s="6">
        <v>2126</v>
      </c>
      <c r="CD3" s="6">
        <v>2127</v>
      </c>
      <c r="CE3" s="6">
        <v>2128</v>
      </c>
      <c r="CF3" s="6">
        <v>2129</v>
      </c>
      <c r="CG3" s="6">
        <v>2130</v>
      </c>
      <c r="CH3" s="6">
        <v>2131</v>
      </c>
      <c r="CI3" s="6">
        <v>2132</v>
      </c>
      <c r="CJ3" s="6">
        <v>2133</v>
      </c>
      <c r="CK3" s="6">
        <v>2134</v>
      </c>
      <c r="CL3" s="6">
        <v>2135</v>
      </c>
      <c r="CM3" s="6">
        <v>2136</v>
      </c>
      <c r="CN3" s="6">
        <v>2137</v>
      </c>
      <c r="CO3" s="6">
        <v>2138</v>
      </c>
      <c r="CP3" s="6">
        <v>2139</v>
      </c>
      <c r="CQ3" s="6">
        <v>2140</v>
      </c>
      <c r="CR3" s="6">
        <v>2141</v>
      </c>
      <c r="CS3" s="6">
        <v>2142</v>
      </c>
      <c r="CT3" s="6">
        <v>2143</v>
      </c>
      <c r="CU3" s="6">
        <v>2144</v>
      </c>
      <c r="CV3" s="6">
        <v>2145</v>
      </c>
      <c r="CW3" s="6">
        <v>2146</v>
      </c>
      <c r="CX3" s="6">
        <v>2147</v>
      </c>
      <c r="CY3" s="6">
        <v>2148</v>
      </c>
      <c r="CZ3" s="6">
        <v>2149</v>
      </c>
      <c r="DA3" s="6">
        <v>2150</v>
      </c>
      <c r="DB3" s="6">
        <v>2151</v>
      </c>
      <c r="DC3" s="6">
        <v>2152</v>
      </c>
      <c r="DD3" s="6">
        <v>2153</v>
      </c>
      <c r="DE3" s="6">
        <v>2201</v>
      </c>
      <c r="DF3" s="6">
        <v>2202</v>
      </c>
      <c r="DG3" s="6">
        <v>2203</v>
      </c>
      <c r="DH3" s="6">
        <v>2204</v>
      </c>
      <c r="DI3" s="6">
        <v>2205</v>
      </c>
      <c r="DJ3" s="6">
        <v>2206</v>
      </c>
      <c r="DK3" s="6">
        <v>2207</v>
      </c>
      <c r="DL3" s="6">
        <v>2208</v>
      </c>
      <c r="DM3" s="6">
        <v>2209</v>
      </c>
      <c r="DN3" s="6">
        <v>2210</v>
      </c>
      <c r="DO3" s="6">
        <v>2211</v>
      </c>
      <c r="DP3" s="6">
        <v>2212</v>
      </c>
      <c r="DQ3" s="6">
        <v>2213</v>
      </c>
      <c r="DR3" s="6">
        <v>2214</v>
      </c>
      <c r="DS3" s="6">
        <v>2215</v>
      </c>
      <c r="DT3" s="6">
        <v>2216</v>
      </c>
      <c r="DU3" s="6">
        <v>2217</v>
      </c>
      <c r="DV3" s="6">
        <v>2218</v>
      </c>
      <c r="DW3" s="6">
        <v>2219</v>
      </c>
      <c r="DX3" s="6">
        <v>2220</v>
      </c>
      <c r="DY3" s="6">
        <v>2221</v>
      </c>
      <c r="DZ3" s="6">
        <v>2222</v>
      </c>
      <c r="EA3" s="6">
        <v>2223</v>
      </c>
      <c r="EB3" s="6">
        <v>2224</v>
      </c>
      <c r="EC3" s="6">
        <v>2225</v>
      </c>
      <c r="ED3" s="6">
        <v>2226</v>
      </c>
      <c r="EE3" s="6">
        <v>2227</v>
      </c>
      <c r="EF3" s="6">
        <v>2228</v>
      </c>
      <c r="EG3" s="6">
        <v>2229</v>
      </c>
      <c r="EH3" s="6">
        <v>2230</v>
      </c>
      <c r="EI3" s="6">
        <v>2231</v>
      </c>
      <c r="EJ3" s="6">
        <v>2232</v>
      </c>
      <c r="EK3" s="6">
        <v>2233</v>
      </c>
      <c r="EL3" s="6">
        <v>2234</v>
      </c>
      <c r="EM3" s="6">
        <v>2235</v>
      </c>
      <c r="EN3" s="6">
        <v>2236</v>
      </c>
      <c r="EO3" s="6">
        <v>2237</v>
      </c>
      <c r="EP3" s="6">
        <v>2238</v>
      </c>
      <c r="EQ3" s="6">
        <v>2239</v>
      </c>
      <c r="ER3" s="6">
        <v>2240</v>
      </c>
      <c r="ES3" s="6">
        <v>2241</v>
      </c>
      <c r="ET3" s="6">
        <v>2242</v>
      </c>
      <c r="EU3" s="6">
        <v>2243</v>
      </c>
      <c r="EV3" s="6">
        <v>2244</v>
      </c>
      <c r="EW3" s="6">
        <v>2245</v>
      </c>
      <c r="EX3" s="6">
        <v>2246</v>
      </c>
      <c r="EY3" s="6">
        <v>2247</v>
      </c>
      <c r="EZ3" s="6">
        <v>2248</v>
      </c>
      <c r="FA3" s="6">
        <v>2249</v>
      </c>
      <c r="FB3" s="6">
        <v>2250</v>
      </c>
      <c r="FC3" s="6">
        <v>2251</v>
      </c>
      <c r="FD3" s="6">
        <v>2252</v>
      </c>
      <c r="FE3" s="6">
        <v>2253</v>
      </c>
    </row>
    <row r="4" spans="2:161">
      <c r="B4" s="2" t="s">
        <v>989</v>
      </c>
      <c r="C4" s="2">
        <f>SUMIF(inputs!$K:$K,Weekly_TVPlantPmod!C$3&amp;Weekly_TVPlantPmod!$B$3&amp;$B$1&amp;$C$1,inputs!$D:$D)</f>
        <v>0</v>
      </c>
      <c r="D4" s="2">
        <f>SUMIF(inputs!$K:$K,Weekly_TVPlantPmod!D$3&amp;Weekly_TVPlantPmod!$B$3&amp;$B$1&amp;$C$1,inputs!$D:$D)</f>
        <v>0</v>
      </c>
      <c r="E4" s="2">
        <f>SUMIF(inputs!$K:$K,Weekly_TVPlantPmod!E$3&amp;Weekly_TVPlantPmod!$B$3&amp;$B$1&amp;$C$1,inputs!$D:$D)</f>
        <v>0</v>
      </c>
      <c r="F4" s="2">
        <f>SUMIF(inputs!$K:$K,Weekly_TVPlantPmod!F$3&amp;Weekly_TVPlantPmod!$B$3&amp;$B$1&amp;$C$1,inputs!$D:$D)</f>
        <v>0</v>
      </c>
      <c r="G4" s="2">
        <f>SUMIF(inputs!$K:$K,Weekly_TVPlantPmod!G$3&amp;Weekly_TVPlantPmod!$B$3&amp;$B$1&amp;$C$1,inputs!$D:$D)</f>
        <v>0</v>
      </c>
      <c r="H4" s="2">
        <f>SUMIF(inputs!$K:$K,Weekly_TVPlantPmod!H$3&amp;Weekly_TVPlantPmod!$B$3&amp;$B$1&amp;$C$1,inputs!$D:$D)</f>
        <v>0</v>
      </c>
      <c r="I4" s="2">
        <f>SUMIF(inputs!$K:$K,Weekly_TVPlantPmod!I$3&amp;Weekly_TVPlantPmod!$B$3&amp;$B$1&amp;$C$1,inputs!$D:$D)</f>
        <v>0</v>
      </c>
      <c r="J4" s="2">
        <f>SUMIF(inputs!$K:$K,Weekly_TVPlantPmod!J$3&amp;Weekly_TVPlantPmod!$B$3&amp;$B$1&amp;$C$1,inputs!$D:$D)</f>
        <v>0</v>
      </c>
      <c r="K4" s="2">
        <f>SUMIF(inputs!$K:$K,Weekly_TVPlantPmod!K$3&amp;Weekly_TVPlantPmod!$B$3&amp;$B$1&amp;$C$1,inputs!$D:$D)</f>
        <v>0</v>
      </c>
      <c r="L4" s="2">
        <f>SUMIF(inputs!$K:$K,Weekly_TVPlantPmod!L$3&amp;Weekly_TVPlantPmod!$B$3&amp;$B$1&amp;$C$1,inputs!$D:$D)</f>
        <v>0</v>
      </c>
      <c r="M4" s="2">
        <f>SUMIF(inputs!$K:$K,Weekly_TVPlantPmod!M$3&amp;Weekly_TVPlantPmod!$B$3&amp;$B$1&amp;$C$1,inputs!$D:$D)</f>
        <v>0</v>
      </c>
      <c r="N4" s="2">
        <f>SUMIF(inputs!$K:$K,Weekly_TVPlantPmod!N$3&amp;Weekly_TVPlantPmod!$B$3&amp;$B$1&amp;$C$1,inputs!$D:$D)</f>
        <v>0</v>
      </c>
      <c r="O4" s="2">
        <f>SUMIF(inputs!$K:$K,Weekly_TVPlantPmod!O$3&amp;Weekly_TVPlantPmod!$B$3&amp;$B$1&amp;$C$1,inputs!$D:$D)</f>
        <v>0</v>
      </c>
      <c r="P4" s="2">
        <f>SUMIF(inputs!$K:$K,Weekly_TVPlantPmod!P$3&amp;Weekly_TVPlantPmod!$B$3&amp;$B$1&amp;$C$1,inputs!$D:$D)</f>
        <v>0</v>
      </c>
      <c r="Q4" s="2">
        <f>SUMIF(inputs!$K:$K,Weekly_TVPlantPmod!Q$3&amp;Weekly_TVPlantPmod!$B$3&amp;$B$1&amp;$C$1,inputs!$D:$D)</f>
        <v>0</v>
      </c>
      <c r="R4" s="2">
        <f>SUMIF(inputs!$K:$K,Weekly_TVPlantPmod!R$3&amp;Weekly_TVPlantPmod!$B$3&amp;$B$1&amp;$C$1,inputs!$D:$D)</f>
        <v>0</v>
      </c>
      <c r="S4" s="2">
        <f>SUMIF(inputs!$K:$K,Weekly_TVPlantPmod!S$3&amp;Weekly_TVPlantPmod!$B$3&amp;$B$1&amp;$C$1,inputs!$D:$D)</f>
        <v>0</v>
      </c>
      <c r="T4" s="2">
        <f>SUMIF(inputs!$K:$K,Weekly_TVPlantPmod!T$3&amp;Weekly_TVPlantPmod!$B$3&amp;$B$1&amp;$C$1,inputs!$D:$D)</f>
        <v>0</v>
      </c>
      <c r="U4" s="2">
        <f>SUMIF(inputs!$K:$K,Weekly_TVPlantPmod!U$3&amp;Weekly_TVPlantPmod!$B$3&amp;$B$1&amp;$C$1,inputs!$D:$D)</f>
        <v>0</v>
      </c>
      <c r="V4" s="2">
        <f>SUMIF(inputs!$K:$K,Weekly_TVPlantPmod!V$3&amp;Weekly_TVPlantPmod!$B$3&amp;$B$1&amp;$C$1,inputs!$D:$D)</f>
        <v>0</v>
      </c>
      <c r="W4" s="2">
        <f>SUMIF(inputs!$K:$K,Weekly_TVPlantPmod!W$3&amp;Weekly_TVPlantPmod!$B$3&amp;$B$1&amp;$C$1,inputs!$D:$D)</f>
        <v>0</v>
      </c>
      <c r="X4" s="2">
        <f>SUMIF(inputs!$K:$K,Weekly_TVPlantPmod!X$3&amp;Weekly_TVPlantPmod!$B$3&amp;$B$1&amp;$C$1,inputs!$D:$D)</f>
        <v>0</v>
      </c>
      <c r="Y4" s="2">
        <f>SUMIF(inputs!$K:$K,Weekly_TVPlantPmod!Y$3&amp;Weekly_TVPlantPmod!$B$3&amp;$B$1&amp;$C$1,inputs!$D:$D)</f>
        <v>0</v>
      </c>
      <c r="Z4" s="2">
        <f>SUMIF(inputs!$K:$K,Weekly_TVPlantPmod!Z$3&amp;Weekly_TVPlantPmod!$B$3&amp;$B$1&amp;$C$1,inputs!$D:$D)</f>
        <v>0</v>
      </c>
      <c r="AA4" s="2">
        <f>SUMIF(inputs!$K:$K,Weekly_TVPlantPmod!AA$3&amp;Weekly_TVPlantPmod!$B$3&amp;$B$1&amp;$C$1,inputs!$D:$D)</f>
        <v>0</v>
      </c>
      <c r="AB4" s="2">
        <f>SUMIF(inputs!$K:$K,Weekly_TVPlantPmod!AB$3&amp;Weekly_TVPlantPmod!$B$3&amp;$B$1&amp;$C$1,inputs!$D:$D)</f>
        <v>0</v>
      </c>
      <c r="AC4" s="2">
        <f>SUMIF(inputs!$K:$K,Weekly_TVPlantPmod!AC$3&amp;Weekly_TVPlantPmod!$B$3&amp;$B$1&amp;$C$1,inputs!$D:$D)</f>
        <v>0</v>
      </c>
      <c r="AD4" s="2">
        <f>SUMIF(inputs!$K:$K,Weekly_TVPlantPmod!AD$3&amp;Weekly_TVPlantPmod!$B$3&amp;$B$1&amp;$C$1,inputs!$D:$D)</f>
        <v>0</v>
      </c>
      <c r="AE4" s="2">
        <f>SUMIF(inputs!$K:$K,Weekly_TVPlantPmod!AE$3&amp;Weekly_TVPlantPmod!$B$3&amp;$B$1&amp;$C$1,inputs!$D:$D)</f>
        <v>0</v>
      </c>
      <c r="AF4" s="2">
        <f>SUMIF(inputs!$K:$K,Weekly_TVPlantPmod!AF$3&amp;Weekly_TVPlantPmod!$B$3&amp;$B$1&amp;$C$1,inputs!$D:$D)</f>
        <v>0</v>
      </c>
      <c r="AG4" s="2">
        <f>SUMIF(inputs!$K:$K,Weekly_TVPlantPmod!AG$3&amp;Weekly_TVPlantPmod!$B$3&amp;$B$1&amp;$C$1,inputs!$D:$D)</f>
        <v>0</v>
      </c>
      <c r="AH4" s="2">
        <f>SUMIF(inputs!$K:$K,Weekly_TVPlantPmod!AH$3&amp;Weekly_TVPlantPmod!$B$3&amp;$B$1&amp;$C$1,inputs!$D:$D)</f>
        <v>0</v>
      </c>
      <c r="AI4" s="2">
        <f>SUMIF(inputs!$K:$K,Weekly_TVPlantPmod!AI$3&amp;Weekly_TVPlantPmod!$B$3&amp;$B$1&amp;$C$1,inputs!$D:$D)</f>
        <v>0</v>
      </c>
      <c r="AJ4" s="2">
        <f>SUMIF(inputs!$K:$K,Weekly_TVPlantPmod!AJ$3&amp;Weekly_TVPlantPmod!$B$3&amp;$B$1&amp;$C$1,inputs!$D:$D)</f>
        <v>0</v>
      </c>
      <c r="AK4" s="2">
        <f>SUMIF(inputs!$K:$K,Weekly_TVPlantPmod!AK$3&amp;Weekly_TVPlantPmod!$B$3&amp;$B$1&amp;$C$1,inputs!$D:$D)</f>
        <v>0</v>
      </c>
      <c r="AL4" s="2">
        <f>SUMIF(inputs!$K:$K,Weekly_TVPlantPmod!AL$3&amp;Weekly_TVPlantPmod!$B$3&amp;$B$1&amp;$C$1,inputs!$D:$D)</f>
        <v>0</v>
      </c>
      <c r="AM4" s="2">
        <f>SUMIF(inputs!$K:$K,Weekly_TVPlantPmod!AM$3&amp;Weekly_TVPlantPmod!$B$3&amp;$B$1&amp;$C$1,inputs!$D:$D)</f>
        <v>0</v>
      </c>
      <c r="AN4" s="2">
        <f>SUMIF(inputs!$K:$K,Weekly_TVPlantPmod!AN$3&amp;Weekly_TVPlantPmod!$B$3&amp;$B$1&amp;$C$1,inputs!$D:$D)</f>
        <v>0</v>
      </c>
      <c r="AO4" s="2">
        <f>SUMIF(inputs!$K:$K,Weekly_TVPlantPmod!AO$3&amp;Weekly_TVPlantPmod!$B$3&amp;$B$1&amp;$C$1,inputs!$D:$D)</f>
        <v>0</v>
      </c>
      <c r="AP4" s="2">
        <f>SUMIF(inputs!$K:$K,Weekly_TVPlantPmod!AP$3&amp;Weekly_TVPlantPmod!$B$3&amp;$B$1&amp;$C$1,inputs!$D:$D)</f>
        <v>0</v>
      </c>
      <c r="AQ4" s="2">
        <f>SUMIF(inputs!$K:$K,Weekly_TVPlantPmod!AQ$3&amp;Weekly_TVPlantPmod!$B$3&amp;$B$1&amp;$C$1,inputs!$D:$D)</f>
        <v>0</v>
      </c>
      <c r="AR4" s="2">
        <f>SUMIF(inputs!$K:$K,Weekly_TVPlantPmod!AR$3&amp;Weekly_TVPlantPmod!$B$3&amp;$B$1&amp;$C$1,inputs!$D:$D)</f>
        <v>0</v>
      </c>
      <c r="AS4" s="2">
        <f>SUMIF(inputs!$K:$K,Weekly_TVPlantPmod!AS$3&amp;Weekly_TVPlantPmod!$B$3&amp;$B$1&amp;$C$1,inputs!$D:$D)</f>
        <v>0</v>
      </c>
      <c r="AT4" s="2">
        <f>SUMIF(inputs!$K:$K,Weekly_TVPlantPmod!AT$3&amp;Weekly_TVPlantPmod!$B$3&amp;$B$1&amp;$C$1,inputs!$D:$D)</f>
        <v>0</v>
      </c>
      <c r="AU4" s="2">
        <f>SUMIF(inputs!$K:$K,Weekly_TVPlantPmod!AU$3&amp;Weekly_TVPlantPmod!$B$3&amp;$B$1&amp;$C$1,inputs!$D:$D)</f>
        <v>0</v>
      </c>
      <c r="AV4" s="2">
        <f>SUMIF(inputs!$K:$K,Weekly_TVPlantPmod!AV$3&amp;Weekly_TVPlantPmod!$B$3&amp;$B$1&amp;$C$1,inputs!$D:$D)</f>
        <v>0</v>
      </c>
      <c r="AW4" s="2">
        <f>SUMIF(inputs!$K:$K,Weekly_TVPlantPmod!AW$3&amp;Weekly_TVPlantPmod!$B$3&amp;$B$1&amp;$C$1,inputs!$D:$D)</f>
        <v>0</v>
      </c>
      <c r="AX4" s="2">
        <f>SUMIF(inputs!$K:$K,Weekly_TVPlantPmod!AX$3&amp;Weekly_TVPlantPmod!$B$3&amp;$B$1&amp;$C$1,inputs!$D:$D)</f>
        <v>0</v>
      </c>
      <c r="AY4" s="2">
        <f>SUMIF(inputs!$K:$K,Weekly_TVPlantPmod!AY$3&amp;Weekly_TVPlantPmod!$B$3&amp;$B$1&amp;$C$1,inputs!$D:$D)</f>
        <v>0</v>
      </c>
      <c r="AZ4" s="2">
        <f>SUMIF(inputs!$K:$K,Weekly_TVPlantPmod!AZ$3&amp;Weekly_TVPlantPmod!$B$3&amp;$B$1&amp;$C$1,inputs!$D:$D)</f>
        <v>0</v>
      </c>
      <c r="BA4" s="2">
        <f>SUMIF(inputs!$K:$K,Weekly_TVPlantPmod!BA$3&amp;Weekly_TVPlantPmod!$B$3&amp;$B$1&amp;$C$1,inputs!$D:$D)</f>
        <v>0</v>
      </c>
      <c r="BB4" s="2">
        <f>SUMIF(inputs!$K:$K,Weekly_TVPlantPmod!BB$3&amp;Weekly_TVPlantPmod!$B$3&amp;$B$1&amp;$C$1,inputs!$D:$D)</f>
        <v>0</v>
      </c>
      <c r="BC4" s="2">
        <f>SUMIF(inputs!$K:$K,Weekly_TVPlantPmod!BC$3&amp;Weekly_TVPlantPmod!$B$3&amp;$B$1&amp;$C$1,inputs!$D:$D)</f>
        <v>0</v>
      </c>
      <c r="BD4" s="2">
        <f>SUMIF(inputs!$K:$K,Weekly_TVPlantPmod!BD$3&amp;Weekly_TVPlantPmod!$B$3&amp;$B$1&amp;$C$1,inputs!$D:$D)</f>
        <v>0</v>
      </c>
      <c r="BE4" s="2">
        <f>SUMIF(inputs!$K:$K,Weekly_TVPlantPmod!BE$3&amp;Weekly_TVPlantPmod!$B$3&amp;$B$1&amp;$C$1,inputs!$D:$D)</f>
        <v>0</v>
      </c>
      <c r="BF4" s="2">
        <f>SUMIF(inputs!$K:$K,Weekly_TVPlantPmod!BF$3&amp;Weekly_TVPlantPmod!$B$3&amp;$B$1&amp;$C$1,inputs!$D:$D)</f>
        <v>0</v>
      </c>
      <c r="BG4" s="2">
        <f>SUMIF(inputs!$K:$K,Weekly_TVPlantPmod!BG$3&amp;Weekly_TVPlantPmod!$B$3&amp;$B$1&amp;$C$1,inputs!$D:$D)</f>
        <v>0</v>
      </c>
      <c r="BH4" s="2">
        <f>SUMIF(inputs!$K:$K,Weekly_TVPlantPmod!BH$3&amp;Weekly_TVPlantPmod!$B$3&amp;$B$1&amp;$C$1,inputs!$D:$D)</f>
        <v>0</v>
      </c>
      <c r="BI4" s="2">
        <f>SUMIF(inputs!$K:$K,Weekly_TVPlantPmod!BI$3&amp;Weekly_TVPlantPmod!$B$3&amp;$B$1&amp;$C$1,inputs!$D:$D)</f>
        <v>0</v>
      </c>
      <c r="BJ4" s="2">
        <f>SUMIF(inputs!$K:$K,Weekly_TVPlantPmod!BJ$3&amp;Weekly_TVPlantPmod!$B$3&amp;$B$1&amp;$C$1,inputs!$D:$D)</f>
        <v>0</v>
      </c>
      <c r="BK4" s="2">
        <f>SUMIF(inputs!$K:$K,Weekly_TVPlantPmod!BK$3&amp;Weekly_TVPlantPmod!$B$3&amp;$B$1&amp;$C$1,inputs!$D:$D)</f>
        <v>0</v>
      </c>
      <c r="BL4" s="2">
        <f>SUMIF(inputs!$K:$K,Weekly_TVPlantPmod!BL$3&amp;Weekly_TVPlantPmod!$B$3&amp;$B$1&amp;$C$1,inputs!$D:$D)</f>
        <v>52</v>
      </c>
      <c r="BM4" s="2">
        <f>SUMIF(inputs!$K:$K,Weekly_TVPlantPmod!BM$3&amp;Weekly_TVPlantPmod!$B$3&amp;$B$1&amp;$C$1,inputs!$D:$D)</f>
        <v>0</v>
      </c>
      <c r="BN4" s="2">
        <f>SUMIF(inputs!$K:$K,Weekly_TVPlantPmod!BN$3&amp;Weekly_TVPlantPmod!$B$3&amp;$B$1&amp;$C$1,inputs!$D:$D)</f>
        <v>90</v>
      </c>
      <c r="BO4" s="2">
        <f>SUMIF(inputs!$K:$K,Weekly_TVPlantPmod!BO$3&amp;Weekly_TVPlantPmod!$B$3&amp;$B$1&amp;$C$1,inputs!$D:$D)</f>
        <v>35</v>
      </c>
      <c r="BP4" s="2">
        <f>SUMIF(inputs!$K:$K,Weekly_TVPlantPmod!BP$3&amp;Weekly_TVPlantPmod!$B$3&amp;$B$1&amp;$C$1,inputs!$D:$D)</f>
        <v>20</v>
      </c>
      <c r="BQ4" s="2">
        <f>SUMIF(inputs!$K:$K,Weekly_TVPlantPmod!BQ$3&amp;Weekly_TVPlantPmod!$B$3&amp;$B$1&amp;$C$1,inputs!$D:$D)</f>
        <v>407</v>
      </c>
      <c r="BR4" s="2">
        <f>SUMIF(inputs!$K:$K,Weekly_TVPlantPmod!BR$3&amp;Weekly_TVPlantPmod!$B$3&amp;$B$1&amp;$C$1,inputs!$D:$D)</f>
        <v>1143</v>
      </c>
      <c r="BS4" s="2">
        <f>SUMIF(inputs!$K:$K,Weekly_TVPlantPmod!BS$3&amp;Weekly_TVPlantPmod!$B$3&amp;$B$1&amp;$C$1,inputs!$D:$D)</f>
        <v>2098</v>
      </c>
      <c r="BT4" s="2">
        <f>SUMIF(inputs!$K:$K,Weekly_TVPlantPmod!BT$3&amp;Weekly_TVPlantPmod!$B$3&amp;$B$1&amp;$C$1,inputs!$D:$D)</f>
        <v>1254</v>
      </c>
      <c r="BU4" s="2">
        <f>SUMIF(inputs!$K:$K,Weekly_TVPlantPmod!BU$3&amp;Weekly_TVPlantPmod!$B$3&amp;$B$1&amp;$C$1,inputs!$D:$D)</f>
        <v>858</v>
      </c>
      <c r="BV4" s="2">
        <f>SUMIF(inputs!$K:$K,Weekly_TVPlantPmod!BV$3&amp;Weekly_TVPlantPmod!$B$3&amp;$B$1&amp;$C$1,inputs!$D:$D)</f>
        <v>0</v>
      </c>
      <c r="BW4" s="2">
        <f>SUMIF(inputs!$K:$K,Weekly_TVPlantPmod!BW$3&amp;Weekly_TVPlantPmod!$B$3&amp;$B$1&amp;$C$1,inputs!$D:$D)</f>
        <v>559</v>
      </c>
      <c r="BX4" s="2">
        <f>SUMIF(inputs!$K:$K,Weekly_TVPlantPmod!BX$3&amp;Weekly_TVPlantPmod!$B$3&amp;$B$1&amp;$C$1,inputs!$D:$D)</f>
        <v>882</v>
      </c>
      <c r="BY4" s="2">
        <f>SUMIF(inputs!$K:$K,Weekly_TVPlantPmod!BY$3&amp;Weekly_TVPlantPmod!$B$3&amp;$B$1&amp;$C$1,inputs!$D:$D)</f>
        <v>1317</v>
      </c>
      <c r="BZ4" s="2">
        <f>SUMIF(inputs!$K:$K,Weekly_TVPlantPmod!BZ$3&amp;Weekly_TVPlantPmod!$B$3&amp;$B$1&amp;$C$1,inputs!$D:$D)</f>
        <v>783</v>
      </c>
      <c r="CA4" s="2">
        <f>SUMIF(inputs!$K:$K,Weekly_TVPlantPmod!CA$3&amp;Weekly_TVPlantPmod!$B$3&amp;$B$1&amp;$C$1,inputs!$D:$D)</f>
        <v>897</v>
      </c>
      <c r="CB4" s="2">
        <f>SUMIF(inputs!$K:$K,Weekly_TVPlantPmod!CB$3&amp;Weekly_TVPlantPmod!$B$3&amp;$B$1&amp;$C$1,inputs!$D:$D)</f>
        <v>353</v>
      </c>
      <c r="CC4" s="2">
        <f>SUMIF(inputs!$K:$K,Weekly_TVPlantPmod!CC$3&amp;Weekly_TVPlantPmod!$B$3&amp;$B$1&amp;$C$1,inputs!$D:$D)</f>
        <v>179</v>
      </c>
      <c r="CD4" s="2">
        <f>SUMIF(inputs!$K:$K,Weekly_TVPlantPmod!CD$3&amp;Weekly_TVPlantPmod!$B$3&amp;$B$1&amp;$C$1,inputs!$D:$D)</f>
        <v>0</v>
      </c>
      <c r="CE4" s="2">
        <f>SUMIF(inputs!$K:$K,Weekly_TVPlantPmod!CE$3&amp;Weekly_TVPlantPmod!$B$3&amp;$B$1&amp;$C$1,inputs!$D:$D)</f>
        <v>453</v>
      </c>
      <c r="CF4" s="2">
        <f>SUMIF(inputs!$K:$K,Weekly_TVPlantPmod!CF$3&amp;Weekly_TVPlantPmod!$B$3&amp;$B$1&amp;$C$1,inputs!$D:$D)</f>
        <v>1772</v>
      </c>
      <c r="CG4" s="2">
        <f>SUMIF(inputs!$K:$K,Weekly_TVPlantPmod!CG$3&amp;Weekly_TVPlantPmod!$B$3&amp;$B$1&amp;$C$1,inputs!$D:$D)</f>
        <v>773</v>
      </c>
      <c r="CH4" s="2">
        <f>SUMIF(inputs!$K:$K,Weekly_TVPlantPmod!CH$3&amp;Weekly_TVPlantPmod!$B$3&amp;$B$1&amp;$C$1,inputs!$D:$D)</f>
        <v>45</v>
      </c>
      <c r="CI4" s="2">
        <f>SUMIF(inputs!$K:$K,Weekly_TVPlantPmod!CI$3&amp;Weekly_TVPlantPmod!$B$3&amp;$B$1&amp;$C$1,inputs!$D:$D)</f>
        <v>1826</v>
      </c>
      <c r="CJ4" s="2">
        <f>SUMIF(inputs!$K:$K,Weekly_TVPlantPmod!CJ$3&amp;Weekly_TVPlantPmod!$B$3&amp;$B$1&amp;$C$1,inputs!$D:$D)</f>
        <v>600</v>
      </c>
      <c r="CK4" s="2">
        <f>SUMIF(inputs!$K:$K,Weekly_TVPlantPmod!CK$3&amp;Weekly_TVPlantPmod!$B$3&amp;$B$1&amp;$C$1,inputs!$D:$D)</f>
        <v>1385</v>
      </c>
      <c r="CL4" s="2">
        <f>SUMIF(inputs!$K:$K,Weekly_TVPlantPmod!CL$3&amp;Weekly_TVPlantPmod!$B$3&amp;$B$1&amp;$C$1,inputs!$D:$D)</f>
        <v>0</v>
      </c>
      <c r="CM4" s="2">
        <f>SUMIF(inputs!$K:$K,Weekly_TVPlantPmod!CM$3&amp;Weekly_TVPlantPmod!$B$3&amp;$B$1&amp;$C$1,inputs!$D:$D)</f>
        <v>1399</v>
      </c>
      <c r="CN4" s="2">
        <f>SUMIF(inputs!$K:$K,Weekly_TVPlantPmod!CN$3&amp;Weekly_TVPlantPmod!$B$3&amp;$B$1&amp;$C$1,inputs!$D:$D)</f>
        <v>8</v>
      </c>
      <c r="CO4" s="2">
        <f>SUMIF(inputs!$K:$K,Weekly_TVPlantPmod!CO$3&amp;Weekly_TVPlantPmod!$B$3&amp;$B$1&amp;$C$1,inputs!$D:$D)</f>
        <v>393</v>
      </c>
      <c r="CP4" s="2">
        <f>SUMIF(inputs!$K:$K,Weekly_TVPlantPmod!CP$3&amp;Weekly_TVPlantPmod!$B$3&amp;$B$1&amp;$C$1,inputs!$D:$D)</f>
        <v>868</v>
      </c>
      <c r="CQ4" s="2">
        <f>SUMIF(inputs!$K:$K,Weekly_TVPlantPmod!CQ$3&amp;Weekly_TVPlantPmod!$B$3&amp;$B$1&amp;$C$1,inputs!$D:$D)</f>
        <v>1121</v>
      </c>
      <c r="CR4" s="2">
        <f>SUMIF(inputs!$K:$K,Weekly_TVPlantPmod!CR$3&amp;Weekly_TVPlantPmod!$B$3&amp;$B$1&amp;$C$1,inputs!$D:$D)</f>
        <v>132</v>
      </c>
      <c r="CS4" s="2">
        <f>SUMIF(inputs!$K:$K,Weekly_TVPlantPmod!CS$3&amp;Weekly_TVPlantPmod!$B$3&amp;$B$1&amp;$C$1,inputs!$D:$D)</f>
        <v>214</v>
      </c>
      <c r="CT4" s="2">
        <f>SUMIF(inputs!$K:$K,Weekly_TVPlantPmod!CT$3&amp;Weekly_TVPlantPmod!$B$3&amp;$B$1&amp;$C$1,inputs!$D:$D)</f>
        <v>1654</v>
      </c>
      <c r="CU4" s="2">
        <f>SUMIF(inputs!$K:$K,Weekly_TVPlantPmod!CU$3&amp;Weekly_TVPlantPmod!$B$3&amp;$B$1&amp;$C$1,inputs!$D:$D)</f>
        <v>83</v>
      </c>
      <c r="CV4" s="2">
        <f>SUMIF(inputs!$K:$K,Weekly_TVPlantPmod!CV$3&amp;Weekly_TVPlantPmod!$B$3&amp;$B$1&amp;$C$1,inputs!$D:$D)</f>
        <v>837</v>
      </c>
      <c r="CW4" s="2">
        <f>SUMIF(inputs!$K:$K,Weekly_TVPlantPmod!CW$3&amp;Weekly_TVPlantPmod!$B$3&amp;$B$1&amp;$C$1,inputs!$D:$D)</f>
        <v>985</v>
      </c>
      <c r="CX4" s="2">
        <f>SUMIF(inputs!$K:$K,Weekly_TVPlantPmod!CX$3&amp;Weekly_TVPlantPmod!$B$3&amp;$B$1&amp;$C$1,inputs!$D:$D)</f>
        <v>300</v>
      </c>
      <c r="CY4" s="2">
        <f>SUMIF(inputs!$K:$K,Weekly_TVPlantPmod!CY$3&amp;Weekly_TVPlantPmod!$B$3&amp;$B$1&amp;$C$1,inputs!$D:$D)</f>
        <v>755</v>
      </c>
      <c r="CZ4" s="2">
        <f>SUMIF(inputs!$K:$K,Weekly_TVPlantPmod!CZ$3&amp;Weekly_TVPlantPmod!$B$3&amp;$B$1&amp;$C$1,inputs!$D:$D)</f>
        <v>519</v>
      </c>
      <c r="DA4" s="2">
        <f>SUMIF(inputs!$K:$K,Weekly_TVPlantPmod!DA$3&amp;Weekly_TVPlantPmod!$B$3&amp;$B$1&amp;$C$1,inputs!$D:$D)</f>
        <v>617</v>
      </c>
      <c r="DB4" s="2">
        <f>SUMIF(inputs!$K:$K,Weekly_TVPlantPmod!DB$3&amp;Weekly_TVPlantPmod!$B$3&amp;$B$1&amp;$C$1,inputs!$D:$D)</f>
        <v>261</v>
      </c>
      <c r="DC4" s="2">
        <f>SUMIF(inputs!$K:$K,Weekly_TVPlantPmod!DC$3&amp;Weekly_TVPlantPmod!$B$3&amp;$B$1&amp;$C$1,inputs!$D:$D)</f>
        <v>1326</v>
      </c>
      <c r="DD4" s="2">
        <f>SUMIF(inputs!$K:$K,Weekly_TVPlantPmod!DD$3&amp;Weekly_TVPlantPmod!$B$3&amp;$B$1&amp;$C$1,inputs!$D:$D)</f>
        <v>0</v>
      </c>
      <c r="DE4" s="2">
        <f>SUMIF(inputs!$K:$K,Weekly_TVPlantPmod!DE$3&amp;Weekly_TVPlantPmod!$B$3&amp;$B$1&amp;$C$1,inputs!$D:$D)</f>
        <v>0</v>
      </c>
      <c r="DF4" s="2">
        <f>SUMIF(inputs!$K:$K,Weekly_TVPlantPmod!DF$3&amp;Weekly_TVPlantPmod!$B$3&amp;$B$1&amp;$C$1,inputs!$D:$D)</f>
        <v>0</v>
      </c>
      <c r="DG4" s="2">
        <f>SUMIF(inputs!$K:$K,Weekly_TVPlantPmod!DG$3&amp;Weekly_TVPlantPmod!$B$3&amp;$B$1&amp;$C$1,inputs!$D:$D)</f>
        <v>0</v>
      </c>
      <c r="DH4" s="2">
        <f>SUMIF(inputs!$K:$K,Weekly_TVPlantPmod!DH$3&amp;Weekly_TVPlantPmod!$B$3&amp;$B$1&amp;$C$1,inputs!$D:$D)</f>
        <v>0</v>
      </c>
      <c r="DI4" s="2">
        <f>SUMIF(inputs!$K:$K,Weekly_TVPlantPmod!DI$3&amp;Weekly_TVPlantPmod!$B$3&amp;$B$1&amp;$C$1,inputs!$D:$D)</f>
        <v>0</v>
      </c>
      <c r="DJ4" s="2">
        <f>SUMIF(inputs!$K:$K,Weekly_TVPlantPmod!DJ$3&amp;Weekly_TVPlantPmod!$B$3&amp;$B$1&amp;$C$1,inputs!$D:$D)</f>
        <v>0</v>
      </c>
      <c r="DK4" s="2">
        <f>SUMIF(inputs!$K:$K,Weekly_TVPlantPmod!DK$3&amp;Weekly_TVPlantPmod!$B$3&amp;$B$1&amp;$C$1,inputs!$D:$D)</f>
        <v>0</v>
      </c>
      <c r="DL4" s="2">
        <f>SUMIF(inputs!$K:$K,Weekly_TVPlantPmod!DL$3&amp;Weekly_TVPlantPmod!$B$3&amp;$B$1&amp;$C$1,inputs!$D:$D)</f>
        <v>0</v>
      </c>
      <c r="DM4" s="2">
        <f>SUMIF(inputs!$K:$K,Weekly_TVPlantPmod!DM$3&amp;Weekly_TVPlantPmod!$B$3&amp;$B$1&amp;$C$1,inputs!$D:$D)</f>
        <v>0</v>
      </c>
      <c r="DN4" s="2">
        <f>SUMIF(inputs!$K:$K,Weekly_TVPlantPmod!DN$3&amp;Weekly_TVPlantPmod!$B$3&amp;$B$1&amp;$C$1,inputs!$D:$D)</f>
        <v>0</v>
      </c>
      <c r="DO4" s="2">
        <f>SUMIF(inputs!$K:$K,Weekly_TVPlantPmod!DO$3&amp;Weekly_TVPlantPmod!$B$3&amp;$B$1&amp;$C$1,inputs!$D:$D)</f>
        <v>0</v>
      </c>
      <c r="DP4" s="2">
        <f>SUMIF(inputs!$K:$K,Weekly_TVPlantPmod!DP$3&amp;Weekly_TVPlantPmod!$B$3&amp;$B$1&amp;$C$1,inputs!$D:$D)</f>
        <v>0</v>
      </c>
      <c r="DQ4" s="2">
        <f>SUMIF(inputs!$K:$K,Weekly_TVPlantPmod!DQ$3&amp;Weekly_TVPlantPmod!$B$3&amp;$B$1&amp;$C$1,inputs!$D:$D)</f>
        <v>0</v>
      </c>
      <c r="DR4" s="2">
        <f>SUMIF(inputs!$K:$K,Weekly_TVPlantPmod!DR$3&amp;Weekly_TVPlantPmod!$B$3&amp;$B$1&amp;$C$1,inputs!$D:$D)</f>
        <v>0</v>
      </c>
      <c r="DS4" s="2">
        <f>SUMIF(inputs!$K:$K,Weekly_TVPlantPmod!DS$3&amp;Weekly_TVPlantPmod!$B$3&amp;$B$1&amp;$C$1,inputs!$D:$D)</f>
        <v>0</v>
      </c>
      <c r="DT4" s="2">
        <f>SUMIF(inputs!$K:$K,Weekly_TVPlantPmod!DT$3&amp;Weekly_TVPlantPmod!$B$3&amp;$B$1&amp;$C$1,inputs!$D:$D)</f>
        <v>0</v>
      </c>
      <c r="DU4" s="2">
        <f>SUMIF(inputs!$K:$K,Weekly_TVPlantPmod!DU$3&amp;Weekly_TVPlantPmod!$B$3&amp;$B$1&amp;$C$1,inputs!$D:$D)</f>
        <v>0</v>
      </c>
      <c r="DV4" s="2">
        <f>SUMIF(inputs!$K:$K,Weekly_TVPlantPmod!DV$3&amp;Weekly_TVPlantPmod!$B$3&amp;$B$1&amp;$C$1,inputs!$D:$D)</f>
        <v>0</v>
      </c>
      <c r="DW4" s="2">
        <f>SUMIF(inputs!$K:$K,Weekly_TVPlantPmod!DW$3&amp;Weekly_TVPlantPmod!$B$3&amp;$B$1&amp;$C$1,inputs!$D:$D)</f>
        <v>0</v>
      </c>
      <c r="DX4" s="2">
        <f>SUMIF(inputs!$K:$K,Weekly_TVPlantPmod!DX$3&amp;Weekly_TVPlantPmod!$B$3&amp;$B$1&amp;$C$1,inputs!$D:$D)</f>
        <v>0</v>
      </c>
      <c r="DY4" s="2">
        <f>SUMIF(inputs!$K:$K,Weekly_TVPlantPmod!DY$3&amp;Weekly_TVPlantPmod!$B$3&amp;$B$1&amp;$C$1,inputs!$D:$D)</f>
        <v>0</v>
      </c>
      <c r="DZ4" s="2">
        <f>SUMIF(inputs!$K:$K,Weekly_TVPlantPmod!DZ$3&amp;Weekly_TVPlantPmod!$B$3&amp;$B$1&amp;$C$1,inputs!$D:$D)</f>
        <v>0</v>
      </c>
      <c r="EA4" s="2">
        <f>SUMIF(inputs!$K:$K,Weekly_TVPlantPmod!EA$3&amp;Weekly_TVPlantPmod!$B$3&amp;$B$1&amp;$C$1,inputs!$D:$D)</f>
        <v>0</v>
      </c>
      <c r="EB4" s="2">
        <f>SUMIF(inputs!$K:$K,Weekly_TVPlantPmod!EB$3&amp;Weekly_TVPlantPmod!$B$3&amp;$B$1&amp;$C$1,inputs!$D:$D)</f>
        <v>0</v>
      </c>
      <c r="EC4" s="2">
        <f>SUMIF(inputs!$K:$K,Weekly_TVPlantPmod!EC$3&amp;Weekly_TVPlantPmod!$B$3&amp;$B$1&amp;$C$1,inputs!$D:$D)</f>
        <v>0</v>
      </c>
      <c r="ED4" s="2">
        <f>SUMIF(inputs!$K:$K,Weekly_TVPlantPmod!ED$3&amp;Weekly_TVPlantPmod!$B$3&amp;$B$1&amp;$C$1,inputs!$D:$D)</f>
        <v>0</v>
      </c>
      <c r="EE4" s="2">
        <f>SUMIF(inputs!$K:$K,Weekly_TVPlantPmod!EE$3&amp;Weekly_TVPlantPmod!$B$3&amp;$B$1&amp;$C$1,inputs!$D:$D)</f>
        <v>0</v>
      </c>
      <c r="EF4" s="2">
        <f>SUMIF(inputs!$K:$K,Weekly_TVPlantPmod!EF$3&amp;Weekly_TVPlantPmod!$B$3&amp;$B$1&amp;$C$1,inputs!$D:$D)</f>
        <v>0</v>
      </c>
      <c r="EG4" s="2">
        <f>SUMIF(inputs!$K:$K,Weekly_TVPlantPmod!EG$3&amp;Weekly_TVPlantPmod!$B$3&amp;$B$1&amp;$C$1,inputs!$D:$D)</f>
        <v>0</v>
      </c>
      <c r="EH4" s="2">
        <f>SUMIF(inputs!$K:$K,Weekly_TVPlantPmod!EH$3&amp;Weekly_TVPlantPmod!$B$3&amp;$B$1&amp;$C$1,inputs!$D:$D)</f>
        <v>0</v>
      </c>
      <c r="EI4" s="2">
        <f>SUMIF(inputs!$K:$K,Weekly_TVPlantPmod!EI$3&amp;Weekly_TVPlantPmod!$B$3&amp;$B$1&amp;$C$1,inputs!$D:$D)</f>
        <v>0</v>
      </c>
      <c r="EJ4" s="2">
        <f>SUMIF(inputs!$K:$K,Weekly_TVPlantPmod!EJ$3&amp;Weekly_TVPlantPmod!$B$3&amp;$B$1&amp;$C$1,inputs!$D:$D)</f>
        <v>0</v>
      </c>
      <c r="EK4" s="2">
        <f>SUMIF(inputs!$K:$K,Weekly_TVPlantPmod!EK$3&amp;Weekly_TVPlantPmod!$B$3&amp;$B$1&amp;$C$1,inputs!$D:$D)</f>
        <v>0</v>
      </c>
      <c r="EL4" s="2">
        <f>SUMIF(inputs!$K:$K,Weekly_TVPlantPmod!EL$3&amp;Weekly_TVPlantPmod!$B$3&amp;$B$1&amp;$C$1,inputs!$D:$D)</f>
        <v>0</v>
      </c>
      <c r="EM4" s="2">
        <f>SUMIF(inputs!$K:$K,Weekly_TVPlantPmod!EM$3&amp;Weekly_TVPlantPmod!$B$3&amp;$B$1&amp;$C$1,inputs!$D:$D)</f>
        <v>0</v>
      </c>
      <c r="EN4" s="2">
        <f>SUMIF(inputs!$K:$K,Weekly_TVPlantPmod!EN$3&amp;Weekly_TVPlantPmod!$B$3&amp;$B$1&amp;$C$1,inputs!$D:$D)</f>
        <v>0</v>
      </c>
      <c r="EO4" s="2">
        <f>SUMIF(inputs!$K:$K,Weekly_TVPlantPmod!EO$3&amp;Weekly_TVPlantPmod!$B$3&amp;$B$1&amp;$C$1,inputs!$D:$D)</f>
        <v>0</v>
      </c>
      <c r="EP4" s="2">
        <f>SUMIF(inputs!$K:$K,Weekly_TVPlantPmod!EP$3&amp;Weekly_TVPlantPmod!$B$3&amp;$B$1&amp;$C$1,inputs!$D:$D)</f>
        <v>0</v>
      </c>
      <c r="EQ4" s="2">
        <f>SUMIF(inputs!$K:$K,Weekly_TVPlantPmod!EQ$3&amp;Weekly_TVPlantPmod!$B$3&amp;$B$1&amp;$C$1,inputs!$D:$D)</f>
        <v>0</v>
      </c>
      <c r="ER4" s="2">
        <f>SUMIF(inputs!$K:$K,Weekly_TVPlantPmod!ER$3&amp;Weekly_TVPlantPmod!$B$3&amp;$B$1&amp;$C$1,inputs!$D:$D)</f>
        <v>0</v>
      </c>
      <c r="ES4" s="2">
        <f>SUMIF(inputs!$K:$K,Weekly_TVPlantPmod!ES$3&amp;Weekly_TVPlantPmod!$B$3&amp;$B$1&amp;$C$1,inputs!$D:$D)</f>
        <v>0</v>
      </c>
      <c r="ET4" s="2">
        <f>SUMIF(inputs!$K:$K,Weekly_TVPlantPmod!ET$3&amp;Weekly_TVPlantPmod!$B$3&amp;$B$1&amp;$C$1,inputs!$D:$D)</f>
        <v>0</v>
      </c>
      <c r="EU4" s="2">
        <f>SUMIF(inputs!$K:$K,Weekly_TVPlantPmod!EU$3&amp;Weekly_TVPlantPmod!$B$3&amp;$B$1&amp;$C$1,inputs!$D:$D)</f>
        <v>0</v>
      </c>
      <c r="EV4" s="2">
        <f>SUMIF(inputs!$K:$K,Weekly_TVPlantPmod!EV$3&amp;Weekly_TVPlantPmod!$B$3&amp;$B$1&amp;$C$1,inputs!$D:$D)</f>
        <v>0</v>
      </c>
      <c r="EW4" s="2">
        <f>SUMIF(inputs!$K:$K,Weekly_TVPlantPmod!EW$3&amp;Weekly_TVPlantPmod!$B$3&amp;$B$1&amp;$C$1,inputs!$D:$D)</f>
        <v>0</v>
      </c>
      <c r="EX4" s="2">
        <f>SUMIF(inputs!$K:$K,Weekly_TVPlantPmod!EX$3&amp;Weekly_TVPlantPmod!$B$3&amp;$B$1&amp;$C$1,inputs!$D:$D)</f>
        <v>0</v>
      </c>
      <c r="EY4" s="2">
        <f>SUMIF(inputs!$K:$K,Weekly_TVPlantPmod!EY$3&amp;Weekly_TVPlantPmod!$B$3&amp;$B$1&amp;$C$1,inputs!$D:$D)</f>
        <v>0</v>
      </c>
      <c r="EZ4" s="2">
        <f>SUMIF(inputs!$K:$K,Weekly_TVPlantPmod!EZ$3&amp;Weekly_TVPlantPmod!$B$3&amp;$B$1&amp;$C$1,inputs!$D:$D)</f>
        <v>0</v>
      </c>
      <c r="FA4" s="2">
        <f>SUMIF(inputs!$K:$K,Weekly_TVPlantPmod!FA$3&amp;Weekly_TVPlantPmod!$B$3&amp;$B$1&amp;$C$1,inputs!$D:$D)</f>
        <v>0</v>
      </c>
      <c r="FB4" s="2">
        <f>SUMIF(inputs!$K:$K,Weekly_TVPlantPmod!FB$3&amp;Weekly_TVPlantPmod!$B$3&amp;$B$1&amp;$C$1,inputs!$D:$D)</f>
        <v>0</v>
      </c>
      <c r="FC4" s="2">
        <f>SUMIF(inputs!$K:$K,Weekly_TVPlantPmod!FC$3&amp;Weekly_TVPlantPmod!$B$3&amp;$B$1&amp;$C$1,inputs!$D:$D)</f>
        <v>0</v>
      </c>
      <c r="FD4" s="2">
        <f>SUMIF(inputs!$K:$K,Weekly_TVPlantPmod!FD$3&amp;Weekly_TVPlantPmod!$B$3&amp;$B$1&amp;$C$1,inputs!$D:$D)</f>
        <v>0</v>
      </c>
      <c r="FE4" s="2">
        <f>SUMIF(inputs!$K:$K,Weekly_TVPlantPmod!FE$3&amp;Weekly_TVPlantPmod!$B$3&amp;$B$1&amp;$C$1,inputs!$D:$D)</f>
        <v>0</v>
      </c>
    </row>
    <row r="5" spans="2:161">
      <c r="B5" s="2" t="s">
        <v>990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0</v>
      </c>
      <c r="BP5" s="2">
        <f t="shared" ref="BP5:EA5" si="1">SUM(BP6:BP24)</f>
        <v>0</v>
      </c>
      <c r="BQ5" s="2">
        <f t="shared" si="1"/>
        <v>1</v>
      </c>
      <c r="BR5" s="2">
        <f t="shared" si="1"/>
        <v>2</v>
      </c>
      <c r="BS5" s="2">
        <f t="shared" si="1"/>
        <v>1</v>
      </c>
      <c r="BT5" s="2">
        <f t="shared" si="1"/>
        <v>3</v>
      </c>
      <c r="BU5" s="2">
        <f t="shared" si="1"/>
        <v>1</v>
      </c>
      <c r="BV5" s="2">
        <f t="shared" si="1"/>
        <v>0</v>
      </c>
      <c r="BW5" s="2">
        <f t="shared" si="1"/>
        <v>0</v>
      </c>
      <c r="BX5" s="2">
        <f t="shared" si="1"/>
        <v>2</v>
      </c>
      <c r="BY5" s="2">
        <f t="shared" si="1"/>
        <v>0</v>
      </c>
      <c r="BZ5" s="2">
        <f t="shared" si="1"/>
        <v>0</v>
      </c>
      <c r="CA5" s="2">
        <f t="shared" si="1"/>
        <v>0</v>
      </c>
      <c r="CB5" s="2">
        <f t="shared" si="1"/>
        <v>2</v>
      </c>
      <c r="CC5" s="2">
        <f t="shared" si="1"/>
        <v>1</v>
      </c>
      <c r="CD5" s="2">
        <f t="shared" si="1"/>
        <v>0</v>
      </c>
      <c r="CE5" s="2">
        <f t="shared" si="1"/>
        <v>0</v>
      </c>
      <c r="CF5" s="2">
        <f t="shared" si="1"/>
        <v>2</v>
      </c>
      <c r="CG5" s="2">
        <f t="shared" si="1"/>
        <v>3</v>
      </c>
      <c r="CH5" s="2">
        <f t="shared" si="1"/>
        <v>0</v>
      </c>
      <c r="CI5" s="2">
        <f t="shared" si="1"/>
        <v>2</v>
      </c>
      <c r="CJ5" s="2">
        <f t="shared" si="1"/>
        <v>1</v>
      </c>
      <c r="CK5" s="2">
        <f t="shared" si="1"/>
        <v>6</v>
      </c>
      <c r="CL5" s="2">
        <f t="shared" si="1"/>
        <v>0</v>
      </c>
      <c r="CM5" s="2">
        <f t="shared" si="1"/>
        <v>4</v>
      </c>
      <c r="CN5" s="2">
        <f t="shared" si="1"/>
        <v>0</v>
      </c>
      <c r="CO5" s="2">
        <f t="shared" si="1"/>
        <v>1</v>
      </c>
      <c r="CP5" s="2">
        <f t="shared" si="1"/>
        <v>3</v>
      </c>
      <c r="CQ5" s="2">
        <f t="shared" si="1"/>
        <v>0</v>
      </c>
      <c r="CR5" s="2">
        <f t="shared" si="1"/>
        <v>0</v>
      </c>
      <c r="CS5" s="2">
        <f t="shared" si="1"/>
        <v>0</v>
      </c>
      <c r="CT5" s="2">
        <f t="shared" si="1"/>
        <v>5</v>
      </c>
      <c r="CU5" s="2">
        <f t="shared" si="1"/>
        <v>0</v>
      </c>
      <c r="CV5" s="2">
        <f t="shared" si="1"/>
        <v>3</v>
      </c>
      <c r="CW5" s="2">
        <f t="shared" si="1"/>
        <v>0</v>
      </c>
      <c r="CX5" s="2">
        <f t="shared" si="1"/>
        <v>0</v>
      </c>
      <c r="CY5" s="2">
        <f t="shared" si="1"/>
        <v>2</v>
      </c>
      <c r="CZ5" s="2">
        <f t="shared" si="1"/>
        <v>0</v>
      </c>
      <c r="DA5" s="2">
        <f t="shared" si="1"/>
        <v>1</v>
      </c>
      <c r="DB5" s="2">
        <f t="shared" si="1"/>
        <v>1</v>
      </c>
      <c r="DC5" s="2">
        <f t="shared" si="1"/>
        <v>4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>
      <c r="B6" s="2" t="s">
        <v>991</v>
      </c>
      <c r="C6" s="2">
        <f>COUNTIF(defects!$Z:$Z,Weekly_TVPlantPmod!C$3&amp;Weekly_TVPlantPmod!$B6&amp;Weekly_TVPlantPmod!$B$3&amp;$B$2&amp;$B$1&amp;$C$1)</f>
        <v>0</v>
      </c>
      <c r="D6" s="2">
        <f>COUNTIF(defects!$Z:$Z,Weekly_TVPlantPmod!D$3&amp;Weekly_TVPlantPmod!$B6&amp;Weekly_TVPlantPmod!$B$3&amp;$B$2&amp;$B$1&amp;$C$1)</f>
        <v>0</v>
      </c>
      <c r="E6" s="2">
        <f>COUNTIF(defects!$Z:$Z,Weekly_TVPlantPmod!E$3&amp;Weekly_TVPlantPmod!$B6&amp;Weekly_TVPlantPmod!$B$3&amp;$B$2&amp;$B$1&amp;$C$1)</f>
        <v>0</v>
      </c>
      <c r="F6" s="2">
        <f>COUNTIF(defects!$Z:$Z,Weekly_TVPlantPmod!F$3&amp;Weekly_TVPlantPmod!$B6&amp;Weekly_TVPlantPmod!$B$3&amp;$B$2&amp;$B$1&amp;$C$1)</f>
        <v>0</v>
      </c>
      <c r="G6" s="2">
        <f>COUNTIF(defects!$Z:$Z,Weekly_TVPlantPmod!G$3&amp;Weekly_TVPlantPmod!$B6&amp;Weekly_TVPlantPmod!$B$3&amp;$B$2&amp;$B$1&amp;$C$1)</f>
        <v>0</v>
      </c>
      <c r="H6" s="2">
        <f>COUNTIF(defects!$Z:$Z,Weekly_TVPlantPmod!H$3&amp;Weekly_TVPlantPmod!$B6&amp;Weekly_TVPlantPmod!$B$3&amp;$B$2&amp;$B$1&amp;$C$1)</f>
        <v>0</v>
      </c>
      <c r="I6" s="2">
        <f>COUNTIF(defects!$Z:$Z,Weekly_TVPlantPmod!I$3&amp;Weekly_TVPlantPmod!$B6&amp;Weekly_TVPlantPmod!$B$3&amp;$B$2&amp;$B$1&amp;$C$1)</f>
        <v>0</v>
      </c>
      <c r="J6" s="2">
        <f>COUNTIF(defects!$Z:$Z,Weekly_TVPlantPmod!J$3&amp;Weekly_TVPlantPmod!$B6&amp;Weekly_TVPlantPmod!$B$3&amp;$B$2&amp;$B$1&amp;$C$1)</f>
        <v>0</v>
      </c>
      <c r="K6" s="2">
        <f>COUNTIF(defects!$Z:$Z,Weekly_TVPlantPmod!K$3&amp;Weekly_TVPlantPmod!$B6&amp;Weekly_TVPlantPmod!$B$3&amp;$B$2&amp;$B$1&amp;$C$1)</f>
        <v>0</v>
      </c>
      <c r="L6" s="2">
        <f>COUNTIF(defects!$Z:$Z,Weekly_TVPlantPmod!L$3&amp;Weekly_TVPlantPmod!$B6&amp;Weekly_TVPlantPmod!$B$3&amp;$B$2&amp;$B$1&amp;$C$1)</f>
        <v>0</v>
      </c>
      <c r="M6" s="2">
        <f>COUNTIF(defects!$Z:$Z,Weekly_TVPlantPmod!M$3&amp;Weekly_TVPlantPmod!$B6&amp;Weekly_TVPlantPmod!$B$3&amp;$B$2&amp;$B$1&amp;$C$1)</f>
        <v>0</v>
      </c>
      <c r="N6" s="2">
        <f>COUNTIF(defects!$Z:$Z,Weekly_TVPlantPmod!N$3&amp;Weekly_TVPlantPmod!$B6&amp;Weekly_TVPlantPmod!$B$3&amp;$B$2&amp;$B$1&amp;$C$1)</f>
        <v>0</v>
      </c>
      <c r="O6" s="2">
        <f>COUNTIF(defects!$Z:$Z,Weekly_TVPlantPmod!O$3&amp;Weekly_TVPlantPmod!$B6&amp;Weekly_TVPlantPmod!$B$3&amp;$B$2&amp;$B$1&amp;$C$1)</f>
        <v>0</v>
      </c>
      <c r="P6" s="2">
        <f>COUNTIF(defects!$Z:$Z,Weekly_TVPlantPmod!P$3&amp;Weekly_TVPlantPmod!$B6&amp;Weekly_TVPlantPmod!$B$3&amp;$B$2&amp;$B$1&amp;$C$1)</f>
        <v>0</v>
      </c>
      <c r="Q6" s="2">
        <f>COUNTIF(defects!$Z:$Z,Weekly_TVPlantPmod!Q$3&amp;Weekly_TVPlantPmod!$B6&amp;Weekly_TVPlantPmod!$B$3&amp;$B$2&amp;$B$1&amp;$C$1)</f>
        <v>0</v>
      </c>
      <c r="R6" s="2">
        <f>COUNTIF(defects!$Z:$Z,Weekly_TVPlantPmod!R$3&amp;Weekly_TVPlantPmod!$B6&amp;Weekly_TVPlantPmod!$B$3&amp;$B$2&amp;$B$1&amp;$C$1)</f>
        <v>0</v>
      </c>
      <c r="S6" s="2">
        <f>COUNTIF(defects!$Z:$Z,Weekly_TVPlantPmod!S$3&amp;Weekly_TVPlantPmod!$B6&amp;Weekly_TVPlantPmod!$B$3&amp;$B$2&amp;$B$1&amp;$C$1)</f>
        <v>0</v>
      </c>
      <c r="T6" s="2">
        <f>COUNTIF(defects!$Z:$Z,Weekly_TVPlantPmod!T$3&amp;Weekly_TVPlantPmod!$B6&amp;Weekly_TVPlantPmod!$B$3&amp;$B$2&amp;$B$1&amp;$C$1)</f>
        <v>0</v>
      </c>
      <c r="U6" s="2">
        <f>COUNTIF(defects!$Z:$Z,Weekly_TVPlantPmod!U$3&amp;Weekly_TVPlantPmod!$B6&amp;Weekly_TVPlantPmod!$B$3&amp;$B$2&amp;$B$1&amp;$C$1)</f>
        <v>0</v>
      </c>
      <c r="V6" s="2">
        <f>COUNTIF(defects!$Z:$Z,Weekly_TVPlantPmod!V$3&amp;Weekly_TVPlantPmod!$B6&amp;Weekly_TVPlantPmod!$B$3&amp;$B$2&amp;$B$1&amp;$C$1)</f>
        <v>0</v>
      </c>
      <c r="W6" s="2">
        <f>COUNTIF(defects!$Z:$Z,Weekly_TVPlantPmod!W$3&amp;Weekly_TVPlantPmod!$B6&amp;Weekly_TVPlantPmod!$B$3&amp;$B$2&amp;$B$1&amp;$C$1)</f>
        <v>0</v>
      </c>
      <c r="X6" s="2">
        <f>COUNTIF(defects!$Z:$Z,Weekly_TVPlantPmod!X$3&amp;Weekly_TVPlantPmod!$B6&amp;Weekly_TVPlantPmod!$B$3&amp;$B$2&amp;$B$1&amp;$C$1)</f>
        <v>0</v>
      </c>
      <c r="Y6" s="2">
        <f>COUNTIF(defects!$Z:$Z,Weekly_TVPlantPmod!Y$3&amp;Weekly_TVPlantPmod!$B6&amp;Weekly_TVPlantPmod!$B$3&amp;$B$2&amp;$B$1&amp;$C$1)</f>
        <v>0</v>
      </c>
      <c r="Z6" s="2">
        <f>COUNTIF(defects!$Z:$Z,Weekly_TVPlantPmod!Z$3&amp;Weekly_TVPlantPmod!$B6&amp;Weekly_TVPlantPmod!$B$3&amp;$B$2&amp;$B$1&amp;$C$1)</f>
        <v>0</v>
      </c>
      <c r="AA6" s="2">
        <f>COUNTIF(defects!$Z:$Z,Weekly_TVPlantPmod!AA$3&amp;Weekly_TVPlantPmod!$B6&amp;Weekly_TVPlantPmod!$B$3&amp;$B$2&amp;$B$1&amp;$C$1)</f>
        <v>0</v>
      </c>
      <c r="AB6" s="2">
        <f>COUNTIF(defects!$Z:$Z,Weekly_TVPlantPmod!AB$3&amp;Weekly_TVPlantPmod!$B6&amp;Weekly_TVPlantPmod!$B$3&amp;$B$2&amp;$B$1&amp;$C$1)</f>
        <v>0</v>
      </c>
      <c r="AC6" s="2">
        <f>COUNTIF(defects!$Z:$Z,Weekly_TVPlantPmod!AC$3&amp;Weekly_TVPlantPmod!$B6&amp;Weekly_TVPlantPmod!$B$3&amp;$B$2&amp;$B$1&amp;$C$1)</f>
        <v>0</v>
      </c>
      <c r="AD6" s="2">
        <f>COUNTIF(defects!$Z:$Z,Weekly_TVPlantPmod!AD$3&amp;Weekly_TVPlantPmod!$B6&amp;Weekly_TVPlantPmod!$B$3&amp;$B$2&amp;$B$1&amp;$C$1)</f>
        <v>0</v>
      </c>
      <c r="AE6" s="2">
        <f>COUNTIF(defects!$Z:$Z,Weekly_TVPlantPmod!AE$3&amp;Weekly_TVPlantPmod!$B6&amp;Weekly_TVPlantPmod!$B$3&amp;$B$2&amp;$B$1&amp;$C$1)</f>
        <v>0</v>
      </c>
      <c r="AF6" s="2">
        <f>COUNTIF(defects!$Z:$Z,Weekly_TVPlantPmod!AF$3&amp;Weekly_TVPlantPmod!$B6&amp;Weekly_TVPlantPmod!$B$3&amp;$B$2&amp;$B$1&amp;$C$1)</f>
        <v>0</v>
      </c>
      <c r="AG6" s="2">
        <f>COUNTIF(defects!$Z:$Z,Weekly_TVPlantPmod!AG$3&amp;Weekly_TVPlantPmod!$B6&amp;Weekly_TVPlantPmod!$B$3&amp;$B$2&amp;$B$1&amp;$C$1)</f>
        <v>0</v>
      </c>
      <c r="AH6" s="2">
        <f>COUNTIF(defects!$Z:$Z,Weekly_TVPlantPmod!AH$3&amp;Weekly_TVPlantPmod!$B6&amp;Weekly_TVPlantPmod!$B$3&amp;$B$2&amp;$B$1&amp;$C$1)</f>
        <v>0</v>
      </c>
      <c r="AI6" s="2">
        <f>COUNTIF(defects!$Z:$Z,Weekly_TVPlantPmod!AI$3&amp;Weekly_TVPlantPmod!$B6&amp;Weekly_TVPlantPmod!$B$3&amp;$B$2&amp;$B$1&amp;$C$1)</f>
        <v>0</v>
      </c>
      <c r="AJ6" s="2">
        <f>COUNTIF(defects!$Z:$Z,Weekly_TVPlantPmod!AJ$3&amp;Weekly_TVPlantPmod!$B6&amp;Weekly_TVPlantPmod!$B$3&amp;$B$2&amp;$B$1&amp;$C$1)</f>
        <v>0</v>
      </c>
      <c r="AK6" s="2">
        <f>COUNTIF(defects!$Z:$Z,Weekly_TVPlantPmod!AK$3&amp;Weekly_TVPlantPmod!$B6&amp;Weekly_TVPlantPmod!$B$3&amp;$B$2&amp;$B$1&amp;$C$1)</f>
        <v>0</v>
      </c>
      <c r="AL6" s="2">
        <f>COUNTIF(defects!$Z:$Z,Weekly_TVPlantPmod!AL$3&amp;Weekly_TVPlantPmod!$B6&amp;Weekly_TVPlantPmod!$B$3&amp;$B$2&amp;$B$1&amp;$C$1)</f>
        <v>0</v>
      </c>
      <c r="AM6" s="2">
        <f>COUNTIF(defects!$Z:$Z,Weekly_TVPlantPmod!AM$3&amp;Weekly_TVPlantPmod!$B6&amp;Weekly_TVPlantPmod!$B$3&amp;$B$2&amp;$B$1&amp;$C$1)</f>
        <v>0</v>
      </c>
      <c r="AN6" s="2">
        <f>COUNTIF(defects!$Z:$Z,Weekly_TVPlantPmod!AN$3&amp;Weekly_TVPlantPmod!$B6&amp;Weekly_TVPlantPmod!$B$3&amp;$B$2&amp;$B$1&amp;$C$1)</f>
        <v>0</v>
      </c>
      <c r="AO6" s="2">
        <f>COUNTIF(defects!$Z:$Z,Weekly_TVPlantPmod!AO$3&amp;Weekly_TVPlantPmod!$B6&amp;Weekly_TVPlantPmod!$B$3&amp;$B$2&amp;$B$1&amp;$C$1)</f>
        <v>0</v>
      </c>
      <c r="AP6" s="2">
        <f>COUNTIF(defects!$Z:$Z,Weekly_TVPlantPmod!AP$3&amp;Weekly_TVPlantPmod!$B6&amp;Weekly_TVPlantPmod!$B$3&amp;$B$2&amp;$B$1&amp;$C$1)</f>
        <v>0</v>
      </c>
      <c r="AQ6" s="2">
        <f>COUNTIF(defects!$Z:$Z,Weekly_TVPlantPmod!AQ$3&amp;Weekly_TVPlantPmod!$B6&amp;Weekly_TVPlantPmod!$B$3&amp;$B$2&amp;$B$1&amp;$C$1)</f>
        <v>0</v>
      </c>
      <c r="AR6" s="2">
        <f>COUNTIF(defects!$Z:$Z,Weekly_TVPlantPmod!AR$3&amp;Weekly_TVPlantPmod!$B6&amp;Weekly_TVPlantPmod!$B$3&amp;$B$2&amp;$B$1&amp;$C$1)</f>
        <v>0</v>
      </c>
      <c r="AS6" s="2">
        <f>COUNTIF(defects!$Z:$Z,Weekly_TVPlantPmod!AS$3&amp;Weekly_TVPlantPmod!$B6&amp;Weekly_TVPlantPmod!$B$3&amp;$B$2&amp;$B$1&amp;$C$1)</f>
        <v>0</v>
      </c>
      <c r="AT6" s="2">
        <f>COUNTIF(defects!$Z:$Z,Weekly_TVPlantPmod!AT$3&amp;Weekly_TVPlantPmod!$B6&amp;Weekly_TVPlantPmod!$B$3&amp;$B$2&amp;$B$1&amp;$C$1)</f>
        <v>0</v>
      </c>
      <c r="AU6" s="2">
        <f>COUNTIF(defects!$Z:$Z,Weekly_TVPlantPmod!AU$3&amp;Weekly_TVPlantPmod!$B6&amp;Weekly_TVPlantPmod!$B$3&amp;$B$2&amp;$B$1&amp;$C$1)</f>
        <v>0</v>
      </c>
      <c r="AV6" s="2">
        <f>COUNTIF(defects!$Z:$Z,Weekly_TVPlantPmod!AV$3&amp;Weekly_TVPlantPmod!$B6&amp;Weekly_TVPlantPmod!$B$3&amp;$B$2&amp;$B$1&amp;$C$1)</f>
        <v>0</v>
      </c>
      <c r="AW6" s="2">
        <f>COUNTIF(defects!$Z:$Z,Weekly_TVPlantPmod!AW$3&amp;Weekly_TVPlantPmod!$B6&amp;Weekly_TVPlantPmod!$B$3&amp;$B$2&amp;$B$1&amp;$C$1)</f>
        <v>0</v>
      </c>
      <c r="AX6" s="2">
        <f>COUNTIF(defects!$Z:$Z,Weekly_TVPlantPmod!AX$3&amp;Weekly_TVPlantPmod!$B6&amp;Weekly_TVPlantPmod!$B$3&amp;$B$2&amp;$B$1&amp;$C$1)</f>
        <v>0</v>
      </c>
      <c r="AY6" s="2">
        <f>COUNTIF(defects!$Z:$Z,Weekly_TVPlantPmod!AY$3&amp;Weekly_TVPlantPmod!$B6&amp;Weekly_TVPlantPmod!$B$3&amp;$B$2&amp;$B$1&amp;$C$1)</f>
        <v>0</v>
      </c>
      <c r="AZ6" s="2">
        <f>COUNTIF(defects!$Z:$Z,Weekly_TVPlantPmod!AZ$3&amp;Weekly_TVPlantPmod!$B6&amp;Weekly_TVPlantPmod!$B$3&amp;$B$2&amp;$B$1&amp;$C$1)</f>
        <v>0</v>
      </c>
      <c r="BA6" s="2">
        <f>COUNTIF(defects!$Z:$Z,Weekly_TVPlantPmod!BA$3&amp;Weekly_TVPlantPmod!$B6&amp;Weekly_TVPlantPmod!$B$3&amp;$B$2&amp;$B$1&amp;$C$1)</f>
        <v>0</v>
      </c>
      <c r="BB6" s="2">
        <f>COUNTIF(defects!$Z:$Z,Weekly_TVPlantPmod!BB$3&amp;Weekly_TVPlantPmod!$B6&amp;Weekly_TVPlantPmod!$B$3&amp;$B$2&amp;$B$1&amp;$C$1)</f>
        <v>0</v>
      </c>
      <c r="BC6" s="2">
        <f>COUNTIF(defects!$Z:$Z,Weekly_TVPlantPmod!BC$3&amp;Weekly_TVPlantPmod!$B6&amp;Weekly_TVPlantPmod!$B$3&amp;$B$2&amp;$B$1&amp;$C$1)</f>
        <v>0</v>
      </c>
      <c r="BD6" s="2">
        <f>COUNTIF(defects!$Z:$Z,Weekly_TVPlantPmod!BD$3&amp;Weekly_TVPlantPmod!$B6&amp;Weekly_TVPlantPmod!$B$3&amp;$B$2&amp;$B$1&amp;$C$1)</f>
        <v>0</v>
      </c>
      <c r="BE6" s="2">
        <f>COUNTIF(defects!$Z:$Z,Weekly_TVPlantPmod!BE$3&amp;Weekly_TVPlantPmod!$B6&amp;Weekly_TVPlantPmod!$B$3&amp;$B$2&amp;$B$1&amp;$C$1)</f>
        <v>0</v>
      </c>
      <c r="BF6" s="2">
        <f>COUNTIF(defects!$Z:$Z,Weekly_TVPlantPmod!BF$3&amp;Weekly_TVPlantPmod!$B6&amp;Weekly_TVPlantPmod!$B$3&amp;$B$2&amp;$B$1&amp;$C$1)</f>
        <v>0</v>
      </c>
      <c r="BG6" s="2">
        <f>COUNTIF(defects!$Z:$Z,Weekly_TVPlantPmod!BG$3&amp;Weekly_TVPlantPmod!$B6&amp;Weekly_TVPlantPmod!$B$3&amp;$B$2&amp;$B$1&amp;$C$1)</f>
        <v>0</v>
      </c>
      <c r="BH6" s="2">
        <f>COUNTIF(defects!$Z:$Z,Weekly_TVPlantPmod!BH$3&amp;Weekly_TVPlantPmod!$B6&amp;Weekly_TVPlantPmod!$B$3&amp;$B$2&amp;$B$1&amp;$C$1)</f>
        <v>0</v>
      </c>
      <c r="BI6" s="2">
        <f>COUNTIF(defects!$Z:$Z,Weekly_TVPlantPmod!BI$3&amp;Weekly_TVPlantPmod!$B6&amp;Weekly_TVPlantPmod!$B$3&amp;$B$2&amp;$B$1&amp;$C$1)</f>
        <v>0</v>
      </c>
      <c r="BJ6" s="2">
        <f>COUNTIF(defects!$Z:$Z,Weekly_TVPlantPmod!BJ$3&amp;Weekly_TVPlantPmod!$B6&amp;Weekly_TVPlantPmod!$B$3&amp;$B$2&amp;$B$1&amp;$C$1)</f>
        <v>0</v>
      </c>
      <c r="BK6" s="2">
        <f>COUNTIF(defects!$Z:$Z,Weekly_TVPlantPmod!BK$3&amp;Weekly_TVPlantPmod!$B6&amp;Weekly_TVPlantPmod!$B$3&amp;$B$2&amp;$B$1&amp;$C$1)</f>
        <v>0</v>
      </c>
      <c r="BL6" s="2">
        <f>COUNTIF(defects!$Z:$Z,Weekly_TVPlantPmod!BL$3&amp;Weekly_TVPlantPmod!$B6&amp;Weekly_TVPlantPmod!$B$3&amp;$B$2&amp;$B$1&amp;$C$1)</f>
        <v>0</v>
      </c>
      <c r="BM6" s="2">
        <f>COUNTIF(defects!$Z:$Z,Weekly_TVPlantPmod!BM$3&amp;Weekly_TVPlantPmod!$B6&amp;Weekly_TVPlantPmod!$B$3&amp;$B$2&amp;$B$1&amp;$C$1)</f>
        <v>0</v>
      </c>
      <c r="BN6" s="2">
        <f>COUNTIF(defects!$Z:$Z,Weekly_TVPlantPmod!BN$3&amp;Weekly_TVPlantPmod!$B6&amp;Weekly_TVPlantPmod!$B$3&amp;$B$2&amp;$B$1&amp;$C$1)</f>
        <v>0</v>
      </c>
      <c r="BO6" s="2">
        <f>COUNTIF(defects!$Z:$Z,Weekly_TVPlantPmod!BO$3&amp;Weekly_TVPlantPmod!$B6&amp;Weekly_TVPlantPmod!$B$3&amp;$B$2&amp;$B$1&amp;$C$1)</f>
        <v>0</v>
      </c>
      <c r="BP6" s="2">
        <f>COUNTIF(defects!$Z:$Z,Weekly_TVPlantPmod!BP$3&amp;Weekly_TVPlantPmod!$B6&amp;Weekly_TVPlantPmod!$B$3&amp;$B$2&amp;$B$1&amp;$C$1)</f>
        <v>0</v>
      </c>
      <c r="BQ6" s="2">
        <f>COUNTIF(defects!$Z:$Z,Weekly_TVPlantPmod!BQ$3&amp;Weekly_TVPlantPmod!$B6&amp;Weekly_TVPlantPmod!$B$3&amp;$B$2&amp;$B$1&amp;$C$1)</f>
        <v>0</v>
      </c>
      <c r="BR6" s="2">
        <f>COUNTIF(defects!$Z:$Z,Weekly_TVPlantPmod!BR$3&amp;Weekly_TVPlantPmod!$B6&amp;Weekly_TVPlantPmod!$B$3&amp;$B$2&amp;$B$1&amp;$C$1)</f>
        <v>0</v>
      </c>
      <c r="BS6" s="2">
        <f>COUNTIF(defects!$Z:$Z,Weekly_TVPlantPmod!BS$3&amp;Weekly_TVPlantPmod!$B6&amp;Weekly_TVPlantPmod!$B$3&amp;$B$2&amp;$B$1&amp;$C$1)</f>
        <v>0</v>
      </c>
      <c r="BT6" s="2">
        <f>COUNTIF(defects!$Z:$Z,Weekly_TVPlantPmod!BT$3&amp;Weekly_TVPlantPmod!$B6&amp;Weekly_TVPlantPmod!$B$3&amp;$B$2&amp;$B$1&amp;$C$1)</f>
        <v>0</v>
      </c>
      <c r="BU6" s="2">
        <f>COUNTIF(defects!$Z:$Z,Weekly_TVPlantPmod!BU$3&amp;Weekly_TVPlantPmod!$B6&amp;Weekly_TVPlantPmod!$B$3&amp;$B$2&amp;$B$1&amp;$C$1)</f>
        <v>0</v>
      </c>
      <c r="BV6" s="2">
        <f>COUNTIF(defects!$Z:$Z,Weekly_TVPlantPmod!BV$3&amp;Weekly_TVPlantPmod!$B6&amp;Weekly_TVPlantPmod!$B$3&amp;$B$2&amp;$B$1&amp;$C$1)</f>
        <v>0</v>
      </c>
      <c r="BW6" s="2">
        <f>COUNTIF(defects!$Z:$Z,Weekly_TVPlantPmod!BW$3&amp;Weekly_TVPlantPmod!$B6&amp;Weekly_TVPlantPmod!$B$3&amp;$B$2&amp;$B$1&amp;$C$1)</f>
        <v>0</v>
      </c>
      <c r="BX6" s="2">
        <f>COUNTIF(defects!$Z:$Z,Weekly_TVPlantPmod!BX$3&amp;Weekly_TVPlantPmod!$B6&amp;Weekly_TVPlantPmod!$B$3&amp;$B$2&amp;$B$1&amp;$C$1)</f>
        <v>0</v>
      </c>
      <c r="BY6" s="2">
        <f>COUNTIF(defects!$Z:$Z,Weekly_TVPlantPmod!BY$3&amp;Weekly_TVPlantPmod!$B6&amp;Weekly_TVPlantPmod!$B$3&amp;$B$2&amp;$B$1&amp;$C$1)</f>
        <v>0</v>
      </c>
      <c r="BZ6" s="2">
        <f>COUNTIF(defects!$Z:$Z,Weekly_TVPlantPmod!BZ$3&amp;Weekly_TVPlantPmod!$B6&amp;Weekly_TVPlantPmod!$B$3&amp;$B$2&amp;$B$1&amp;$C$1)</f>
        <v>0</v>
      </c>
      <c r="CA6" s="2">
        <f>COUNTIF(defects!$Z:$Z,Weekly_TVPlantPmod!CA$3&amp;Weekly_TVPlantPmod!$B6&amp;Weekly_TVPlantPmod!$B$3&amp;$B$2&amp;$B$1&amp;$C$1)</f>
        <v>0</v>
      </c>
      <c r="CB6" s="2">
        <f>COUNTIF(defects!$Z:$Z,Weekly_TVPlantPmod!CB$3&amp;Weekly_TVPlantPmod!$B6&amp;Weekly_TVPlantPmod!$B$3&amp;$B$2&amp;$B$1&amp;$C$1)</f>
        <v>0</v>
      </c>
      <c r="CC6" s="2">
        <f>COUNTIF(defects!$Z:$Z,Weekly_TVPlantPmod!CC$3&amp;Weekly_TVPlantPmod!$B6&amp;Weekly_TVPlantPmod!$B$3&amp;$B$2&amp;$B$1&amp;$C$1)</f>
        <v>0</v>
      </c>
      <c r="CD6" s="2">
        <f>COUNTIF(defects!$Z:$Z,Weekly_TVPlantPmod!CD$3&amp;Weekly_TVPlantPmod!$B6&amp;Weekly_TVPlantPmod!$B$3&amp;$B$2&amp;$B$1&amp;$C$1)</f>
        <v>0</v>
      </c>
      <c r="CE6" s="2">
        <f>COUNTIF(defects!$Z:$Z,Weekly_TVPlantPmod!CE$3&amp;Weekly_TVPlantPmod!$B6&amp;Weekly_TVPlantPmod!$B$3&amp;$B$2&amp;$B$1&amp;$C$1)</f>
        <v>0</v>
      </c>
      <c r="CF6" s="2">
        <f>COUNTIF(defects!$Z:$Z,Weekly_TVPlantPmod!CF$3&amp;Weekly_TVPlantPmod!$B6&amp;Weekly_TVPlantPmod!$B$3&amp;$B$2&amp;$B$1&amp;$C$1)</f>
        <v>0</v>
      </c>
      <c r="CG6" s="2">
        <f>COUNTIF(defects!$Z:$Z,Weekly_TVPlantPmod!CG$3&amp;Weekly_TVPlantPmod!$B6&amp;Weekly_TVPlantPmod!$B$3&amp;$B$2&amp;$B$1&amp;$C$1)</f>
        <v>0</v>
      </c>
      <c r="CH6" s="2">
        <f>COUNTIF(defects!$Z:$Z,Weekly_TVPlantPmod!CH$3&amp;Weekly_TVPlantPmod!$B6&amp;Weekly_TVPlantPmod!$B$3&amp;$B$2&amp;$B$1&amp;$C$1)</f>
        <v>0</v>
      </c>
      <c r="CI6" s="2">
        <f>COUNTIF(defects!$Z:$Z,Weekly_TVPlantPmod!CI$3&amp;Weekly_TVPlantPmod!$B6&amp;Weekly_TVPlantPmod!$B$3&amp;$B$2&amp;$B$1&amp;$C$1)</f>
        <v>0</v>
      </c>
      <c r="CJ6" s="2">
        <f>COUNTIF(defects!$Z:$Z,Weekly_TVPlantPmod!CJ$3&amp;Weekly_TVPlantPmod!$B6&amp;Weekly_TVPlantPmod!$B$3&amp;$B$2&amp;$B$1&amp;$C$1)</f>
        <v>0</v>
      </c>
      <c r="CK6" s="2">
        <f>COUNTIF(defects!$Z:$Z,Weekly_TVPlantPmod!CK$3&amp;Weekly_TVPlantPmod!$B6&amp;Weekly_TVPlantPmod!$B$3&amp;$B$2&amp;$B$1&amp;$C$1)</f>
        <v>0</v>
      </c>
      <c r="CL6" s="2">
        <f>COUNTIF(defects!$Z:$Z,Weekly_TVPlantPmod!CL$3&amp;Weekly_TVPlantPmod!$B6&amp;Weekly_TVPlantPmod!$B$3&amp;$B$2&amp;$B$1&amp;$C$1)</f>
        <v>0</v>
      </c>
      <c r="CM6" s="2">
        <f>COUNTIF(defects!$Z:$Z,Weekly_TVPlantPmod!CM$3&amp;Weekly_TVPlantPmod!$B6&amp;Weekly_TVPlantPmod!$B$3&amp;$B$2&amp;$B$1&amp;$C$1)</f>
        <v>0</v>
      </c>
      <c r="CN6" s="2">
        <f>COUNTIF(defects!$Z:$Z,Weekly_TVPlantPmod!CN$3&amp;Weekly_TVPlantPmod!$B6&amp;Weekly_TVPlantPmod!$B$3&amp;$B$2&amp;$B$1&amp;$C$1)</f>
        <v>0</v>
      </c>
      <c r="CO6" s="2">
        <f>COUNTIF(defects!$Z:$Z,Weekly_TVPlantPmod!CO$3&amp;Weekly_TVPlantPmod!$B6&amp;Weekly_TVPlantPmod!$B$3&amp;$B$2&amp;$B$1&amp;$C$1)</f>
        <v>0</v>
      </c>
      <c r="CP6" s="2">
        <f>COUNTIF(defects!$Z:$Z,Weekly_TVPlantPmod!CP$3&amp;Weekly_TVPlantPmod!$B6&amp;Weekly_TVPlantPmod!$B$3&amp;$B$2&amp;$B$1&amp;$C$1)</f>
        <v>0</v>
      </c>
      <c r="CQ6" s="2">
        <f>COUNTIF(defects!$Z:$Z,Weekly_TVPlantPmod!CQ$3&amp;Weekly_TVPlantPmod!$B6&amp;Weekly_TVPlantPmod!$B$3&amp;$B$2&amp;$B$1&amp;$C$1)</f>
        <v>0</v>
      </c>
      <c r="CR6" s="2">
        <f>COUNTIF(defects!$Z:$Z,Weekly_TVPlantPmod!CR$3&amp;Weekly_TVPlantPmod!$B6&amp;Weekly_TVPlantPmod!$B$3&amp;$B$2&amp;$B$1&amp;$C$1)</f>
        <v>0</v>
      </c>
      <c r="CS6" s="2">
        <f>COUNTIF(defects!$Z:$Z,Weekly_TVPlantPmod!CS$3&amp;Weekly_TVPlantPmod!$B6&amp;Weekly_TVPlantPmod!$B$3&amp;$B$2&amp;$B$1&amp;$C$1)</f>
        <v>0</v>
      </c>
      <c r="CT6" s="2">
        <f>COUNTIF(defects!$Z:$Z,Weekly_TVPlantPmod!CT$3&amp;Weekly_TVPlantPmod!$B6&amp;Weekly_TVPlantPmod!$B$3&amp;$B$2&amp;$B$1&amp;$C$1)</f>
        <v>0</v>
      </c>
      <c r="CU6" s="2">
        <f>COUNTIF(defects!$Z:$Z,Weekly_TVPlantPmod!CU$3&amp;Weekly_TVPlantPmod!$B6&amp;Weekly_TVPlantPmod!$B$3&amp;$B$2&amp;$B$1&amp;$C$1)</f>
        <v>0</v>
      </c>
      <c r="CV6" s="2">
        <f>COUNTIF(defects!$Z:$Z,Weekly_TVPlantPmod!CV$3&amp;Weekly_TVPlantPmod!$B6&amp;Weekly_TVPlantPmod!$B$3&amp;$B$2&amp;$B$1&amp;$C$1)</f>
        <v>0</v>
      </c>
      <c r="CW6" s="2">
        <f>COUNTIF(defects!$Z:$Z,Weekly_TVPlantPmod!CW$3&amp;Weekly_TVPlantPmod!$B6&amp;Weekly_TVPlantPmod!$B$3&amp;$B$2&amp;$B$1&amp;$C$1)</f>
        <v>0</v>
      </c>
      <c r="CX6" s="2">
        <f>COUNTIF(defects!$Z:$Z,Weekly_TVPlantPmod!CX$3&amp;Weekly_TVPlantPmod!$B6&amp;Weekly_TVPlantPmod!$B$3&amp;$B$2&amp;$B$1&amp;$C$1)</f>
        <v>0</v>
      </c>
      <c r="CY6" s="2">
        <f>COUNTIF(defects!$Z:$Z,Weekly_TVPlantPmod!CY$3&amp;Weekly_TVPlantPmod!$B6&amp;Weekly_TVPlantPmod!$B$3&amp;$B$2&amp;$B$1&amp;$C$1)</f>
        <v>0</v>
      </c>
      <c r="CZ6" s="2">
        <f>COUNTIF(defects!$Z:$Z,Weekly_TVPlantPmod!CZ$3&amp;Weekly_TVPlantPmod!$B6&amp;Weekly_TVPlantPmod!$B$3&amp;$B$2&amp;$B$1&amp;$C$1)</f>
        <v>0</v>
      </c>
      <c r="DA6" s="2">
        <f>COUNTIF(defects!$Z:$Z,Weekly_TVPlantPmod!DA$3&amp;Weekly_TVPlantPmod!$B6&amp;Weekly_TVPlantPmod!$B$3&amp;$B$2&amp;$B$1&amp;$C$1)</f>
        <v>0</v>
      </c>
      <c r="DB6" s="2">
        <f>COUNTIF(defects!$Z:$Z,Weekly_TVPlantPmod!DB$3&amp;Weekly_TVPlantPmod!$B6&amp;Weekly_TVPlantPmod!$B$3&amp;$B$2&amp;$B$1&amp;$C$1)</f>
        <v>0</v>
      </c>
      <c r="DC6" s="2">
        <f>COUNTIF(defects!$Z:$Z,Weekly_TVPlantPmod!DC$3&amp;Weekly_TVPlantPmod!$B6&amp;Weekly_TVPlantPmod!$B$3&amp;$B$2&amp;$B$1&amp;$C$1)</f>
        <v>0</v>
      </c>
      <c r="DD6" s="2">
        <f>COUNTIF(defects!$Z:$Z,Weekly_TVPlantPmod!DD$3&amp;Weekly_TVPlantPmod!$B6&amp;Weekly_TVPlantPmod!$B$3&amp;$B$2&amp;$B$1&amp;$C$1)</f>
        <v>0</v>
      </c>
      <c r="DE6" s="2">
        <f>COUNTIF(defects!$Z:$Z,Weekly_TVPlantPmod!DE$3&amp;Weekly_TVPlantPmod!$B6&amp;Weekly_TVPlantPmod!$B$3&amp;$B$2&amp;$B$1&amp;$C$1)</f>
        <v>0</v>
      </c>
      <c r="DF6" s="2">
        <f>COUNTIF(defects!$Z:$Z,Weekly_TVPlantPmod!DF$3&amp;Weekly_TVPlantPmod!$B6&amp;Weekly_TVPlantPmod!$B$3&amp;$B$2&amp;$B$1&amp;$C$1)</f>
        <v>0</v>
      </c>
      <c r="DG6" s="2">
        <f>COUNTIF(defects!$Z:$Z,Weekly_TVPlantPmod!DG$3&amp;Weekly_TVPlantPmod!$B6&amp;Weekly_TVPlantPmod!$B$3&amp;$B$2&amp;$B$1&amp;$C$1)</f>
        <v>0</v>
      </c>
      <c r="DH6" s="2">
        <f>COUNTIF(defects!$Z:$Z,Weekly_TVPlantPmod!DH$3&amp;Weekly_TVPlantPmod!$B6&amp;Weekly_TVPlantPmod!$B$3&amp;$B$2&amp;$B$1&amp;$C$1)</f>
        <v>0</v>
      </c>
      <c r="DI6" s="2">
        <f>COUNTIF(defects!$Z:$Z,Weekly_TVPlantPmod!DI$3&amp;Weekly_TVPlantPmod!$B6&amp;Weekly_TVPlantPmod!$B$3&amp;$B$2&amp;$B$1&amp;$C$1)</f>
        <v>0</v>
      </c>
      <c r="DJ6" s="2">
        <f>COUNTIF(defects!$Z:$Z,Weekly_TVPlantPmod!DJ$3&amp;Weekly_TVPlantPmod!$B6&amp;Weekly_TVPlantPmod!$B$3&amp;$B$2&amp;$B$1&amp;$C$1)</f>
        <v>0</v>
      </c>
      <c r="DK6" s="2">
        <f>COUNTIF(defects!$Z:$Z,Weekly_TVPlantPmod!DK$3&amp;Weekly_TVPlantPmod!$B6&amp;Weekly_TVPlantPmod!$B$3&amp;$B$2&amp;$B$1&amp;$C$1)</f>
        <v>0</v>
      </c>
      <c r="DL6" s="2">
        <f>COUNTIF(defects!$Z:$Z,Weekly_TVPlantPmod!DL$3&amp;Weekly_TVPlantPmod!$B6&amp;Weekly_TVPlantPmod!$B$3&amp;$B$2&amp;$B$1&amp;$C$1)</f>
        <v>0</v>
      </c>
      <c r="DM6" s="2">
        <f>COUNTIF(defects!$Z:$Z,Weekly_TVPlantPmod!DM$3&amp;Weekly_TVPlantPmod!$B6&amp;Weekly_TVPlantPmod!$B$3&amp;$B$2&amp;$B$1&amp;$C$1)</f>
        <v>0</v>
      </c>
      <c r="DN6" s="2">
        <f>COUNTIF(defects!$Z:$Z,Weekly_TVPlantPmod!DN$3&amp;Weekly_TVPlantPmod!$B6&amp;Weekly_TVPlantPmod!$B$3&amp;$B$2&amp;$B$1&amp;$C$1)</f>
        <v>0</v>
      </c>
      <c r="DO6" s="2">
        <f>COUNTIF(defects!$Z:$Z,Weekly_TVPlantPmod!DO$3&amp;Weekly_TVPlantPmod!$B6&amp;Weekly_TVPlantPmod!$B$3&amp;$B$2&amp;$B$1&amp;$C$1)</f>
        <v>0</v>
      </c>
      <c r="DP6" s="2">
        <f>COUNTIF(defects!$Z:$Z,Weekly_TVPlantPmod!DP$3&amp;Weekly_TVPlantPmod!$B6&amp;Weekly_TVPlantPmod!$B$3&amp;$B$2&amp;$B$1&amp;$C$1)</f>
        <v>0</v>
      </c>
      <c r="DQ6" s="2">
        <f>COUNTIF(defects!$Z:$Z,Weekly_TVPlantPmod!DQ$3&amp;Weekly_TVPlantPmod!$B6&amp;Weekly_TVPlantPmod!$B$3&amp;$B$2&amp;$B$1&amp;$C$1)</f>
        <v>0</v>
      </c>
      <c r="DR6" s="2">
        <f>COUNTIF(defects!$Z:$Z,Weekly_TVPlantPmod!DR$3&amp;Weekly_TVPlantPmod!$B6&amp;Weekly_TVPlantPmod!$B$3&amp;$B$2&amp;$B$1&amp;$C$1)</f>
        <v>0</v>
      </c>
      <c r="DS6" s="2">
        <f>COUNTIF(defects!$Z:$Z,Weekly_TVPlantPmod!DS$3&amp;Weekly_TVPlantPmod!$B6&amp;Weekly_TVPlantPmod!$B$3&amp;$B$2&amp;$B$1&amp;$C$1)</f>
        <v>0</v>
      </c>
      <c r="DT6" s="2">
        <f>COUNTIF(defects!$Z:$Z,Weekly_TVPlantPmod!DT$3&amp;Weekly_TVPlantPmod!$B6&amp;Weekly_TVPlantPmod!$B$3&amp;$B$2&amp;$B$1&amp;$C$1)</f>
        <v>0</v>
      </c>
      <c r="DU6" s="2">
        <f>COUNTIF(defects!$Z:$Z,Weekly_TVPlantPmod!DU$3&amp;Weekly_TVPlantPmod!$B6&amp;Weekly_TVPlantPmod!$B$3&amp;$B$2&amp;$B$1&amp;$C$1)</f>
        <v>0</v>
      </c>
      <c r="DV6" s="2">
        <f>COUNTIF(defects!$Z:$Z,Weekly_TVPlantPmod!DV$3&amp;Weekly_TVPlantPmod!$B6&amp;Weekly_TVPlantPmod!$B$3&amp;$B$2&amp;$B$1&amp;$C$1)</f>
        <v>0</v>
      </c>
      <c r="DW6" s="2">
        <f>COUNTIF(defects!$Z:$Z,Weekly_TVPlantPmod!DW$3&amp;Weekly_TVPlantPmod!$B6&amp;Weekly_TVPlantPmod!$B$3&amp;$B$2&amp;$B$1&amp;$C$1)</f>
        <v>0</v>
      </c>
      <c r="DX6" s="2">
        <f>COUNTIF(defects!$Z:$Z,Weekly_TVPlantPmod!DX$3&amp;Weekly_TVPlantPmod!$B6&amp;Weekly_TVPlantPmod!$B$3&amp;$B$2&amp;$B$1&amp;$C$1)</f>
        <v>0</v>
      </c>
      <c r="DY6" s="2">
        <f>COUNTIF(defects!$Z:$Z,Weekly_TVPlantPmod!DY$3&amp;Weekly_TVPlantPmod!$B6&amp;Weekly_TVPlantPmod!$B$3&amp;$B$2&amp;$B$1&amp;$C$1)</f>
        <v>0</v>
      </c>
      <c r="DZ6" s="2">
        <f>COUNTIF(defects!$Z:$Z,Weekly_TVPlantPmod!DZ$3&amp;Weekly_TVPlantPmod!$B6&amp;Weekly_TVPlantPmod!$B$3&amp;$B$2&amp;$B$1&amp;$C$1)</f>
        <v>0</v>
      </c>
      <c r="EA6" s="2">
        <f>COUNTIF(defects!$Z:$Z,Weekly_TVPlantPmod!EA$3&amp;Weekly_TVPlantPmod!$B6&amp;Weekly_TVPlantPmod!$B$3&amp;$B$2&amp;$B$1&amp;$C$1)</f>
        <v>0</v>
      </c>
      <c r="EB6" s="2">
        <f>COUNTIF(defects!$Z:$Z,Weekly_TVPlantPmod!EB$3&amp;Weekly_TVPlantPmod!$B6&amp;Weekly_TVPlantPmod!$B$3&amp;$B$2&amp;$B$1&amp;$C$1)</f>
        <v>0</v>
      </c>
      <c r="EC6" s="2">
        <f>COUNTIF(defects!$Z:$Z,Weekly_TVPlantPmod!EC$3&amp;Weekly_TVPlantPmod!$B6&amp;Weekly_TVPlantPmod!$B$3&amp;$B$2&amp;$B$1&amp;$C$1)</f>
        <v>0</v>
      </c>
      <c r="ED6" s="2">
        <f>COUNTIF(defects!$Z:$Z,Weekly_TVPlantPmod!ED$3&amp;Weekly_TVPlantPmod!$B6&amp;Weekly_TVPlantPmod!$B$3&amp;$B$2&amp;$B$1&amp;$C$1)</f>
        <v>0</v>
      </c>
      <c r="EE6" s="2">
        <f>COUNTIF(defects!$Z:$Z,Weekly_TVPlantPmod!EE$3&amp;Weekly_TVPlantPmod!$B6&amp;Weekly_TVPlantPmod!$B$3&amp;$B$2&amp;$B$1&amp;$C$1)</f>
        <v>0</v>
      </c>
      <c r="EF6" s="2">
        <f>COUNTIF(defects!$Z:$Z,Weekly_TVPlantPmod!EF$3&amp;Weekly_TVPlantPmod!$B6&amp;Weekly_TVPlantPmod!$B$3&amp;$B$2&amp;$B$1&amp;$C$1)</f>
        <v>0</v>
      </c>
      <c r="EG6" s="2">
        <f>COUNTIF(defects!$Z:$Z,Weekly_TVPlantPmod!EG$3&amp;Weekly_TVPlantPmod!$B6&amp;Weekly_TVPlantPmod!$B$3&amp;$B$2&amp;$B$1&amp;$C$1)</f>
        <v>0</v>
      </c>
      <c r="EH6" s="2">
        <f>COUNTIF(defects!$Z:$Z,Weekly_TVPlantPmod!EH$3&amp;Weekly_TVPlantPmod!$B6&amp;Weekly_TVPlantPmod!$B$3&amp;$B$2&amp;$B$1&amp;$C$1)</f>
        <v>0</v>
      </c>
      <c r="EI6" s="2">
        <f>COUNTIF(defects!$Z:$Z,Weekly_TVPlantPmod!EI$3&amp;Weekly_TVPlantPmod!$B6&amp;Weekly_TVPlantPmod!$B$3&amp;$B$2&amp;$B$1&amp;$C$1)</f>
        <v>0</v>
      </c>
      <c r="EJ6" s="2">
        <f>COUNTIF(defects!$Z:$Z,Weekly_TVPlantPmod!EJ$3&amp;Weekly_TVPlantPmod!$B6&amp;Weekly_TVPlantPmod!$B$3&amp;$B$2&amp;$B$1&amp;$C$1)</f>
        <v>0</v>
      </c>
      <c r="EK6" s="2">
        <f>COUNTIF(defects!$Z:$Z,Weekly_TVPlantPmod!EK$3&amp;Weekly_TVPlantPmod!$B6&amp;Weekly_TVPlantPmod!$B$3&amp;$B$2&amp;$B$1&amp;$C$1)</f>
        <v>0</v>
      </c>
      <c r="EL6" s="2">
        <f>COUNTIF(defects!$Z:$Z,Weekly_TVPlantPmod!EL$3&amp;Weekly_TVPlantPmod!$B6&amp;Weekly_TVPlantPmod!$B$3&amp;$B$2&amp;$B$1&amp;$C$1)</f>
        <v>0</v>
      </c>
      <c r="EM6" s="2">
        <f>COUNTIF(defects!$Z:$Z,Weekly_TVPlantPmod!EM$3&amp;Weekly_TVPlantPmod!$B6&amp;Weekly_TVPlantPmod!$B$3&amp;$B$2&amp;$B$1&amp;$C$1)</f>
        <v>0</v>
      </c>
      <c r="EN6" s="2">
        <f>COUNTIF(defects!$Z:$Z,Weekly_TVPlantPmod!EN$3&amp;Weekly_TVPlantPmod!$B6&amp;Weekly_TVPlantPmod!$B$3&amp;$B$2&amp;$B$1&amp;$C$1)</f>
        <v>0</v>
      </c>
      <c r="EO6" s="2">
        <f>COUNTIF(defects!$Z:$Z,Weekly_TVPlantPmod!EO$3&amp;Weekly_TVPlantPmod!$B6&amp;Weekly_TVPlantPmod!$B$3&amp;$B$2&amp;$B$1&amp;$C$1)</f>
        <v>0</v>
      </c>
      <c r="EP6" s="2">
        <f>COUNTIF(defects!$Z:$Z,Weekly_TVPlantPmod!EP$3&amp;Weekly_TVPlantPmod!$B6&amp;Weekly_TVPlantPmod!$B$3&amp;$B$2&amp;$B$1&amp;$C$1)</f>
        <v>0</v>
      </c>
      <c r="EQ6" s="2">
        <f>COUNTIF(defects!$Z:$Z,Weekly_TVPlantPmod!EQ$3&amp;Weekly_TVPlantPmod!$B6&amp;Weekly_TVPlantPmod!$B$3&amp;$B$2&amp;$B$1&amp;$C$1)</f>
        <v>0</v>
      </c>
      <c r="ER6" s="2">
        <f>COUNTIF(defects!$Z:$Z,Weekly_TVPlantPmod!ER$3&amp;Weekly_TVPlantPmod!$B6&amp;Weekly_TVPlantPmod!$B$3&amp;$B$2&amp;$B$1&amp;$C$1)</f>
        <v>0</v>
      </c>
      <c r="ES6" s="2">
        <f>COUNTIF(defects!$Z:$Z,Weekly_TVPlantPmod!ES$3&amp;Weekly_TVPlantPmod!$B6&amp;Weekly_TVPlantPmod!$B$3&amp;$B$2&amp;$B$1&amp;$C$1)</f>
        <v>0</v>
      </c>
      <c r="ET6" s="2">
        <f>COUNTIF(defects!$Z:$Z,Weekly_TVPlantPmod!ET$3&amp;Weekly_TVPlantPmod!$B6&amp;Weekly_TVPlantPmod!$B$3&amp;$B$2&amp;$B$1&amp;$C$1)</f>
        <v>0</v>
      </c>
      <c r="EU6" s="2">
        <f>COUNTIF(defects!$Z:$Z,Weekly_TVPlantPmod!EU$3&amp;Weekly_TVPlantPmod!$B6&amp;Weekly_TVPlantPmod!$B$3&amp;$B$2&amp;$B$1&amp;$C$1)</f>
        <v>0</v>
      </c>
      <c r="EV6" s="2">
        <f>COUNTIF(defects!$Z:$Z,Weekly_TVPlantPmod!EV$3&amp;Weekly_TVPlantPmod!$B6&amp;Weekly_TVPlantPmod!$B$3&amp;$B$2&amp;$B$1&amp;$C$1)</f>
        <v>0</v>
      </c>
      <c r="EW6" s="2">
        <f>COUNTIF(defects!$Z:$Z,Weekly_TVPlantPmod!EW$3&amp;Weekly_TVPlantPmod!$B6&amp;Weekly_TVPlantPmod!$B$3&amp;$B$2&amp;$B$1&amp;$C$1)</f>
        <v>0</v>
      </c>
      <c r="EX6" s="2">
        <f>COUNTIF(defects!$Z:$Z,Weekly_TVPlantPmod!EX$3&amp;Weekly_TVPlantPmod!$B6&amp;Weekly_TVPlantPmod!$B$3&amp;$B$2&amp;$B$1&amp;$C$1)</f>
        <v>0</v>
      </c>
      <c r="EY6" s="2">
        <f>COUNTIF(defects!$Z:$Z,Weekly_TVPlantPmod!EY$3&amp;Weekly_TVPlantPmod!$B6&amp;Weekly_TVPlantPmod!$B$3&amp;$B$2&amp;$B$1&amp;$C$1)</f>
        <v>0</v>
      </c>
      <c r="EZ6" s="2">
        <f>COUNTIF(defects!$Z:$Z,Weekly_TVPlantPmod!EZ$3&amp;Weekly_TVPlantPmod!$B6&amp;Weekly_TVPlantPmod!$B$3&amp;$B$2&amp;$B$1&amp;$C$1)</f>
        <v>0</v>
      </c>
      <c r="FA6" s="2">
        <f>COUNTIF(defects!$Z:$Z,Weekly_TVPlantPmod!FA$3&amp;Weekly_TVPlantPmod!$B6&amp;Weekly_TVPlantPmod!$B$3&amp;$B$2&amp;$B$1&amp;$C$1)</f>
        <v>0</v>
      </c>
      <c r="FB6" s="2">
        <f>COUNTIF(defects!$Z:$Z,Weekly_TVPlantPmod!FB$3&amp;Weekly_TVPlantPmod!$B6&amp;Weekly_TVPlantPmod!$B$3&amp;$B$2&amp;$B$1&amp;$C$1)</f>
        <v>0</v>
      </c>
      <c r="FC6" s="2">
        <f>COUNTIF(defects!$Z:$Z,Weekly_TVPlantPmod!FC$3&amp;Weekly_TVPlantPmod!$B6&amp;Weekly_TVPlantPmod!$B$3&amp;$B$2&amp;$B$1&amp;$C$1)</f>
        <v>0</v>
      </c>
      <c r="FD6" s="2">
        <f>COUNTIF(defects!$Z:$Z,Weekly_TVPlantPmod!FD$3&amp;Weekly_TVPlantPmod!$B6&amp;Weekly_TVPlantPmod!$B$3&amp;$B$2&amp;$B$1&amp;$C$1)</f>
        <v>0</v>
      </c>
      <c r="FE6" s="2">
        <f>COUNTIF(defects!$Z:$Z,Weekly_TVPlantPmod!FE$3&amp;Weekly_TVPlantPmod!$B6&amp;Weekly_TVPlantPmod!$B$3&amp;$B$2&amp;$B$1&amp;$C$1)</f>
        <v>0</v>
      </c>
    </row>
    <row r="7" spans="2:161">
      <c r="B7" s="2" t="s">
        <v>957</v>
      </c>
      <c r="C7" s="2">
        <f>COUNTIF(defects!$Z:$Z,Weekly_TVPlantPmod!C$3&amp;Weekly_TVPlantPmod!$B7&amp;Weekly_TVPlantPmod!$B$3&amp;$B$2&amp;$B$1&amp;$C$1)</f>
        <v>0</v>
      </c>
      <c r="D7" s="2">
        <f>COUNTIF(defects!$Z:$Z,Weekly_TVPlantPmod!D$3&amp;Weekly_TVPlantPmod!$B7&amp;Weekly_TVPlantPmod!$B$3&amp;$B$2&amp;$B$1&amp;$C$1)</f>
        <v>0</v>
      </c>
      <c r="E7" s="2">
        <f>COUNTIF(defects!$Z:$Z,Weekly_TVPlantPmod!E$3&amp;Weekly_TVPlantPmod!$B7&amp;Weekly_TVPlantPmod!$B$3&amp;$B$2&amp;$B$1&amp;$C$1)</f>
        <v>0</v>
      </c>
      <c r="F7" s="2">
        <f>COUNTIF(defects!$Z:$Z,Weekly_TVPlantPmod!F$3&amp;Weekly_TVPlantPmod!$B7&amp;Weekly_TVPlantPmod!$B$3&amp;$B$2&amp;$B$1&amp;$C$1)</f>
        <v>0</v>
      </c>
      <c r="G7" s="2">
        <f>COUNTIF(defects!$Z:$Z,Weekly_TVPlantPmod!G$3&amp;Weekly_TVPlantPmod!$B7&amp;Weekly_TVPlantPmod!$B$3&amp;$B$2&amp;$B$1&amp;$C$1)</f>
        <v>0</v>
      </c>
      <c r="H7" s="2">
        <f>COUNTIF(defects!$Z:$Z,Weekly_TVPlantPmod!H$3&amp;Weekly_TVPlantPmod!$B7&amp;Weekly_TVPlantPmod!$B$3&amp;$B$2&amp;$B$1&amp;$C$1)</f>
        <v>0</v>
      </c>
      <c r="I7" s="2">
        <f>COUNTIF(defects!$Z:$Z,Weekly_TVPlantPmod!I$3&amp;Weekly_TVPlantPmod!$B7&amp;Weekly_TVPlantPmod!$B$3&amp;$B$2&amp;$B$1&amp;$C$1)</f>
        <v>0</v>
      </c>
      <c r="J7" s="2">
        <f>COUNTIF(defects!$Z:$Z,Weekly_TVPlantPmod!J$3&amp;Weekly_TVPlantPmod!$B7&amp;Weekly_TVPlantPmod!$B$3&amp;$B$2&amp;$B$1&amp;$C$1)</f>
        <v>0</v>
      </c>
      <c r="K7" s="2">
        <f>COUNTIF(defects!$Z:$Z,Weekly_TVPlantPmod!K$3&amp;Weekly_TVPlantPmod!$B7&amp;Weekly_TVPlantPmod!$B$3&amp;$B$2&amp;$B$1&amp;$C$1)</f>
        <v>0</v>
      </c>
      <c r="L7" s="2">
        <f>COUNTIF(defects!$Z:$Z,Weekly_TVPlantPmod!L$3&amp;Weekly_TVPlantPmod!$B7&amp;Weekly_TVPlantPmod!$B$3&amp;$B$2&amp;$B$1&amp;$C$1)</f>
        <v>0</v>
      </c>
      <c r="M7" s="2">
        <f>COUNTIF(defects!$Z:$Z,Weekly_TVPlantPmod!M$3&amp;Weekly_TVPlantPmod!$B7&amp;Weekly_TVPlantPmod!$B$3&amp;$B$2&amp;$B$1&amp;$C$1)</f>
        <v>0</v>
      </c>
      <c r="N7" s="2">
        <f>COUNTIF(defects!$Z:$Z,Weekly_TVPlantPmod!N$3&amp;Weekly_TVPlantPmod!$B7&amp;Weekly_TVPlantPmod!$B$3&amp;$B$2&amp;$B$1&amp;$C$1)</f>
        <v>0</v>
      </c>
      <c r="O7" s="2">
        <f>COUNTIF(defects!$Z:$Z,Weekly_TVPlantPmod!O$3&amp;Weekly_TVPlantPmod!$B7&amp;Weekly_TVPlantPmod!$B$3&amp;$B$2&amp;$B$1&amp;$C$1)</f>
        <v>0</v>
      </c>
      <c r="P7" s="2">
        <f>COUNTIF(defects!$Z:$Z,Weekly_TVPlantPmod!P$3&amp;Weekly_TVPlantPmod!$B7&amp;Weekly_TVPlantPmod!$B$3&amp;$B$2&amp;$B$1&amp;$C$1)</f>
        <v>0</v>
      </c>
      <c r="Q7" s="2">
        <f>COUNTIF(defects!$Z:$Z,Weekly_TVPlantPmod!Q$3&amp;Weekly_TVPlantPmod!$B7&amp;Weekly_TVPlantPmod!$B$3&amp;$B$2&amp;$B$1&amp;$C$1)</f>
        <v>0</v>
      </c>
      <c r="R7" s="2">
        <f>COUNTIF(defects!$Z:$Z,Weekly_TVPlantPmod!R$3&amp;Weekly_TVPlantPmod!$B7&amp;Weekly_TVPlantPmod!$B$3&amp;$B$2&amp;$B$1&amp;$C$1)</f>
        <v>0</v>
      </c>
      <c r="S7" s="2">
        <f>COUNTIF(defects!$Z:$Z,Weekly_TVPlantPmod!S$3&amp;Weekly_TVPlantPmod!$B7&amp;Weekly_TVPlantPmod!$B$3&amp;$B$2&amp;$B$1&amp;$C$1)</f>
        <v>0</v>
      </c>
      <c r="T7" s="2">
        <f>COUNTIF(defects!$Z:$Z,Weekly_TVPlantPmod!T$3&amp;Weekly_TVPlantPmod!$B7&amp;Weekly_TVPlantPmod!$B$3&amp;$B$2&amp;$B$1&amp;$C$1)</f>
        <v>0</v>
      </c>
      <c r="U7" s="2">
        <f>COUNTIF(defects!$Z:$Z,Weekly_TVPlantPmod!U$3&amp;Weekly_TVPlantPmod!$B7&amp;Weekly_TVPlantPmod!$B$3&amp;$B$2&amp;$B$1&amp;$C$1)</f>
        <v>0</v>
      </c>
      <c r="V7" s="2">
        <f>COUNTIF(defects!$Z:$Z,Weekly_TVPlantPmod!V$3&amp;Weekly_TVPlantPmod!$B7&amp;Weekly_TVPlantPmod!$B$3&amp;$B$2&amp;$B$1&amp;$C$1)</f>
        <v>0</v>
      </c>
      <c r="W7" s="2">
        <f>COUNTIF(defects!$Z:$Z,Weekly_TVPlantPmod!W$3&amp;Weekly_TVPlantPmod!$B7&amp;Weekly_TVPlantPmod!$B$3&amp;$B$2&amp;$B$1&amp;$C$1)</f>
        <v>0</v>
      </c>
      <c r="X7" s="2">
        <f>COUNTIF(defects!$Z:$Z,Weekly_TVPlantPmod!X$3&amp;Weekly_TVPlantPmod!$B7&amp;Weekly_TVPlantPmod!$B$3&amp;$B$2&amp;$B$1&amp;$C$1)</f>
        <v>0</v>
      </c>
      <c r="Y7" s="2">
        <f>COUNTIF(defects!$Z:$Z,Weekly_TVPlantPmod!Y$3&amp;Weekly_TVPlantPmod!$B7&amp;Weekly_TVPlantPmod!$B$3&amp;$B$2&amp;$B$1&amp;$C$1)</f>
        <v>0</v>
      </c>
      <c r="Z7" s="2">
        <f>COUNTIF(defects!$Z:$Z,Weekly_TVPlantPmod!Z$3&amp;Weekly_TVPlantPmod!$B7&amp;Weekly_TVPlantPmod!$B$3&amp;$B$2&amp;$B$1&amp;$C$1)</f>
        <v>0</v>
      </c>
      <c r="AA7" s="2">
        <f>COUNTIF(defects!$Z:$Z,Weekly_TVPlantPmod!AA$3&amp;Weekly_TVPlantPmod!$B7&amp;Weekly_TVPlantPmod!$B$3&amp;$B$2&amp;$B$1&amp;$C$1)</f>
        <v>0</v>
      </c>
      <c r="AB7" s="2">
        <f>COUNTIF(defects!$Z:$Z,Weekly_TVPlantPmod!AB$3&amp;Weekly_TVPlantPmod!$B7&amp;Weekly_TVPlantPmod!$B$3&amp;$B$2&amp;$B$1&amp;$C$1)</f>
        <v>0</v>
      </c>
      <c r="AC7" s="2">
        <f>COUNTIF(defects!$Z:$Z,Weekly_TVPlantPmod!AC$3&amp;Weekly_TVPlantPmod!$B7&amp;Weekly_TVPlantPmod!$B$3&amp;$B$2&amp;$B$1&amp;$C$1)</f>
        <v>0</v>
      </c>
      <c r="AD7" s="2">
        <f>COUNTIF(defects!$Z:$Z,Weekly_TVPlantPmod!AD$3&amp;Weekly_TVPlantPmod!$B7&amp;Weekly_TVPlantPmod!$B$3&amp;$B$2&amp;$B$1&amp;$C$1)</f>
        <v>0</v>
      </c>
      <c r="AE7" s="2">
        <f>COUNTIF(defects!$Z:$Z,Weekly_TVPlantPmod!AE$3&amp;Weekly_TVPlantPmod!$B7&amp;Weekly_TVPlantPmod!$B$3&amp;$B$2&amp;$B$1&amp;$C$1)</f>
        <v>0</v>
      </c>
      <c r="AF7" s="2">
        <f>COUNTIF(defects!$Z:$Z,Weekly_TVPlantPmod!AF$3&amp;Weekly_TVPlantPmod!$B7&amp;Weekly_TVPlantPmod!$B$3&amp;$B$2&amp;$B$1&amp;$C$1)</f>
        <v>0</v>
      </c>
      <c r="AG7" s="2">
        <f>COUNTIF(defects!$Z:$Z,Weekly_TVPlantPmod!AG$3&amp;Weekly_TVPlantPmod!$B7&amp;Weekly_TVPlantPmod!$B$3&amp;$B$2&amp;$B$1&amp;$C$1)</f>
        <v>0</v>
      </c>
      <c r="AH7" s="2">
        <f>COUNTIF(defects!$Z:$Z,Weekly_TVPlantPmod!AH$3&amp;Weekly_TVPlantPmod!$B7&amp;Weekly_TVPlantPmod!$B$3&amp;$B$2&amp;$B$1&amp;$C$1)</f>
        <v>0</v>
      </c>
      <c r="AI7" s="2">
        <f>COUNTIF(defects!$Z:$Z,Weekly_TVPlantPmod!AI$3&amp;Weekly_TVPlantPmod!$B7&amp;Weekly_TVPlantPmod!$B$3&amp;$B$2&amp;$B$1&amp;$C$1)</f>
        <v>0</v>
      </c>
      <c r="AJ7" s="2">
        <f>COUNTIF(defects!$Z:$Z,Weekly_TVPlantPmod!AJ$3&amp;Weekly_TVPlantPmod!$B7&amp;Weekly_TVPlantPmod!$B$3&amp;$B$2&amp;$B$1&amp;$C$1)</f>
        <v>0</v>
      </c>
      <c r="AK7" s="2">
        <f>COUNTIF(defects!$Z:$Z,Weekly_TVPlantPmod!AK$3&amp;Weekly_TVPlantPmod!$B7&amp;Weekly_TVPlantPmod!$B$3&amp;$B$2&amp;$B$1&amp;$C$1)</f>
        <v>0</v>
      </c>
      <c r="AL7" s="2">
        <f>COUNTIF(defects!$Z:$Z,Weekly_TVPlantPmod!AL$3&amp;Weekly_TVPlantPmod!$B7&amp;Weekly_TVPlantPmod!$B$3&amp;$B$2&amp;$B$1&amp;$C$1)</f>
        <v>0</v>
      </c>
      <c r="AM7" s="2">
        <f>COUNTIF(defects!$Z:$Z,Weekly_TVPlantPmod!AM$3&amp;Weekly_TVPlantPmod!$B7&amp;Weekly_TVPlantPmod!$B$3&amp;$B$2&amp;$B$1&amp;$C$1)</f>
        <v>0</v>
      </c>
      <c r="AN7" s="2">
        <f>COUNTIF(defects!$Z:$Z,Weekly_TVPlantPmod!AN$3&amp;Weekly_TVPlantPmod!$B7&amp;Weekly_TVPlantPmod!$B$3&amp;$B$2&amp;$B$1&amp;$C$1)</f>
        <v>0</v>
      </c>
      <c r="AO7" s="2">
        <f>COUNTIF(defects!$Z:$Z,Weekly_TVPlantPmod!AO$3&amp;Weekly_TVPlantPmod!$B7&amp;Weekly_TVPlantPmod!$B$3&amp;$B$2&amp;$B$1&amp;$C$1)</f>
        <v>0</v>
      </c>
      <c r="AP7" s="2">
        <f>COUNTIF(defects!$Z:$Z,Weekly_TVPlantPmod!AP$3&amp;Weekly_TVPlantPmod!$B7&amp;Weekly_TVPlantPmod!$B$3&amp;$B$2&amp;$B$1&amp;$C$1)</f>
        <v>0</v>
      </c>
      <c r="AQ7" s="2">
        <f>COUNTIF(defects!$Z:$Z,Weekly_TVPlantPmod!AQ$3&amp;Weekly_TVPlantPmod!$B7&amp;Weekly_TVPlantPmod!$B$3&amp;$B$2&amp;$B$1&amp;$C$1)</f>
        <v>0</v>
      </c>
      <c r="AR7" s="2">
        <f>COUNTIF(defects!$Z:$Z,Weekly_TVPlantPmod!AR$3&amp;Weekly_TVPlantPmod!$B7&amp;Weekly_TVPlantPmod!$B$3&amp;$B$2&amp;$B$1&amp;$C$1)</f>
        <v>0</v>
      </c>
      <c r="AS7" s="2">
        <f>COUNTIF(defects!$Z:$Z,Weekly_TVPlantPmod!AS$3&amp;Weekly_TVPlantPmod!$B7&amp;Weekly_TVPlantPmod!$B$3&amp;$B$2&amp;$B$1&amp;$C$1)</f>
        <v>0</v>
      </c>
      <c r="AT7" s="2">
        <f>COUNTIF(defects!$Z:$Z,Weekly_TVPlantPmod!AT$3&amp;Weekly_TVPlantPmod!$B7&amp;Weekly_TVPlantPmod!$B$3&amp;$B$2&amp;$B$1&amp;$C$1)</f>
        <v>0</v>
      </c>
      <c r="AU7" s="2">
        <f>COUNTIF(defects!$Z:$Z,Weekly_TVPlantPmod!AU$3&amp;Weekly_TVPlantPmod!$B7&amp;Weekly_TVPlantPmod!$B$3&amp;$B$2&amp;$B$1&amp;$C$1)</f>
        <v>0</v>
      </c>
      <c r="AV7" s="2">
        <f>COUNTIF(defects!$Z:$Z,Weekly_TVPlantPmod!AV$3&amp;Weekly_TVPlantPmod!$B7&amp;Weekly_TVPlantPmod!$B$3&amp;$B$2&amp;$B$1&amp;$C$1)</f>
        <v>0</v>
      </c>
      <c r="AW7" s="2">
        <f>COUNTIF(defects!$Z:$Z,Weekly_TVPlantPmod!AW$3&amp;Weekly_TVPlantPmod!$B7&amp;Weekly_TVPlantPmod!$B$3&amp;$B$2&amp;$B$1&amp;$C$1)</f>
        <v>0</v>
      </c>
      <c r="AX7" s="2">
        <f>COUNTIF(defects!$Z:$Z,Weekly_TVPlantPmod!AX$3&amp;Weekly_TVPlantPmod!$B7&amp;Weekly_TVPlantPmod!$B$3&amp;$B$2&amp;$B$1&amp;$C$1)</f>
        <v>0</v>
      </c>
      <c r="AY7" s="2">
        <f>COUNTIF(defects!$Z:$Z,Weekly_TVPlantPmod!AY$3&amp;Weekly_TVPlantPmod!$B7&amp;Weekly_TVPlantPmod!$B$3&amp;$B$2&amp;$B$1&amp;$C$1)</f>
        <v>0</v>
      </c>
      <c r="AZ7" s="2">
        <f>COUNTIF(defects!$Z:$Z,Weekly_TVPlantPmod!AZ$3&amp;Weekly_TVPlantPmod!$B7&amp;Weekly_TVPlantPmod!$B$3&amp;$B$2&amp;$B$1&amp;$C$1)</f>
        <v>0</v>
      </c>
      <c r="BA7" s="2">
        <f>COUNTIF(defects!$Z:$Z,Weekly_TVPlantPmod!BA$3&amp;Weekly_TVPlantPmod!$B7&amp;Weekly_TVPlantPmod!$B$3&amp;$B$2&amp;$B$1&amp;$C$1)</f>
        <v>0</v>
      </c>
      <c r="BB7" s="2">
        <f>COUNTIF(defects!$Z:$Z,Weekly_TVPlantPmod!BB$3&amp;Weekly_TVPlantPmod!$B7&amp;Weekly_TVPlantPmod!$B$3&amp;$B$2&amp;$B$1&amp;$C$1)</f>
        <v>0</v>
      </c>
      <c r="BC7" s="2">
        <f>COUNTIF(defects!$Z:$Z,Weekly_TVPlantPmod!BC$3&amp;Weekly_TVPlantPmod!$B7&amp;Weekly_TVPlantPmod!$B$3&amp;$B$2&amp;$B$1&amp;$C$1)</f>
        <v>0</v>
      </c>
      <c r="BD7" s="2">
        <f>COUNTIF(defects!$Z:$Z,Weekly_TVPlantPmod!BD$3&amp;Weekly_TVPlantPmod!$B7&amp;Weekly_TVPlantPmod!$B$3&amp;$B$2&amp;$B$1&amp;$C$1)</f>
        <v>0</v>
      </c>
      <c r="BE7" s="2">
        <f>COUNTIF(defects!$Z:$Z,Weekly_TVPlantPmod!BE$3&amp;Weekly_TVPlantPmod!$B7&amp;Weekly_TVPlantPmod!$B$3&amp;$B$2&amp;$B$1&amp;$C$1)</f>
        <v>0</v>
      </c>
      <c r="BF7" s="2">
        <f>COUNTIF(defects!$Z:$Z,Weekly_TVPlantPmod!BF$3&amp;Weekly_TVPlantPmod!$B7&amp;Weekly_TVPlantPmod!$B$3&amp;$B$2&amp;$B$1&amp;$C$1)</f>
        <v>0</v>
      </c>
      <c r="BG7" s="2">
        <f>COUNTIF(defects!$Z:$Z,Weekly_TVPlantPmod!BG$3&amp;Weekly_TVPlantPmod!$B7&amp;Weekly_TVPlantPmod!$B$3&amp;$B$2&amp;$B$1&amp;$C$1)</f>
        <v>0</v>
      </c>
      <c r="BH7" s="2">
        <f>COUNTIF(defects!$Z:$Z,Weekly_TVPlantPmod!BH$3&amp;Weekly_TVPlantPmod!$B7&amp;Weekly_TVPlantPmod!$B$3&amp;$B$2&amp;$B$1&amp;$C$1)</f>
        <v>0</v>
      </c>
      <c r="BI7" s="2">
        <f>COUNTIF(defects!$Z:$Z,Weekly_TVPlantPmod!BI$3&amp;Weekly_TVPlantPmod!$B7&amp;Weekly_TVPlantPmod!$B$3&amp;$B$2&amp;$B$1&amp;$C$1)</f>
        <v>0</v>
      </c>
      <c r="BJ7" s="2">
        <f>COUNTIF(defects!$Z:$Z,Weekly_TVPlantPmod!BJ$3&amp;Weekly_TVPlantPmod!$B7&amp;Weekly_TVPlantPmod!$B$3&amp;$B$2&amp;$B$1&amp;$C$1)</f>
        <v>0</v>
      </c>
      <c r="BK7" s="2">
        <f>COUNTIF(defects!$Z:$Z,Weekly_TVPlantPmod!BK$3&amp;Weekly_TVPlantPmod!$B7&amp;Weekly_TVPlantPmod!$B$3&amp;$B$2&amp;$B$1&amp;$C$1)</f>
        <v>0</v>
      </c>
      <c r="BL7" s="2">
        <f>COUNTIF(defects!$Z:$Z,Weekly_TVPlantPmod!BL$3&amp;Weekly_TVPlantPmod!$B7&amp;Weekly_TVPlantPmod!$B$3&amp;$B$2&amp;$B$1&amp;$C$1)</f>
        <v>0</v>
      </c>
      <c r="BM7" s="2">
        <f>COUNTIF(defects!$Z:$Z,Weekly_TVPlantPmod!BM$3&amp;Weekly_TVPlantPmod!$B7&amp;Weekly_TVPlantPmod!$B$3&amp;$B$2&amp;$B$1&amp;$C$1)</f>
        <v>0</v>
      </c>
      <c r="BN7" s="2">
        <f>COUNTIF(defects!$Z:$Z,Weekly_TVPlantPmod!BN$3&amp;Weekly_TVPlantPmod!$B7&amp;Weekly_TVPlantPmod!$B$3&amp;$B$2&amp;$B$1&amp;$C$1)</f>
        <v>0</v>
      </c>
      <c r="BO7" s="2">
        <f>COUNTIF(defects!$Z:$Z,Weekly_TVPlantPmod!BO$3&amp;Weekly_TVPlantPmod!$B7&amp;Weekly_TVPlantPmod!$B$3&amp;$B$2&amp;$B$1&amp;$C$1)</f>
        <v>0</v>
      </c>
      <c r="BP7" s="2">
        <f>COUNTIF(defects!$Z:$Z,Weekly_TVPlantPmod!BP$3&amp;Weekly_TVPlantPmod!$B7&amp;Weekly_TVPlantPmod!$B$3&amp;$B$2&amp;$B$1&amp;$C$1)</f>
        <v>0</v>
      </c>
      <c r="BQ7" s="2">
        <f>COUNTIF(defects!$Z:$Z,Weekly_TVPlantPmod!BQ$3&amp;Weekly_TVPlantPmod!$B7&amp;Weekly_TVPlantPmod!$B$3&amp;$B$2&amp;$B$1&amp;$C$1)</f>
        <v>0</v>
      </c>
      <c r="BR7" s="2">
        <f>COUNTIF(defects!$Z:$Z,Weekly_TVPlantPmod!BR$3&amp;Weekly_TVPlantPmod!$B7&amp;Weekly_TVPlantPmod!$B$3&amp;$B$2&amp;$B$1&amp;$C$1)</f>
        <v>0</v>
      </c>
      <c r="BS7" s="2">
        <f>COUNTIF(defects!$Z:$Z,Weekly_TVPlantPmod!BS$3&amp;Weekly_TVPlantPmod!$B7&amp;Weekly_TVPlantPmod!$B$3&amp;$B$2&amp;$B$1&amp;$C$1)</f>
        <v>0</v>
      </c>
      <c r="BT7" s="2">
        <f>COUNTIF(defects!$Z:$Z,Weekly_TVPlantPmod!BT$3&amp;Weekly_TVPlantPmod!$B7&amp;Weekly_TVPlantPmod!$B$3&amp;$B$2&amp;$B$1&amp;$C$1)</f>
        <v>0</v>
      </c>
      <c r="BU7" s="2">
        <f>COUNTIF(defects!$Z:$Z,Weekly_TVPlantPmod!BU$3&amp;Weekly_TVPlantPmod!$B7&amp;Weekly_TVPlantPmod!$B$3&amp;$B$2&amp;$B$1&amp;$C$1)</f>
        <v>0</v>
      </c>
      <c r="BV7" s="2">
        <f>COUNTIF(defects!$Z:$Z,Weekly_TVPlantPmod!BV$3&amp;Weekly_TVPlantPmod!$B7&amp;Weekly_TVPlantPmod!$B$3&amp;$B$2&amp;$B$1&amp;$C$1)</f>
        <v>0</v>
      </c>
      <c r="BW7" s="2">
        <f>COUNTIF(defects!$Z:$Z,Weekly_TVPlantPmod!BW$3&amp;Weekly_TVPlantPmod!$B7&amp;Weekly_TVPlantPmod!$B$3&amp;$B$2&amp;$B$1&amp;$C$1)</f>
        <v>0</v>
      </c>
      <c r="BX7" s="2">
        <f>COUNTIF(defects!$Z:$Z,Weekly_TVPlantPmod!BX$3&amp;Weekly_TVPlantPmod!$B7&amp;Weekly_TVPlantPmod!$B$3&amp;$B$2&amp;$B$1&amp;$C$1)</f>
        <v>0</v>
      </c>
      <c r="BY7" s="2">
        <f>COUNTIF(defects!$Z:$Z,Weekly_TVPlantPmod!BY$3&amp;Weekly_TVPlantPmod!$B7&amp;Weekly_TVPlantPmod!$B$3&amp;$B$2&amp;$B$1&amp;$C$1)</f>
        <v>0</v>
      </c>
      <c r="BZ7" s="2">
        <f>COUNTIF(defects!$Z:$Z,Weekly_TVPlantPmod!BZ$3&amp;Weekly_TVPlantPmod!$B7&amp;Weekly_TVPlantPmod!$B$3&amp;$B$2&amp;$B$1&amp;$C$1)</f>
        <v>0</v>
      </c>
      <c r="CA7" s="2">
        <f>COUNTIF(defects!$Z:$Z,Weekly_TVPlantPmod!CA$3&amp;Weekly_TVPlantPmod!$B7&amp;Weekly_TVPlantPmod!$B$3&amp;$B$2&amp;$B$1&amp;$C$1)</f>
        <v>0</v>
      </c>
      <c r="CB7" s="2">
        <f>COUNTIF(defects!$Z:$Z,Weekly_TVPlantPmod!CB$3&amp;Weekly_TVPlantPmod!$B7&amp;Weekly_TVPlantPmod!$B$3&amp;$B$2&amp;$B$1&amp;$C$1)</f>
        <v>0</v>
      </c>
      <c r="CC7" s="2">
        <f>COUNTIF(defects!$Z:$Z,Weekly_TVPlantPmod!CC$3&amp;Weekly_TVPlantPmod!$B7&amp;Weekly_TVPlantPmod!$B$3&amp;$B$2&amp;$B$1&amp;$C$1)</f>
        <v>0</v>
      </c>
      <c r="CD7" s="2">
        <f>COUNTIF(defects!$Z:$Z,Weekly_TVPlantPmod!CD$3&amp;Weekly_TVPlantPmod!$B7&amp;Weekly_TVPlantPmod!$B$3&amp;$B$2&amp;$B$1&amp;$C$1)</f>
        <v>0</v>
      </c>
      <c r="CE7" s="2">
        <f>COUNTIF(defects!$Z:$Z,Weekly_TVPlantPmod!CE$3&amp;Weekly_TVPlantPmod!$B7&amp;Weekly_TVPlantPmod!$B$3&amp;$B$2&amp;$B$1&amp;$C$1)</f>
        <v>0</v>
      </c>
      <c r="CF7" s="2">
        <f>COUNTIF(defects!$Z:$Z,Weekly_TVPlantPmod!CF$3&amp;Weekly_TVPlantPmod!$B7&amp;Weekly_TVPlantPmod!$B$3&amp;$B$2&amp;$B$1&amp;$C$1)</f>
        <v>0</v>
      </c>
      <c r="CG7" s="2">
        <f>COUNTIF(defects!$Z:$Z,Weekly_TVPlantPmod!CG$3&amp;Weekly_TVPlantPmod!$B7&amp;Weekly_TVPlantPmod!$B$3&amp;$B$2&amp;$B$1&amp;$C$1)</f>
        <v>0</v>
      </c>
      <c r="CH7" s="2">
        <f>COUNTIF(defects!$Z:$Z,Weekly_TVPlantPmod!CH$3&amp;Weekly_TVPlantPmod!$B7&amp;Weekly_TVPlantPmod!$B$3&amp;$B$2&amp;$B$1&amp;$C$1)</f>
        <v>0</v>
      </c>
      <c r="CI7" s="2">
        <f>COUNTIF(defects!$Z:$Z,Weekly_TVPlantPmod!CI$3&amp;Weekly_TVPlantPmod!$B7&amp;Weekly_TVPlantPmod!$B$3&amp;$B$2&amp;$B$1&amp;$C$1)</f>
        <v>0</v>
      </c>
      <c r="CJ7" s="2">
        <f>COUNTIF(defects!$Z:$Z,Weekly_TVPlantPmod!CJ$3&amp;Weekly_TVPlantPmod!$B7&amp;Weekly_TVPlantPmod!$B$3&amp;$B$2&amp;$B$1&amp;$C$1)</f>
        <v>0</v>
      </c>
      <c r="CK7" s="2">
        <f>COUNTIF(defects!$Z:$Z,Weekly_TVPlantPmod!CK$3&amp;Weekly_TVPlantPmod!$B7&amp;Weekly_TVPlantPmod!$B$3&amp;$B$2&amp;$B$1&amp;$C$1)</f>
        <v>0</v>
      </c>
      <c r="CL7" s="2">
        <f>COUNTIF(defects!$Z:$Z,Weekly_TVPlantPmod!CL$3&amp;Weekly_TVPlantPmod!$B7&amp;Weekly_TVPlantPmod!$B$3&amp;$B$2&amp;$B$1&amp;$C$1)</f>
        <v>0</v>
      </c>
      <c r="CM7" s="2">
        <f>COUNTIF(defects!$Z:$Z,Weekly_TVPlantPmod!CM$3&amp;Weekly_TVPlantPmod!$B7&amp;Weekly_TVPlantPmod!$B$3&amp;$B$2&amp;$B$1&amp;$C$1)</f>
        <v>0</v>
      </c>
      <c r="CN7" s="2">
        <f>COUNTIF(defects!$Z:$Z,Weekly_TVPlantPmod!CN$3&amp;Weekly_TVPlantPmod!$B7&amp;Weekly_TVPlantPmod!$B$3&amp;$B$2&amp;$B$1&amp;$C$1)</f>
        <v>0</v>
      </c>
      <c r="CO7" s="2">
        <f>COUNTIF(defects!$Z:$Z,Weekly_TVPlantPmod!CO$3&amp;Weekly_TVPlantPmod!$B7&amp;Weekly_TVPlantPmod!$B$3&amp;$B$2&amp;$B$1&amp;$C$1)</f>
        <v>0</v>
      </c>
      <c r="CP7" s="2">
        <f>COUNTIF(defects!$Z:$Z,Weekly_TVPlantPmod!CP$3&amp;Weekly_TVPlantPmod!$B7&amp;Weekly_TVPlantPmod!$B$3&amp;$B$2&amp;$B$1&amp;$C$1)</f>
        <v>0</v>
      </c>
      <c r="CQ7" s="2">
        <f>COUNTIF(defects!$Z:$Z,Weekly_TVPlantPmod!CQ$3&amp;Weekly_TVPlantPmod!$B7&amp;Weekly_TVPlantPmod!$B$3&amp;$B$2&amp;$B$1&amp;$C$1)</f>
        <v>0</v>
      </c>
      <c r="CR7" s="2">
        <f>COUNTIF(defects!$Z:$Z,Weekly_TVPlantPmod!CR$3&amp;Weekly_TVPlantPmod!$B7&amp;Weekly_TVPlantPmod!$B$3&amp;$B$2&amp;$B$1&amp;$C$1)</f>
        <v>0</v>
      </c>
      <c r="CS7" s="2">
        <f>COUNTIF(defects!$Z:$Z,Weekly_TVPlantPmod!CS$3&amp;Weekly_TVPlantPmod!$B7&amp;Weekly_TVPlantPmod!$B$3&amp;$B$2&amp;$B$1&amp;$C$1)</f>
        <v>0</v>
      </c>
      <c r="CT7" s="2">
        <f>COUNTIF(defects!$Z:$Z,Weekly_TVPlantPmod!CT$3&amp;Weekly_TVPlantPmod!$B7&amp;Weekly_TVPlantPmod!$B$3&amp;$B$2&amp;$B$1&amp;$C$1)</f>
        <v>0</v>
      </c>
      <c r="CU7" s="2">
        <f>COUNTIF(defects!$Z:$Z,Weekly_TVPlantPmod!CU$3&amp;Weekly_TVPlantPmod!$B7&amp;Weekly_TVPlantPmod!$B$3&amp;$B$2&amp;$B$1&amp;$C$1)</f>
        <v>0</v>
      </c>
      <c r="CV7" s="2">
        <f>COUNTIF(defects!$Z:$Z,Weekly_TVPlantPmod!CV$3&amp;Weekly_TVPlantPmod!$B7&amp;Weekly_TVPlantPmod!$B$3&amp;$B$2&amp;$B$1&amp;$C$1)</f>
        <v>0</v>
      </c>
      <c r="CW7" s="2">
        <f>COUNTIF(defects!$Z:$Z,Weekly_TVPlantPmod!CW$3&amp;Weekly_TVPlantPmod!$B7&amp;Weekly_TVPlantPmod!$B$3&amp;$B$2&amp;$B$1&amp;$C$1)</f>
        <v>0</v>
      </c>
      <c r="CX7" s="2">
        <f>COUNTIF(defects!$Z:$Z,Weekly_TVPlantPmod!CX$3&amp;Weekly_TVPlantPmod!$B7&amp;Weekly_TVPlantPmod!$B$3&amp;$B$2&amp;$B$1&amp;$C$1)</f>
        <v>0</v>
      </c>
      <c r="CY7" s="2">
        <f>COUNTIF(defects!$Z:$Z,Weekly_TVPlantPmod!CY$3&amp;Weekly_TVPlantPmod!$B7&amp;Weekly_TVPlantPmod!$B$3&amp;$B$2&amp;$B$1&amp;$C$1)</f>
        <v>0</v>
      </c>
      <c r="CZ7" s="2">
        <f>COUNTIF(defects!$Z:$Z,Weekly_TVPlantPmod!CZ$3&amp;Weekly_TVPlantPmod!$B7&amp;Weekly_TVPlantPmod!$B$3&amp;$B$2&amp;$B$1&amp;$C$1)</f>
        <v>0</v>
      </c>
      <c r="DA7" s="2">
        <f>COUNTIF(defects!$Z:$Z,Weekly_TVPlantPmod!DA$3&amp;Weekly_TVPlantPmod!$B7&amp;Weekly_TVPlantPmod!$B$3&amp;$B$2&amp;$B$1&amp;$C$1)</f>
        <v>0</v>
      </c>
      <c r="DB7" s="2">
        <f>COUNTIF(defects!$Z:$Z,Weekly_TVPlantPmod!DB$3&amp;Weekly_TVPlantPmod!$B7&amp;Weekly_TVPlantPmod!$B$3&amp;$B$2&amp;$B$1&amp;$C$1)</f>
        <v>0</v>
      </c>
      <c r="DC7" s="2">
        <f>COUNTIF(defects!$Z:$Z,Weekly_TVPlantPmod!DC$3&amp;Weekly_TVPlantPmod!$B7&amp;Weekly_TVPlantPmod!$B$3&amp;$B$2&amp;$B$1&amp;$C$1)</f>
        <v>0</v>
      </c>
      <c r="DD7" s="2">
        <f>COUNTIF(defects!$Z:$Z,Weekly_TVPlantPmod!DD$3&amp;Weekly_TVPlantPmod!$B7&amp;Weekly_TVPlantPmod!$B$3&amp;$B$2&amp;$B$1&amp;$C$1)</f>
        <v>0</v>
      </c>
      <c r="DE7" s="2">
        <f>COUNTIF(defects!$Z:$Z,Weekly_TVPlantPmod!DE$3&amp;Weekly_TVPlantPmod!$B7&amp;Weekly_TVPlantPmod!$B$3&amp;$B$2&amp;$B$1&amp;$C$1)</f>
        <v>0</v>
      </c>
      <c r="DF7" s="2">
        <f>COUNTIF(defects!$Z:$Z,Weekly_TVPlantPmod!DF$3&amp;Weekly_TVPlantPmod!$B7&amp;Weekly_TVPlantPmod!$B$3&amp;$B$2&amp;$B$1&amp;$C$1)</f>
        <v>0</v>
      </c>
      <c r="DG7" s="2">
        <f>COUNTIF(defects!$Z:$Z,Weekly_TVPlantPmod!DG$3&amp;Weekly_TVPlantPmod!$B7&amp;Weekly_TVPlantPmod!$B$3&amp;$B$2&amp;$B$1&amp;$C$1)</f>
        <v>0</v>
      </c>
      <c r="DH7" s="2">
        <f>COUNTIF(defects!$Z:$Z,Weekly_TVPlantPmod!DH$3&amp;Weekly_TVPlantPmod!$B7&amp;Weekly_TVPlantPmod!$B$3&amp;$B$2&amp;$B$1&amp;$C$1)</f>
        <v>0</v>
      </c>
      <c r="DI7" s="2">
        <f>COUNTIF(defects!$Z:$Z,Weekly_TVPlantPmod!DI$3&amp;Weekly_TVPlantPmod!$B7&amp;Weekly_TVPlantPmod!$B$3&amp;$B$2&amp;$B$1&amp;$C$1)</f>
        <v>0</v>
      </c>
      <c r="DJ7" s="2">
        <f>COUNTIF(defects!$Z:$Z,Weekly_TVPlantPmod!DJ$3&amp;Weekly_TVPlantPmod!$B7&amp;Weekly_TVPlantPmod!$B$3&amp;$B$2&amp;$B$1&amp;$C$1)</f>
        <v>0</v>
      </c>
      <c r="DK7" s="2">
        <f>COUNTIF(defects!$Z:$Z,Weekly_TVPlantPmod!DK$3&amp;Weekly_TVPlantPmod!$B7&amp;Weekly_TVPlantPmod!$B$3&amp;$B$2&amp;$B$1&amp;$C$1)</f>
        <v>0</v>
      </c>
      <c r="DL7" s="2">
        <f>COUNTIF(defects!$Z:$Z,Weekly_TVPlantPmod!DL$3&amp;Weekly_TVPlantPmod!$B7&amp;Weekly_TVPlantPmod!$B$3&amp;$B$2&amp;$B$1&amp;$C$1)</f>
        <v>0</v>
      </c>
      <c r="DM7" s="2">
        <f>COUNTIF(defects!$Z:$Z,Weekly_TVPlantPmod!DM$3&amp;Weekly_TVPlantPmod!$B7&amp;Weekly_TVPlantPmod!$B$3&amp;$B$2&amp;$B$1&amp;$C$1)</f>
        <v>0</v>
      </c>
      <c r="DN7" s="2">
        <f>COUNTIF(defects!$Z:$Z,Weekly_TVPlantPmod!DN$3&amp;Weekly_TVPlantPmod!$B7&amp;Weekly_TVPlantPmod!$B$3&amp;$B$2&amp;$B$1&amp;$C$1)</f>
        <v>0</v>
      </c>
      <c r="DO7" s="2">
        <f>COUNTIF(defects!$Z:$Z,Weekly_TVPlantPmod!DO$3&amp;Weekly_TVPlantPmod!$B7&amp;Weekly_TVPlantPmod!$B$3&amp;$B$2&amp;$B$1&amp;$C$1)</f>
        <v>0</v>
      </c>
      <c r="DP7" s="2">
        <f>COUNTIF(defects!$Z:$Z,Weekly_TVPlantPmod!DP$3&amp;Weekly_TVPlantPmod!$B7&amp;Weekly_TVPlantPmod!$B$3&amp;$B$2&amp;$B$1&amp;$C$1)</f>
        <v>0</v>
      </c>
      <c r="DQ7" s="2">
        <f>COUNTIF(defects!$Z:$Z,Weekly_TVPlantPmod!DQ$3&amp;Weekly_TVPlantPmod!$B7&amp;Weekly_TVPlantPmod!$B$3&amp;$B$2&amp;$B$1&amp;$C$1)</f>
        <v>0</v>
      </c>
      <c r="DR7" s="2">
        <f>COUNTIF(defects!$Z:$Z,Weekly_TVPlantPmod!DR$3&amp;Weekly_TVPlantPmod!$B7&amp;Weekly_TVPlantPmod!$B$3&amp;$B$2&amp;$B$1&amp;$C$1)</f>
        <v>0</v>
      </c>
      <c r="DS7" s="2">
        <f>COUNTIF(defects!$Z:$Z,Weekly_TVPlantPmod!DS$3&amp;Weekly_TVPlantPmod!$B7&amp;Weekly_TVPlantPmod!$B$3&amp;$B$2&amp;$B$1&amp;$C$1)</f>
        <v>0</v>
      </c>
      <c r="DT7" s="2">
        <f>COUNTIF(defects!$Z:$Z,Weekly_TVPlantPmod!DT$3&amp;Weekly_TVPlantPmod!$B7&amp;Weekly_TVPlantPmod!$B$3&amp;$B$2&amp;$B$1&amp;$C$1)</f>
        <v>0</v>
      </c>
      <c r="DU7" s="2">
        <f>COUNTIF(defects!$Z:$Z,Weekly_TVPlantPmod!DU$3&amp;Weekly_TVPlantPmod!$B7&amp;Weekly_TVPlantPmod!$B$3&amp;$B$2&amp;$B$1&amp;$C$1)</f>
        <v>0</v>
      </c>
      <c r="DV7" s="2">
        <f>COUNTIF(defects!$Z:$Z,Weekly_TVPlantPmod!DV$3&amp;Weekly_TVPlantPmod!$B7&amp;Weekly_TVPlantPmod!$B$3&amp;$B$2&amp;$B$1&amp;$C$1)</f>
        <v>0</v>
      </c>
      <c r="DW7" s="2">
        <f>COUNTIF(defects!$Z:$Z,Weekly_TVPlantPmod!DW$3&amp;Weekly_TVPlantPmod!$B7&amp;Weekly_TVPlantPmod!$B$3&amp;$B$2&amp;$B$1&amp;$C$1)</f>
        <v>0</v>
      </c>
      <c r="DX7" s="2">
        <f>COUNTIF(defects!$Z:$Z,Weekly_TVPlantPmod!DX$3&amp;Weekly_TVPlantPmod!$B7&amp;Weekly_TVPlantPmod!$B$3&amp;$B$2&amp;$B$1&amp;$C$1)</f>
        <v>0</v>
      </c>
      <c r="DY7" s="2">
        <f>COUNTIF(defects!$Z:$Z,Weekly_TVPlantPmod!DY$3&amp;Weekly_TVPlantPmod!$B7&amp;Weekly_TVPlantPmod!$B$3&amp;$B$2&amp;$B$1&amp;$C$1)</f>
        <v>0</v>
      </c>
      <c r="DZ7" s="2">
        <f>COUNTIF(defects!$Z:$Z,Weekly_TVPlantPmod!DZ$3&amp;Weekly_TVPlantPmod!$B7&amp;Weekly_TVPlantPmod!$B$3&amp;$B$2&amp;$B$1&amp;$C$1)</f>
        <v>0</v>
      </c>
      <c r="EA7" s="2">
        <f>COUNTIF(defects!$Z:$Z,Weekly_TVPlantPmod!EA$3&amp;Weekly_TVPlantPmod!$B7&amp;Weekly_TVPlantPmod!$B$3&amp;$B$2&amp;$B$1&amp;$C$1)</f>
        <v>0</v>
      </c>
      <c r="EB7" s="2">
        <f>COUNTIF(defects!$Z:$Z,Weekly_TVPlantPmod!EB$3&amp;Weekly_TVPlantPmod!$B7&amp;Weekly_TVPlantPmod!$B$3&amp;$B$2&amp;$B$1&amp;$C$1)</f>
        <v>0</v>
      </c>
      <c r="EC7" s="2">
        <f>COUNTIF(defects!$Z:$Z,Weekly_TVPlantPmod!EC$3&amp;Weekly_TVPlantPmod!$B7&amp;Weekly_TVPlantPmod!$B$3&amp;$B$2&amp;$B$1&amp;$C$1)</f>
        <v>0</v>
      </c>
      <c r="ED7" s="2">
        <f>COUNTIF(defects!$Z:$Z,Weekly_TVPlantPmod!ED$3&amp;Weekly_TVPlantPmod!$B7&amp;Weekly_TVPlantPmod!$B$3&amp;$B$2&amp;$B$1&amp;$C$1)</f>
        <v>0</v>
      </c>
      <c r="EE7" s="2">
        <f>COUNTIF(defects!$Z:$Z,Weekly_TVPlantPmod!EE$3&amp;Weekly_TVPlantPmod!$B7&amp;Weekly_TVPlantPmod!$B$3&amp;$B$2&amp;$B$1&amp;$C$1)</f>
        <v>0</v>
      </c>
      <c r="EF7" s="2">
        <f>COUNTIF(defects!$Z:$Z,Weekly_TVPlantPmod!EF$3&amp;Weekly_TVPlantPmod!$B7&amp;Weekly_TVPlantPmod!$B$3&amp;$B$2&amp;$B$1&amp;$C$1)</f>
        <v>0</v>
      </c>
      <c r="EG7" s="2">
        <f>COUNTIF(defects!$Z:$Z,Weekly_TVPlantPmod!EG$3&amp;Weekly_TVPlantPmod!$B7&amp;Weekly_TVPlantPmod!$B$3&amp;$B$2&amp;$B$1&amp;$C$1)</f>
        <v>0</v>
      </c>
      <c r="EH7" s="2">
        <f>COUNTIF(defects!$Z:$Z,Weekly_TVPlantPmod!EH$3&amp;Weekly_TVPlantPmod!$B7&amp;Weekly_TVPlantPmod!$B$3&amp;$B$2&amp;$B$1&amp;$C$1)</f>
        <v>0</v>
      </c>
      <c r="EI7" s="2">
        <f>COUNTIF(defects!$Z:$Z,Weekly_TVPlantPmod!EI$3&amp;Weekly_TVPlantPmod!$B7&amp;Weekly_TVPlantPmod!$B$3&amp;$B$2&amp;$B$1&amp;$C$1)</f>
        <v>0</v>
      </c>
      <c r="EJ7" s="2">
        <f>COUNTIF(defects!$Z:$Z,Weekly_TVPlantPmod!EJ$3&amp;Weekly_TVPlantPmod!$B7&amp;Weekly_TVPlantPmod!$B$3&amp;$B$2&amp;$B$1&amp;$C$1)</f>
        <v>0</v>
      </c>
      <c r="EK7" s="2">
        <f>COUNTIF(defects!$Z:$Z,Weekly_TVPlantPmod!EK$3&amp;Weekly_TVPlantPmod!$B7&amp;Weekly_TVPlantPmod!$B$3&amp;$B$2&amp;$B$1&amp;$C$1)</f>
        <v>0</v>
      </c>
      <c r="EL7" s="2">
        <f>COUNTIF(defects!$Z:$Z,Weekly_TVPlantPmod!EL$3&amp;Weekly_TVPlantPmod!$B7&amp;Weekly_TVPlantPmod!$B$3&amp;$B$2&amp;$B$1&amp;$C$1)</f>
        <v>0</v>
      </c>
      <c r="EM7" s="2">
        <f>COUNTIF(defects!$Z:$Z,Weekly_TVPlantPmod!EM$3&amp;Weekly_TVPlantPmod!$B7&amp;Weekly_TVPlantPmod!$B$3&amp;$B$2&amp;$B$1&amp;$C$1)</f>
        <v>0</v>
      </c>
      <c r="EN7" s="2">
        <f>COUNTIF(defects!$Z:$Z,Weekly_TVPlantPmod!EN$3&amp;Weekly_TVPlantPmod!$B7&amp;Weekly_TVPlantPmod!$B$3&amp;$B$2&amp;$B$1&amp;$C$1)</f>
        <v>0</v>
      </c>
      <c r="EO7" s="2">
        <f>COUNTIF(defects!$Z:$Z,Weekly_TVPlantPmod!EO$3&amp;Weekly_TVPlantPmod!$B7&amp;Weekly_TVPlantPmod!$B$3&amp;$B$2&amp;$B$1&amp;$C$1)</f>
        <v>0</v>
      </c>
      <c r="EP7" s="2">
        <f>COUNTIF(defects!$Z:$Z,Weekly_TVPlantPmod!EP$3&amp;Weekly_TVPlantPmod!$B7&amp;Weekly_TVPlantPmod!$B$3&amp;$B$2&amp;$B$1&amp;$C$1)</f>
        <v>0</v>
      </c>
      <c r="EQ7" s="2">
        <f>COUNTIF(defects!$Z:$Z,Weekly_TVPlantPmod!EQ$3&amp;Weekly_TVPlantPmod!$B7&amp;Weekly_TVPlantPmod!$B$3&amp;$B$2&amp;$B$1&amp;$C$1)</f>
        <v>0</v>
      </c>
      <c r="ER7" s="2">
        <f>COUNTIF(defects!$Z:$Z,Weekly_TVPlantPmod!ER$3&amp;Weekly_TVPlantPmod!$B7&amp;Weekly_TVPlantPmod!$B$3&amp;$B$2&amp;$B$1&amp;$C$1)</f>
        <v>0</v>
      </c>
      <c r="ES7" s="2">
        <f>COUNTIF(defects!$Z:$Z,Weekly_TVPlantPmod!ES$3&amp;Weekly_TVPlantPmod!$B7&amp;Weekly_TVPlantPmod!$B$3&amp;$B$2&amp;$B$1&amp;$C$1)</f>
        <v>0</v>
      </c>
      <c r="ET7" s="2">
        <f>COUNTIF(defects!$Z:$Z,Weekly_TVPlantPmod!ET$3&amp;Weekly_TVPlantPmod!$B7&amp;Weekly_TVPlantPmod!$B$3&amp;$B$2&amp;$B$1&amp;$C$1)</f>
        <v>0</v>
      </c>
      <c r="EU7" s="2">
        <f>COUNTIF(defects!$Z:$Z,Weekly_TVPlantPmod!EU$3&amp;Weekly_TVPlantPmod!$B7&amp;Weekly_TVPlantPmod!$B$3&amp;$B$2&amp;$B$1&amp;$C$1)</f>
        <v>0</v>
      </c>
      <c r="EV7" s="2">
        <f>COUNTIF(defects!$Z:$Z,Weekly_TVPlantPmod!EV$3&amp;Weekly_TVPlantPmod!$B7&amp;Weekly_TVPlantPmod!$B$3&amp;$B$2&amp;$B$1&amp;$C$1)</f>
        <v>0</v>
      </c>
      <c r="EW7" s="2">
        <f>COUNTIF(defects!$Z:$Z,Weekly_TVPlantPmod!EW$3&amp;Weekly_TVPlantPmod!$B7&amp;Weekly_TVPlantPmod!$B$3&amp;$B$2&amp;$B$1&amp;$C$1)</f>
        <v>0</v>
      </c>
      <c r="EX7" s="2">
        <f>COUNTIF(defects!$Z:$Z,Weekly_TVPlantPmod!EX$3&amp;Weekly_TVPlantPmod!$B7&amp;Weekly_TVPlantPmod!$B$3&amp;$B$2&amp;$B$1&amp;$C$1)</f>
        <v>0</v>
      </c>
      <c r="EY7" s="2">
        <f>COUNTIF(defects!$Z:$Z,Weekly_TVPlantPmod!EY$3&amp;Weekly_TVPlantPmod!$B7&amp;Weekly_TVPlantPmod!$B$3&amp;$B$2&amp;$B$1&amp;$C$1)</f>
        <v>0</v>
      </c>
      <c r="EZ7" s="2">
        <f>COUNTIF(defects!$Z:$Z,Weekly_TVPlantPmod!EZ$3&amp;Weekly_TVPlantPmod!$B7&amp;Weekly_TVPlantPmod!$B$3&amp;$B$2&amp;$B$1&amp;$C$1)</f>
        <v>0</v>
      </c>
      <c r="FA7" s="2">
        <f>COUNTIF(defects!$Z:$Z,Weekly_TVPlantPmod!FA$3&amp;Weekly_TVPlantPmod!$B7&amp;Weekly_TVPlantPmod!$B$3&amp;$B$2&amp;$B$1&amp;$C$1)</f>
        <v>0</v>
      </c>
      <c r="FB7" s="2">
        <f>COUNTIF(defects!$Z:$Z,Weekly_TVPlantPmod!FB$3&amp;Weekly_TVPlantPmod!$B7&amp;Weekly_TVPlantPmod!$B$3&amp;$B$2&amp;$B$1&amp;$C$1)</f>
        <v>0</v>
      </c>
      <c r="FC7" s="2">
        <f>COUNTIF(defects!$Z:$Z,Weekly_TVPlantPmod!FC$3&amp;Weekly_TVPlantPmod!$B7&amp;Weekly_TVPlantPmod!$B$3&amp;$B$2&amp;$B$1&amp;$C$1)</f>
        <v>0</v>
      </c>
      <c r="FD7" s="2">
        <f>COUNTIF(defects!$Z:$Z,Weekly_TVPlantPmod!FD$3&amp;Weekly_TVPlantPmod!$B7&amp;Weekly_TVPlantPmod!$B$3&amp;$B$2&amp;$B$1&amp;$C$1)</f>
        <v>0</v>
      </c>
      <c r="FE7" s="2">
        <f>COUNTIF(defects!$Z:$Z,Weekly_TVPlantPmod!FE$3&amp;Weekly_TVPlantPmod!$B7&amp;Weekly_TVPlantPmod!$B$3&amp;$B$2&amp;$B$1&amp;$C$1)</f>
        <v>0</v>
      </c>
    </row>
    <row r="8" spans="2:161">
      <c r="B8" s="2" t="s">
        <v>955</v>
      </c>
      <c r="C8" s="2">
        <f>COUNTIF(defects!$Z:$Z,Weekly_TVPlantPmod!C$3&amp;Weekly_TVPlantPmod!$B8&amp;Weekly_TVPlantPmod!$B$3&amp;$B$2&amp;$B$1&amp;$C$1)</f>
        <v>0</v>
      </c>
      <c r="D8" s="2">
        <f>COUNTIF(defects!$Z:$Z,Weekly_TVPlantPmod!D$3&amp;Weekly_TVPlantPmod!$B8&amp;Weekly_TVPlantPmod!$B$3&amp;$B$2&amp;$B$1&amp;$C$1)</f>
        <v>0</v>
      </c>
      <c r="E8" s="2">
        <f>COUNTIF(defects!$Z:$Z,Weekly_TVPlantPmod!E$3&amp;Weekly_TVPlantPmod!$B8&amp;Weekly_TVPlantPmod!$B$3&amp;$B$2&amp;$B$1&amp;$C$1)</f>
        <v>0</v>
      </c>
      <c r="F8" s="2">
        <f>COUNTIF(defects!$Z:$Z,Weekly_TVPlantPmod!F$3&amp;Weekly_TVPlantPmod!$B8&amp;Weekly_TVPlantPmod!$B$3&amp;$B$2&amp;$B$1&amp;$C$1)</f>
        <v>0</v>
      </c>
      <c r="G8" s="2">
        <f>COUNTIF(defects!$Z:$Z,Weekly_TVPlantPmod!G$3&amp;Weekly_TVPlantPmod!$B8&amp;Weekly_TVPlantPmod!$B$3&amp;$B$2&amp;$B$1&amp;$C$1)</f>
        <v>0</v>
      </c>
      <c r="H8" s="2">
        <f>COUNTIF(defects!$Z:$Z,Weekly_TVPlantPmod!H$3&amp;Weekly_TVPlantPmod!$B8&amp;Weekly_TVPlantPmod!$B$3&amp;$B$2&amp;$B$1&amp;$C$1)</f>
        <v>0</v>
      </c>
      <c r="I8" s="2">
        <f>COUNTIF(defects!$Z:$Z,Weekly_TVPlantPmod!I$3&amp;Weekly_TVPlantPmod!$B8&amp;Weekly_TVPlantPmod!$B$3&amp;$B$2&amp;$B$1&amp;$C$1)</f>
        <v>0</v>
      </c>
      <c r="J8" s="2">
        <f>COUNTIF(defects!$Z:$Z,Weekly_TVPlantPmod!J$3&amp;Weekly_TVPlantPmod!$B8&amp;Weekly_TVPlantPmod!$B$3&amp;$B$2&amp;$B$1&amp;$C$1)</f>
        <v>0</v>
      </c>
      <c r="K8" s="2">
        <f>COUNTIF(defects!$Z:$Z,Weekly_TVPlantPmod!K$3&amp;Weekly_TVPlantPmod!$B8&amp;Weekly_TVPlantPmod!$B$3&amp;$B$2&amp;$B$1&amp;$C$1)</f>
        <v>0</v>
      </c>
      <c r="L8" s="2">
        <f>COUNTIF(defects!$Z:$Z,Weekly_TVPlantPmod!L$3&amp;Weekly_TVPlantPmod!$B8&amp;Weekly_TVPlantPmod!$B$3&amp;$B$2&amp;$B$1&amp;$C$1)</f>
        <v>0</v>
      </c>
      <c r="M8" s="2">
        <f>COUNTIF(defects!$Z:$Z,Weekly_TVPlantPmod!M$3&amp;Weekly_TVPlantPmod!$B8&amp;Weekly_TVPlantPmod!$B$3&amp;$B$2&amp;$B$1&amp;$C$1)</f>
        <v>0</v>
      </c>
      <c r="N8" s="2">
        <f>COUNTIF(defects!$Z:$Z,Weekly_TVPlantPmod!N$3&amp;Weekly_TVPlantPmod!$B8&amp;Weekly_TVPlantPmod!$B$3&amp;$B$2&amp;$B$1&amp;$C$1)</f>
        <v>0</v>
      </c>
      <c r="O8" s="2">
        <f>COUNTIF(defects!$Z:$Z,Weekly_TVPlantPmod!O$3&amp;Weekly_TVPlantPmod!$B8&amp;Weekly_TVPlantPmod!$B$3&amp;$B$2&amp;$B$1&amp;$C$1)</f>
        <v>0</v>
      </c>
      <c r="P8" s="2">
        <f>COUNTIF(defects!$Z:$Z,Weekly_TVPlantPmod!P$3&amp;Weekly_TVPlantPmod!$B8&amp;Weekly_TVPlantPmod!$B$3&amp;$B$2&amp;$B$1&amp;$C$1)</f>
        <v>0</v>
      </c>
      <c r="Q8" s="2">
        <f>COUNTIF(defects!$Z:$Z,Weekly_TVPlantPmod!Q$3&amp;Weekly_TVPlantPmod!$B8&amp;Weekly_TVPlantPmod!$B$3&amp;$B$2&amp;$B$1&amp;$C$1)</f>
        <v>0</v>
      </c>
      <c r="R8" s="2">
        <f>COUNTIF(defects!$Z:$Z,Weekly_TVPlantPmod!R$3&amp;Weekly_TVPlantPmod!$B8&amp;Weekly_TVPlantPmod!$B$3&amp;$B$2&amp;$B$1&amp;$C$1)</f>
        <v>0</v>
      </c>
      <c r="S8" s="2">
        <f>COUNTIF(defects!$Z:$Z,Weekly_TVPlantPmod!S$3&amp;Weekly_TVPlantPmod!$B8&amp;Weekly_TVPlantPmod!$B$3&amp;$B$2&amp;$B$1&amp;$C$1)</f>
        <v>0</v>
      </c>
      <c r="T8" s="2">
        <f>COUNTIF(defects!$Z:$Z,Weekly_TVPlantPmod!T$3&amp;Weekly_TVPlantPmod!$B8&amp;Weekly_TVPlantPmod!$B$3&amp;$B$2&amp;$B$1&amp;$C$1)</f>
        <v>0</v>
      </c>
      <c r="U8" s="2">
        <f>COUNTIF(defects!$Z:$Z,Weekly_TVPlantPmod!U$3&amp;Weekly_TVPlantPmod!$B8&amp;Weekly_TVPlantPmod!$B$3&amp;$B$2&amp;$B$1&amp;$C$1)</f>
        <v>0</v>
      </c>
      <c r="V8" s="2">
        <f>COUNTIF(defects!$Z:$Z,Weekly_TVPlantPmod!V$3&amp;Weekly_TVPlantPmod!$B8&amp;Weekly_TVPlantPmod!$B$3&amp;$B$2&amp;$B$1&amp;$C$1)</f>
        <v>0</v>
      </c>
      <c r="W8" s="2">
        <f>COUNTIF(defects!$Z:$Z,Weekly_TVPlantPmod!W$3&amp;Weekly_TVPlantPmod!$B8&amp;Weekly_TVPlantPmod!$B$3&amp;$B$2&amp;$B$1&amp;$C$1)</f>
        <v>0</v>
      </c>
      <c r="X8" s="2">
        <f>COUNTIF(defects!$Z:$Z,Weekly_TVPlantPmod!X$3&amp;Weekly_TVPlantPmod!$B8&amp;Weekly_TVPlantPmod!$B$3&amp;$B$2&amp;$B$1&amp;$C$1)</f>
        <v>0</v>
      </c>
      <c r="Y8" s="2">
        <f>COUNTIF(defects!$Z:$Z,Weekly_TVPlantPmod!Y$3&amp;Weekly_TVPlantPmod!$B8&amp;Weekly_TVPlantPmod!$B$3&amp;$B$2&amp;$B$1&amp;$C$1)</f>
        <v>0</v>
      </c>
      <c r="Z8" s="2">
        <f>COUNTIF(defects!$Z:$Z,Weekly_TVPlantPmod!Z$3&amp;Weekly_TVPlantPmod!$B8&amp;Weekly_TVPlantPmod!$B$3&amp;$B$2&amp;$B$1&amp;$C$1)</f>
        <v>0</v>
      </c>
      <c r="AA8" s="2">
        <f>COUNTIF(defects!$Z:$Z,Weekly_TVPlantPmod!AA$3&amp;Weekly_TVPlantPmod!$B8&amp;Weekly_TVPlantPmod!$B$3&amp;$B$2&amp;$B$1&amp;$C$1)</f>
        <v>0</v>
      </c>
      <c r="AB8" s="2">
        <f>COUNTIF(defects!$Z:$Z,Weekly_TVPlantPmod!AB$3&amp;Weekly_TVPlantPmod!$B8&amp;Weekly_TVPlantPmod!$B$3&amp;$B$2&amp;$B$1&amp;$C$1)</f>
        <v>0</v>
      </c>
      <c r="AC8" s="2">
        <f>COUNTIF(defects!$Z:$Z,Weekly_TVPlantPmod!AC$3&amp;Weekly_TVPlantPmod!$B8&amp;Weekly_TVPlantPmod!$B$3&amp;$B$2&amp;$B$1&amp;$C$1)</f>
        <v>0</v>
      </c>
      <c r="AD8" s="2">
        <f>COUNTIF(defects!$Z:$Z,Weekly_TVPlantPmod!AD$3&amp;Weekly_TVPlantPmod!$B8&amp;Weekly_TVPlantPmod!$B$3&amp;$B$2&amp;$B$1&amp;$C$1)</f>
        <v>0</v>
      </c>
      <c r="AE8" s="2">
        <f>COUNTIF(defects!$Z:$Z,Weekly_TVPlantPmod!AE$3&amp;Weekly_TVPlantPmod!$B8&amp;Weekly_TVPlantPmod!$B$3&amp;$B$2&amp;$B$1&amp;$C$1)</f>
        <v>0</v>
      </c>
      <c r="AF8" s="2">
        <f>COUNTIF(defects!$Z:$Z,Weekly_TVPlantPmod!AF$3&amp;Weekly_TVPlantPmod!$B8&amp;Weekly_TVPlantPmod!$B$3&amp;$B$2&amp;$B$1&amp;$C$1)</f>
        <v>0</v>
      </c>
      <c r="AG8" s="2">
        <f>COUNTIF(defects!$Z:$Z,Weekly_TVPlantPmod!AG$3&amp;Weekly_TVPlantPmod!$B8&amp;Weekly_TVPlantPmod!$B$3&amp;$B$2&amp;$B$1&amp;$C$1)</f>
        <v>0</v>
      </c>
      <c r="AH8" s="2">
        <f>COUNTIF(defects!$Z:$Z,Weekly_TVPlantPmod!AH$3&amp;Weekly_TVPlantPmod!$B8&amp;Weekly_TVPlantPmod!$B$3&amp;$B$2&amp;$B$1&amp;$C$1)</f>
        <v>0</v>
      </c>
      <c r="AI8" s="2">
        <f>COUNTIF(defects!$Z:$Z,Weekly_TVPlantPmod!AI$3&amp;Weekly_TVPlantPmod!$B8&amp;Weekly_TVPlantPmod!$B$3&amp;$B$2&amp;$B$1&amp;$C$1)</f>
        <v>0</v>
      </c>
      <c r="AJ8" s="2">
        <f>COUNTIF(defects!$Z:$Z,Weekly_TVPlantPmod!AJ$3&amp;Weekly_TVPlantPmod!$B8&amp;Weekly_TVPlantPmod!$B$3&amp;$B$2&amp;$B$1&amp;$C$1)</f>
        <v>0</v>
      </c>
      <c r="AK8" s="2">
        <f>COUNTIF(defects!$Z:$Z,Weekly_TVPlantPmod!AK$3&amp;Weekly_TVPlantPmod!$B8&amp;Weekly_TVPlantPmod!$B$3&amp;$B$2&amp;$B$1&amp;$C$1)</f>
        <v>0</v>
      </c>
      <c r="AL8" s="2">
        <f>COUNTIF(defects!$Z:$Z,Weekly_TVPlantPmod!AL$3&amp;Weekly_TVPlantPmod!$B8&amp;Weekly_TVPlantPmod!$B$3&amp;$B$2&amp;$B$1&amp;$C$1)</f>
        <v>0</v>
      </c>
      <c r="AM8" s="2">
        <f>COUNTIF(defects!$Z:$Z,Weekly_TVPlantPmod!AM$3&amp;Weekly_TVPlantPmod!$B8&amp;Weekly_TVPlantPmod!$B$3&amp;$B$2&amp;$B$1&amp;$C$1)</f>
        <v>0</v>
      </c>
      <c r="AN8" s="2">
        <f>COUNTIF(defects!$Z:$Z,Weekly_TVPlantPmod!AN$3&amp;Weekly_TVPlantPmod!$B8&amp;Weekly_TVPlantPmod!$B$3&amp;$B$2&amp;$B$1&amp;$C$1)</f>
        <v>0</v>
      </c>
      <c r="AO8" s="2">
        <f>COUNTIF(defects!$Z:$Z,Weekly_TVPlantPmod!AO$3&amp;Weekly_TVPlantPmod!$B8&amp;Weekly_TVPlantPmod!$B$3&amp;$B$2&amp;$B$1&amp;$C$1)</f>
        <v>0</v>
      </c>
      <c r="AP8" s="2">
        <f>COUNTIF(defects!$Z:$Z,Weekly_TVPlantPmod!AP$3&amp;Weekly_TVPlantPmod!$B8&amp;Weekly_TVPlantPmod!$B$3&amp;$B$2&amp;$B$1&amp;$C$1)</f>
        <v>0</v>
      </c>
      <c r="AQ8" s="2">
        <f>COUNTIF(defects!$Z:$Z,Weekly_TVPlantPmod!AQ$3&amp;Weekly_TVPlantPmod!$B8&amp;Weekly_TVPlantPmod!$B$3&amp;$B$2&amp;$B$1&amp;$C$1)</f>
        <v>0</v>
      </c>
      <c r="AR8" s="2">
        <f>COUNTIF(defects!$Z:$Z,Weekly_TVPlantPmod!AR$3&amp;Weekly_TVPlantPmod!$B8&amp;Weekly_TVPlantPmod!$B$3&amp;$B$2&amp;$B$1&amp;$C$1)</f>
        <v>0</v>
      </c>
      <c r="AS8" s="2">
        <f>COUNTIF(defects!$Z:$Z,Weekly_TVPlantPmod!AS$3&amp;Weekly_TVPlantPmod!$B8&amp;Weekly_TVPlantPmod!$B$3&amp;$B$2&amp;$B$1&amp;$C$1)</f>
        <v>0</v>
      </c>
      <c r="AT8" s="2">
        <f>COUNTIF(defects!$Z:$Z,Weekly_TVPlantPmod!AT$3&amp;Weekly_TVPlantPmod!$B8&amp;Weekly_TVPlantPmod!$B$3&amp;$B$2&amp;$B$1&amp;$C$1)</f>
        <v>0</v>
      </c>
      <c r="AU8" s="2">
        <f>COUNTIF(defects!$Z:$Z,Weekly_TVPlantPmod!AU$3&amp;Weekly_TVPlantPmod!$B8&amp;Weekly_TVPlantPmod!$B$3&amp;$B$2&amp;$B$1&amp;$C$1)</f>
        <v>0</v>
      </c>
      <c r="AV8" s="2">
        <f>COUNTIF(defects!$Z:$Z,Weekly_TVPlantPmod!AV$3&amp;Weekly_TVPlantPmod!$B8&amp;Weekly_TVPlantPmod!$B$3&amp;$B$2&amp;$B$1&amp;$C$1)</f>
        <v>0</v>
      </c>
      <c r="AW8" s="2">
        <f>COUNTIF(defects!$Z:$Z,Weekly_TVPlantPmod!AW$3&amp;Weekly_TVPlantPmod!$B8&amp;Weekly_TVPlantPmod!$B$3&amp;$B$2&amp;$B$1&amp;$C$1)</f>
        <v>0</v>
      </c>
      <c r="AX8" s="2">
        <f>COUNTIF(defects!$Z:$Z,Weekly_TVPlantPmod!AX$3&amp;Weekly_TVPlantPmod!$B8&amp;Weekly_TVPlantPmod!$B$3&amp;$B$2&amp;$B$1&amp;$C$1)</f>
        <v>0</v>
      </c>
      <c r="AY8" s="2">
        <f>COUNTIF(defects!$Z:$Z,Weekly_TVPlantPmod!AY$3&amp;Weekly_TVPlantPmod!$B8&amp;Weekly_TVPlantPmod!$B$3&amp;$B$2&amp;$B$1&amp;$C$1)</f>
        <v>0</v>
      </c>
      <c r="AZ8" s="2">
        <f>COUNTIF(defects!$Z:$Z,Weekly_TVPlantPmod!AZ$3&amp;Weekly_TVPlantPmod!$B8&amp;Weekly_TVPlantPmod!$B$3&amp;$B$2&amp;$B$1&amp;$C$1)</f>
        <v>0</v>
      </c>
      <c r="BA8" s="2">
        <f>COUNTIF(defects!$Z:$Z,Weekly_TVPlantPmod!BA$3&amp;Weekly_TVPlantPmod!$B8&amp;Weekly_TVPlantPmod!$B$3&amp;$B$2&amp;$B$1&amp;$C$1)</f>
        <v>0</v>
      </c>
      <c r="BB8" s="2">
        <f>COUNTIF(defects!$Z:$Z,Weekly_TVPlantPmod!BB$3&amp;Weekly_TVPlantPmod!$B8&amp;Weekly_TVPlantPmod!$B$3&amp;$B$2&amp;$B$1&amp;$C$1)</f>
        <v>0</v>
      </c>
      <c r="BC8" s="2">
        <f>COUNTIF(defects!$Z:$Z,Weekly_TVPlantPmod!BC$3&amp;Weekly_TVPlantPmod!$B8&amp;Weekly_TVPlantPmod!$B$3&amp;$B$2&amp;$B$1&amp;$C$1)</f>
        <v>0</v>
      </c>
      <c r="BD8" s="2">
        <f>COUNTIF(defects!$Z:$Z,Weekly_TVPlantPmod!BD$3&amp;Weekly_TVPlantPmod!$B8&amp;Weekly_TVPlantPmod!$B$3&amp;$B$2&amp;$B$1&amp;$C$1)</f>
        <v>0</v>
      </c>
      <c r="BE8" s="2">
        <f>COUNTIF(defects!$Z:$Z,Weekly_TVPlantPmod!BE$3&amp;Weekly_TVPlantPmod!$B8&amp;Weekly_TVPlantPmod!$B$3&amp;$B$2&amp;$B$1&amp;$C$1)</f>
        <v>0</v>
      </c>
      <c r="BF8" s="2">
        <f>COUNTIF(defects!$Z:$Z,Weekly_TVPlantPmod!BF$3&amp;Weekly_TVPlantPmod!$B8&amp;Weekly_TVPlantPmod!$B$3&amp;$B$2&amp;$B$1&amp;$C$1)</f>
        <v>0</v>
      </c>
      <c r="BG8" s="2">
        <f>COUNTIF(defects!$Z:$Z,Weekly_TVPlantPmod!BG$3&amp;Weekly_TVPlantPmod!$B8&amp;Weekly_TVPlantPmod!$B$3&amp;$B$2&amp;$B$1&amp;$C$1)</f>
        <v>0</v>
      </c>
      <c r="BH8" s="2">
        <f>COUNTIF(defects!$Z:$Z,Weekly_TVPlantPmod!BH$3&amp;Weekly_TVPlantPmod!$B8&amp;Weekly_TVPlantPmod!$B$3&amp;$B$2&amp;$B$1&amp;$C$1)</f>
        <v>0</v>
      </c>
      <c r="BI8" s="2">
        <f>COUNTIF(defects!$Z:$Z,Weekly_TVPlantPmod!BI$3&amp;Weekly_TVPlantPmod!$B8&amp;Weekly_TVPlantPmod!$B$3&amp;$B$2&amp;$B$1&amp;$C$1)</f>
        <v>0</v>
      </c>
      <c r="BJ8" s="2">
        <f>COUNTIF(defects!$Z:$Z,Weekly_TVPlantPmod!BJ$3&amp;Weekly_TVPlantPmod!$B8&amp;Weekly_TVPlantPmod!$B$3&amp;$B$2&amp;$B$1&amp;$C$1)</f>
        <v>0</v>
      </c>
      <c r="BK8" s="2">
        <f>COUNTIF(defects!$Z:$Z,Weekly_TVPlantPmod!BK$3&amp;Weekly_TVPlantPmod!$B8&amp;Weekly_TVPlantPmod!$B$3&amp;$B$2&amp;$B$1&amp;$C$1)</f>
        <v>0</v>
      </c>
      <c r="BL8" s="2">
        <f>COUNTIF(defects!$Z:$Z,Weekly_TVPlantPmod!BL$3&amp;Weekly_TVPlantPmod!$B8&amp;Weekly_TVPlantPmod!$B$3&amp;$B$2&amp;$B$1&amp;$C$1)</f>
        <v>0</v>
      </c>
      <c r="BM8" s="2">
        <f>COUNTIF(defects!$Z:$Z,Weekly_TVPlantPmod!BM$3&amp;Weekly_TVPlantPmod!$B8&amp;Weekly_TVPlantPmod!$B$3&amp;$B$2&amp;$B$1&amp;$C$1)</f>
        <v>0</v>
      </c>
      <c r="BN8" s="2">
        <f>COUNTIF(defects!$Z:$Z,Weekly_TVPlantPmod!BN$3&amp;Weekly_TVPlantPmod!$B8&amp;Weekly_TVPlantPmod!$B$3&amp;$B$2&amp;$B$1&amp;$C$1)</f>
        <v>0</v>
      </c>
      <c r="BO8" s="2">
        <f>COUNTIF(defects!$Z:$Z,Weekly_TVPlantPmod!BO$3&amp;Weekly_TVPlantPmod!$B8&amp;Weekly_TVPlantPmod!$B$3&amp;$B$2&amp;$B$1&amp;$C$1)</f>
        <v>0</v>
      </c>
      <c r="BP8" s="2">
        <f>COUNTIF(defects!$Z:$Z,Weekly_TVPlantPmod!BP$3&amp;Weekly_TVPlantPmod!$B8&amp;Weekly_TVPlantPmod!$B$3&amp;$B$2&amp;$B$1&amp;$C$1)</f>
        <v>0</v>
      </c>
      <c r="BQ8" s="2">
        <f>COUNTIF(defects!$Z:$Z,Weekly_TVPlantPmod!BQ$3&amp;Weekly_TVPlantPmod!$B8&amp;Weekly_TVPlantPmod!$B$3&amp;$B$2&amp;$B$1&amp;$C$1)</f>
        <v>0</v>
      </c>
      <c r="BR8" s="2">
        <f>COUNTIF(defects!$Z:$Z,Weekly_TVPlantPmod!BR$3&amp;Weekly_TVPlantPmod!$B8&amp;Weekly_TVPlantPmod!$B$3&amp;$B$2&amp;$B$1&amp;$C$1)</f>
        <v>0</v>
      </c>
      <c r="BS8" s="2">
        <f>COUNTIF(defects!$Z:$Z,Weekly_TVPlantPmod!BS$3&amp;Weekly_TVPlantPmod!$B8&amp;Weekly_TVPlantPmod!$B$3&amp;$B$2&amp;$B$1&amp;$C$1)</f>
        <v>0</v>
      </c>
      <c r="BT8" s="2">
        <f>COUNTIF(defects!$Z:$Z,Weekly_TVPlantPmod!BT$3&amp;Weekly_TVPlantPmod!$B8&amp;Weekly_TVPlantPmod!$B$3&amp;$B$2&amp;$B$1&amp;$C$1)</f>
        <v>0</v>
      </c>
      <c r="BU8" s="2">
        <f>COUNTIF(defects!$Z:$Z,Weekly_TVPlantPmod!BU$3&amp;Weekly_TVPlantPmod!$B8&amp;Weekly_TVPlantPmod!$B$3&amp;$B$2&amp;$B$1&amp;$C$1)</f>
        <v>1</v>
      </c>
      <c r="BV8" s="2">
        <f>COUNTIF(defects!$Z:$Z,Weekly_TVPlantPmod!BV$3&amp;Weekly_TVPlantPmod!$B8&amp;Weekly_TVPlantPmod!$B$3&amp;$B$2&amp;$B$1&amp;$C$1)</f>
        <v>0</v>
      </c>
      <c r="BW8" s="2">
        <f>COUNTIF(defects!$Z:$Z,Weekly_TVPlantPmod!BW$3&amp;Weekly_TVPlantPmod!$B8&amp;Weekly_TVPlantPmod!$B$3&amp;$B$2&amp;$B$1&amp;$C$1)</f>
        <v>0</v>
      </c>
      <c r="BX8" s="2">
        <f>COUNTIF(defects!$Z:$Z,Weekly_TVPlantPmod!BX$3&amp;Weekly_TVPlantPmod!$B8&amp;Weekly_TVPlantPmod!$B$3&amp;$B$2&amp;$B$1&amp;$C$1)</f>
        <v>0</v>
      </c>
      <c r="BY8" s="2">
        <f>COUNTIF(defects!$Z:$Z,Weekly_TVPlantPmod!BY$3&amp;Weekly_TVPlantPmod!$B8&amp;Weekly_TVPlantPmod!$B$3&amp;$B$2&amp;$B$1&amp;$C$1)</f>
        <v>0</v>
      </c>
      <c r="BZ8" s="2">
        <f>COUNTIF(defects!$Z:$Z,Weekly_TVPlantPmod!BZ$3&amp;Weekly_TVPlantPmod!$B8&amp;Weekly_TVPlantPmod!$B$3&amp;$B$2&amp;$B$1&amp;$C$1)</f>
        <v>0</v>
      </c>
      <c r="CA8" s="2">
        <f>COUNTIF(defects!$Z:$Z,Weekly_TVPlantPmod!CA$3&amp;Weekly_TVPlantPmod!$B8&amp;Weekly_TVPlantPmod!$B$3&amp;$B$2&amp;$B$1&amp;$C$1)</f>
        <v>0</v>
      </c>
      <c r="CB8" s="2">
        <f>COUNTIF(defects!$Z:$Z,Weekly_TVPlantPmod!CB$3&amp;Weekly_TVPlantPmod!$B8&amp;Weekly_TVPlantPmod!$B$3&amp;$B$2&amp;$B$1&amp;$C$1)</f>
        <v>0</v>
      </c>
      <c r="CC8" s="2">
        <f>COUNTIF(defects!$Z:$Z,Weekly_TVPlantPmod!CC$3&amp;Weekly_TVPlantPmod!$B8&amp;Weekly_TVPlantPmod!$B$3&amp;$B$2&amp;$B$1&amp;$C$1)</f>
        <v>0</v>
      </c>
      <c r="CD8" s="2">
        <f>COUNTIF(defects!$Z:$Z,Weekly_TVPlantPmod!CD$3&amp;Weekly_TVPlantPmod!$B8&amp;Weekly_TVPlantPmod!$B$3&amp;$B$2&amp;$B$1&amp;$C$1)</f>
        <v>0</v>
      </c>
      <c r="CE8" s="2">
        <f>COUNTIF(defects!$Z:$Z,Weekly_TVPlantPmod!CE$3&amp;Weekly_TVPlantPmod!$B8&amp;Weekly_TVPlantPmod!$B$3&amp;$B$2&amp;$B$1&amp;$C$1)</f>
        <v>0</v>
      </c>
      <c r="CF8" s="2">
        <f>COUNTIF(defects!$Z:$Z,Weekly_TVPlantPmod!CF$3&amp;Weekly_TVPlantPmod!$B8&amp;Weekly_TVPlantPmod!$B$3&amp;$B$2&amp;$B$1&amp;$C$1)</f>
        <v>0</v>
      </c>
      <c r="CG8" s="2">
        <f>COUNTIF(defects!$Z:$Z,Weekly_TVPlantPmod!CG$3&amp;Weekly_TVPlantPmod!$B8&amp;Weekly_TVPlantPmod!$B$3&amp;$B$2&amp;$B$1&amp;$C$1)</f>
        <v>0</v>
      </c>
      <c r="CH8" s="2">
        <f>COUNTIF(defects!$Z:$Z,Weekly_TVPlantPmod!CH$3&amp;Weekly_TVPlantPmod!$B8&amp;Weekly_TVPlantPmod!$B$3&amp;$B$2&amp;$B$1&amp;$C$1)</f>
        <v>0</v>
      </c>
      <c r="CI8" s="2">
        <f>COUNTIF(defects!$Z:$Z,Weekly_TVPlantPmod!CI$3&amp;Weekly_TVPlantPmod!$B8&amp;Weekly_TVPlantPmod!$B$3&amp;$B$2&amp;$B$1&amp;$C$1)</f>
        <v>0</v>
      </c>
      <c r="CJ8" s="2">
        <f>COUNTIF(defects!$Z:$Z,Weekly_TVPlantPmod!CJ$3&amp;Weekly_TVPlantPmod!$B8&amp;Weekly_TVPlantPmod!$B$3&amp;$B$2&amp;$B$1&amp;$C$1)</f>
        <v>0</v>
      </c>
      <c r="CK8" s="2">
        <f>COUNTIF(defects!$Z:$Z,Weekly_TVPlantPmod!CK$3&amp;Weekly_TVPlantPmod!$B8&amp;Weekly_TVPlantPmod!$B$3&amp;$B$2&amp;$B$1&amp;$C$1)</f>
        <v>0</v>
      </c>
      <c r="CL8" s="2">
        <f>COUNTIF(defects!$Z:$Z,Weekly_TVPlantPmod!CL$3&amp;Weekly_TVPlantPmod!$B8&amp;Weekly_TVPlantPmod!$B$3&amp;$B$2&amp;$B$1&amp;$C$1)</f>
        <v>0</v>
      </c>
      <c r="CM8" s="2">
        <f>COUNTIF(defects!$Z:$Z,Weekly_TVPlantPmod!CM$3&amp;Weekly_TVPlantPmod!$B8&amp;Weekly_TVPlantPmod!$B$3&amp;$B$2&amp;$B$1&amp;$C$1)</f>
        <v>0</v>
      </c>
      <c r="CN8" s="2">
        <f>COUNTIF(defects!$Z:$Z,Weekly_TVPlantPmod!CN$3&amp;Weekly_TVPlantPmod!$B8&amp;Weekly_TVPlantPmod!$B$3&amp;$B$2&amp;$B$1&amp;$C$1)</f>
        <v>0</v>
      </c>
      <c r="CO8" s="2">
        <f>COUNTIF(defects!$Z:$Z,Weekly_TVPlantPmod!CO$3&amp;Weekly_TVPlantPmod!$B8&amp;Weekly_TVPlantPmod!$B$3&amp;$B$2&amp;$B$1&amp;$C$1)</f>
        <v>0</v>
      </c>
      <c r="CP8" s="2">
        <f>COUNTIF(defects!$Z:$Z,Weekly_TVPlantPmod!CP$3&amp;Weekly_TVPlantPmod!$B8&amp;Weekly_TVPlantPmod!$B$3&amp;$B$2&amp;$B$1&amp;$C$1)</f>
        <v>0</v>
      </c>
      <c r="CQ8" s="2">
        <f>COUNTIF(defects!$Z:$Z,Weekly_TVPlantPmod!CQ$3&amp;Weekly_TVPlantPmod!$B8&amp;Weekly_TVPlantPmod!$B$3&amp;$B$2&amp;$B$1&amp;$C$1)</f>
        <v>0</v>
      </c>
      <c r="CR8" s="2">
        <f>COUNTIF(defects!$Z:$Z,Weekly_TVPlantPmod!CR$3&amp;Weekly_TVPlantPmod!$B8&amp;Weekly_TVPlantPmod!$B$3&amp;$B$2&amp;$B$1&amp;$C$1)</f>
        <v>0</v>
      </c>
      <c r="CS8" s="2">
        <f>COUNTIF(defects!$Z:$Z,Weekly_TVPlantPmod!CS$3&amp;Weekly_TVPlantPmod!$B8&amp;Weekly_TVPlantPmod!$B$3&amp;$B$2&amp;$B$1&amp;$C$1)</f>
        <v>0</v>
      </c>
      <c r="CT8" s="2">
        <f>COUNTIF(defects!$Z:$Z,Weekly_TVPlantPmod!CT$3&amp;Weekly_TVPlantPmod!$B8&amp;Weekly_TVPlantPmod!$B$3&amp;$B$2&amp;$B$1&amp;$C$1)</f>
        <v>0</v>
      </c>
      <c r="CU8" s="2">
        <f>COUNTIF(defects!$Z:$Z,Weekly_TVPlantPmod!CU$3&amp;Weekly_TVPlantPmod!$B8&amp;Weekly_TVPlantPmod!$B$3&amp;$B$2&amp;$B$1&amp;$C$1)</f>
        <v>0</v>
      </c>
      <c r="CV8" s="2">
        <f>COUNTIF(defects!$Z:$Z,Weekly_TVPlantPmod!CV$3&amp;Weekly_TVPlantPmod!$B8&amp;Weekly_TVPlantPmod!$B$3&amp;$B$2&amp;$B$1&amp;$C$1)</f>
        <v>0</v>
      </c>
      <c r="CW8" s="2">
        <f>COUNTIF(defects!$Z:$Z,Weekly_TVPlantPmod!CW$3&amp;Weekly_TVPlantPmod!$B8&amp;Weekly_TVPlantPmod!$B$3&amp;$B$2&amp;$B$1&amp;$C$1)</f>
        <v>0</v>
      </c>
      <c r="CX8" s="2">
        <f>COUNTIF(defects!$Z:$Z,Weekly_TVPlantPmod!CX$3&amp;Weekly_TVPlantPmod!$B8&amp;Weekly_TVPlantPmod!$B$3&amp;$B$2&amp;$B$1&amp;$C$1)</f>
        <v>0</v>
      </c>
      <c r="CY8" s="2">
        <f>COUNTIF(defects!$Z:$Z,Weekly_TVPlantPmod!CY$3&amp;Weekly_TVPlantPmod!$B8&amp;Weekly_TVPlantPmod!$B$3&amp;$B$2&amp;$B$1&amp;$C$1)</f>
        <v>0</v>
      </c>
      <c r="CZ8" s="2">
        <f>COUNTIF(defects!$Z:$Z,Weekly_TVPlantPmod!CZ$3&amp;Weekly_TVPlantPmod!$B8&amp;Weekly_TVPlantPmod!$B$3&amp;$B$2&amp;$B$1&amp;$C$1)</f>
        <v>0</v>
      </c>
      <c r="DA8" s="2">
        <f>COUNTIF(defects!$Z:$Z,Weekly_TVPlantPmod!DA$3&amp;Weekly_TVPlantPmod!$B8&amp;Weekly_TVPlantPmod!$B$3&amp;$B$2&amp;$B$1&amp;$C$1)</f>
        <v>0</v>
      </c>
      <c r="DB8" s="2">
        <f>COUNTIF(defects!$Z:$Z,Weekly_TVPlantPmod!DB$3&amp;Weekly_TVPlantPmod!$B8&amp;Weekly_TVPlantPmod!$B$3&amp;$B$2&amp;$B$1&amp;$C$1)</f>
        <v>0</v>
      </c>
      <c r="DC8" s="2">
        <f>COUNTIF(defects!$Z:$Z,Weekly_TVPlantPmod!DC$3&amp;Weekly_TVPlantPmod!$B8&amp;Weekly_TVPlantPmod!$B$3&amp;$B$2&amp;$B$1&amp;$C$1)</f>
        <v>0</v>
      </c>
      <c r="DD8" s="2">
        <f>COUNTIF(defects!$Z:$Z,Weekly_TVPlantPmod!DD$3&amp;Weekly_TVPlantPmod!$B8&amp;Weekly_TVPlantPmod!$B$3&amp;$B$2&amp;$B$1&amp;$C$1)</f>
        <v>0</v>
      </c>
      <c r="DE8" s="2">
        <f>COUNTIF(defects!$Z:$Z,Weekly_TVPlantPmod!DE$3&amp;Weekly_TVPlantPmod!$B8&amp;Weekly_TVPlantPmod!$B$3&amp;$B$2&amp;$B$1&amp;$C$1)</f>
        <v>0</v>
      </c>
      <c r="DF8" s="2">
        <f>COUNTIF(defects!$Z:$Z,Weekly_TVPlantPmod!DF$3&amp;Weekly_TVPlantPmod!$B8&amp;Weekly_TVPlantPmod!$B$3&amp;$B$2&amp;$B$1&amp;$C$1)</f>
        <v>0</v>
      </c>
      <c r="DG8" s="2">
        <f>COUNTIF(defects!$Z:$Z,Weekly_TVPlantPmod!DG$3&amp;Weekly_TVPlantPmod!$B8&amp;Weekly_TVPlantPmod!$B$3&amp;$B$2&amp;$B$1&amp;$C$1)</f>
        <v>0</v>
      </c>
      <c r="DH8" s="2">
        <f>COUNTIF(defects!$Z:$Z,Weekly_TVPlantPmod!DH$3&amp;Weekly_TVPlantPmod!$B8&amp;Weekly_TVPlantPmod!$B$3&amp;$B$2&amp;$B$1&amp;$C$1)</f>
        <v>0</v>
      </c>
      <c r="DI8" s="2">
        <f>COUNTIF(defects!$Z:$Z,Weekly_TVPlantPmod!DI$3&amp;Weekly_TVPlantPmod!$B8&amp;Weekly_TVPlantPmod!$B$3&amp;$B$2&amp;$B$1&amp;$C$1)</f>
        <v>0</v>
      </c>
      <c r="DJ8" s="2">
        <f>COUNTIF(defects!$Z:$Z,Weekly_TVPlantPmod!DJ$3&amp;Weekly_TVPlantPmod!$B8&amp;Weekly_TVPlantPmod!$B$3&amp;$B$2&amp;$B$1&amp;$C$1)</f>
        <v>0</v>
      </c>
      <c r="DK8" s="2">
        <f>COUNTIF(defects!$Z:$Z,Weekly_TVPlantPmod!DK$3&amp;Weekly_TVPlantPmod!$B8&amp;Weekly_TVPlantPmod!$B$3&amp;$B$2&amp;$B$1&amp;$C$1)</f>
        <v>0</v>
      </c>
      <c r="DL8" s="2">
        <f>COUNTIF(defects!$Z:$Z,Weekly_TVPlantPmod!DL$3&amp;Weekly_TVPlantPmod!$B8&amp;Weekly_TVPlantPmod!$B$3&amp;$B$2&amp;$B$1&amp;$C$1)</f>
        <v>0</v>
      </c>
      <c r="DM8" s="2">
        <f>COUNTIF(defects!$Z:$Z,Weekly_TVPlantPmod!DM$3&amp;Weekly_TVPlantPmod!$B8&amp;Weekly_TVPlantPmod!$B$3&amp;$B$2&amp;$B$1&amp;$C$1)</f>
        <v>0</v>
      </c>
      <c r="DN8" s="2">
        <f>COUNTIF(defects!$Z:$Z,Weekly_TVPlantPmod!DN$3&amp;Weekly_TVPlantPmod!$B8&amp;Weekly_TVPlantPmod!$B$3&amp;$B$2&amp;$B$1&amp;$C$1)</f>
        <v>0</v>
      </c>
      <c r="DO8" s="2">
        <f>COUNTIF(defects!$Z:$Z,Weekly_TVPlantPmod!DO$3&amp;Weekly_TVPlantPmod!$B8&amp;Weekly_TVPlantPmod!$B$3&amp;$B$2&amp;$B$1&amp;$C$1)</f>
        <v>0</v>
      </c>
      <c r="DP8" s="2">
        <f>COUNTIF(defects!$Z:$Z,Weekly_TVPlantPmod!DP$3&amp;Weekly_TVPlantPmod!$B8&amp;Weekly_TVPlantPmod!$B$3&amp;$B$2&amp;$B$1&amp;$C$1)</f>
        <v>0</v>
      </c>
      <c r="DQ8" s="2">
        <f>COUNTIF(defects!$Z:$Z,Weekly_TVPlantPmod!DQ$3&amp;Weekly_TVPlantPmod!$B8&amp;Weekly_TVPlantPmod!$B$3&amp;$B$2&amp;$B$1&amp;$C$1)</f>
        <v>0</v>
      </c>
      <c r="DR8" s="2">
        <f>COUNTIF(defects!$Z:$Z,Weekly_TVPlantPmod!DR$3&amp;Weekly_TVPlantPmod!$B8&amp;Weekly_TVPlantPmod!$B$3&amp;$B$2&amp;$B$1&amp;$C$1)</f>
        <v>0</v>
      </c>
      <c r="DS8" s="2">
        <f>COUNTIF(defects!$Z:$Z,Weekly_TVPlantPmod!DS$3&amp;Weekly_TVPlantPmod!$B8&amp;Weekly_TVPlantPmod!$B$3&amp;$B$2&amp;$B$1&amp;$C$1)</f>
        <v>0</v>
      </c>
      <c r="DT8" s="2">
        <f>COUNTIF(defects!$Z:$Z,Weekly_TVPlantPmod!DT$3&amp;Weekly_TVPlantPmod!$B8&amp;Weekly_TVPlantPmod!$B$3&amp;$B$2&amp;$B$1&amp;$C$1)</f>
        <v>0</v>
      </c>
      <c r="DU8" s="2">
        <f>COUNTIF(defects!$Z:$Z,Weekly_TVPlantPmod!DU$3&amp;Weekly_TVPlantPmod!$B8&amp;Weekly_TVPlantPmod!$B$3&amp;$B$2&amp;$B$1&amp;$C$1)</f>
        <v>0</v>
      </c>
      <c r="DV8" s="2">
        <f>COUNTIF(defects!$Z:$Z,Weekly_TVPlantPmod!DV$3&amp;Weekly_TVPlantPmod!$B8&amp;Weekly_TVPlantPmod!$B$3&amp;$B$2&amp;$B$1&amp;$C$1)</f>
        <v>0</v>
      </c>
      <c r="DW8" s="2">
        <f>COUNTIF(defects!$Z:$Z,Weekly_TVPlantPmod!DW$3&amp;Weekly_TVPlantPmod!$B8&amp;Weekly_TVPlantPmod!$B$3&amp;$B$2&amp;$B$1&amp;$C$1)</f>
        <v>0</v>
      </c>
      <c r="DX8" s="2">
        <f>COUNTIF(defects!$Z:$Z,Weekly_TVPlantPmod!DX$3&amp;Weekly_TVPlantPmod!$B8&amp;Weekly_TVPlantPmod!$B$3&amp;$B$2&amp;$B$1&amp;$C$1)</f>
        <v>0</v>
      </c>
      <c r="DY8" s="2">
        <f>COUNTIF(defects!$Z:$Z,Weekly_TVPlantPmod!DY$3&amp;Weekly_TVPlantPmod!$B8&amp;Weekly_TVPlantPmod!$B$3&amp;$B$2&amp;$B$1&amp;$C$1)</f>
        <v>0</v>
      </c>
      <c r="DZ8" s="2">
        <f>COUNTIF(defects!$Z:$Z,Weekly_TVPlantPmod!DZ$3&amp;Weekly_TVPlantPmod!$B8&amp;Weekly_TVPlantPmod!$B$3&amp;$B$2&amp;$B$1&amp;$C$1)</f>
        <v>0</v>
      </c>
      <c r="EA8" s="2">
        <f>COUNTIF(defects!$Z:$Z,Weekly_TVPlantPmod!EA$3&amp;Weekly_TVPlantPmod!$B8&amp;Weekly_TVPlantPmod!$B$3&amp;$B$2&amp;$B$1&amp;$C$1)</f>
        <v>0</v>
      </c>
      <c r="EB8" s="2">
        <f>COUNTIF(defects!$Z:$Z,Weekly_TVPlantPmod!EB$3&amp;Weekly_TVPlantPmod!$B8&amp;Weekly_TVPlantPmod!$B$3&amp;$B$2&amp;$B$1&amp;$C$1)</f>
        <v>0</v>
      </c>
      <c r="EC8" s="2">
        <f>COUNTIF(defects!$Z:$Z,Weekly_TVPlantPmod!EC$3&amp;Weekly_TVPlantPmod!$B8&amp;Weekly_TVPlantPmod!$B$3&amp;$B$2&amp;$B$1&amp;$C$1)</f>
        <v>0</v>
      </c>
      <c r="ED8" s="2">
        <f>COUNTIF(defects!$Z:$Z,Weekly_TVPlantPmod!ED$3&amp;Weekly_TVPlantPmod!$B8&amp;Weekly_TVPlantPmod!$B$3&amp;$B$2&amp;$B$1&amp;$C$1)</f>
        <v>0</v>
      </c>
      <c r="EE8" s="2">
        <f>COUNTIF(defects!$Z:$Z,Weekly_TVPlantPmod!EE$3&amp;Weekly_TVPlantPmod!$B8&amp;Weekly_TVPlantPmod!$B$3&amp;$B$2&amp;$B$1&amp;$C$1)</f>
        <v>0</v>
      </c>
      <c r="EF8" s="2">
        <f>COUNTIF(defects!$Z:$Z,Weekly_TVPlantPmod!EF$3&amp;Weekly_TVPlantPmod!$B8&amp;Weekly_TVPlantPmod!$B$3&amp;$B$2&amp;$B$1&amp;$C$1)</f>
        <v>0</v>
      </c>
      <c r="EG8" s="2">
        <f>COUNTIF(defects!$Z:$Z,Weekly_TVPlantPmod!EG$3&amp;Weekly_TVPlantPmod!$B8&amp;Weekly_TVPlantPmod!$B$3&amp;$B$2&amp;$B$1&amp;$C$1)</f>
        <v>0</v>
      </c>
      <c r="EH8" s="2">
        <f>COUNTIF(defects!$Z:$Z,Weekly_TVPlantPmod!EH$3&amp;Weekly_TVPlantPmod!$B8&amp;Weekly_TVPlantPmod!$B$3&amp;$B$2&amp;$B$1&amp;$C$1)</f>
        <v>0</v>
      </c>
      <c r="EI8" s="2">
        <f>COUNTIF(defects!$Z:$Z,Weekly_TVPlantPmod!EI$3&amp;Weekly_TVPlantPmod!$B8&amp;Weekly_TVPlantPmod!$B$3&amp;$B$2&amp;$B$1&amp;$C$1)</f>
        <v>0</v>
      </c>
      <c r="EJ8" s="2">
        <f>COUNTIF(defects!$Z:$Z,Weekly_TVPlantPmod!EJ$3&amp;Weekly_TVPlantPmod!$B8&amp;Weekly_TVPlantPmod!$B$3&amp;$B$2&amp;$B$1&amp;$C$1)</f>
        <v>0</v>
      </c>
      <c r="EK8" s="2">
        <f>COUNTIF(defects!$Z:$Z,Weekly_TVPlantPmod!EK$3&amp;Weekly_TVPlantPmod!$B8&amp;Weekly_TVPlantPmod!$B$3&amp;$B$2&amp;$B$1&amp;$C$1)</f>
        <v>0</v>
      </c>
      <c r="EL8" s="2">
        <f>COUNTIF(defects!$Z:$Z,Weekly_TVPlantPmod!EL$3&amp;Weekly_TVPlantPmod!$B8&amp;Weekly_TVPlantPmod!$B$3&amp;$B$2&amp;$B$1&amp;$C$1)</f>
        <v>0</v>
      </c>
      <c r="EM8" s="2">
        <f>COUNTIF(defects!$Z:$Z,Weekly_TVPlantPmod!EM$3&amp;Weekly_TVPlantPmod!$B8&amp;Weekly_TVPlantPmod!$B$3&amp;$B$2&amp;$B$1&amp;$C$1)</f>
        <v>0</v>
      </c>
      <c r="EN8" s="2">
        <f>COUNTIF(defects!$Z:$Z,Weekly_TVPlantPmod!EN$3&amp;Weekly_TVPlantPmod!$B8&amp;Weekly_TVPlantPmod!$B$3&amp;$B$2&amp;$B$1&amp;$C$1)</f>
        <v>0</v>
      </c>
      <c r="EO8" s="2">
        <f>COUNTIF(defects!$Z:$Z,Weekly_TVPlantPmod!EO$3&amp;Weekly_TVPlantPmod!$B8&amp;Weekly_TVPlantPmod!$B$3&amp;$B$2&amp;$B$1&amp;$C$1)</f>
        <v>0</v>
      </c>
      <c r="EP8" s="2">
        <f>COUNTIF(defects!$Z:$Z,Weekly_TVPlantPmod!EP$3&amp;Weekly_TVPlantPmod!$B8&amp;Weekly_TVPlantPmod!$B$3&amp;$B$2&amp;$B$1&amp;$C$1)</f>
        <v>0</v>
      </c>
      <c r="EQ8" s="2">
        <f>COUNTIF(defects!$Z:$Z,Weekly_TVPlantPmod!EQ$3&amp;Weekly_TVPlantPmod!$B8&amp;Weekly_TVPlantPmod!$B$3&amp;$B$2&amp;$B$1&amp;$C$1)</f>
        <v>0</v>
      </c>
      <c r="ER8" s="2">
        <f>COUNTIF(defects!$Z:$Z,Weekly_TVPlantPmod!ER$3&amp;Weekly_TVPlantPmod!$B8&amp;Weekly_TVPlantPmod!$B$3&amp;$B$2&amp;$B$1&amp;$C$1)</f>
        <v>0</v>
      </c>
      <c r="ES8" s="2">
        <f>COUNTIF(defects!$Z:$Z,Weekly_TVPlantPmod!ES$3&amp;Weekly_TVPlantPmod!$B8&amp;Weekly_TVPlantPmod!$B$3&amp;$B$2&amp;$B$1&amp;$C$1)</f>
        <v>0</v>
      </c>
      <c r="ET8" s="2">
        <f>COUNTIF(defects!$Z:$Z,Weekly_TVPlantPmod!ET$3&amp;Weekly_TVPlantPmod!$B8&amp;Weekly_TVPlantPmod!$B$3&amp;$B$2&amp;$B$1&amp;$C$1)</f>
        <v>0</v>
      </c>
      <c r="EU8" s="2">
        <f>COUNTIF(defects!$Z:$Z,Weekly_TVPlantPmod!EU$3&amp;Weekly_TVPlantPmod!$B8&amp;Weekly_TVPlantPmod!$B$3&amp;$B$2&amp;$B$1&amp;$C$1)</f>
        <v>0</v>
      </c>
      <c r="EV8" s="2">
        <f>COUNTIF(defects!$Z:$Z,Weekly_TVPlantPmod!EV$3&amp;Weekly_TVPlantPmod!$B8&amp;Weekly_TVPlantPmod!$B$3&amp;$B$2&amp;$B$1&amp;$C$1)</f>
        <v>0</v>
      </c>
      <c r="EW8" s="2">
        <f>COUNTIF(defects!$Z:$Z,Weekly_TVPlantPmod!EW$3&amp;Weekly_TVPlantPmod!$B8&amp;Weekly_TVPlantPmod!$B$3&amp;$B$2&amp;$B$1&amp;$C$1)</f>
        <v>0</v>
      </c>
      <c r="EX8" s="2">
        <f>COUNTIF(defects!$Z:$Z,Weekly_TVPlantPmod!EX$3&amp;Weekly_TVPlantPmod!$B8&amp;Weekly_TVPlantPmod!$B$3&amp;$B$2&amp;$B$1&amp;$C$1)</f>
        <v>0</v>
      </c>
      <c r="EY8" s="2">
        <f>COUNTIF(defects!$Z:$Z,Weekly_TVPlantPmod!EY$3&amp;Weekly_TVPlantPmod!$B8&amp;Weekly_TVPlantPmod!$B$3&amp;$B$2&amp;$B$1&amp;$C$1)</f>
        <v>0</v>
      </c>
      <c r="EZ8" s="2">
        <f>COUNTIF(defects!$Z:$Z,Weekly_TVPlantPmod!EZ$3&amp;Weekly_TVPlantPmod!$B8&amp;Weekly_TVPlantPmod!$B$3&amp;$B$2&amp;$B$1&amp;$C$1)</f>
        <v>0</v>
      </c>
      <c r="FA8" s="2">
        <f>COUNTIF(defects!$Z:$Z,Weekly_TVPlantPmod!FA$3&amp;Weekly_TVPlantPmod!$B8&amp;Weekly_TVPlantPmod!$B$3&amp;$B$2&amp;$B$1&amp;$C$1)</f>
        <v>0</v>
      </c>
      <c r="FB8" s="2">
        <f>COUNTIF(defects!$Z:$Z,Weekly_TVPlantPmod!FB$3&amp;Weekly_TVPlantPmod!$B8&amp;Weekly_TVPlantPmod!$B$3&amp;$B$2&amp;$B$1&amp;$C$1)</f>
        <v>0</v>
      </c>
      <c r="FC8" s="2">
        <f>COUNTIF(defects!$Z:$Z,Weekly_TVPlantPmod!FC$3&amp;Weekly_TVPlantPmod!$B8&amp;Weekly_TVPlantPmod!$B$3&amp;$B$2&amp;$B$1&amp;$C$1)</f>
        <v>0</v>
      </c>
      <c r="FD8" s="2">
        <f>COUNTIF(defects!$Z:$Z,Weekly_TVPlantPmod!FD$3&amp;Weekly_TVPlantPmod!$B8&amp;Weekly_TVPlantPmod!$B$3&amp;$B$2&amp;$B$1&amp;$C$1)</f>
        <v>0</v>
      </c>
      <c r="FE8" s="2">
        <f>COUNTIF(defects!$Z:$Z,Weekly_TVPlantPmod!FE$3&amp;Weekly_TVPlantPmod!$B8&amp;Weekly_TVPlantPmod!$B$3&amp;$B$2&amp;$B$1&amp;$C$1)</f>
        <v>0</v>
      </c>
    </row>
    <row r="9" spans="2:161">
      <c r="B9" s="2" t="s">
        <v>953</v>
      </c>
      <c r="C9" s="2">
        <f>COUNTIF(defects!$Z:$Z,Weekly_TVPlantPmod!C$3&amp;Weekly_TVPlantPmod!$B9&amp;Weekly_TVPlantPmod!$B$3&amp;$B$2&amp;$B$1&amp;$C$1)</f>
        <v>0</v>
      </c>
      <c r="D9" s="2">
        <f>COUNTIF(defects!$Z:$Z,Weekly_TVPlantPmod!D$3&amp;Weekly_TVPlantPmod!$B9&amp;Weekly_TVPlantPmod!$B$3&amp;$B$2&amp;$B$1&amp;$C$1)</f>
        <v>0</v>
      </c>
      <c r="E9" s="2">
        <f>COUNTIF(defects!$Z:$Z,Weekly_TVPlantPmod!E$3&amp;Weekly_TVPlantPmod!$B9&amp;Weekly_TVPlantPmod!$B$3&amp;$B$2&amp;$B$1&amp;$C$1)</f>
        <v>0</v>
      </c>
      <c r="F9" s="2">
        <f>COUNTIF(defects!$Z:$Z,Weekly_TVPlantPmod!F$3&amp;Weekly_TVPlantPmod!$B9&amp;Weekly_TVPlantPmod!$B$3&amp;$B$2&amp;$B$1&amp;$C$1)</f>
        <v>0</v>
      </c>
      <c r="G9" s="2">
        <f>COUNTIF(defects!$Z:$Z,Weekly_TVPlantPmod!G$3&amp;Weekly_TVPlantPmod!$B9&amp;Weekly_TVPlantPmod!$B$3&amp;$B$2&amp;$B$1&amp;$C$1)</f>
        <v>0</v>
      </c>
      <c r="H9" s="2">
        <f>COUNTIF(defects!$Z:$Z,Weekly_TVPlantPmod!H$3&amp;Weekly_TVPlantPmod!$B9&amp;Weekly_TVPlantPmod!$B$3&amp;$B$2&amp;$B$1&amp;$C$1)</f>
        <v>0</v>
      </c>
      <c r="I9" s="2">
        <f>COUNTIF(defects!$Z:$Z,Weekly_TVPlantPmod!I$3&amp;Weekly_TVPlantPmod!$B9&amp;Weekly_TVPlantPmod!$B$3&amp;$B$2&amp;$B$1&amp;$C$1)</f>
        <v>0</v>
      </c>
      <c r="J9" s="2">
        <f>COUNTIF(defects!$Z:$Z,Weekly_TVPlantPmod!J$3&amp;Weekly_TVPlantPmod!$B9&amp;Weekly_TVPlantPmod!$B$3&amp;$B$2&amp;$B$1&amp;$C$1)</f>
        <v>0</v>
      </c>
      <c r="K9" s="2">
        <f>COUNTIF(defects!$Z:$Z,Weekly_TVPlantPmod!K$3&amp;Weekly_TVPlantPmod!$B9&amp;Weekly_TVPlantPmod!$B$3&amp;$B$2&amp;$B$1&amp;$C$1)</f>
        <v>0</v>
      </c>
      <c r="L9" s="2">
        <f>COUNTIF(defects!$Z:$Z,Weekly_TVPlantPmod!L$3&amp;Weekly_TVPlantPmod!$B9&amp;Weekly_TVPlantPmod!$B$3&amp;$B$2&amp;$B$1&amp;$C$1)</f>
        <v>0</v>
      </c>
      <c r="M9" s="2">
        <f>COUNTIF(defects!$Z:$Z,Weekly_TVPlantPmod!M$3&amp;Weekly_TVPlantPmod!$B9&amp;Weekly_TVPlantPmod!$B$3&amp;$B$2&amp;$B$1&amp;$C$1)</f>
        <v>0</v>
      </c>
      <c r="N9" s="2">
        <f>COUNTIF(defects!$Z:$Z,Weekly_TVPlantPmod!N$3&amp;Weekly_TVPlantPmod!$B9&amp;Weekly_TVPlantPmod!$B$3&amp;$B$2&amp;$B$1&amp;$C$1)</f>
        <v>0</v>
      </c>
      <c r="O9" s="2">
        <f>COUNTIF(defects!$Z:$Z,Weekly_TVPlantPmod!O$3&amp;Weekly_TVPlantPmod!$B9&amp;Weekly_TVPlantPmod!$B$3&amp;$B$2&amp;$B$1&amp;$C$1)</f>
        <v>0</v>
      </c>
      <c r="P9" s="2">
        <f>COUNTIF(defects!$Z:$Z,Weekly_TVPlantPmod!P$3&amp;Weekly_TVPlantPmod!$B9&amp;Weekly_TVPlantPmod!$B$3&amp;$B$2&amp;$B$1&amp;$C$1)</f>
        <v>0</v>
      </c>
      <c r="Q9" s="2">
        <f>COUNTIF(defects!$Z:$Z,Weekly_TVPlantPmod!Q$3&amp;Weekly_TVPlantPmod!$B9&amp;Weekly_TVPlantPmod!$B$3&amp;$B$2&amp;$B$1&amp;$C$1)</f>
        <v>0</v>
      </c>
      <c r="R9" s="2">
        <f>COUNTIF(defects!$Z:$Z,Weekly_TVPlantPmod!R$3&amp;Weekly_TVPlantPmod!$B9&amp;Weekly_TVPlantPmod!$B$3&amp;$B$2&amp;$B$1&amp;$C$1)</f>
        <v>0</v>
      </c>
      <c r="S9" s="2">
        <f>COUNTIF(defects!$Z:$Z,Weekly_TVPlantPmod!S$3&amp;Weekly_TVPlantPmod!$B9&amp;Weekly_TVPlantPmod!$B$3&amp;$B$2&amp;$B$1&amp;$C$1)</f>
        <v>0</v>
      </c>
      <c r="T9" s="2">
        <f>COUNTIF(defects!$Z:$Z,Weekly_TVPlantPmod!T$3&amp;Weekly_TVPlantPmod!$B9&amp;Weekly_TVPlantPmod!$B$3&amp;$B$2&amp;$B$1&amp;$C$1)</f>
        <v>0</v>
      </c>
      <c r="U9" s="2">
        <f>COUNTIF(defects!$Z:$Z,Weekly_TVPlantPmod!U$3&amp;Weekly_TVPlantPmod!$B9&amp;Weekly_TVPlantPmod!$B$3&amp;$B$2&amp;$B$1&amp;$C$1)</f>
        <v>0</v>
      </c>
      <c r="V9" s="2">
        <f>COUNTIF(defects!$Z:$Z,Weekly_TVPlantPmod!V$3&amp;Weekly_TVPlantPmod!$B9&amp;Weekly_TVPlantPmod!$B$3&amp;$B$2&amp;$B$1&amp;$C$1)</f>
        <v>0</v>
      </c>
      <c r="W9" s="2">
        <f>COUNTIF(defects!$Z:$Z,Weekly_TVPlantPmod!W$3&amp;Weekly_TVPlantPmod!$B9&amp;Weekly_TVPlantPmod!$B$3&amp;$B$2&amp;$B$1&amp;$C$1)</f>
        <v>0</v>
      </c>
      <c r="X9" s="2">
        <f>COUNTIF(defects!$Z:$Z,Weekly_TVPlantPmod!X$3&amp;Weekly_TVPlantPmod!$B9&amp;Weekly_TVPlantPmod!$B$3&amp;$B$2&amp;$B$1&amp;$C$1)</f>
        <v>0</v>
      </c>
      <c r="Y9" s="2">
        <f>COUNTIF(defects!$Z:$Z,Weekly_TVPlantPmod!Y$3&amp;Weekly_TVPlantPmod!$B9&amp;Weekly_TVPlantPmod!$B$3&amp;$B$2&amp;$B$1&amp;$C$1)</f>
        <v>0</v>
      </c>
      <c r="Z9" s="2">
        <f>COUNTIF(defects!$Z:$Z,Weekly_TVPlantPmod!Z$3&amp;Weekly_TVPlantPmod!$B9&amp;Weekly_TVPlantPmod!$B$3&amp;$B$2&amp;$B$1&amp;$C$1)</f>
        <v>0</v>
      </c>
      <c r="AA9" s="2">
        <f>COUNTIF(defects!$Z:$Z,Weekly_TVPlantPmod!AA$3&amp;Weekly_TVPlantPmod!$B9&amp;Weekly_TVPlantPmod!$B$3&amp;$B$2&amp;$B$1&amp;$C$1)</f>
        <v>0</v>
      </c>
      <c r="AB9" s="2">
        <f>COUNTIF(defects!$Z:$Z,Weekly_TVPlantPmod!AB$3&amp;Weekly_TVPlantPmod!$B9&amp;Weekly_TVPlantPmod!$B$3&amp;$B$2&amp;$B$1&amp;$C$1)</f>
        <v>0</v>
      </c>
      <c r="AC9" s="2">
        <f>COUNTIF(defects!$Z:$Z,Weekly_TVPlantPmod!AC$3&amp;Weekly_TVPlantPmod!$B9&amp;Weekly_TVPlantPmod!$B$3&amp;$B$2&amp;$B$1&amp;$C$1)</f>
        <v>0</v>
      </c>
      <c r="AD9" s="2">
        <f>COUNTIF(defects!$Z:$Z,Weekly_TVPlantPmod!AD$3&amp;Weekly_TVPlantPmod!$B9&amp;Weekly_TVPlantPmod!$B$3&amp;$B$2&amp;$B$1&amp;$C$1)</f>
        <v>0</v>
      </c>
      <c r="AE9" s="2">
        <f>COUNTIF(defects!$Z:$Z,Weekly_TVPlantPmod!AE$3&amp;Weekly_TVPlantPmod!$B9&amp;Weekly_TVPlantPmod!$B$3&amp;$B$2&amp;$B$1&amp;$C$1)</f>
        <v>0</v>
      </c>
      <c r="AF9" s="2">
        <f>COUNTIF(defects!$Z:$Z,Weekly_TVPlantPmod!AF$3&amp;Weekly_TVPlantPmod!$B9&amp;Weekly_TVPlantPmod!$B$3&amp;$B$2&amp;$B$1&amp;$C$1)</f>
        <v>0</v>
      </c>
      <c r="AG9" s="2">
        <f>COUNTIF(defects!$Z:$Z,Weekly_TVPlantPmod!AG$3&amp;Weekly_TVPlantPmod!$B9&amp;Weekly_TVPlantPmod!$B$3&amp;$B$2&amp;$B$1&amp;$C$1)</f>
        <v>0</v>
      </c>
      <c r="AH9" s="2">
        <f>COUNTIF(defects!$Z:$Z,Weekly_TVPlantPmod!AH$3&amp;Weekly_TVPlantPmod!$B9&amp;Weekly_TVPlantPmod!$B$3&amp;$B$2&amp;$B$1&amp;$C$1)</f>
        <v>0</v>
      </c>
      <c r="AI9" s="2">
        <f>COUNTIF(defects!$Z:$Z,Weekly_TVPlantPmod!AI$3&amp;Weekly_TVPlantPmod!$B9&amp;Weekly_TVPlantPmod!$B$3&amp;$B$2&amp;$B$1&amp;$C$1)</f>
        <v>0</v>
      </c>
      <c r="AJ9" s="2">
        <f>COUNTIF(defects!$Z:$Z,Weekly_TVPlantPmod!AJ$3&amp;Weekly_TVPlantPmod!$B9&amp;Weekly_TVPlantPmod!$B$3&amp;$B$2&amp;$B$1&amp;$C$1)</f>
        <v>0</v>
      </c>
      <c r="AK9" s="2">
        <f>COUNTIF(defects!$Z:$Z,Weekly_TVPlantPmod!AK$3&amp;Weekly_TVPlantPmod!$B9&amp;Weekly_TVPlantPmod!$B$3&amp;$B$2&amp;$B$1&amp;$C$1)</f>
        <v>0</v>
      </c>
      <c r="AL9" s="2">
        <f>COUNTIF(defects!$Z:$Z,Weekly_TVPlantPmod!AL$3&amp;Weekly_TVPlantPmod!$B9&amp;Weekly_TVPlantPmod!$B$3&amp;$B$2&amp;$B$1&amp;$C$1)</f>
        <v>0</v>
      </c>
      <c r="AM9" s="2">
        <f>COUNTIF(defects!$Z:$Z,Weekly_TVPlantPmod!AM$3&amp;Weekly_TVPlantPmod!$B9&amp;Weekly_TVPlantPmod!$B$3&amp;$B$2&amp;$B$1&amp;$C$1)</f>
        <v>0</v>
      </c>
      <c r="AN9" s="2">
        <f>COUNTIF(defects!$Z:$Z,Weekly_TVPlantPmod!AN$3&amp;Weekly_TVPlantPmod!$B9&amp;Weekly_TVPlantPmod!$B$3&amp;$B$2&amp;$B$1&amp;$C$1)</f>
        <v>0</v>
      </c>
      <c r="AO9" s="2">
        <f>COUNTIF(defects!$Z:$Z,Weekly_TVPlantPmod!AO$3&amp;Weekly_TVPlantPmod!$B9&amp;Weekly_TVPlantPmod!$B$3&amp;$B$2&amp;$B$1&amp;$C$1)</f>
        <v>0</v>
      </c>
      <c r="AP9" s="2">
        <f>COUNTIF(defects!$Z:$Z,Weekly_TVPlantPmod!AP$3&amp;Weekly_TVPlantPmod!$B9&amp;Weekly_TVPlantPmod!$B$3&amp;$B$2&amp;$B$1&amp;$C$1)</f>
        <v>0</v>
      </c>
      <c r="AQ9" s="2">
        <f>COUNTIF(defects!$Z:$Z,Weekly_TVPlantPmod!AQ$3&amp;Weekly_TVPlantPmod!$B9&amp;Weekly_TVPlantPmod!$B$3&amp;$B$2&amp;$B$1&amp;$C$1)</f>
        <v>0</v>
      </c>
      <c r="AR9" s="2">
        <f>COUNTIF(defects!$Z:$Z,Weekly_TVPlantPmod!AR$3&amp;Weekly_TVPlantPmod!$B9&amp;Weekly_TVPlantPmod!$B$3&amp;$B$2&amp;$B$1&amp;$C$1)</f>
        <v>0</v>
      </c>
      <c r="AS9" s="2">
        <f>COUNTIF(defects!$Z:$Z,Weekly_TVPlantPmod!AS$3&amp;Weekly_TVPlantPmod!$B9&amp;Weekly_TVPlantPmod!$B$3&amp;$B$2&amp;$B$1&amp;$C$1)</f>
        <v>0</v>
      </c>
      <c r="AT9" s="2">
        <f>COUNTIF(defects!$Z:$Z,Weekly_TVPlantPmod!AT$3&amp;Weekly_TVPlantPmod!$B9&amp;Weekly_TVPlantPmod!$B$3&amp;$B$2&amp;$B$1&amp;$C$1)</f>
        <v>0</v>
      </c>
      <c r="AU9" s="2">
        <f>COUNTIF(defects!$Z:$Z,Weekly_TVPlantPmod!AU$3&amp;Weekly_TVPlantPmod!$B9&amp;Weekly_TVPlantPmod!$B$3&amp;$B$2&amp;$B$1&amp;$C$1)</f>
        <v>0</v>
      </c>
      <c r="AV9" s="2">
        <f>COUNTIF(defects!$Z:$Z,Weekly_TVPlantPmod!AV$3&amp;Weekly_TVPlantPmod!$B9&amp;Weekly_TVPlantPmod!$B$3&amp;$B$2&amp;$B$1&amp;$C$1)</f>
        <v>0</v>
      </c>
      <c r="AW9" s="2">
        <f>COUNTIF(defects!$Z:$Z,Weekly_TVPlantPmod!AW$3&amp;Weekly_TVPlantPmod!$B9&amp;Weekly_TVPlantPmod!$B$3&amp;$B$2&amp;$B$1&amp;$C$1)</f>
        <v>0</v>
      </c>
      <c r="AX9" s="2">
        <f>COUNTIF(defects!$Z:$Z,Weekly_TVPlantPmod!AX$3&amp;Weekly_TVPlantPmod!$B9&amp;Weekly_TVPlantPmod!$B$3&amp;$B$2&amp;$B$1&amp;$C$1)</f>
        <v>0</v>
      </c>
      <c r="AY9" s="2">
        <f>COUNTIF(defects!$Z:$Z,Weekly_TVPlantPmod!AY$3&amp;Weekly_TVPlantPmod!$B9&amp;Weekly_TVPlantPmod!$B$3&amp;$B$2&amp;$B$1&amp;$C$1)</f>
        <v>0</v>
      </c>
      <c r="AZ9" s="2">
        <f>COUNTIF(defects!$Z:$Z,Weekly_TVPlantPmod!AZ$3&amp;Weekly_TVPlantPmod!$B9&amp;Weekly_TVPlantPmod!$B$3&amp;$B$2&amp;$B$1&amp;$C$1)</f>
        <v>0</v>
      </c>
      <c r="BA9" s="2">
        <f>COUNTIF(defects!$Z:$Z,Weekly_TVPlantPmod!BA$3&amp;Weekly_TVPlantPmod!$B9&amp;Weekly_TVPlantPmod!$B$3&amp;$B$2&amp;$B$1&amp;$C$1)</f>
        <v>0</v>
      </c>
      <c r="BB9" s="2">
        <f>COUNTIF(defects!$Z:$Z,Weekly_TVPlantPmod!BB$3&amp;Weekly_TVPlantPmod!$B9&amp;Weekly_TVPlantPmod!$B$3&amp;$B$2&amp;$B$1&amp;$C$1)</f>
        <v>0</v>
      </c>
      <c r="BC9" s="2">
        <f>COUNTIF(defects!$Z:$Z,Weekly_TVPlantPmod!BC$3&amp;Weekly_TVPlantPmod!$B9&amp;Weekly_TVPlantPmod!$B$3&amp;$B$2&amp;$B$1&amp;$C$1)</f>
        <v>0</v>
      </c>
      <c r="BD9" s="2">
        <f>COUNTIF(defects!$Z:$Z,Weekly_TVPlantPmod!BD$3&amp;Weekly_TVPlantPmod!$B9&amp;Weekly_TVPlantPmod!$B$3&amp;$B$2&amp;$B$1&amp;$C$1)</f>
        <v>0</v>
      </c>
      <c r="BE9" s="2">
        <f>COUNTIF(defects!$Z:$Z,Weekly_TVPlantPmod!BE$3&amp;Weekly_TVPlantPmod!$B9&amp;Weekly_TVPlantPmod!$B$3&amp;$B$2&amp;$B$1&amp;$C$1)</f>
        <v>0</v>
      </c>
      <c r="BF9" s="2">
        <f>COUNTIF(defects!$Z:$Z,Weekly_TVPlantPmod!BF$3&amp;Weekly_TVPlantPmod!$B9&amp;Weekly_TVPlantPmod!$B$3&amp;$B$2&amp;$B$1&amp;$C$1)</f>
        <v>0</v>
      </c>
      <c r="BG9" s="2">
        <f>COUNTIF(defects!$Z:$Z,Weekly_TVPlantPmod!BG$3&amp;Weekly_TVPlantPmod!$B9&amp;Weekly_TVPlantPmod!$B$3&amp;$B$2&amp;$B$1&amp;$C$1)</f>
        <v>0</v>
      </c>
      <c r="BH9" s="2">
        <f>COUNTIF(defects!$Z:$Z,Weekly_TVPlantPmod!BH$3&amp;Weekly_TVPlantPmod!$B9&amp;Weekly_TVPlantPmod!$B$3&amp;$B$2&amp;$B$1&amp;$C$1)</f>
        <v>0</v>
      </c>
      <c r="BI9" s="2">
        <f>COUNTIF(defects!$Z:$Z,Weekly_TVPlantPmod!BI$3&amp;Weekly_TVPlantPmod!$B9&amp;Weekly_TVPlantPmod!$B$3&amp;$B$2&amp;$B$1&amp;$C$1)</f>
        <v>0</v>
      </c>
      <c r="BJ9" s="2">
        <f>COUNTIF(defects!$Z:$Z,Weekly_TVPlantPmod!BJ$3&amp;Weekly_TVPlantPmod!$B9&amp;Weekly_TVPlantPmod!$B$3&amp;$B$2&amp;$B$1&amp;$C$1)</f>
        <v>0</v>
      </c>
      <c r="BK9" s="2">
        <f>COUNTIF(defects!$Z:$Z,Weekly_TVPlantPmod!BK$3&amp;Weekly_TVPlantPmod!$B9&amp;Weekly_TVPlantPmod!$B$3&amp;$B$2&amp;$B$1&amp;$C$1)</f>
        <v>0</v>
      </c>
      <c r="BL9" s="2">
        <f>COUNTIF(defects!$Z:$Z,Weekly_TVPlantPmod!BL$3&amp;Weekly_TVPlantPmod!$B9&amp;Weekly_TVPlantPmod!$B$3&amp;$B$2&amp;$B$1&amp;$C$1)</f>
        <v>0</v>
      </c>
      <c r="BM9" s="2">
        <f>COUNTIF(defects!$Z:$Z,Weekly_TVPlantPmod!BM$3&amp;Weekly_TVPlantPmod!$B9&amp;Weekly_TVPlantPmod!$B$3&amp;$B$2&amp;$B$1&amp;$C$1)</f>
        <v>0</v>
      </c>
      <c r="BN9" s="2">
        <f>COUNTIF(defects!$Z:$Z,Weekly_TVPlantPmod!BN$3&amp;Weekly_TVPlantPmod!$B9&amp;Weekly_TVPlantPmod!$B$3&amp;$B$2&amp;$B$1&amp;$C$1)</f>
        <v>0</v>
      </c>
      <c r="BO9" s="2">
        <f>COUNTIF(defects!$Z:$Z,Weekly_TVPlantPmod!BO$3&amp;Weekly_TVPlantPmod!$B9&amp;Weekly_TVPlantPmod!$B$3&amp;$B$2&amp;$B$1&amp;$C$1)</f>
        <v>0</v>
      </c>
      <c r="BP9" s="2">
        <f>COUNTIF(defects!$Z:$Z,Weekly_TVPlantPmod!BP$3&amp;Weekly_TVPlantPmod!$B9&amp;Weekly_TVPlantPmod!$B$3&amp;$B$2&amp;$B$1&amp;$C$1)</f>
        <v>0</v>
      </c>
      <c r="BQ9" s="2">
        <f>COUNTIF(defects!$Z:$Z,Weekly_TVPlantPmod!BQ$3&amp;Weekly_TVPlantPmod!$B9&amp;Weekly_TVPlantPmod!$B$3&amp;$B$2&amp;$B$1&amp;$C$1)</f>
        <v>0</v>
      </c>
      <c r="BR9" s="2">
        <f>COUNTIF(defects!$Z:$Z,Weekly_TVPlantPmod!BR$3&amp;Weekly_TVPlantPmod!$B9&amp;Weekly_TVPlantPmod!$B$3&amp;$B$2&amp;$B$1&amp;$C$1)</f>
        <v>0</v>
      </c>
      <c r="BS9" s="2">
        <f>COUNTIF(defects!$Z:$Z,Weekly_TVPlantPmod!BS$3&amp;Weekly_TVPlantPmod!$B9&amp;Weekly_TVPlantPmod!$B$3&amp;$B$2&amp;$B$1&amp;$C$1)</f>
        <v>0</v>
      </c>
      <c r="BT9" s="2">
        <f>COUNTIF(defects!$Z:$Z,Weekly_TVPlantPmod!BT$3&amp;Weekly_TVPlantPmod!$B9&amp;Weekly_TVPlantPmod!$B$3&amp;$B$2&amp;$B$1&amp;$C$1)</f>
        <v>0</v>
      </c>
      <c r="BU9" s="2">
        <f>COUNTIF(defects!$Z:$Z,Weekly_TVPlantPmod!BU$3&amp;Weekly_TVPlantPmod!$B9&amp;Weekly_TVPlantPmod!$B$3&amp;$B$2&amp;$B$1&amp;$C$1)</f>
        <v>0</v>
      </c>
      <c r="BV9" s="2">
        <f>COUNTIF(defects!$Z:$Z,Weekly_TVPlantPmod!BV$3&amp;Weekly_TVPlantPmod!$B9&amp;Weekly_TVPlantPmod!$B$3&amp;$B$2&amp;$B$1&amp;$C$1)</f>
        <v>0</v>
      </c>
      <c r="BW9" s="2">
        <f>COUNTIF(defects!$Z:$Z,Weekly_TVPlantPmod!BW$3&amp;Weekly_TVPlantPmod!$B9&amp;Weekly_TVPlantPmod!$B$3&amp;$B$2&amp;$B$1&amp;$C$1)</f>
        <v>0</v>
      </c>
      <c r="BX9" s="2">
        <f>COUNTIF(defects!$Z:$Z,Weekly_TVPlantPmod!BX$3&amp;Weekly_TVPlantPmod!$B9&amp;Weekly_TVPlantPmod!$B$3&amp;$B$2&amp;$B$1&amp;$C$1)</f>
        <v>0</v>
      </c>
      <c r="BY9" s="2">
        <f>COUNTIF(defects!$Z:$Z,Weekly_TVPlantPmod!BY$3&amp;Weekly_TVPlantPmod!$B9&amp;Weekly_TVPlantPmod!$B$3&amp;$B$2&amp;$B$1&amp;$C$1)</f>
        <v>0</v>
      </c>
      <c r="BZ9" s="2">
        <f>COUNTIF(defects!$Z:$Z,Weekly_TVPlantPmod!BZ$3&amp;Weekly_TVPlantPmod!$B9&amp;Weekly_TVPlantPmod!$B$3&amp;$B$2&amp;$B$1&amp;$C$1)</f>
        <v>0</v>
      </c>
      <c r="CA9" s="2">
        <f>COUNTIF(defects!$Z:$Z,Weekly_TVPlantPmod!CA$3&amp;Weekly_TVPlantPmod!$B9&amp;Weekly_TVPlantPmod!$B$3&amp;$B$2&amp;$B$1&amp;$C$1)</f>
        <v>0</v>
      </c>
      <c r="CB9" s="2">
        <f>COUNTIF(defects!$Z:$Z,Weekly_TVPlantPmod!CB$3&amp;Weekly_TVPlantPmod!$B9&amp;Weekly_TVPlantPmod!$B$3&amp;$B$2&amp;$B$1&amp;$C$1)</f>
        <v>0</v>
      </c>
      <c r="CC9" s="2">
        <f>COUNTIF(defects!$Z:$Z,Weekly_TVPlantPmod!CC$3&amp;Weekly_TVPlantPmod!$B9&amp;Weekly_TVPlantPmod!$B$3&amp;$B$2&amp;$B$1&amp;$C$1)</f>
        <v>0</v>
      </c>
      <c r="CD9" s="2">
        <f>COUNTIF(defects!$Z:$Z,Weekly_TVPlantPmod!CD$3&amp;Weekly_TVPlantPmod!$B9&amp;Weekly_TVPlantPmod!$B$3&amp;$B$2&amp;$B$1&amp;$C$1)</f>
        <v>0</v>
      </c>
      <c r="CE9" s="2">
        <f>COUNTIF(defects!$Z:$Z,Weekly_TVPlantPmod!CE$3&amp;Weekly_TVPlantPmod!$B9&amp;Weekly_TVPlantPmod!$B$3&amp;$B$2&amp;$B$1&amp;$C$1)</f>
        <v>0</v>
      </c>
      <c r="CF9" s="2">
        <f>COUNTIF(defects!$Z:$Z,Weekly_TVPlantPmod!CF$3&amp;Weekly_TVPlantPmod!$B9&amp;Weekly_TVPlantPmod!$B$3&amp;$B$2&amp;$B$1&amp;$C$1)</f>
        <v>0</v>
      </c>
      <c r="CG9" s="2">
        <f>COUNTIF(defects!$Z:$Z,Weekly_TVPlantPmod!CG$3&amp;Weekly_TVPlantPmod!$B9&amp;Weekly_TVPlantPmod!$B$3&amp;$B$2&amp;$B$1&amp;$C$1)</f>
        <v>1</v>
      </c>
      <c r="CH9" s="2">
        <f>COUNTIF(defects!$Z:$Z,Weekly_TVPlantPmod!CH$3&amp;Weekly_TVPlantPmod!$B9&amp;Weekly_TVPlantPmod!$B$3&amp;$B$2&amp;$B$1&amp;$C$1)</f>
        <v>0</v>
      </c>
      <c r="CI9" s="2">
        <f>COUNTIF(defects!$Z:$Z,Weekly_TVPlantPmod!CI$3&amp;Weekly_TVPlantPmod!$B9&amp;Weekly_TVPlantPmod!$B$3&amp;$B$2&amp;$B$1&amp;$C$1)</f>
        <v>0</v>
      </c>
      <c r="CJ9" s="2">
        <f>COUNTIF(defects!$Z:$Z,Weekly_TVPlantPmod!CJ$3&amp;Weekly_TVPlantPmod!$B9&amp;Weekly_TVPlantPmod!$B$3&amp;$B$2&amp;$B$1&amp;$C$1)</f>
        <v>0</v>
      </c>
      <c r="CK9" s="2">
        <f>COUNTIF(defects!$Z:$Z,Weekly_TVPlantPmod!CK$3&amp;Weekly_TVPlantPmod!$B9&amp;Weekly_TVPlantPmod!$B$3&amp;$B$2&amp;$B$1&amp;$C$1)</f>
        <v>0</v>
      </c>
      <c r="CL9" s="2">
        <f>COUNTIF(defects!$Z:$Z,Weekly_TVPlantPmod!CL$3&amp;Weekly_TVPlantPmod!$B9&amp;Weekly_TVPlantPmod!$B$3&amp;$B$2&amp;$B$1&amp;$C$1)</f>
        <v>0</v>
      </c>
      <c r="CM9" s="2">
        <f>COUNTIF(defects!$Z:$Z,Weekly_TVPlantPmod!CM$3&amp;Weekly_TVPlantPmod!$B9&amp;Weekly_TVPlantPmod!$B$3&amp;$B$2&amp;$B$1&amp;$C$1)</f>
        <v>0</v>
      </c>
      <c r="CN9" s="2">
        <f>COUNTIF(defects!$Z:$Z,Weekly_TVPlantPmod!CN$3&amp;Weekly_TVPlantPmod!$B9&amp;Weekly_TVPlantPmod!$B$3&amp;$B$2&amp;$B$1&amp;$C$1)</f>
        <v>0</v>
      </c>
      <c r="CO9" s="2">
        <f>COUNTIF(defects!$Z:$Z,Weekly_TVPlantPmod!CO$3&amp;Weekly_TVPlantPmod!$B9&amp;Weekly_TVPlantPmod!$B$3&amp;$B$2&amp;$B$1&amp;$C$1)</f>
        <v>0</v>
      </c>
      <c r="CP9" s="2">
        <f>COUNTIF(defects!$Z:$Z,Weekly_TVPlantPmod!CP$3&amp;Weekly_TVPlantPmod!$B9&amp;Weekly_TVPlantPmod!$B$3&amp;$B$2&amp;$B$1&amp;$C$1)</f>
        <v>0</v>
      </c>
      <c r="CQ9" s="2">
        <f>COUNTIF(defects!$Z:$Z,Weekly_TVPlantPmod!CQ$3&amp;Weekly_TVPlantPmod!$B9&amp;Weekly_TVPlantPmod!$B$3&amp;$B$2&amp;$B$1&amp;$C$1)</f>
        <v>0</v>
      </c>
      <c r="CR9" s="2">
        <f>COUNTIF(defects!$Z:$Z,Weekly_TVPlantPmod!CR$3&amp;Weekly_TVPlantPmod!$B9&amp;Weekly_TVPlantPmod!$B$3&amp;$B$2&amp;$B$1&amp;$C$1)</f>
        <v>0</v>
      </c>
      <c r="CS9" s="2">
        <f>COUNTIF(defects!$Z:$Z,Weekly_TVPlantPmod!CS$3&amp;Weekly_TVPlantPmod!$B9&amp;Weekly_TVPlantPmod!$B$3&amp;$B$2&amp;$B$1&amp;$C$1)</f>
        <v>0</v>
      </c>
      <c r="CT9" s="2">
        <f>COUNTIF(defects!$Z:$Z,Weekly_TVPlantPmod!CT$3&amp;Weekly_TVPlantPmod!$B9&amp;Weekly_TVPlantPmod!$B$3&amp;$B$2&amp;$B$1&amp;$C$1)</f>
        <v>0</v>
      </c>
      <c r="CU9" s="2">
        <f>COUNTIF(defects!$Z:$Z,Weekly_TVPlantPmod!CU$3&amp;Weekly_TVPlantPmod!$B9&amp;Weekly_TVPlantPmod!$B$3&amp;$B$2&amp;$B$1&amp;$C$1)</f>
        <v>0</v>
      </c>
      <c r="CV9" s="2">
        <f>COUNTIF(defects!$Z:$Z,Weekly_TVPlantPmod!CV$3&amp;Weekly_TVPlantPmod!$B9&amp;Weekly_TVPlantPmod!$B$3&amp;$B$2&amp;$B$1&amp;$C$1)</f>
        <v>0</v>
      </c>
      <c r="CW9" s="2">
        <f>COUNTIF(defects!$Z:$Z,Weekly_TVPlantPmod!CW$3&amp;Weekly_TVPlantPmod!$B9&amp;Weekly_TVPlantPmod!$B$3&amp;$B$2&amp;$B$1&amp;$C$1)</f>
        <v>0</v>
      </c>
      <c r="CX9" s="2">
        <f>COUNTIF(defects!$Z:$Z,Weekly_TVPlantPmod!CX$3&amp;Weekly_TVPlantPmod!$B9&amp;Weekly_TVPlantPmod!$B$3&amp;$B$2&amp;$B$1&amp;$C$1)</f>
        <v>0</v>
      </c>
      <c r="CY9" s="2">
        <f>COUNTIF(defects!$Z:$Z,Weekly_TVPlantPmod!CY$3&amp;Weekly_TVPlantPmod!$B9&amp;Weekly_TVPlantPmod!$B$3&amp;$B$2&amp;$B$1&amp;$C$1)</f>
        <v>0</v>
      </c>
      <c r="CZ9" s="2">
        <f>COUNTIF(defects!$Z:$Z,Weekly_TVPlantPmod!CZ$3&amp;Weekly_TVPlantPmod!$B9&amp;Weekly_TVPlantPmod!$B$3&amp;$B$2&amp;$B$1&amp;$C$1)</f>
        <v>0</v>
      </c>
      <c r="DA9" s="2">
        <f>COUNTIF(defects!$Z:$Z,Weekly_TVPlantPmod!DA$3&amp;Weekly_TVPlantPmod!$B9&amp;Weekly_TVPlantPmod!$B$3&amp;$B$2&amp;$B$1&amp;$C$1)</f>
        <v>0</v>
      </c>
      <c r="DB9" s="2">
        <f>COUNTIF(defects!$Z:$Z,Weekly_TVPlantPmod!DB$3&amp;Weekly_TVPlantPmod!$B9&amp;Weekly_TVPlantPmod!$B$3&amp;$B$2&amp;$B$1&amp;$C$1)</f>
        <v>0</v>
      </c>
      <c r="DC9" s="2">
        <f>COUNTIF(defects!$Z:$Z,Weekly_TVPlantPmod!DC$3&amp;Weekly_TVPlantPmod!$B9&amp;Weekly_TVPlantPmod!$B$3&amp;$B$2&amp;$B$1&amp;$C$1)</f>
        <v>0</v>
      </c>
      <c r="DD9" s="2">
        <f>COUNTIF(defects!$Z:$Z,Weekly_TVPlantPmod!DD$3&amp;Weekly_TVPlantPmod!$B9&amp;Weekly_TVPlantPmod!$B$3&amp;$B$2&amp;$B$1&amp;$C$1)</f>
        <v>0</v>
      </c>
      <c r="DE9" s="2">
        <f>COUNTIF(defects!$Z:$Z,Weekly_TVPlantPmod!DE$3&amp;Weekly_TVPlantPmod!$B9&amp;Weekly_TVPlantPmod!$B$3&amp;$B$2&amp;$B$1&amp;$C$1)</f>
        <v>0</v>
      </c>
      <c r="DF9" s="2">
        <f>COUNTIF(defects!$Z:$Z,Weekly_TVPlantPmod!DF$3&amp;Weekly_TVPlantPmod!$B9&amp;Weekly_TVPlantPmod!$B$3&amp;$B$2&amp;$B$1&amp;$C$1)</f>
        <v>0</v>
      </c>
      <c r="DG9" s="2">
        <f>COUNTIF(defects!$Z:$Z,Weekly_TVPlantPmod!DG$3&amp;Weekly_TVPlantPmod!$B9&amp;Weekly_TVPlantPmod!$B$3&amp;$B$2&amp;$B$1&amp;$C$1)</f>
        <v>0</v>
      </c>
      <c r="DH9" s="2">
        <f>COUNTIF(defects!$Z:$Z,Weekly_TVPlantPmod!DH$3&amp;Weekly_TVPlantPmod!$B9&amp;Weekly_TVPlantPmod!$B$3&amp;$B$2&amp;$B$1&amp;$C$1)</f>
        <v>0</v>
      </c>
      <c r="DI9" s="2">
        <f>COUNTIF(defects!$Z:$Z,Weekly_TVPlantPmod!DI$3&amp;Weekly_TVPlantPmod!$B9&amp;Weekly_TVPlantPmod!$B$3&amp;$B$2&amp;$B$1&amp;$C$1)</f>
        <v>0</v>
      </c>
      <c r="DJ9" s="2">
        <f>COUNTIF(defects!$Z:$Z,Weekly_TVPlantPmod!DJ$3&amp;Weekly_TVPlantPmod!$B9&amp;Weekly_TVPlantPmod!$B$3&amp;$B$2&amp;$B$1&amp;$C$1)</f>
        <v>0</v>
      </c>
      <c r="DK9" s="2">
        <f>COUNTIF(defects!$Z:$Z,Weekly_TVPlantPmod!DK$3&amp;Weekly_TVPlantPmod!$B9&amp;Weekly_TVPlantPmod!$B$3&amp;$B$2&amp;$B$1&amp;$C$1)</f>
        <v>0</v>
      </c>
      <c r="DL9" s="2">
        <f>COUNTIF(defects!$Z:$Z,Weekly_TVPlantPmod!DL$3&amp;Weekly_TVPlantPmod!$B9&amp;Weekly_TVPlantPmod!$B$3&amp;$B$2&amp;$B$1&amp;$C$1)</f>
        <v>0</v>
      </c>
      <c r="DM9" s="2">
        <f>COUNTIF(defects!$Z:$Z,Weekly_TVPlantPmod!DM$3&amp;Weekly_TVPlantPmod!$B9&amp;Weekly_TVPlantPmod!$B$3&amp;$B$2&amp;$B$1&amp;$C$1)</f>
        <v>0</v>
      </c>
      <c r="DN9" s="2">
        <f>COUNTIF(defects!$Z:$Z,Weekly_TVPlantPmod!DN$3&amp;Weekly_TVPlantPmod!$B9&amp;Weekly_TVPlantPmod!$B$3&amp;$B$2&amp;$B$1&amp;$C$1)</f>
        <v>0</v>
      </c>
      <c r="DO9" s="2">
        <f>COUNTIF(defects!$Z:$Z,Weekly_TVPlantPmod!DO$3&amp;Weekly_TVPlantPmod!$B9&amp;Weekly_TVPlantPmod!$B$3&amp;$B$2&amp;$B$1&amp;$C$1)</f>
        <v>0</v>
      </c>
      <c r="DP9" s="2">
        <f>COUNTIF(defects!$Z:$Z,Weekly_TVPlantPmod!DP$3&amp;Weekly_TVPlantPmod!$B9&amp;Weekly_TVPlantPmod!$B$3&amp;$B$2&amp;$B$1&amp;$C$1)</f>
        <v>0</v>
      </c>
      <c r="DQ9" s="2">
        <f>COUNTIF(defects!$Z:$Z,Weekly_TVPlantPmod!DQ$3&amp;Weekly_TVPlantPmod!$B9&amp;Weekly_TVPlantPmod!$B$3&amp;$B$2&amp;$B$1&amp;$C$1)</f>
        <v>0</v>
      </c>
      <c r="DR9" s="2">
        <f>COUNTIF(defects!$Z:$Z,Weekly_TVPlantPmod!DR$3&amp;Weekly_TVPlantPmod!$B9&amp;Weekly_TVPlantPmod!$B$3&amp;$B$2&amp;$B$1&amp;$C$1)</f>
        <v>0</v>
      </c>
      <c r="DS9" s="2">
        <f>COUNTIF(defects!$Z:$Z,Weekly_TVPlantPmod!DS$3&amp;Weekly_TVPlantPmod!$B9&amp;Weekly_TVPlantPmod!$B$3&amp;$B$2&amp;$B$1&amp;$C$1)</f>
        <v>0</v>
      </c>
      <c r="DT9" s="2">
        <f>COUNTIF(defects!$Z:$Z,Weekly_TVPlantPmod!DT$3&amp;Weekly_TVPlantPmod!$B9&amp;Weekly_TVPlantPmod!$B$3&amp;$B$2&amp;$B$1&amp;$C$1)</f>
        <v>0</v>
      </c>
      <c r="DU9" s="2">
        <f>COUNTIF(defects!$Z:$Z,Weekly_TVPlantPmod!DU$3&amp;Weekly_TVPlantPmod!$B9&amp;Weekly_TVPlantPmod!$B$3&amp;$B$2&amp;$B$1&amp;$C$1)</f>
        <v>0</v>
      </c>
      <c r="DV9" s="2">
        <f>COUNTIF(defects!$Z:$Z,Weekly_TVPlantPmod!DV$3&amp;Weekly_TVPlantPmod!$B9&amp;Weekly_TVPlantPmod!$B$3&amp;$B$2&amp;$B$1&amp;$C$1)</f>
        <v>0</v>
      </c>
      <c r="DW9" s="2">
        <f>COUNTIF(defects!$Z:$Z,Weekly_TVPlantPmod!DW$3&amp;Weekly_TVPlantPmod!$B9&amp;Weekly_TVPlantPmod!$B$3&amp;$B$2&amp;$B$1&amp;$C$1)</f>
        <v>0</v>
      </c>
      <c r="DX9" s="2">
        <f>COUNTIF(defects!$Z:$Z,Weekly_TVPlantPmod!DX$3&amp;Weekly_TVPlantPmod!$B9&amp;Weekly_TVPlantPmod!$B$3&amp;$B$2&amp;$B$1&amp;$C$1)</f>
        <v>0</v>
      </c>
      <c r="DY9" s="2">
        <f>COUNTIF(defects!$Z:$Z,Weekly_TVPlantPmod!DY$3&amp;Weekly_TVPlantPmod!$B9&amp;Weekly_TVPlantPmod!$B$3&amp;$B$2&amp;$B$1&amp;$C$1)</f>
        <v>0</v>
      </c>
      <c r="DZ9" s="2">
        <f>COUNTIF(defects!$Z:$Z,Weekly_TVPlantPmod!DZ$3&amp;Weekly_TVPlantPmod!$B9&amp;Weekly_TVPlantPmod!$B$3&amp;$B$2&amp;$B$1&amp;$C$1)</f>
        <v>0</v>
      </c>
      <c r="EA9" s="2">
        <f>COUNTIF(defects!$Z:$Z,Weekly_TVPlantPmod!EA$3&amp;Weekly_TVPlantPmod!$B9&amp;Weekly_TVPlantPmod!$B$3&amp;$B$2&amp;$B$1&amp;$C$1)</f>
        <v>0</v>
      </c>
      <c r="EB9" s="2">
        <f>COUNTIF(defects!$Z:$Z,Weekly_TVPlantPmod!EB$3&amp;Weekly_TVPlantPmod!$B9&amp;Weekly_TVPlantPmod!$B$3&amp;$B$2&amp;$B$1&amp;$C$1)</f>
        <v>0</v>
      </c>
      <c r="EC9" s="2">
        <f>COUNTIF(defects!$Z:$Z,Weekly_TVPlantPmod!EC$3&amp;Weekly_TVPlantPmod!$B9&amp;Weekly_TVPlantPmod!$B$3&amp;$B$2&amp;$B$1&amp;$C$1)</f>
        <v>0</v>
      </c>
      <c r="ED9" s="2">
        <f>COUNTIF(defects!$Z:$Z,Weekly_TVPlantPmod!ED$3&amp;Weekly_TVPlantPmod!$B9&amp;Weekly_TVPlantPmod!$B$3&amp;$B$2&amp;$B$1&amp;$C$1)</f>
        <v>0</v>
      </c>
      <c r="EE9" s="2">
        <f>COUNTIF(defects!$Z:$Z,Weekly_TVPlantPmod!EE$3&amp;Weekly_TVPlantPmod!$B9&amp;Weekly_TVPlantPmod!$B$3&amp;$B$2&amp;$B$1&amp;$C$1)</f>
        <v>0</v>
      </c>
      <c r="EF9" s="2">
        <f>COUNTIF(defects!$Z:$Z,Weekly_TVPlantPmod!EF$3&amp;Weekly_TVPlantPmod!$B9&amp;Weekly_TVPlantPmod!$B$3&amp;$B$2&amp;$B$1&amp;$C$1)</f>
        <v>0</v>
      </c>
      <c r="EG9" s="2">
        <f>COUNTIF(defects!$Z:$Z,Weekly_TVPlantPmod!EG$3&amp;Weekly_TVPlantPmod!$B9&amp;Weekly_TVPlantPmod!$B$3&amp;$B$2&amp;$B$1&amp;$C$1)</f>
        <v>0</v>
      </c>
      <c r="EH9" s="2">
        <f>COUNTIF(defects!$Z:$Z,Weekly_TVPlantPmod!EH$3&amp;Weekly_TVPlantPmod!$B9&amp;Weekly_TVPlantPmod!$B$3&amp;$B$2&amp;$B$1&amp;$C$1)</f>
        <v>0</v>
      </c>
      <c r="EI9" s="2">
        <f>COUNTIF(defects!$Z:$Z,Weekly_TVPlantPmod!EI$3&amp;Weekly_TVPlantPmod!$B9&amp;Weekly_TVPlantPmod!$B$3&amp;$B$2&amp;$B$1&amp;$C$1)</f>
        <v>0</v>
      </c>
      <c r="EJ9" s="2">
        <f>COUNTIF(defects!$Z:$Z,Weekly_TVPlantPmod!EJ$3&amp;Weekly_TVPlantPmod!$B9&amp;Weekly_TVPlantPmod!$B$3&amp;$B$2&amp;$B$1&amp;$C$1)</f>
        <v>0</v>
      </c>
      <c r="EK9" s="2">
        <f>COUNTIF(defects!$Z:$Z,Weekly_TVPlantPmod!EK$3&amp;Weekly_TVPlantPmod!$B9&amp;Weekly_TVPlantPmod!$B$3&amp;$B$2&amp;$B$1&amp;$C$1)</f>
        <v>0</v>
      </c>
      <c r="EL9" s="2">
        <f>COUNTIF(defects!$Z:$Z,Weekly_TVPlantPmod!EL$3&amp;Weekly_TVPlantPmod!$B9&amp;Weekly_TVPlantPmod!$B$3&amp;$B$2&amp;$B$1&amp;$C$1)</f>
        <v>0</v>
      </c>
      <c r="EM9" s="2">
        <f>COUNTIF(defects!$Z:$Z,Weekly_TVPlantPmod!EM$3&amp;Weekly_TVPlantPmod!$B9&amp;Weekly_TVPlantPmod!$B$3&amp;$B$2&amp;$B$1&amp;$C$1)</f>
        <v>0</v>
      </c>
      <c r="EN9" s="2">
        <f>COUNTIF(defects!$Z:$Z,Weekly_TVPlantPmod!EN$3&amp;Weekly_TVPlantPmod!$B9&amp;Weekly_TVPlantPmod!$B$3&amp;$B$2&amp;$B$1&amp;$C$1)</f>
        <v>0</v>
      </c>
      <c r="EO9" s="2">
        <f>COUNTIF(defects!$Z:$Z,Weekly_TVPlantPmod!EO$3&amp;Weekly_TVPlantPmod!$B9&amp;Weekly_TVPlantPmod!$B$3&amp;$B$2&amp;$B$1&amp;$C$1)</f>
        <v>0</v>
      </c>
      <c r="EP9" s="2">
        <f>COUNTIF(defects!$Z:$Z,Weekly_TVPlantPmod!EP$3&amp;Weekly_TVPlantPmod!$B9&amp;Weekly_TVPlantPmod!$B$3&amp;$B$2&amp;$B$1&amp;$C$1)</f>
        <v>0</v>
      </c>
      <c r="EQ9" s="2">
        <f>COUNTIF(defects!$Z:$Z,Weekly_TVPlantPmod!EQ$3&amp;Weekly_TVPlantPmod!$B9&amp;Weekly_TVPlantPmod!$B$3&amp;$B$2&amp;$B$1&amp;$C$1)</f>
        <v>0</v>
      </c>
      <c r="ER9" s="2">
        <f>COUNTIF(defects!$Z:$Z,Weekly_TVPlantPmod!ER$3&amp;Weekly_TVPlantPmod!$B9&amp;Weekly_TVPlantPmod!$B$3&amp;$B$2&amp;$B$1&amp;$C$1)</f>
        <v>0</v>
      </c>
      <c r="ES9" s="2">
        <f>COUNTIF(defects!$Z:$Z,Weekly_TVPlantPmod!ES$3&amp;Weekly_TVPlantPmod!$B9&amp;Weekly_TVPlantPmod!$B$3&amp;$B$2&amp;$B$1&amp;$C$1)</f>
        <v>0</v>
      </c>
      <c r="ET9" s="2">
        <f>COUNTIF(defects!$Z:$Z,Weekly_TVPlantPmod!ET$3&amp;Weekly_TVPlantPmod!$B9&amp;Weekly_TVPlantPmod!$B$3&amp;$B$2&amp;$B$1&amp;$C$1)</f>
        <v>0</v>
      </c>
      <c r="EU9" s="2">
        <f>COUNTIF(defects!$Z:$Z,Weekly_TVPlantPmod!EU$3&amp;Weekly_TVPlantPmod!$B9&amp;Weekly_TVPlantPmod!$B$3&amp;$B$2&amp;$B$1&amp;$C$1)</f>
        <v>0</v>
      </c>
      <c r="EV9" s="2">
        <f>COUNTIF(defects!$Z:$Z,Weekly_TVPlantPmod!EV$3&amp;Weekly_TVPlantPmod!$B9&amp;Weekly_TVPlantPmod!$B$3&amp;$B$2&amp;$B$1&amp;$C$1)</f>
        <v>0</v>
      </c>
      <c r="EW9" s="2">
        <f>COUNTIF(defects!$Z:$Z,Weekly_TVPlantPmod!EW$3&amp;Weekly_TVPlantPmod!$B9&amp;Weekly_TVPlantPmod!$B$3&amp;$B$2&amp;$B$1&amp;$C$1)</f>
        <v>0</v>
      </c>
      <c r="EX9" s="2">
        <f>COUNTIF(defects!$Z:$Z,Weekly_TVPlantPmod!EX$3&amp;Weekly_TVPlantPmod!$B9&amp;Weekly_TVPlantPmod!$B$3&amp;$B$2&amp;$B$1&amp;$C$1)</f>
        <v>0</v>
      </c>
      <c r="EY9" s="2">
        <f>COUNTIF(defects!$Z:$Z,Weekly_TVPlantPmod!EY$3&amp;Weekly_TVPlantPmod!$B9&amp;Weekly_TVPlantPmod!$B$3&amp;$B$2&amp;$B$1&amp;$C$1)</f>
        <v>0</v>
      </c>
      <c r="EZ9" s="2">
        <f>COUNTIF(defects!$Z:$Z,Weekly_TVPlantPmod!EZ$3&amp;Weekly_TVPlantPmod!$B9&amp;Weekly_TVPlantPmod!$B$3&amp;$B$2&amp;$B$1&amp;$C$1)</f>
        <v>0</v>
      </c>
      <c r="FA9" s="2">
        <f>COUNTIF(defects!$Z:$Z,Weekly_TVPlantPmod!FA$3&amp;Weekly_TVPlantPmod!$B9&amp;Weekly_TVPlantPmod!$B$3&amp;$B$2&amp;$B$1&amp;$C$1)</f>
        <v>0</v>
      </c>
      <c r="FB9" s="2">
        <f>COUNTIF(defects!$Z:$Z,Weekly_TVPlantPmod!FB$3&amp;Weekly_TVPlantPmod!$B9&amp;Weekly_TVPlantPmod!$B$3&amp;$B$2&amp;$B$1&amp;$C$1)</f>
        <v>0</v>
      </c>
      <c r="FC9" s="2">
        <f>COUNTIF(defects!$Z:$Z,Weekly_TVPlantPmod!FC$3&amp;Weekly_TVPlantPmod!$B9&amp;Weekly_TVPlantPmod!$B$3&amp;$B$2&amp;$B$1&amp;$C$1)</f>
        <v>0</v>
      </c>
      <c r="FD9" s="2">
        <f>COUNTIF(defects!$Z:$Z,Weekly_TVPlantPmod!FD$3&amp;Weekly_TVPlantPmod!$B9&amp;Weekly_TVPlantPmod!$B$3&amp;$B$2&amp;$B$1&amp;$C$1)</f>
        <v>0</v>
      </c>
      <c r="FE9" s="2">
        <f>COUNTIF(defects!$Z:$Z,Weekly_TVPlantPmod!FE$3&amp;Weekly_TVPlantPmod!$B9&amp;Weekly_TVPlantPmod!$B$3&amp;$B$2&amp;$B$1&amp;$C$1)</f>
        <v>0</v>
      </c>
    </row>
    <row r="10" spans="2:161">
      <c r="B10" s="2" t="s">
        <v>954</v>
      </c>
      <c r="C10" s="2">
        <f>COUNTIF(defects!$Z:$Z,Weekly_TVPlantPmod!C$3&amp;Weekly_TVPlantPmod!$B10&amp;Weekly_TVPlantPmod!$B$3&amp;$B$2&amp;$B$1&amp;$C$1)</f>
        <v>0</v>
      </c>
      <c r="D10" s="2">
        <f>COUNTIF(defects!$Z:$Z,Weekly_TVPlantPmod!D$3&amp;Weekly_TVPlantPmod!$B10&amp;Weekly_TVPlantPmod!$B$3&amp;$B$2&amp;$B$1&amp;$C$1)</f>
        <v>0</v>
      </c>
      <c r="E10" s="2">
        <f>COUNTIF(defects!$Z:$Z,Weekly_TVPlantPmod!E$3&amp;Weekly_TVPlantPmod!$B10&amp;Weekly_TVPlantPmod!$B$3&amp;$B$2&amp;$B$1&amp;$C$1)</f>
        <v>0</v>
      </c>
      <c r="F10" s="2">
        <f>COUNTIF(defects!$Z:$Z,Weekly_TVPlantPmod!F$3&amp;Weekly_TVPlantPmod!$B10&amp;Weekly_TVPlantPmod!$B$3&amp;$B$2&amp;$B$1&amp;$C$1)</f>
        <v>0</v>
      </c>
      <c r="G10" s="2">
        <f>COUNTIF(defects!$Z:$Z,Weekly_TVPlantPmod!G$3&amp;Weekly_TVPlantPmod!$B10&amp;Weekly_TVPlantPmod!$B$3&amp;$B$2&amp;$B$1&amp;$C$1)</f>
        <v>0</v>
      </c>
      <c r="H10" s="2">
        <f>COUNTIF(defects!$Z:$Z,Weekly_TVPlantPmod!H$3&amp;Weekly_TVPlantPmod!$B10&amp;Weekly_TVPlantPmod!$B$3&amp;$B$2&amp;$B$1&amp;$C$1)</f>
        <v>0</v>
      </c>
      <c r="I10" s="2">
        <f>COUNTIF(defects!$Z:$Z,Weekly_TVPlantPmod!I$3&amp;Weekly_TVPlantPmod!$B10&amp;Weekly_TVPlantPmod!$B$3&amp;$B$2&amp;$B$1&amp;$C$1)</f>
        <v>0</v>
      </c>
      <c r="J10" s="2">
        <f>COUNTIF(defects!$Z:$Z,Weekly_TVPlantPmod!J$3&amp;Weekly_TVPlantPmod!$B10&amp;Weekly_TVPlantPmod!$B$3&amp;$B$2&amp;$B$1&amp;$C$1)</f>
        <v>0</v>
      </c>
      <c r="K10" s="2">
        <f>COUNTIF(defects!$Z:$Z,Weekly_TVPlantPmod!K$3&amp;Weekly_TVPlantPmod!$B10&amp;Weekly_TVPlantPmod!$B$3&amp;$B$2&amp;$B$1&amp;$C$1)</f>
        <v>0</v>
      </c>
      <c r="L10" s="2">
        <f>COUNTIF(defects!$Z:$Z,Weekly_TVPlantPmod!L$3&amp;Weekly_TVPlantPmod!$B10&amp;Weekly_TVPlantPmod!$B$3&amp;$B$2&amp;$B$1&amp;$C$1)</f>
        <v>0</v>
      </c>
      <c r="M10" s="2">
        <f>COUNTIF(defects!$Z:$Z,Weekly_TVPlantPmod!M$3&amp;Weekly_TVPlantPmod!$B10&amp;Weekly_TVPlantPmod!$B$3&amp;$B$2&amp;$B$1&amp;$C$1)</f>
        <v>0</v>
      </c>
      <c r="N10" s="2">
        <f>COUNTIF(defects!$Z:$Z,Weekly_TVPlantPmod!N$3&amp;Weekly_TVPlantPmod!$B10&amp;Weekly_TVPlantPmod!$B$3&amp;$B$2&amp;$B$1&amp;$C$1)</f>
        <v>0</v>
      </c>
      <c r="O10" s="2">
        <f>COUNTIF(defects!$Z:$Z,Weekly_TVPlantPmod!O$3&amp;Weekly_TVPlantPmod!$B10&amp;Weekly_TVPlantPmod!$B$3&amp;$B$2&amp;$B$1&amp;$C$1)</f>
        <v>0</v>
      </c>
      <c r="P10" s="2">
        <f>COUNTIF(defects!$Z:$Z,Weekly_TVPlantPmod!P$3&amp;Weekly_TVPlantPmod!$B10&amp;Weekly_TVPlantPmod!$B$3&amp;$B$2&amp;$B$1&amp;$C$1)</f>
        <v>0</v>
      </c>
      <c r="Q10" s="2">
        <f>COUNTIF(defects!$Z:$Z,Weekly_TVPlantPmod!Q$3&amp;Weekly_TVPlantPmod!$B10&amp;Weekly_TVPlantPmod!$B$3&amp;$B$2&amp;$B$1&amp;$C$1)</f>
        <v>0</v>
      </c>
      <c r="R10" s="2">
        <f>COUNTIF(defects!$Z:$Z,Weekly_TVPlantPmod!R$3&amp;Weekly_TVPlantPmod!$B10&amp;Weekly_TVPlantPmod!$B$3&amp;$B$2&amp;$B$1&amp;$C$1)</f>
        <v>0</v>
      </c>
      <c r="S10" s="2">
        <f>COUNTIF(defects!$Z:$Z,Weekly_TVPlantPmod!S$3&amp;Weekly_TVPlantPmod!$B10&amp;Weekly_TVPlantPmod!$B$3&amp;$B$2&amp;$B$1&amp;$C$1)</f>
        <v>0</v>
      </c>
      <c r="T10" s="2">
        <f>COUNTIF(defects!$Z:$Z,Weekly_TVPlantPmod!T$3&amp;Weekly_TVPlantPmod!$B10&amp;Weekly_TVPlantPmod!$B$3&amp;$B$2&amp;$B$1&amp;$C$1)</f>
        <v>0</v>
      </c>
      <c r="U10" s="2">
        <f>COUNTIF(defects!$Z:$Z,Weekly_TVPlantPmod!U$3&amp;Weekly_TVPlantPmod!$B10&amp;Weekly_TVPlantPmod!$B$3&amp;$B$2&amp;$B$1&amp;$C$1)</f>
        <v>0</v>
      </c>
      <c r="V10" s="2">
        <f>COUNTIF(defects!$Z:$Z,Weekly_TVPlantPmod!V$3&amp;Weekly_TVPlantPmod!$B10&amp;Weekly_TVPlantPmod!$B$3&amp;$B$2&amp;$B$1&amp;$C$1)</f>
        <v>0</v>
      </c>
      <c r="W10" s="2">
        <f>COUNTIF(defects!$Z:$Z,Weekly_TVPlantPmod!W$3&amp;Weekly_TVPlantPmod!$B10&amp;Weekly_TVPlantPmod!$B$3&amp;$B$2&amp;$B$1&amp;$C$1)</f>
        <v>0</v>
      </c>
      <c r="X10" s="2">
        <f>COUNTIF(defects!$Z:$Z,Weekly_TVPlantPmod!X$3&amp;Weekly_TVPlantPmod!$B10&amp;Weekly_TVPlantPmod!$B$3&amp;$B$2&amp;$B$1&amp;$C$1)</f>
        <v>0</v>
      </c>
      <c r="Y10" s="2">
        <f>COUNTIF(defects!$Z:$Z,Weekly_TVPlantPmod!Y$3&amp;Weekly_TVPlantPmod!$B10&amp;Weekly_TVPlantPmod!$B$3&amp;$B$2&amp;$B$1&amp;$C$1)</f>
        <v>0</v>
      </c>
      <c r="Z10" s="2">
        <f>COUNTIF(defects!$Z:$Z,Weekly_TVPlantPmod!Z$3&amp;Weekly_TVPlantPmod!$B10&amp;Weekly_TVPlantPmod!$B$3&amp;$B$2&amp;$B$1&amp;$C$1)</f>
        <v>0</v>
      </c>
      <c r="AA10" s="2">
        <f>COUNTIF(defects!$Z:$Z,Weekly_TVPlantPmod!AA$3&amp;Weekly_TVPlantPmod!$B10&amp;Weekly_TVPlantPmod!$B$3&amp;$B$2&amp;$B$1&amp;$C$1)</f>
        <v>0</v>
      </c>
      <c r="AB10" s="2">
        <f>COUNTIF(defects!$Z:$Z,Weekly_TVPlantPmod!AB$3&amp;Weekly_TVPlantPmod!$B10&amp;Weekly_TVPlantPmod!$B$3&amp;$B$2&amp;$B$1&amp;$C$1)</f>
        <v>0</v>
      </c>
      <c r="AC10" s="2">
        <f>COUNTIF(defects!$Z:$Z,Weekly_TVPlantPmod!AC$3&amp;Weekly_TVPlantPmod!$B10&amp;Weekly_TVPlantPmod!$B$3&amp;$B$2&amp;$B$1&amp;$C$1)</f>
        <v>0</v>
      </c>
      <c r="AD10" s="2">
        <f>COUNTIF(defects!$Z:$Z,Weekly_TVPlantPmod!AD$3&amp;Weekly_TVPlantPmod!$B10&amp;Weekly_TVPlantPmod!$B$3&amp;$B$2&amp;$B$1&amp;$C$1)</f>
        <v>0</v>
      </c>
      <c r="AE10" s="2">
        <f>COUNTIF(defects!$Z:$Z,Weekly_TVPlantPmod!AE$3&amp;Weekly_TVPlantPmod!$B10&amp;Weekly_TVPlantPmod!$B$3&amp;$B$2&amp;$B$1&amp;$C$1)</f>
        <v>0</v>
      </c>
      <c r="AF10" s="2">
        <f>COUNTIF(defects!$Z:$Z,Weekly_TVPlantPmod!AF$3&amp;Weekly_TVPlantPmod!$B10&amp;Weekly_TVPlantPmod!$B$3&amp;$B$2&amp;$B$1&amp;$C$1)</f>
        <v>0</v>
      </c>
      <c r="AG10" s="2">
        <f>COUNTIF(defects!$Z:$Z,Weekly_TVPlantPmod!AG$3&amp;Weekly_TVPlantPmod!$B10&amp;Weekly_TVPlantPmod!$B$3&amp;$B$2&amp;$B$1&amp;$C$1)</f>
        <v>0</v>
      </c>
      <c r="AH10" s="2">
        <f>COUNTIF(defects!$Z:$Z,Weekly_TVPlantPmod!AH$3&amp;Weekly_TVPlantPmod!$B10&amp;Weekly_TVPlantPmod!$B$3&amp;$B$2&amp;$B$1&amp;$C$1)</f>
        <v>0</v>
      </c>
      <c r="AI10" s="2">
        <f>COUNTIF(defects!$Z:$Z,Weekly_TVPlantPmod!AI$3&amp;Weekly_TVPlantPmod!$B10&amp;Weekly_TVPlantPmod!$B$3&amp;$B$2&amp;$B$1&amp;$C$1)</f>
        <v>0</v>
      </c>
      <c r="AJ10" s="2">
        <f>COUNTIF(defects!$Z:$Z,Weekly_TVPlantPmod!AJ$3&amp;Weekly_TVPlantPmod!$B10&amp;Weekly_TVPlantPmod!$B$3&amp;$B$2&amp;$B$1&amp;$C$1)</f>
        <v>0</v>
      </c>
      <c r="AK10" s="2">
        <f>COUNTIF(defects!$Z:$Z,Weekly_TVPlantPmod!AK$3&amp;Weekly_TVPlantPmod!$B10&amp;Weekly_TVPlantPmod!$B$3&amp;$B$2&amp;$B$1&amp;$C$1)</f>
        <v>0</v>
      </c>
      <c r="AL10" s="2">
        <f>COUNTIF(defects!$Z:$Z,Weekly_TVPlantPmod!AL$3&amp;Weekly_TVPlantPmod!$B10&amp;Weekly_TVPlantPmod!$B$3&amp;$B$2&amp;$B$1&amp;$C$1)</f>
        <v>0</v>
      </c>
      <c r="AM10" s="2">
        <f>COUNTIF(defects!$Z:$Z,Weekly_TVPlantPmod!AM$3&amp;Weekly_TVPlantPmod!$B10&amp;Weekly_TVPlantPmod!$B$3&amp;$B$2&amp;$B$1&amp;$C$1)</f>
        <v>0</v>
      </c>
      <c r="AN10" s="2">
        <f>COUNTIF(defects!$Z:$Z,Weekly_TVPlantPmod!AN$3&amp;Weekly_TVPlantPmod!$B10&amp;Weekly_TVPlantPmod!$B$3&amp;$B$2&amp;$B$1&amp;$C$1)</f>
        <v>0</v>
      </c>
      <c r="AO10" s="2">
        <f>COUNTIF(defects!$Z:$Z,Weekly_TVPlantPmod!AO$3&amp;Weekly_TVPlantPmod!$B10&amp;Weekly_TVPlantPmod!$B$3&amp;$B$2&amp;$B$1&amp;$C$1)</f>
        <v>0</v>
      </c>
      <c r="AP10" s="2">
        <f>COUNTIF(defects!$Z:$Z,Weekly_TVPlantPmod!AP$3&amp;Weekly_TVPlantPmod!$B10&amp;Weekly_TVPlantPmod!$B$3&amp;$B$2&amp;$B$1&amp;$C$1)</f>
        <v>0</v>
      </c>
      <c r="AQ10" s="2">
        <f>COUNTIF(defects!$Z:$Z,Weekly_TVPlantPmod!AQ$3&amp;Weekly_TVPlantPmod!$B10&amp;Weekly_TVPlantPmod!$B$3&amp;$B$2&amp;$B$1&amp;$C$1)</f>
        <v>0</v>
      </c>
      <c r="AR10" s="2">
        <f>COUNTIF(defects!$Z:$Z,Weekly_TVPlantPmod!AR$3&amp;Weekly_TVPlantPmod!$B10&amp;Weekly_TVPlantPmod!$B$3&amp;$B$2&amp;$B$1&amp;$C$1)</f>
        <v>0</v>
      </c>
      <c r="AS10" s="2">
        <f>COUNTIF(defects!$Z:$Z,Weekly_TVPlantPmod!AS$3&amp;Weekly_TVPlantPmod!$B10&amp;Weekly_TVPlantPmod!$B$3&amp;$B$2&amp;$B$1&amp;$C$1)</f>
        <v>0</v>
      </c>
      <c r="AT10" s="2">
        <f>COUNTIF(defects!$Z:$Z,Weekly_TVPlantPmod!AT$3&amp;Weekly_TVPlantPmod!$B10&amp;Weekly_TVPlantPmod!$B$3&amp;$B$2&amp;$B$1&amp;$C$1)</f>
        <v>0</v>
      </c>
      <c r="AU10" s="2">
        <f>COUNTIF(defects!$Z:$Z,Weekly_TVPlantPmod!AU$3&amp;Weekly_TVPlantPmod!$B10&amp;Weekly_TVPlantPmod!$B$3&amp;$B$2&amp;$B$1&amp;$C$1)</f>
        <v>0</v>
      </c>
      <c r="AV10" s="2">
        <f>COUNTIF(defects!$Z:$Z,Weekly_TVPlantPmod!AV$3&amp;Weekly_TVPlantPmod!$B10&amp;Weekly_TVPlantPmod!$B$3&amp;$B$2&amp;$B$1&amp;$C$1)</f>
        <v>0</v>
      </c>
      <c r="AW10" s="2">
        <f>COUNTIF(defects!$Z:$Z,Weekly_TVPlantPmod!AW$3&amp;Weekly_TVPlantPmod!$B10&amp;Weekly_TVPlantPmod!$B$3&amp;$B$2&amp;$B$1&amp;$C$1)</f>
        <v>0</v>
      </c>
      <c r="AX10" s="2">
        <f>COUNTIF(defects!$Z:$Z,Weekly_TVPlantPmod!AX$3&amp;Weekly_TVPlantPmod!$B10&amp;Weekly_TVPlantPmod!$B$3&amp;$B$2&amp;$B$1&amp;$C$1)</f>
        <v>0</v>
      </c>
      <c r="AY10" s="2">
        <f>COUNTIF(defects!$Z:$Z,Weekly_TVPlantPmod!AY$3&amp;Weekly_TVPlantPmod!$B10&amp;Weekly_TVPlantPmod!$B$3&amp;$B$2&amp;$B$1&amp;$C$1)</f>
        <v>0</v>
      </c>
      <c r="AZ10" s="2">
        <f>COUNTIF(defects!$Z:$Z,Weekly_TVPlantPmod!AZ$3&amp;Weekly_TVPlantPmod!$B10&amp;Weekly_TVPlantPmod!$B$3&amp;$B$2&amp;$B$1&amp;$C$1)</f>
        <v>0</v>
      </c>
      <c r="BA10" s="2">
        <f>COUNTIF(defects!$Z:$Z,Weekly_TVPlantPmod!BA$3&amp;Weekly_TVPlantPmod!$B10&amp;Weekly_TVPlantPmod!$B$3&amp;$B$2&amp;$B$1&amp;$C$1)</f>
        <v>0</v>
      </c>
      <c r="BB10" s="2">
        <f>COUNTIF(defects!$Z:$Z,Weekly_TVPlantPmod!BB$3&amp;Weekly_TVPlantPmod!$B10&amp;Weekly_TVPlantPmod!$B$3&amp;$B$2&amp;$B$1&amp;$C$1)</f>
        <v>0</v>
      </c>
      <c r="BC10" s="2">
        <f>COUNTIF(defects!$Z:$Z,Weekly_TVPlantPmod!BC$3&amp;Weekly_TVPlantPmod!$B10&amp;Weekly_TVPlantPmod!$B$3&amp;$B$2&amp;$B$1&amp;$C$1)</f>
        <v>0</v>
      </c>
      <c r="BD10" s="2">
        <f>COUNTIF(defects!$Z:$Z,Weekly_TVPlantPmod!BD$3&amp;Weekly_TVPlantPmod!$B10&amp;Weekly_TVPlantPmod!$B$3&amp;$B$2&amp;$B$1&amp;$C$1)</f>
        <v>0</v>
      </c>
      <c r="BE10" s="2">
        <f>COUNTIF(defects!$Z:$Z,Weekly_TVPlantPmod!BE$3&amp;Weekly_TVPlantPmod!$B10&amp;Weekly_TVPlantPmod!$B$3&amp;$B$2&amp;$B$1&amp;$C$1)</f>
        <v>0</v>
      </c>
      <c r="BF10" s="2">
        <f>COUNTIF(defects!$Z:$Z,Weekly_TVPlantPmod!BF$3&amp;Weekly_TVPlantPmod!$B10&amp;Weekly_TVPlantPmod!$B$3&amp;$B$2&amp;$B$1&amp;$C$1)</f>
        <v>0</v>
      </c>
      <c r="BG10" s="2">
        <f>COUNTIF(defects!$Z:$Z,Weekly_TVPlantPmod!BG$3&amp;Weekly_TVPlantPmod!$B10&amp;Weekly_TVPlantPmod!$B$3&amp;$B$2&amp;$B$1&amp;$C$1)</f>
        <v>0</v>
      </c>
      <c r="BH10" s="2">
        <f>COUNTIF(defects!$Z:$Z,Weekly_TVPlantPmod!BH$3&amp;Weekly_TVPlantPmod!$B10&amp;Weekly_TVPlantPmod!$B$3&amp;$B$2&amp;$B$1&amp;$C$1)</f>
        <v>0</v>
      </c>
      <c r="BI10" s="2">
        <f>COUNTIF(defects!$Z:$Z,Weekly_TVPlantPmod!BI$3&amp;Weekly_TVPlantPmod!$B10&amp;Weekly_TVPlantPmod!$B$3&amp;$B$2&amp;$B$1&amp;$C$1)</f>
        <v>0</v>
      </c>
      <c r="BJ10" s="2">
        <f>COUNTIF(defects!$Z:$Z,Weekly_TVPlantPmod!BJ$3&amp;Weekly_TVPlantPmod!$B10&amp;Weekly_TVPlantPmod!$B$3&amp;$B$2&amp;$B$1&amp;$C$1)</f>
        <v>0</v>
      </c>
      <c r="BK10" s="2">
        <f>COUNTIF(defects!$Z:$Z,Weekly_TVPlantPmod!BK$3&amp;Weekly_TVPlantPmod!$B10&amp;Weekly_TVPlantPmod!$B$3&amp;$B$2&amp;$B$1&amp;$C$1)</f>
        <v>0</v>
      </c>
      <c r="BL10" s="2">
        <f>COUNTIF(defects!$Z:$Z,Weekly_TVPlantPmod!BL$3&amp;Weekly_TVPlantPmod!$B10&amp;Weekly_TVPlantPmod!$B$3&amp;$B$2&amp;$B$1&amp;$C$1)</f>
        <v>0</v>
      </c>
      <c r="BM10" s="2">
        <f>COUNTIF(defects!$Z:$Z,Weekly_TVPlantPmod!BM$3&amp;Weekly_TVPlantPmod!$B10&amp;Weekly_TVPlantPmod!$B$3&amp;$B$2&amp;$B$1&amp;$C$1)</f>
        <v>0</v>
      </c>
      <c r="BN10" s="2">
        <f>COUNTIF(defects!$Z:$Z,Weekly_TVPlantPmod!BN$3&amp;Weekly_TVPlantPmod!$B10&amp;Weekly_TVPlantPmod!$B$3&amp;$B$2&amp;$B$1&amp;$C$1)</f>
        <v>0</v>
      </c>
      <c r="BO10" s="2">
        <f>COUNTIF(defects!$Z:$Z,Weekly_TVPlantPmod!BO$3&amp;Weekly_TVPlantPmod!$B10&amp;Weekly_TVPlantPmod!$B$3&amp;$B$2&amp;$B$1&amp;$C$1)</f>
        <v>0</v>
      </c>
      <c r="BP10" s="2">
        <f>COUNTIF(defects!$Z:$Z,Weekly_TVPlantPmod!BP$3&amp;Weekly_TVPlantPmod!$B10&amp;Weekly_TVPlantPmod!$B$3&amp;$B$2&amp;$B$1&amp;$C$1)</f>
        <v>0</v>
      </c>
      <c r="BQ10" s="2">
        <f>COUNTIF(defects!$Z:$Z,Weekly_TVPlantPmod!BQ$3&amp;Weekly_TVPlantPmod!$B10&amp;Weekly_TVPlantPmod!$B$3&amp;$B$2&amp;$B$1&amp;$C$1)</f>
        <v>0</v>
      </c>
      <c r="BR10" s="2">
        <f>COUNTIF(defects!$Z:$Z,Weekly_TVPlantPmod!BR$3&amp;Weekly_TVPlantPmod!$B10&amp;Weekly_TVPlantPmod!$B$3&amp;$B$2&amp;$B$1&amp;$C$1)</f>
        <v>0</v>
      </c>
      <c r="BS10" s="2">
        <f>COUNTIF(defects!$Z:$Z,Weekly_TVPlantPmod!BS$3&amp;Weekly_TVPlantPmod!$B10&amp;Weekly_TVPlantPmod!$B$3&amp;$B$2&amp;$B$1&amp;$C$1)</f>
        <v>0</v>
      </c>
      <c r="BT10" s="2">
        <f>COUNTIF(defects!$Z:$Z,Weekly_TVPlantPmod!BT$3&amp;Weekly_TVPlantPmod!$B10&amp;Weekly_TVPlantPmod!$B$3&amp;$B$2&amp;$B$1&amp;$C$1)</f>
        <v>0</v>
      </c>
      <c r="BU10" s="2">
        <f>COUNTIF(defects!$Z:$Z,Weekly_TVPlantPmod!BU$3&amp;Weekly_TVPlantPmod!$B10&amp;Weekly_TVPlantPmod!$B$3&amp;$B$2&amp;$B$1&amp;$C$1)</f>
        <v>0</v>
      </c>
      <c r="BV10" s="2">
        <f>COUNTIF(defects!$Z:$Z,Weekly_TVPlantPmod!BV$3&amp;Weekly_TVPlantPmod!$B10&amp;Weekly_TVPlantPmod!$B$3&amp;$B$2&amp;$B$1&amp;$C$1)</f>
        <v>0</v>
      </c>
      <c r="BW10" s="2">
        <f>COUNTIF(defects!$Z:$Z,Weekly_TVPlantPmod!BW$3&amp;Weekly_TVPlantPmod!$B10&amp;Weekly_TVPlantPmod!$B$3&amp;$B$2&amp;$B$1&amp;$C$1)</f>
        <v>0</v>
      </c>
      <c r="BX10" s="2">
        <f>COUNTIF(defects!$Z:$Z,Weekly_TVPlantPmod!BX$3&amp;Weekly_TVPlantPmod!$B10&amp;Weekly_TVPlantPmod!$B$3&amp;$B$2&amp;$B$1&amp;$C$1)</f>
        <v>0</v>
      </c>
      <c r="BY10" s="2">
        <f>COUNTIF(defects!$Z:$Z,Weekly_TVPlantPmod!BY$3&amp;Weekly_TVPlantPmod!$B10&amp;Weekly_TVPlantPmod!$B$3&amp;$B$2&amp;$B$1&amp;$C$1)</f>
        <v>0</v>
      </c>
      <c r="BZ10" s="2">
        <f>COUNTIF(defects!$Z:$Z,Weekly_TVPlantPmod!BZ$3&amp;Weekly_TVPlantPmod!$B10&amp;Weekly_TVPlantPmod!$B$3&amp;$B$2&amp;$B$1&amp;$C$1)</f>
        <v>0</v>
      </c>
      <c r="CA10" s="2">
        <f>COUNTIF(defects!$Z:$Z,Weekly_TVPlantPmod!CA$3&amp;Weekly_TVPlantPmod!$B10&amp;Weekly_TVPlantPmod!$B$3&amp;$B$2&amp;$B$1&amp;$C$1)</f>
        <v>0</v>
      </c>
      <c r="CB10" s="2">
        <f>COUNTIF(defects!$Z:$Z,Weekly_TVPlantPmod!CB$3&amp;Weekly_TVPlantPmod!$B10&amp;Weekly_TVPlantPmod!$B$3&amp;$B$2&amp;$B$1&amp;$C$1)</f>
        <v>1</v>
      </c>
      <c r="CC10" s="2">
        <f>COUNTIF(defects!$Z:$Z,Weekly_TVPlantPmod!CC$3&amp;Weekly_TVPlantPmod!$B10&amp;Weekly_TVPlantPmod!$B$3&amp;$B$2&amp;$B$1&amp;$C$1)</f>
        <v>0</v>
      </c>
      <c r="CD10" s="2">
        <f>COUNTIF(defects!$Z:$Z,Weekly_TVPlantPmod!CD$3&amp;Weekly_TVPlantPmod!$B10&amp;Weekly_TVPlantPmod!$B$3&amp;$B$2&amp;$B$1&amp;$C$1)</f>
        <v>0</v>
      </c>
      <c r="CE10" s="2">
        <f>COUNTIF(defects!$Z:$Z,Weekly_TVPlantPmod!CE$3&amp;Weekly_TVPlantPmod!$B10&amp;Weekly_TVPlantPmod!$B$3&amp;$B$2&amp;$B$1&amp;$C$1)</f>
        <v>0</v>
      </c>
      <c r="CF10" s="2">
        <f>COUNTIF(defects!$Z:$Z,Weekly_TVPlantPmod!CF$3&amp;Weekly_TVPlantPmod!$B10&amp;Weekly_TVPlantPmod!$B$3&amp;$B$2&amp;$B$1&amp;$C$1)</f>
        <v>0</v>
      </c>
      <c r="CG10" s="2">
        <f>COUNTIF(defects!$Z:$Z,Weekly_TVPlantPmod!CG$3&amp;Weekly_TVPlantPmod!$B10&amp;Weekly_TVPlantPmod!$B$3&amp;$B$2&amp;$B$1&amp;$C$1)</f>
        <v>0</v>
      </c>
      <c r="CH10" s="2">
        <f>COUNTIF(defects!$Z:$Z,Weekly_TVPlantPmod!CH$3&amp;Weekly_TVPlantPmod!$B10&amp;Weekly_TVPlantPmod!$B$3&amp;$B$2&amp;$B$1&amp;$C$1)</f>
        <v>0</v>
      </c>
      <c r="CI10" s="2">
        <f>COUNTIF(defects!$Z:$Z,Weekly_TVPlantPmod!CI$3&amp;Weekly_TVPlantPmod!$B10&amp;Weekly_TVPlantPmod!$B$3&amp;$B$2&amp;$B$1&amp;$C$1)</f>
        <v>0</v>
      </c>
      <c r="CJ10" s="2">
        <f>COUNTIF(defects!$Z:$Z,Weekly_TVPlantPmod!CJ$3&amp;Weekly_TVPlantPmod!$B10&amp;Weekly_TVPlantPmod!$B$3&amp;$B$2&amp;$B$1&amp;$C$1)</f>
        <v>0</v>
      </c>
      <c r="CK10" s="2">
        <f>COUNTIF(defects!$Z:$Z,Weekly_TVPlantPmod!CK$3&amp;Weekly_TVPlantPmod!$B10&amp;Weekly_TVPlantPmod!$B$3&amp;$B$2&amp;$B$1&amp;$C$1)</f>
        <v>1</v>
      </c>
      <c r="CL10" s="2">
        <f>COUNTIF(defects!$Z:$Z,Weekly_TVPlantPmod!CL$3&amp;Weekly_TVPlantPmod!$B10&amp;Weekly_TVPlantPmod!$B$3&amp;$B$2&amp;$B$1&amp;$C$1)</f>
        <v>0</v>
      </c>
      <c r="CM10" s="2">
        <f>COUNTIF(defects!$Z:$Z,Weekly_TVPlantPmod!CM$3&amp;Weekly_TVPlantPmod!$B10&amp;Weekly_TVPlantPmod!$B$3&amp;$B$2&amp;$B$1&amp;$C$1)</f>
        <v>0</v>
      </c>
      <c r="CN10" s="2">
        <f>COUNTIF(defects!$Z:$Z,Weekly_TVPlantPmod!CN$3&amp;Weekly_TVPlantPmod!$B10&amp;Weekly_TVPlantPmod!$B$3&amp;$B$2&amp;$B$1&amp;$C$1)</f>
        <v>0</v>
      </c>
      <c r="CO10" s="2">
        <f>COUNTIF(defects!$Z:$Z,Weekly_TVPlantPmod!CO$3&amp;Weekly_TVPlantPmod!$B10&amp;Weekly_TVPlantPmod!$B$3&amp;$B$2&amp;$B$1&amp;$C$1)</f>
        <v>0</v>
      </c>
      <c r="CP10" s="2">
        <f>COUNTIF(defects!$Z:$Z,Weekly_TVPlantPmod!CP$3&amp;Weekly_TVPlantPmod!$B10&amp;Weekly_TVPlantPmod!$B$3&amp;$B$2&amp;$B$1&amp;$C$1)</f>
        <v>2</v>
      </c>
      <c r="CQ10" s="2">
        <f>COUNTIF(defects!$Z:$Z,Weekly_TVPlantPmod!CQ$3&amp;Weekly_TVPlantPmod!$B10&amp;Weekly_TVPlantPmod!$B$3&amp;$B$2&amp;$B$1&amp;$C$1)</f>
        <v>0</v>
      </c>
      <c r="CR10" s="2">
        <f>COUNTIF(defects!$Z:$Z,Weekly_TVPlantPmod!CR$3&amp;Weekly_TVPlantPmod!$B10&amp;Weekly_TVPlantPmod!$B$3&amp;$B$2&amp;$B$1&amp;$C$1)</f>
        <v>0</v>
      </c>
      <c r="CS10" s="2">
        <f>COUNTIF(defects!$Z:$Z,Weekly_TVPlantPmod!CS$3&amp;Weekly_TVPlantPmod!$B10&amp;Weekly_TVPlantPmod!$B$3&amp;$B$2&amp;$B$1&amp;$C$1)</f>
        <v>0</v>
      </c>
      <c r="CT10" s="2">
        <f>COUNTIF(defects!$Z:$Z,Weekly_TVPlantPmod!CT$3&amp;Weekly_TVPlantPmod!$B10&amp;Weekly_TVPlantPmod!$B$3&amp;$B$2&amp;$B$1&amp;$C$1)</f>
        <v>0</v>
      </c>
      <c r="CU10" s="2">
        <f>COUNTIF(defects!$Z:$Z,Weekly_TVPlantPmod!CU$3&amp;Weekly_TVPlantPmod!$B10&amp;Weekly_TVPlantPmod!$B$3&amp;$B$2&amp;$B$1&amp;$C$1)</f>
        <v>0</v>
      </c>
      <c r="CV10" s="2">
        <f>COUNTIF(defects!$Z:$Z,Weekly_TVPlantPmod!CV$3&amp;Weekly_TVPlantPmod!$B10&amp;Weekly_TVPlantPmod!$B$3&amp;$B$2&amp;$B$1&amp;$C$1)</f>
        <v>0</v>
      </c>
      <c r="CW10" s="2">
        <f>COUNTIF(defects!$Z:$Z,Weekly_TVPlantPmod!CW$3&amp;Weekly_TVPlantPmod!$B10&amp;Weekly_TVPlantPmod!$B$3&amp;$B$2&amp;$B$1&amp;$C$1)</f>
        <v>0</v>
      </c>
      <c r="CX10" s="2">
        <f>COUNTIF(defects!$Z:$Z,Weekly_TVPlantPmod!CX$3&amp;Weekly_TVPlantPmod!$B10&amp;Weekly_TVPlantPmod!$B$3&amp;$B$2&amp;$B$1&amp;$C$1)</f>
        <v>0</v>
      </c>
      <c r="CY10" s="2">
        <f>COUNTIF(defects!$Z:$Z,Weekly_TVPlantPmod!CY$3&amp;Weekly_TVPlantPmod!$B10&amp;Weekly_TVPlantPmod!$B$3&amp;$B$2&amp;$B$1&amp;$C$1)</f>
        <v>0</v>
      </c>
      <c r="CZ10" s="2">
        <f>COUNTIF(defects!$Z:$Z,Weekly_TVPlantPmod!CZ$3&amp;Weekly_TVPlantPmod!$B10&amp;Weekly_TVPlantPmod!$B$3&amp;$B$2&amp;$B$1&amp;$C$1)</f>
        <v>0</v>
      </c>
      <c r="DA10" s="2">
        <f>COUNTIF(defects!$Z:$Z,Weekly_TVPlantPmod!DA$3&amp;Weekly_TVPlantPmod!$B10&amp;Weekly_TVPlantPmod!$B$3&amp;$B$2&amp;$B$1&amp;$C$1)</f>
        <v>0</v>
      </c>
      <c r="DB10" s="2">
        <f>COUNTIF(defects!$Z:$Z,Weekly_TVPlantPmod!DB$3&amp;Weekly_TVPlantPmod!$B10&amp;Weekly_TVPlantPmod!$B$3&amp;$B$2&amp;$B$1&amp;$C$1)</f>
        <v>0</v>
      </c>
      <c r="DC10" s="2">
        <f>COUNTIF(defects!$Z:$Z,Weekly_TVPlantPmod!DC$3&amp;Weekly_TVPlantPmod!$B10&amp;Weekly_TVPlantPmod!$B$3&amp;$B$2&amp;$B$1&amp;$C$1)</f>
        <v>1</v>
      </c>
      <c r="DD10" s="2">
        <f>COUNTIF(defects!$Z:$Z,Weekly_TVPlantPmod!DD$3&amp;Weekly_TVPlantPmod!$B10&amp;Weekly_TVPlantPmod!$B$3&amp;$B$2&amp;$B$1&amp;$C$1)</f>
        <v>0</v>
      </c>
      <c r="DE10" s="2">
        <f>COUNTIF(defects!$Z:$Z,Weekly_TVPlantPmod!DE$3&amp;Weekly_TVPlantPmod!$B10&amp;Weekly_TVPlantPmod!$B$3&amp;$B$2&amp;$B$1&amp;$C$1)</f>
        <v>0</v>
      </c>
      <c r="DF10" s="2">
        <f>COUNTIF(defects!$Z:$Z,Weekly_TVPlantPmod!DF$3&amp;Weekly_TVPlantPmod!$B10&amp;Weekly_TVPlantPmod!$B$3&amp;$B$2&amp;$B$1&amp;$C$1)</f>
        <v>0</v>
      </c>
      <c r="DG10" s="2">
        <f>COUNTIF(defects!$Z:$Z,Weekly_TVPlantPmod!DG$3&amp;Weekly_TVPlantPmod!$B10&amp;Weekly_TVPlantPmod!$B$3&amp;$B$2&amp;$B$1&amp;$C$1)</f>
        <v>0</v>
      </c>
      <c r="DH10" s="2">
        <f>COUNTIF(defects!$Z:$Z,Weekly_TVPlantPmod!DH$3&amp;Weekly_TVPlantPmod!$B10&amp;Weekly_TVPlantPmod!$B$3&amp;$B$2&amp;$B$1&amp;$C$1)</f>
        <v>0</v>
      </c>
      <c r="DI10" s="2">
        <f>COUNTIF(defects!$Z:$Z,Weekly_TVPlantPmod!DI$3&amp;Weekly_TVPlantPmod!$B10&amp;Weekly_TVPlantPmod!$B$3&amp;$B$2&amp;$B$1&amp;$C$1)</f>
        <v>0</v>
      </c>
      <c r="DJ10" s="2">
        <f>COUNTIF(defects!$Z:$Z,Weekly_TVPlantPmod!DJ$3&amp;Weekly_TVPlantPmod!$B10&amp;Weekly_TVPlantPmod!$B$3&amp;$B$2&amp;$B$1&amp;$C$1)</f>
        <v>0</v>
      </c>
      <c r="DK10" s="2">
        <f>COUNTIF(defects!$Z:$Z,Weekly_TVPlantPmod!DK$3&amp;Weekly_TVPlantPmod!$B10&amp;Weekly_TVPlantPmod!$B$3&amp;$B$2&amp;$B$1&amp;$C$1)</f>
        <v>0</v>
      </c>
      <c r="DL10" s="2">
        <f>COUNTIF(defects!$Z:$Z,Weekly_TVPlantPmod!DL$3&amp;Weekly_TVPlantPmod!$B10&amp;Weekly_TVPlantPmod!$B$3&amp;$B$2&amp;$B$1&amp;$C$1)</f>
        <v>0</v>
      </c>
      <c r="DM10" s="2">
        <f>COUNTIF(defects!$Z:$Z,Weekly_TVPlantPmod!DM$3&amp;Weekly_TVPlantPmod!$B10&amp;Weekly_TVPlantPmod!$B$3&amp;$B$2&amp;$B$1&amp;$C$1)</f>
        <v>0</v>
      </c>
      <c r="DN10" s="2">
        <f>COUNTIF(defects!$Z:$Z,Weekly_TVPlantPmod!DN$3&amp;Weekly_TVPlantPmod!$B10&amp;Weekly_TVPlantPmod!$B$3&amp;$B$2&amp;$B$1&amp;$C$1)</f>
        <v>0</v>
      </c>
      <c r="DO10" s="2">
        <f>COUNTIF(defects!$Z:$Z,Weekly_TVPlantPmod!DO$3&amp;Weekly_TVPlantPmod!$B10&amp;Weekly_TVPlantPmod!$B$3&amp;$B$2&amp;$B$1&amp;$C$1)</f>
        <v>0</v>
      </c>
      <c r="DP10" s="2">
        <f>COUNTIF(defects!$Z:$Z,Weekly_TVPlantPmod!DP$3&amp;Weekly_TVPlantPmod!$B10&amp;Weekly_TVPlantPmod!$B$3&amp;$B$2&amp;$B$1&amp;$C$1)</f>
        <v>0</v>
      </c>
      <c r="DQ10" s="2">
        <f>COUNTIF(defects!$Z:$Z,Weekly_TVPlantPmod!DQ$3&amp;Weekly_TVPlantPmod!$B10&amp;Weekly_TVPlantPmod!$B$3&amp;$B$2&amp;$B$1&amp;$C$1)</f>
        <v>0</v>
      </c>
      <c r="DR10" s="2">
        <f>COUNTIF(defects!$Z:$Z,Weekly_TVPlantPmod!DR$3&amp;Weekly_TVPlantPmod!$B10&amp;Weekly_TVPlantPmod!$B$3&amp;$B$2&amp;$B$1&amp;$C$1)</f>
        <v>0</v>
      </c>
      <c r="DS10" s="2">
        <f>COUNTIF(defects!$Z:$Z,Weekly_TVPlantPmod!DS$3&amp;Weekly_TVPlantPmod!$B10&amp;Weekly_TVPlantPmod!$B$3&amp;$B$2&amp;$B$1&amp;$C$1)</f>
        <v>0</v>
      </c>
      <c r="DT10" s="2">
        <f>COUNTIF(defects!$Z:$Z,Weekly_TVPlantPmod!DT$3&amp;Weekly_TVPlantPmod!$B10&amp;Weekly_TVPlantPmod!$B$3&amp;$B$2&amp;$B$1&amp;$C$1)</f>
        <v>0</v>
      </c>
      <c r="DU10" s="2">
        <f>COUNTIF(defects!$Z:$Z,Weekly_TVPlantPmod!DU$3&amp;Weekly_TVPlantPmod!$B10&amp;Weekly_TVPlantPmod!$B$3&amp;$B$2&amp;$B$1&amp;$C$1)</f>
        <v>0</v>
      </c>
      <c r="DV10" s="2">
        <f>COUNTIF(defects!$Z:$Z,Weekly_TVPlantPmod!DV$3&amp;Weekly_TVPlantPmod!$B10&amp;Weekly_TVPlantPmod!$B$3&amp;$B$2&amp;$B$1&amp;$C$1)</f>
        <v>0</v>
      </c>
      <c r="DW10" s="2">
        <f>COUNTIF(defects!$Z:$Z,Weekly_TVPlantPmod!DW$3&amp;Weekly_TVPlantPmod!$B10&amp;Weekly_TVPlantPmod!$B$3&amp;$B$2&amp;$B$1&amp;$C$1)</f>
        <v>0</v>
      </c>
      <c r="DX10" s="2">
        <f>COUNTIF(defects!$Z:$Z,Weekly_TVPlantPmod!DX$3&amp;Weekly_TVPlantPmod!$B10&amp;Weekly_TVPlantPmod!$B$3&amp;$B$2&amp;$B$1&amp;$C$1)</f>
        <v>0</v>
      </c>
      <c r="DY10" s="2">
        <f>COUNTIF(defects!$Z:$Z,Weekly_TVPlantPmod!DY$3&amp;Weekly_TVPlantPmod!$B10&amp;Weekly_TVPlantPmod!$B$3&amp;$B$2&amp;$B$1&amp;$C$1)</f>
        <v>0</v>
      </c>
      <c r="DZ10" s="2">
        <f>COUNTIF(defects!$Z:$Z,Weekly_TVPlantPmod!DZ$3&amp;Weekly_TVPlantPmod!$B10&amp;Weekly_TVPlantPmod!$B$3&amp;$B$2&amp;$B$1&amp;$C$1)</f>
        <v>0</v>
      </c>
      <c r="EA10" s="2">
        <f>COUNTIF(defects!$Z:$Z,Weekly_TVPlantPmod!EA$3&amp;Weekly_TVPlantPmod!$B10&amp;Weekly_TVPlantPmod!$B$3&amp;$B$2&amp;$B$1&amp;$C$1)</f>
        <v>0</v>
      </c>
      <c r="EB10" s="2">
        <f>COUNTIF(defects!$Z:$Z,Weekly_TVPlantPmod!EB$3&amp;Weekly_TVPlantPmod!$B10&amp;Weekly_TVPlantPmod!$B$3&amp;$B$2&amp;$B$1&amp;$C$1)</f>
        <v>0</v>
      </c>
      <c r="EC10" s="2">
        <f>COUNTIF(defects!$Z:$Z,Weekly_TVPlantPmod!EC$3&amp;Weekly_TVPlantPmod!$B10&amp;Weekly_TVPlantPmod!$B$3&amp;$B$2&amp;$B$1&amp;$C$1)</f>
        <v>0</v>
      </c>
      <c r="ED10" s="2">
        <f>COUNTIF(defects!$Z:$Z,Weekly_TVPlantPmod!ED$3&amp;Weekly_TVPlantPmod!$B10&amp;Weekly_TVPlantPmod!$B$3&amp;$B$2&amp;$B$1&amp;$C$1)</f>
        <v>0</v>
      </c>
      <c r="EE10" s="2">
        <f>COUNTIF(defects!$Z:$Z,Weekly_TVPlantPmod!EE$3&amp;Weekly_TVPlantPmod!$B10&amp;Weekly_TVPlantPmod!$B$3&amp;$B$2&amp;$B$1&amp;$C$1)</f>
        <v>0</v>
      </c>
      <c r="EF10" s="2">
        <f>COUNTIF(defects!$Z:$Z,Weekly_TVPlantPmod!EF$3&amp;Weekly_TVPlantPmod!$B10&amp;Weekly_TVPlantPmod!$B$3&amp;$B$2&amp;$B$1&amp;$C$1)</f>
        <v>0</v>
      </c>
      <c r="EG10" s="2">
        <f>COUNTIF(defects!$Z:$Z,Weekly_TVPlantPmod!EG$3&amp;Weekly_TVPlantPmod!$B10&amp;Weekly_TVPlantPmod!$B$3&amp;$B$2&amp;$B$1&amp;$C$1)</f>
        <v>0</v>
      </c>
      <c r="EH10" s="2">
        <f>COUNTIF(defects!$Z:$Z,Weekly_TVPlantPmod!EH$3&amp;Weekly_TVPlantPmod!$B10&amp;Weekly_TVPlantPmod!$B$3&amp;$B$2&amp;$B$1&amp;$C$1)</f>
        <v>0</v>
      </c>
      <c r="EI10" s="2">
        <f>COUNTIF(defects!$Z:$Z,Weekly_TVPlantPmod!EI$3&amp;Weekly_TVPlantPmod!$B10&amp;Weekly_TVPlantPmod!$B$3&amp;$B$2&amp;$B$1&amp;$C$1)</f>
        <v>0</v>
      </c>
      <c r="EJ10" s="2">
        <f>COUNTIF(defects!$Z:$Z,Weekly_TVPlantPmod!EJ$3&amp;Weekly_TVPlantPmod!$B10&amp;Weekly_TVPlantPmod!$B$3&amp;$B$2&amp;$B$1&amp;$C$1)</f>
        <v>0</v>
      </c>
      <c r="EK10" s="2">
        <f>COUNTIF(defects!$Z:$Z,Weekly_TVPlantPmod!EK$3&amp;Weekly_TVPlantPmod!$B10&amp;Weekly_TVPlantPmod!$B$3&amp;$B$2&amp;$B$1&amp;$C$1)</f>
        <v>0</v>
      </c>
      <c r="EL10" s="2">
        <f>COUNTIF(defects!$Z:$Z,Weekly_TVPlantPmod!EL$3&amp;Weekly_TVPlantPmod!$B10&amp;Weekly_TVPlantPmod!$B$3&amp;$B$2&amp;$B$1&amp;$C$1)</f>
        <v>0</v>
      </c>
      <c r="EM10" s="2">
        <f>COUNTIF(defects!$Z:$Z,Weekly_TVPlantPmod!EM$3&amp;Weekly_TVPlantPmod!$B10&amp;Weekly_TVPlantPmod!$B$3&amp;$B$2&amp;$B$1&amp;$C$1)</f>
        <v>0</v>
      </c>
      <c r="EN10" s="2">
        <f>COUNTIF(defects!$Z:$Z,Weekly_TVPlantPmod!EN$3&amp;Weekly_TVPlantPmod!$B10&amp;Weekly_TVPlantPmod!$B$3&amp;$B$2&amp;$B$1&amp;$C$1)</f>
        <v>0</v>
      </c>
      <c r="EO10" s="2">
        <f>COUNTIF(defects!$Z:$Z,Weekly_TVPlantPmod!EO$3&amp;Weekly_TVPlantPmod!$B10&amp;Weekly_TVPlantPmod!$B$3&amp;$B$2&amp;$B$1&amp;$C$1)</f>
        <v>0</v>
      </c>
      <c r="EP10" s="2">
        <f>COUNTIF(defects!$Z:$Z,Weekly_TVPlantPmod!EP$3&amp;Weekly_TVPlantPmod!$B10&amp;Weekly_TVPlantPmod!$B$3&amp;$B$2&amp;$B$1&amp;$C$1)</f>
        <v>0</v>
      </c>
      <c r="EQ10" s="2">
        <f>COUNTIF(defects!$Z:$Z,Weekly_TVPlantPmod!EQ$3&amp;Weekly_TVPlantPmod!$B10&amp;Weekly_TVPlantPmod!$B$3&amp;$B$2&amp;$B$1&amp;$C$1)</f>
        <v>0</v>
      </c>
      <c r="ER10" s="2">
        <f>COUNTIF(defects!$Z:$Z,Weekly_TVPlantPmod!ER$3&amp;Weekly_TVPlantPmod!$B10&amp;Weekly_TVPlantPmod!$B$3&amp;$B$2&amp;$B$1&amp;$C$1)</f>
        <v>0</v>
      </c>
      <c r="ES10" s="2">
        <f>COUNTIF(defects!$Z:$Z,Weekly_TVPlantPmod!ES$3&amp;Weekly_TVPlantPmod!$B10&amp;Weekly_TVPlantPmod!$B$3&amp;$B$2&amp;$B$1&amp;$C$1)</f>
        <v>0</v>
      </c>
      <c r="ET10" s="2">
        <f>COUNTIF(defects!$Z:$Z,Weekly_TVPlantPmod!ET$3&amp;Weekly_TVPlantPmod!$B10&amp;Weekly_TVPlantPmod!$B$3&amp;$B$2&amp;$B$1&amp;$C$1)</f>
        <v>0</v>
      </c>
      <c r="EU10" s="2">
        <f>COUNTIF(defects!$Z:$Z,Weekly_TVPlantPmod!EU$3&amp;Weekly_TVPlantPmod!$B10&amp;Weekly_TVPlantPmod!$B$3&amp;$B$2&amp;$B$1&amp;$C$1)</f>
        <v>0</v>
      </c>
      <c r="EV10" s="2">
        <f>COUNTIF(defects!$Z:$Z,Weekly_TVPlantPmod!EV$3&amp;Weekly_TVPlantPmod!$B10&amp;Weekly_TVPlantPmod!$B$3&amp;$B$2&amp;$B$1&amp;$C$1)</f>
        <v>0</v>
      </c>
      <c r="EW10" s="2">
        <f>COUNTIF(defects!$Z:$Z,Weekly_TVPlantPmod!EW$3&amp;Weekly_TVPlantPmod!$B10&amp;Weekly_TVPlantPmod!$B$3&amp;$B$2&amp;$B$1&amp;$C$1)</f>
        <v>0</v>
      </c>
      <c r="EX10" s="2">
        <f>COUNTIF(defects!$Z:$Z,Weekly_TVPlantPmod!EX$3&amp;Weekly_TVPlantPmod!$B10&amp;Weekly_TVPlantPmod!$B$3&amp;$B$2&amp;$B$1&amp;$C$1)</f>
        <v>0</v>
      </c>
      <c r="EY10" s="2">
        <f>COUNTIF(defects!$Z:$Z,Weekly_TVPlantPmod!EY$3&amp;Weekly_TVPlantPmod!$B10&amp;Weekly_TVPlantPmod!$B$3&amp;$B$2&amp;$B$1&amp;$C$1)</f>
        <v>0</v>
      </c>
      <c r="EZ10" s="2">
        <f>COUNTIF(defects!$Z:$Z,Weekly_TVPlantPmod!EZ$3&amp;Weekly_TVPlantPmod!$B10&amp;Weekly_TVPlantPmod!$B$3&amp;$B$2&amp;$B$1&amp;$C$1)</f>
        <v>0</v>
      </c>
      <c r="FA10" s="2">
        <f>COUNTIF(defects!$Z:$Z,Weekly_TVPlantPmod!FA$3&amp;Weekly_TVPlantPmod!$B10&amp;Weekly_TVPlantPmod!$B$3&amp;$B$2&amp;$B$1&amp;$C$1)</f>
        <v>0</v>
      </c>
      <c r="FB10" s="2">
        <f>COUNTIF(defects!$Z:$Z,Weekly_TVPlantPmod!FB$3&amp;Weekly_TVPlantPmod!$B10&amp;Weekly_TVPlantPmod!$B$3&amp;$B$2&amp;$B$1&amp;$C$1)</f>
        <v>0</v>
      </c>
      <c r="FC10" s="2">
        <f>COUNTIF(defects!$Z:$Z,Weekly_TVPlantPmod!FC$3&amp;Weekly_TVPlantPmod!$B10&amp;Weekly_TVPlantPmod!$B$3&amp;$B$2&amp;$B$1&amp;$C$1)</f>
        <v>0</v>
      </c>
      <c r="FD10" s="2">
        <f>COUNTIF(defects!$Z:$Z,Weekly_TVPlantPmod!FD$3&amp;Weekly_TVPlantPmod!$B10&amp;Weekly_TVPlantPmod!$B$3&amp;$B$2&amp;$B$1&amp;$C$1)</f>
        <v>0</v>
      </c>
      <c r="FE10" s="2">
        <f>COUNTIF(defects!$Z:$Z,Weekly_TVPlantPmod!FE$3&amp;Weekly_TVPlantPmod!$B10&amp;Weekly_TVPlantPmod!$B$3&amp;$B$2&amp;$B$1&amp;$C$1)</f>
        <v>0</v>
      </c>
    </row>
    <row r="11" spans="2:161">
      <c r="B11" s="2" t="s">
        <v>956</v>
      </c>
      <c r="C11" s="2">
        <f>COUNTIF(defects!$Z:$Z,Weekly_TVPlantPmod!C$3&amp;Weekly_TVPlantPmod!$B11&amp;Weekly_TVPlantPmod!$B$3&amp;$B$2&amp;$B$1&amp;$C$1)</f>
        <v>0</v>
      </c>
      <c r="D11" s="2">
        <f>COUNTIF(defects!$Z:$Z,Weekly_TVPlantPmod!D$3&amp;Weekly_TVPlantPmod!$B11&amp;Weekly_TVPlantPmod!$B$3&amp;$B$2&amp;$B$1&amp;$C$1)</f>
        <v>0</v>
      </c>
      <c r="E11" s="2">
        <f>COUNTIF(defects!$Z:$Z,Weekly_TVPlantPmod!E$3&amp;Weekly_TVPlantPmod!$B11&amp;Weekly_TVPlantPmod!$B$3&amp;$B$2&amp;$B$1&amp;$C$1)</f>
        <v>0</v>
      </c>
      <c r="F11" s="2">
        <f>COUNTIF(defects!$Z:$Z,Weekly_TVPlantPmod!F$3&amp;Weekly_TVPlantPmod!$B11&amp;Weekly_TVPlantPmod!$B$3&amp;$B$2&amp;$B$1&amp;$C$1)</f>
        <v>0</v>
      </c>
      <c r="G11" s="2">
        <f>COUNTIF(defects!$Z:$Z,Weekly_TVPlantPmod!G$3&amp;Weekly_TVPlantPmod!$B11&amp;Weekly_TVPlantPmod!$B$3&amp;$B$2&amp;$B$1&amp;$C$1)</f>
        <v>0</v>
      </c>
      <c r="H11" s="2">
        <f>COUNTIF(defects!$Z:$Z,Weekly_TVPlantPmod!H$3&amp;Weekly_TVPlantPmod!$B11&amp;Weekly_TVPlantPmod!$B$3&amp;$B$2&amp;$B$1&amp;$C$1)</f>
        <v>0</v>
      </c>
      <c r="I11" s="2">
        <f>COUNTIF(defects!$Z:$Z,Weekly_TVPlantPmod!I$3&amp;Weekly_TVPlantPmod!$B11&amp;Weekly_TVPlantPmod!$B$3&amp;$B$2&amp;$B$1&amp;$C$1)</f>
        <v>0</v>
      </c>
      <c r="J11" s="2">
        <f>COUNTIF(defects!$Z:$Z,Weekly_TVPlantPmod!J$3&amp;Weekly_TVPlantPmod!$B11&amp;Weekly_TVPlantPmod!$B$3&amp;$B$2&amp;$B$1&amp;$C$1)</f>
        <v>0</v>
      </c>
      <c r="K11" s="2">
        <f>COUNTIF(defects!$Z:$Z,Weekly_TVPlantPmod!K$3&amp;Weekly_TVPlantPmod!$B11&amp;Weekly_TVPlantPmod!$B$3&amp;$B$2&amp;$B$1&amp;$C$1)</f>
        <v>0</v>
      </c>
      <c r="L11" s="2">
        <f>COUNTIF(defects!$Z:$Z,Weekly_TVPlantPmod!L$3&amp;Weekly_TVPlantPmod!$B11&amp;Weekly_TVPlantPmod!$B$3&amp;$B$2&amp;$B$1&amp;$C$1)</f>
        <v>0</v>
      </c>
      <c r="M11" s="2">
        <f>COUNTIF(defects!$Z:$Z,Weekly_TVPlantPmod!M$3&amp;Weekly_TVPlantPmod!$B11&amp;Weekly_TVPlantPmod!$B$3&amp;$B$2&amp;$B$1&amp;$C$1)</f>
        <v>0</v>
      </c>
      <c r="N11" s="2">
        <f>COUNTIF(defects!$Z:$Z,Weekly_TVPlantPmod!N$3&amp;Weekly_TVPlantPmod!$B11&amp;Weekly_TVPlantPmod!$B$3&amp;$B$2&amp;$B$1&amp;$C$1)</f>
        <v>0</v>
      </c>
      <c r="O11" s="2">
        <f>COUNTIF(defects!$Z:$Z,Weekly_TVPlantPmod!O$3&amp;Weekly_TVPlantPmod!$B11&amp;Weekly_TVPlantPmod!$B$3&amp;$B$2&amp;$B$1&amp;$C$1)</f>
        <v>0</v>
      </c>
      <c r="P11" s="2">
        <f>COUNTIF(defects!$Z:$Z,Weekly_TVPlantPmod!P$3&amp;Weekly_TVPlantPmod!$B11&amp;Weekly_TVPlantPmod!$B$3&amp;$B$2&amp;$B$1&amp;$C$1)</f>
        <v>0</v>
      </c>
      <c r="Q11" s="2">
        <f>COUNTIF(defects!$Z:$Z,Weekly_TVPlantPmod!Q$3&amp;Weekly_TVPlantPmod!$B11&amp;Weekly_TVPlantPmod!$B$3&amp;$B$2&amp;$B$1&amp;$C$1)</f>
        <v>0</v>
      </c>
      <c r="R11" s="2">
        <f>COUNTIF(defects!$Z:$Z,Weekly_TVPlantPmod!R$3&amp;Weekly_TVPlantPmod!$B11&amp;Weekly_TVPlantPmod!$B$3&amp;$B$2&amp;$B$1&amp;$C$1)</f>
        <v>0</v>
      </c>
      <c r="S11" s="2">
        <f>COUNTIF(defects!$Z:$Z,Weekly_TVPlantPmod!S$3&amp;Weekly_TVPlantPmod!$B11&amp;Weekly_TVPlantPmod!$B$3&amp;$B$2&amp;$B$1&amp;$C$1)</f>
        <v>0</v>
      </c>
      <c r="T11" s="2">
        <f>COUNTIF(defects!$Z:$Z,Weekly_TVPlantPmod!T$3&amp;Weekly_TVPlantPmod!$B11&amp;Weekly_TVPlantPmod!$B$3&amp;$B$2&amp;$B$1&amp;$C$1)</f>
        <v>0</v>
      </c>
      <c r="U11" s="2">
        <f>COUNTIF(defects!$Z:$Z,Weekly_TVPlantPmod!U$3&amp;Weekly_TVPlantPmod!$B11&amp;Weekly_TVPlantPmod!$B$3&amp;$B$2&amp;$B$1&amp;$C$1)</f>
        <v>0</v>
      </c>
      <c r="V11" s="2">
        <f>COUNTIF(defects!$Z:$Z,Weekly_TVPlantPmod!V$3&amp;Weekly_TVPlantPmod!$B11&amp;Weekly_TVPlantPmod!$B$3&amp;$B$2&amp;$B$1&amp;$C$1)</f>
        <v>0</v>
      </c>
      <c r="W11" s="2">
        <f>COUNTIF(defects!$Z:$Z,Weekly_TVPlantPmod!W$3&amp;Weekly_TVPlantPmod!$B11&amp;Weekly_TVPlantPmod!$B$3&amp;$B$2&amp;$B$1&amp;$C$1)</f>
        <v>0</v>
      </c>
      <c r="X11" s="2">
        <f>COUNTIF(defects!$Z:$Z,Weekly_TVPlantPmod!X$3&amp;Weekly_TVPlantPmod!$B11&amp;Weekly_TVPlantPmod!$B$3&amp;$B$2&amp;$B$1&amp;$C$1)</f>
        <v>0</v>
      </c>
      <c r="Y11" s="2">
        <f>COUNTIF(defects!$Z:$Z,Weekly_TVPlantPmod!Y$3&amp;Weekly_TVPlantPmod!$B11&amp;Weekly_TVPlantPmod!$B$3&amp;$B$2&amp;$B$1&amp;$C$1)</f>
        <v>0</v>
      </c>
      <c r="Z11" s="2">
        <f>COUNTIF(defects!$Z:$Z,Weekly_TVPlantPmod!Z$3&amp;Weekly_TVPlantPmod!$B11&amp;Weekly_TVPlantPmod!$B$3&amp;$B$2&amp;$B$1&amp;$C$1)</f>
        <v>0</v>
      </c>
      <c r="AA11" s="2">
        <f>COUNTIF(defects!$Z:$Z,Weekly_TVPlantPmod!AA$3&amp;Weekly_TVPlantPmod!$B11&amp;Weekly_TVPlantPmod!$B$3&amp;$B$2&amp;$B$1&amp;$C$1)</f>
        <v>0</v>
      </c>
      <c r="AB11" s="2">
        <f>COUNTIF(defects!$Z:$Z,Weekly_TVPlantPmod!AB$3&amp;Weekly_TVPlantPmod!$B11&amp;Weekly_TVPlantPmod!$B$3&amp;$B$2&amp;$B$1&amp;$C$1)</f>
        <v>0</v>
      </c>
      <c r="AC11" s="2">
        <f>COUNTIF(defects!$Z:$Z,Weekly_TVPlantPmod!AC$3&amp;Weekly_TVPlantPmod!$B11&amp;Weekly_TVPlantPmod!$B$3&amp;$B$2&amp;$B$1&amp;$C$1)</f>
        <v>0</v>
      </c>
      <c r="AD11" s="2">
        <f>COUNTIF(defects!$Z:$Z,Weekly_TVPlantPmod!AD$3&amp;Weekly_TVPlantPmod!$B11&amp;Weekly_TVPlantPmod!$B$3&amp;$B$2&amp;$B$1&amp;$C$1)</f>
        <v>0</v>
      </c>
      <c r="AE11" s="2">
        <f>COUNTIF(defects!$Z:$Z,Weekly_TVPlantPmod!AE$3&amp;Weekly_TVPlantPmod!$B11&amp;Weekly_TVPlantPmod!$B$3&amp;$B$2&amp;$B$1&amp;$C$1)</f>
        <v>0</v>
      </c>
      <c r="AF11" s="2">
        <f>COUNTIF(defects!$Z:$Z,Weekly_TVPlantPmod!AF$3&amp;Weekly_TVPlantPmod!$B11&amp;Weekly_TVPlantPmod!$B$3&amp;$B$2&amp;$B$1&amp;$C$1)</f>
        <v>0</v>
      </c>
      <c r="AG11" s="2">
        <f>COUNTIF(defects!$Z:$Z,Weekly_TVPlantPmod!AG$3&amp;Weekly_TVPlantPmod!$B11&amp;Weekly_TVPlantPmod!$B$3&amp;$B$2&amp;$B$1&amp;$C$1)</f>
        <v>0</v>
      </c>
      <c r="AH11" s="2">
        <f>COUNTIF(defects!$Z:$Z,Weekly_TVPlantPmod!AH$3&amp;Weekly_TVPlantPmod!$B11&amp;Weekly_TVPlantPmod!$B$3&amp;$B$2&amp;$B$1&amp;$C$1)</f>
        <v>0</v>
      </c>
      <c r="AI11" s="2">
        <f>COUNTIF(defects!$Z:$Z,Weekly_TVPlantPmod!AI$3&amp;Weekly_TVPlantPmod!$B11&amp;Weekly_TVPlantPmod!$B$3&amp;$B$2&amp;$B$1&amp;$C$1)</f>
        <v>0</v>
      </c>
      <c r="AJ11" s="2">
        <f>COUNTIF(defects!$Z:$Z,Weekly_TVPlantPmod!AJ$3&amp;Weekly_TVPlantPmod!$B11&amp;Weekly_TVPlantPmod!$B$3&amp;$B$2&amp;$B$1&amp;$C$1)</f>
        <v>0</v>
      </c>
      <c r="AK11" s="2">
        <f>COUNTIF(defects!$Z:$Z,Weekly_TVPlantPmod!AK$3&amp;Weekly_TVPlantPmod!$B11&amp;Weekly_TVPlantPmod!$B$3&amp;$B$2&amp;$B$1&amp;$C$1)</f>
        <v>0</v>
      </c>
      <c r="AL11" s="2">
        <f>COUNTIF(defects!$Z:$Z,Weekly_TVPlantPmod!AL$3&amp;Weekly_TVPlantPmod!$B11&amp;Weekly_TVPlantPmod!$B$3&amp;$B$2&amp;$B$1&amp;$C$1)</f>
        <v>0</v>
      </c>
      <c r="AM11" s="2">
        <f>COUNTIF(defects!$Z:$Z,Weekly_TVPlantPmod!AM$3&amp;Weekly_TVPlantPmod!$B11&amp;Weekly_TVPlantPmod!$B$3&amp;$B$2&amp;$B$1&amp;$C$1)</f>
        <v>0</v>
      </c>
      <c r="AN11" s="2">
        <f>COUNTIF(defects!$Z:$Z,Weekly_TVPlantPmod!AN$3&amp;Weekly_TVPlantPmod!$B11&amp;Weekly_TVPlantPmod!$B$3&amp;$B$2&amp;$B$1&amp;$C$1)</f>
        <v>0</v>
      </c>
      <c r="AO11" s="2">
        <f>COUNTIF(defects!$Z:$Z,Weekly_TVPlantPmod!AO$3&amp;Weekly_TVPlantPmod!$B11&amp;Weekly_TVPlantPmod!$B$3&amp;$B$2&amp;$B$1&amp;$C$1)</f>
        <v>0</v>
      </c>
      <c r="AP11" s="2">
        <f>COUNTIF(defects!$Z:$Z,Weekly_TVPlantPmod!AP$3&amp;Weekly_TVPlantPmod!$B11&amp;Weekly_TVPlantPmod!$B$3&amp;$B$2&amp;$B$1&amp;$C$1)</f>
        <v>0</v>
      </c>
      <c r="AQ11" s="2">
        <f>COUNTIF(defects!$Z:$Z,Weekly_TVPlantPmod!AQ$3&amp;Weekly_TVPlantPmod!$B11&amp;Weekly_TVPlantPmod!$B$3&amp;$B$2&amp;$B$1&amp;$C$1)</f>
        <v>0</v>
      </c>
      <c r="AR11" s="2">
        <f>COUNTIF(defects!$Z:$Z,Weekly_TVPlantPmod!AR$3&amp;Weekly_TVPlantPmod!$B11&amp;Weekly_TVPlantPmod!$B$3&amp;$B$2&amp;$B$1&amp;$C$1)</f>
        <v>0</v>
      </c>
      <c r="AS11" s="2">
        <f>COUNTIF(defects!$Z:$Z,Weekly_TVPlantPmod!AS$3&amp;Weekly_TVPlantPmod!$B11&amp;Weekly_TVPlantPmod!$B$3&amp;$B$2&amp;$B$1&amp;$C$1)</f>
        <v>0</v>
      </c>
      <c r="AT11" s="2">
        <f>COUNTIF(defects!$Z:$Z,Weekly_TVPlantPmod!AT$3&amp;Weekly_TVPlantPmod!$B11&amp;Weekly_TVPlantPmod!$B$3&amp;$B$2&amp;$B$1&amp;$C$1)</f>
        <v>0</v>
      </c>
      <c r="AU11" s="2">
        <f>COUNTIF(defects!$Z:$Z,Weekly_TVPlantPmod!AU$3&amp;Weekly_TVPlantPmod!$B11&amp;Weekly_TVPlantPmod!$B$3&amp;$B$2&amp;$B$1&amp;$C$1)</f>
        <v>0</v>
      </c>
      <c r="AV11" s="2">
        <f>COUNTIF(defects!$Z:$Z,Weekly_TVPlantPmod!AV$3&amp;Weekly_TVPlantPmod!$B11&amp;Weekly_TVPlantPmod!$B$3&amp;$B$2&amp;$B$1&amp;$C$1)</f>
        <v>0</v>
      </c>
      <c r="AW11" s="2">
        <f>COUNTIF(defects!$Z:$Z,Weekly_TVPlantPmod!AW$3&amp;Weekly_TVPlantPmod!$B11&amp;Weekly_TVPlantPmod!$B$3&amp;$B$2&amp;$B$1&amp;$C$1)</f>
        <v>0</v>
      </c>
      <c r="AX11" s="2">
        <f>COUNTIF(defects!$Z:$Z,Weekly_TVPlantPmod!AX$3&amp;Weekly_TVPlantPmod!$B11&amp;Weekly_TVPlantPmod!$B$3&amp;$B$2&amp;$B$1&amp;$C$1)</f>
        <v>0</v>
      </c>
      <c r="AY11" s="2">
        <f>COUNTIF(defects!$Z:$Z,Weekly_TVPlantPmod!AY$3&amp;Weekly_TVPlantPmod!$B11&amp;Weekly_TVPlantPmod!$B$3&amp;$B$2&amp;$B$1&amp;$C$1)</f>
        <v>0</v>
      </c>
      <c r="AZ11" s="2">
        <f>COUNTIF(defects!$Z:$Z,Weekly_TVPlantPmod!AZ$3&amp;Weekly_TVPlantPmod!$B11&amp;Weekly_TVPlantPmod!$B$3&amp;$B$2&amp;$B$1&amp;$C$1)</f>
        <v>0</v>
      </c>
      <c r="BA11" s="2">
        <f>COUNTIF(defects!$Z:$Z,Weekly_TVPlantPmod!BA$3&amp;Weekly_TVPlantPmod!$B11&amp;Weekly_TVPlantPmod!$B$3&amp;$B$2&amp;$B$1&amp;$C$1)</f>
        <v>0</v>
      </c>
      <c r="BB11" s="2">
        <f>COUNTIF(defects!$Z:$Z,Weekly_TVPlantPmod!BB$3&amp;Weekly_TVPlantPmod!$B11&amp;Weekly_TVPlantPmod!$B$3&amp;$B$2&amp;$B$1&amp;$C$1)</f>
        <v>0</v>
      </c>
      <c r="BC11" s="2">
        <f>COUNTIF(defects!$Z:$Z,Weekly_TVPlantPmod!BC$3&amp;Weekly_TVPlantPmod!$B11&amp;Weekly_TVPlantPmod!$B$3&amp;$B$2&amp;$B$1&amp;$C$1)</f>
        <v>0</v>
      </c>
      <c r="BD11" s="2">
        <f>COUNTIF(defects!$Z:$Z,Weekly_TVPlantPmod!BD$3&amp;Weekly_TVPlantPmod!$B11&amp;Weekly_TVPlantPmod!$B$3&amp;$B$2&amp;$B$1&amp;$C$1)</f>
        <v>0</v>
      </c>
      <c r="BE11" s="2">
        <f>COUNTIF(defects!$Z:$Z,Weekly_TVPlantPmod!BE$3&amp;Weekly_TVPlantPmod!$B11&amp;Weekly_TVPlantPmod!$B$3&amp;$B$2&amp;$B$1&amp;$C$1)</f>
        <v>0</v>
      </c>
      <c r="BF11" s="2">
        <f>COUNTIF(defects!$Z:$Z,Weekly_TVPlantPmod!BF$3&amp;Weekly_TVPlantPmod!$B11&amp;Weekly_TVPlantPmod!$B$3&amp;$B$2&amp;$B$1&amp;$C$1)</f>
        <v>0</v>
      </c>
      <c r="BG11" s="2">
        <f>COUNTIF(defects!$Z:$Z,Weekly_TVPlantPmod!BG$3&amp;Weekly_TVPlantPmod!$B11&amp;Weekly_TVPlantPmod!$B$3&amp;$B$2&amp;$B$1&amp;$C$1)</f>
        <v>0</v>
      </c>
      <c r="BH11" s="2">
        <f>COUNTIF(defects!$Z:$Z,Weekly_TVPlantPmod!BH$3&amp;Weekly_TVPlantPmod!$B11&amp;Weekly_TVPlantPmod!$B$3&amp;$B$2&amp;$B$1&amp;$C$1)</f>
        <v>0</v>
      </c>
      <c r="BI11" s="2">
        <f>COUNTIF(defects!$Z:$Z,Weekly_TVPlantPmod!BI$3&amp;Weekly_TVPlantPmod!$B11&amp;Weekly_TVPlantPmod!$B$3&amp;$B$2&amp;$B$1&amp;$C$1)</f>
        <v>0</v>
      </c>
      <c r="BJ11" s="2">
        <f>COUNTIF(defects!$Z:$Z,Weekly_TVPlantPmod!BJ$3&amp;Weekly_TVPlantPmod!$B11&amp;Weekly_TVPlantPmod!$B$3&amp;$B$2&amp;$B$1&amp;$C$1)</f>
        <v>0</v>
      </c>
      <c r="BK11" s="2">
        <f>COUNTIF(defects!$Z:$Z,Weekly_TVPlantPmod!BK$3&amp;Weekly_TVPlantPmod!$B11&amp;Weekly_TVPlantPmod!$B$3&amp;$B$2&amp;$B$1&amp;$C$1)</f>
        <v>0</v>
      </c>
      <c r="BL11" s="2">
        <f>COUNTIF(defects!$Z:$Z,Weekly_TVPlantPmod!BL$3&amp;Weekly_TVPlantPmod!$B11&amp;Weekly_TVPlantPmod!$B$3&amp;$B$2&amp;$B$1&amp;$C$1)</f>
        <v>0</v>
      </c>
      <c r="BM11" s="2">
        <f>COUNTIF(defects!$Z:$Z,Weekly_TVPlantPmod!BM$3&amp;Weekly_TVPlantPmod!$B11&amp;Weekly_TVPlantPmod!$B$3&amp;$B$2&amp;$B$1&amp;$C$1)</f>
        <v>0</v>
      </c>
      <c r="BN11" s="2">
        <f>COUNTIF(defects!$Z:$Z,Weekly_TVPlantPmod!BN$3&amp;Weekly_TVPlantPmod!$B11&amp;Weekly_TVPlantPmod!$B$3&amp;$B$2&amp;$B$1&amp;$C$1)</f>
        <v>0</v>
      </c>
      <c r="BO11" s="2">
        <f>COUNTIF(defects!$Z:$Z,Weekly_TVPlantPmod!BO$3&amp;Weekly_TVPlantPmod!$B11&amp;Weekly_TVPlantPmod!$B$3&amp;$B$2&amp;$B$1&amp;$C$1)</f>
        <v>0</v>
      </c>
      <c r="BP11" s="2">
        <f>COUNTIF(defects!$Z:$Z,Weekly_TVPlantPmod!BP$3&amp;Weekly_TVPlantPmod!$B11&amp;Weekly_TVPlantPmod!$B$3&amp;$B$2&amp;$B$1&amp;$C$1)</f>
        <v>0</v>
      </c>
      <c r="BQ11" s="2">
        <f>COUNTIF(defects!$Z:$Z,Weekly_TVPlantPmod!BQ$3&amp;Weekly_TVPlantPmod!$B11&amp;Weekly_TVPlantPmod!$B$3&amp;$B$2&amp;$B$1&amp;$C$1)</f>
        <v>0</v>
      </c>
      <c r="BR11" s="2">
        <f>COUNTIF(defects!$Z:$Z,Weekly_TVPlantPmod!BR$3&amp;Weekly_TVPlantPmod!$B11&amp;Weekly_TVPlantPmod!$B$3&amp;$B$2&amp;$B$1&amp;$C$1)</f>
        <v>0</v>
      </c>
      <c r="BS11" s="2">
        <f>COUNTIF(defects!$Z:$Z,Weekly_TVPlantPmod!BS$3&amp;Weekly_TVPlantPmod!$B11&amp;Weekly_TVPlantPmod!$B$3&amp;$B$2&amp;$B$1&amp;$C$1)</f>
        <v>0</v>
      </c>
      <c r="BT11" s="2">
        <f>COUNTIF(defects!$Z:$Z,Weekly_TVPlantPmod!BT$3&amp;Weekly_TVPlantPmod!$B11&amp;Weekly_TVPlantPmod!$B$3&amp;$B$2&amp;$B$1&amp;$C$1)</f>
        <v>0</v>
      </c>
      <c r="BU11" s="2">
        <f>COUNTIF(defects!$Z:$Z,Weekly_TVPlantPmod!BU$3&amp;Weekly_TVPlantPmod!$B11&amp;Weekly_TVPlantPmod!$B$3&amp;$B$2&amp;$B$1&amp;$C$1)</f>
        <v>0</v>
      </c>
      <c r="BV11" s="2">
        <f>COUNTIF(defects!$Z:$Z,Weekly_TVPlantPmod!BV$3&amp;Weekly_TVPlantPmod!$B11&amp;Weekly_TVPlantPmod!$B$3&amp;$B$2&amp;$B$1&amp;$C$1)</f>
        <v>0</v>
      </c>
      <c r="BW11" s="2">
        <f>COUNTIF(defects!$Z:$Z,Weekly_TVPlantPmod!BW$3&amp;Weekly_TVPlantPmod!$B11&amp;Weekly_TVPlantPmod!$B$3&amp;$B$2&amp;$B$1&amp;$C$1)</f>
        <v>0</v>
      </c>
      <c r="BX11" s="2">
        <f>COUNTIF(defects!$Z:$Z,Weekly_TVPlantPmod!BX$3&amp;Weekly_TVPlantPmod!$B11&amp;Weekly_TVPlantPmod!$B$3&amp;$B$2&amp;$B$1&amp;$C$1)</f>
        <v>0</v>
      </c>
      <c r="BY11" s="2">
        <f>COUNTIF(defects!$Z:$Z,Weekly_TVPlantPmod!BY$3&amp;Weekly_TVPlantPmod!$B11&amp;Weekly_TVPlantPmod!$B$3&amp;$B$2&amp;$B$1&amp;$C$1)</f>
        <v>0</v>
      </c>
      <c r="BZ11" s="2">
        <f>COUNTIF(defects!$Z:$Z,Weekly_TVPlantPmod!BZ$3&amp;Weekly_TVPlantPmod!$B11&amp;Weekly_TVPlantPmod!$B$3&amp;$B$2&amp;$B$1&amp;$C$1)</f>
        <v>0</v>
      </c>
      <c r="CA11" s="2">
        <f>COUNTIF(defects!$Z:$Z,Weekly_TVPlantPmod!CA$3&amp;Weekly_TVPlantPmod!$B11&amp;Weekly_TVPlantPmod!$B$3&amp;$B$2&amp;$B$1&amp;$C$1)</f>
        <v>0</v>
      </c>
      <c r="CB11" s="2">
        <f>COUNTIF(defects!$Z:$Z,Weekly_TVPlantPmod!CB$3&amp;Weekly_TVPlantPmod!$B11&amp;Weekly_TVPlantPmod!$B$3&amp;$B$2&amp;$B$1&amp;$C$1)</f>
        <v>0</v>
      </c>
      <c r="CC11" s="2">
        <f>COUNTIF(defects!$Z:$Z,Weekly_TVPlantPmod!CC$3&amp;Weekly_TVPlantPmod!$B11&amp;Weekly_TVPlantPmod!$B$3&amp;$B$2&amp;$B$1&amp;$C$1)</f>
        <v>0</v>
      </c>
      <c r="CD11" s="2">
        <f>COUNTIF(defects!$Z:$Z,Weekly_TVPlantPmod!CD$3&amp;Weekly_TVPlantPmod!$B11&amp;Weekly_TVPlantPmod!$B$3&amp;$B$2&amp;$B$1&amp;$C$1)</f>
        <v>0</v>
      </c>
      <c r="CE11" s="2">
        <f>COUNTIF(defects!$Z:$Z,Weekly_TVPlantPmod!CE$3&amp;Weekly_TVPlantPmod!$B11&amp;Weekly_TVPlantPmod!$B$3&amp;$B$2&amp;$B$1&amp;$C$1)</f>
        <v>0</v>
      </c>
      <c r="CF11" s="2">
        <f>COUNTIF(defects!$Z:$Z,Weekly_TVPlantPmod!CF$3&amp;Weekly_TVPlantPmod!$B11&amp;Weekly_TVPlantPmod!$B$3&amp;$B$2&amp;$B$1&amp;$C$1)</f>
        <v>0</v>
      </c>
      <c r="CG11" s="2">
        <f>COUNTIF(defects!$Z:$Z,Weekly_TVPlantPmod!CG$3&amp;Weekly_TVPlantPmod!$B11&amp;Weekly_TVPlantPmod!$B$3&amp;$B$2&amp;$B$1&amp;$C$1)</f>
        <v>0</v>
      </c>
      <c r="CH11" s="2">
        <f>COUNTIF(defects!$Z:$Z,Weekly_TVPlantPmod!CH$3&amp;Weekly_TVPlantPmod!$B11&amp;Weekly_TVPlantPmod!$B$3&amp;$B$2&amp;$B$1&amp;$C$1)</f>
        <v>0</v>
      </c>
      <c r="CI11" s="2">
        <f>COUNTIF(defects!$Z:$Z,Weekly_TVPlantPmod!CI$3&amp;Weekly_TVPlantPmod!$B11&amp;Weekly_TVPlantPmod!$B$3&amp;$B$2&amp;$B$1&amp;$C$1)</f>
        <v>0</v>
      </c>
      <c r="CJ11" s="2">
        <f>COUNTIF(defects!$Z:$Z,Weekly_TVPlantPmod!CJ$3&amp;Weekly_TVPlantPmod!$B11&amp;Weekly_TVPlantPmod!$B$3&amp;$B$2&amp;$B$1&amp;$C$1)</f>
        <v>0</v>
      </c>
      <c r="CK11" s="2">
        <f>COUNTIF(defects!$Z:$Z,Weekly_TVPlantPmod!CK$3&amp;Weekly_TVPlantPmod!$B11&amp;Weekly_TVPlantPmod!$B$3&amp;$B$2&amp;$B$1&amp;$C$1)</f>
        <v>1</v>
      </c>
      <c r="CL11" s="2">
        <f>COUNTIF(defects!$Z:$Z,Weekly_TVPlantPmod!CL$3&amp;Weekly_TVPlantPmod!$B11&amp;Weekly_TVPlantPmod!$B$3&amp;$B$2&amp;$B$1&amp;$C$1)</f>
        <v>0</v>
      </c>
      <c r="CM11" s="2">
        <f>COUNTIF(defects!$Z:$Z,Weekly_TVPlantPmod!CM$3&amp;Weekly_TVPlantPmod!$B11&amp;Weekly_TVPlantPmod!$B$3&amp;$B$2&amp;$B$1&amp;$C$1)</f>
        <v>0</v>
      </c>
      <c r="CN11" s="2">
        <f>COUNTIF(defects!$Z:$Z,Weekly_TVPlantPmod!CN$3&amp;Weekly_TVPlantPmod!$B11&amp;Weekly_TVPlantPmod!$B$3&amp;$B$2&amp;$B$1&amp;$C$1)</f>
        <v>0</v>
      </c>
      <c r="CO11" s="2">
        <f>COUNTIF(defects!$Z:$Z,Weekly_TVPlantPmod!CO$3&amp;Weekly_TVPlantPmod!$B11&amp;Weekly_TVPlantPmod!$B$3&amp;$B$2&amp;$B$1&amp;$C$1)</f>
        <v>0</v>
      </c>
      <c r="CP11" s="2">
        <f>COUNTIF(defects!$Z:$Z,Weekly_TVPlantPmod!CP$3&amp;Weekly_TVPlantPmod!$B11&amp;Weekly_TVPlantPmod!$B$3&amp;$B$2&amp;$B$1&amp;$C$1)</f>
        <v>0</v>
      </c>
      <c r="CQ11" s="2">
        <f>COUNTIF(defects!$Z:$Z,Weekly_TVPlantPmod!CQ$3&amp;Weekly_TVPlantPmod!$B11&amp;Weekly_TVPlantPmod!$B$3&amp;$B$2&amp;$B$1&amp;$C$1)</f>
        <v>0</v>
      </c>
      <c r="CR11" s="2">
        <f>COUNTIF(defects!$Z:$Z,Weekly_TVPlantPmod!CR$3&amp;Weekly_TVPlantPmod!$B11&amp;Weekly_TVPlantPmod!$B$3&amp;$B$2&amp;$B$1&amp;$C$1)</f>
        <v>0</v>
      </c>
      <c r="CS11" s="2">
        <f>COUNTIF(defects!$Z:$Z,Weekly_TVPlantPmod!CS$3&amp;Weekly_TVPlantPmod!$B11&amp;Weekly_TVPlantPmod!$B$3&amp;$B$2&amp;$B$1&amp;$C$1)</f>
        <v>0</v>
      </c>
      <c r="CT11" s="2">
        <f>COUNTIF(defects!$Z:$Z,Weekly_TVPlantPmod!CT$3&amp;Weekly_TVPlantPmod!$B11&amp;Weekly_TVPlantPmod!$B$3&amp;$B$2&amp;$B$1&amp;$C$1)</f>
        <v>1</v>
      </c>
      <c r="CU11" s="2">
        <f>COUNTIF(defects!$Z:$Z,Weekly_TVPlantPmod!CU$3&amp;Weekly_TVPlantPmod!$B11&amp;Weekly_TVPlantPmod!$B$3&amp;$B$2&amp;$B$1&amp;$C$1)</f>
        <v>0</v>
      </c>
      <c r="CV11" s="2">
        <f>COUNTIF(defects!$Z:$Z,Weekly_TVPlantPmod!CV$3&amp;Weekly_TVPlantPmod!$B11&amp;Weekly_TVPlantPmod!$B$3&amp;$B$2&amp;$B$1&amp;$C$1)</f>
        <v>0</v>
      </c>
      <c r="CW11" s="2">
        <f>COUNTIF(defects!$Z:$Z,Weekly_TVPlantPmod!CW$3&amp;Weekly_TVPlantPmod!$B11&amp;Weekly_TVPlantPmod!$B$3&amp;$B$2&amp;$B$1&amp;$C$1)</f>
        <v>0</v>
      </c>
      <c r="CX11" s="2">
        <f>COUNTIF(defects!$Z:$Z,Weekly_TVPlantPmod!CX$3&amp;Weekly_TVPlantPmod!$B11&amp;Weekly_TVPlantPmod!$B$3&amp;$B$2&amp;$B$1&amp;$C$1)</f>
        <v>0</v>
      </c>
      <c r="CY11" s="2">
        <f>COUNTIF(defects!$Z:$Z,Weekly_TVPlantPmod!CY$3&amp;Weekly_TVPlantPmod!$B11&amp;Weekly_TVPlantPmod!$B$3&amp;$B$2&amp;$B$1&amp;$C$1)</f>
        <v>0</v>
      </c>
      <c r="CZ11" s="2">
        <f>COUNTIF(defects!$Z:$Z,Weekly_TVPlantPmod!CZ$3&amp;Weekly_TVPlantPmod!$B11&amp;Weekly_TVPlantPmod!$B$3&amp;$B$2&amp;$B$1&amp;$C$1)</f>
        <v>0</v>
      </c>
      <c r="DA11" s="2">
        <f>COUNTIF(defects!$Z:$Z,Weekly_TVPlantPmod!DA$3&amp;Weekly_TVPlantPmod!$B11&amp;Weekly_TVPlantPmod!$B$3&amp;$B$2&amp;$B$1&amp;$C$1)</f>
        <v>0</v>
      </c>
      <c r="DB11" s="2">
        <f>COUNTIF(defects!$Z:$Z,Weekly_TVPlantPmod!DB$3&amp;Weekly_TVPlantPmod!$B11&amp;Weekly_TVPlantPmod!$B$3&amp;$B$2&amp;$B$1&amp;$C$1)</f>
        <v>0</v>
      </c>
      <c r="DC11" s="2">
        <f>COUNTIF(defects!$Z:$Z,Weekly_TVPlantPmod!DC$3&amp;Weekly_TVPlantPmod!$B11&amp;Weekly_TVPlantPmod!$B$3&amp;$B$2&amp;$B$1&amp;$C$1)</f>
        <v>0</v>
      </c>
      <c r="DD11" s="2">
        <f>COUNTIF(defects!$Z:$Z,Weekly_TVPlantPmod!DD$3&amp;Weekly_TVPlantPmod!$B11&amp;Weekly_TVPlantPmod!$B$3&amp;$B$2&amp;$B$1&amp;$C$1)</f>
        <v>0</v>
      </c>
      <c r="DE11" s="2">
        <f>COUNTIF(defects!$Z:$Z,Weekly_TVPlantPmod!DE$3&amp;Weekly_TVPlantPmod!$B11&amp;Weekly_TVPlantPmod!$B$3&amp;$B$2&amp;$B$1&amp;$C$1)</f>
        <v>0</v>
      </c>
      <c r="DF11" s="2">
        <f>COUNTIF(defects!$Z:$Z,Weekly_TVPlantPmod!DF$3&amp;Weekly_TVPlantPmod!$B11&amp;Weekly_TVPlantPmod!$B$3&amp;$B$2&amp;$B$1&amp;$C$1)</f>
        <v>0</v>
      </c>
      <c r="DG11" s="2">
        <f>COUNTIF(defects!$Z:$Z,Weekly_TVPlantPmod!DG$3&amp;Weekly_TVPlantPmod!$B11&amp;Weekly_TVPlantPmod!$B$3&amp;$B$2&amp;$B$1&amp;$C$1)</f>
        <v>0</v>
      </c>
      <c r="DH11" s="2">
        <f>COUNTIF(defects!$Z:$Z,Weekly_TVPlantPmod!DH$3&amp;Weekly_TVPlantPmod!$B11&amp;Weekly_TVPlantPmod!$B$3&amp;$B$2&amp;$B$1&amp;$C$1)</f>
        <v>0</v>
      </c>
      <c r="DI11" s="2">
        <f>COUNTIF(defects!$Z:$Z,Weekly_TVPlantPmod!DI$3&amp;Weekly_TVPlantPmod!$B11&amp;Weekly_TVPlantPmod!$B$3&amp;$B$2&amp;$B$1&amp;$C$1)</f>
        <v>0</v>
      </c>
      <c r="DJ11" s="2">
        <f>COUNTIF(defects!$Z:$Z,Weekly_TVPlantPmod!DJ$3&amp;Weekly_TVPlantPmod!$B11&amp;Weekly_TVPlantPmod!$B$3&amp;$B$2&amp;$B$1&amp;$C$1)</f>
        <v>0</v>
      </c>
      <c r="DK11" s="2">
        <f>COUNTIF(defects!$Z:$Z,Weekly_TVPlantPmod!DK$3&amp;Weekly_TVPlantPmod!$B11&amp;Weekly_TVPlantPmod!$B$3&amp;$B$2&amp;$B$1&amp;$C$1)</f>
        <v>0</v>
      </c>
      <c r="DL11" s="2">
        <f>COUNTIF(defects!$Z:$Z,Weekly_TVPlantPmod!DL$3&amp;Weekly_TVPlantPmod!$B11&amp;Weekly_TVPlantPmod!$B$3&amp;$B$2&amp;$B$1&amp;$C$1)</f>
        <v>0</v>
      </c>
      <c r="DM11" s="2">
        <f>COUNTIF(defects!$Z:$Z,Weekly_TVPlantPmod!DM$3&amp;Weekly_TVPlantPmod!$B11&amp;Weekly_TVPlantPmod!$B$3&amp;$B$2&amp;$B$1&amp;$C$1)</f>
        <v>0</v>
      </c>
      <c r="DN11" s="2">
        <f>COUNTIF(defects!$Z:$Z,Weekly_TVPlantPmod!DN$3&amp;Weekly_TVPlantPmod!$B11&amp;Weekly_TVPlantPmod!$B$3&amp;$B$2&amp;$B$1&amp;$C$1)</f>
        <v>0</v>
      </c>
      <c r="DO11" s="2">
        <f>COUNTIF(defects!$Z:$Z,Weekly_TVPlantPmod!DO$3&amp;Weekly_TVPlantPmod!$B11&amp;Weekly_TVPlantPmod!$B$3&amp;$B$2&amp;$B$1&amp;$C$1)</f>
        <v>0</v>
      </c>
      <c r="DP11" s="2">
        <f>COUNTIF(defects!$Z:$Z,Weekly_TVPlantPmod!DP$3&amp;Weekly_TVPlantPmod!$B11&amp;Weekly_TVPlantPmod!$B$3&amp;$B$2&amp;$B$1&amp;$C$1)</f>
        <v>0</v>
      </c>
      <c r="DQ11" s="2">
        <f>COUNTIF(defects!$Z:$Z,Weekly_TVPlantPmod!DQ$3&amp;Weekly_TVPlantPmod!$B11&amp;Weekly_TVPlantPmod!$B$3&amp;$B$2&amp;$B$1&amp;$C$1)</f>
        <v>0</v>
      </c>
      <c r="DR11" s="2">
        <f>COUNTIF(defects!$Z:$Z,Weekly_TVPlantPmod!DR$3&amp;Weekly_TVPlantPmod!$B11&amp;Weekly_TVPlantPmod!$B$3&amp;$B$2&amp;$B$1&amp;$C$1)</f>
        <v>0</v>
      </c>
      <c r="DS11" s="2">
        <f>COUNTIF(defects!$Z:$Z,Weekly_TVPlantPmod!DS$3&amp;Weekly_TVPlantPmod!$B11&amp;Weekly_TVPlantPmod!$B$3&amp;$B$2&amp;$B$1&amp;$C$1)</f>
        <v>0</v>
      </c>
      <c r="DT11" s="2">
        <f>COUNTIF(defects!$Z:$Z,Weekly_TVPlantPmod!DT$3&amp;Weekly_TVPlantPmod!$B11&amp;Weekly_TVPlantPmod!$B$3&amp;$B$2&amp;$B$1&amp;$C$1)</f>
        <v>0</v>
      </c>
      <c r="DU11" s="2">
        <f>COUNTIF(defects!$Z:$Z,Weekly_TVPlantPmod!DU$3&amp;Weekly_TVPlantPmod!$B11&amp;Weekly_TVPlantPmod!$B$3&amp;$B$2&amp;$B$1&amp;$C$1)</f>
        <v>0</v>
      </c>
      <c r="DV11" s="2">
        <f>COUNTIF(defects!$Z:$Z,Weekly_TVPlantPmod!DV$3&amp;Weekly_TVPlantPmod!$B11&amp;Weekly_TVPlantPmod!$B$3&amp;$B$2&amp;$B$1&amp;$C$1)</f>
        <v>0</v>
      </c>
      <c r="DW11" s="2">
        <f>COUNTIF(defects!$Z:$Z,Weekly_TVPlantPmod!DW$3&amp;Weekly_TVPlantPmod!$B11&amp;Weekly_TVPlantPmod!$B$3&amp;$B$2&amp;$B$1&amp;$C$1)</f>
        <v>0</v>
      </c>
      <c r="DX11" s="2">
        <f>COUNTIF(defects!$Z:$Z,Weekly_TVPlantPmod!DX$3&amp;Weekly_TVPlantPmod!$B11&amp;Weekly_TVPlantPmod!$B$3&amp;$B$2&amp;$B$1&amp;$C$1)</f>
        <v>0</v>
      </c>
      <c r="DY11" s="2">
        <f>COUNTIF(defects!$Z:$Z,Weekly_TVPlantPmod!DY$3&amp;Weekly_TVPlantPmod!$B11&amp;Weekly_TVPlantPmod!$B$3&amp;$B$2&amp;$B$1&amp;$C$1)</f>
        <v>0</v>
      </c>
      <c r="DZ11" s="2">
        <f>COUNTIF(defects!$Z:$Z,Weekly_TVPlantPmod!DZ$3&amp;Weekly_TVPlantPmod!$B11&amp;Weekly_TVPlantPmod!$B$3&amp;$B$2&amp;$B$1&amp;$C$1)</f>
        <v>0</v>
      </c>
      <c r="EA11" s="2">
        <f>COUNTIF(defects!$Z:$Z,Weekly_TVPlantPmod!EA$3&amp;Weekly_TVPlantPmod!$B11&amp;Weekly_TVPlantPmod!$B$3&amp;$B$2&amp;$B$1&amp;$C$1)</f>
        <v>0</v>
      </c>
      <c r="EB11" s="2">
        <f>COUNTIF(defects!$Z:$Z,Weekly_TVPlantPmod!EB$3&amp;Weekly_TVPlantPmod!$B11&amp;Weekly_TVPlantPmod!$B$3&amp;$B$2&amp;$B$1&amp;$C$1)</f>
        <v>0</v>
      </c>
      <c r="EC11" s="2">
        <f>COUNTIF(defects!$Z:$Z,Weekly_TVPlantPmod!EC$3&amp;Weekly_TVPlantPmod!$B11&amp;Weekly_TVPlantPmod!$B$3&amp;$B$2&amp;$B$1&amp;$C$1)</f>
        <v>0</v>
      </c>
      <c r="ED11" s="2">
        <f>COUNTIF(defects!$Z:$Z,Weekly_TVPlantPmod!ED$3&amp;Weekly_TVPlantPmod!$B11&amp;Weekly_TVPlantPmod!$B$3&amp;$B$2&amp;$B$1&amp;$C$1)</f>
        <v>0</v>
      </c>
      <c r="EE11" s="2">
        <f>COUNTIF(defects!$Z:$Z,Weekly_TVPlantPmod!EE$3&amp;Weekly_TVPlantPmod!$B11&amp;Weekly_TVPlantPmod!$B$3&amp;$B$2&amp;$B$1&amp;$C$1)</f>
        <v>0</v>
      </c>
      <c r="EF11" s="2">
        <f>COUNTIF(defects!$Z:$Z,Weekly_TVPlantPmod!EF$3&amp;Weekly_TVPlantPmod!$B11&amp;Weekly_TVPlantPmod!$B$3&amp;$B$2&amp;$B$1&amp;$C$1)</f>
        <v>0</v>
      </c>
      <c r="EG11" s="2">
        <f>COUNTIF(defects!$Z:$Z,Weekly_TVPlantPmod!EG$3&amp;Weekly_TVPlantPmod!$B11&amp;Weekly_TVPlantPmod!$B$3&amp;$B$2&amp;$B$1&amp;$C$1)</f>
        <v>0</v>
      </c>
      <c r="EH11" s="2">
        <f>COUNTIF(defects!$Z:$Z,Weekly_TVPlantPmod!EH$3&amp;Weekly_TVPlantPmod!$B11&amp;Weekly_TVPlantPmod!$B$3&amp;$B$2&amp;$B$1&amp;$C$1)</f>
        <v>0</v>
      </c>
      <c r="EI11" s="2">
        <f>COUNTIF(defects!$Z:$Z,Weekly_TVPlantPmod!EI$3&amp;Weekly_TVPlantPmod!$B11&amp;Weekly_TVPlantPmod!$B$3&amp;$B$2&amp;$B$1&amp;$C$1)</f>
        <v>0</v>
      </c>
      <c r="EJ11" s="2">
        <f>COUNTIF(defects!$Z:$Z,Weekly_TVPlantPmod!EJ$3&amp;Weekly_TVPlantPmod!$B11&amp;Weekly_TVPlantPmod!$B$3&amp;$B$2&amp;$B$1&amp;$C$1)</f>
        <v>0</v>
      </c>
      <c r="EK11" s="2">
        <f>COUNTIF(defects!$Z:$Z,Weekly_TVPlantPmod!EK$3&amp;Weekly_TVPlantPmod!$B11&amp;Weekly_TVPlantPmod!$B$3&amp;$B$2&amp;$B$1&amp;$C$1)</f>
        <v>0</v>
      </c>
      <c r="EL11" s="2">
        <f>COUNTIF(defects!$Z:$Z,Weekly_TVPlantPmod!EL$3&amp;Weekly_TVPlantPmod!$B11&amp;Weekly_TVPlantPmod!$B$3&amp;$B$2&amp;$B$1&amp;$C$1)</f>
        <v>0</v>
      </c>
      <c r="EM11" s="2">
        <f>COUNTIF(defects!$Z:$Z,Weekly_TVPlantPmod!EM$3&amp;Weekly_TVPlantPmod!$B11&amp;Weekly_TVPlantPmod!$B$3&amp;$B$2&amp;$B$1&amp;$C$1)</f>
        <v>0</v>
      </c>
      <c r="EN11" s="2">
        <f>COUNTIF(defects!$Z:$Z,Weekly_TVPlantPmod!EN$3&amp;Weekly_TVPlantPmod!$B11&amp;Weekly_TVPlantPmod!$B$3&amp;$B$2&amp;$B$1&amp;$C$1)</f>
        <v>0</v>
      </c>
      <c r="EO11" s="2">
        <f>COUNTIF(defects!$Z:$Z,Weekly_TVPlantPmod!EO$3&amp;Weekly_TVPlantPmod!$B11&amp;Weekly_TVPlantPmod!$B$3&amp;$B$2&amp;$B$1&amp;$C$1)</f>
        <v>0</v>
      </c>
      <c r="EP11" s="2">
        <f>COUNTIF(defects!$Z:$Z,Weekly_TVPlantPmod!EP$3&amp;Weekly_TVPlantPmod!$B11&amp;Weekly_TVPlantPmod!$B$3&amp;$B$2&amp;$B$1&amp;$C$1)</f>
        <v>0</v>
      </c>
      <c r="EQ11" s="2">
        <f>COUNTIF(defects!$Z:$Z,Weekly_TVPlantPmod!EQ$3&amp;Weekly_TVPlantPmod!$B11&amp;Weekly_TVPlantPmod!$B$3&amp;$B$2&amp;$B$1&amp;$C$1)</f>
        <v>0</v>
      </c>
      <c r="ER11" s="2">
        <f>COUNTIF(defects!$Z:$Z,Weekly_TVPlantPmod!ER$3&amp;Weekly_TVPlantPmod!$B11&amp;Weekly_TVPlantPmod!$B$3&amp;$B$2&amp;$B$1&amp;$C$1)</f>
        <v>0</v>
      </c>
      <c r="ES11" s="2">
        <f>COUNTIF(defects!$Z:$Z,Weekly_TVPlantPmod!ES$3&amp;Weekly_TVPlantPmod!$B11&amp;Weekly_TVPlantPmod!$B$3&amp;$B$2&amp;$B$1&amp;$C$1)</f>
        <v>0</v>
      </c>
      <c r="ET11" s="2">
        <f>COUNTIF(defects!$Z:$Z,Weekly_TVPlantPmod!ET$3&amp;Weekly_TVPlantPmod!$B11&amp;Weekly_TVPlantPmod!$B$3&amp;$B$2&amp;$B$1&amp;$C$1)</f>
        <v>0</v>
      </c>
      <c r="EU11" s="2">
        <f>COUNTIF(defects!$Z:$Z,Weekly_TVPlantPmod!EU$3&amp;Weekly_TVPlantPmod!$B11&amp;Weekly_TVPlantPmod!$B$3&amp;$B$2&amp;$B$1&amp;$C$1)</f>
        <v>0</v>
      </c>
      <c r="EV11" s="2">
        <f>COUNTIF(defects!$Z:$Z,Weekly_TVPlantPmod!EV$3&amp;Weekly_TVPlantPmod!$B11&amp;Weekly_TVPlantPmod!$B$3&amp;$B$2&amp;$B$1&amp;$C$1)</f>
        <v>0</v>
      </c>
      <c r="EW11" s="2">
        <f>COUNTIF(defects!$Z:$Z,Weekly_TVPlantPmod!EW$3&amp;Weekly_TVPlantPmod!$B11&amp;Weekly_TVPlantPmod!$B$3&amp;$B$2&amp;$B$1&amp;$C$1)</f>
        <v>0</v>
      </c>
      <c r="EX11" s="2">
        <f>COUNTIF(defects!$Z:$Z,Weekly_TVPlantPmod!EX$3&amp;Weekly_TVPlantPmod!$B11&amp;Weekly_TVPlantPmod!$B$3&amp;$B$2&amp;$B$1&amp;$C$1)</f>
        <v>0</v>
      </c>
      <c r="EY11" s="2">
        <f>COUNTIF(defects!$Z:$Z,Weekly_TVPlantPmod!EY$3&amp;Weekly_TVPlantPmod!$B11&amp;Weekly_TVPlantPmod!$B$3&amp;$B$2&amp;$B$1&amp;$C$1)</f>
        <v>0</v>
      </c>
      <c r="EZ11" s="2">
        <f>COUNTIF(defects!$Z:$Z,Weekly_TVPlantPmod!EZ$3&amp;Weekly_TVPlantPmod!$B11&amp;Weekly_TVPlantPmod!$B$3&amp;$B$2&amp;$B$1&amp;$C$1)</f>
        <v>0</v>
      </c>
      <c r="FA11" s="2">
        <f>COUNTIF(defects!$Z:$Z,Weekly_TVPlantPmod!FA$3&amp;Weekly_TVPlantPmod!$B11&amp;Weekly_TVPlantPmod!$B$3&amp;$B$2&amp;$B$1&amp;$C$1)</f>
        <v>0</v>
      </c>
      <c r="FB11" s="2">
        <f>COUNTIF(defects!$Z:$Z,Weekly_TVPlantPmod!FB$3&amp;Weekly_TVPlantPmod!$B11&amp;Weekly_TVPlantPmod!$B$3&amp;$B$2&amp;$B$1&amp;$C$1)</f>
        <v>0</v>
      </c>
      <c r="FC11" s="2">
        <f>COUNTIF(defects!$Z:$Z,Weekly_TVPlantPmod!FC$3&amp;Weekly_TVPlantPmod!$B11&amp;Weekly_TVPlantPmod!$B$3&amp;$B$2&amp;$B$1&amp;$C$1)</f>
        <v>0</v>
      </c>
      <c r="FD11" s="2">
        <f>COUNTIF(defects!$Z:$Z,Weekly_TVPlantPmod!FD$3&amp;Weekly_TVPlantPmod!$B11&amp;Weekly_TVPlantPmod!$B$3&amp;$B$2&amp;$B$1&amp;$C$1)</f>
        <v>0</v>
      </c>
      <c r="FE11" s="2">
        <f>COUNTIF(defects!$Z:$Z,Weekly_TVPlantPmod!FE$3&amp;Weekly_TVPlantPmod!$B11&amp;Weekly_TVPlantPmod!$B$3&amp;$B$2&amp;$B$1&amp;$C$1)</f>
        <v>0</v>
      </c>
    </row>
    <row r="12" spans="2:161">
      <c r="B12" s="2" t="s">
        <v>992</v>
      </c>
      <c r="C12" s="2">
        <f>COUNTIF(defects!$Z:$Z,Weekly_TVPlantPmod!C$3&amp;Weekly_TVPlantPmod!$B12&amp;Weekly_TVPlantPmod!$B$3&amp;$B$2&amp;$B$1&amp;$C$1)</f>
        <v>0</v>
      </c>
      <c r="D12" s="2">
        <f>COUNTIF(defects!$Z:$Z,Weekly_TVPlantPmod!D$3&amp;Weekly_TVPlantPmod!$B12&amp;Weekly_TVPlantPmod!$B$3&amp;$B$2&amp;$B$1&amp;$C$1)</f>
        <v>0</v>
      </c>
      <c r="E12" s="2">
        <f>COUNTIF(defects!$Z:$Z,Weekly_TVPlantPmod!E$3&amp;Weekly_TVPlantPmod!$B12&amp;Weekly_TVPlantPmod!$B$3&amp;$B$2&amp;$B$1&amp;$C$1)</f>
        <v>0</v>
      </c>
      <c r="F12" s="2">
        <f>COUNTIF(defects!$Z:$Z,Weekly_TVPlantPmod!F$3&amp;Weekly_TVPlantPmod!$B12&amp;Weekly_TVPlantPmod!$B$3&amp;$B$2&amp;$B$1&amp;$C$1)</f>
        <v>0</v>
      </c>
      <c r="G12" s="2">
        <f>COUNTIF(defects!$Z:$Z,Weekly_TVPlantPmod!G$3&amp;Weekly_TVPlantPmod!$B12&amp;Weekly_TVPlantPmod!$B$3&amp;$B$2&amp;$B$1&amp;$C$1)</f>
        <v>0</v>
      </c>
      <c r="H12" s="2">
        <f>COUNTIF(defects!$Z:$Z,Weekly_TVPlantPmod!H$3&amp;Weekly_TVPlantPmod!$B12&amp;Weekly_TVPlantPmod!$B$3&amp;$B$2&amp;$B$1&amp;$C$1)</f>
        <v>0</v>
      </c>
      <c r="I12" s="2">
        <f>COUNTIF(defects!$Z:$Z,Weekly_TVPlantPmod!I$3&amp;Weekly_TVPlantPmod!$B12&amp;Weekly_TVPlantPmod!$B$3&amp;$B$2&amp;$B$1&amp;$C$1)</f>
        <v>0</v>
      </c>
      <c r="J12" s="2">
        <f>COUNTIF(defects!$Z:$Z,Weekly_TVPlantPmod!J$3&amp;Weekly_TVPlantPmod!$B12&amp;Weekly_TVPlantPmod!$B$3&amp;$B$2&amp;$B$1&amp;$C$1)</f>
        <v>0</v>
      </c>
      <c r="K12" s="2">
        <f>COUNTIF(defects!$Z:$Z,Weekly_TVPlantPmod!K$3&amp;Weekly_TVPlantPmod!$B12&amp;Weekly_TVPlantPmod!$B$3&amp;$B$2&amp;$B$1&amp;$C$1)</f>
        <v>0</v>
      </c>
      <c r="L12" s="2">
        <f>COUNTIF(defects!$Z:$Z,Weekly_TVPlantPmod!L$3&amp;Weekly_TVPlantPmod!$B12&amp;Weekly_TVPlantPmod!$B$3&amp;$B$2&amp;$B$1&amp;$C$1)</f>
        <v>0</v>
      </c>
      <c r="M12" s="2">
        <f>COUNTIF(defects!$Z:$Z,Weekly_TVPlantPmod!M$3&amp;Weekly_TVPlantPmod!$B12&amp;Weekly_TVPlantPmod!$B$3&amp;$B$2&amp;$B$1&amp;$C$1)</f>
        <v>0</v>
      </c>
      <c r="N12" s="2">
        <f>COUNTIF(defects!$Z:$Z,Weekly_TVPlantPmod!N$3&amp;Weekly_TVPlantPmod!$B12&amp;Weekly_TVPlantPmod!$B$3&amp;$B$2&amp;$B$1&amp;$C$1)</f>
        <v>0</v>
      </c>
      <c r="O12" s="2">
        <f>COUNTIF(defects!$Z:$Z,Weekly_TVPlantPmod!O$3&amp;Weekly_TVPlantPmod!$B12&amp;Weekly_TVPlantPmod!$B$3&amp;$B$2&amp;$B$1&amp;$C$1)</f>
        <v>0</v>
      </c>
      <c r="P12" s="2">
        <f>COUNTIF(defects!$Z:$Z,Weekly_TVPlantPmod!P$3&amp;Weekly_TVPlantPmod!$B12&amp;Weekly_TVPlantPmod!$B$3&amp;$B$2&amp;$B$1&amp;$C$1)</f>
        <v>0</v>
      </c>
      <c r="Q12" s="2">
        <f>COUNTIF(defects!$Z:$Z,Weekly_TVPlantPmod!Q$3&amp;Weekly_TVPlantPmod!$B12&amp;Weekly_TVPlantPmod!$B$3&amp;$B$2&amp;$B$1&amp;$C$1)</f>
        <v>0</v>
      </c>
      <c r="R12" s="2">
        <f>COUNTIF(defects!$Z:$Z,Weekly_TVPlantPmod!R$3&amp;Weekly_TVPlantPmod!$B12&amp;Weekly_TVPlantPmod!$B$3&amp;$B$2&amp;$B$1&amp;$C$1)</f>
        <v>0</v>
      </c>
      <c r="S12" s="2">
        <f>COUNTIF(defects!$Z:$Z,Weekly_TVPlantPmod!S$3&amp;Weekly_TVPlantPmod!$B12&amp;Weekly_TVPlantPmod!$B$3&amp;$B$2&amp;$B$1&amp;$C$1)</f>
        <v>0</v>
      </c>
      <c r="T12" s="2">
        <f>COUNTIF(defects!$Z:$Z,Weekly_TVPlantPmod!T$3&amp;Weekly_TVPlantPmod!$B12&amp;Weekly_TVPlantPmod!$B$3&amp;$B$2&amp;$B$1&amp;$C$1)</f>
        <v>0</v>
      </c>
      <c r="U12" s="2">
        <f>COUNTIF(defects!$Z:$Z,Weekly_TVPlantPmod!U$3&amp;Weekly_TVPlantPmod!$B12&amp;Weekly_TVPlantPmod!$B$3&amp;$B$2&amp;$B$1&amp;$C$1)</f>
        <v>0</v>
      </c>
      <c r="V12" s="2">
        <f>COUNTIF(defects!$Z:$Z,Weekly_TVPlantPmod!V$3&amp;Weekly_TVPlantPmod!$B12&amp;Weekly_TVPlantPmod!$B$3&amp;$B$2&amp;$B$1&amp;$C$1)</f>
        <v>0</v>
      </c>
      <c r="W12" s="2">
        <f>COUNTIF(defects!$Z:$Z,Weekly_TVPlantPmod!W$3&amp;Weekly_TVPlantPmod!$B12&amp;Weekly_TVPlantPmod!$B$3&amp;$B$2&amp;$B$1&amp;$C$1)</f>
        <v>0</v>
      </c>
      <c r="X12" s="2">
        <f>COUNTIF(defects!$Z:$Z,Weekly_TVPlantPmod!X$3&amp;Weekly_TVPlantPmod!$B12&amp;Weekly_TVPlantPmod!$B$3&amp;$B$2&amp;$B$1&amp;$C$1)</f>
        <v>0</v>
      </c>
      <c r="Y12" s="2">
        <f>COUNTIF(defects!$Z:$Z,Weekly_TVPlantPmod!Y$3&amp;Weekly_TVPlantPmod!$B12&amp;Weekly_TVPlantPmod!$B$3&amp;$B$2&amp;$B$1&amp;$C$1)</f>
        <v>0</v>
      </c>
      <c r="Z12" s="2">
        <f>COUNTIF(defects!$Z:$Z,Weekly_TVPlantPmod!Z$3&amp;Weekly_TVPlantPmod!$B12&amp;Weekly_TVPlantPmod!$B$3&amp;$B$2&amp;$B$1&amp;$C$1)</f>
        <v>0</v>
      </c>
      <c r="AA12" s="2">
        <f>COUNTIF(defects!$Z:$Z,Weekly_TVPlantPmod!AA$3&amp;Weekly_TVPlantPmod!$B12&amp;Weekly_TVPlantPmod!$B$3&amp;$B$2&amp;$B$1&amp;$C$1)</f>
        <v>0</v>
      </c>
      <c r="AB12" s="2">
        <f>COUNTIF(defects!$Z:$Z,Weekly_TVPlantPmod!AB$3&amp;Weekly_TVPlantPmod!$B12&amp;Weekly_TVPlantPmod!$B$3&amp;$B$2&amp;$B$1&amp;$C$1)</f>
        <v>0</v>
      </c>
      <c r="AC12" s="2">
        <f>COUNTIF(defects!$Z:$Z,Weekly_TVPlantPmod!AC$3&amp;Weekly_TVPlantPmod!$B12&amp;Weekly_TVPlantPmod!$B$3&amp;$B$2&amp;$B$1&amp;$C$1)</f>
        <v>0</v>
      </c>
      <c r="AD12" s="2">
        <f>COUNTIF(defects!$Z:$Z,Weekly_TVPlantPmod!AD$3&amp;Weekly_TVPlantPmod!$B12&amp;Weekly_TVPlantPmod!$B$3&amp;$B$2&amp;$B$1&amp;$C$1)</f>
        <v>0</v>
      </c>
      <c r="AE12" s="2">
        <f>COUNTIF(defects!$Z:$Z,Weekly_TVPlantPmod!AE$3&amp;Weekly_TVPlantPmod!$B12&amp;Weekly_TVPlantPmod!$B$3&amp;$B$2&amp;$B$1&amp;$C$1)</f>
        <v>0</v>
      </c>
      <c r="AF12" s="2">
        <f>COUNTIF(defects!$Z:$Z,Weekly_TVPlantPmod!AF$3&amp;Weekly_TVPlantPmod!$B12&amp;Weekly_TVPlantPmod!$B$3&amp;$B$2&amp;$B$1&amp;$C$1)</f>
        <v>0</v>
      </c>
      <c r="AG12" s="2">
        <f>COUNTIF(defects!$Z:$Z,Weekly_TVPlantPmod!AG$3&amp;Weekly_TVPlantPmod!$B12&amp;Weekly_TVPlantPmod!$B$3&amp;$B$2&amp;$B$1&amp;$C$1)</f>
        <v>0</v>
      </c>
      <c r="AH12" s="2">
        <f>COUNTIF(defects!$Z:$Z,Weekly_TVPlantPmod!AH$3&amp;Weekly_TVPlantPmod!$B12&amp;Weekly_TVPlantPmod!$B$3&amp;$B$2&amp;$B$1&amp;$C$1)</f>
        <v>0</v>
      </c>
      <c r="AI12" s="2">
        <f>COUNTIF(defects!$Z:$Z,Weekly_TVPlantPmod!AI$3&amp;Weekly_TVPlantPmod!$B12&amp;Weekly_TVPlantPmod!$B$3&amp;$B$2&amp;$B$1&amp;$C$1)</f>
        <v>0</v>
      </c>
      <c r="AJ12" s="2">
        <f>COUNTIF(defects!$Z:$Z,Weekly_TVPlantPmod!AJ$3&amp;Weekly_TVPlantPmod!$B12&amp;Weekly_TVPlantPmod!$B$3&amp;$B$2&amp;$B$1&amp;$C$1)</f>
        <v>0</v>
      </c>
      <c r="AK12" s="2">
        <f>COUNTIF(defects!$Z:$Z,Weekly_TVPlantPmod!AK$3&amp;Weekly_TVPlantPmod!$B12&amp;Weekly_TVPlantPmod!$B$3&amp;$B$2&amp;$B$1&amp;$C$1)</f>
        <v>0</v>
      </c>
      <c r="AL12" s="2">
        <f>COUNTIF(defects!$Z:$Z,Weekly_TVPlantPmod!AL$3&amp;Weekly_TVPlantPmod!$B12&amp;Weekly_TVPlantPmod!$B$3&amp;$B$2&amp;$B$1&amp;$C$1)</f>
        <v>0</v>
      </c>
      <c r="AM12" s="2">
        <f>COUNTIF(defects!$Z:$Z,Weekly_TVPlantPmod!AM$3&amp;Weekly_TVPlantPmod!$B12&amp;Weekly_TVPlantPmod!$B$3&amp;$B$2&amp;$B$1&amp;$C$1)</f>
        <v>0</v>
      </c>
      <c r="AN12" s="2">
        <f>COUNTIF(defects!$Z:$Z,Weekly_TVPlantPmod!AN$3&amp;Weekly_TVPlantPmod!$B12&amp;Weekly_TVPlantPmod!$B$3&amp;$B$2&amp;$B$1&amp;$C$1)</f>
        <v>0</v>
      </c>
      <c r="AO12" s="2">
        <f>COUNTIF(defects!$Z:$Z,Weekly_TVPlantPmod!AO$3&amp;Weekly_TVPlantPmod!$B12&amp;Weekly_TVPlantPmod!$B$3&amp;$B$2&amp;$B$1&amp;$C$1)</f>
        <v>0</v>
      </c>
      <c r="AP12" s="2">
        <f>COUNTIF(defects!$Z:$Z,Weekly_TVPlantPmod!AP$3&amp;Weekly_TVPlantPmod!$B12&amp;Weekly_TVPlantPmod!$B$3&amp;$B$2&amp;$B$1&amp;$C$1)</f>
        <v>0</v>
      </c>
      <c r="AQ12" s="2">
        <f>COUNTIF(defects!$Z:$Z,Weekly_TVPlantPmod!AQ$3&amp;Weekly_TVPlantPmod!$B12&amp;Weekly_TVPlantPmod!$B$3&amp;$B$2&amp;$B$1&amp;$C$1)</f>
        <v>0</v>
      </c>
      <c r="AR12" s="2">
        <f>COUNTIF(defects!$Z:$Z,Weekly_TVPlantPmod!AR$3&amp;Weekly_TVPlantPmod!$B12&amp;Weekly_TVPlantPmod!$B$3&amp;$B$2&amp;$B$1&amp;$C$1)</f>
        <v>0</v>
      </c>
      <c r="AS12" s="2">
        <f>COUNTIF(defects!$Z:$Z,Weekly_TVPlantPmod!AS$3&amp;Weekly_TVPlantPmod!$B12&amp;Weekly_TVPlantPmod!$B$3&amp;$B$2&amp;$B$1&amp;$C$1)</f>
        <v>0</v>
      </c>
      <c r="AT12" s="2">
        <f>COUNTIF(defects!$Z:$Z,Weekly_TVPlantPmod!AT$3&amp;Weekly_TVPlantPmod!$B12&amp;Weekly_TVPlantPmod!$B$3&amp;$B$2&amp;$B$1&amp;$C$1)</f>
        <v>0</v>
      </c>
      <c r="AU12" s="2">
        <f>COUNTIF(defects!$Z:$Z,Weekly_TVPlantPmod!AU$3&amp;Weekly_TVPlantPmod!$B12&amp;Weekly_TVPlantPmod!$B$3&amp;$B$2&amp;$B$1&amp;$C$1)</f>
        <v>0</v>
      </c>
      <c r="AV12" s="2">
        <f>COUNTIF(defects!$Z:$Z,Weekly_TVPlantPmod!AV$3&amp;Weekly_TVPlantPmod!$B12&amp;Weekly_TVPlantPmod!$B$3&amp;$B$2&amp;$B$1&amp;$C$1)</f>
        <v>0</v>
      </c>
      <c r="AW12" s="2">
        <f>COUNTIF(defects!$Z:$Z,Weekly_TVPlantPmod!AW$3&amp;Weekly_TVPlantPmod!$B12&amp;Weekly_TVPlantPmod!$B$3&amp;$B$2&amp;$B$1&amp;$C$1)</f>
        <v>0</v>
      </c>
      <c r="AX12" s="2">
        <f>COUNTIF(defects!$Z:$Z,Weekly_TVPlantPmod!AX$3&amp;Weekly_TVPlantPmod!$B12&amp;Weekly_TVPlantPmod!$B$3&amp;$B$2&amp;$B$1&amp;$C$1)</f>
        <v>0</v>
      </c>
      <c r="AY12" s="2">
        <f>COUNTIF(defects!$Z:$Z,Weekly_TVPlantPmod!AY$3&amp;Weekly_TVPlantPmod!$B12&amp;Weekly_TVPlantPmod!$B$3&amp;$B$2&amp;$B$1&amp;$C$1)</f>
        <v>0</v>
      </c>
      <c r="AZ12" s="2">
        <f>COUNTIF(defects!$Z:$Z,Weekly_TVPlantPmod!AZ$3&amp;Weekly_TVPlantPmod!$B12&amp;Weekly_TVPlantPmod!$B$3&amp;$B$2&amp;$B$1&amp;$C$1)</f>
        <v>0</v>
      </c>
      <c r="BA12" s="2">
        <f>COUNTIF(defects!$Z:$Z,Weekly_TVPlantPmod!BA$3&amp;Weekly_TVPlantPmod!$B12&amp;Weekly_TVPlantPmod!$B$3&amp;$B$2&amp;$B$1&amp;$C$1)</f>
        <v>0</v>
      </c>
      <c r="BB12" s="2">
        <f>COUNTIF(defects!$Z:$Z,Weekly_TVPlantPmod!BB$3&amp;Weekly_TVPlantPmod!$B12&amp;Weekly_TVPlantPmod!$B$3&amp;$B$2&amp;$B$1&amp;$C$1)</f>
        <v>0</v>
      </c>
      <c r="BC12" s="2">
        <f>COUNTIF(defects!$Z:$Z,Weekly_TVPlantPmod!BC$3&amp;Weekly_TVPlantPmod!$B12&amp;Weekly_TVPlantPmod!$B$3&amp;$B$2&amp;$B$1&amp;$C$1)</f>
        <v>0</v>
      </c>
      <c r="BD12" s="2">
        <f>COUNTIF(defects!$Z:$Z,Weekly_TVPlantPmod!BD$3&amp;Weekly_TVPlantPmod!$B12&amp;Weekly_TVPlantPmod!$B$3&amp;$B$2&amp;$B$1&amp;$C$1)</f>
        <v>0</v>
      </c>
      <c r="BE12" s="2">
        <f>COUNTIF(defects!$Z:$Z,Weekly_TVPlantPmod!BE$3&amp;Weekly_TVPlantPmod!$B12&amp;Weekly_TVPlantPmod!$B$3&amp;$B$2&amp;$B$1&amp;$C$1)</f>
        <v>0</v>
      </c>
      <c r="BF12" s="2">
        <f>COUNTIF(defects!$Z:$Z,Weekly_TVPlantPmod!BF$3&amp;Weekly_TVPlantPmod!$B12&amp;Weekly_TVPlantPmod!$B$3&amp;$B$2&amp;$B$1&amp;$C$1)</f>
        <v>0</v>
      </c>
      <c r="BG12" s="2">
        <f>COUNTIF(defects!$Z:$Z,Weekly_TVPlantPmod!BG$3&amp;Weekly_TVPlantPmod!$B12&amp;Weekly_TVPlantPmod!$B$3&amp;$B$2&amp;$B$1&amp;$C$1)</f>
        <v>0</v>
      </c>
      <c r="BH12" s="2">
        <f>COUNTIF(defects!$Z:$Z,Weekly_TVPlantPmod!BH$3&amp;Weekly_TVPlantPmod!$B12&amp;Weekly_TVPlantPmod!$B$3&amp;$B$2&amp;$B$1&amp;$C$1)</f>
        <v>0</v>
      </c>
      <c r="BI12" s="2">
        <f>COUNTIF(defects!$Z:$Z,Weekly_TVPlantPmod!BI$3&amp;Weekly_TVPlantPmod!$B12&amp;Weekly_TVPlantPmod!$B$3&amp;$B$2&amp;$B$1&amp;$C$1)</f>
        <v>0</v>
      </c>
      <c r="BJ12" s="2">
        <f>COUNTIF(defects!$Z:$Z,Weekly_TVPlantPmod!BJ$3&amp;Weekly_TVPlantPmod!$B12&amp;Weekly_TVPlantPmod!$B$3&amp;$B$2&amp;$B$1&amp;$C$1)</f>
        <v>0</v>
      </c>
      <c r="BK12" s="2">
        <f>COUNTIF(defects!$Z:$Z,Weekly_TVPlantPmod!BK$3&amp;Weekly_TVPlantPmod!$B12&amp;Weekly_TVPlantPmod!$B$3&amp;$B$2&amp;$B$1&amp;$C$1)</f>
        <v>0</v>
      </c>
      <c r="BL12" s="2">
        <f>COUNTIF(defects!$Z:$Z,Weekly_TVPlantPmod!BL$3&amp;Weekly_TVPlantPmod!$B12&amp;Weekly_TVPlantPmod!$B$3&amp;$B$2&amp;$B$1&amp;$C$1)</f>
        <v>0</v>
      </c>
      <c r="BM12" s="2">
        <f>COUNTIF(defects!$Z:$Z,Weekly_TVPlantPmod!BM$3&amp;Weekly_TVPlantPmod!$B12&amp;Weekly_TVPlantPmod!$B$3&amp;$B$2&amp;$B$1&amp;$C$1)</f>
        <v>0</v>
      </c>
      <c r="BN12" s="2">
        <f>COUNTIF(defects!$Z:$Z,Weekly_TVPlantPmod!BN$3&amp;Weekly_TVPlantPmod!$B12&amp;Weekly_TVPlantPmod!$B$3&amp;$B$2&amp;$B$1&amp;$C$1)</f>
        <v>0</v>
      </c>
      <c r="BO12" s="2">
        <f>COUNTIF(defects!$Z:$Z,Weekly_TVPlantPmod!BO$3&amp;Weekly_TVPlantPmod!$B12&amp;Weekly_TVPlantPmod!$B$3&amp;$B$2&amp;$B$1&amp;$C$1)</f>
        <v>0</v>
      </c>
      <c r="BP12" s="2">
        <f>COUNTIF(defects!$Z:$Z,Weekly_TVPlantPmod!BP$3&amp;Weekly_TVPlantPmod!$B12&amp;Weekly_TVPlantPmod!$B$3&amp;$B$2&amp;$B$1&amp;$C$1)</f>
        <v>0</v>
      </c>
      <c r="BQ12" s="2">
        <f>COUNTIF(defects!$Z:$Z,Weekly_TVPlantPmod!BQ$3&amp;Weekly_TVPlantPmod!$B12&amp;Weekly_TVPlantPmod!$B$3&amp;$B$2&amp;$B$1&amp;$C$1)</f>
        <v>0</v>
      </c>
      <c r="BR12" s="2">
        <f>COUNTIF(defects!$Z:$Z,Weekly_TVPlantPmod!BR$3&amp;Weekly_TVPlantPmod!$B12&amp;Weekly_TVPlantPmod!$B$3&amp;$B$2&amp;$B$1&amp;$C$1)</f>
        <v>0</v>
      </c>
      <c r="BS12" s="2">
        <f>COUNTIF(defects!$Z:$Z,Weekly_TVPlantPmod!BS$3&amp;Weekly_TVPlantPmod!$B12&amp;Weekly_TVPlantPmod!$B$3&amp;$B$2&amp;$B$1&amp;$C$1)</f>
        <v>0</v>
      </c>
      <c r="BT12" s="2">
        <f>COUNTIF(defects!$Z:$Z,Weekly_TVPlantPmod!BT$3&amp;Weekly_TVPlantPmod!$B12&amp;Weekly_TVPlantPmod!$B$3&amp;$B$2&amp;$B$1&amp;$C$1)</f>
        <v>0</v>
      </c>
      <c r="BU12" s="2">
        <f>COUNTIF(defects!$Z:$Z,Weekly_TVPlantPmod!BU$3&amp;Weekly_TVPlantPmod!$B12&amp;Weekly_TVPlantPmod!$B$3&amp;$B$2&amp;$B$1&amp;$C$1)</f>
        <v>0</v>
      </c>
      <c r="BV12" s="2">
        <f>COUNTIF(defects!$Z:$Z,Weekly_TVPlantPmod!BV$3&amp;Weekly_TVPlantPmod!$B12&amp;Weekly_TVPlantPmod!$B$3&amp;$B$2&amp;$B$1&amp;$C$1)</f>
        <v>0</v>
      </c>
      <c r="BW12" s="2">
        <f>COUNTIF(defects!$Z:$Z,Weekly_TVPlantPmod!BW$3&amp;Weekly_TVPlantPmod!$B12&amp;Weekly_TVPlantPmod!$B$3&amp;$B$2&amp;$B$1&amp;$C$1)</f>
        <v>0</v>
      </c>
      <c r="BX12" s="2">
        <f>COUNTIF(defects!$Z:$Z,Weekly_TVPlantPmod!BX$3&amp;Weekly_TVPlantPmod!$B12&amp;Weekly_TVPlantPmod!$B$3&amp;$B$2&amp;$B$1&amp;$C$1)</f>
        <v>0</v>
      </c>
      <c r="BY12" s="2">
        <f>COUNTIF(defects!$Z:$Z,Weekly_TVPlantPmod!BY$3&amp;Weekly_TVPlantPmod!$B12&amp;Weekly_TVPlantPmod!$B$3&amp;$B$2&amp;$B$1&amp;$C$1)</f>
        <v>0</v>
      </c>
      <c r="BZ12" s="2">
        <f>COUNTIF(defects!$Z:$Z,Weekly_TVPlantPmod!BZ$3&amp;Weekly_TVPlantPmod!$B12&amp;Weekly_TVPlantPmod!$B$3&amp;$B$2&amp;$B$1&amp;$C$1)</f>
        <v>0</v>
      </c>
      <c r="CA12" s="2">
        <f>COUNTIF(defects!$Z:$Z,Weekly_TVPlantPmod!CA$3&amp;Weekly_TVPlantPmod!$B12&amp;Weekly_TVPlantPmod!$B$3&amp;$B$2&amp;$B$1&amp;$C$1)</f>
        <v>0</v>
      </c>
      <c r="CB12" s="2">
        <f>COUNTIF(defects!$Z:$Z,Weekly_TVPlantPmod!CB$3&amp;Weekly_TVPlantPmod!$B12&amp;Weekly_TVPlantPmod!$B$3&amp;$B$2&amp;$B$1&amp;$C$1)</f>
        <v>0</v>
      </c>
      <c r="CC12" s="2">
        <f>COUNTIF(defects!$Z:$Z,Weekly_TVPlantPmod!CC$3&amp;Weekly_TVPlantPmod!$B12&amp;Weekly_TVPlantPmod!$B$3&amp;$B$2&amp;$B$1&amp;$C$1)</f>
        <v>0</v>
      </c>
      <c r="CD12" s="2">
        <f>COUNTIF(defects!$Z:$Z,Weekly_TVPlantPmod!CD$3&amp;Weekly_TVPlantPmod!$B12&amp;Weekly_TVPlantPmod!$B$3&amp;$B$2&amp;$B$1&amp;$C$1)</f>
        <v>0</v>
      </c>
      <c r="CE12" s="2">
        <f>COUNTIF(defects!$Z:$Z,Weekly_TVPlantPmod!CE$3&amp;Weekly_TVPlantPmod!$B12&amp;Weekly_TVPlantPmod!$B$3&amp;$B$2&amp;$B$1&amp;$C$1)</f>
        <v>0</v>
      </c>
      <c r="CF12" s="2">
        <f>COUNTIF(defects!$Z:$Z,Weekly_TVPlantPmod!CF$3&amp;Weekly_TVPlantPmod!$B12&amp;Weekly_TVPlantPmod!$B$3&amp;$B$2&amp;$B$1&amp;$C$1)</f>
        <v>0</v>
      </c>
      <c r="CG12" s="2">
        <f>COUNTIF(defects!$Z:$Z,Weekly_TVPlantPmod!CG$3&amp;Weekly_TVPlantPmod!$B12&amp;Weekly_TVPlantPmod!$B$3&amp;$B$2&amp;$B$1&amp;$C$1)</f>
        <v>0</v>
      </c>
      <c r="CH12" s="2">
        <f>COUNTIF(defects!$Z:$Z,Weekly_TVPlantPmod!CH$3&amp;Weekly_TVPlantPmod!$B12&amp;Weekly_TVPlantPmod!$B$3&amp;$B$2&amp;$B$1&amp;$C$1)</f>
        <v>0</v>
      </c>
      <c r="CI12" s="2">
        <f>COUNTIF(defects!$Z:$Z,Weekly_TVPlantPmod!CI$3&amp;Weekly_TVPlantPmod!$B12&amp;Weekly_TVPlantPmod!$B$3&amp;$B$2&amp;$B$1&amp;$C$1)</f>
        <v>0</v>
      </c>
      <c r="CJ12" s="2">
        <f>COUNTIF(defects!$Z:$Z,Weekly_TVPlantPmod!CJ$3&amp;Weekly_TVPlantPmod!$B12&amp;Weekly_TVPlantPmod!$B$3&amp;$B$2&amp;$B$1&amp;$C$1)</f>
        <v>0</v>
      </c>
      <c r="CK12" s="2">
        <f>COUNTIF(defects!$Z:$Z,Weekly_TVPlantPmod!CK$3&amp;Weekly_TVPlantPmod!$B12&amp;Weekly_TVPlantPmod!$B$3&amp;$B$2&amp;$B$1&amp;$C$1)</f>
        <v>0</v>
      </c>
      <c r="CL12" s="2">
        <f>COUNTIF(defects!$Z:$Z,Weekly_TVPlantPmod!CL$3&amp;Weekly_TVPlantPmod!$B12&amp;Weekly_TVPlantPmod!$B$3&amp;$B$2&amp;$B$1&amp;$C$1)</f>
        <v>0</v>
      </c>
      <c r="CM12" s="2">
        <f>COUNTIF(defects!$Z:$Z,Weekly_TVPlantPmod!CM$3&amp;Weekly_TVPlantPmod!$B12&amp;Weekly_TVPlantPmod!$B$3&amp;$B$2&amp;$B$1&amp;$C$1)</f>
        <v>0</v>
      </c>
      <c r="CN12" s="2">
        <f>COUNTIF(defects!$Z:$Z,Weekly_TVPlantPmod!CN$3&amp;Weekly_TVPlantPmod!$B12&amp;Weekly_TVPlantPmod!$B$3&amp;$B$2&amp;$B$1&amp;$C$1)</f>
        <v>0</v>
      </c>
      <c r="CO12" s="2">
        <f>COUNTIF(defects!$Z:$Z,Weekly_TVPlantPmod!CO$3&amp;Weekly_TVPlantPmod!$B12&amp;Weekly_TVPlantPmod!$B$3&amp;$B$2&amp;$B$1&amp;$C$1)</f>
        <v>0</v>
      </c>
      <c r="CP12" s="2">
        <f>COUNTIF(defects!$Z:$Z,Weekly_TVPlantPmod!CP$3&amp;Weekly_TVPlantPmod!$B12&amp;Weekly_TVPlantPmod!$B$3&amp;$B$2&amp;$B$1&amp;$C$1)</f>
        <v>0</v>
      </c>
      <c r="CQ12" s="2">
        <f>COUNTIF(defects!$Z:$Z,Weekly_TVPlantPmod!CQ$3&amp;Weekly_TVPlantPmod!$B12&amp;Weekly_TVPlantPmod!$B$3&amp;$B$2&amp;$B$1&amp;$C$1)</f>
        <v>0</v>
      </c>
      <c r="CR12" s="2">
        <f>COUNTIF(defects!$Z:$Z,Weekly_TVPlantPmod!CR$3&amp;Weekly_TVPlantPmod!$B12&amp;Weekly_TVPlantPmod!$B$3&amp;$B$2&amp;$B$1&amp;$C$1)</f>
        <v>0</v>
      </c>
      <c r="CS12" s="2">
        <f>COUNTIF(defects!$Z:$Z,Weekly_TVPlantPmod!CS$3&amp;Weekly_TVPlantPmod!$B12&amp;Weekly_TVPlantPmod!$B$3&amp;$B$2&amp;$B$1&amp;$C$1)</f>
        <v>0</v>
      </c>
      <c r="CT12" s="2">
        <f>COUNTIF(defects!$Z:$Z,Weekly_TVPlantPmod!CT$3&amp;Weekly_TVPlantPmod!$B12&amp;Weekly_TVPlantPmod!$B$3&amp;$B$2&amp;$B$1&amp;$C$1)</f>
        <v>0</v>
      </c>
      <c r="CU12" s="2">
        <f>COUNTIF(defects!$Z:$Z,Weekly_TVPlantPmod!CU$3&amp;Weekly_TVPlantPmod!$B12&amp;Weekly_TVPlantPmod!$B$3&amp;$B$2&amp;$B$1&amp;$C$1)</f>
        <v>0</v>
      </c>
      <c r="CV12" s="2">
        <f>COUNTIF(defects!$Z:$Z,Weekly_TVPlantPmod!CV$3&amp;Weekly_TVPlantPmod!$B12&amp;Weekly_TVPlantPmod!$B$3&amp;$B$2&amp;$B$1&amp;$C$1)</f>
        <v>0</v>
      </c>
      <c r="CW12" s="2">
        <f>COUNTIF(defects!$Z:$Z,Weekly_TVPlantPmod!CW$3&amp;Weekly_TVPlantPmod!$B12&amp;Weekly_TVPlantPmod!$B$3&amp;$B$2&amp;$B$1&amp;$C$1)</f>
        <v>0</v>
      </c>
      <c r="CX12" s="2">
        <f>COUNTIF(defects!$Z:$Z,Weekly_TVPlantPmod!CX$3&amp;Weekly_TVPlantPmod!$B12&amp;Weekly_TVPlantPmod!$B$3&amp;$B$2&amp;$B$1&amp;$C$1)</f>
        <v>0</v>
      </c>
      <c r="CY12" s="2">
        <f>COUNTIF(defects!$Z:$Z,Weekly_TVPlantPmod!CY$3&amp;Weekly_TVPlantPmod!$B12&amp;Weekly_TVPlantPmod!$B$3&amp;$B$2&amp;$B$1&amp;$C$1)</f>
        <v>0</v>
      </c>
      <c r="CZ12" s="2">
        <f>COUNTIF(defects!$Z:$Z,Weekly_TVPlantPmod!CZ$3&amp;Weekly_TVPlantPmod!$B12&amp;Weekly_TVPlantPmod!$B$3&amp;$B$2&amp;$B$1&amp;$C$1)</f>
        <v>0</v>
      </c>
      <c r="DA12" s="2">
        <f>COUNTIF(defects!$Z:$Z,Weekly_TVPlantPmod!DA$3&amp;Weekly_TVPlantPmod!$B12&amp;Weekly_TVPlantPmod!$B$3&amp;$B$2&amp;$B$1&amp;$C$1)</f>
        <v>0</v>
      </c>
      <c r="DB12" s="2">
        <f>COUNTIF(defects!$Z:$Z,Weekly_TVPlantPmod!DB$3&amp;Weekly_TVPlantPmod!$B12&amp;Weekly_TVPlantPmod!$B$3&amp;$B$2&amp;$B$1&amp;$C$1)</f>
        <v>0</v>
      </c>
      <c r="DC12" s="2">
        <f>COUNTIF(defects!$Z:$Z,Weekly_TVPlantPmod!DC$3&amp;Weekly_TVPlantPmod!$B12&amp;Weekly_TVPlantPmod!$B$3&amp;$B$2&amp;$B$1&amp;$C$1)</f>
        <v>0</v>
      </c>
      <c r="DD12" s="2">
        <f>COUNTIF(defects!$Z:$Z,Weekly_TVPlantPmod!DD$3&amp;Weekly_TVPlantPmod!$B12&amp;Weekly_TVPlantPmod!$B$3&amp;$B$2&amp;$B$1&amp;$C$1)</f>
        <v>0</v>
      </c>
      <c r="DE12" s="2">
        <f>COUNTIF(defects!$Z:$Z,Weekly_TVPlantPmod!DE$3&amp;Weekly_TVPlantPmod!$B12&amp;Weekly_TVPlantPmod!$B$3&amp;$B$2&amp;$B$1&amp;$C$1)</f>
        <v>0</v>
      </c>
      <c r="DF12" s="2">
        <f>COUNTIF(defects!$Z:$Z,Weekly_TVPlantPmod!DF$3&amp;Weekly_TVPlantPmod!$B12&amp;Weekly_TVPlantPmod!$B$3&amp;$B$2&amp;$B$1&amp;$C$1)</f>
        <v>0</v>
      </c>
      <c r="DG12" s="2">
        <f>COUNTIF(defects!$Z:$Z,Weekly_TVPlantPmod!DG$3&amp;Weekly_TVPlantPmod!$B12&amp;Weekly_TVPlantPmod!$B$3&amp;$B$2&amp;$B$1&amp;$C$1)</f>
        <v>0</v>
      </c>
      <c r="DH12" s="2">
        <f>COUNTIF(defects!$Z:$Z,Weekly_TVPlantPmod!DH$3&amp;Weekly_TVPlantPmod!$B12&amp;Weekly_TVPlantPmod!$B$3&amp;$B$2&amp;$B$1&amp;$C$1)</f>
        <v>0</v>
      </c>
      <c r="DI12" s="2">
        <f>COUNTIF(defects!$Z:$Z,Weekly_TVPlantPmod!DI$3&amp;Weekly_TVPlantPmod!$B12&amp;Weekly_TVPlantPmod!$B$3&amp;$B$2&amp;$B$1&amp;$C$1)</f>
        <v>0</v>
      </c>
      <c r="DJ12" s="2">
        <f>COUNTIF(defects!$Z:$Z,Weekly_TVPlantPmod!DJ$3&amp;Weekly_TVPlantPmod!$B12&amp;Weekly_TVPlantPmod!$B$3&amp;$B$2&amp;$B$1&amp;$C$1)</f>
        <v>0</v>
      </c>
      <c r="DK12" s="2">
        <f>COUNTIF(defects!$Z:$Z,Weekly_TVPlantPmod!DK$3&amp;Weekly_TVPlantPmod!$B12&amp;Weekly_TVPlantPmod!$B$3&amp;$B$2&amp;$B$1&amp;$C$1)</f>
        <v>0</v>
      </c>
      <c r="DL12" s="2">
        <f>COUNTIF(defects!$Z:$Z,Weekly_TVPlantPmod!DL$3&amp;Weekly_TVPlantPmod!$B12&amp;Weekly_TVPlantPmod!$B$3&amp;$B$2&amp;$B$1&amp;$C$1)</f>
        <v>0</v>
      </c>
      <c r="DM12" s="2">
        <f>COUNTIF(defects!$Z:$Z,Weekly_TVPlantPmod!DM$3&amp;Weekly_TVPlantPmod!$B12&amp;Weekly_TVPlantPmod!$B$3&amp;$B$2&amp;$B$1&amp;$C$1)</f>
        <v>0</v>
      </c>
      <c r="DN12" s="2">
        <f>COUNTIF(defects!$Z:$Z,Weekly_TVPlantPmod!DN$3&amp;Weekly_TVPlantPmod!$B12&amp;Weekly_TVPlantPmod!$B$3&amp;$B$2&amp;$B$1&amp;$C$1)</f>
        <v>0</v>
      </c>
      <c r="DO12" s="2">
        <f>COUNTIF(defects!$Z:$Z,Weekly_TVPlantPmod!DO$3&amp;Weekly_TVPlantPmod!$B12&amp;Weekly_TVPlantPmod!$B$3&amp;$B$2&amp;$B$1&amp;$C$1)</f>
        <v>0</v>
      </c>
      <c r="DP12" s="2">
        <f>COUNTIF(defects!$Z:$Z,Weekly_TVPlantPmod!DP$3&amp;Weekly_TVPlantPmod!$B12&amp;Weekly_TVPlantPmod!$B$3&amp;$B$2&amp;$B$1&amp;$C$1)</f>
        <v>0</v>
      </c>
      <c r="DQ12" s="2">
        <f>COUNTIF(defects!$Z:$Z,Weekly_TVPlantPmod!DQ$3&amp;Weekly_TVPlantPmod!$B12&amp;Weekly_TVPlantPmod!$B$3&amp;$B$2&amp;$B$1&amp;$C$1)</f>
        <v>0</v>
      </c>
      <c r="DR12" s="2">
        <f>COUNTIF(defects!$Z:$Z,Weekly_TVPlantPmod!DR$3&amp;Weekly_TVPlantPmod!$B12&amp;Weekly_TVPlantPmod!$B$3&amp;$B$2&amp;$B$1&amp;$C$1)</f>
        <v>0</v>
      </c>
      <c r="DS12" s="2">
        <f>COUNTIF(defects!$Z:$Z,Weekly_TVPlantPmod!DS$3&amp;Weekly_TVPlantPmod!$B12&amp;Weekly_TVPlantPmod!$B$3&amp;$B$2&amp;$B$1&amp;$C$1)</f>
        <v>0</v>
      </c>
      <c r="DT12" s="2">
        <f>COUNTIF(defects!$Z:$Z,Weekly_TVPlantPmod!DT$3&amp;Weekly_TVPlantPmod!$B12&amp;Weekly_TVPlantPmod!$B$3&amp;$B$2&amp;$B$1&amp;$C$1)</f>
        <v>0</v>
      </c>
      <c r="DU12" s="2">
        <f>COUNTIF(defects!$Z:$Z,Weekly_TVPlantPmod!DU$3&amp;Weekly_TVPlantPmod!$B12&amp;Weekly_TVPlantPmod!$B$3&amp;$B$2&amp;$B$1&amp;$C$1)</f>
        <v>0</v>
      </c>
      <c r="DV12" s="2">
        <f>COUNTIF(defects!$Z:$Z,Weekly_TVPlantPmod!DV$3&amp;Weekly_TVPlantPmod!$B12&amp;Weekly_TVPlantPmod!$B$3&amp;$B$2&amp;$B$1&amp;$C$1)</f>
        <v>0</v>
      </c>
      <c r="DW12" s="2">
        <f>COUNTIF(defects!$Z:$Z,Weekly_TVPlantPmod!DW$3&amp;Weekly_TVPlantPmod!$B12&amp;Weekly_TVPlantPmod!$B$3&amp;$B$2&amp;$B$1&amp;$C$1)</f>
        <v>0</v>
      </c>
      <c r="DX12" s="2">
        <f>COUNTIF(defects!$Z:$Z,Weekly_TVPlantPmod!DX$3&amp;Weekly_TVPlantPmod!$B12&amp;Weekly_TVPlantPmod!$B$3&amp;$B$2&amp;$B$1&amp;$C$1)</f>
        <v>0</v>
      </c>
      <c r="DY12" s="2">
        <f>COUNTIF(defects!$Z:$Z,Weekly_TVPlantPmod!DY$3&amp;Weekly_TVPlantPmod!$B12&amp;Weekly_TVPlantPmod!$B$3&amp;$B$2&amp;$B$1&amp;$C$1)</f>
        <v>0</v>
      </c>
      <c r="DZ12" s="2">
        <f>COUNTIF(defects!$Z:$Z,Weekly_TVPlantPmod!DZ$3&amp;Weekly_TVPlantPmod!$B12&amp;Weekly_TVPlantPmod!$B$3&amp;$B$2&amp;$B$1&amp;$C$1)</f>
        <v>0</v>
      </c>
      <c r="EA12" s="2">
        <f>COUNTIF(defects!$Z:$Z,Weekly_TVPlantPmod!EA$3&amp;Weekly_TVPlantPmod!$B12&amp;Weekly_TVPlantPmod!$B$3&amp;$B$2&amp;$B$1&amp;$C$1)</f>
        <v>0</v>
      </c>
      <c r="EB12" s="2">
        <f>COUNTIF(defects!$Z:$Z,Weekly_TVPlantPmod!EB$3&amp;Weekly_TVPlantPmod!$B12&amp;Weekly_TVPlantPmod!$B$3&amp;$B$2&amp;$B$1&amp;$C$1)</f>
        <v>0</v>
      </c>
      <c r="EC12" s="2">
        <f>COUNTIF(defects!$Z:$Z,Weekly_TVPlantPmod!EC$3&amp;Weekly_TVPlantPmod!$B12&amp;Weekly_TVPlantPmod!$B$3&amp;$B$2&amp;$B$1&amp;$C$1)</f>
        <v>0</v>
      </c>
      <c r="ED12" s="2">
        <f>COUNTIF(defects!$Z:$Z,Weekly_TVPlantPmod!ED$3&amp;Weekly_TVPlantPmod!$B12&amp;Weekly_TVPlantPmod!$B$3&amp;$B$2&amp;$B$1&amp;$C$1)</f>
        <v>0</v>
      </c>
      <c r="EE12" s="2">
        <f>COUNTIF(defects!$Z:$Z,Weekly_TVPlantPmod!EE$3&amp;Weekly_TVPlantPmod!$B12&amp;Weekly_TVPlantPmod!$B$3&amp;$B$2&amp;$B$1&amp;$C$1)</f>
        <v>0</v>
      </c>
      <c r="EF12" s="2">
        <f>COUNTIF(defects!$Z:$Z,Weekly_TVPlantPmod!EF$3&amp;Weekly_TVPlantPmod!$B12&amp;Weekly_TVPlantPmod!$B$3&amp;$B$2&amp;$B$1&amp;$C$1)</f>
        <v>0</v>
      </c>
      <c r="EG12" s="2">
        <f>COUNTIF(defects!$Z:$Z,Weekly_TVPlantPmod!EG$3&amp;Weekly_TVPlantPmod!$B12&amp;Weekly_TVPlantPmod!$B$3&amp;$B$2&amp;$B$1&amp;$C$1)</f>
        <v>0</v>
      </c>
      <c r="EH12" s="2">
        <f>COUNTIF(defects!$Z:$Z,Weekly_TVPlantPmod!EH$3&amp;Weekly_TVPlantPmod!$B12&amp;Weekly_TVPlantPmod!$B$3&amp;$B$2&amp;$B$1&amp;$C$1)</f>
        <v>0</v>
      </c>
      <c r="EI12" s="2">
        <f>COUNTIF(defects!$Z:$Z,Weekly_TVPlantPmod!EI$3&amp;Weekly_TVPlantPmod!$B12&amp;Weekly_TVPlantPmod!$B$3&amp;$B$2&amp;$B$1&amp;$C$1)</f>
        <v>0</v>
      </c>
      <c r="EJ12" s="2">
        <f>COUNTIF(defects!$Z:$Z,Weekly_TVPlantPmod!EJ$3&amp;Weekly_TVPlantPmod!$B12&amp;Weekly_TVPlantPmod!$B$3&amp;$B$2&amp;$B$1&amp;$C$1)</f>
        <v>0</v>
      </c>
      <c r="EK12" s="2">
        <f>COUNTIF(defects!$Z:$Z,Weekly_TVPlantPmod!EK$3&amp;Weekly_TVPlantPmod!$B12&amp;Weekly_TVPlantPmod!$B$3&amp;$B$2&amp;$B$1&amp;$C$1)</f>
        <v>0</v>
      </c>
      <c r="EL12" s="2">
        <f>COUNTIF(defects!$Z:$Z,Weekly_TVPlantPmod!EL$3&amp;Weekly_TVPlantPmod!$B12&amp;Weekly_TVPlantPmod!$B$3&amp;$B$2&amp;$B$1&amp;$C$1)</f>
        <v>0</v>
      </c>
      <c r="EM12" s="2">
        <f>COUNTIF(defects!$Z:$Z,Weekly_TVPlantPmod!EM$3&amp;Weekly_TVPlantPmod!$B12&amp;Weekly_TVPlantPmod!$B$3&amp;$B$2&amp;$B$1&amp;$C$1)</f>
        <v>0</v>
      </c>
      <c r="EN12" s="2">
        <f>COUNTIF(defects!$Z:$Z,Weekly_TVPlantPmod!EN$3&amp;Weekly_TVPlantPmod!$B12&amp;Weekly_TVPlantPmod!$B$3&amp;$B$2&amp;$B$1&amp;$C$1)</f>
        <v>0</v>
      </c>
      <c r="EO12" s="2">
        <f>COUNTIF(defects!$Z:$Z,Weekly_TVPlantPmod!EO$3&amp;Weekly_TVPlantPmod!$B12&amp;Weekly_TVPlantPmod!$B$3&amp;$B$2&amp;$B$1&amp;$C$1)</f>
        <v>0</v>
      </c>
      <c r="EP12" s="2">
        <f>COUNTIF(defects!$Z:$Z,Weekly_TVPlantPmod!EP$3&amp;Weekly_TVPlantPmod!$B12&amp;Weekly_TVPlantPmod!$B$3&amp;$B$2&amp;$B$1&amp;$C$1)</f>
        <v>0</v>
      </c>
      <c r="EQ12" s="2">
        <f>COUNTIF(defects!$Z:$Z,Weekly_TVPlantPmod!EQ$3&amp;Weekly_TVPlantPmod!$B12&amp;Weekly_TVPlantPmod!$B$3&amp;$B$2&amp;$B$1&amp;$C$1)</f>
        <v>0</v>
      </c>
      <c r="ER12" s="2">
        <f>COUNTIF(defects!$Z:$Z,Weekly_TVPlantPmod!ER$3&amp;Weekly_TVPlantPmod!$B12&amp;Weekly_TVPlantPmod!$B$3&amp;$B$2&amp;$B$1&amp;$C$1)</f>
        <v>0</v>
      </c>
      <c r="ES12" s="2">
        <f>COUNTIF(defects!$Z:$Z,Weekly_TVPlantPmod!ES$3&amp;Weekly_TVPlantPmod!$B12&amp;Weekly_TVPlantPmod!$B$3&amp;$B$2&amp;$B$1&amp;$C$1)</f>
        <v>0</v>
      </c>
      <c r="ET12" s="2">
        <f>COUNTIF(defects!$Z:$Z,Weekly_TVPlantPmod!ET$3&amp;Weekly_TVPlantPmod!$B12&amp;Weekly_TVPlantPmod!$B$3&amp;$B$2&amp;$B$1&amp;$C$1)</f>
        <v>0</v>
      </c>
      <c r="EU12" s="2">
        <f>COUNTIF(defects!$Z:$Z,Weekly_TVPlantPmod!EU$3&amp;Weekly_TVPlantPmod!$B12&amp;Weekly_TVPlantPmod!$B$3&amp;$B$2&amp;$B$1&amp;$C$1)</f>
        <v>0</v>
      </c>
      <c r="EV12" s="2">
        <f>COUNTIF(defects!$Z:$Z,Weekly_TVPlantPmod!EV$3&amp;Weekly_TVPlantPmod!$B12&amp;Weekly_TVPlantPmod!$B$3&amp;$B$2&amp;$B$1&amp;$C$1)</f>
        <v>0</v>
      </c>
      <c r="EW12" s="2">
        <f>COUNTIF(defects!$Z:$Z,Weekly_TVPlantPmod!EW$3&amp;Weekly_TVPlantPmod!$B12&amp;Weekly_TVPlantPmod!$B$3&amp;$B$2&amp;$B$1&amp;$C$1)</f>
        <v>0</v>
      </c>
      <c r="EX12" s="2">
        <f>COUNTIF(defects!$Z:$Z,Weekly_TVPlantPmod!EX$3&amp;Weekly_TVPlantPmod!$B12&amp;Weekly_TVPlantPmod!$B$3&amp;$B$2&amp;$B$1&amp;$C$1)</f>
        <v>0</v>
      </c>
      <c r="EY12" s="2">
        <f>COUNTIF(defects!$Z:$Z,Weekly_TVPlantPmod!EY$3&amp;Weekly_TVPlantPmod!$B12&amp;Weekly_TVPlantPmod!$B$3&amp;$B$2&amp;$B$1&amp;$C$1)</f>
        <v>0</v>
      </c>
      <c r="EZ12" s="2">
        <f>COUNTIF(defects!$Z:$Z,Weekly_TVPlantPmod!EZ$3&amp;Weekly_TVPlantPmod!$B12&amp;Weekly_TVPlantPmod!$B$3&amp;$B$2&amp;$B$1&amp;$C$1)</f>
        <v>0</v>
      </c>
      <c r="FA12" s="2">
        <f>COUNTIF(defects!$Z:$Z,Weekly_TVPlantPmod!FA$3&amp;Weekly_TVPlantPmod!$B12&amp;Weekly_TVPlantPmod!$B$3&amp;$B$2&amp;$B$1&amp;$C$1)</f>
        <v>0</v>
      </c>
      <c r="FB12" s="2">
        <f>COUNTIF(defects!$Z:$Z,Weekly_TVPlantPmod!FB$3&amp;Weekly_TVPlantPmod!$B12&amp;Weekly_TVPlantPmod!$B$3&amp;$B$2&amp;$B$1&amp;$C$1)</f>
        <v>0</v>
      </c>
      <c r="FC12" s="2">
        <f>COUNTIF(defects!$Z:$Z,Weekly_TVPlantPmod!FC$3&amp;Weekly_TVPlantPmod!$B12&amp;Weekly_TVPlantPmod!$B$3&amp;$B$2&amp;$B$1&amp;$C$1)</f>
        <v>0</v>
      </c>
      <c r="FD12" s="2">
        <f>COUNTIF(defects!$Z:$Z,Weekly_TVPlantPmod!FD$3&amp;Weekly_TVPlantPmod!$B12&amp;Weekly_TVPlantPmod!$B$3&amp;$B$2&amp;$B$1&amp;$C$1)</f>
        <v>0</v>
      </c>
      <c r="FE12" s="2">
        <f>COUNTIF(defects!$Z:$Z,Weekly_TVPlantPmod!FE$3&amp;Weekly_TVPlantPmod!$B12&amp;Weekly_TVPlantPmod!$B$3&amp;$B$2&amp;$B$1&amp;$C$1)</f>
        <v>0</v>
      </c>
    </row>
    <row r="13" spans="2:161">
      <c r="B13" s="2" t="s">
        <v>950</v>
      </c>
      <c r="C13" s="2">
        <f>COUNTIF(defects!$Z:$Z,Weekly_TVPlantPmod!C$3&amp;Weekly_TVPlantPmod!$B13&amp;Weekly_TVPlantPmod!$B$3&amp;$B$2&amp;$B$1&amp;$C$1)</f>
        <v>0</v>
      </c>
      <c r="D13" s="2">
        <f>COUNTIF(defects!$Z:$Z,Weekly_TVPlantPmod!D$3&amp;Weekly_TVPlantPmod!$B13&amp;Weekly_TVPlantPmod!$B$3&amp;$B$2&amp;$B$1&amp;$C$1)</f>
        <v>0</v>
      </c>
      <c r="E13" s="2">
        <f>COUNTIF(defects!$Z:$Z,Weekly_TVPlantPmod!E$3&amp;Weekly_TVPlantPmod!$B13&amp;Weekly_TVPlantPmod!$B$3&amp;$B$2&amp;$B$1&amp;$C$1)</f>
        <v>0</v>
      </c>
      <c r="F13" s="2">
        <f>COUNTIF(defects!$Z:$Z,Weekly_TVPlantPmod!F$3&amp;Weekly_TVPlantPmod!$B13&amp;Weekly_TVPlantPmod!$B$3&amp;$B$2&amp;$B$1&amp;$C$1)</f>
        <v>0</v>
      </c>
      <c r="G13" s="2">
        <f>COUNTIF(defects!$Z:$Z,Weekly_TVPlantPmod!G$3&amp;Weekly_TVPlantPmod!$B13&amp;Weekly_TVPlantPmod!$B$3&amp;$B$2&amp;$B$1&amp;$C$1)</f>
        <v>0</v>
      </c>
      <c r="H13" s="2">
        <f>COUNTIF(defects!$Z:$Z,Weekly_TVPlantPmod!H$3&amp;Weekly_TVPlantPmod!$B13&amp;Weekly_TVPlantPmod!$B$3&amp;$B$2&amp;$B$1&amp;$C$1)</f>
        <v>0</v>
      </c>
      <c r="I13" s="2">
        <f>COUNTIF(defects!$Z:$Z,Weekly_TVPlantPmod!I$3&amp;Weekly_TVPlantPmod!$B13&amp;Weekly_TVPlantPmod!$B$3&amp;$B$2&amp;$B$1&amp;$C$1)</f>
        <v>0</v>
      </c>
      <c r="J13" s="2">
        <f>COUNTIF(defects!$Z:$Z,Weekly_TVPlantPmod!J$3&amp;Weekly_TVPlantPmod!$B13&amp;Weekly_TVPlantPmod!$B$3&amp;$B$2&amp;$B$1&amp;$C$1)</f>
        <v>0</v>
      </c>
      <c r="K13" s="2">
        <f>COUNTIF(defects!$Z:$Z,Weekly_TVPlantPmod!K$3&amp;Weekly_TVPlantPmod!$B13&amp;Weekly_TVPlantPmod!$B$3&amp;$B$2&amp;$B$1&amp;$C$1)</f>
        <v>0</v>
      </c>
      <c r="L13" s="2">
        <f>COUNTIF(defects!$Z:$Z,Weekly_TVPlantPmod!L$3&amp;Weekly_TVPlantPmod!$B13&amp;Weekly_TVPlantPmod!$B$3&amp;$B$2&amp;$B$1&amp;$C$1)</f>
        <v>0</v>
      </c>
      <c r="M13" s="2">
        <f>COUNTIF(defects!$Z:$Z,Weekly_TVPlantPmod!M$3&amp;Weekly_TVPlantPmod!$B13&amp;Weekly_TVPlantPmod!$B$3&amp;$B$2&amp;$B$1&amp;$C$1)</f>
        <v>0</v>
      </c>
      <c r="N13" s="2">
        <f>COUNTIF(defects!$Z:$Z,Weekly_TVPlantPmod!N$3&amp;Weekly_TVPlantPmod!$B13&amp;Weekly_TVPlantPmod!$B$3&amp;$B$2&amp;$B$1&amp;$C$1)</f>
        <v>0</v>
      </c>
      <c r="O13" s="2">
        <f>COUNTIF(defects!$Z:$Z,Weekly_TVPlantPmod!O$3&amp;Weekly_TVPlantPmod!$B13&amp;Weekly_TVPlantPmod!$B$3&amp;$B$2&amp;$B$1&amp;$C$1)</f>
        <v>0</v>
      </c>
      <c r="P13" s="2">
        <f>COUNTIF(defects!$Z:$Z,Weekly_TVPlantPmod!P$3&amp;Weekly_TVPlantPmod!$B13&amp;Weekly_TVPlantPmod!$B$3&amp;$B$2&amp;$B$1&amp;$C$1)</f>
        <v>0</v>
      </c>
      <c r="Q13" s="2">
        <f>COUNTIF(defects!$Z:$Z,Weekly_TVPlantPmod!Q$3&amp;Weekly_TVPlantPmod!$B13&amp;Weekly_TVPlantPmod!$B$3&amp;$B$2&amp;$B$1&amp;$C$1)</f>
        <v>0</v>
      </c>
      <c r="R13" s="2">
        <f>COUNTIF(defects!$Z:$Z,Weekly_TVPlantPmod!R$3&amp;Weekly_TVPlantPmod!$B13&amp;Weekly_TVPlantPmod!$B$3&amp;$B$2&amp;$B$1&amp;$C$1)</f>
        <v>0</v>
      </c>
      <c r="S13" s="2">
        <f>COUNTIF(defects!$Z:$Z,Weekly_TVPlantPmod!S$3&amp;Weekly_TVPlantPmod!$B13&amp;Weekly_TVPlantPmod!$B$3&amp;$B$2&amp;$B$1&amp;$C$1)</f>
        <v>0</v>
      </c>
      <c r="T13" s="2">
        <f>COUNTIF(defects!$Z:$Z,Weekly_TVPlantPmod!T$3&amp;Weekly_TVPlantPmod!$B13&amp;Weekly_TVPlantPmod!$B$3&amp;$B$2&amp;$B$1&amp;$C$1)</f>
        <v>0</v>
      </c>
      <c r="U13" s="2">
        <f>COUNTIF(defects!$Z:$Z,Weekly_TVPlantPmod!U$3&amp;Weekly_TVPlantPmod!$B13&amp;Weekly_TVPlantPmod!$B$3&amp;$B$2&amp;$B$1&amp;$C$1)</f>
        <v>0</v>
      </c>
      <c r="V13" s="2">
        <f>COUNTIF(defects!$Z:$Z,Weekly_TVPlantPmod!V$3&amp;Weekly_TVPlantPmod!$B13&amp;Weekly_TVPlantPmod!$B$3&amp;$B$2&amp;$B$1&amp;$C$1)</f>
        <v>0</v>
      </c>
      <c r="W13" s="2">
        <f>COUNTIF(defects!$Z:$Z,Weekly_TVPlantPmod!W$3&amp;Weekly_TVPlantPmod!$B13&amp;Weekly_TVPlantPmod!$B$3&amp;$B$2&amp;$B$1&amp;$C$1)</f>
        <v>0</v>
      </c>
      <c r="X13" s="2">
        <f>COUNTIF(defects!$Z:$Z,Weekly_TVPlantPmod!X$3&amp;Weekly_TVPlantPmod!$B13&amp;Weekly_TVPlantPmod!$B$3&amp;$B$2&amp;$B$1&amp;$C$1)</f>
        <v>0</v>
      </c>
      <c r="Y13" s="2">
        <f>COUNTIF(defects!$Z:$Z,Weekly_TVPlantPmod!Y$3&amp;Weekly_TVPlantPmod!$B13&amp;Weekly_TVPlantPmod!$B$3&amp;$B$2&amp;$B$1&amp;$C$1)</f>
        <v>0</v>
      </c>
      <c r="Z13" s="2">
        <f>COUNTIF(defects!$Z:$Z,Weekly_TVPlantPmod!Z$3&amp;Weekly_TVPlantPmod!$B13&amp;Weekly_TVPlantPmod!$B$3&amp;$B$2&amp;$B$1&amp;$C$1)</f>
        <v>0</v>
      </c>
      <c r="AA13" s="2">
        <f>COUNTIF(defects!$Z:$Z,Weekly_TVPlantPmod!AA$3&amp;Weekly_TVPlantPmod!$B13&amp;Weekly_TVPlantPmod!$B$3&amp;$B$2&amp;$B$1&amp;$C$1)</f>
        <v>0</v>
      </c>
      <c r="AB13" s="2">
        <f>COUNTIF(defects!$Z:$Z,Weekly_TVPlantPmod!AB$3&amp;Weekly_TVPlantPmod!$B13&amp;Weekly_TVPlantPmod!$B$3&amp;$B$2&amp;$B$1&amp;$C$1)</f>
        <v>0</v>
      </c>
      <c r="AC13" s="2">
        <f>COUNTIF(defects!$Z:$Z,Weekly_TVPlantPmod!AC$3&amp;Weekly_TVPlantPmod!$B13&amp;Weekly_TVPlantPmod!$B$3&amp;$B$2&amp;$B$1&amp;$C$1)</f>
        <v>0</v>
      </c>
      <c r="AD13" s="2">
        <f>COUNTIF(defects!$Z:$Z,Weekly_TVPlantPmod!AD$3&amp;Weekly_TVPlantPmod!$B13&amp;Weekly_TVPlantPmod!$B$3&amp;$B$2&amp;$B$1&amp;$C$1)</f>
        <v>0</v>
      </c>
      <c r="AE13" s="2">
        <f>COUNTIF(defects!$Z:$Z,Weekly_TVPlantPmod!AE$3&amp;Weekly_TVPlantPmod!$B13&amp;Weekly_TVPlantPmod!$B$3&amp;$B$2&amp;$B$1&amp;$C$1)</f>
        <v>0</v>
      </c>
      <c r="AF13" s="2">
        <f>COUNTIF(defects!$Z:$Z,Weekly_TVPlantPmod!AF$3&amp;Weekly_TVPlantPmod!$B13&amp;Weekly_TVPlantPmod!$B$3&amp;$B$2&amp;$B$1&amp;$C$1)</f>
        <v>0</v>
      </c>
      <c r="AG13" s="2">
        <f>COUNTIF(defects!$Z:$Z,Weekly_TVPlantPmod!AG$3&amp;Weekly_TVPlantPmod!$B13&amp;Weekly_TVPlantPmod!$B$3&amp;$B$2&amp;$B$1&amp;$C$1)</f>
        <v>0</v>
      </c>
      <c r="AH13" s="2">
        <f>COUNTIF(defects!$Z:$Z,Weekly_TVPlantPmod!AH$3&amp;Weekly_TVPlantPmod!$B13&amp;Weekly_TVPlantPmod!$B$3&amp;$B$2&amp;$B$1&amp;$C$1)</f>
        <v>0</v>
      </c>
      <c r="AI13" s="2">
        <f>COUNTIF(defects!$Z:$Z,Weekly_TVPlantPmod!AI$3&amp;Weekly_TVPlantPmod!$B13&amp;Weekly_TVPlantPmod!$B$3&amp;$B$2&amp;$B$1&amp;$C$1)</f>
        <v>0</v>
      </c>
      <c r="AJ13" s="2">
        <f>COUNTIF(defects!$Z:$Z,Weekly_TVPlantPmod!AJ$3&amp;Weekly_TVPlantPmod!$B13&amp;Weekly_TVPlantPmod!$B$3&amp;$B$2&amp;$B$1&amp;$C$1)</f>
        <v>0</v>
      </c>
      <c r="AK13" s="2">
        <f>COUNTIF(defects!$Z:$Z,Weekly_TVPlantPmod!AK$3&amp;Weekly_TVPlantPmod!$B13&amp;Weekly_TVPlantPmod!$B$3&amp;$B$2&amp;$B$1&amp;$C$1)</f>
        <v>0</v>
      </c>
      <c r="AL13" s="2">
        <f>COUNTIF(defects!$Z:$Z,Weekly_TVPlantPmod!AL$3&amp;Weekly_TVPlantPmod!$B13&amp;Weekly_TVPlantPmod!$B$3&amp;$B$2&amp;$B$1&amp;$C$1)</f>
        <v>0</v>
      </c>
      <c r="AM13" s="2">
        <f>COUNTIF(defects!$Z:$Z,Weekly_TVPlantPmod!AM$3&amp;Weekly_TVPlantPmod!$B13&amp;Weekly_TVPlantPmod!$B$3&amp;$B$2&amp;$B$1&amp;$C$1)</f>
        <v>0</v>
      </c>
      <c r="AN13" s="2">
        <f>COUNTIF(defects!$Z:$Z,Weekly_TVPlantPmod!AN$3&amp;Weekly_TVPlantPmod!$B13&amp;Weekly_TVPlantPmod!$B$3&amp;$B$2&amp;$B$1&amp;$C$1)</f>
        <v>0</v>
      </c>
      <c r="AO13" s="2">
        <f>COUNTIF(defects!$Z:$Z,Weekly_TVPlantPmod!AO$3&amp;Weekly_TVPlantPmod!$B13&amp;Weekly_TVPlantPmod!$B$3&amp;$B$2&amp;$B$1&amp;$C$1)</f>
        <v>0</v>
      </c>
      <c r="AP13" s="2">
        <f>COUNTIF(defects!$Z:$Z,Weekly_TVPlantPmod!AP$3&amp;Weekly_TVPlantPmod!$B13&amp;Weekly_TVPlantPmod!$B$3&amp;$B$2&amp;$B$1&amp;$C$1)</f>
        <v>0</v>
      </c>
      <c r="AQ13" s="2">
        <f>COUNTIF(defects!$Z:$Z,Weekly_TVPlantPmod!AQ$3&amp;Weekly_TVPlantPmod!$B13&amp;Weekly_TVPlantPmod!$B$3&amp;$B$2&amp;$B$1&amp;$C$1)</f>
        <v>0</v>
      </c>
      <c r="AR13" s="2">
        <f>COUNTIF(defects!$Z:$Z,Weekly_TVPlantPmod!AR$3&amp;Weekly_TVPlantPmod!$B13&amp;Weekly_TVPlantPmod!$B$3&amp;$B$2&amp;$B$1&amp;$C$1)</f>
        <v>0</v>
      </c>
      <c r="AS13" s="2">
        <f>COUNTIF(defects!$Z:$Z,Weekly_TVPlantPmod!AS$3&amp;Weekly_TVPlantPmod!$B13&amp;Weekly_TVPlantPmod!$B$3&amp;$B$2&amp;$B$1&amp;$C$1)</f>
        <v>0</v>
      </c>
      <c r="AT13" s="2">
        <f>COUNTIF(defects!$Z:$Z,Weekly_TVPlantPmod!AT$3&amp;Weekly_TVPlantPmod!$B13&amp;Weekly_TVPlantPmod!$B$3&amp;$B$2&amp;$B$1&amp;$C$1)</f>
        <v>0</v>
      </c>
      <c r="AU13" s="2">
        <f>COUNTIF(defects!$Z:$Z,Weekly_TVPlantPmod!AU$3&amp;Weekly_TVPlantPmod!$B13&amp;Weekly_TVPlantPmod!$B$3&amp;$B$2&amp;$B$1&amp;$C$1)</f>
        <v>0</v>
      </c>
      <c r="AV13" s="2">
        <f>COUNTIF(defects!$Z:$Z,Weekly_TVPlantPmod!AV$3&amp;Weekly_TVPlantPmod!$B13&amp;Weekly_TVPlantPmod!$B$3&amp;$B$2&amp;$B$1&amp;$C$1)</f>
        <v>0</v>
      </c>
      <c r="AW13" s="2">
        <f>COUNTIF(defects!$Z:$Z,Weekly_TVPlantPmod!AW$3&amp;Weekly_TVPlantPmod!$B13&amp;Weekly_TVPlantPmod!$B$3&amp;$B$2&amp;$B$1&amp;$C$1)</f>
        <v>0</v>
      </c>
      <c r="AX13" s="2">
        <f>COUNTIF(defects!$Z:$Z,Weekly_TVPlantPmod!AX$3&amp;Weekly_TVPlantPmod!$B13&amp;Weekly_TVPlantPmod!$B$3&amp;$B$2&amp;$B$1&amp;$C$1)</f>
        <v>0</v>
      </c>
      <c r="AY13" s="2">
        <f>COUNTIF(defects!$Z:$Z,Weekly_TVPlantPmod!AY$3&amp;Weekly_TVPlantPmod!$B13&amp;Weekly_TVPlantPmod!$B$3&amp;$B$2&amp;$B$1&amp;$C$1)</f>
        <v>0</v>
      </c>
      <c r="AZ13" s="2">
        <f>COUNTIF(defects!$Z:$Z,Weekly_TVPlantPmod!AZ$3&amp;Weekly_TVPlantPmod!$B13&amp;Weekly_TVPlantPmod!$B$3&amp;$B$2&amp;$B$1&amp;$C$1)</f>
        <v>0</v>
      </c>
      <c r="BA13" s="2">
        <f>COUNTIF(defects!$Z:$Z,Weekly_TVPlantPmod!BA$3&amp;Weekly_TVPlantPmod!$B13&amp;Weekly_TVPlantPmod!$B$3&amp;$B$2&amp;$B$1&amp;$C$1)</f>
        <v>0</v>
      </c>
      <c r="BB13" s="2">
        <f>COUNTIF(defects!$Z:$Z,Weekly_TVPlantPmod!BB$3&amp;Weekly_TVPlantPmod!$B13&amp;Weekly_TVPlantPmod!$B$3&amp;$B$2&amp;$B$1&amp;$C$1)</f>
        <v>0</v>
      </c>
      <c r="BC13" s="2">
        <f>COUNTIF(defects!$Z:$Z,Weekly_TVPlantPmod!BC$3&amp;Weekly_TVPlantPmod!$B13&amp;Weekly_TVPlantPmod!$B$3&amp;$B$2&amp;$B$1&amp;$C$1)</f>
        <v>0</v>
      </c>
      <c r="BD13" s="2">
        <f>COUNTIF(defects!$Z:$Z,Weekly_TVPlantPmod!BD$3&amp;Weekly_TVPlantPmod!$B13&amp;Weekly_TVPlantPmod!$B$3&amp;$B$2&amp;$B$1&amp;$C$1)</f>
        <v>0</v>
      </c>
      <c r="BE13" s="2">
        <f>COUNTIF(defects!$Z:$Z,Weekly_TVPlantPmod!BE$3&amp;Weekly_TVPlantPmod!$B13&amp;Weekly_TVPlantPmod!$B$3&amp;$B$2&amp;$B$1&amp;$C$1)</f>
        <v>0</v>
      </c>
      <c r="BF13" s="2">
        <f>COUNTIF(defects!$Z:$Z,Weekly_TVPlantPmod!BF$3&amp;Weekly_TVPlantPmod!$B13&amp;Weekly_TVPlantPmod!$B$3&amp;$B$2&amp;$B$1&amp;$C$1)</f>
        <v>0</v>
      </c>
      <c r="BG13" s="2">
        <f>COUNTIF(defects!$Z:$Z,Weekly_TVPlantPmod!BG$3&amp;Weekly_TVPlantPmod!$B13&amp;Weekly_TVPlantPmod!$B$3&amp;$B$2&amp;$B$1&amp;$C$1)</f>
        <v>0</v>
      </c>
      <c r="BH13" s="2">
        <f>COUNTIF(defects!$Z:$Z,Weekly_TVPlantPmod!BH$3&amp;Weekly_TVPlantPmod!$B13&amp;Weekly_TVPlantPmod!$B$3&amp;$B$2&amp;$B$1&amp;$C$1)</f>
        <v>0</v>
      </c>
      <c r="BI13" s="2">
        <f>COUNTIF(defects!$Z:$Z,Weekly_TVPlantPmod!BI$3&amp;Weekly_TVPlantPmod!$B13&amp;Weekly_TVPlantPmod!$B$3&amp;$B$2&amp;$B$1&amp;$C$1)</f>
        <v>0</v>
      </c>
      <c r="BJ13" s="2">
        <f>COUNTIF(defects!$Z:$Z,Weekly_TVPlantPmod!BJ$3&amp;Weekly_TVPlantPmod!$B13&amp;Weekly_TVPlantPmod!$B$3&amp;$B$2&amp;$B$1&amp;$C$1)</f>
        <v>0</v>
      </c>
      <c r="BK13" s="2">
        <f>COUNTIF(defects!$Z:$Z,Weekly_TVPlantPmod!BK$3&amp;Weekly_TVPlantPmod!$B13&amp;Weekly_TVPlantPmod!$B$3&amp;$B$2&amp;$B$1&amp;$C$1)</f>
        <v>0</v>
      </c>
      <c r="BL13" s="2">
        <f>COUNTIF(defects!$Z:$Z,Weekly_TVPlantPmod!BL$3&amp;Weekly_TVPlantPmod!$B13&amp;Weekly_TVPlantPmod!$B$3&amp;$B$2&amp;$B$1&amp;$C$1)</f>
        <v>0</v>
      </c>
      <c r="BM13" s="2">
        <f>COUNTIF(defects!$Z:$Z,Weekly_TVPlantPmod!BM$3&amp;Weekly_TVPlantPmod!$B13&amp;Weekly_TVPlantPmod!$B$3&amp;$B$2&amp;$B$1&amp;$C$1)</f>
        <v>0</v>
      </c>
      <c r="BN13" s="2">
        <f>COUNTIF(defects!$Z:$Z,Weekly_TVPlantPmod!BN$3&amp;Weekly_TVPlantPmod!$B13&amp;Weekly_TVPlantPmod!$B$3&amp;$B$2&amp;$B$1&amp;$C$1)</f>
        <v>0</v>
      </c>
      <c r="BO13" s="2">
        <f>COUNTIF(defects!$Z:$Z,Weekly_TVPlantPmod!BO$3&amp;Weekly_TVPlantPmod!$B13&amp;Weekly_TVPlantPmod!$B$3&amp;$B$2&amp;$B$1&amp;$C$1)</f>
        <v>0</v>
      </c>
      <c r="BP13" s="2">
        <f>COUNTIF(defects!$Z:$Z,Weekly_TVPlantPmod!BP$3&amp;Weekly_TVPlantPmod!$B13&amp;Weekly_TVPlantPmod!$B$3&amp;$B$2&amp;$B$1&amp;$C$1)</f>
        <v>0</v>
      </c>
      <c r="BQ13" s="2">
        <f>COUNTIF(defects!$Z:$Z,Weekly_TVPlantPmod!BQ$3&amp;Weekly_TVPlantPmod!$B13&amp;Weekly_TVPlantPmod!$B$3&amp;$B$2&amp;$B$1&amp;$C$1)</f>
        <v>1</v>
      </c>
      <c r="BR13" s="2">
        <f>COUNTIF(defects!$Z:$Z,Weekly_TVPlantPmod!BR$3&amp;Weekly_TVPlantPmod!$B13&amp;Weekly_TVPlantPmod!$B$3&amp;$B$2&amp;$B$1&amp;$C$1)</f>
        <v>0</v>
      </c>
      <c r="BS13" s="2">
        <f>COUNTIF(defects!$Z:$Z,Weekly_TVPlantPmod!BS$3&amp;Weekly_TVPlantPmod!$B13&amp;Weekly_TVPlantPmod!$B$3&amp;$B$2&amp;$B$1&amp;$C$1)</f>
        <v>0</v>
      </c>
      <c r="BT13" s="2">
        <f>COUNTIF(defects!$Z:$Z,Weekly_TVPlantPmod!BT$3&amp;Weekly_TVPlantPmod!$B13&amp;Weekly_TVPlantPmod!$B$3&amp;$B$2&amp;$B$1&amp;$C$1)</f>
        <v>1</v>
      </c>
      <c r="BU13" s="2">
        <f>COUNTIF(defects!$Z:$Z,Weekly_TVPlantPmod!BU$3&amp;Weekly_TVPlantPmod!$B13&amp;Weekly_TVPlantPmod!$B$3&amp;$B$2&amp;$B$1&amp;$C$1)</f>
        <v>0</v>
      </c>
      <c r="BV13" s="2">
        <f>COUNTIF(defects!$Z:$Z,Weekly_TVPlantPmod!BV$3&amp;Weekly_TVPlantPmod!$B13&amp;Weekly_TVPlantPmod!$B$3&amp;$B$2&amp;$B$1&amp;$C$1)</f>
        <v>0</v>
      </c>
      <c r="BW13" s="2">
        <f>COUNTIF(defects!$Z:$Z,Weekly_TVPlantPmod!BW$3&amp;Weekly_TVPlantPmod!$B13&amp;Weekly_TVPlantPmod!$B$3&amp;$B$2&amp;$B$1&amp;$C$1)</f>
        <v>0</v>
      </c>
      <c r="BX13" s="2">
        <f>COUNTIF(defects!$Z:$Z,Weekly_TVPlantPmod!BX$3&amp;Weekly_TVPlantPmod!$B13&amp;Weekly_TVPlantPmod!$B$3&amp;$B$2&amp;$B$1&amp;$C$1)</f>
        <v>0</v>
      </c>
      <c r="BY13" s="2">
        <f>COUNTIF(defects!$Z:$Z,Weekly_TVPlantPmod!BY$3&amp;Weekly_TVPlantPmod!$B13&amp;Weekly_TVPlantPmod!$B$3&amp;$B$2&amp;$B$1&amp;$C$1)</f>
        <v>0</v>
      </c>
      <c r="BZ13" s="2">
        <f>COUNTIF(defects!$Z:$Z,Weekly_TVPlantPmod!BZ$3&amp;Weekly_TVPlantPmod!$B13&amp;Weekly_TVPlantPmod!$B$3&amp;$B$2&amp;$B$1&amp;$C$1)</f>
        <v>0</v>
      </c>
      <c r="CA13" s="2">
        <f>COUNTIF(defects!$Z:$Z,Weekly_TVPlantPmod!CA$3&amp;Weekly_TVPlantPmod!$B13&amp;Weekly_TVPlantPmod!$B$3&amp;$B$2&amp;$B$1&amp;$C$1)</f>
        <v>0</v>
      </c>
      <c r="CB13" s="2">
        <f>COUNTIF(defects!$Z:$Z,Weekly_TVPlantPmod!CB$3&amp;Weekly_TVPlantPmod!$B13&amp;Weekly_TVPlantPmod!$B$3&amp;$B$2&amp;$B$1&amp;$C$1)</f>
        <v>0</v>
      </c>
      <c r="CC13" s="2">
        <f>COUNTIF(defects!$Z:$Z,Weekly_TVPlantPmod!CC$3&amp;Weekly_TVPlantPmod!$B13&amp;Weekly_TVPlantPmod!$B$3&amp;$B$2&amp;$B$1&amp;$C$1)</f>
        <v>0</v>
      </c>
      <c r="CD13" s="2">
        <f>COUNTIF(defects!$Z:$Z,Weekly_TVPlantPmod!CD$3&amp;Weekly_TVPlantPmod!$B13&amp;Weekly_TVPlantPmod!$B$3&amp;$B$2&amp;$B$1&amp;$C$1)</f>
        <v>0</v>
      </c>
      <c r="CE13" s="2">
        <f>COUNTIF(defects!$Z:$Z,Weekly_TVPlantPmod!CE$3&amp;Weekly_TVPlantPmod!$B13&amp;Weekly_TVPlantPmod!$B$3&amp;$B$2&amp;$B$1&amp;$C$1)</f>
        <v>0</v>
      </c>
      <c r="CF13" s="2">
        <f>COUNTIF(defects!$Z:$Z,Weekly_TVPlantPmod!CF$3&amp;Weekly_TVPlantPmod!$B13&amp;Weekly_TVPlantPmod!$B$3&amp;$B$2&amp;$B$1&amp;$C$1)</f>
        <v>1</v>
      </c>
      <c r="CG13" s="2">
        <f>COUNTIF(defects!$Z:$Z,Weekly_TVPlantPmod!CG$3&amp;Weekly_TVPlantPmod!$B13&amp;Weekly_TVPlantPmod!$B$3&amp;$B$2&amp;$B$1&amp;$C$1)</f>
        <v>0</v>
      </c>
      <c r="CH13" s="2">
        <f>COUNTIF(defects!$Z:$Z,Weekly_TVPlantPmod!CH$3&amp;Weekly_TVPlantPmod!$B13&amp;Weekly_TVPlantPmod!$B$3&amp;$B$2&amp;$B$1&amp;$C$1)</f>
        <v>0</v>
      </c>
      <c r="CI13" s="2">
        <f>COUNTIF(defects!$Z:$Z,Weekly_TVPlantPmod!CI$3&amp;Weekly_TVPlantPmod!$B13&amp;Weekly_TVPlantPmod!$B$3&amp;$B$2&amp;$B$1&amp;$C$1)</f>
        <v>0</v>
      </c>
      <c r="CJ13" s="2">
        <f>COUNTIF(defects!$Z:$Z,Weekly_TVPlantPmod!CJ$3&amp;Weekly_TVPlantPmod!$B13&amp;Weekly_TVPlantPmod!$B$3&amp;$B$2&amp;$B$1&amp;$C$1)</f>
        <v>0</v>
      </c>
      <c r="CK13" s="2">
        <f>COUNTIF(defects!$Z:$Z,Weekly_TVPlantPmod!CK$3&amp;Weekly_TVPlantPmod!$B13&amp;Weekly_TVPlantPmod!$B$3&amp;$B$2&amp;$B$1&amp;$C$1)</f>
        <v>0</v>
      </c>
      <c r="CL13" s="2">
        <f>COUNTIF(defects!$Z:$Z,Weekly_TVPlantPmod!CL$3&amp;Weekly_TVPlantPmod!$B13&amp;Weekly_TVPlantPmod!$B$3&amp;$B$2&amp;$B$1&amp;$C$1)</f>
        <v>0</v>
      </c>
      <c r="CM13" s="2">
        <f>COUNTIF(defects!$Z:$Z,Weekly_TVPlantPmod!CM$3&amp;Weekly_TVPlantPmod!$B13&amp;Weekly_TVPlantPmod!$B$3&amp;$B$2&amp;$B$1&amp;$C$1)</f>
        <v>0</v>
      </c>
      <c r="CN13" s="2">
        <f>COUNTIF(defects!$Z:$Z,Weekly_TVPlantPmod!CN$3&amp;Weekly_TVPlantPmod!$B13&amp;Weekly_TVPlantPmod!$B$3&amp;$B$2&amp;$B$1&amp;$C$1)</f>
        <v>0</v>
      </c>
      <c r="CO13" s="2">
        <f>COUNTIF(defects!$Z:$Z,Weekly_TVPlantPmod!CO$3&amp;Weekly_TVPlantPmod!$B13&amp;Weekly_TVPlantPmod!$B$3&amp;$B$2&amp;$B$1&amp;$C$1)</f>
        <v>0</v>
      </c>
      <c r="CP13" s="2">
        <f>COUNTIF(defects!$Z:$Z,Weekly_TVPlantPmod!CP$3&amp;Weekly_TVPlantPmod!$B13&amp;Weekly_TVPlantPmod!$B$3&amp;$B$2&amp;$B$1&amp;$C$1)</f>
        <v>0</v>
      </c>
      <c r="CQ13" s="2">
        <f>COUNTIF(defects!$Z:$Z,Weekly_TVPlantPmod!CQ$3&amp;Weekly_TVPlantPmod!$B13&amp;Weekly_TVPlantPmod!$B$3&amp;$B$2&amp;$B$1&amp;$C$1)</f>
        <v>0</v>
      </c>
      <c r="CR13" s="2">
        <f>COUNTIF(defects!$Z:$Z,Weekly_TVPlantPmod!CR$3&amp;Weekly_TVPlantPmod!$B13&amp;Weekly_TVPlantPmod!$B$3&amp;$B$2&amp;$B$1&amp;$C$1)</f>
        <v>0</v>
      </c>
      <c r="CS13" s="2">
        <f>COUNTIF(defects!$Z:$Z,Weekly_TVPlantPmod!CS$3&amp;Weekly_TVPlantPmod!$B13&amp;Weekly_TVPlantPmod!$B$3&amp;$B$2&amp;$B$1&amp;$C$1)</f>
        <v>0</v>
      </c>
      <c r="CT13" s="2">
        <f>COUNTIF(defects!$Z:$Z,Weekly_TVPlantPmod!CT$3&amp;Weekly_TVPlantPmod!$B13&amp;Weekly_TVPlantPmod!$B$3&amp;$B$2&amp;$B$1&amp;$C$1)</f>
        <v>0</v>
      </c>
      <c r="CU13" s="2">
        <f>COUNTIF(defects!$Z:$Z,Weekly_TVPlantPmod!CU$3&amp;Weekly_TVPlantPmod!$B13&amp;Weekly_TVPlantPmod!$B$3&amp;$B$2&amp;$B$1&amp;$C$1)</f>
        <v>0</v>
      </c>
      <c r="CV13" s="2">
        <f>COUNTIF(defects!$Z:$Z,Weekly_TVPlantPmod!CV$3&amp;Weekly_TVPlantPmod!$B13&amp;Weekly_TVPlantPmod!$B$3&amp;$B$2&amp;$B$1&amp;$C$1)</f>
        <v>0</v>
      </c>
      <c r="CW13" s="2">
        <f>COUNTIF(defects!$Z:$Z,Weekly_TVPlantPmod!CW$3&amp;Weekly_TVPlantPmod!$B13&amp;Weekly_TVPlantPmod!$B$3&amp;$B$2&amp;$B$1&amp;$C$1)</f>
        <v>0</v>
      </c>
      <c r="CX13" s="2">
        <f>COUNTIF(defects!$Z:$Z,Weekly_TVPlantPmod!CX$3&amp;Weekly_TVPlantPmod!$B13&amp;Weekly_TVPlantPmod!$B$3&amp;$B$2&amp;$B$1&amp;$C$1)</f>
        <v>0</v>
      </c>
      <c r="CY13" s="2">
        <f>COUNTIF(defects!$Z:$Z,Weekly_TVPlantPmod!CY$3&amp;Weekly_TVPlantPmod!$B13&amp;Weekly_TVPlantPmod!$B$3&amp;$B$2&amp;$B$1&amp;$C$1)</f>
        <v>0</v>
      </c>
      <c r="CZ13" s="2">
        <f>COUNTIF(defects!$Z:$Z,Weekly_TVPlantPmod!CZ$3&amp;Weekly_TVPlantPmod!$B13&amp;Weekly_TVPlantPmod!$B$3&amp;$B$2&amp;$B$1&amp;$C$1)</f>
        <v>0</v>
      </c>
      <c r="DA13" s="2">
        <f>COUNTIF(defects!$Z:$Z,Weekly_TVPlantPmod!DA$3&amp;Weekly_TVPlantPmod!$B13&amp;Weekly_TVPlantPmod!$B$3&amp;$B$2&amp;$B$1&amp;$C$1)</f>
        <v>1</v>
      </c>
      <c r="DB13" s="2">
        <f>COUNTIF(defects!$Z:$Z,Weekly_TVPlantPmod!DB$3&amp;Weekly_TVPlantPmod!$B13&amp;Weekly_TVPlantPmod!$B$3&amp;$B$2&amp;$B$1&amp;$C$1)</f>
        <v>1</v>
      </c>
      <c r="DC13" s="2">
        <f>COUNTIF(defects!$Z:$Z,Weekly_TVPlantPmod!DC$3&amp;Weekly_TVPlantPmod!$B13&amp;Weekly_TVPlantPmod!$B$3&amp;$B$2&amp;$B$1&amp;$C$1)</f>
        <v>0</v>
      </c>
      <c r="DD13" s="2">
        <f>COUNTIF(defects!$Z:$Z,Weekly_TVPlantPmod!DD$3&amp;Weekly_TVPlantPmod!$B13&amp;Weekly_TVPlantPmod!$B$3&amp;$B$2&amp;$B$1&amp;$C$1)</f>
        <v>0</v>
      </c>
      <c r="DE13" s="2">
        <f>COUNTIF(defects!$Z:$Z,Weekly_TVPlantPmod!DE$3&amp;Weekly_TVPlantPmod!$B13&amp;Weekly_TVPlantPmod!$B$3&amp;$B$2&amp;$B$1&amp;$C$1)</f>
        <v>0</v>
      </c>
      <c r="DF13" s="2">
        <f>COUNTIF(defects!$Z:$Z,Weekly_TVPlantPmod!DF$3&amp;Weekly_TVPlantPmod!$B13&amp;Weekly_TVPlantPmod!$B$3&amp;$B$2&amp;$B$1&amp;$C$1)</f>
        <v>0</v>
      </c>
      <c r="DG13" s="2">
        <f>COUNTIF(defects!$Z:$Z,Weekly_TVPlantPmod!DG$3&amp;Weekly_TVPlantPmod!$B13&amp;Weekly_TVPlantPmod!$B$3&amp;$B$2&amp;$B$1&amp;$C$1)</f>
        <v>0</v>
      </c>
      <c r="DH13" s="2">
        <f>COUNTIF(defects!$Z:$Z,Weekly_TVPlantPmod!DH$3&amp;Weekly_TVPlantPmod!$B13&amp;Weekly_TVPlantPmod!$B$3&amp;$B$2&amp;$B$1&amp;$C$1)</f>
        <v>0</v>
      </c>
      <c r="DI13" s="2">
        <f>COUNTIF(defects!$Z:$Z,Weekly_TVPlantPmod!DI$3&amp;Weekly_TVPlantPmod!$B13&amp;Weekly_TVPlantPmod!$B$3&amp;$B$2&amp;$B$1&amp;$C$1)</f>
        <v>0</v>
      </c>
      <c r="DJ13" s="2">
        <f>COUNTIF(defects!$Z:$Z,Weekly_TVPlantPmod!DJ$3&amp;Weekly_TVPlantPmod!$B13&amp;Weekly_TVPlantPmod!$B$3&amp;$B$2&amp;$B$1&amp;$C$1)</f>
        <v>0</v>
      </c>
      <c r="DK13" s="2">
        <f>COUNTIF(defects!$Z:$Z,Weekly_TVPlantPmod!DK$3&amp;Weekly_TVPlantPmod!$B13&amp;Weekly_TVPlantPmod!$B$3&amp;$B$2&amp;$B$1&amp;$C$1)</f>
        <v>0</v>
      </c>
      <c r="DL13" s="2">
        <f>COUNTIF(defects!$Z:$Z,Weekly_TVPlantPmod!DL$3&amp;Weekly_TVPlantPmod!$B13&amp;Weekly_TVPlantPmod!$B$3&amp;$B$2&amp;$B$1&amp;$C$1)</f>
        <v>0</v>
      </c>
      <c r="DM13" s="2">
        <f>COUNTIF(defects!$Z:$Z,Weekly_TVPlantPmod!DM$3&amp;Weekly_TVPlantPmod!$B13&amp;Weekly_TVPlantPmod!$B$3&amp;$B$2&amp;$B$1&amp;$C$1)</f>
        <v>0</v>
      </c>
      <c r="DN13" s="2">
        <f>COUNTIF(defects!$Z:$Z,Weekly_TVPlantPmod!DN$3&amp;Weekly_TVPlantPmod!$B13&amp;Weekly_TVPlantPmod!$B$3&amp;$B$2&amp;$B$1&amp;$C$1)</f>
        <v>0</v>
      </c>
      <c r="DO13" s="2">
        <f>COUNTIF(defects!$Z:$Z,Weekly_TVPlantPmod!DO$3&amp;Weekly_TVPlantPmod!$B13&amp;Weekly_TVPlantPmod!$B$3&amp;$B$2&amp;$B$1&amp;$C$1)</f>
        <v>0</v>
      </c>
      <c r="DP13" s="2">
        <f>COUNTIF(defects!$Z:$Z,Weekly_TVPlantPmod!DP$3&amp;Weekly_TVPlantPmod!$B13&amp;Weekly_TVPlantPmod!$B$3&amp;$B$2&amp;$B$1&amp;$C$1)</f>
        <v>0</v>
      </c>
      <c r="DQ13" s="2">
        <f>COUNTIF(defects!$Z:$Z,Weekly_TVPlantPmod!DQ$3&amp;Weekly_TVPlantPmod!$B13&amp;Weekly_TVPlantPmod!$B$3&amp;$B$2&amp;$B$1&amp;$C$1)</f>
        <v>0</v>
      </c>
      <c r="DR13" s="2">
        <f>COUNTIF(defects!$Z:$Z,Weekly_TVPlantPmod!DR$3&amp;Weekly_TVPlantPmod!$B13&amp;Weekly_TVPlantPmod!$B$3&amp;$B$2&amp;$B$1&amp;$C$1)</f>
        <v>0</v>
      </c>
      <c r="DS13" s="2">
        <f>COUNTIF(defects!$Z:$Z,Weekly_TVPlantPmod!DS$3&amp;Weekly_TVPlantPmod!$B13&amp;Weekly_TVPlantPmod!$B$3&amp;$B$2&amp;$B$1&amp;$C$1)</f>
        <v>0</v>
      </c>
      <c r="DT13" s="2">
        <f>COUNTIF(defects!$Z:$Z,Weekly_TVPlantPmod!DT$3&amp;Weekly_TVPlantPmod!$B13&amp;Weekly_TVPlantPmod!$B$3&amp;$B$2&amp;$B$1&amp;$C$1)</f>
        <v>0</v>
      </c>
      <c r="DU13" s="2">
        <f>COUNTIF(defects!$Z:$Z,Weekly_TVPlantPmod!DU$3&amp;Weekly_TVPlantPmod!$B13&amp;Weekly_TVPlantPmod!$B$3&amp;$B$2&amp;$B$1&amp;$C$1)</f>
        <v>0</v>
      </c>
      <c r="DV13" s="2">
        <f>COUNTIF(defects!$Z:$Z,Weekly_TVPlantPmod!DV$3&amp;Weekly_TVPlantPmod!$B13&amp;Weekly_TVPlantPmod!$B$3&amp;$B$2&amp;$B$1&amp;$C$1)</f>
        <v>0</v>
      </c>
      <c r="DW13" s="2">
        <f>COUNTIF(defects!$Z:$Z,Weekly_TVPlantPmod!DW$3&amp;Weekly_TVPlantPmod!$B13&amp;Weekly_TVPlantPmod!$B$3&amp;$B$2&amp;$B$1&amp;$C$1)</f>
        <v>0</v>
      </c>
      <c r="DX13" s="2">
        <f>COUNTIF(defects!$Z:$Z,Weekly_TVPlantPmod!DX$3&amp;Weekly_TVPlantPmod!$B13&amp;Weekly_TVPlantPmod!$B$3&amp;$B$2&amp;$B$1&amp;$C$1)</f>
        <v>0</v>
      </c>
      <c r="DY13" s="2">
        <f>COUNTIF(defects!$Z:$Z,Weekly_TVPlantPmod!DY$3&amp;Weekly_TVPlantPmod!$B13&amp;Weekly_TVPlantPmod!$B$3&amp;$B$2&amp;$B$1&amp;$C$1)</f>
        <v>0</v>
      </c>
      <c r="DZ13" s="2">
        <f>COUNTIF(defects!$Z:$Z,Weekly_TVPlantPmod!DZ$3&amp;Weekly_TVPlantPmod!$B13&amp;Weekly_TVPlantPmod!$B$3&amp;$B$2&amp;$B$1&amp;$C$1)</f>
        <v>0</v>
      </c>
      <c r="EA13" s="2">
        <f>COUNTIF(defects!$Z:$Z,Weekly_TVPlantPmod!EA$3&amp;Weekly_TVPlantPmod!$B13&amp;Weekly_TVPlantPmod!$B$3&amp;$B$2&amp;$B$1&amp;$C$1)</f>
        <v>0</v>
      </c>
      <c r="EB13" s="2">
        <f>COUNTIF(defects!$Z:$Z,Weekly_TVPlantPmod!EB$3&amp;Weekly_TVPlantPmod!$B13&amp;Weekly_TVPlantPmod!$B$3&amp;$B$2&amp;$B$1&amp;$C$1)</f>
        <v>0</v>
      </c>
      <c r="EC13" s="2">
        <f>COUNTIF(defects!$Z:$Z,Weekly_TVPlantPmod!EC$3&amp;Weekly_TVPlantPmod!$B13&amp;Weekly_TVPlantPmod!$B$3&amp;$B$2&amp;$B$1&amp;$C$1)</f>
        <v>0</v>
      </c>
      <c r="ED13" s="2">
        <f>COUNTIF(defects!$Z:$Z,Weekly_TVPlantPmod!ED$3&amp;Weekly_TVPlantPmod!$B13&amp;Weekly_TVPlantPmod!$B$3&amp;$B$2&amp;$B$1&amp;$C$1)</f>
        <v>0</v>
      </c>
      <c r="EE13" s="2">
        <f>COUNTIF(defects!$Z:$Z,Weekly_TVPlantPmod!EE$3&amp;Weekly_TVPlantPmod!$B13&amp;Weekly_TVPlantPmod!$B$3&amp;$B$2&amp;$B$1&amp;$C$1)</f>
        <v>0</v>
      </c>
      <c r="EF13" s="2">
        <f>COUNTIF(defects!$Z:$Z,Weekly_TVPlantPmod!EF$3&amp;Weekly_TVPlantPmod!$B13&amp;Weekly_TVPlantPmod!$B$3&amp;$B$2&amp;$B$1&amp;$C$1)</f>
        <v>0</v>
      </c>
      <c r="EG13" s="2">
        <f>COUNTIF(defects!$Z:$Z,Weekly_TVPlantPmod!EG$3&amp;Weekly_TVPlantPmod!$B13&amp;Weekly_TVPlantPmod!$B$3&amp;$B$2&amp;$B$1&amp;$C$1)</f>
        <v>0</v>
      </c>
      <c r="EH13" s="2">
        <f>COUNTIF(defects!$Z:$Z,Weekly_TVPlantPmod!EH$3&amp;Weekly_TVPlantPmod!$B13&amp;Weekly_TVPlantPmod!$B$3&amp;$B$2&amp;$B$1&amp;$C$1)</f>
        <v>0</v>
      </c>
      <c r="EI13" s="2">
        <f>COUNTIF(defects!$Z:$Z,Weekly_TVPlantPmod!EI$3&amp;Weekly_TVPlantPmod!$B13&amp;Weekly_TVPlantPmod!$B$3&amp;$B$2&amp;$B$1&amp;$C$1)</f>
        <v>0</v>
      </c>
      <c r="EJ13" s="2">
        <f>COUNTIF(defects!$Z:$Z,Weekly_TVPlantPmod!EJ$3&amp;Weekly_TVPlantPmod!$B13&amp;Weekly_TVPlantPmod!$B$3&amp;$B$2&amp;$B$1&amp;$C$1)</f>
        <v>0</v>
      </c>
      <c r="EK13" s="2">
        <f>COUNTIF(defects!$Z:$Z,Weekly_TVPlantPmod!EK$3&amp;Weekly_TVPlantPmod!$B13&amp;Weekly_TVPlantPmod!$B$3&amp;$B$2&amp;$B$1&amp;$C$1)</f>
        <v>0</v>
      </c>
      <c r="EL13" s="2">
        <f>COUNTIF(defects!$Z:$Z,Weekly_TVPlantPmod!EL$3&amp;Weekly_TVPlantPmod!$B13&amp;Weekly_TVPlantPmod!$B$3&amp;$B$2&amp;$B$1&amp;$C$1)</f>
        <v>0</v>
      </c>
      <c r="EM13" s="2">
        <f>COUNTIF(defects!$Z:$Z,Weekly_TVPlantPmod!EM$3&amp;Weekly_TVPlantPmod!$B13&amp;Weekly_TVPlantPmod!$B$3&amp;$B$2&amp;$B$1&amp;$C$1)</f>
        <v>0</v>
      </c>
      <c r="EN13" s="2">
        <f>COUNTIF(defects!$Z:$Z,Weekly_TVPlantPmod!EN$3&amp;Weekly_TVPlantPmod!$B13&amp;Weekly_TVPlantPmod!$B$3&amp;$B$2&amp;$B$1&amp;$C$1)</f>
        <v>0</v>
      </c>
      <c r="EO13" s="2">
        <f>COUNTIF(defects!$Z:$Z,Weekly_TVPlantPmod!EO$3&amp;Weekly_TVPlantPmod!$B13&amp;Weekly_TVPlantPmod!$B$3&amp;$B$2&amp;$B$1&amp;$C$1)</f>
        <v>0</v>
      </c>
      <c r="EP13" s="2">
        <f>COUNTIF(defects!$Z:$Z,Weekly_TVPlantPmod!EP$3&amp;Weekly_TVPlantPmod!$B13&amp;Weekly_TVPlantPmod!$B$3&amp;$B$2&amp;$B$1&amp;$C$1)</f>
        <v>0</v>
      </c>
      <c r="EQ13" s="2">
        <f>COUNTIF(defects!$Z:$Z,Weekly_TVPlantPmod!EQ$3&amp;Weekly_TVPlantPmod!$B13&amp;Weekly_TVPlantPmod!$B$3&amp;$B$2&amp;$B$1&amp;$C$1)</f>
        <v>0</v>
      </c>
      <c r="ER13" s="2">
        <f>COUNTIF(defects!$Z:$Z,Weekly_TVPlantPmod!ER$3&amp;Weekly_TVPlantPmod!$B13&amp;Weekly_TVPlantPmod!$B$3&amp;$B$2&amp;$B$1&amp;$C$1)</f>
        <v>0</v>
      </c>
      <c r="ES13" s="2">
        <f>COUNTIF(defects!$Z:$Z,Weekly_TVPlantPmod!ES$3&amp;Weekly_TVPlantPmod!$B13&amp;Weekly_TVPlantPmod!$B$3&amp;$B$2&amp;$B$1&amp;$C$1)</f>
        <v>0</v>
      </c>
      <c r="ET13" s="2">
        <f>COUNTIF(defects!$Z:$Z,Weekly_TVPlantPmod!ET$3&amp;Weekly_TVPlantPmod!$B13&amp;Weekly_TVPlantPmod!$B$3&amp;$B$2&amp;$B$1&amp;$C$1)</f>
        <v>0</v>
      </c>
      <c r="EU13" s="2">
        <f>COUNTIF(defects!$Z:$Z,Weekly_TVPlantPmod!EU$3&amp;Weekly_TVPlantPmod!$B13&amp;Weekly_TVPlantPmod!$B$3&amp;$B$2&amp;$B$1&amp;$C$1)</f>
        <v>0</v>
      </c>
      <c r="EV13" s="2">
        <f>COUNTIF(defects!$Z:$Z,Weekly_TVPlantPmod!EV$3&amp;Weekly_TVPlantPmod!$B13&amp;Weekly_TVPlantPmod!$B$3&amp;$B$2&amp;$B$1&amp;$C$1)</f>
        <v>0</v>
      </c>
      <c r="EW13" s="2">
        <f>COUNTIF(defects!$Z:$Z,Weekly_TVPlantPmod!EW$3&amp;Weekly_TVPlantPmod!$B13&amp;Weekly_TVPlantPmod!$B$3&amp;$B$2&amp;$B$1&amp;$C$1)</f>
        <v>0</v>
      </c>
      <c r="EX13" s="2">
        <f>COUNTIF(defects!$Z:$Z,Weekly_TVPlantPmod!EX$3&amp;Weekly_TVPlantPmod!$B13&amp;Weekly_TVPlantPmod!$B$3&amp;$B$2&amp;$B$1&amp;$C$1)</f>
        <v>0</v>
      </c>
      <c r="EY13" s="2">
        <f>COUNTIF(defects!$Z:$Z,Weekly_TVPlantPmod!EY$3&amp;Weekly_TVPlantPmod!$B13&amp;Weekly_TVPlantPmod!$B$3&amp;$B$2&amp;$B$1&amp;$C$1)</f>
        <v>0</v>
      </c>
      <c r="EZ13" s="2">
        <f>COUNTIF(defects!$Z:$Z,Weekly_TVPlantPmod!EZ$3&amp;Weekly_TVPlantPmod!$B13&amp;Weekly_TVPlantPmod!$B$3&amp;$B$2&amp;$B$1&amp;$C$1)</f>
        <v>0</v>
      </c>
      <c r="FA13" s="2">
        <f>COUNTIF(defects!$Z:$Z,Weekly_TVPlantPmod!FA$3&amp;Weekly_TVPlantPmod!$B13&amp;Weekly_TVPlantPmod!$B$3&amp;$B$2&amp;$B$1&amp;$C$1)</f>
        <v>0</v>
      </c>
      <c r="FB13" s="2">
        <f>COUNTIF(defects!$Z:$Z,Weekly_TVPlantPmod!FB$3&amp;Weekly_TVPlantPmod!$B13&amp;Weekly_TVPlantPmod!$B$3&amp;$B$2&amp;$B$1&amp;$C$1)</f>
        <v>0</v>
      </c>
      <c r="FC13" s="2">
        <f>COUNTIF(defects!$Z:$Z,Weekly_TVPlantPmod!FC$3&amp;Weekly_TVPlantPmod!$B13&amp;Weekly_TVPlantPmod!$B$3&amp;$B$2&amp;$B$1&amp;$C$1)</f>
        <v>0</v>
      </c>
      <c r="FD13" s="2">
        <f>COUNTIF(defects!$Z:$Z,Weekly_TVPlantPmod!FD$3&amp;Weekly_TVPlantPmod!$B13&amp;Weekly_TVPlantPmod!$B$3&amp;$B$2&amp;$B$1&amp;$C$1)</f>
        <v>0</v>
      </c>
      <c r="FE13" s="2">
        <f>COUNTIF(defects!$Z:$Z,Weekly_TVPlantPmod!FE$3&amp;Weekly_TVPlantPmod!$B13&amp;Weekly_TVPlantPmod!$B$3&amp;$B$2&amp;$B$1&amp;$C$1)</f>
        <v>0</v>
      </c>
    </row>
    <row r="14" spans="2:161">
      <c r="B14" s="2" t="s">
        <v>993</v>
      </c>
      <c r="C14" s="2">
        <f>COUNTIF(defects!$Z:$Z,Weekly_TVPlantPmod!C$3&amp;Weekly_TVPlantPmod!$B14&amp;Weekly_TVPlantPmod!$B$3&amp;$B$2&amp;$B$1&amp;$C$1)</f>
        <v>0</v>
      </c>
      <c r="D14" s="2">
        <f>COUNTIF(defects!$Z:$Z,Weekly_TVPlantPmod!D$3&amp;Weekly_TVPlantPmod!$B14&amp;Weekly_TVPlantPmod!$B$3&amp;$B$2&amp;$B$1&amp;$C$1)</f>
        <v>0</v>
      </c>
      <c r="E14" s="2">
        <f>COUNTIF(defects!$Z:$Z,Weekly_TVPlantPmod!E$3&amp;Weekly_TVPlantPmod!$B14&amp;Weekly_TVPlantPmod!$B$3&amp;$B$2&amp;$B$1&amp;$C$1)</f>
        <v>0</v>
      </c>
      <c r="F14" s="2">
        <f>COUNTIF(defects!$Z:$Z,Weekly_TVPlantPmod!F$3&amp;Weekly_TVPlantPmod!$B14&amp;Weekly_TVPlantPmod!$B$3&amp;$B$2&amp;$B$1&amp;$C$1)</f>
        <v>0</v>
      </c>
      <c r="G14" s="2">
        <f>COUNTIF(defects!$Z:$Z,Weekly_TVPlantPmod!G$3&amp;Weekly_TVPlantPmod!$B14&amp;Weekly_TVPlantPmod!$B$3&amp;$B$2&amp;$B$1&amp;$C$1)</f>
        <v>0</v>
      </c>
      <c r="H14" s="2">
        <f>COUNTIF(defects!$Z:$Z,Weekly_TVPlantPmod!H$3&amp;Weekly_TVPlantPmod!$B14&amp;Weekly_TVPlantPmod!$B$3&amp;$B$2&amp;$B$1&amp;$C$1)</f>
        <v>0</v>
      </c>
      <c r="I14" s="2">
        <f>COUNTIF(defects!$Z:$Z,Weekly_TVPlantPmod!I$3&amp;Weekly_TVPlantPmod!$B14&amp;Weekly_TVPlantPmod!$B$3&amp;$B$2&amp;$B$1&amp;$C$1)</f>
        <v>0</v>
      </c>
      <c r="J14" s="2">
        <f>COUNTIF(defects!$Z:$Z,Weekly_TVPlantPmod!J$3&amp;Weekly_TVPlantPmod!$B14&amp;Weekly_TVPlantPmod!$B$3&amp;$B$2&amp;$B$1&amp;$C$1)</f>
        <v>0</v>
      </c>
      <c r="K14" s="2">
        <f>COUNTIF(defects!$Z:$Z,Weekly_TVPlantPmod!K$3&amp;Weekly_TVPlantPmod!$B14&amp;Weekly_TVPlantPmod!$B$3&amp;$B$2&amp;$B$1&amp;$C$1)</f>
        <v>0</v>
      </c>
      <c r="L14" s="2">
        <f>COUNTIF(defects!$Z:$Z,Weekly_TVPlantPmod!L$3&amp;Weekly_TVPlantPmod!$B14&amp;Weekly_TVPlantPmod!$B$3&amp;$B$2&amp;$B$1&amp;$C$1)</f>
        <v>0</v>
      </c>
      <c r="M14" s="2">
        <f>COUNTIF(defects!$Z:$Z,Weekly_TVPlantPmod!M$3&amp;Weekly_TVPlantPmod!$B14&amp;Weekly_TVPlantPmod!$B$3&amp;$B$2&amp;$B$1&amp;$C$1)</f>
        <v>0</v>
      </c>
      <c r="N14" s="2">
        <f>COUNTIF(defects!$Z:$Z,Weekly_TVPlantPmod!N$3&amp;Weekly_TVPlantPmod!$B14&amp;Weekly_TVPlantPmod!$B$3&amp;$B$2&amp;$B$1&amp;$C$1)</f>
        <v>0</v>
      </c>
      <c r="O14" s="2">
        <f>COUNTIF(defects!$Z:$Z,Weekly_TVPlantPmod!O$3&amp;Weekly_TVPlantPmod!$B14&amp;Weekly_TVPlantPmod!$B$3&amp;$B$2&amp;$B$1&amp;$C$1)</f>
        <v>0</v>
      </c>
      <c r="P14" s="2">
        <f>COUNTIF(defects!$Z:$Z,Weekly_TVPlantPmod!P$3&amp;Weekly_TVPlantPmod!$B14&amp;Weekly_TVPlantPmod!$B$3&amp;$B$2&amp;$B$1&amp;$C$1)</f>
        <v>0</v>
      </c>
      <c r="Q14" s="2">
        <f>COUNTIF(defects!$Z:$Z,Weekly_TVPlantPmod!Q$3&amp;Weekly_TVPlantPmod!$B14&amp;Weekly_TVPlantPmod!$B$3&amp;$B$2&amp;$B$1&amp;$C$1)</f>
        <v>0</v>
      </c>
      <c r="R14" s="2">
        <f>COUNTIF(defects!$Z:$Z,Weekly_TVPlantPmod!R$3&amp;Weekly_TVPlantPmod!$B14&amp;Weekly_TVPlantPmod!$B$3&amp;$B$2&amp;$B$1&amp;$C$1)</f>
        <v>0</v>
      </c>
      <c r="S14" s="2">
        <f>COUNTIF(defects!$Z:$Z,Weekly_TVPlantPmod!S$3&amp;Weekly_TVPlantPmod!$B14&amp;Weekly_TVPlantPmod!$B$3&amp;$B$2&amp;$B$1&amp;$C$1)</f>
        <v>0</v>
      </c>
      <c r="T14" s="2">
        <f>COUNTIF(defects!$Z:$Z,Weekly_TVPlantPmod!T$3&amp;Weekly_TVPlantPmod!$B14&amp;Weekly_TVPlantPmod!$B$3&amp;$B$2&amp;$B$1&amp;$C$1)</f>
        <v>0</v>
      </c>
      <c r="U14" s="2">
        <f>COUNTIF(defects!$Z:$Z,Weekly_TVPlantPmod!U$3&amp;Weekly_TVPlantPmod!$B14&amp;Weekly_TVPlantPmod!$B$3&amp;$B$2&amp;$B$1&amp;$C$1)</f>
        <v>0</v>
      </c>
      <c r="V14" s="2">
        <f>COUNTIF(defects!$Z:$Z,Weekly_TVPlantPmod!V$3&amp;Weekly_TVPlantPmod!$B14&amp;Weekly_TVPlantPmod!$B$3&amp;$B$2&amp;$B$1&amp;$C$1)</f>
        <v>0</v>
      </c>
      <c r="W14" s="2">
        <f>COUNTIF(defects!$Z:$Z,Weekly_TVPlantPmod!W$3&amp;Weekly_TVPlantPmod!$B14&amp;Weekly_TVPlantPmod!$B$3&amp;$B$2&amp;$B$1&amp;$C$1)</f>
        <v>0</v>
      </c>
      <c r="X14" s="2">
        <f>COUNTIF(defects!$Z:$Z,Weekly_TVPlantPmod!X$3&amp;Weekly_TVPlantPmod!$B14&amp;Weekly_TVPlantPmod!$B$3&amp;$B$2&amp;$B$1&amp;$C$1)</f>
        <v>0</v>
      </c>
      <c r="Y14" s="2">
        <f>COUNTIF(defects!$Z:$Z,Weekly_TVPlantPmod!Y$3&amp;Weekly_TVPlantPmod!$B14&amp;Weekly_TVPlantPmod!$B$3&amp;$B$2&amp;$B$1&amp;$C$1)</f>
        <v>0</v>
      </c>
      <c r="Z14" s="2">
        <f>COUNTIF(defects!$Z:$Z,Weekly_TVPlantPmod!Z$3&amp;Weekly_TVPlantPmod!$B14&amp;Weekly_TVPlantPmod!$B$3&amp;$B$2&amp;$B$1&amp;$C$1)</f>
        <v>0</v>
      </c>
      <c r="AA14" s="2">
        <f>COUNTIF(defects!$Z:$Z,Weekly_TVPlantPmod!AA$3&amp;Weekly_TVPlantPmod!$B14&amp;Weekly_TVPlantPmod!$B$3&amp;$B$2&amp;$B$1&amp;$C$1)</f>
        <v>0</v>
      </c>
      <c r="AB14" s="2">
        <f>COUNTIF(defects!$Z:$Z,Weekly_TVPlantPmod!AB$3&amp;Weekly_TVPlantPmod!$B14&amp;Weekly_TVPlantPmod!$B$3&amp;$B$2&amp;$B$1&amp;$C$1)</f>
        <v>0</v>
      </c>
      <c r="AC14" s="2">
        <f>COUNTIF(defects!$Z:$Z,Weekly_TVPlantPmod!AC$3&amp;Weekly_TVPlantPmod!$B14&amp;Weekly_TVPlantPmod!$B$3&amp;$B$2&amp;$B$1&amp;$C$1)</f>
        <v>0</v>
      </c>
      <c r="AD14" s="2">
        <f>COUNTIF(defects!$Z:$Z,Weekly_TVPlantPmod!AD$3&amp;Weekly_TVPlantPmod!$B14&amp;Weekly_TVPlantPmod!$B$3&amp;$B$2&amp;$B$1&amp;$C$1)</f>
        <v>0</v>
      </c>
      <c r="AE14" s="2">
        <f>COUNTIF(defects!$Z:$Z,Weekly_TVPlantPmod!AE$3&amp;Weekly_TVPlantPmod!$B14&amp;Weekly_TVPlantPmod!$B$3&amp;$B$2&amp;$B$1&amp;$C$1)</f>
        <v>0</v>
      </c>
      <c r="AF14" s="2">
        <f>COUNTIF(defects!$Z:$Z,Weekly_TVPlantPmod!AF$3&amp;Weekly_TVPlantPmod!$B14&amp;Weekly_TVPlantPmod!$B$3&amp;$B$2&amp;$B$1&amp;$C$1)</f>
        <v>0</v>
      </c>
      <c r="AG14" s="2">
        <f>COUNTIF(defects!$Z:$Z,Weekly_TVPlantPmod!AG$3&amp;Weekly_TVPlantPmod!$B14&amp;Weekly_TVPlantPmod!$B$3&amp;$B$2&amp;$B$1&amp;$C$1)</f>
        <v>0</v>
      </c>
      <c r="AH14" s="2">
        <f>COUNTIF(defects!$Z:$Z,Weekly_TVPlantPmod!AH$3&amp;Weekly_TVPlantPmod!$B14&amp;Weekly_TVPlantPmod!$B$3&amp;$B$2&amp;$B$1&amp;$C$1)</f>
        <v>0</v>
      </c>
      <c r="AI14" s="2">
        <f>COUNTIF(defects!$Z:$Z,Weekly_TVPlantPmod!AI$3&amp;Weekly_TVPlantPmod!$B14&amp;Weekly_TVPlantPmod!$B$3&amp;$B$2&amp;$B$1&amp;$C$1)</f>
        <v>0</v>
      </c>
      <c r="AJ14" s="2">
        <f>COUNTIF(defects!$Z:$Z,Weekly_TVPlantPmod!AJ$3&amp;Weekly_TVPlantPmod!$B14&amp;Weekly_TVPlantPmod!$B$3&amp;$B$2&amp;$B$1&amp;$C$1)</f>
        <v>0</v>
      </c>
      <c r="AK14" s="2">
        <f>COUNTIF(defects!$Z:$Z,Weekly_TVPlantPmod!AK$3&amp;Weekly_TVPlantPmod!$B14&amp;Weekly_TVPlantPmod!$B$3&amp;$B$2&amp;$B$1&amp;$C$1)</f>
        <v>0</v>
      </c>
      <c r="AL14" s="2">
        <f>COUNTIF(defects!$Z:$Z,Weekly_TVPlantPmod!AL$3&amp;Weekly_TVPlantPmod!$B14&amp;Weekly_TVPlantPmod!$B$3&amp;$B$2&amp;$B$1&amp;$C$1)</f>
        <v>0</v>
      </c>
      <c r="AM14" s="2">
        <f>COUNTIF(defects!$Z:$Z,Weekly_TVPlantPmod!AM$3&amp;Weekly_TVPlantPmod!$B14&amp;Weekly_TVPlantPmod!$B$3&amp;$B$2&amp;$B$1&amp;$C$1)</f>
        <v>0</v>
      </c>
      <c r="AN14" s="2">
        <f>COUNTIF(defects!$Z:$Z,Weekly_TVPlantPmod!AN$3&amp;Weekly_TVPlantPmod!$B14&amp;Weekly_TVPlantPmod!$B$3&amp;$B$2&amp;$B$1&amp;$C$1)</f>
        <v>0</v>
      </c>
      <c r="AO14" s="2">
        <f>COUNTIF(defects!$Z:$Z,Weekly_TVPlantPmod!AO$3&amp;Weekly_TVPlantPmod!$B14&amp;Weekly_TVPlantPmod!$B$3&amp;$B$2&amp;$B$1&amp;$C$1)</f>
        <v>0</v>
      </c>
      <c r="AP14" s="2">
        <f>COUNTIF(defects!$Z:$Z,Weekly_TVPlantPmod!AP$3&amp;Weekly_TVPlantPmod!$B14&amp;Weekly_TVPlantPmod!$B$3&amp;$B$2&amp;$B$1&amp;$C$1)</f>
        <v>0</v>
      </c>
      <c r="AQ14" s="2">
        <f>COUNTIF(defects!$Z:$Z,Weekly_TVPlantPmod!AQ$3&amp;Weekly_TVPlantPmod!$B14&amp;Weekly_TVPlantPmod!$B$3&amp;$B$2&amp;$B$1&amp;$C$1)</f>
        <v>0</v>
      </c>
      <c r="AR14" s="2">
        <f>COUNTIF(defects!$Z:$Z,Weekly_TVPlantPmod!AR$3&amp;Weekly_TVPlantPmod!$B14&amp;Weekly_TVPlantPmod!$B$3&amp;$B$2&amp;$B$1&amp;$C$1)</f>
        <v>0</v>
      </c>
      <c r="AS14" s="2">
        <f>COUNTIF(defects!$Z:$Z,Weekly_TVPlantPmod!AS$3&amp;Weekly_TVPlantPmod!$B14&amp;Weekly_TVPlantPmod!$B$3&amp;$B$2&amp;$B$1&amp;$C$1)</f>
        <v>0</v>
      </c>
      <c r="AT14" s="2">
        <f>COUNTIF(defects!$Z:$Z,Weekly_TVPlantPmod!AT$3&amp;Weekly_TVPlantPmod!$B14&amp;Weekly_TVPlantPmod!$B$3&amp;$B$2&amp;$B$1&amp;$C$1)</f>
        <v>0</v>
      </c>
      <c r="AU14" s="2">
        <f>COUNTIF(defects!$Z:$Z,Weekly_TVPlantPmod!AU$3&amp;Weekly_TVPlantPmod!$B14&amp;Weekly_TVPlantPmod!$B$3&amp;$B$2&amp;$B$1&amp;$C$1)</f>
        <v>0</v>
      </c>
      <c r="AV14" s="2">
        <f>COUNTIF(defects!$Z:$Z,Weekly_TVPlantPmod!AV$3&amp;Weekly_TVPlantPmod!$B14&amp;Weekly_TVPlantPmod!$B$3&amp;$B$2&amp;$B$1&amp;$C$1)</f>
        <v>0</v>
      </c>
      <c r="AW14" s="2">
        <f>COUNTIF(defects!$Z:$Z,Weekly_TVPlantPmod!AW$3&amp;Weekly_TVPlantPmod!$B14&amp;Weekly_TVPlantPmod!$B$3&amp;$B$2&amp;$B$1&amp;$C$1)</f>
        <v>0</v>
      </c>
      <c r="AX14" s="2">
        <f>COUNTIF(defects!$Z:$Z,Weekly_TVPlantPmod!AX$3&amp;Weekly_TVPlantPmod!$B14&amp;Weekly_TVPlantPmod!$B$3&amp;$B$2&amp;$B$1&amp;$C$1)</f>
        <v>0</v>
      </c>
      <c r="AY14" s="2">
        <f>COUNTIF(defects!$Z:$Z,Weekly_TVPlantPmod!AY$3&amp;Weekly_TVPlantPmod!$B14&amp;Weekly_TVPlantPmod!$B$3&amp;$B$2&amp;$B$1&amp;$C$1)</f>
        <v>0</v>
      </c>
      <c r="AZ14" s="2">
        <f>COUNTIF(defects!$Z:$Z,Weekly_TVPlantPmod!AZ$3&amp;Weekly_TVPlantPmod!$B14&amp;Weekly_TVPlantPmod!$B$3&amp;$B$2&amp;$B$1&amp;$C$1)</f>
        <v>0</v>
      </c>
      <c r="BA14" s="2">
        <f>COUNTIF(defects!$Z:$Z,Weekly_TVPlantPmod!BA$3&amp;Weekly_TVPlantPmod!$B14&amp;Weekly_TVPlantPmod!$B$3&amp;$B$2&amp;$B$1&amp;$C$1)</f>
        <v>0</v>
      </c>
      <c r="BB14" s="2">
        <f>COUNTIF(defects!$Z:$Z,Weekly_TVPlantPmod!BB$3&amp;Weekly_TVPlantPmod!$B14&amp;Weekly_TVPlantPmod!$B$3&amp;$B$2&amp;$B$1&amp;$C$1)</f>
        <v>0</v>
      </c>
      <c r="BC14" s="2">
        <f>COUNTIF(defects!$Z:$Z,Weekly_TVPlantPmod!BC$3&amp;Weekly_TVPlantPmod!$B14&amp;Weekly_TVPlantPmod!$B$3&amp;$B$2&amp;$B$1&amp;$C$1)</f>
        <v>0</v>
      </c>
      <c r="BD14" s="2">
        <f>COUNTIF(defects!$Z:$Z,Weekly_TVPlantPmod!BD$3&amp;Weekly_TVPlantPmod!$B14&amp;Weekly_TVPlantPmod!$B$3&amp;$B$2&amp;$B$1&amp;$C$1)</f>
        <v>0</v>
      </c>
      <c r="BE14" s="2">
        <f>COUNTIF(defects!$Z:$Z,Weekly_TVPlantPmod!BE$3&amp;Weekly_TVPlantPmod!$B14&amp;Weekly_TVPlantPmod!$B$3&amp;$B$2&amp;$B$1&amp;$C$1)</f>
        <v>0</v>
      </c>
      <c r="BF14" s="2">
        <f>COUNTIF(defects!$Z:$Z,Weekly_TVPlantPmod!BF$3&amp;Weekly_TVPlantPmod!$B14&amp;Weekly_TVPlantPmod!$B$3&amp;$B$2&amp;$B$1&amp;$C$1)</f>
        <v>0</v>
      </c>
      <c r="BG14" s="2">
        <f>COUNTIF(defects!$Z:$Z,Weekly_TVPlantPmod!BG$3&amp;Weekly_TVPlantPmod!$B14&amp;Weekly_TVPlantPmod!$B$3&amp;$B$2&amp;$B$1&amp;$C$1)</f>
        <v>0</v>
      </c>
      <c r="BH14" s="2">
        <f>COUNTIF(defects!$Z:$Z,Weekly_TVPlantPmod!BH$3&amp;Weekly_TVPlantPmod!$B14&amp;Weekly_TVPlantPmod!$B$3&amp;$B$2&amp;$B$1&amp;$C$1)</f>
        <v>0</v>
      </c>
      <c r="BI14" s="2">
        <f>COUNTIF(defects!$Z:$Z,Weekly_TVPlantPmod!BI$3&amp;Weekly_TVPlantPmod!$B14&amp;Weekly_TVPlantPmod!$B$3&amp;$B$2&amp;$B$1&amp;$C$1)</f>
        <v>0</v>
      </c>
      <c r="BJ14" s="2">
        <f>COUNTIF(defects!$Z:$Z,Weekly_TVPlantPmod!BJ$3&amp;Weekly_TVPlantPmod!$B14&amp;Weekly_TVPlantPmod!$B$3&amp;$B$2&amp;$B$1&amp;$C$1)</f>
        <v>0</v>
      </c>
      <c r="BK14" s="2">
        <f>COUNTIF(defects!$Z:$Z,Weekly_TVPlantPmod!BK$3&amp;Weekly_TVPlantPmod!$B14&amp;Weekly_TVPlantPmod!$B$3&amp;$B$2&amp;$B$1&amp;$C$1)</f>
        <v>0</v>
      </c>
      <c r="BL14" s="2">
        <f>COUNTIF(defects!$Z:$Z,Weekly_TVPlantPmod!BL$3&amp;Weekly_TVPlantPmod!$B14&amp;Weekly_TVPlantPmod!$B$3&amp;$B$2&amp;$B$1&amp;$C$1)</f>
        <v>0</v>
      </c>
      <c r="BM14" s="2">
        <f>COUNTIF(defects!$Z:$Z,Weekly_TVPlantPmod!BM$3&amp;Weekly_TVPlantPmod!$B14&amp;Weekly_TVPlantPmod!$B$3&amp;$B$2&amp;$B$1&amp;$C$1)</f>
        <v>0</v>
      </c>
      <c r="BN14" s="2">
        <f>COUNTIF(defects!$Z:$Z,Weekly_TVPlantPmod!BN$3&amp;Weekly_TVPlantPmod!$B14&amp;Weekly_TVPlantPmod!$B$3&amp;$B$2&amp;$B$1&amp;$C$1)</f>
        <v>0</v>
      </c>
      <c r="BO14" s="2">
        <f>COUNTIF(defects!$Z:$Z,Weekly_TVPlantPmod!BO$3&amp;Weekly_TVPlantPmod!$B14&amp;Weekly_TVPlantPmod!$B$3&amp;$B$2&amp;$B$1&amp;$C$1)</f>
        <v>0</v>
      </c>
      <c r="BP14" s="2">
        <f>COUNTIF(defects!$Z:$Z,Weekly_TVPlantPmod!BP$3&amp;Weekly_TVPlantPmod!$B14&amp;Weekly_TVPlantPmod!$B$3&amp;$B$2&amp;$B$1&amp;$C$1)</f>
        <v>0</v>
      </c>
      <c r="BQ14" s="2">
        <f>COUNTIF(defects!$Z:$Z,Weekly_TVPlantPmod!BQ$3&amp;Weekly_TVPlantPmod!$B14&amp;Weekly_TVPlantPmod!$B$3&amp;$B$2&amp;$B$1&amp;$C$1)</f>
        <v>0</v>
      </c>
      <c r="BR14" s="2">
        <f>COUNTIF(defects!$Z:$Z,Weekly_TVPlantPmod!BR$3&amp;Weekly_TVPlantPmod!$B14&amp;Weekly_TVPlantPmod!$B$3&amp;$B$2&amp;$B$1&amp;$C$1)</f>
        <v>0</v>
      </c>
      <c r="BS14" s="2">
        <f>COUNTIF(defects!$Z:$Z,Weekly_TVPlantPmod!BS$3&amp;Weekly_TVPlantPmod!$B14&amp;Weekly_TVPlantPmod!$B$3&amp;$B$2&amp;$B$1&amp;$C$1)</f>
        <v>0</v>
      </c>
      <c r="BT14" s="2">
        <f>COUNTIF(defects!$Z:$Z,Weekly_TVPlantPmod!BT$3&amp;Weekly_TVPlantPmod!$B14&amp;Weekly_TVPlantPmod!$B$3&amp;$B$2&amp;$B$1&amp;$C$1)</f>
        <v>0</v>
      </c>
      <c r="BU14" s="2">
        <f>COUNTIF(defects!$Z:$Z,Weekly_TVPlantPmod!BU$3&amp;Weekly_TVPlantPmod!$B14&amp;Weekly_TVPlantPmod!$B$3&amp;$B$2&amp;$B$1&amp;$C$1)</f>
        <v>0</v>
      </c>
      <c r="BV14" s="2">
        <f>COUNTIF(defects!$Z:$Z,Weekly_TVPlantPmod!BV$3&amp;Weekly_TVPlantPmod!$B14&amp;Weekly_TVPlantPmod!$B$3&amp;$B$2&amp;$B$1&amp;$C$1)</f>
        <v>0</v>
      </c>
      <c r="BW14" s="2">
        <f>COUNTIF(defects!$Z:$Z,Weekly_TVPlantPmod!BW$3&amp;Weekly_TVPlantPmod!$B14&amp;Weekly_TVPlantPmod!$B$3&amp;$B$2&amp;$B$1&amp;$C$1)</f>
        <v>0</v>
      </c>
      <c r="BX14" s="2">
        <f>COUNTIF(defects!$Z:$Z,Weekly_TVPlantPmod!BX$3&amp;Weekly_TVPlantPmod!$B14&amp;Weekly_TVPlantPmod!$B$3&amp;$B$2&amp;$B$1&amp;$C$1)</f>
        <v>0</v>
      </c>
      <c r="BY14" s="2">
        <f>COUNTIF(defects!$Z:$Z,Weekly_TVPlantPmod!BY$3&amp;Weekly_TVPlantPmod!$B14&amp;Weekly_TVPlantPmod!$B$3&amp;$B$2&amp;$B$1&amp;$C$1)</f>
        <v>0</v>
      </c>
      <c r="BZ14" s="2">
        <f>COUNTIF(defects!$Z:$Z,Weekly_TVPlantPmod!BZ$3&amp;Weekly_TVPlantPmod!$B14&amp;Weekly_TVPlantPmod!$B$3&amp;$B$2&amp;$B$1&amp;$C$1)</f>
        <v>0</v>
      </c>
      <c r="CA14" s="2">
        <f>COUNTIF(defects!$Z:$Z,Weekly_TVPlantPmod!CA$3&amp;Weekly_TVPlantPmod!$B14&amp;Weekly_TVPlantPmod!$B$3&amp;$B$2&amp;$B$1&amp;$C$1)</f>
        <v>0</v>
      </c>
      <c r="CB14" s="2">
        <f>COUNTIF(defects!$Z:$Z,Weekly_TVPlantPmod!CB$3&amp;Weekly_TVPlantPmod!$B14&amp;Weekly_TVPlantPmod!$B$3&amp;$B$2&amp;$B$1&amp;$C$1)</f>
        <v>0</v>
      </c>
      <c r="CC14" s="2">
        <f>COUNTIF(defects!$Z:$Z,Weekly_TVPlantPmod!CC$3&amp;Weekly_TVPlantPmod!$B14&amp;Weekly_TVPlantPmod!$B$3&amp;$B$2&amp;$B$1&amp;$C$1)</f>
        <v>0</v>
      </c>
      <c r="CD14" s="2">
        <f>COUNTIF(defects!$Z:$Z,Weekly_TVPlantPmod!CD$3&amp;Weekly_TVPlantPmod!$B14&amp;Weekly_TVPlantPmod!$B$3&amp;$B$2&amp;$B$1&amp;$C$1)</f>
        <v>0</v>
      </c>
      <c r="CE14" s="2">
        <f>COUNTIF(defects!$Z:$Z,Weekly_TVPlantPmod!CE$3&amp;Weekly_TVPlantPmod!$B14&amp;Weekly_TVPlantPmod!$B$3&amp;$B$2&amp;$B$1&amp;$C$1)</f>
        <v>0</v>
      </c>
      <c r="CF14" s="2">
        <f>COUNTIF(defects!$Z:$Z,Weekly_TVPlantPmod!CF$3&amp;Weekly_TVPlantPmod!$B14&amp;Weekly_TVPlantPmod!$B$3&amp;$B$2&amp;$B$1&amp;$C$1)</f>
        <v>0</v>
      </c>
      <c r="CG14" s="2">
        <f>COUNTIF(defects!$Z:$Z,Weekly_TVPlantPmod!CG$3&amp;Weekly_TVPlantPmod!$B14&amp;Weekly_TVPlantPmod!$B$3&amp;$B$2&amp;$B$1&amp;$C$1)</f>
        <v>0</v>
      </c>
      <c r="CH14" s="2">
        <f>COUNTIF(defects!$Z:$Z,Weekly_TVPlantPmod!CH$3&amp;Weekly_TVPlantPmod!$B14&amp;Weekly_TVPlantPmod!$B$3&amp;$B$2&amp;$B$1&amp;$C$1)</f>
        <v>0</v>
      </c>
      <c r="CI14" s="2">
        <f>COUNTIF(defects!$Z:$Z,Weekly_TVPlantPmod!CI$3&amp;Weekly_TVPlantPmod!$B14&amp;Weekly_TVPlantPmod!$B$3&amp;$B$2&amp;$B$1&amp;$C$1)</f>
        <v>0</v>
      </c>
      <c r="CJ14" s="2">
        <f>COUNTIF(defects!$Z:$Z,Weekly_TVPlantPmod!CJ$3&amp;Weekly_TVPlantPmod!$B14&amp;Weekly_TVPlantPmod!$B$3&amp;$B$2&amp;$B$1&amp;$C$1)</f>
        <v>0</v>
      </c>
      <c r="CK14" s="2">
        <f>COUNTIF(defects!$Z:$Z,Weekly_TVPlantPmod!CK$3&amp;Weekly_TVPlantPmod!$B14&amp;Weekly_TVPlantPmod!$B$3&amp;$B$2&amp;$B$1&amp;$C$1)</f>
        <v>0</v>
      </c>
      <c r="CL14" s="2">
        <f>COUNTIF(defects!$Z:$Z,Weekly_TVPlantPmod!CL$3&amp;Weekly_TVPlantPmod!$B14&amp;Weekly_TVPlantPmod!$B$3&amp;$B$2&amp;$B$1&amp;$C$1)</f>
        <v>0</v>
      </c>
      <c r="CM14" s="2">
        <f>COUNTIF(defects!$Z:$Z,Weekly_TVPlantPmod!CM$3&amp;Weekly_TVPlantPmod!$B14&amp;Weekly_TVPlantPmod!$B$3&amp;$B$2&amp;$B$1&amp;$C$1)</f>
        <v>0</v>
      </c>
      <c r="CN14" s="2">
        <f>COUNTIF(defects!$Z:$Z,Weekly_TVPlantPmod!CN$3&amp;Weekly_TVPlantPmod!$B14&amp;Weekly_TVPlantPmod!$B$3&amp;$B$2&amp;$B$1&amp;$C$1)</f>
        <v>0</v>
      </c>
      <c r="CO14" s="2">
        <f>COUNTIF(defects!$Z:$Z,Weekly_TVPlantPmod!CO$3&amp;Weekly_TVPlantPmod!$B14&amp;Weekly_TVPlantPmod!$B$3&amp;$B$2&amp;$B$1&amp;$C$1)</f>
        <v>0</v>
      </c>
      <c r="CP14" s="2">
        <f>COUNTIF(defects!$Z:$Z,Weekly_TVPlantPmod!CP$3&amp;Weekly_TVPlantPmod!$B14&amp;Weekly_TVPlantPmod!$B$3&amp;$B$2&amp;$B$1&amp;$C$1)</f>
        <v>0</v>
      </c>
      <c r="CQ14" s="2">
        <f>COUNTIF(defects!$Z:$Z,Weekly_TVPlantPmod!CQ$3&amp;Weekly_TVPlantPmod!$B14&amp;Weekly_TVPlantPmod!$B$3&amp;$B$2&amp;$B$1&amp;$C$1)</f>
        <v>0</v>
      </c>
      <c r="CR14" s="2">
        <f>COUNTIF(defects!$Z:$Z,Weekly_TVPlantPmod!CR$3&amp;Weekly_TVPlantPmod!$B14&amp;Weekly_TVPlantPmod!$B$3&amp;$B$2&amp;$B$1&amp;$C$1)</f>
        <v>0</v>
      </c>
      <c r="CS14" s="2">
        <f>COUNTIF(defects!$Z:$Z,Weekly_TVPlantPmod!CS$3&amp;Weekly_TVPlantPmod!$B14&amp;Weekly_TVPlantPmod!$B$3&amp;$B$2&amp;$B$1&amp;$C$1)</f>
        <v>0</v>
      </c>
      <c r="CT14" s="2">
        <f>COUNTIF(defects!$Z:$Z,Weekly_TVPlantPmod!CT$3&amp;Weekly_TVPlantPmod!$B14&amp;Weekly_TVPlantPmod!$B$3&amp;$B$2&amp;$B$1&amp;$C$1)</f>
        <v>0</v>
      </c>
      <c r="CU14" s="2">
        <f>COUNTIF(defects!$Z:$Z,Weekly_TVPlantPmod!CU$3&amp;Weekly_TVPlantPmod!$B14&amp;Weekly_TVPlantPmod!$B$3&amp;$B$2&amp;$B$1&amp;$C$1)</f>
        <v>0</v>
      </c>
      <c r="CV14" s="2">
        <f>COUNTIF(defects!$Z:$Z,Weekly_TVPlantPmod!CV$3&amp;Weekly_TVPlantPmod!$B14&amp;Weekly_TVPlantPmod!$B$3&amp;$B$2&amp;$B$1&amp;$C$1)</f>
        <v>0</v>
      </c>
      <c r="CW14" s="2">
        <f>COUNTIF(defects!$Z:$Z,Weekly_TVPlantPmod!CW$3&amp;Weekly_TVPlantPmod!$B14&amp;Weekly_TVPlantPmod!$B$3&amp;$B$2&amp;$B$1&amp;$C$1)</f>
        <v>0</v>
      </c>
      <c r="CX14" s="2">
        <f>COUNTIF(defects!$Z:$Z,Weekly_TVPlantPmod!CX$3&amp;Weekly_TVPlantPmod!$B14&amp;Weekly_TVPlantPmod!$B$3&amp;$B$2&amp;$B$1&amp;$C$1)</f>
        <v>0</v>
      </c>
      <c r="CY14" s="2">
        <f>COUNTIF(defects!$Z:$Z,Weekly_TVPlantPmod!CY$3&amp;Weekly_TVPlantPmod!$B14&amp;Weekly_TVPlantPmod!$B$3&amp;$B$2&amp;$B$1&amp;$C$1)</f>
        <v>0</v>
      </c>
      <c r="CZ14" s="2">
        <f>COUNTIF(defects!$Z:$Z,Weekly_TVPlantPmod!CZ$3&amp;Weekly_TVPlantPmod!$B14&amp;Weekly_TVPlantPmod!$B$3&amp;$B$2&amp;$B$1&amp;$C$1)</f>
        <v>0</v>
      </c>
      <c r="DA14" s="2">
        <f>COUNTIF(defects!$Z:$Z,Weekly_TVPlantPmod!DA$3&amp;Weekly_TVPlantPmod!$B14&amp;Weekly_TVPlantPmod!$B$3&amp;$B$2&amp;$B$1&amp;$C$1)</f>
        <v>0</v>
      </c>
      <c r="DB14" s="2">
        <f>COUNTIF(defects!$Z:$Z,Weekly_TVPlantPmod!DB$3&amp;Weekly_TVPlantPmod!$B14&amp;Weekly_TVPlantPmod!$B$3&amp;$B$2&amp;$B$1&amp;$C$1)</f>
        <v>0</v>
      </c>
      <c r="DC14" s="2">
        <f>COUNTIF(defects!$Z:$Z,Weekly_TVPlantPmod!DC$3&amp;Weekly_TVPlantPmod!$B14&amp;Weekly_TVPlantPmod!$B$3&amp;$B$2&amp;$B$1&amp;$C$1)</f>
        <v>0</v>
      </c>
      <c r="DD14" s="2">
        <f>COUNTIF(defects!$Z:$Z,Weekly_TVPlantPmod!DD$3&amp;Weekly_TVPlantPmod!$B14&amp;Weekly_TVPlantPmod!$B$3&amp;$B$2&amp;$B$1&amp;$C$1)</f>
        <v>0</v>
      </c>
      <c r="DE14" s="2">
        <f>COUNTIF(defects!$Z:$Z,Weekly_TVPlantPmod!DE$3&amp;Weekly_TVPlantPmod!$B14&amp;Weekly_TVPlantPmod!$B$3&amp;$B$2&amp;$B$1&amp;$C$1)</f>
        <v>0</v>
      </c>
      <c r="DF14" s="2">
        <f>COUNTIF(defects!$Z:$Z,Weekly_TVPlantPmod!DF$3&amp;Weekly_TVPlantPmod!$B14&amp;Weekly_TVPlantPmod!$B$3&amp;$B$2&amp;$B$1&amp;$C$1)</f>
        <v>0</v>
      </c>
      <c r="DG14" s="2">
        <f>COUNTIF(defects!$Z:$Z,Weekly_TVPlantPmod!DG$3&amp;Weekly_TVPlantPmod!$B14&amp;Weekly_TVPlantPmod!$B$3&amp;$B$2&amp;$B$1&amp;$C$1)</f>
        <v>0</v>
      </c>
      <c r="DH14" s="2">
        <f>COUNTIF(defects!$Z:$Z,Weekly_TVPlantPmod!DH$3&amp;Weekly_TVPlantPmod!$B14&amp;Weekly_TVPlantPmod!$B$3&amp;$B$2&amp;$B$1&amp;$C$1)</f>
        <v>0</v>
      </c>
      <c r="DI14" s="2">
        <f>COUNTIF(defects!$Z:$Z,Weekly_TVPlantPmod!DI$3&amp;Weekly_TVPlantPmod!$B14&amp;Weekly_TVPlantPmod!$B$3&amp;$B$2&amp;$B$1&amp;$C$1)</f>
        <v>0</v>
      </c>
      <c r="DJ14" s="2">
        <f>COUNTIF(defects!$Z:$Z,Weekly_TVPlantPmod!DJ$3&amp;Weekly_TVPlantPmod!$B14&amp;Weekly_TVPlantPmod!$B$3&amp;$B$2&amp;$B$1&amp;$C$1)</f>
        <v>0</v>
      </c>
      <c r="DK14" s="2">
        <f>COUNTIF(defects!$Z:$Z,Weekly_TVPlantPmod!DK$3&amp;Weekly_TVPlantPmod!$B14&amp;Weekly_TVPlantPmod!$B$3&amp;$B$2&amp;$B$1&amp;$C$1)</f>
        <v>0</v>
      </c>
      <c r="DL14" s="2">
        <f>COUNTIF(defects!$Z:$Z,Weekly_TVPlantPmod!DL$3&amp;Weekly_TVPlantPmod!$B14&amp;Weekly_TVPlantPmod!$B$3&amp;$B$2&amp;$B$1&amp;$C$1)</f>
        <v>0</v>
      </c>
      <c r="DM14" s="2">
        <f>COUNTIF(defects!$Z:$Z,Weekly_TVPlantPmod!DM$3&amp;Weekly_TVPlantPmod!$B14&amp;Weekly_TVPlantPmod!$B$3&amp;$B$2&amp;$B$1&amp;$C$1)</f>
        <v>0</v>
      </c>
      <c r="DN14" s="2">
        <f>COUNTIF(defects!$Z:$Z,Weekly_TVPlantPmod!DN$3&amp;Weekly_TVPlantPmod!$B14&amp;Weekly_TVPlantPmod!$B$3&amp;$B$2&amp;$B$1&amp;$C$1)</f>
        <v>0</v>
      </c>
      <c r="DO14" s="2">
        <f>COUNTIF(defects!$Z:$Z,Weekly_TVPlantPmod!DO$3&amp;Weekly_TVPlantPmod!$B14&amp;Weekly_TVPlantPmod!$B$3&amp;$B$2&amp;$B$1&amp;$C$1)</f>
        <v>0</v>
      </c>
      <c r="DP14" s="2">
        <f>COUNTIF(defects!$Z:$Z,Weekly_TVPlantPmod!DP$3&amp;Weekly_TVPlantPmod!$B14&amp;Weekly_TVPlantPmod!$B$3&amp;$B$2&amp;$B$1&amp;$C$1)</f>
        <v>0</v>
      </c>
      <c r="DQ14" s="2">
        <f>COUNTIF(defects!$Z:$Z,Weekly_TVPlantPmod!DQ$3&amp;Weekly_TVPlantPmod!$B14&amp;Weekly_TVPlantPmod!$B$3&amp;$B$2&amp;$B$1&amp;$C$1)</f>
        <v>0</v>
      </c>
      <c r="DR14" s="2">
        <f>COUNTIF(defects!$Z:$Z,Weekly_TVPlantPmod!DR$3&amp;Weekly_TVPlantPmod!$B14&amp;Weekly_TVPlantPmod!$B$3&amp;$B$2&amp;$B$1&amp;$C$1)</f>
        <v>0</v>
      </c>
      <c r="DS14" s="2">
        <f>COUNTIF(defects!$Z:$Z,Weekly_TVPlantPmod!DS$3&amp;Weekly_TVPlantPmod!$B14&amp;Weekly_TVPlantPmod!$B$3&amp;$B$2&amp;$B$1&amp;$C$1)</f>
        <v>0</v>
      </c>
      <c r="DT14" s="2">
        <f>COUNTIF(defects!$Z:$Z,Weekly_TVPlantPmod!DT$3&amp;Weekly_TVPlantPmod!$B14&amp;Weekly_TVPlantPmod!$B$3&amp;$B$2&amp;$B$1&amp;$C$1)</f>
        <v>0</v>
      </c>
      <c r="DU14" s="2">
        <f>COUNTIF(defects!$Z:$Z,Weekly_TVPlantPmod!DU$3&amp;Weekly_TVPlantPmod!$B14&amp;Weekly_TVPlantPmod!$B$3&amp;$B$2&amp;$B$1&amp;$C$1)</f>
        <v>0</v>
      </c>
      <c r="DV14" s="2">
        <f>COUNTIF(defects!$Z:$Z,Weekly_TVPlantPmod!DV$3&amp;Weekly_TVPlantPmod!$B14&amp;Weekly_TVPlantPmod!$B$3&amp;$B$2&amp;$B$1&amp;$C$1)</f>
        <v>0</v>
      </c>
      <c r="DW14" s="2">
        <f>COUNTIF(defects!$Z:$Z,Weekly_TVPlantPmod!DW$3&amp;Weekly_TVPlantPmod!$B14&amp;Weekly_TVPlantPmod!$B$3&amp;$B$2&amp;$B$1&amp;$C$1)</f>
        <v>0</v>
      </c>
      <c r="DX14" s="2">
        <f>COUNTIF(defects!$Z:$Z,Weekly_TVPlantPmod!DX$3&amp;Weekly_TVPlantPmod!$B14&amp;Weekly_TVPlantPmod!$B$3&amp;$B$2&amp;$B$1&amp;$C$1)</f>
        <v>0</v>
      </c>
      <c r="DY14" s="2">
        <f>COUNTIF(defects!$Z:$Z,Weekly_TVPlantPmod!DY$3&amp;Weekly_TVPlantPmod!$B14&amp;Weekly_TVPlantPmod!$B$3&amp;$B$2&amp;$B$1&amp;$C$1)</f>
        <v>0</v>
      </c>
      <c r="DZ14" s="2">
        <f>COUNTIF(defects!$Z:$Z,Weekly_TVPlantPmod!DZ$3&amp;Weekly_TVPlantPmod!$B14&amp;Weekly_TVPlantPmod!$B$3&amp;$B$2&amp;$B$1&amp;$C$1)</f>
        <v>0</v>
      </c>
      <c r="EA14" s="2">
        <f>COUNTIF(defects!$Z:$Z,Weekly_TVPlantPmod!EA$3&amp;Weekly_TVPlantPmod!$B14&amp;Weekly_TVPlantPmod!$B$3&amp;$B$2&amp;$B$1&amp;$C$1)</f>
        <v>0</v>
      </c>
      <c r="EB14" s="2">
        <f>COUNTIF(defects!$Z:$Z,Weekly_TVPlantPmod!EB$3&amp;Weekly_TVPlantPmod!$B14&amp;Weekly_TVPlantPmod!$B$3&amp;$B$2&amp;$B$1&amp;$C$1)</f>
        <v>0</v>
      </c>
      <c r="EC14" s="2">
        <f>COUNTIF(defects!$Z:$Z,Weekly_TVPlantPmod!EC$3&amp;Weekly_TVPlantPmod!$B14&amp;Weekly_TVPlantPmod!$B$3&amp;$B$2&amp;$B$1&amp;$C$1)</f>
        <v>0</v>
      </c>
      <c r="ED14" s="2">
        <f>COUNTIF(defects!$Z:$Z,Weekly_TVPlantPmod!ED$3&amp;Weekly_TVPlantPmod!$B14&amp;Weekly_TVPlantPmod!$B$3&amp;$B$2&amp;$B$1&amp;$C$1)</f>
        <v>0</v>
      </c>
      <c r="EE14" s="2">
        <f>COUNTIF(defects!$Z:$Z,Weekly_TVPlantPmod!EE$3&amp;Weekly_TVPlantPmod!$B14&amp;Weekly_TVPlantPmod!$B$3&amp;$B$2&amp;$B$1&amp;$C$1)</f>
        <v>0</v>
      </c>
      <c r="EF14" s="2">
        <f>COUNTIF(defects!$Z:$Z,Weekly_TVPlantPmod!EF$3&amp;Weekly_TVPlantPmod!$B14&amp;Weekly_TVPlantPmod!$B$3&amp;$B$2&amp;$B$1&amp;$C$1)</f>
        <v>0</v>
      </c>
      <c r="EG14" s="2">
        <f>COUNTIF(defects!$Z:$Z,Weekly_TVPlantPmod!EG$3&amp;Weekly_TVPlantPmod!$B14&amp;Weekly_TVPlantPmod!$B$3&amp;$B$2&amp;$B$1&amp;$C$1)</f>
        <v>0</v>
      </c>
      <c r="EH14" s="2">
        <f>COUNTIF(defects!$Z:$Z,Weekly_TVPlantPmod!EH$3&amp;Weekly_TVPlantPmod!$B14&amp;Weekly_TVPlantPmod!$B$3&amp;$B$2&amp;$B$1&amp;$C$1)</f>
        <v>0</v>
      </c>
      <c r="EI14" s="2">
        <f>COUNTIF(defects!$Z:$Z,Weekly_TVPlantPmod!EI$3&amp;Weekly_TVPlantPmod!$B14&amp;Weekly_TVPlantPmod!$B$3&amp;$B$2&amp;$B$1&amp;$C$1)</f>
        <v>0</v>
      </c>
      <c r="EJ14" s="2">
        <f>COUNTIF(defects!$Z:$Z,Weekly_TVPlantPmod!EJ$3&amp;Weekly_TVPlantPmod!$B14&amp;Weekly_TVPlantPmod!$B$3&amp;$B$2&amp;$B$1&amp;$C$1)</f>
        <v>0</v>
      </c>
      <c r="EK14" s="2">
        <f>COUNTIF(defects!$Z:$Z,Weekly_TVPlantPmod!EK$3&amp;Weekly_TVPlantPmod!$B14&amp;Weekly_TVPlantPmod!$B$3&amp;$B$2&amp;$B$1&amp;$C$1)</f>
        <v>0</v>
      </c>
      <c r="EL14" s="2">
        <f>COUNTIF(defects!$Z:$Z,Weekly_TVPlantPmod!EL$3&amp;Weekly_TVPlantPmod!$B14&amp;Weekly_TVPlantPmod!$B$3&amp;$B$2&amp;$B$1&amp;$C$1)</f>
        <v>0</v>
      </c>
      <c r="EM14" s="2">
        <f>COUNTIF(defects!$Z:$Z,Weekly_TVPlantPmod!EM$3&amp;Weekly_TVPlantPmod!$B14&amp;Weekly_TVPlantPmod!$B$3&amp;$B$2&amp;$B$1&amp;$C$1)</f>
        <v>0</v>
      </c>
      <c r="EN14" s="2">
        <f>COUNTIF(defects!$Z:$Z,Weekly_TVPlantPmod!EN$3&amp;Weekly_TVPlantPmod!$B14&amp;Weekly_TVPlantPmod!$B$3&amp;$B$2&amp;$B$1&amp;$C$1)</f>
        <v>0</v>
      </c>
      <c r="EO14" s="2">
        <f>COUNTIF(defects!$Z:$Z,Weekly_TVPlantPmod!EO$3&amp;Weekly_TVPlantPmod!$B14&amp;Weekly_TVPlantPmod!$B$3&amp;$B$2&amp;$B$1&amp;$C$1)</f>
        <v>0</v>
      </c>
      <c r="EP14" s="2">
        <f>COUNTIF(defects!$Z:$Z,Weekly_TVPlantPmod!EP$3&amp;Weekly_TVPlantPmod!$B14&amp;Weekly_TVPlantPmod!$B$3&amp;$B$2&amp;$B$1&amp;$C$1)</f>
        <v>0</v>
      </c>
      <c r="EQ14" s="2">
        <f>COUNTIF(defects!$Z:$Z,Weekly_TVPlantPmod!EQ$3&amp;Weekly_TVPlantPmod!$B14&amp;Weekly_TVPlantPmod!$B$3&amp;$B$2&amp;$B$1&amp;$C$1)</f>
        <v>0</v>
      </c>
      <c r="ER14" s="2">
        <f>COUNTIF(defects!$Z:$Z,Weekly_TVPlantPmod!ER$3&amp;Weekly_TVPlantPmod!$B14&amp;Weekly_TVPlantPmod!$B$3&amp;$B$2&amp;$B$1&amp;$C$1)</f>
        <v>0</v>
      </c>
      <c r="ES14" s="2">
        <f>COUNTIF(defects!$Z:$Z,Weekly_TVPlantPmod!ES$3&amp;Weekly_TVPlantPmod!$B14&amp;Weekly_TVPlantPmod!$B$3&amp;$B$2&amp;$B$1&amp;$C$1)</f>
        <v>0</v>
      </c>
      <c r="ET14" s="2">
        <f>COUNTIF(defects!$Z:$Z,Weekly_TVPlantPmod!ET$3&amp;Weekly_TVPlantPmod!$B14&amp;Weekly_TVPlantPmod!$B$3&amp;$B$2&amp;$B$1&amp;$C$1)</f>
        <v>0</v>
      </c>
      <c r="EU14" s="2">
        <f>COUNTIF(defects!$Z:$Z,Weekly_TVPlantPmod!EU$3&amp;Weekly_TVPlantPmod!$B14&amp;Weekly_TVPlantPmod!$B$3&amp;$B$2&amp;$B$1&amp;$C$1)</f>
        <v>0</v>
      </c>
      <c r="EV14" s="2">
        <f>COUNTIF(defects!$Z:$Z,Weekly_TVPlantPmod!EV$3&amp;Weekly_TVPlantPmod!$B14&amp;Weekly_TVPlantPmod!$B$3&amp;$B$2&amp;$B$1&amp;$C$1)</f>
        <v>0</v>
      </c>
      <c r="EW14" s="2">
        <f>COUNTIF(defects!$Z:$Z,Weekly_TVPlantPmod!EW$3&amp;Weekly_TVPlantPmod!$B14&amp;Weekly_TVPlantPmod!$B$3&amp;$B$2&amp;$B$1&amp;$C$1)</f>
        <v>0</v>
      </c>
      <c r="EX14" s="2">
        <f>COUNTIF(defects!$Z:$Z,Weekly_TVPlantPmod!EX$3&amp;Weekly_TVPlantPmod!$B14&amp;Weekly_TVPlantPmod!$B$3&amp;$B$2&amp;$B$1&amp;$C$1)</f>
        <v>0</v>
      </c>
      <c r="EY14" s="2">
        <f>COUNTIF(defects!$Z:$Z,Weekly_TVPlantPmod!EY$3&amp;Weekly_TVPlantPmod!$B14&amp;Weekly_TVPlantPmod!$B$3&amp;$B$2&amp;$B$1&amp;$C$1)</f>
        <v>0</v>
      </c>
      <c r="EZ14" s="2">
        <f>COUNTIF(defects!$Z:$Z,Weekly_TVPlantPmod!EZ$3&amp;Weekly_TVPlantPmod!$B14&amp;Weekly_TVPlantPmod!$B$3&amp;$B$2&amp;$B$1&amp;$C$1)</f>
        <v>0</v>
      </c>
      <c r="FA14" s="2">
        <f>COUNTIF(defects!$Z:$Z,Weekly_TVPlantPmod!FA$3&amp;Weekly_TVPlantPmod!$B14&amp;Weekly_TVPlantPmod!$B$3&amp;$B$2&amp;$B$1&amp;$C$1)</f>
        <v>0</v>
      </c>
      <c r="FB14" s="2">
        <f>COUNTIF(defects!$Z:$Z,Weekly_TVPlantPmod!FB$3&amp;Weekly_TVPlantPmod!$B14&amp;Weekly_TVPlantPmod!$B$3&amp;$B$2&amp;$B$1&amp;$C$1)</f>
        <v>0</v>
      </c>
      <c r="FC14" s="2">
        <f>COUNTIF(defects!$Z:$Z,Weekly_TVPlantPmod!FC$3&amp;Weekly_TVPlantPmod!$B14&amp;Weekly_TVPlantPmod!$B$3&amp;$B$2&amp;$B$1&amp;$C$1)</f>
        <v>0</v>
      </c>
      <c r="FD14" s="2">
        <f>COUNTIF(defects!$Z:$Z,Weekly_TVPlantPmod!FD$3&amp;Weekly_TVPlantPmod!$B14&amp;Weekly_TVPlantPmod!$B$3&amp;$B$2&amp;$B$1&amp;$C$1)</f>
        <v>0</v>
      </c>
      <c r="FE14" s="2">
        <f>COUNTIF(defects!$Z:$Z,Weekly_TVPlantPmod!FE$3&amp;Weekly_TVPlantPmod!$B14&amp;Weekly_TVPlantPmod!$B$3&amp;$B$2&amp;$B$1&amp;$C$1)</f>
        <v>0</v>
      </c>
    </row>
    <row r="15" spans="2:161">
      <c r="B15" s="2" t="s">
        <v>949</v>
      </c>
      <c r="C15" s="2">
        <f>COUNTIF(defects!$Z:$Z,Weekly_TVPlantPmod!C$3&amp;Weekly_TVPlantPmod!$B15&amp;Weekly_TVPlantPmod!$B$3&amp;$B$2&amp;$B$1&amp;$C$1)</f>
        <v>0</v>
      </c>
      <c r="D15" s="2">
        <f>COUNTIF(defects!$Z:$Z,Weekly_TVPlantPmod!D$3&amp;Weekly_TVPlantPmod!$B15&amp;Weekly_TVPlantPmod!$B$3&amp;$B$2&amp;$B$1&amp;$C$1)</f>
        <v>0</v>
      </c>
      <c r="E15" s="2">
        <f>COUNTIF(defects!$Z:$Z,Weekly_TVPlantPmod!E$3&amp;Weekly_TVPlantPmod!$B15&amp;Weekly_TVPlantPmod!$B$3&amp;$B$2&amp;$B$1&amp;$C$1)</f>
        <v>0</v>
      </c>
      <c r="F15" s="2">
        <f>COUNTIF(defects!$Z:$Z,Weekly_TVPlantPmod!F$3&amp;Weekly_TVPlantPmod!$B15&amp;Weekly_TVPlantPmod!$B$3&amp;$B$2&amp;$B$1&amp;$C$1)</f>
        <v>0</v>
      </c>
      <c r="G15" s="2">
        <f>COUNTIF(defects!$Z:$Z,Weekly_TVPlantPmod!G$3&amp;Weekly_TVPlantPmod!$B15&amp;Weekly_TVPlantPmod!$B$3&amp;$B$2&amp;$B$1&amp;$C$1)</f>
        <v>0</v>
      </c>
      <c r="H15" s="2">
        <f>COUNTIF(defects!$Z:$Z,Weekly_TVPlantPmod!H$3&amp;Weekly_TVPlantPmod!$B15&amp;Weekly_TVPlantPmod!$B$3&amp;$B$2&amp;$B$1&amp;$C$1)</f>
        <v>0</v>
      </c>
      <c r="I15" s="2">
        <f>COUNTIF(defects!$Z:$Z,Weekly_TVPlantPmod!I$3&amp;Weekly_TVPlantPmod!$B15&amp;Weekly_TVPlantPmod!$B$3&amp;$B$2&amp;$B$1&amp;$C$1)</f>
        <v>0</v>
      </c>
      <c r="J15" s="2">
        <f>COUNTIF(defects!$Z:$Z,Weekly_TVPlantPmod!J$3&amp;Weekly_TVPlantPmod!$B15&amp;Weekly_TVPlantPmod!$B$3&amp;$B$2&amp;$B$1&amp;$C$1)</f>
        <v>0</v>
      </c>
      <c r="K15" s="2">
        <f>COUNTIF(defects!$Z:$Z,Weekly_TVPlantPmod!K$3&amp;Weekly_TVPlantPmod!$B15&amp;Weekly_TVPlantPmod!$B$3&amp;$B$2&amp;$B$1&amp;$C$1)</f>
        <v>0</v>
      </c>
      <c r="L15" s="2">
        <f>COUNTIF(defects!$Z:$Z,Weekly_TVPlantPmod!L$3&amp;Weekly_TVPlantPmod!$B15&amp;Weekly_TVPlantPmod!$B$3&amp;$B$2&amp;$B$1&amp;$C$1)</f>
        <v>0</v>
      </c>
      <c r="M15" s="2">
        <f>COUNTIF(defects!$Z:$Z,Weekly_TVPlantPmod!M$3&amp;Weekly_TVPlantPmod!$B15&amp;Weekly_TVPlantPmod!$B$3&amp;$B$2&amp;$B$1&amp;$C$1)</f>
        <v>0</v>
      </c>
      <c r="N15" s="2">
        <f>COUNTIF(defects!$Z:$Z,Weekly_TVPlantPmod!N$3&amp;Weekly_TVPlantPmod!$B15&amp;Weekly_TVPlantPmod!$B$3&amp;$B$2&amp;$B$1&amp;$C$1)</f>
        <v>0</v>
      </c>
      <c r="O15" s="2">
        <f>COUNTIF(defects!$Z:$Z,Weekly_TVPlantPmod!O$3&amp;Weekly_TVPlantPmod!$B15&amp;Weekly_TVPlantPmod!$B$3&amp;$B$2&amp;$B$1&amp;$C$1)</f>
        <v>0</v>
      </c>
      <c r="P15" s="2">
        <f>COUNTIF(defects!$Z:$Z,Weekly_TVPlantPmod!P$3&amp;Weekly_TVPlantPmod!$B15&amp;Weekly_TVPlantPmod!$B$3&amp;$B$2&amp;$B$1&amp;$C$1)</f>
        <v>0</v>
      </c>
      <c r="Q15" s="2">
        <f>COUNTIF(defects!$Z:$Z,Weekly_TVPlantPmod!Q$3&amp;Weekly_TVPlantPmod!$B15&amp;Weekly_TVPlantPmod!$B$3&amp;$B$2&amp;$B$1&amp;$C$1)</f>
        <v>0</v>
      </c>
      <c r="R15" s="2">
        <f>COUNTIF(defects!$Z:$Z,Weekly_TVPlantPmod!R$3&amp;Weekly_TVPlantPmod!$B15&amp;Weekly_TVPlantPmod!$B$3&amp;$B$2&amp;$B$1&amp;$C$1)</f>
        <v>0</v>
      </c>
      <c r="S15" s="2">
        <f>COUNTIF(defects!$Z:$Z,Weekly_TVPlantPmod!S$3&amp;Weekly_TVPlantPmod!$B15&amp;Weekly_TVPlantPmod!$B$3&amp;$B$2&amp;$B$1&amp;$C$1)</f>
        <v>0</v>
      </c>
      <c r="T15" s="2">
        <f>COUNTIF(defects!$Z:$Z,Weekly_TVPlantPmod!T$3&amp;Weekly_TVPlantPmod!$B15&amp;Weekly_TVPlantPmod!$B$3&amp;$B$2&amp;$B$1&amp;$C$1)</f>
        <v>0</v>
      </c>
      <c r="U15" s="2">
        <f>COUNTIF(defects!$Z:$Z,Weekly_TVPlantPmod!U$3&amp;Weekly_TVPlantPmod!$B15&amp;Weekly_TVPlantPmod!$B$3&amp;$B$2&amp;$B$1&amp;$C$1)</f>
        <v>0</v>
      </c>
      <c r="V15" s="2">
        <f>COUNTIF(defects!$Z:$Z,Weekly_TVPlantPmod!V$3&amp;Weekly_TVPlantPmod!$B15&amp;Weekly_TVPlantPmod!$B$3&amp;$B$2&amp;$B$1&amp;$C$1)</f>
        <v>0</v>
      </c>
      <c r="W15" s="2">
        <f>COUNTIF(defects!$Z:$Z,Weekly_TVPlantPmod!W$3&amp;Weekly_TVPlantPmod!$B15&amp;Weekly_TVPlantPmod!$B$3&amp;$B$2&amp;$B$1&amp;$C$1)</f>
        <v>0</v>
      </c>
      <c r="X15" s="2">
        <f>COUNTIF(defects!$Z:$Z,Weekly_TVPlantPmod!X$3&amp;Weekly_TVPlantPmod!$B15&amp;Weekly_TVPlantPmod!$B$3&amp;$B$2&amp;$B$1&amp;$C$1)</f>
        <v>0</v>
      </c>
      <c r="Y15" s="2">
        <f>COUNTIF(defects!$Z:$Z,Weekly_TVPlantPmod!Y$3&amp;Weekly_TVPlantPmod!$B15&amp;Weekly_TVPlantPmod!$B$3&amp;$B$2&amp;$B$1&amp;$C$1)</f>
        <v>0</v>
      </c>
      <c r="Z15" s="2">
        <f>COUNTIF(defects!$Z:$Z,Weekly_TVPlantPmod!Z$3&amp;Weekly_TVPlantPmod!$B15&amp;Weekly_TVPlantPmod!$B$3&amp;$B$2&amp;$B$1&amp;$C$1)</f>
        <v>0</v>
      </c>
      <c r="AA15" s="2">
        <f>COUNTIF(defects!$Z:$Z,Weekly_TVPlantPmod!AA$3&amp;Weekly_TVPlantPmod!$B15&amp;Weekly_TVPlantPmod!$B$3&amp;$B$2&amp;$B$1&amp;$C$1)</f>
        <v>0</v>
      </c>
      <c r="AB15" s="2">
        <f>COUNTIF(defects!$Z:$Z,Weekly_TVPlantPmod!AB$3&amp;Weekly_TVPlantPmod!$B15&amp;Weekly_TVPlantPmod!$B$3&amp;$B$2&amp;$B$1&amp;$C$1)</f>
        <v>0</v>
      </c>
      <c r="AC15" s="2">
        <f>COUNTIF(defects!$Z:$Z,Weekly_TVPlantPmod!AC$3&amp;Weekly_TVPlantPmod!$B15&amp;Weekly_TVPlantPmod!$B$3&amp;$B$2&amp;$B$1&amp;$C$1)</f>
        <v>0</v>
      </c>
      <c r="AD15" s="2">
        <f>COUNTIF(defects!$Z:$Z,Weekly_TVPlantPmod!AD$3&amp;Weekly_TVPlantPmod!$B15&amp;Weekly_TVPlantPmod!$B$3&amp;$B$2&amp;$B$1&amp;$C$1)</f>
        <v>0</v>
      </c>
      <c r="AE15" s="2">
        <f>COUNTIF(defects!$Z:$Z,Weekly_TVPlantPmod!AE$3&amp;Weekly_TVPlantPmod!$B15&amp;Weekly_TVPlantPmod!$B$3&amp;$B$2&amp;$B$1&amp;$C$1)</f>
        <v>0</v>
      </c>
      <c r="AF15" s="2">
        <f>COUNTIF(defects!$Z:$Z,Weekly_TVPlantPmod!AF$3&amp;Weekly_TVPlantPmod!$B15&amp;Weekly_TVPlantPmod!$B$3&amp;$B$2&amp;$B$1&amp;$C$1)</f>
        <v>0</v>
      </c>
      <c r="AG15" s="2">
        <f>COUNTIF(defects!$Z:$Z,Weekly_TVPlantPmod!AG$3&amp;Weekly_TVPlantPmod!$B15&amp;Weekly_TVPlantPmod!$B$3&amp;$B$2&amp;$B$1&amp;$C$1)</f>
        <v>0</v>
      </c>
      <c r="AH15" s="2">
        <f>COUNTIF(defects!$Z:$Z,Weekly_TVPlantPmod!AH$3&amp;Weekly_TVPlantPmod!$B15&amp;Weekly_TVPlantPmod!$B$3&amp;$B$2&amp;$B$1&amp;$C$1)</f>
        <v>0</v>
      </c>
      <c r="AI15" s="2">
        <f>COUNTIF(defects!$Z:$Z,Weekly_TVPlantPmod!AI$3&amp;Weekly_TVPlantPmod!$B15&amp;Weekly_TVPlantPmod!$B$3&amp;$B$2&amp;$B$1&amp;$C$1)</f>
        <v>0</v>
      </c>
      <c r="AJ15" s="2">
        <f>COUNTIF(defects!$Z:$Z,Weekly_TVPlantPmod!AJ$3&amp;Weekly_TVPlantPmod!$B15&amp;Weekly_TVPlantPmod!$B$3&amp;$B$2&amp;$B$1&amp;$C$1)</f>
        <v>0</v>
      </c>
      <c r="AK15" s="2">
        <f>COUNTIF(defects!$Z:$Z,Weekly_TVPlantPmod!AK$3&amp;Weekly_TVPlantPmod!$B15&amp;Weekly_TVPlantPmod!$B$3&amp;$B$2&amp;$B$1&amp;$C$1)</f>
        <v>0</v>
      </c>
      <c r="AL15" s="2">
        <f>COUNTIF(defects!$Z:$Z,Weekly_TVPlantPmod!AL$3&amp;Weekly_TVPlantPmod!$B15&amp;Weekly_TVPlantPmod!$B$3&amp;$B$2&amp;$B$1&amp;$C$1)</f>
        <v>0</v>
      </c>
      <c r="AM15" s="2">
        <f>COUNTIF(defects!$Z:$Z,Weekly_TVPlantPmod!AM$3&amp;Weekly_TVPlantPmod!$B15&amp;Weekly_TVPlantPmod!$B$3&amp;$B$2&amp;$B$1&amp;$C$1)</f>
        <v>0</v>
      </c>
      <c r="AN15" s="2">
        <f>COUNTIF(defects!$Z:$Z,Weekly_TVPlantPmod!AN$3&amp;Weekly_TVPlantPmod!$B15&amp;Weekly_TVPlantPmod!$B$3&amp;$B$2&amp;$B$1&amp;$C$1)</f>
        <v>0</v>
      </c>
      <c r="AO15" s="2">
        <f>COUNTIF(defects!$Z:$Z,Weekly_TVPlantPmod!AO$3&amp;Weekly_TVPlantPmod!$B15&amp;Weekly_TVPlantPmod!$B$3&amp;$B$2&amp;$B$1&amp;$C$1)</f>
        <v>0</v>
      </c>
      <c r="AP15" s="2">
        <f>COUNTIF(defects!$Z:$Z,Weekly_TVPlantPmod!AP$3&amp;Weekly_TVPlantPmod!$B15&amp;Weekly_TVPlantPmod!$B$3&amp;$B$2&amp;$B$1&amp;$C$1)</f>
        <v>0</v>
      </c>
      <c r="AQ15" s="2">
        <f>COUNTIF(defects!$Z:$Z,Weekly_TVPlantPmod!AQ$3&amp;Weekly_TVPlantPmod!$B15&amp;Weekly_TVPlantPmod!$B$3&amp;$B$2&amp;$B$1&amp;$C$1)</f>
        <v>0</v>
      </c>
      <c r="AR15" s="2">
        <f>COUNTIF(defects!$Z:$Z,Weekly_TVPlantPmod!AR$3&amp;Weekly_TVPlantPmod!$B15&amp;Weekly_TVPlantPmod!$B$3&amp;$B$2&amp;$B$1&amp;$C$1)</f>
        <v>0</v>
      </c>
      <c r="AS15" s="2">
        <f>COUNTIF(defects!$Z:$Z,Weekly_TVPlantPmod!AS$3&amp;Weekly_TVPlantPmod!$B15&amp;Weekly_TVPlantPmod!$B$3&amp;$B$2&amp;$B$1&amp;$C$1)</f>
        <v>0</v>
      </c>
      <c r="AT15" s="2">
        <f>COUNTIF(defects!$Z:$Z,Weekly_TVPlantPmod!AT$3&amp;Weekly_TVPlantPmod!$B15&amp;Weekly_TVPlantPmod!$B$3&amp;$B$2&amp;$B$1&amp;$C$1)</f>
        <v>0</v>
      </c>
      <c r="AU15" s="2">
        <f>COUNTIF(defects!$Z:$Z,Weekly_TVPlantPmod!AU$3&amp;Weekly_TVPlantPmod!$B15&amp;Weekly_TVPlantPmod!$B$3&amp;$B$2&amp;$B$1&amp;$C$1)</f>
        <v>0</v>
      </c>
      <c r="AV15" s="2">
        <f>COUNTIF(defects!$Z:$Z,Weekly_TVPlantPmod!AV$3&amp;Weekly_TVPlantPmod!$B15&amp;Weekly_TVPlantPmod!$B$3&amp;$B$2&amp;$B$1&amp;$C$1)</f>
        <v>0</v>
      </c>
      <c r="AW15" s="2">
        <f>COUNTIF(defects!$Z:$Z,Weekly_TVPlantPmod!AW$3&amp;Weekly_TVPlantPmod!$B15&amp;Weekly_TVPlantPmod!$B$3&amp;$B$2&amp;$B$1&amp;$C$1)</f>
        <v>0</v>
      </c>
      <c r="AX15" s="2">
        <f>COUNTIF(defects!$Z:$Z,Weekly_TVPlantPmod!AX$3&amp;Weekly_TVPlantPmod!$B15&amp;Weekly_TVPlantPmod!$B$3&amp;$B$2&amp;$B$1&amp;$C$1)</f>
        <v>0</v>
      </c>
      <c r="AY15" s="2">
        <f>COUNTIF(defects!$Z:$Z,Weekly_TVPlantPmod!AY$3&amp;Weekly_TVPlantPmod!$B15&amp;Weekly_TVPlantPmod!$B$3&amp;$B$2&amp;$B$1&amp;$C$1)</f>
        <v>0</v>
      </c>
      <c r="AZ15" s="2">
        <f>COUNTIF(defects!$Z:$Z,Weekly_TVPlantPmod!AZ$3&amp;Weekly_TVPlantPmod!$B15&amp;Weekly_TVPlantPmod!$B$3&amp;$B$2&amp;$B$1&amp;$C$1)</f>
        <v>0</v>
      </c>
      <c r="BA15" s="2">
        <f>COUNTIF(defects!$Z:$Z,Weekly_TVPlantPmod!BA$3&amp;Weekly_TVPlantPmod!$B15&amp;Weekly_TVPlantPmod!$B$3&amp;$B$2&amp;$B$1&amp;$C$1)</f>
        <v>0</v>
      </c>
      <c r="BB15" s="2">
        <f>COUNTIF(defects!$Z:$Z,Weekly_TVPlantPmod!BB$3&amp;Weekly_TVPlantPmod!$B15&amp;Weekly_TVPlantPmod!$B$3&amp;$B$2&amp;$B$1&amp;$C$1)</f>
        <v>0</v>
      </c>
      <c r="BC15" s="2">
        <f>COUNTIF(defects!$Z:$Z,Weekly_TVPlantPmod!BC$3&amp;Weekly_TVPlantPmod!$B15&amp;Weekly_TVPlantPmod!$B$3&amp;$B$2&amp;$B$1&amp;$C$1)</f>
        <v>0</v>
      </c>
      <c r="BD15" s="2">
        <f>COUNTIF(defects!$Z:$Z,Weekly_TVPlantPmod!BD$3&amp;Weekly_TVPlantPmod!$B15&amp;Weekly_TVPlantPmod!$B$3&amp;$B$2&amp;$B$1&amp;$C$1)</f>
        <v>0</v>
      </c>
      <c r="BE15" s="2">
        <f>COUNTIF(defects!$Z:$Z,Weekly_TVPlantPmod!BE$3&amp;Weekly_TVPlantPmod!$B15&amp;Weekly_TVPlantPmod!$B$3&amp;$B$2&amp;$B$1&amp;$C$1)</f>
        <v>0</v>
      </c>
      <c r="BF15" s="2">
        <f>COUNTIF(defects!$Z:$Z,Weekly_TVPlantPmod!BF$3&amp;Weekly_TVPlantPmod!$B15&amp;Weekly_TVPlantPmod!$B$3&amp;$B$2&amp;$B$1&amp;$C$1)</f>
        <v>0</v>
      </c>
      <c r="BG15" s="2">
        <f>COUNTIF(defects!$Z:$Z,Weekly_TVPlantPmod!BG$3&amp;Weekly_TVPlantPmod!$B15&amp;Weekly_TVPlantPmod!$B$3&amp;$B$2&amp;$B$1&amp;$C$1)</f>
        <v>0</v>
      </c>
      <c r="BH15" s="2">
        <f>COUNTIF(defects!$Z:$Z,Weekly_TVPlantPmod!BH$3&amp;Weekly_TVPlantPmod!$B15&amp;Weekly_TVPlantPmod!$B$3&amp;$B$2&amp;$B$1&amp;$C$1)</f>
        <v>0</v>
      </c>
      <c r="BI15" s="2">
        <f>COUNTIF(defects!$Z:$Z,Weekly_TVPlantPmod!BI$3&amp;Weekly_TVPlantPmod!$B15&amp;Weekly_TVPlantPmod!$B$3&amp;$B$2&amp;$B$1&amp;$C$1)</f>
        <v>0</v>
      </c>
      <c r="BJ15" s="2">
        <f>COUNTIF(defects!$Z:$Z,Weekly_TVPlantPmod!BJ$3&amp;Weekly_TVPlantPmod!$B15&amp;Weekly_TVPlantPmod!$B$3&amp;$B$2&amp;$B$1&amp;$C$1)</f>
        <v>0</v>
      </c>
      <c r="BK15" s="2">
        <f>COUNTIF(defects!$Z:$Z,Weekly_TVPlantPmod!BK$3&amp;Weekly_TVPlantPmod!$B15&amp;Weekly_TVPlantPmod!$B$3&amp;$B$2&amp;$B$1&amp;$C$1)</f>
        <v>0</v>
      </c>
      <c r="BL15" s="2">
        <f>COUNTIF(defects!$Z:$Z,Weekly_TVPlantPmod!BL$3&amp;Weekly_TVPlantPmod!$B15&amp;Weekly_TVPlantPmod!$B$3&amp;$B$2&amp;$B$1&amp;$C$1)</f>
        <v>0</v>
      </c>
      <c r="BM15" s="2">
        <f>COUNTIF(defects!$Z:$Z,Weekly_TVPlantPmod!BM$3&amp;Weekly_TVPlantPmod!$B15&amp;Weekly_TVPlantPmod!$B$3&amp;$B$2&amp;$B$1&amp;$C$1)</f>
        <v>0</v>
      </c>
      <c r="BN15" s="2">
        <f>COUNTIF(defects!$Z:$Z,Weekly_TVPlantPmod!BN$3&amp;Weekly_TVPlantPmod!$B15&amp;Weekly_TVPlantPmod!$B$3&amp;$B$2&amp;$B$1&amp;$C$1)</f>
        <v>0</v>
      </c>
      <c r="BO15" s="2">
        <f>COUNTIF(defects!$Z:$Z,Weekly_TVPlantPmod!BO$3&amp;Weekly_TVPlantPmod!$B15&amp;Weekly_TVPlantPmod!$B$3&amp;$B$2&amp;$B$1&amp;$C$1)</f>
        <v>0</v>
      </c>
      <c r="BP15" s="2">
        <f>COUNTIF(defects!$Z:$Z,Weekly_TVPlantPmod!BP$3&amp;Weekly_TVPlantPmod!$B15&amp;Weekly_TVPlantPmod!$B$3&amp;$B$2&amp;$B$1&amp;$C$1)</f>
        <v>0</v>
      </c>
      <c r="BQ15" s="2">
        <f>COUNTIF(defects!$Z:$Z,Weekly_TVPlantPmod!BQ$3&amp;Weekly_TVPlantPmod!$B15&amp;Weekly_TVPlantPmod!$B$3&amp;$B$2&amp;$B$1&amp;$C$1)</f>
        <v>0</v>
      </c>
      <c r="BR15" s="2">
        <f>COUNTIF(defects!$Z:$Z,Weekly_TVPlantPmod!BR$3&amp;Weekly_TVPlantPmod!$B15&amp;Weekly_TVPlantPmod!$B$3&amp;$B$2&amp;$B$1&amp;$C$1)</f>
        <v>1</v>
      </c>
      <c r="BS15" s="2">
        <f>COUNTIF(defects!$Z:$Z,Weekly_TVPlantPmod!BS$3&amp;Weekly_TVPlantPmod!$B15&amp;Weekly_TVPlantPmod!$B$3&amp;$B$2&amp;$B$1&amp;$C$1)</f>
        <v>0</v>
      </c>
      <c r="BT15" s="2">
        <f>COUNTIF(defects!$Z:$Z,Weekly_TVPlantPmod!BT$3&amp;Weekly_TVPlantPmod!$B15&amp;Weekly_TVPlantPmod!$B$3&amp;$B$2&amp;$B$1&amp;$C$1)</f>
        <v>0</v>
      </c>
      <c r="BU15" s="2">
        <f>COUNTIF(defects!$Z:$Z,Weekly_TVPlantPmod!BU$3&amp;Weekly_TVPlantPmod!$B15&amp;Weekly_TVPlantPmod!$B$3&amp;$B$2&amp;$B$1&amp;$C$1)</f>
        <v>0</v>
      </c>
      <c r="BV15" s="2">
        <f>COUNTIF(defects!$Z:$Z,Weekly_TVPlantPmod!BV$3&amp;Weekly_TVPlantPmod!$B15&amp;Weekly_TVPlantPmod!$B$3&amp;$B$2&amp;$B$1&amp;$C$1)</f>
        <v>0</v>
      </c>
      <c r="BW15" s="2">
        <f>COUNTIF(defects!$Z:$Z,Weekly_TVPlantPmod!BW$3&amp;Weekly_TVPlantPmod!$B15&amp;Weekly_TVPlantPmod!$B$3&amp;$B$2&amp;$B$1&amp;$C$1)</f>
        <v>0</v>
      </c>
      <c r="BX15" s="2">
        <f>COUNTIF(defects!$Z:$Z,Weekly_TVPlantPmod!BX$3&amp;Weekly_TVPlantPmod!$B15&amp;Weekly_TVPlantPmod!$B$3&amp;$B$2&amp;$B$1&amp;$C$1)</f>
        <v>0</v>
      </c>
      <c r="BY15" s="2">
        <f>COUNTIF(defects!$Z:$Z,Weekly_TVPlantPmod!BY$3&amp;Weekly_TVPlantPmod!$B15&amp;Weekly_TVPlantPmod!$B$3&amp;$B$2&amp;$B$1&amp;$C$1)</f>
        <v>0</v>
      </c>
      <c r="BZ15" s="2">
        <f>COUNTIF(defects!$Z:$Z,Weekly_TVPlantPmod!BZ$3&amp;Weekly_TVPlantPmod!$B15&amp;Weekly_TVPlantPmod!$B$3&amp;$B$2&amp;$B$1&amp;$C$1)</f>
        <v>0</v>
      </c>
      <c r="CA15" s="2">
        <f>COUNTIF(defects!$Z:$Z,Weekly_TVPlantPmod!CA$3&amp;Weekly_TVPlantPmod!$B15&amp;Weekly_TVPlantPmod!$B$3&amp;$B$2&amp;$B$1&amp;$C$1)</f>
        <v>0</v>
      </c>
      <c r="CB15" s="2">
        <f>COUNTIF(defects!$Z:$Z,Weekly_TVPlantPmod!CB$3&amp;Weekly_TVPlantPmod!$B15&amp;Weekly_TVPlantPmod!$B$3&amp;$B$2&amp;$B$1&amp;$C$1)</f>
        <v>0</v>
      </c>
      <c r="CC15" s="2">
        <f>COUNTIF(defects!$Z:$Z,Weekly_TVPlantPmod!CC$3&amp;Weekly_TVPlantPmod!$B15&amp;Weekly_TVPlantPmod!$B$3&amp;$B$2&amp;$B$1&amp;$C$1)</f>
        <v>0</v>
      </c>
      <c r="CD15" s="2">
        <f>COUNTIF(defects!$Z:$Z,Weekly_TVPlantPmod!CD$3&amp;Weekly_TVPlantPmod!$B15&amp;Weekly_TVPlantPmod!$B$3&amp;$B$2&amp;$B$1&amp;$C$1)</f>
        <v>0</v>
      </c>
      <c r="CE15" s="2">
        <f>COUNTIF(defects!$Z:$Z,Weekly_TVPlantPmod!CE$3&amp;Weekly_TVPlantPmod!$B15&amp;Weekly_TVPlantPmod!$B$3&amp;$B$2&amp;$B$1&amp;$C$1)</f>
        <v>0</v>
      </c>
      <c r="CF15" s="2">
        <f>COUNTIF(defects!$Z:$Z,Weekly_TVPlantPmod!CF$3&amp;Weekly_TVPlantPmod!$B15&amp;Weekly_TVPlantPmod!$B$3&amp;$B$2&amp;$B$1&amp;$C$1)</f>
        <v>0</v>
      </c>
      <c r="CG15" s="2">
        <f>COUNTIF(defects!$Z:$Z,Weekly_TVPlantPmod!CG$3&amp;Weekly_TVPlantPmod!$B15&amp;Weekly_TVPlantPmod!$B$3&amp;$B$2&amp;$B$1&amp;$C$1)</f>
        <v>0</v>
      </c>
      <c r="CH15" s="2">
        <f>COUNTIF(defects!$Z:$Z,Weekly_TVPlantPmod!CH$3&amp;Weekly_TVPlantPmod!$B15&amp;Weekly_TVPlantPmod!$B$3&amp;$B$2&amp;$B$1&amp;$C$1)</f>
        <v>0</v>
      </c>
      <c r="CI15" s="2">
        <f>COUNTIF(defects!$Z:$Z,Weekly_TVPlantPmod!CI$3&amp;Weekly_TVPlantPmod!$B15&amp;Weekly_TVPlantPmod!$B$3&amp;$B$2&amp;$B$1&amp;$C$1)</f>
        <v>1</v>
      </c>
      <c r="CJ15" s="2">
        <f>COUNTIF(defects!$Z:$Z,Weekly_TVPlantPmod!CJ$3&amp;Weekly_TVPlantPmod!$B15&amp;Weekly_TVPlantPmod!$B$3&amp;$B$2&amp;$B$1&amp;$C$1)</f>
        <v>0</v>
      </c>
      <c r="CK15" s="2">
        <f>COUNTIF(defects!$Z:$Z,Weekly_TVPlantPmod!CK$3&amp;Weekly_TVPlantPmod!$B15&amp;Weekly_TVPlantPmod!$B$3&amp;$B$2&amp;$B$1&amp;$C$1)</f>
        <v>1</v>
      </c>
      <c r="CL15" s="2">
        <f>COUNTIF(defects!$Z:$Z,Weekly_TVPlantPmod!CL$3&amp;Weekly_TVPlantPmod!$B15&amp;Weekly_TVPlantPmod!$B$3&amp;$B$2&amp;$B$1&amp;$C$1)</f>
        <v>0</v>
      </c>
      <c r="CM15" s="2">
        <f>COUNTIF(defects!$Z:$Z,Weekly_TVPlantPmod!CM$3&amp;Weekly_TVPlantPmod!$B15&amp;Weekly_TVPlantPmod!$B$3&amp;$B$2&amp;$B$1&amp;$C$1)</f>
        <v>0</v>
      </c>
      <c r="CN15" s="2">
        <f>COUNTIF(defects!$Z:$Z,Weekly_TVPlantPmod!CN$3&amp;Weekly_TVPlantPmod!$B15&amp;Weekly_TVPlantPmod!$B$3&amp;$B$2&amp;$B$1&amp;$C$1)</f>
        <v>0</v>
      </c>
      <c r="CO15" s="2">
        <f>COUNTIF(defects!$Z:$Z,Weekly_TVPlantPmod!CO$3&amp;Weekly_TVPlantPmod!$B15&amp;Weekly_TVPlantPmod!$B$3&amp;$B$2&amp;$B$1&amp;$C$1)</f>
        <v>0</v>
      </c>
      <c r="CP15" s="2">
        <f>COUNTIF(defects!$Z:$Z,Weekly_TVPlantPmod!CP$3&amp;Weekly_TVPlantPmod!$B15&amp;Weekly_TVPlantPmod!$B$3&amp;$B$2&amp;$B$1&amp;$C$1)</f>
        <v>0</v>
      </c>
      <c r="CQ15" s="2">
        <f>COUNTIF(defects!$Z:$Z,Weekly_TVPlantPmod!CQ$3&amp;Weekly_TVPlantPmod!$B15&amp;Weekly_TVPlantPmod!$B$3&amp;$B$2&amp;$B$1&amp;$C$1)</f>
        <v>0</v>
      </c>
      <c r="CR15" s="2">
        <f>COUNTIF(defects!$Z:$Z,Weekly_TVPlantPmod!CR$3&amp;Weekly_TVPlantPmod!$B15&amp;Weekly_TVPlantPmod!$B$3&amp;$B$2&amp;$B$1&amp;$C$1)</f>
        <v>0</v>
      </c>
      <c r="CS15" s="2">
        <f>COUNTIF(defects!$Z:$Z,Weekly_TVPlantPmod!CS$3&amp;Weekly_TVPlantPmod!$B15&amp;Weekly_TVPlantPmod!$B$3&amp;$B$2&amp;$B$1&amp;$C$1)</f>
        <v>0</v>
      </c>
      <c r="CT15" s="2">
        <f>COUNTIF(defects!$Z:$Z,Weekly_TVPlantPmod!CT$3&amp;Weekly_TVPlantPmod!$B15&amp;Weekly_TVPlantPmod!$B$3&amp;$B$2&amp;$B$1&amp;$C$1)</f>
        <v>3</v>
      </c>
      <c r="CU15" s="2">
        <f>COUNTIF(defects!$Z:$Z,Weekly_TVPlantPmod!CU$3&amp;Weekly_TVPlantPmod!$B15&amp;Weekly_TVPlantPmod!$B$3&amp;$B$2&amp;$B$1&amp;$C$1)</f>
        <v>0</v>
      </c>
      <c r="CV15" s="2">
        <f>COUNTIF(defects!$Z:$Z,Weekly_TVPlantPmod!CV$3&amp;Weekly_TVPlantPmod!$B15&amp;Weekly_TVPlantPmod!$B$3&amp;$B$2&amp;$B$1&amp;$C$1)</f>
        <v>2</v>
      </c>
      <c r="CW15" s="2">
        <f>COUNTIF(defects!$Z:$Z,Weekly_TVPlantPmod!CW$3&amp;Weekly_TVPlantPmod!$B15&amp;Weekly_TVPlantPmod!$B$3&amp;$B$2&amp;$B$1&amp;$C$1)</f>
        <v>0</v>
      </c>
      <c r="CX15" s="2">
        <f>COUNTIF(defects!$Z:$Z,Weekly_TVPlantPmod!CX$3&amp;Weekly_TVPlantPmod!$B15&amp;Weekly_TVPlantPmod!$B$3&amp;$B$2&amp;$B$1&amp;$C$1)</f>
        <v>0</v>
      </c>
      <c r="CY15" s="2">
        <f>COUNTIF(defects!$Z:$Z,Weekly_TVPlantPmod!CY$3&amp;Weekly_TVPlantPmod!$B15&amp;Weekly_TVPlantPmod!$B$3&amp;$B$2&amp;$B$1&amp;$C$1)</f>
        <v>1</v>
      </c>
      <c r="CZ15" s="2">
        <f>COUNTIF(defects!$Z:$Z,Weekly_TVPlantPmod!CZ$3&amp;Weekly_TVPlantPmod!$B15&amp;Weekly_TVPlantPmod!$B$3&amp;$B$2&amp;$B$1&amp;$C$1)</f>
        <v>0</v>
      </c>
      <c r="DA15" s="2">
        <f>COUNTIF(defects!$Z:$Z,Weekly_TVPlantPmod!DA$3&amp;Weekly_TVPlantPmod!$B15&amp;Weekly_TVPlantPmod!$B$3&amp;$B$2&amp;$B$1&amp;$C$1)</f>
        <v>0</v>
      </c>
      <c r="DB15" s="2">
        <f>COUNTIF(defects!$Z:$Z,Weekly_TVPlantPmod!DB$3&amp;Weekly_TVPlantPmod!$B15&amp;Weekly_TVPlantPmod!$B$3&amp;$B$2&amp;$B$1&amp;$C$1)</f>
        <v>0</v>
      </c>
      <c r="DC15" s="2">
        <f>COUNTIF(defects!$Z:$Z,Weekly_TVPlantPmod!DC$3&amp;Weekly_TVPlantPmod!$B15&amp;Weekly_TVPlantPmod!$B$3&amp;$B$2&amp;$B$1&amp;$C$1)</f>
        <v>1</v>
      </c>
      <c r="DD15" s="2">
        <f>COUNTIF(defects!$Z:$Z,Weekly_TVPlantPmod!DD$3&amp;Weekly_TVPlantPmod!$B15&amp;Weekly_TVPlantPmod!$B$3&amp;$B$2&amp;$B$1&amp;$C$1)</f>
        <v>0</v>
      </c>
      <c r="DE15" s="2">
        <f>COUNTIF(defects!$Z:$Z,Weekly_TVPlantPmod!DE$3&amp;Weekly_TVPlantPmod!$B15&amp;Weekly_TVPlantPmod!$B$3&amp;$B$2&amp;$B$1&amp;$C$1)</f>
        <v>0</v>
      </c>
      <c r="DF15" s="2">
        <f>COUNTIF(defects!$Z:$Z,Weekly_TVPlantPmod!DF$3&amp;Weekly_TVPlantPmod!$B15&amp;Weekly_TVPlantPmod!$B$3&amp;$B$2&amp;$B$1&amp;$C$1)</f>
        <v>0</v>
      </c>
      <c r="DG15" s="2">
        <f>COUNTIF(defects!$Z:$Z,Weekly_TVPlantPmod!DG$3&amp;Weekly_TVPlantPmod!$B15&amp;Weekly_TVPlantPmod!$B$3&amp;$B$2&amp;$B$1&amp;$C$1)</f>
        <v>0</v>
      </c>
      <c r="DH15" s="2">
        <f>COUNTIF(defects!$Z:$Z,Weekly_TVPlantPmod!DH$3&amp;Weekly_TVPlantPmod!$B15&amp;Weekly_TVPlantPmod!$B$3&amp;$B$2&amp;$B$1&amp;$C$1)</f>
        <v>0</v>
      </c>
      <c r="DI15" s="2">
        <f>COUNTIF(defects!$Z:$Z,Weekly_TVPlantPmod!DI$3&amp;Weekly_TVPlantPmod!$B15&amp;Weekly_TVPlantPmod!$B$3&amp;$B$2&amp;$B$1&amp;$C$1)</f>
        <v>0</v>
      </c>
      <c r="DJ15" s="2">
        <f>COUNTIF(defects!$Z:$Z,Weekly_TVPlantPmod!DJ$3&amp;Weekly_TVPlantPmod!$B15&amp;Weekly_TVPlantPmod!$B$3&amp;$B$2&amp;$B$1&amp;$C$1)</f>
        <v>0</v>
      </c>
      <c r="DK15" s="2">
        <f>COUNTIF(defects!$Z:$Z,Weekly_TVPlantPmod!DK$3&amp;Weekly_TVPlantPmod!$B15&amp;Weekly_TVPlantPmod!$B$3&amp;$B$2&amp;$B$1&amp;$C$1)</f>
        <v>0</v>
      </c>
      <c r="DL15" s="2">
        <f>COUNTIF(defects!$Z:$Z,Weekly_TVPlantPmod!DL$3&amp;Weekly_TVPlantPmod!$B15&amp;Weekly_TVPlantPmod!$B$3&amp;$B$2&amp;$B$1&amp;$C$1)</f>
        <v>0</v>
      </c>
      <c r="DM15" s="2">
        <f>COUNTIF(defects!$Z:$Z,Weekly_TVPlantPmod!DM$3&amp;Weekly_TVPlantPmod!$B15&amp;Weekly_TVPlantPmod!$B$3&amp;$B$2&amp;$B$1&amp;$C$1)</f>
        <v>0</v>
      </c>
      <c r="DN15" s="2">
        <f>COUNTIF(defects!$Z:$Z,Weekly_TVPlantPmod!DN$3&amp;Weekly_TVPlantPmod!$B15&amp;Weekly_TVPlantPmod!$B$3&amp;$B$2&amp;$B$1&amp;$C$1)</f>
        <v>0</v>
      </c>
      <c r="DO15" s="2">
        <f>COUNTIF(defects!$Z:$Z,Weekly_TVPlantPmod!DO$3&amp;Weekly_TVPlantPmod!$B15&amp;Weekly_TVPlantPmod!$B$3&amp;$B$2&amp;$B$1&amp;$C$1)</f>
        <v>0</v>
      </c>
      <c r="DP15" s="2">
        <f>COUNTIF(defects!$Z:$Z,Weekly_TVPlantPmod!DP$3&amp;Weekly_TVPlantPmod!$B15&amp;Weekly_TVPlantPmod!$B$3&amp;$B$2&amp;$B$1&amp;$C$1)</f>
        <v>0</v>
      </c>
      <c r="DQ15" s="2">
        <f>COUNTIF(defects!$Z:$Z,Weekly_TVPlantPmod!DQ$3&amp;Weekly_TVPlantPmod!$B15&amp;Weekly_TVPlantPmod!$B$3&amp;$B$2&amp;$B$1&amp;$C$1)</f>
        <v>0</v>
      </c>
      <c r="DR15" s="2">
        <f>COUNTIF(defects!$Z:$Z,Weekly_TVPlantPmod!DR$3&amp;Weekly_TVPlantPmod!$B15&amp;Weekly_TVPlantPmod!$B$3&amp;$B$2&amp;$B$1&amp;$C$1)</f>
        <v>0</v>
      </c>
      <c r="DS15" s="2">
        <f>COUNTIF(defects!$Z:$Z,Weekly_TVPlantPmod!DS$3&amp;Weekly_TVPlantPmod!$B15&amp;Weekly_TVPlantPmod!$B$3&amp;$B$2&amp;$B$1&amp;$C$1)</f>
        <v>0</v>
      </c>
      <c r="DT15" s="2">
        <f>COUNTIF(defects!$Z:$Z,Weekly_TVPlantPmod!DT$3&amp;Weekly_TVPlantPmod!$B15&amp;Weekly_TVPlantPmod!$B$3&amp;$B$2&amp;$B$1&amp;$C$1)</f>
        <v>0</v>
      </c>
      <c r="DU15" s="2">
        <f>COUNTIF(defects!$Z:$Z,Weekly_TVPlantPmod!DU$3&amp;Weekly_TVPlantPmod!$B15&amp;Weekly_TVPlantPmod!$B$3&amp;$B$2&amp;$B$1&amp;$C$1)</f>
        <v>0</v>
      </c>
      <c r="DV15" s="2">
        <f>COUNTIF(defects!$Z:$Z,Weekly_TVPlantPmod!DV$3&amp;Weekly_TVPlantPmod!$B15&amp;Weekly_TVPlantPmod!$B$3&amp;$B$2&amp;$B$1&amp;$C$1)</f>
        <v>0</v>
      </c>
      <c r="DW15" s="2">
        <f>COUNTIF(defects!$Z:$Z,Weekly_TVPlantPmod!DW$3&amp;Weekly_TVPlantPmod!$B15&amp;Weekly_TVPlantPmod!$B$3&amp;$B$2&amp;$B$1&amp;$C$1)</f>
        <v>0</v>
      </c>
      <c r="DX15" s="2">
        <f>COUNTIF(defects!$Z:$Z,Weekly_TVPlantPmod!DX$3&amp;Weekly_TVPlantPmod!$B15&amp;Weekly_TVPlantPmod!$B$3&amp;$B$2&amp;$B$1&amp;$C$1)</f>
        <v>0</v>
      </c>
      <c r="DY15" s="2">
        <f>COUNTIF(defects!$Z:$Z,Weekly_TVPlantPmod!DY$3&amp;Weekly_TVPlantPmod!$B15&amp;Weekly_TVPlantPmod!$B$3&amp;$B$2&amp;$B$1&amp;$C$1)</f>
        <v>0</v>
      </c>
      <c r="DZ15" s="2">
        <f>COUNTIF(defects!$Z:$Z,Weekly_TVPlantPmod!DZ$3&amp;Weekly_TVPlantPmod!$B15&amp;Weekly_TVPlantPmod!$B$3&amp;$B$2&amp;$B$1&amp;$C$1)</f>
        <v>0</v>
      </c>
      <c r="EA15" s="2">
        <f>COUNTIF(defects!$Z:$Z,Weekly_TVPlantPmod!EA$3&amp;Weekly_TVPlantPmod!$B15&amp;Weekly_TVPlantPmod!$B$3&amp;$B$2&amp;$B$1&amp;$C$1)</f>
        <v>0</v>
      </c>
      <c r="EB15" s="2">
        <f>COUNTIF(defects!$Z:$Z,Weekly_TVPlantPmod!EB$3&amp;Weekly_TVPlantPmod!$B15&amp;Weekly_TVPlantPmod!$B$3&amp;$B$2&amp;$B$1&amp;$C$1)</f>
        <v>0</v>
      </c>
      <c r="EC15" s="2">
        <f>COUNTIF(defects!$Z:$Z,Weekly_TVPlantPmod!EC$3&amp;Weekly_TVPlantPmod!$B15&amp;Weekly_TVPlantPmod!$B$3&amp;$B$2&amp;$B$1&amp;$C$1)</f>
        <v>0</v>
      </c>
      <c r="ED15" s="2">
        <f>COUNTIF(defects!$Z:$Z,Weekly_TVPlantPmod!ED$3&amp;Weekly_TVPlantPmod!$B15&amp;Weekly_TVPlantPmod!$B$3&amp;$B$2&amp;$B$1&amp;$C$1)</f>
        <v>0</v>
      </c>
      <c r="EE15" s="2">
        <f>COUNTIF(defects!$Z:$Z,Weekly_TVPlantPmod!EE$3&amp;Weekly_TVPlantPmod!$B15&amp;Weekly_TVPlantPmod!$B$3&amp;$B$2&amp;$B$1&amp;$C$1)</f>
        <v>0</v>
      </c>
      <c r="EF15" s="2">
        <f>COUNTIF(defects!$Z:$Z,Weekly_TVPlantPmod!EF$3&amp;Weekly_TVPlantPmod!$B15&amp;Weekly_TVPlantPmod!$B$3&amp;$B$2&amp;$B$1&amp;$C$1)</f>
        <v>0</v>
      </c>
      <c r="EG15" s="2">
        <f>COUNTIF(defects!$Z:$Z,Weekly_TVPlantPmod!EG$3&amp;Weekly_TVPlantPmod!$B15&amp;Weekly_TVPlantPmod!$B$3&amp;$B$2&amp;$B$1&amp;$C$1)</f>
        <v>0</v>
      </c>
      <c r="EH15" s="2">
        <f>COUNTIF(defects!$Z:$Z,Weekly_TVPlantPmod!EH$3&amp;Weekly_TVPlantPmod!$B15&amp;Weekly_TVPlantPmod!$B$3&amp;$B$2&amp;$B$1&amp;$C$1)</f>
        <v>0</v>
      </c>
      <c r="EI15" s="2">
        <f>COUNTIF(defects!$Z:$Z,Weekly_TVPlantPmod!EI$3&amp;Weekly_TVPlantPmod!$B15&amp;Weekly_TVPlantPmod!$B$3&amp;$B$2&amp;$B$1&amp;$C$1)</f>
        <v>0</v>
      </c>
      <c r="EJ15" s="2">
        <f>COUNTIF(defects!$Z:$Z,Weekly_TVPlantPmod!EJ$3&amp;Weekly_TVPlantPmod!$B15&amp;Weekly_TVPlantPmod!$B$3&amp;$B$2&amp;$B$1&amp;$C$1)</f>
        <v>0</v>
      </c>
      <c r="EK15" s="2">
        <f>COUNTIF(defects!$Z:$Z,Weekly_TVPlantPmod!EK$3&amp;Weekly_TVPlantPmod!$B15&amp;Weekly_TVPlantPmod!$B$3&amp;$B$2&amp;$B$1&amp;$C$1)</f>
        <v>0</v>
      </c>
      <c r="EL15" s="2">
        <f>COUNTIF(defects!$Z:$Z,Weekly_TVPlantPmod!EL$3&amp;Weekly_TVPlantPmod!$B15&amp;Weekly_TVPlantPmod!$B$3&amp;$B$2&amp;$B$1&amp;$C$1)</f>
        <v>0</v>
      </c>
      <c r="EM15" s="2">
        <f>COUNTIF(defects!$Z:$Z,Weekly_TVPlantPmod!EM$3&amp;Weekly_TVPlantPmod!$B15&amp;Weekly_TVPlantPmod!$B$3&amp;$B$2&amp;$B$1&amp;$C$1)</f>
        <v>0</v>
      </c>
      <c r="EN15" s="2">
        <f>COUNTIF(defects!$Z:$Z,Weekly_TVPlantPmod!EN$3&amp;Weekly_TVPlantPmod!$B15&amp;Weekly_TVPlantPmod!$B$3&amp;$B$2&amp;$B$1&amp;$C$1)</f>
        <v>0</v>
      </c>
      <c r="EO15" s="2">
        <f>COUNTIF(defects!$Z:$Z,Weekly_TVPlantPmod!EO$3&amp;Weekly_TVPlantPmod!$B15&amp;Weekly_TVPlantPmod!$B$3&amp;$B$2&amp;$B$1&amp;$C$1)</f>
        <v>0</v>
      </c>
      <c r="EP15" s="2">
        <f>COUNTIF(defects!$Z:$Z,Weekly_TVPlantPmod!EP$3&amp;Weekly_TVPlantPmod!$B15&amp;Weekly_TVPlantPmod!$B$3&amp;$B$2&amp;$B$1&amp;$C$1)</f>
        <v>0</v>
      </c>
      <c r="EQ15" s="2">
        <f>COUNTIF(defects!$Z:$Z,Weekly_TVPlantPmod!EQ$3&amp;Weekly_TVPlantPmod!$B15&amp;Weekly_TVPlantPmod!$B$3&amp;$B$2&amp;$B$1&amp;$C$1)</f>
        <v>0</v>
      </c>
      <c r="ER15" s="2">
        <f>COUNTIF(defects!$Z:$Z,Weekly_TVPlantPmod!ER$3&amp;Weekly_TVPlantPmod!$B15&amp;Weekly_TVPlantPmod!$B$3&amp;$B$2&amp;$B$1&amp;$C$1)</f>
        <v>0</v>
      </c>
      <c r="ES15" s="2">
        <f>COUNTIF(defects!$Z:$Z,Weekly_TVPlantPmod!ES$3&amp;Weekly_TVPlantPmod!$B15&amp;Weekly_TVPlantPmod!$B$3&amp;$B$2&amp;$B$1&amp;$C$1)</f>
        <v>0</v>
      </c>
      <c r="ET15" s="2">
        <f>COUNTIF(defects!$Z:$Z,Weekly_TVPlantPmod!ET$3&amp;Weekly_TVPlantPmod!$B15&amp;Weekly_TVPlantPmod!$B$3&amp;$B$2&amp;$B$1&amp;$C$1)</f>
        <v>0</v>
      </c>
      <c r="EU15" s="2">
        <f>COUNTIF(defects!$Z:$Z,Weekly_TVPlantPmod!EU$3&amp;Weekly_TVPlantPmod!$B15&amp;Weekly_TVPlantPmod!$B$3&amp;$B$2&amp;$B$1&amp;$C$1)</f>
        <v>0</v>
      </c>
      <c r="EV15" s="2">
        <f>COUNTIF(defects!$Z:$Z,Weekly_TVPlantPmod!EV$3&amp;Weekly_TVPlantPmod!$B15&amp;Weekly_TVPlantPmod!$B$3&amp;$B$2&amp;$B$1&amp;$C$1)</f>
        <v>0</v>
      </c>
      <c r="EW15" s="2">
        <f>COUNTIF(defects!$Z:$Z,Weekly_TVPlantPmod!EW$3&amp;Weekly_TVPlantPmod!$B15&amp;Weekly_TVPlantPmod!$B$3&amp;$B$2&amp;$B$1&amp;$C$1)</f>
        <v>0</v>
      </c>
      <c r="EX15" s="2">
        <f>COUNTIF(defects!$Z:$Z,Weekly_TVPlantPmod!EX$3&amp;Weekly_TVPlantPmod!$B15&amp;Weekly_TVPlantPmod!$B$3&amp;$B$2&amp;$B$1&amp;$C$1)</f>
        <v>0</v>
      </c>
      <c r="EY15" s="2">
        <f>COUNTIF(defects!$Z:$Z,Weekly_TVPlantPmod!EY$3&amp;Weekly_TVPlantPmod!$B15&amp;Weekly_TVPlantPmod!$B$3&amp;$B$2&amp;$B$1&amp;$C$1)</f>
        <v>0</v>
      </c>
      <c r="EZ15" s="2">
        <f>COUNTIF(defects!$Z:$Z,Weekly_TVPlantPmod!EZ$3&amp;Weekly_TVPlantPmod!$B15&amp;Weekly_TVPlantPmod!$B$3&amp;$B$2&amp;$B$1&amp;$C$1)</f>
        <v>0</v>
      </c>
      <c r="FA15" s="2">
        <f>COUNTIF(defects!$Z:$Z,Weekly_TVPlantPmod!FA$3&amp;Weekly_TVPlantPmod!$B15&amp;Weekly_TVPlantPmod!$B$3&amp;$B$2&amp;$B$1&amp;$C$1)</f>
        <v>0</v>
      </c>
      <c r="FB15" s="2">
        <f>COUNTIF(defects!$Z:$Z,Weekly_TVPlantPmod!FB$3&amp;Weekly_TVPlantPmod!$B15&amp;Weekly_TVPlantPmod!$B$3&amp;$B$2&amp;$B$1&amp;$C$1)</f>
        <v>0</v>
      </c>
      <c r="FC15" s="2">
        <f>COUNTIF(defects!$Z:$Z,Weekly_TVPlantPmod!FC$3&amp;Weekly_TVPlantPmod!$B15&amp;Weekly_TVPlantPmod!$B$3&amp;$B$2&amp;$B$1&amp;$C$1)</f>
        <v>0</v>
      </c>
      <c r="FD15" s="2">
        <f>COUNTIF(defects!$Z:$Z,Weekly_TVPlantPmod!FD$3&amp;Weekly_TVPlantPmod!$B15&amp;Weekly_TVPlantPmod!$B$3&amp;$B$2&amp;$B$1&amp;$C$1)</f>
        <v>0</v>
      </c>
      <c r="FE15" s="2">
        <f>COUNTIF(defects!$Z:$Z,Weekly_TVPlantPmod!FE$3&amp;Weekly_TVPlantPmod!$B15&amp;Weekly_TVPlantPmod!$B$3&amp;$B$2&amp;$B$1&amp;$C$1)</f>
        <v>0</v>
      </c>
    </row>
    <row r="16" spans="2:161">
      <c r="B16" s="2" t="s">
        <v>28</v>
      </c>
      <c r="C16" s="2">
        <f>COUNTIF(defects!$Z:$Z,Weekly_TVPlantPmod!C$3&amp;Weekly_TVPlantPmod!$B16&amp;Weekly_TVPlantPmod!$B$3&amp;$B$2&amp;$B$1&amp;$C$1)</f>
        <v>0</v>
      </c>
      <c r="D16" s="2">
        <f>COUNTIF(defects!$Z:$Z,Weekly_TVPlantPmod!D$3&amp;Weekly_TVPlantPmod!$B16&amp;Weekly_TVPlantPmod!$B$3&amp;$B$2&amp;$B$1&amp;$C$1)</f>
        <v>0</v>
      </c>
      <c r="E16" s="2">
        <f>COUNTIF(defects!$Z:$Z,Weekly_TVPlantPmod!E$3&amp;Weekly_TVPlantPmod!$B16&amp;Weekly_TVPlantPmod!$B$3&amp;$B$2&amp;$B$1&amp;$C$1)</f>
        <v>0</v>
      </c>
      <c r="F16" s="2">
        <f>COUNTIF(defects!$Z:$Z,Weekly_TVPlantPmod!F$3&amp;Weekly_TVPlantPmod!$B16&amp;Weekly_TVPlantPmod!$B$3&amp;$B$2&amp;$B$1&amp;$C$1)</f>
        <v>0</v>
      </c>
      <c r="G16" s="2">
        <f>COUNTIF(defects!$Z:$Z,Weekly_TVPlantPmod!G$3&amp;Weekly_TVPlantPmod!$B16&amp;Weekly_TVPlantPmod!$B$3&amp;$B$2&amp;$B$1&amp;$C$1)</f>
        <v>0</v>
      </c>
      <c r="H16" s="2">
        <f>COUNTIF(defects!$Z:$Z,Weekly_TVPlantPmod!H$3&amp;Weekly_TVPlantPmod!$B16&amp;Weekly_TVPlantPmod!$B$3&amp;$B$2&amp;$B$1&amp;$C$1)</f>
        <v>0</v>
      </c>
      <c r="I16" s="2">
        <f>COUNTIF(defects!$Z:$Z,Weekly_TVPlantPmod!I$3&amp;Weekly_TVPlantPmod!$B16&amp;Weekly_TVPlantPmod!$B$3&amp;$B$2&amp;$B$1&amp;$C$1)</f>
        <v>0</v>
      </c>
      <c r="J16" s="2">
        <f>COUNTIF(defects!$Z:$Z,Weekly_TVPlantPmod!J$3&amp;Weekly_TVPlantPmod!$B16&amp;Weekly_TVPlantPmod!$B$3&amp;$B$2&amp;$B$1&amp;$C$1)</f>
        <v>0</v>
      </c>
      <c r="K16" s="2">
        <f>COUNTIF(defects!$Z:$Z,Weekly_TVPlantPmod!K$3&amp;Weekly_TVPlantPmod!$B16&amp;Weekly_TVPlantPmod!$B$3&amp;$B$2&amp;$B$1&amp;$C$1)</f>
        <v>0</v>
      </c>
      <c r="L16" s="2">
        <f>COUNTIF(defects!$Z:$Z,Weekly_TVPlantPmod!L$3&amp;Weekly_TVPlantPmod!$B16&amp;Weekly_TVPlantPmod!$B$3&amp;$B$2&amp;$B$1&amp;$C$1)</f>
        <v>0</v>
      </c>
      <c r="M16" s="2">
        <f>COUNTIF(defects!$Z:$Z,Weekly_TVPlantPmod!M$3&amp;Weekly_TVPlantPmod!$B16&amp;Weekly_TVPlantPmod!$B$3&amp;$B$2&amp;$B$1&amp;$C$1)</f>
        <v>0</v>
      </c>
      <c r="N16" s="2">
        <f>COUNTIF(defects!$Z:$Z,Weekly_TVPlantPmod!N$3&amp;Weekly_TVPlantPmod!$B16&amp;Weekly_TVPlantPmod!$B$3&amp;$B$2&amp;$B$1&amp;$C$1)</f>
        <v>0</v>
      </c>
      <c r="O16" s="2">
        <f>COUNTIF(defects!$Z:$Z,Weekly_TVPlantPmod!O$3&amp;Weekly_TVPlantPmod!$B16&amp;Weekly_TVPlantPmod!$B$3&amp;$B$2&amp;$B$1&amp;$C$1)</f>
        <v>0</v>
      </c>
      <c r="P16" s="2">
        <f>COUNTIF(defects!$Z:$Z,Weekly_TVPlantPmod!P$3&amp;Weekly_TVPlantPmod!$B16&amp;Weekly_TVPlantPmod!$B$3&amp;$B$2&amp;$B$1&amp;$C$1)</f>
        <v>0</v>
      </c>
      <c r="Q16" s="2">
        <f>COUNTIF(defects!$Z:$Z,Weekly_TVPlantPmod!Q$3&amp;Weekly_TVPlantPmod!$B16&amp;Weekly_TVPlantPmod!$B$3&amp;$B$2&amp;$B$1&amp;$C$1)</f>
        <v>0</v>
      </c>
      <c r="R16" s="2">
        <f>COUNTIF(defects!$Z:$Z,Weekly_TVPlantPmod!R$3&amp;Weekly_TVPlantPmod!$B16&amp;Weekly_TVPlantPmod!$B$3&amp;$B$2&amp;$B$1&amp;$C$1)</f>
        <v>0</v>
      </c>
      <c r="S16" s="2">
        <f>COUNTIF(defects!$Z:$Z,Weekly_TVPlantPmod!S$3&amp;Weekly_TVPlantPmod!$B16&amp;Weekly_TVPlantPmod!$B$3&amp;$B$2&amp;$B$1&amp;$C$1)</f>
        <v>0</v>
      </c>
      <c r="T16" s="2">
        <f>COUNTIF(defects!$Z:$Z,Weekly_TVPlantPmod!T$3&amp;Weekly_TVPlantPmod!$B16&amp;Weekly_TVPlantPmod!$B$3&amp;$B$2&amp;$B$1&amp;$C$1)</f>
        <v>0</v>
      </c>
      <c r="U16" s="2">
        <f>COUNTIF(defects!$Z:$Z,Weekly_TVPlantPmod!U$3&amp;Weekly_TVPlantPmod!$B16&amp;Weekly_TVPlantPmod!$B$3&amp;$B$2&amp;$B$1&amp;$C$1)</f>
        <v>0</v>
      </c>
      <c r="V16" s="2">
        <f>COUNTIF(defects!$Z:$Z,Weekly_TVPlantPmod!V$3&amp;Weekly_TVPlantPmod!$B16&amp;Weekly_TVPlantPmod!$B$3&amp;$B$2&amp;$B$1&amp;$C$1)</f>
        <v>0</v>
      </c>
      <c r="W16" s="2">
        <f>COUNTIF(defects!$Z:$Z,Weekly_TVPlantPmod!W$3&amp;Weekly_TVPlantPmod!$B16&amp;Weekly_TVPlantPmod!$B$3&amp;$B$2&amp;$B$1&amp;$C$1)</f>
        <v>0</v>
      </c>
      <c r="X16" s="2">
        <f>COUNTIF(defects!$Z:$Z,Weekly_TVPlantPmod!X$3&amp;Weekly_TVPlantPmod!$B16&amp;Weekly_TVPlantPmod!$B$3&amp;$B$2&amp;$B$1&amp;$C$1)</f>
        <v>0</v>
      </c>
      <c r="Y16" s="2">
        <f>COUNTIF(defects!$Z:$Z,Weekly_TVPlantPmod!Y$3&amp;Weekly_TVPlantPmod!$B16&amp;Weekly_TVPlantPmod!$B$3&amp;$B$2&amp;$B$1&amp;$C$1)</f>
        <v>0</v>
      </c>
      <c r="Z16" s="2">
        <f>COUNTIF(defects!$Z:$Z,Weekly_TVPlantPmod!Z$3&amp;Weekly_TVPlantPmod!$B16&amp;Weekly_TVPlantPmod!$B$3&amp;$B$2&amp;$B$1&amp;$C$1)</f>
        <v>0</v>
      </c>
      <c r="AA16" s="2">
        <f>COUNTIF(defects!$Z:$Z,Weekly_TVPlantPmod!AA$3&amp;Weekly_TVPlantPmod!$B16&amp;Weekly_TVPlantPmod!$B$3&amp;$B$2&amp;$B$1&amp;$C$1)</f>
        <v>0</v>
      </c>
      <c r="AB16" s="2">
        <f>COUNTIF(defects!$Z:$Z,Weekly_TVPlantPmod!AB$3&amp;Weekly_TVPlantPmod!$B16&amp;Weekly_TVPlantPmod!$B$3&amp;$B$2&amp;$B$1&amp;$C$1)</f>
        <v>0</v>
      </c>
      <c r="AC16" s="2">
        <f>COUNTIF(defects!$Z:$Z,Weekly_TVPlantPmod!AC$3&amp;Weekly_TVPlantPmod!$B16&amp;Weekly_TVPlantPmod!$B$3&amp;$B$2&amp;$B$1&amp;$C$1)</f>
        <v>0</v>
      </c>
      <c r="AD16" s="2">
        <f>COUNTIF(defects!$Z:$Z,Weekly_TVPlantPmod!AD$3&amp;Weekly_TVPlantPmod!$B16&amp;Weekly_TVPlantPmod!$B$3&amp;$B$2&amp;$B$1&amp;$C$1)</f>
        <v>0</v>
      </c>
      <c r="AE16" s="2">
        <f>COUNTIF(defects!$Z:$Z,Weekly_TVPlantPmod!AE$3&amp;Weekly_TVPlantPmod!$B16&amp;Weekly_TVPlantPmod!$B$3&amp;$B$2&amp;$B$1&amp;$C$1)</f>
        <v>0</v>
      </c>
      <c r="AF16" s="2">
        <f>COUNTIF(defects!$Z:$Z,Weekly_TVPlantPmod!AF$3&amp;Weekly_TVPlantPmod!$B16&amp;Weekly_TVPlantPmod!$B$3&amp;$B$2&amp;$B$1&amp;$C$1)</f>
        <v>0</v>
      </c>
      <c r="AG16" s="2">
        <f>COUNTIF(defects!$Z:$Z,Weekly_TVPlantPmod!AG$3&amp;Weekly_TVPlantPmod!$B16&amp;Weekly_TVPlantPmod!$B$3&amp;$B$2&amp;$B$1&amp;$C$1)</f>
        <v>0</v>
      </c>
      <c r="AH16" s="2">
        <f>COUNTIF(defects!$Z:$Z,Weekly_TVPlantPmod!AH$3&amp;Weekly_TVPlantPmod!$B16&amp;Weekly_TVPlantPmod!$B$3&amp;$B$2&amp;$B$1&amp;$C$1)</f>
        <v>0</v>
      </c>
      <c r="AI16" s="2">
        <f>COUNTIF(defects!$Z:$Z,Weekly_TVPlantPmod!AI$3&amp;Weekly_TVPlantPmod!$B16&amp;Weekly_TVPlantPmod!$B$3&amp;$B$2&amp;$B$1&amp;$C$1)</f>
        <v>0</v>
      </c>
      <c r="AJ16" s="2">
        <f>COUNTIF(defects!$Z:$Z,Weekly_TVPlantPmod!AJ$3&amp;Weekly_TVPlantPmod!$B16&amp;Weekly_TVPlantPmod!$B$3&amp;$B$2&amp;$B$1&amp;$C$1)</f>
        <v>0</v>
      </c>
      <c r="AK16" s="2">
        <f>COUNTIF(defects!$Z:$Z,Weekly_TVPlantPmod!AK$3&amp;Weekly_TVPlantPmod!$B16&amp;Weekly_TVPlantPmod!$B$3&amp;$B$2&amp;$B$1&amp;$C$1)</f>
        <v>0</v>
      </c>
      <c r="AL16" s="2">
        <f>COUNTIF(defects!$Z:$Z,Weekly_TVPlantPmod!AL$3&amp;Weekly_TVPlantPmod!$B16&amp;Weekly_TVPlantPmod!$B$3&amp;$B$2&amp;$B$1&amp;$C$1)</f>
        <v>0</v>
      </c>
      <c r="AM16" s="2">
        <f>COUNTIF(defects!$Z:$Z,Weekly_TVPlantPmod!AM$3&amp;Weekly_TVPlantPmod!$B16&amp;Weekly_TVPlantPmod!$B$3&amp;$B$2&amp;$B$1&amp;$C$1)</f>
        <v>0</v>
      </c>
      <c r="AN16" s="2">
        <f>COUNTIF(defects!$Z:$Z,Weekly_TVPlantPmod!AN$3&amp;Weekly_TVPlantPmod!$B16&amp;Weekly_TVPlantPmod!$B$3&amp;$B$2&amp;$B$1&amp;$C$1)</f>
        <v>0</v>
      </c>
      <c r="AO16" s="2">
        <f>COUNTIF(defects!$Z:$Z,Weekly_TVPlantPmod!AO$3&amp;Weekly_TVPlantPmod!$B16&amp;Weekly_TVPlantPmod!$B$3&amp;$B$2&amp;$B$1&amp;$C$1)</f>
        <v>0</v>
      </c>
      <c r="AP16" s="2">
        <f>COUNTIF(defects!$Z:$Z,Weekly_TVPlantPmod!AP$3&amp;Weekly_TVPlantPmod!$B16&amp;Weekly_TVPlantPmod!$B$3&amp;$B$2&amp;$B$1&amp;$C$1)</f>
        <v>0</v>
      </c>
      <c r="AQ16" s="2">
        <f>COUNTIF(defects!$Z:$Z,Weekly_TVPlantPmod!AQ$3&amp;Weekly_TVPlantPmod!$B16&amp;Weekly_TVPlantPmod!$B$3&amp;$B$2&amp;$B$1&amp;$C$1)</f>
        <v>0</v>
      </c>
      <c r="AR16" s="2">
        <f>COUNTIF(defects!$Z:$Z,Weekly_TVPlantPmod!AR$3&amp;Weekly_TVPlantPmod!$B16&amp;Weekly_TVPlantPmod!$B$3&amp;$B$2&amp;$B$1&amp;$C$1)</f>
        <v>0</v>
      </c>
      <c r="AS16" s="2">
        <f>COUNTIF(defects!$Z:$Z,Weekly_TVPlantPmod!AS$3&amp;Weekly_TVPlantPmod!$B16&amp;Weekly_TVPlantPmod!$B$3&amp;$B$2&amp;$B$1&amp;$C$1)</f>
        <v>0</v>
      </c>
      <c r="AT16" s="2">
        <f>COUNTIF(defects!$Z:$Z,Weekly_TVPlantPmod!AT$3&amp;Weekly_TVPlantPmod!$B16&amp;Weekly_TVPlantPmod!$B$3&amp;$B$2&amp;$B$1&amp;$C$1)</f>
        <v>0</v>
      </c>
      <c r="AU16" s="2">
        <f>COUNTIF(defects!$Z:$Z,Weekly_TVPlantPmod!AU$3&amp;Weekly_TVPlantPmod!$B16&amp;Weekly_TVPlantPmod!$B$3&amp;$B$2&amp;$B$1&amp;$C$1)</f>
        <v>0</v>
      </c>
      <c r="AV16" s="2">
        <f>COUNTIF(defects!$Z:$Z,Weekly_TVPlantPmod!AV$3&amp;Weekly_TVPlantPmod!$B16&amp;Weekly_TVPlantPmod!$B$3&amp;$B$2&amp;$B$1&amp;$C$1)</f>
        <v>0</v>
      </c>
      <c r="AW16" s="2">
        <f>COUNTIF(defects!$Z:$Z,Weekly_TVPlantPmod!AW$3&amp;Weekly_TVPlantPmod!$B16&amp;Weekly_TVPlantPmod!$B$3&amp;$B$2&amp;$B$1&amp;$C$1)</f>
        <v>0</v>
      </c>
      <c r="AX16" s="2">
        <f>COUNTIF(defects!$Z:$Z,Weekly_TVPlantPmod!AX$3&amp;Weekly_TVPlantPmod!$B16&amp;Weekly_TVPlantPmod!$B$3&amp;$B$2&amp;$B$1&amp;$C$1)</f>
        <v>0</v>
      </c>
      <c r="AY16" s="2">
        <f>COUNTIF(defects!$Z:$Z,Weekly_TVPlantPmod!AY$3&amp;Weekly_TVPlantPmod!$B16&amp;Weekly_TVPlantPmod!$B$3&amp;$B$2&amp;$B$1&amp;$C$1)</f>
        <v>0</v>
      </c>
      <c r="AZ16" s="2">
        <f>COUNTIF(defects!$Z:$Z,Weekly_TVPlantPmod!AZ$3&amp;Weekly_TVPlantPmod!$B16&amp;Weekly_TVPlantPmod!$B$3&amp;$B$2&amp;$B$1&amp;$C$1)</f>
        <v>0</v>
      </c>
      <c r="BA16" s="2">
        <f>COUNTIF(defects!$Z:$Z,Weekly_TVPlantPmod!BA$3&amp;Weekly_TVPlantPmod!$B16&amp;Weekly_TVPlantPmod!$B$3&amp;$B$2&amp;$B$1&amp;$C$1)</f>
        <v>0</v>
      </c>
      <c r="BB16" s="2">
        <f>COUNTIF(defects!$Z:$Z,Weekly_TVPlantPmod!BB$3&amp;Weekly_TVPlantPmod!$B16&amp;Weekly_TVPlantPmod!$B$3&amp;$B$2&amp;$B$1&amp;$C$1)</f>
        <v>0</v>
      </c>
      <c r="BC16" s="2">
        <f>COUNTIF(defects!$Z:$Z,Weekly_TVPlantPmod!BC$3&amp;Weekly_TVPlantPmod!$B16&amp;Weekly_TVPlantPmod!$B$3&amp;$B$2&amp;$B$1&amp;$C$1)</f>
        <v>0</v>
      </c>
      <c r="BD16" s="2">
        <f>COUNTIF(defects!$Z:$Z,Weekly_TVPlantPmod!BD$3&amp;Weekly_TVPlantPmod!$B16&amp;Weekly_TVPlantPmod!$B$3&amp;$B$2&amp;$B$1&amp;$C$1)</f>
        <v>0</v>
      </c>
      <c r="BE16" s="2">
        <f>COUNTIF(defects!$Z:$Z,Weekly_TVPlantPmod!BE$3&amp;Weekly_TVPlantPmod!$B16&amp;Weekly_TVPlantPmod!$B$3&amp;$B$2&amp;$B$1&amp;$C$1)</f>
        <v>0</v>
      </c>
      <c r="BF16" s="2">
        <f>COUNTIF(defects!$Z:$Z,Weekly_TVPlantPmod!BF$3&amp;Weekly_TVPlantPmod!$B16&amp;Weekly_TVPlantPmod!$B$3&amp;$B$2&amp;$B$1&amp;$C$1)</f>
        <v>0</v>
      </c>
      <c r="BG16" s="2">
        <f>COUNTIF(defects!$Z:$Z,Weekly_TVPlantPmod!BG$3&amp;Weekly_TVPlantPmod!$B16&amp;Weekly_TVPlantPmod!$B$3&amp;$B$2&amp;$B$1&amp;$C$1)</f>
        <v>0</v>
      </c>
      <c r="BH16" s="2">
        <f>COUNTIF(defects!$Z:$Z,Weekly_TVPlantPmod!BH$3&amp;Weekly_TVPlantPmod!$B16&amp;Weekly_TVPlantPmod!$B$3&amp;$B$2&amp;$B$1&amp;$C$1)</f>
        <v>0</v>
      </c>
      <c r="BI16" s="2">
        <f>COUNTIF(defects!$Z:$Z,Weekly_TVPlantPmod!BI$3&amp;Weekly_TVPlantPmod!$B16&amp;Weekly_TVPlantPmod!$B$3&amp;$B$2&amp;$B$1&amp;$C$1)</f>
        <v>0</v>
      </c>
      <c r="BJ16" s="2">
        <f>COUNTIF(defects!$Z:$Z,Weekly_TVPlantPmod!BJ$3&amp;Weekly_TVPlantPmod!$B16&amp;Weekly_TVPlantPmod!$B$3&amp;$B$2&amp;$B$1&amp;$C$1)</f>
        <v>0</v>
      </c>
      <c r="BK16" s="2">
        <f>COUNTIF(defects!$Z:$Z,Weekly_TVPlantPmod!BK$3&amp;Weekly_TVPlantPmod!$B16&amp;Weekly_TVPlantPmod!$B$3&amp;$B$2&amp;$B$1&amp;$C$1)</f>
        <v>0</v>
      </c>
      <c r="BL16" s="2">
        <f>COUNTIF(defects!$Z:$Z,Weekly_TVPlantPmod!BL$3&amp;Weekly_TVPlantPmod!$B16&amp;Weekly_TVPlantPmod!$B$3&amp;$B$2&amp;$B$1&amp;$C$1)</f>
        <v>0</v>
      </c>
      <c r="BM16" s="2">
        <f>COUNTIF(defects!$Z:$Z,Weekly_TVPlantPmod!BM$3&amp;Weekly_TVPlantPmod!$B16&amp;Weekly_TVPlantPmod!$B$3&amp;$B$2&amp;$B$1&amp;$C$1)</f>
        <v>0</v>
      </c>
      <c r="BN16" s="2">
        <f>COUNTIF(defects!$Z:$Z,Weekly_TVPlantPmod!BN$3&amp;Weekly_TVPlantPmod!$B16&amp;Weekly_TVPlantPmod!$B$3&amp;$B$2&amp;$B$1&amp;$C$1)</f>
        <v>0</v>
      </c>
      <c r="BO16" s="2">
        <f>COUNTIF(defects!$Z:$Z,Weekly_TVPlantPmod!BO$3&amp;Weekly_TVPlantPmod!$B16&amp;Weekly_TVPlantPmod!$B$3&amp;$B$2&amp;$B$1&amp;$C$1)</f>
        <v>0</v>
      </c>
      <c r="BP16" s="2">
        <f>COUNTIF(defects!$Z:$Z,Weekly_TVPlantPmod!BP$3&amp;Weekly_TVPlantPmod!$B16&amp;Weekly_TVPlantPmod!$B$3&amp;$B$2&amp;$B$1&amp;$C$1)</f>
        <v>0</v>
      </c>
      <c r="BQ16" s="2">
        <f>COUNTIF(defects!$Z:$Z,Weekly_TVPlantPmod!BQ$3&amp;Weekly_TVPlantPmod!$B16&amp;Weekly_TVPlantPmod!$B$3&amp;$B$2&amp;$B$1&amp;$C$1)</f>
        <v>0</v>
      </c>
      <c r="BR16" s="2">
        <f>COUNTIF(defects!$Z:$Z,Weekly_TVPlantPmod!BR$3&amp;Weekly_TVPlantPmod!$B16&amp;Weekly_TVPlantPmod!$B$3&amp;$B$2&amp;$B$1&amp;$C$1)</f>
        <v>1</v>
      </c>
      <c r="BS16" s="2">
        <f>COUNTIF(defects!$Z:$Z,Weekly_TVPlantPmod!BS$3&amp;Weekly_TVPlantPmod!$B16&amp;Weekly_TVPlantPmod!$B$3&amp;$B$2&amp;$B$1&amp;$C$1)</f>
        <v>1</v>
      </c>
      <c r="BT16" s="2">
        <f>COUNTIF(defects!$Z:$Z,Weekly_TVPlantPmod!BT$3&amp;Weekly_TVPlantPmod!$B16&amp;Weekly_TVPlantPmod!$B$3&amp;$B$2&amp;$B$1&amp;$C$1)</f>
        <v>1</v>
      </c>
      <c r="BU16" s="2">
        <f>COUNTIF(defects!$Z:$Z,Weekly_TVPlantPmod!BU$3&amp;Weekly_TVPlantPmod!$B16&amp;Weekly_TVPlantPmod!$B$3&amp;$B$2&amp;$B$1&amp;$C$1)</f>
        <v>0</v>
      </c>
      <c r="BV16" s="2">
        <f>COUNTIF(defects!$Z:$Z,Weekly_TVPlantPmod!BV$3&amp;Weekly_TVPlantPmod!$B16&amp;Weekly_TVPlantPmod!$B$3&amp;$B$2&amp;$B$1&amp;$C$1)</f>
        <v>0</v>
      </c>
      <c r="BW16" s="2">
        <f>COUNTIF(defects!$Z:$Z,Weekly_TVPlantPmod!BW$3&amp;Weekly_TVPlantPmod!$B16&amp;Weekly_TVPlantPmod!$B$3&amp;$B$2&amp;$B$1&amp;$C$1)</f>
        <v>0</v>
      </c>
      <c r="BX16" s="2">
        <f>COUNTIF(defects!$Z:$Z,Weekly_TVPlantPmod!BX$3&amp;Weekly_TVPlantPmod!$B16&amp;Weekly_TVPlantPmod!$B$3&amp;$B$2&amp;$B$1&amp;$C$1)</f>
        <v>2</v>
      </c>
      <c r="BY16" s="2">
        <f>COUNTIF(defects!$Z:$Z,Weekly_TVPlantPmod!BY$3&amp;Weekly_TVPlantPmod!$B16&amp;Weekly_TVPlantPmod!$B$3&amp;$B$2&amp;$B$1&amp;$C$1)</f>
        <v>0</v>
      </c>
      <c r="BZ16" s="2">
        <f>COUNTIF(defects!$Z:$Z,Weekly_TVPlantPmod!BZ$3&amp;Weekly_TVPlantPmod!$B16&amp;Weekly_TVPlantPmod!$B$3&amp;$B$2&amp;$B$1&amp;$C$1)</f>
        <v>0</v>
      </c>
      <c r="CA16" s="2">
        <f>COUNTIF(defects!$Z:$Z,Weekly_TVPlantPmod!CA$3&amp;Weekly_TVPlantPmod!$B16&amp;Weekly_TVPlantPmod!$B$3&amp;$B$2&amp;$B$1&amp;$C$1)</f>
        <v>0</v>
      </c>
      <c r="CB16" s="2">
        <f>COUNTIF(defects!$Z:$Z,Weekly_TVPlantPmod!CB$3&amp;Weekly_TVPlantPmod!$B16&amp;Weekly_TVPlantPmod!$B$3&amp;$B$2&amp;$B$1&amp;$C$1)</f>
        <v>1</v>
      </c>
      <c r="CC16" s="2">
        <f>COUNTIF(defects!$Z:$Z,Weekly_TVPlantPmod!CC$3&amp;Weekly_TVPlantPmod!$B16&amp;Weekly_TVPlantPmod!$B$3&amp;$B$2&amp;$B$1&amp;$C$1)</f>
        <v>0</v>
      </c>
      <c r="CD16" s="2">
        <f>COUNTIF(defects!$Z:$Z,Weekly_TVPlantPmod!CD$3&amp;Weekly_TVPlantPmod!$B16&amp;Weekly_TVPlantPmod!$B$3&amp;$B$2&amp;$B$1&amp;$C$1)</f>
        <v>0</v>
      </c>
      <c r="CE16" s="2">
        <f>COUNTIF(defects!$Z:$Z,Weekly_TVPlantPmod!CE$3&amp;Weekly_TVPlantPmod!$B16&amp;Weekly_TVPlantPmod!$B$3&amp;$B$2&amp;$B$1&amp;$C$1)</f>
        <v>0</v>
      </c>
      <c r="CF16" s="2">
        <f>COUNTIF(defects!$Z:$Z,Weekly_TVPlantPmod!CF$3&amp;Weekly_TVPlantPmod!$B16&amp;Weekly_TVPlantPmod!$B$3&amp;$B$2&amp;$B$1&amp;$C$1)</f>
        <v>1</v>
      </c>
      <c r="CG16" s="2">
        <f>COUNTIF(defects!$Z:$Z,Weekly_TVPlantPmod!CG$3&amp;Weekly_TVPlantPmod!$B16&amp;Weekly_TVPlantPmod!$B$3&amp;$B$2&amp;$B$1&amp;$C$1)</f>
        <v>2</v>
      </c>
      <c r="CH16" s="2">
        <f>COUNTIF(defects!$Z:$Z,Weekly_TVPlantPmod!CH$3&amp;Weekly_TVPlantPmod!$B16&amp;Weekly_TVPlantPmod!$B$3&amp;$B$2&amp;$B$1&amp;$C$1)</f>
        <v>0</v>
      </c>
      <c r="CI16" s="2">
        <f>COUNTIF(defects!$Z:$Z,Weekly_TVPlantPmod!CI$3&amp;Weekly_TVPlantPmod!$B16&amp;Weekly_TVPlantPmod!$B$3&amp;$B$2&amp;$B$1&amp;$C$1)</f>
        <v>1</v>
      </c>
      <c r="CJ16" s="2">
        <f>COUNTIF(defects!$Z:$Z,Weekly_TVPlantPmod!CJ$3&amp;Weekly_TVPlantPmod!$B16&amp;Weekly_TVPlantPmod!$B$3&amp;$B$2&amp;$B$1&amp;$C$1)</f>
        <v>1</v>
      </c>
      <c r="CK16" s="2">
        <f>COUNTIF(defects!$Z:$Z,Weekly_TVPlantPmod!CK$3&amp;Weekly_TVPlantPmod!$B16&amp;Weekly_TVPlantPmod!$B$3&amp;$B$2&amp;$B$1&amp;$C$1)</f>
        <v>1</v>
      </c>
      <c r="CL16" s="2">
        <f>COUNTIF(defects!$Z:$Z,Weekly_TVPlantPmod!CL$3&amp;Weekly_TVPlantPmod!$B16&amp;Weekly_TVPlantPmod!$B$3&amp;$B$2&amp;$B$1&amp;$C$1)</f>
        <v>0</v>
      </c>
      <c r="CM16" s="2">
        <f>COUNTIF(defects!$Z:$Z,Weekly_TVPlantPmod!CM$3&amp;Weekly_TVPlantPmod!$B16&amp;Weekly_TVPlantPmod!$B$3&amp;$B$2&amp;$B$1&amp;$C$1)</f>
        <v>2</v>
      </c>
      <c r="CN16" s="2">
        <f>COUNTIF(defects!$Z:$Z,Weekly_TVPlantPmod!CN$3&amp;Weekly_TVPlantPmod!$B16&amp;Weekly_TVPlantPmod!$B$3&amp;$B$2&amp;$B$1&amp;$C$1)</f>
        <v>0</v>
      </c>
      <c r="CO16" s="2">
        <f>COUNTIF(defects!$Z:$Z,Weekly_TVPlantPmod!CO$3&amp;Weekly_TVPlantPmod!$B16&amp;Weekly_TVPlantPmod!$B$3&amp;$B$2&amp;$B$1&amp;$C$1)</f>
        <v>0</v>
      </c>
      <c r="CP16" s="2">
        <f>COUNTIF(defects!$Z:$Z,Weekly_TVPlantPmod!CP$3&amp;Weekly_TVPlantPmod!$B16&amp;Weekly_TVPlantPmod!$B$3&amp;$B$2&amp;$B$1&amp;$C$1)</f>
        <v>1</v>
      </c>
      <c r="CQ16" s="2">
        <f>COUNTIF(defects!$Z:$Z,Weekly_TVPlantPmod!CQ$3&amp;Weekly_TVPlantPmod!$B16&amp;Weekly_TVPlantPmod!$B$3&amp;$B$2&amp;$B$1&amp;$C$1)</f>
        <v>0</v>
      </c>
      <c r="CR16" s="2">
        <f>COUNTIF(defects!$Z:$Z,Weekly_TVPlantPmod!CR$3&amp;Weekly_TVPlantPmod!$B16&amp;Weekly_TVPlantPmod!$B$3&amp;$B$2&amp;$B$1&amp;$C$1)</f>
        <v>0</v>
      </c>
      <c r="CS16" s="2">
        <f>COUNTIF(defects!$Z:$Z,Weekly_TVPlantPmod!CS$3&amp;Weekly_TVPlantPmod!$B16&amp;Weekly_TVPlantPmod!$B$3&amp;$B$2&amp;$B$1&amp;$C$1)</f>
        <v>0</v>
      </c>
      <c r="CT16" s="2">
        <f>COUNTIF(defects!$Z:$Z,Weekly_TVPlantPmod!CT$3&amp;Weekly_TVPlantPmod!$B16&amp;Weekly_TVPlantPmod!$B$3&amp;$B$2&amp;$B$1&amp;$C$1)</f>
        <v>0</v>
      </c>
      <c r="CU16" s="2">
        <f>COUNTIF(defects!$Z:$Z,Weekly_TVPlantPmod!CU$3&amp;Weekly_TVPlantPmod!$B16&amp;Weekly_TVPlantPmod!$B$3&amp;$B$2&amp;$B$1&amp;$C$1)</f>
        <v>0</v>
      </c>
      <c r="CV16" s="2">
        <f>COUNTIF(defects!$Z:$Z,Weekly_TVPlantPmod!CV$3&amp;Weekly_TVPlantPmod!$B16&amp;Weekly_TVPlantPmod!$B$3&amp;$B$2&amp;$B$1&amp;$C$1)</f>
        <v>0</v>
      </c>
      <c r="CW16" s="2">
        <f>COUNTIF(defects!$Z:$Z,Weekly_TVPlantPmod!CW$3&amp;Weekly_TVPlantPmod!$B16&amp;Weekly_TVPlantPmod!$B$3&amp;$B$2&amp;$B$1&amp;$C$1)</f>
        <v>0</v>
      </c>
      <c r="CX16" s="2">
        <f>COUNTIF(defects!$Z:$Z,Weekly_TVPlantPmod!CX$3&amp;Weekly_TVPlantPmod!$B16&amp;Weekly_TVPlantPmod!$B$3&amp;$B$2&amp;$B$1&amp;$C$1)</f>
        <v>0</v>
      </c>
      <c r="CY16" s="2">
        <f>COUNTIF(defects!$Z:$Z,Weekly_TVPlantPmod!CY$3&amp;Weekly_TVPlantPmod!$B16&amp;Weekly_TVPlantPmod!$B$3&amp;$B$2&amp;$B$1&amp;$C$1)</f>
        <v>1</v>
      </c>
      <c r="CZ16" s="2">
        <f>COUNTIF(defects!$Z:$Z,Weekly_TVPlantPmod!CZ$3&amp;Weekly_TVPlantPmod!$B16&amp;Weekly_TVPlantPmod!$B$3&amp;$B$2&amp;$B$1&amp;$C$1)</f>
        <v>0</v>
      </c>
      <c r="DA16" s="2">
        <f>COUNTIF(defects!$Z:$Z,Weekly_TVPlantPmod!DA$3&amp;Weekly_TVPlantPmod!$B16&amp;Weekly_TVPlantPmod!$B$3&amp;$B$2&amp;$B$1&amp;$C$1)</f>
        <v>0</v>
      </c>
      <c r="DB16" s="2">
        <f>COUNTIF(defects!$Z:$Z,Weekly_TVPlantPmod!DB$3&amp;Weekly_TVPlantPmod!$B16&amp;Weekly_TVPlantPmod!$B$3&amp;$B$2&amp;$B$1&amp;$C$1)</f>
        <v>0</v>
      </c>
      <c r="DC16" s="2">
        <f>COUNTIF(defects!$Z:$Z,Weekly_TVPlantPmod!DC$3&amp;Weekly_TVPlantPmod!$B16&amp;Weekly_TVPlantPmod!$B$3&amp;$B$2&amp;$B$1&amp;$C$1)</f>
        <v>1</v>
      </c>
      <c r="DD16" s="2">
        <f>COUNTIF(defects!$Z:$Z,Weekly_TVPlantPmod!DD$3&amp;Weekly_TVPlantPmod!$B16&amp;Weekly_TVPlantPmod!$B$3&amp;$B$2&amp;$B$1&amp;$C$1)</f>
        <v>0</v>
      </c>
      <c r="DE16" s="2">
        <f>COUNTIF(defects!$Z:$Z,Weekly_TVPlantPmod!DE$3&amp;Weekly_TVPlantPmod!$B16&amp;Weekly_TVPlantPmod!$B$3&amp;$B$2&amp;$B$1&amp;$C$1)</f>
        <v>0</v>
      </c>
      <c r="DF16" s="2">
        <f>COUNTIF(defects!$Z:$Z,Weekly_TVPlantPmod!DF$3&amp;Weekly_TVPlantPmod!$B16&amp;Weekly_TVPlantPmod!$B$3&amp;$B$2&amp;$B$1&amp;$C$1)</f>
        <v>0</v>
      </c>
      <c r="DG16" s="2">
        <f>COUNTIF(defects!$Z:$Z,Weekly_TVPlantPmod!DG$3&amp;Weekly_TVPlantPmod!$B16&amp;Weekly_TVPlantPmod!$B$3&amp;$B$2&amp;$B$1&amp;$C$1)</f>
        <v>0</v>
      </c>
      <c r="DH16" s="2">
        <f>COUNTIF(defects!$Z:$Z,Weekly_TVPlantPmod!DH$3&amp;Weekly_TVPlantPmod!$B16&amp;Weekly_TVPlantPmod!$B$3&amp;$B$2&amp;$B$1&amp;$C$1)</f>
        <v>0</v>
      </c>
      <c r="DI16" s="2">
        <f>COUNTIF(defects!$Z:$Z,Weekly_TVPlantPmod!DI$3&amp;Weekly_TVPlantPmod!$B16&amp;Weekly_TVPlantPmod!$B$3&amp;$B$2&amp;$B$1&amp;$C$1)</f>
        <v>0</v>
      </c>
      <c r="DJ16" s="2">
        <f>COUNTIF(defects!$Z:$Z,Weekly_TVPlantPmod!DJ$3&amp;Weekly_TVPlantPmod!$B16&amp;Weekly_TVPlantPmod!$B$3&amp;$B$2&amp;$B$1&amp;$C$1)</f>
        <v>0</v>
      </c>
      <c r="DK16" s="2">
        <f>COUNTIF(defects!$Z:$Z,Weekly_TVPlantPmod!DK$3&amp;Weekly_TVPlantPmod!$B16&amp;Weekly_TVPlantPmod!$B$3&amp;$B$2&amp;$B$1&amp;$C$1)</f>
        <v>0</v>
      </c>
      <c r="DL16" s="2">
        <f>COUNTIF(defects!$Z:$Z,Weekly_TVPlantPmod!DL$3&amp;Weekly_TVPlantPmod!$B16&amp;Weekly_TVPlantPmod!$B$3&amp;$B$2&amp;$B$1&amp;$C$1)</f>
        <v>0</v>
      </c>
      <c r="DM16" s="2">
        <f>COUNTIF(defects!$Z:$Z,Weekly_TVPlantPmod!DM$3&amp;Weekly_TVPlantPmod!$B16&amp;Weekly_TVPlantPmod!$B$3&amp;$B$2&amp;$B$1&amp;$C$1)</f>
        <v>0</v>
      </c>
      <c r="DN16" s="2">
        <f>COUNTIF(defects!$Z:$Z,Weekly_TVPlantPmod!DN$3&amp;Weekly_TVPlantPmod!$B16&amp;Weekly_TVPlantPmod!$B$3&amp;$B$2&amp;$B$1&amp;$C$1)</f>
        <v>0</v>
      </c>
      <c r="DO16" s="2">
        <f>COUNTIF(defects!$Z:$Z,Weekly_TVPlantPmod!DO$3&amp;Weekly_TVPlantPmod!$B16&amp;Weekly_TVPlantPmod!$B$3&amp;$B$2&amp;$B$1&amp;$C$1)</f>
        <v>0</v>
      </c>
      <c r="DP16" s="2">
        <f>COUNTIF(defects!$Z:$Z,Weekly_TVPlantPmod!DP$3&amp;Weekly_TVPlantPmod!$B16&amp;Weekly_TVPlantPmod!$B$3&amp;$B$2&amp;$B$1&amp;$C$1)</f>
        <v>0</v>
      </c>
      <c r="DQ16" s="2">
        <f>COUNTIF(defects!$Z:$Z,Weekly_TVPlantPmod!DQ$3&amp;Weekly_TVPlantPmod!$B16&amp;Weekly_TVPlantPmod!$B$3&amp;$B$2&amp;$B$1&amp;$C$1)</f>
        <v>0</v>
      </c>
      <c r="DR16" s="2">
        <f>COUNTIF(defects!$Z:$Z,Weekly_TVPlantPmod!DR$3&amp;Weekly_TVPlantPmod!$B16&amp;Weekly_TVPlantPmod!$B$3&amp;$B$2&amp;$B$1&amp;$C$1)</f>
        <v>0</v>
      </c>
      <c r="DS16" s="2">
        <f>COUNTIF(defects!$Z:$Z,Weekly_TVPlantPmod!DS$3&amp;Weekly_TVPlantPmod!$B16&amp;Weekly_TVPlantPmod!$B$3&amp;$B$2&amp;$B$1&amp;$C$1)</f>
        <v>0</v>
      </c>
      <c r="DT16" s="2">
        <f>COUNTIF(defects!$Z:$Z,Weekly_TVPlantPmod!DT$3&amp;Weekly_TVPlantPmod!$B16&amp;Weekly_TVPlantPmod!$B$3&amp;$B$2&amp;$B$1&amp;$C$1)</f>
        <v>0</v>
      </c>
      <c r="DU16" s="2">
        <f>COUNTIF(defects!$Z:$Z,Weekly_TVPlantPmod!DU$3&amp;Weekly_TVPlantPmod!$B16&amp;Weekly_TVPlantPmod!$B$3&amp;$B$2&amp;$B$1&amp;$C$1)</f>
        <v>0</v>
      </c>
      <c r="DV16" s="2">
        <f>COUNTIF(defects!$Z:$Z,Weekly_TVPlantPmod!DV$3&amp;Weekly_TVPlantPmod!$B16&amp;Weekly_TVPlantPmod!$B$3&amp;$B$2&amp;$B$1&amp;$C$1)</f>
        <v>0</v>
      </c>
      <c r="DW16" s="2">
        <f>COUNTIF(defects!$Z:$Z,Weekly_TVPlantPmod!DW$3&amp;Weekly_TVPlantPmod!$B16&amp;Weekly_TVPlantPmod!$B$3&amp;$B$2&amp;$B$1&amp;$C$1)</f>
        <v>0</v>
      </c>
      <c r="DX16" s="2">
        <f>COUNTIF(defects!$Z:$Z,Weekly_TVPlantPmod!DX$3&amp;Weekly_TVPlantPmod!$B16&amp;Weekly_TVPlantPmod!$B$3&amp;$B$2&amp;$B$1&amp;$C$1)</f>
        <v>0</v>
      </c>
      <c r="DY16" s="2">
        <f>COUNTIF(defects!$Z:$Z,Weekly_TVPlantPmod!DY$3&amp;Weekly_TVPlantPmod!$B16&amp;Weekly_TVPlantPmod!$B$3&amp;$B$2&amp;$B$1&amp;$C$1)</f>
        <v>0</v>
      </c>
      <c r="DZ16" s="2">
        <f>COUNTIF(defects!$Z:$Z,Weekly_TVPlantPmod!DZ$3&amp;Weekly_TVPlantPmod!$B16&amp;Weekly_TVPlantPmod!$B$3&amp;$B$2&amp;$B$1&amp;$C$1)</f>
        <v>0</v>
      </c>
      <c r="EA16" s="2">
        <f>COUNTIF(defects!$Z:$Z,Weekly_TVPlantPmod!EA$3&amp;Weekly_TVPlantPmod!$B16&amp;Weekly_TVPlantPmod!$B$3&amp;$B$2&amp;$B$1&amp;$C$1)</f>
        <v>0</v>
      </c>
      <c r="EB16" s="2">
        <f>COUNTIF(defects!$Z:$Z,Weekly_TVPlantPmod!EB$3&amp;Weekly_TVPlantPmod!$B16&amp;Weekly_TVPlantPmod!$B$3&amp;$B$2&amp;$B$1&amp;$C$1)</f>
        <v>0</v>
      </c>
      <c r="EC16" s="2">
        <f>COUNTIF(defects!$Z:$Z,Weekly_TVPlantPmod!EC$3&amp;Weekly_TVPlantPmod!$B16&amp;Weekly_TVPlantPmod!$B$3&amp;$B$2&amp;$B$1&amp;$C$1)</f>
        <v>0</v>
      </c>
      <c r="ED16" s="2">
        <f>COUNTIF(defects!$Z:$Z,Weekly_TVPlantPmod!ED$3&amp;Weekly_TVPlantPmod!$B16&amp;Weekly_TVPlantPmod!$B$3&amp;$B$2&amp;$B$1&amp;$C$1)</f>
        <v>0</v>
      </c>
      <c r="EE16" s="2">
        <f>COUNTIF(defects!$Z:$Z,Weekly_TVPlantPmod!EE$3&amp;Weekly_TVPlantPmod!$B16&amp;Weekly_TVPlantPmod!$B$3&amp;$B$2&amp;$B$1&amp;$C$1)</f>
        <v>0</v>
      </c>
      <c r="EF16" s="2">
        <f>COUNTIF(defects!$Z:$Z,Weekly_TVPlantPmod!EF$3&amp;Weekly_TVPlantPmod!$B16&amp;Weekly_TVPlantPmod!$B$3&amp;$B$2&amp;$B$1&amp;$C$1)</f>
        <v>0</v>
      </c>
      <c r="EG16" s="2">
        <f>COUNTIF(defects!$Z:$Z,Weekly_TVPlantPmod!EG$3&amp;Weekly_TVPlantPmod!$B16&amp;Weekly_TVPlantPmod!$B$3&amp;$B$2&amp;$B$1&amp;$C$1)</f>
        <v>0</v>
      </c>
      <c r="EH16" s="2">
        <f>COUNTIF(defects!$Z:$Z,Weekly_TVPlantPmod!EH$3&amp;Weekly_TVPlantPmod!$B16&amp;Weekly_TVPlantPmod!$B$3&amp;$B$2&amp;$B$1&amp;$C$1)</f>
        <v>0</v>
      </c>
      <c r="EI16" s="2">
        <f>COUNTIF(defects!$Z:$Z,Weekly_TVPlantPmod!EI$3&amp;Weekly_TVPlantPmod!$B16&amp;Weekly_TVPlantPmod!$B$3&amp;$B$2&amp;$B$1&amp;$C$1)</f>
        <v>0</v>
      </c>
      <c r="EJ16" s="2">
        <f>COUNTIF(defects!$Z:$Z,Weekly_TVPlantPmod!EJ$3&amp;Weekly_TVPlantPmod!$B16&amp;Weekly_TVPlantPmod!$B$3&amp;$B$2&amp;$B$1&amp;$C$1)</f>
        <v>0</v>
      </c>
      <c r="EK16" s="2">
        <f>COUNTIF(defects!$Z:$Z,Weekly_TVPlantPmod!EK$3&amp;Weekly_TVPlantPmod!$B16&amp;Weekly_TVPlantPmod!$B$3&amp;$B$2&amp;$B$1&amp;$C$1)</f>
        <v>0</v>
      </c>
      <c r="EL16" s="2">
        <f>COUNTIF(defects!$Z:$Z,Weekly_TVPlantPmod!EL$3&amp;Weekly_TVPlantPmod!$B16&amp;Weekly_TVPlantPmod!$B$3&amp;$B$2&amp;$B$1&amp;$C$1)</f>
        <v>0</v>
      </c>
      <c r="EM16" s="2">
        <f>COUNTIF(defects!$Z:$Z,Weekly_TVPlantPmod!EM$3&amp;Weekly_TVPlantPmod!$B16&amp;Weekly_TVPlantPmod!$B$3&amp;$B$2&amp;$B$1&amp;$C$1)</f>
        <v>0</v>
      </c>
      <c r="EN16" s="2">
        <f>COUNTIF(defects!$Z:$Z,Weekly_TVPlantPmod!EN$3&amp;Weekly_TVPlantPmod!$B16&amp;Weekly_TVPlantPmod!$B$3&amp;$B$2&amp;$B$1&amp;$C$1)</f>
        <v>0</v>
      </c>
      <c r="EO16" s="2">
        <f>COUNTIF(defects!$Z:$Z,Weekly_TVPlantPmod!EO$3&amp;Weekly_TVPlantPmod!$B16&amp;Weekly_TVPlantPmod!$B$3&amp;$B$2&amp;$B$1&amp;$C$1)</f>
        <v>0</v>
      </c>
      <c r="EP16" s="2">
        <f>COUNTIF(defects!$Z:$Z,Weekly_TVPlantPmod!EP$3&amp;Weekly_TVPlantPmod!$B16&amp;Weekly_TVPlantPmod!$B$3&amp;$B$2&amp;$B$1&amp;$C$1)</f>
        <v>0</v>
      </c>
      <c r="EQ16" s="2">
        <f>COUNTIF(defects!$Z:$Z,Weekly_TVPlantPmod!EQ$3&amp;Weekly_TVPlantPmod!$B16&amp;Weekly_TVPlantPmod!$B$3&amp;$B$2&amp;$B$1&amp;$C$1)</f>
        <v>0</v>
      </c>
      <c r="ER16" s="2">
        <f>COUNTIF(defects!$Z:$Z,Weekly_TVPlantPmod!ER$3&amp;Weekly_TVPlantPmod!$B16&amp;Weekly_TVPlantPmod!$B$3&amp;$B$2&amp;$B$1&amp;$C$1)</f>
        <v>0</v>
      </c>
      <c r="ES16" s="2">
        <f>COUNTIF(defects!$Z:$Z,Weekly_TVPlantPmod!ES$3&amp;Weekly_TVPlantPmod!$B16&amp;Weekly_TVPlantPmod!$B$3&amp;$B$2&amp;$B$1&amp;$C$1)</f>
        <v>0</v>
      </c>
      <c r="ET16" s="2">
        <f>COUNTIF(defects!$Z:$Z,Weekly_TVPlantPmod!ET$3&amp;Weekly_TVPlantPmod!$B16&amp;Weekly_TVPlantPmod!$B$3&amp;$B$2&amp;$B$1&amp;$C$1)</f>
        <v>0</v>
      </c>
      <c r="EU16" s="2">
        <f>COUNTIF(defects!$Z:$Z,Weekly_TVPlantPmod!EU$3&amp;Weekly_TVPlantPmod!$B16&amp;Weekly_TVPlantPmod!$B$3&amp;$B$2&amp;$B$1&amp;$C$1)</f>
        <v>0</v>
      </c>
      <c r="EV16" s="2">
        <f>COUNTIF(defects!$Z:$Z,Weekly_TVPlantPmod!EV$3&amp;Weekly_TVPlantPmod!$B16&amp;Weekly_TVPlantPmod!$B$3&amp;$B$2&amp;$B$1&amp;$C$1)</f>
        <v>0</v>
      </c>
      <c r="EW16" s="2">
        <f>COUNTIF(defects!$Z:$Z,Weekly_TVPlantPmod!EW$3&amp;Weekly_TVPlantPmod!$B16&amp;Weekly_TVPlantPmod!$B$3&amp;$B$2&amp;$B$1&amp;$C$1)</f>
        <v>0</v>
      </c>
      <c r="EX16" s="2">
        <f>COUNTIF(defects!$Z:$Z,Weekly_TVPlantPmod!EX$3&amp;Weekly_TVPlantPmod!$B16&amp;Weekly_TVPlantPmod!$B$3&amp;$B$2&amp;$B$1&amp;$C$1)</f>
        <v>0</v>
      </c>
      <c r="EY16" s="2">
        <f>COUNTIF(defects!$Z:$Z,Weekly_TVPlantPmod!EY$3&amp;Weekly_TVPlantPmod!$B16&amp;Weekly_TVPlantPmod!$B$3&amp;$B$2&amp;$B$1&amp;$C$1)</f>
        <v>0</v>
      </c>
      <c r="EZ16" s="2">
        <f>COUNTIF(defects!$Z:$Z,Weekly_TVPlantPmod!EZ$3&amp;Weekly_TVPlantPmod!$B16&amp;Weekly_TVPlantPmod!$B$3&amp;$B$2&amp;$B$1&amp;$C$1)</f>
        <v>0</v>
      </c>
      <c r="FA16" s="2">
        <f>COUNTIF(defects!$Z:$Z,Weekly_TVPlantPmod!FA$3&amp;Weekly_TVPlantPmod!$B16&amp;Weekly_TVPlantPmod!$B$3&amp;$B$2&amp;$B$1&amp;$C$1)</f>
        <v>0</v>
      </c>
      <c r="FB16" s="2">
        <f>COUNTIF(defects!$Z:$Z,Weekly_TVPlantPmod!FB$3&amp;Weekly_TVPlantPmod!$B16&amp;Weekly_TVPlantPmod!$B$3&amp;$B$2&amp;$B$1&amp;$C$1)</f>
        <v>0</v>
      </c>
      <c r="FC16" s="2">
        <f>COUNTIF(defects!$Z:$Z,Weekly_TVPlantPmod!FC$3&amp;Weekly_TVPlantPmod!$B16&amp;Weekly_TVPlantPmod!$B$3&amp;$B$2&amp;$B$1&amp;$C$1)</f>
        <v>0</v>
      </c>
      <c r="FD16" s="2">
        <f>COUNTIF(defects!$Z:$Z,Weekly_TVPlantPmod!FD$3&amp;Weekly_TVPlantPmod!$B16&amp;Weekly_TVPlantPmod!$B$3&amp;$B$2&amp;$B$1&amp;$C$1)</f>
        <v>0</v>
      </c>
      <c r="FE16" s="2">
        <f>COUNTIF(defects!$Z:$Z,Weekly_TVPlantPmod!FE$3&amp;Weekly_TVPlantPmod!$B16&amp;Weekly_TVPlantPmod!$B$3&amp;$B$2&amp;$B$1&amp;$C$1)</f>
        <v>0</v>
      </c>
    </row>
    <row r="17" spans="2:161">
      <c r="B17" s="2" t="s">
        <v>994</v>
      </c>
      <c r="C17" s="2">
        <f>COUNTIF(defects!$Z:$Z,Weekly_TVPlantPmod!C$3&amp;Weekly_TVPlantPmod!$B17&amp;Weekly_TVPlantPmod!$B$3&amp;$B$2&amp;$B$1&amp;$C$1)</f>
        <v>0</v>
      </c>
      <c r="D17" s="2">
        <f>COUNTIF(defects!$Z:$Z,Weekly_TVPlantPmod!D$3&amp;Weekly_TVPlantPmod!$B17&amp;Weekly_TVPlantPmod!$B$3&amp;$B$2&amp;$B$1&amp;$C$1)</f>
        <v>0</v>
      </c>
      <c r="E17" s="2">
        <f>COUNTIF(defects!$Z:$Z,Weekly_TVPlantPmod!E$3&amp;Weekly_TVPlantPmod!$B17&amp;Weekly_TVPlantPmod!$B$3&amp;$B$2&amp;$B$1&amp;$C$1)</f>
        <v>0</v>
      </c>
      <c r="F17" s="2">
        <f>COUNTIF(defects!$Z:$Z,Weekly_TVPlantPmod!F$3&amp;Weekly_TVPlantPmod!$B17&amp;Weekly_TVPlantPmod!$B$3&amp;$B$2&amp;$B$1&amp;$C$1)</f>
        <v>0</v>
      </c>
      <c r="G17" s="2">
        <f>COUNTIF(defects!$Z:$Z,Weekly_TVPlantPmod!G$3&amp;Weekly_TVPlantPmod!$B17&amp;Weekly_TVPlantPmod!$B$3&amp;$B$2&amp;$B$1&amp;$C$1)</f>
        <v>0</v>
      </c>
      <c r="H17" s="2">
        <f>COUNTIF(defects!$Z:$Z,Weekly_TVPlantPmod!H$3&amp;Weekly_TVPlantPmod!$B17&amp;Weekly_TVPlantPmod!$B$3&amp;$B$2&amp;$B$1&amp;$C$1)</f>
        <v>0</v>
      </c>
      <c r="I17" s="2">
        <f>COUNTIF(defects!$Z:$Z,Weekly_TVPlantPmod!I$3&amp;Weekly_TVPlantPmod!$B17&amp;Weekly_TVPlantPmod!$B$3&amp;$B$2&amp;$B$1&amp;$C$1)</f>
        <v>0</v>
      </c>
      <c r="J17" s="2">
        <f>COUNTIF(defects!$Z:$Z,Weekly_TVPlantPmod!J$3&amp;Weekly_TVPlantPmod!$B17&amp;Weekly_TVPlantPmod!$B$3&amp;$B$2&amp;$B$1&amp;$C$1)</f>
        <v>0</v>
      </c>
      <c r="K17" s="2">
        <f>COUNTIF(defects!$Z:$Z,Weekly_TVPlantPmod!K$3&amp;Weekly_TVPlantPmod!$B17&amp;Weekly_TVPlantPmod!$B$3&amp;$B$2&amp;$B$1&amp;$C$1)</f>
        <v>0</v>
      </c>
      <c r="L17" s="2">
        <f>COUNTIF(defects!$Z:$Z,Weekly_TVPlantPmod!L$3&amp;Weekly_TVPlantPmod!$B17&amp;Weekly_TVPlantPmod!$B$3&amp;$B$2&amp;$B$1&amp;$C$1)</f>
        <v>0</v>
      </c>
      <c r="M17" s="2">
        <f>COUNTIF(defects!$Z:$Z,Weekly_TVPlantPmod!M$3&amp;Weekly_TVPlantPmod!$B17&amp;Weekly_TVPlantPmod!$B$3&amp;$B$2&amp;$B$1&amp;$C$1)</f>
        <v>0</v>
      </c>
      <c r="N17" s="2">
        <f>COUNTIF(defects!$Z:$Z,Weekly_TVPlantPmod!N$3&amp;Weekly_TVPlantPmod!$B17&amp;Weekly_TVPlantPmod!$B$3&amp;$B$2&amp;$B$1&amp;$C$1)</f>
        <v>0</v>
      </c>
      <c r="O17" s="2">
        <f>COUNTIF(defects!$Z:$Z,Weekly_TVPlantPmod!O$3&amp;Weekly_TVPlantPmod!$B17&amp;Weekly_TVPlantPmod!$B$3&amp;$B$2&amp;$B$1&amp;$C$1)</f>
        <v>0</v>
      </c>
      <c r="P17" s="2">
        <f>COUNTIF(defects!$Z:$Z,Weekly_TVPlantPmod!P$3&amp;Weekly_TVPlantPmod!$B17&amp;Weekly_TVPlantPmod!$B$3&amp;$B$2&amp;$B$1&amp;$C$1)</f>
        <v>0</v>
      </c>
      <c r="Q17" s="2">
        <f>COUNTIF(defects!$Z:$Z,Weekly_TVPlantPmod!Q$3&amp;Weekly_TVPlantPmod!$B17&amp;Weekly_TVPlantPmod!$B$3&amp;$B$2&amp;$B$1&amp;$C$1)</f>
        <v>0</v>
      </c>
      <c r="R17" s="2">
        <f>COUNTIF(defects!$Z:$Z,Weekly_TVPlantPmod!R$3&amp;Weekly_TVPlantPmod!$B17&amp;Weekly_TVPlantPmod!$B$3&amp;$B$2&amp;$B$1&amp;$C$1)</f>
        <v>0</v>
      </c>
      <c r="S17" s="2">
        <f>COUNTIF(defects!$Z:$Z,Weekly_TVPlantPmod!S$3&amp;Weekly_TVPlantPmod!$B17&amp;Weekly_TVPlantPmod!$B$3&amp;$B$2&amp;$B$1&amp;$C$1)</f>
        <v>0</v>
      </c>
      <c r="T17" s="2">
        <f>COUNTIF(defects!$Z:$Z,Weekly_TVPlantPmod!T$3&amp;Weekly_TVPlantPmod!$B17&amp;Weekly_TVPlantPmod!$B$3&amp;$B$2&amp;$B$1&amp;$C$1)</f>
        <v>0</v>
      </c>
      <c r="U17" s="2">
        <f>COUNTIF(defects!$Z:$Z,Weekly_TVPlantPmod!U$3&amp;Weekly_TVPlantPmod!$B17&amp;Weekly_TVPlantPmod!$B$3&amp;$B$2&amp;$B$1&amp;$C$1)</f>
        <v>0</v>
      </c>
      <c r="V17" s="2">
        <f>COUNTIF(defects!$Z:$Z,Weekly_TVPlantPmod!V$3&amp;Weekly_TVPlantPmod!$B17&amp;Weekly_TVPlantPmod!$B$3&amp;$B$2&amp;$B$1&amp;$C$1)</f>
        <v>0</v>
      </c>
      <c r="W17" s="2">
        <f>COUNTIF(defects!$Z:$Z,Weekly_TVPlantPmod!W$3&amp;Weekly_TVPlantPmod!$B17&amp;Weekly_TVPlantPmod!$B$3&amp;$B$2&amp;$B$1&amp;$C$1)</f>
        <v>0</v>
      </c>
      <c r="X17" s="2">
        <f>COUNTIF(defects!$Z:$Z,Weekly_TVPlantPmod!X$3&amp;Weekly_TVPlantPmod!$B17&amp;Weekly_TVPlantPmod!$B$3&amp;$B$2&amp;$B$1&amp;$C$1)</f>
        <v>0</v>
      </c>
      <c r="Y17" s="2">
        <f>COUNTIF(defects!$Z:$Z,Weekly_TVPlantPmod!Y$3&amp;Weekly_TVPlantPmod!$B17&amp;Weekly_TVPlantPmod!$B$3&amp;$B$2&amp;$B$1&amp;$C$1)</f>
        <v>0</v>
      </c>
      <c r="Z17" s="2">
        <f>COUNTIF(defects!$Z:$Z,Weekly_TVPlantPmod!Z$3&amp;Weekly_TVPlantPmod!$B17&amp;Weekly_TVPlantPmod!$B$3&amp;$B$2&amp;$B$1&amp;$C$1)</f>
        <v>0</v>
      </c>
      <c r="AA17" s="2">
        <f>COUNTIF(defects!$Z:$Z,Weekly_TVPlantPmod!AA$3&amp;Weekly_TVPlantPmod!$B17&amp;Weekly_TVPlantPmod!$B$3&amp;$B$2&amp;$B$1&amp;$C$1)</f>
        <v>0</v>
      </c>
      <c r="AB17" s="2">
        <f>COUNTIF(defects!$Z:$Z,Weekly_TVPlantPmod!AB$3&amp;Weekly_TVPlantPmod!$B17&amp;Weekly_TVPlantPmod!$B$3&amp;$B$2&amp;$B$1&amp;$C$1)</f>
        <v>0</v>
      </c>
      <c r="AC17" s="2">
        <f>COUNTIF(defects!$Z:$Z,Weekly_TVPlantPmod!AC$3&amp;Weekly_TVPlantPmod!$B17&amp;Weekly_TVPlantPmod!$B$3&amp;$B$2&amp;$B$1&amp;$C$1)</f>
        <v>0</v>
      </c>
      <c r="AD17" s="2">
        <f>COUNTIF(defects!$Z:$Z,Weekly_TVPlantPmod!AD$3&amp;Weekly_TVPlantPmod!$B17&amp;Weekly_TVPlantPmod!$B$3&amp;$B$2&amp;$B$1&amp;$C$1)</f>
        <v>0</v>
      </c>
      <c r="AE17" s="2">
        <f>COUNTIF(defects!$Z:$Z,Weekly_TVPlantPmod!AE$3&amp;Weekly_TVPlantPmod!$B17&amp;Weekly_TVPlantPmod!$B$3&amp;$B$2&amp;$B$1&amp;$C$1)</f>
        <v>0</v>
      </c>
      <c r="AF17" s="2">
        <f>COUNTIF(defects!$Z:$Z,Weekly_TVPlantPmod!AF$3&amp;Weekly_TVPlantPmod!$B17&amp;Weekly_TVPlantPmod!$B$3&amp;$B$2&amp;$B$1&amp;$C$1)</f>
        <v>0</v>
      </c>
      <c r="AG17" s="2">
        <f>COUNTIF(defects!$Z:$Z,Weekly_TVPlantPmod!AG$3&amp;Weekly_TVPlantPmod!$B17&amp;Weekly_TVPlantPmod!$B$3&amp;$B$2&amp;$B$1&amp;$C$1)</f>
        <v>0</v>
      </c>
      <c r="AH17" s="2">
        <f>COUNTIF(defects!$Z:$Z,Weekly_TVPlantPmod!AH$3&amp;Weekly_TVPlantPmod!$B17&amp;Weekly_TVPlantPmod!$B$3&amp;$B$2&amp;$B$1&amp;$C$1)</f>
        <v>0</v>
      </c>
      <c r="AI17" s="2">
        <f>COUNTIF(defects!$Z:$Z,Weekly_TVPlantPmod!AI$3&amp;Weekly_TVPlantPmod!$B17&amp;Weekly_TVPlantPmod!$B$3&amp;$B$2&amp;$B$1&amp;$C$1)</f>
        <v>0</v>
      </c>
      <c r="AJ17" s="2">
        <f>COUNTIF(defects!$Z:$Z,Weekly_TVPlantPmod!AJ$3&amp;Weekly_TVPlantPmod!$B17&amp;Weekly_TVPlantPmod!$B$3&amp;$B$2&amp;$B$1&amp;$C$1)</f>
        <v>0</v>
      </c>
      <c r="AK17" s="2">
        <f>COUNTIF(defects!$Z:$Z,Weekly_TVPlantPmod!AK$3&amp;Weekly_TVPlantPmod!$B17&amp;Weekly_TVPlantPmod!$B$3&amp;$B$2&amp;$B$1&amp;$C$1)</f>
        <v>0</v>
      </c>
      <c r="AL17" s="2">
        <f>COUNTIF(defects!$Z:$Z,Weekly_TVPlantPmod!AL$3&amp;Weekly_TVPlantPmod!$B17&amp;Weekly_TVPlantPmod!$B$3&amp;$B$2&amp;$B$1&amp;$C$1)</f>
        <v>0</v>
      </c>
      <c r="AM17" s="2">
        <f>COUNTIF(defects!$Z:$Z,Weekly_TVPlantPmod!AM$3&amp;Weekly_TVPlantPmod!$B17&amp;Weekly_TVPlantPmod!$B$3&amp;$B$2&amp;$B$1&amp;$C$1)</f>
        <v>0</v>
      </c>
      <c r="AN17" s="2">
        <f>COUNTIF(defects!$Z:$Z,Weekly_TVPlantPmod!AN$3&amp;Weekly_TVPlantPmod!$B17&amp;Weekly_TVPlantPmod!$B$3&amp;$B$2&amp;$B$1&amp;$C$1)</f>
        <v>0</v>
      </c>
      <c r="AO17" s="2">
        <f>COUNTIF(defects!$Z:$Z,Weekly_TVPlantPmod!AO$3&amp;Weekly_TVPlantPmod!$B17&amp;Weekly_TVPlantPmod!$B$3&amp;$B$2&amp;$B$1&amp;$C$1)</f>
        <v>0</v>
      </c>
      <c r="AP17" s="2">
        <f>COUNTIF(defects!$Z:$Z,Weekly_TVPlantPmod!AP$3&amp;Weekly_TVPlantPmod!$B17&amp;Weekly_TVPlantPmod!$B$3&amp;$B$2&amp;$B$1&amp;$C$1)</f>
        <v>0</v>
      </c>
      <c r="AQ17" s="2">
        <f>COUNTIF(defects!$Z:$Z,Weekly_TVPlantPmod!AQ$3&amp;Weekly_TVPlantPmod!$B17&amp;Weekly_TVPlantPmod!$B$3&amp;$B$2&amp;$B$1&amp;$C$1)</f>
        <v>0</v>
      </c>
      <c r="AR17" s="2">
        <f>COUNTIF(defects!$Z:$Z,Weekly_TVPlantPmod!AR$3&amp;Weekly_TVPlantPmod!$B17&amp;Weekly_TVPlantPmod!$B$3&amp;$B$2&amp;$B$1&amp;$C$1)</f>
        <v>0</v>
      </c>
      <c r="AS17" s="2">
        <f>COUNTIF(defects!$Z:$Z,Weekly_TVPlantPmod!AS$3&amp;Weekly_TVPlantPmod!$B17&amp;Weekly_TVPlantPmod!$B$3&amp;$B$2&amp;$B$1&amp;$C$1)</f>
        <v>0</v>
      </c>
      <c r="AT17" s="2">
        <f>COUNTIF(defects!$Z:$Z,Weekly_TVPlantPmod!AT$3&amp;Weekly_TVPlantPmod!$B17&amp;Weekly_TVPlantPmod!$B$3&amp;$B$2&amp;$B$1&amp;$C$1)</f>
        <v>0</v>
      </c>
      <c r="AU17" s="2">
        <f>COUNTIF(defects!$Z:$Z,Weekly_TVPlantPmod!AU$3&amp;Weekly_TVPlantPmod!$B17&amp;Weekly_TVPlantPmod!$B$3&amp;$B$2&amp;$B$1&amp;$C$1)</f>
        <v>0</v>
      </c>
      <c r="AV17" s="2">
        <f>COUNTIF(defects!$Z:$Z,Weekly_TVPlantPmod!AV$3&amp;Weekly_TVPlantPmod!$B17&amp;Weekly_TVPlantPmod!$B$3&amp;$B$2&amp;$B$1&amp;$C$1)</f>
        <v>0</v>
      </c>
      <c r="AW17" s="2">
        <f>COUNTIF(defects!$Z:$Z,Weekly_TVPlantPmod!AW$3&amp;Weekly_TVPlantPmod!$B17&amp;Weekly_TVPlantPmod!$B$3&amp;$B$2&amp;$B$1&amp;$C$1)</f>
        <v>0</v>
      </c>
      <c r="AX17" s="2">
        <f>COUNTIF(defects!$Z:$Z,Weekly_TVPlantPmod!AX$3&amp;Weekly_TVPlantPmod!$B17&amp;Weekly_TVPlantPmod!$B$3&amp;$B$2&amp;$B$1&amp;$C$1)</f>
        <v>0</v>
      </c>
      <c r="AY17" s="2">
        <f>COUNTIF(defects!$Z:$Z,Weekly_TVPlantPmod!AY$3&amp;Weekly_TVPlantPmod!$B17&amp;Weekly_TVPlantPmod!$B$3&amp;$B$2&amp;$B$1&amp;$C$1)</f>
        <v>0</v>
      </c>
      <c r="AZ17" s="2">
        <f>COUNTIF(defects!$Z:$Z,Weekly_TVPlantPmod!AZ$3&amp;Weekly_TVPlantPmod!$B17&amp;Weekly_TVPlantPmod!$B$3&amp;$B$2&amp;$B$1&amp;$C$1)</f>
        <v>0</v>
      </c>
      <c r="BA17" s="2">
        <f>COUNTIF(defects!$Z:$Z,Weekly_TVPlantPmod!BA$3&amp;Weekly_TVPlantPmod!$B17&amp;Weekly_TVPlantPmod!$B$3&amp;$B$2&amp;$B$1&amp;$C$1)</f>
        <v>0</v>
      </c>
      <c r="BB17" s="2">
        <f>COUNTIF(defects!$Z:$Z,Weekly_TVPlantPmod!BB$3&amp;Weekly_TVPlantPmod!$B17&amp;Weekly_TVPlantPmod!$B$3&amp;$B$2&amp;$B$1&amp;$C$1)</f>
        <v>0</v>
      </c>
      <c r="BC17" s="2">
        <f>COUNTIF(defects!$Z:$Z,Weekly_TVPlantPmod!BC$3&amp;Weekly_TVPlantPmod!$B17&amp;Weekly_TVPlantPmod!$B$3&amp;$B$2&amp;$B$1&amp;$C$1)</f>
        <v>0</v>
      </c>
      <c r="BD17" s="2">
        <f>COUNTIF(defects!$Z:$Z,Weekly_TVPlantPmod!BD$3&amp;Weekly_TVPlantPmod!$B17&amp;Weekly_TVPlantPmod!$B$3&amp;$B$2&amp;$B$1&amp;$C$1)</f>
        <v>0</v>
      </c>
      <c r="BE17" s="2">
        <f>COUNTIF(defects!$Z:$Z,Weekly_TVPlantPmod!BE$3&amp;Weekly_TVPlantPmod!$B17&amp;Weekly_TVPlantPmod!$B$3&amp;$B$2&amp;$B$1&amp;$C$1)</f>
        <v>0</v>
      </c>
      <c r="BF17" s="2">
        <f>COUNTIF(defects!$Z:$Z,Weekly_TVPlantPmod!BF$3&amp;Weekly_TVPlantPmod!$B17&amp;Weekly_TVPlantPmod!$B$3&amp;$B$2&amp;$B$1&amp;$C$1)</f>
        <v>0</v>
      </c>
      <c r="BG17" s="2">
        <f>COUNTIF(defects!$Z:$Z,Weekly_TVPlantPmod!BG$3&amp;Weekly_TVPlantPmod!$B17&amp;Weekly_TVPlantPmod!$B$3&amp;$B$2&amp;$B$1&amp;$C$1)</f>
        <v>0</v>
      </c>
      <c r="BH17" s="2">
        <f>COUNTIF(defects!$Z:$Z,Weekly_TVPlantPmod!BH$3&amp;Weekly_TVPlantPmod!$B17&amp;Weekly_TVPlantPmod!$B$3&amp;$B$2&amp;$B$1&amp;$C$1)</f>
        <v>0</v>
      </c>
      <c r="BI17" s="2">
        <f>COUNTIF(defects!$Z:$Z,Weekly_TVPlantPmod!BI$3&amp;Weekly_TVPlantPmod!$B17&amp;Weekly_TVPlantPmod!$B$3&amp;$B$2&amp;$B$1&amp;$C$1)</f>
        <v>0</v>
      </c>
      <c r="BJ17" s="2">
        <f>COUNTIF(defects!$Z:$Z,Weekly_TVPlantPmod!BJ$3&amp;Weekly_TVPlantPmod!$B17&amp;Weekly_TVPlantPmod!$B$3&amp;$B$2&amp;$B$1&amp;$C$1)</f>
        <v>0</v>
      </c>
      <c r="BK17" s="2">
        <f>COUNTIF(defects!$Z:$Z,Weekly_TVPlantPmod!BK$3&amp;Weekly_TVPlantPmod!$B17&amp;Weekly_TVPlantPmod!$B$3&amp;$B$2&amp;$B$1&amp;$C$1)</f>
        <v>0</v>
      </c>
      <c r="BL17" s="2">
        <f>COUNTIF(defects!$Z:$Z,Weekly_TVPlantPmod!BL$3&amp;Weekly_TVPlantPmod!$B17&amp;Weekly_TVPlantPmod!$B$3&amp;$B$2&amp;$B$1&amp;$C$1)</f>
        <v>0</v>
      </c>
      <c r="BM17" s="2">
        <f>COUNTIF(defects!$Z:$Z,Weekly_TVPlantPmod!BM$3&amp;Weekly_TVPlantPmod!$B17&amp;Weekly_TVPlantPmod!$B$3&amp;$B$2&amp;$B$1&amp;$C$1)</f>
        <v>0</v>
      </c>
      <c r="BN17" s="2">
        <f>COUNTIF(defects!$Z:$Z,Weekly_TVPlantPmod!BN$3&amp;Weekly_TVPlantPmod!$B17&amp;Weekly_TVPlantPmod!$B$3&amp;$B$2&amp;$B$1&amp;$C$1)</f>
        <v>0</v>
      </c>
      <c r="BO17" s="2">
        <f>COUNTIF(defects!$Z:$Z,Weekly_TVPlantPmod!BO$3&amp;Weekly_TVPlantPmod!$B17&amp;Weekly_TVPlantPmod!$B$3&amp;$B$2&amp;$B$1&amp;$C$1)</f>
        <v>0</v>
      </c>
      <c r="BP17" s="2">
        <f>COUNTIF(defects!$Z:$Z,Weekly_TVPlantPmod!BP$3&amp;Weekly_TVPlantPmod!$B17&amp;Weekly_TVPlantPmod!$B$3&amp;$B$2&amp;$B$1&amp;$C$1)</f>
        <v>0</v>
      </c>
      <c r="BQ17" s="2">
        <f>COUNTIF(defects!$Z:$Z,Weekly_TVPlantPmod!BQ$3&amp;Weekly_TVPlantPmod!$B17&amp;Weekly_TVPlantPmod!$B$3&amp;$B$2&amp;$B$1&amp;$C$1)</f>
        <v>0</v>
      </c>
      <c r="BR17" s="2">
        <f>COUNTIF(defects!$Z:$Z,Weekly_TVPlantPmod!BR$3&amp;Weekly_TVPlantPmod!$B17&amp;Weekly_TVPlantPmod!$B$3&amp;$B$2&amp;$B$1&amp;$C$1)</f>
        <v>0</v>
      </c>
      <c r="BS17" s="2">
        <f>COUNTIF(defects!$Z:$Z,Weekly_TVPlantPmod!BS$3&amp;Weekly_TVPlantPmod!$B17&amp;Weekly_TVPlantPmod!$B$3&amp;$B$2&amp;$B$1&amp;$C$1)</f>
        <v>0</v>
      </c>
      <c r="BT17" s="2">
        <f>COUNTIF(defects!$Z:$Z,Weekly_TVPlantPmod!BT$3&amp;Weekly_TVPlantPmod!$B17&amp;Weekly_TVPlantPmod!$B$3&amp;$B$2&amp;$B$1&amp;$C$1)</f>
        <v>0</v>
      </c>
      <c r="BU17" s="2">
        <f>COUNTIF(defects!$Z:$Z,Weekly_TVPlantPmod!BU$3&amp;Weekly_TVPlantPmod!$B17&amp;Weekly_TVPlantPmod!$B$3&amp;$B$2&amp;$B$1&amp;$C$1)</f>
        <v>0</v>
      </c>
      <c r="BV17" s="2">
        <f>COUNTIF(defects!$Z:$Z,Weekly_TVPlantPmod!BV$3&amp;Weekly_TVPlantPmod!$B17&amp;Weekly_TVPlantPmod!$B$3&amp;$B$2&amp;$B$1&amp;$C$1)</f>
        <v>0</v>
      </c>
      <c r="BW17" s="2">
        <f>COUNTIF(defects!$Z:$Z,Weekly_TVPlantPmod!BW$3&amp;Weekly_TVPlantPmod!$B17&amp;Weekly_TVPlantPmod!$B$3&amp;$B$2&amp;$B$1&amp;$C$1)</f>
        <v>0</v>
      </c>
      <c r="BX17" s="2">
        <f>COUNTIF(defects!$Z:$Z,Weekly_TVPlantPmod!BX$3&amp;Weekly_TVPlantPmod!$B17&amp;Weekly_TVPlantPmod!$B$3&amp;$B$2&amp;$B$1&amp;$C$1)</f>
        <v>0</v>
      </c>
      <c r="BY17" s="2">
        <f>COUNTIF(defects!$Z:$Z,Weekly_TVPlantPmod!BY$3&amp;Weekly_TVPlantPmod!$B17&amp;Weekly_TVPlantPmod!$B$3&amp;$B$2&amp;$B$1&amp;$C$1)</f>
        <v>0</v>
      </c>
      <c r="BZ17" s="2">
        <f>COUNTIF(defects!$Z:$Z,Weekly_TVPlantPmod!BZ$3&amp;Weekly_TVPlantPmod!$B17&amp;Weekly_TVPlantPmod!$B$3&amp;$B$2&amp;$B$1&amp;$C$1)</f>
        <v>0</v>
      </c>
      <c r="CA17" s="2">
        <f>COUNTIF(defects!$Z:$Z,Weekly_TVPlantPmod!CA$3&amp;Weekly_TVPlantPmod!$B17&amp;Weekly_TVPlantPmod!$B$3&amp;$B$2&amp;$B$1&amp;$C$1)</f>
        <v>0</v>
      </c>
      <c r="CB17" s="2">
        <f>COUNTIF(defects!$Z:$Z,Weekly_TVPlantPmod!CB$3&amp;Weekly_TVPlantPmod!$B17&amp;Weekly_TVPlantPmod!$B$3&amp;$B$2&amp;$B$1&amp;$C$1)</f>
        <v>0</v>
      </c>
      <c r="CC17" s="2">
        <f>COUNTIF(defects!$Z:$Z,Weekly_TVPlantPmod!CC$3&amp;Weekly_TVPlantPmod!$B17&amp;Weekly_TVPlantPmod!$B$3&amp;$B$2&amp;$B$1&amp;$C$1)</f>
        <v>0</v>
      </c>
      <c r="CD17" s="2">
        <f>COUNTIF(defects!$Z:$Z,Weekly_TVPlantPmod!CD$3&amp;Weekly_TVPlantPmod!$B17&amp;Weekly_TVPlantPmod!$B$3&amp;$B$2&amp;$B$1&amp;$C$1)</f>
        <v>0</v>
      </c>
      <c r="CE17" s="2">
        <f>COUNTIF(defects!$Z:$Z,Weekly_TVPlantPmod!CE$3&amp;Weekly_TVPlantPmod!$B17&amp;Weekly_TVPlantPmod!$B$3&amp;$B$2&amp;$B$1&amp;$C$1)</f>
        <v>0</v>
      </c>
      <c r="CF17" s="2">
        <f>COUNTIF(defects!$Z:$Z,Weekly_TVPlantPmod!CF$3&amp;Weekly_TVPlantPmod!$B17&amp;Weekly_TVPlantPmod!$B$3&amp;$B$2&amp;$B$1&amp;$C$1)</f>
        <v>0</v>
      </c>
      <c r="CG17" s="2">
        <f>COUNTIF(defects!$Z:$Z,Weekly_TVPlantPmod!CG$3&amp;Weekly_TVPlantPmod!$B17&amp;Weekly_TVPlantPmod!$B$3&amp;$B$2&amp;$B$1&amp;$C$1)</f>
        <v>0</v>
      </c>
      <c r="CH17" s="2">
        <f>COUNTIF(defects!$Z:$Z,Weekly_TVPlantPmod!CH$3&amp;Weekly_TVPlantPmod!$B17&amp;Weekly_TVPlantPmod!$B$3&amp;$B$2&amp;$B$1&amp;$C$1)</f>
        <v>0</v>
      </c>
      <c r="CI17" s="2">
        <f>COUNTIF(defects!$Z:$Z,Weekly_TVPlantPmod!CI$3&amp;Weekly_TVPlantPmod!$B17&amp;Weekly_TVPlantPmod!$B$3&amp;$B$2&amp;$B$1&amp;$C$1)</f>
        <v>0</v>
      </c>
      <c r="CJ17" s="2">
        <f>COUNTIF(defects!$Z:$Z,Weekly_TVPlantPmod!CJ$3&amp;Weekly_TVPlantPmod!$B17&amp;Weekly_TVPlantPmod!$B$3&amp;$B$2&amp;$B$1&amp;$C$1)</f>
        <v>0</v>
      </c>
      <c r="CK17" s="2">
        <f>COUNTIF(defects!$Z:$Z,Weekly_TVPlantPmod!CK$3&amp;Weekly_TVPlantPmod!$B17&amp;Weekly_TVPlantPmod!$B$3&amp;$B$2&amp;$B$1&amp;$C$1)</f>
        <v>0</v>
      </c>
      <c r="CL17" s="2">
        <f>COUNTIF(defects!$Z:$Z,Weekly_TVPlantPmod!CL$3&amp;Weekly_TVPlantPmod!$B17&amp;Weekly_TVPlantPmod!$B$3&amp;$B$2&amp;$B$1&amp;$C$1)</f>
        <v>0</v>
      </c>
      <c r="CM17" s="2">
        <f>COUNTIF(defects!$Z:$Z,Weekly_TVPlantPmod!CM$3&amp;Weekly_TVPlantPmod!$B17&amp;Weekly_TVPlantPmod!$B$3&amp;$B$2&amp;$B$1&amp;$C$1)</f>
        <v>0</v>
      </c>
      <c r="CN17" s="2">
        <f>COUNTIF(defects!$Z:$Z,Weekly_TVPlantPmod!CN$3&amp;Weekly_TVPlantPmod!$B17&amp;Weekly_TVPlantPmod!$B$3&amp;$B$2&amp;$B$1&amp;$C$1)</f>
        <v>0</v>
      </c>
      <c r="CO17" s="2">
        <f>COUNTIF(defects!$Z:$Z,Weekly_TVPlantPmod!CO$3&amp;Weekly_TVPlantPmod!$B17&amp;Weekly_TVPlantPmod!$B$3&amp;$B$2&amp;$B$1&amp;$C$1)</f>
        <v>0</v>
      </c>
      <c r="CP17" s="2">
        <f>COUNTIF(defects!$Z:$Z,Weekly_TVPlantPmod!CP$3&amp;Weekly_TVPlantPmod!$B17&amp;Weekly_TVPlantPmod!$B$3&amp;$B$2&amp;$B$1&amp;$C$1)</f>
        <v>0</v>
      </c>
      <c r="CQ17" s="2">
        <f>COUNTIF(defects!$Z:$Z,Weekly_TVPlantPmod!CQ$3&amp;Weekly_TVPlantPmod!$B17&amp;Weekly_TVPlantPmod!$B$3&amp;$B$2&amp;$B$1&amp;$C$1)</f>
        <v>0</v>
      </c>
      <c r="CR17" s="2">
        <f>COUNTIF(defects!$Z:$Z,Weekly_TVPlantPmod!CR$3&amp;Weekly_TVPlantPmod!$B17&amp;Weekly_TVPlantPmod!$B$3&amp;$B$2&amp;$B$1&amp;$C$1)</f>
        <v>0</v>
      </c>
      <c r="CS17" s="2">
        <f>COUNTIF(defects!$Z:$Z,Weekly_TVPlantPmod!CS$3&amp;Weekly_TVPlantPmod!$B17&amp;Weekly_TVPlantPmod!$B$3&amp;$B$2&amp;$B$1&amp;$C$1)</f>
        <v>0</v>
      </c>
      <c r="CT17" s="2">
        <f>COUNTIF(defects!$Z:$Z,Weekly_TVPlantPmod!CT$3&amp;Weekly_TVPlantPmod!$B17&amp;Weekly_TVPlantPmod!$B$3&amp;$B$2&amp;$B$1&amp;$C$1)</f>
        <v>0</v>
      </c>
      <c r="CU17" s="2">
        <f>COUNTIF(defects!$Z:$Z,Weekly_TVPlantPmod!CU$3&amp;Weekly_TVPlantPmod!$B17&amp;Weekly_TVPlantPmod!$B$3&amp;$B$2&amp;$B$1&amp;$C$1)</f>
        <v>0</v>
      </c>
      <c r="CV17" s="2">
        <f>COUNTIF(defects!$Z:$Z,Weekly_TVPlantPmod!CV$3&amp;Weekly_TVPlantPmod!$B17&amp;Weekly_TVPlantPmod!$B$3&amp;$B$2&amp;$B$1&amp;$C$1)</f>
        <v>0</v>
      </c>
      <c r="CW17" s="2">
        <f>COUNTIF(defects!$Z:$Z,Weekly_TVPlantPmod!CW$3&amp;Weekly_TVPlantPmod!$B17&amp;Weekly_TVPlantPmod!$B$3&amp;$B$2&amp;$B$1&amp;$C$1)</f>
        <v>0</v>
      </c>
      <c r="CX17" s="2">
        <f>COUNTIF(defects!$Z:$Z,Weekly_TVPlantPmod!CX$3&amp;Weekly_TVPlantPmod!$B17&amp;Weekly_TVPlantPmod!$B$3&amp;$B$2&amp;$B$1&amp;$C$1)</f>
        <v>0</v>
      </c>
      <c r="CY17" s="2">
        <f>COUNTIF(defects!$Z:$Z,Weekly_TVPlantPmod!CY$3&amp;Weekly_TVPlantPmod!$B17&amp;Weekly_TVPlantPmod!$B$3&amp;$B$2&amp;$B$1&amp;$C$1)</f>
        <v>0</v>
      </c>
      <c r="CZ17" s="2">
        <f>COUNTIF(defects!$Z:$Z,Weekly_TVPlantPmod!CZ$3&amp;Weekly_TVPlantPmod!$B17&amp;Weekly_TVPlantPmod!$B$3&amp;$B$2&amp;$B$1&amp;$C$1)</f>
        <v>0</v>
      </c>
      <c r="DA17" s="2">
        <f>COUNTIF(defects!$Z:$Z,Weekly_TVPlantPmod!DA$3&amp;Weekly_TVPlantPmod!$B17&amp;Weekly_TVPlantPmod!$B$3&amp;$B$2&amp;$B$1&amp;$C$1)</f>
        <v>0</v>
      </c>
      <c r="DB17" s="2">
        <f>COUNTIF(defects!$Z:$Z,Weekly_TVPlantPmod!DB$3&amp;Weekly_TVPlantPmod!$B17&amp;Weekly_TVPlantPmod!$B$3&amp;$B$2&amp;$B$1&amp;$C$1)</f>
        <v>0</v>
      </c>
      <c r="DC17" s="2">
        <f>COUNTIF(defects!$Z:$Z,Weekly_TVPlantPmod!DC$3&amp;Weekly_TVPlantPmod!$B17&amp;Weekly_TVPlantPmod!$B$3&amp;$B$2&amp;$B$1&amp;$C$1)</f>
        <v>0</v>
      </c>
      <c r="DD17" s="2">
        <f>COUNTIF(defects!$Z:$Z,Weekly_TVPlantPmod!DD$3&amp;Weekly_TVPlantPmod!$B17&amp;Weekly_TVPlantPmod!$B$3&amp;$B$2&amp;$B$1&amp;$C$1)</f>
        <v>0</v>
      </c>
      <c r="DE17" s="2">
        <f>COUNTIF(defects!$Z:$Z,Weekly_TVPlantPmod!DE$3&amp;Weekly_TVPlantPmod!$B17&amp;Weekly_TVPlantPmod!$B$3&amp;$B$2&amp;$B$1&amp;$C$1)</f>
        <v>0</v>
      </c>
      <c r="DF17" s="2">
        <f>COUNTIF(defects!$Z:$Z,Weekly_TVPlantPmod!DF$3&amp;Weekly_TVPlantPmod!$B17&amp;Weekly_TVPlantPmod!$B$3&amp;$B$2&amp;$B$1&amp;$C$1)</f>
        <v>0</v>
      </c>
      <c r="DG17" s="2">
        <f>COUNTIF(defects!$Z:$Z,Weekly_TVPlantPmod!DG$3&amp;Weekly_TVPlantPmod!$B17&amp;Weekly_TVPlantPmod!$B$3&amp;$B$2&amp;$B$1&amp;$C$1)</f>
        <v>0</v>
      </c>
      <c r="DH17" s="2">
        <f>COUNTIF(defects!$Z:$Z,Weekly_TVPlantPmod!DH$3&amp;Weekly_TVPlantPmod!$B17&amp;Weekly_TVPlantPmod!$B$3&amp;$B$2&amp;$B$1&amp;$C$1)</f>
        <v>0</v>
      </c>
      <c r="DI17" s="2">
        <f>COUNTIF(defects!$Z:$Z,Weekly_TVPlantPmod!DI$3&amp;Weekly_TVPlantPmod!$B17&amp;Weekly_TVPlantPmod!$B$3&amp;$B$2&amp;$B$1&amp;$C$1)</f>
        <v>0</v>
      </c>
      <c r="DJ17" s="2">
        <f>COUNTIF(defects!$Z:$Z,Weekly_TVPlantPmod!DJ$3&amp;Weekly_TVPlantPmod!$B17&amp;Weekly_TVPlantPmod!$B$3&amp;$B$2&amp;$B$1&amp;$C$1)</f>
        <v>0</v>
      </c>
      <c r="DK17" s="2">
        <f>COUNTIF(defects!$Z:$Z,Weekly_TVPlantPmod!DK$3&amp;Weekly_TVPlantPmod!$B17&amp;Weekly_TVPlantPmod!$B$3&amp;$B$2&amp;$B$1&amp;$C$1)</f>
        <v>0</v>
      </c>
      <c r="DL17" s="2">
        <f>COUNTIF(defects!$Z:$Z,Weekly_TVPlantPmod!DL$3&amp;Weekly_TVPlantPmod!$B17&amp;Weekly_TVPlantPmod!$B$3&amp;$B$2&amp;$B$1&amp;$C$1)</f>
        <v>0</v>
      </c>
      <c r="DM17" s="2">
        <f>COUNTIF(defects!$Z:$Z,Weekly_TVPlantPmod!DM$3&amp;Weekly_TVPlantPmod!$B17&amp;Weekly_TVPlantPmod!$B$3&amp;$B$2&amp;$B$1&amp;$C$1)</f>
        <v>0</v>
      </c>
      <c r="DN17" s="2">
        <f>COUNTIF(defects!$Z:$Z,Weekly_TVPlantPmod!DN$3&amp;Weekly_TVPlantPmod!$B17&amp;Weekly_TVPlantPmod!$B$3&amp;$B$2&amp;$B$1&amp;$C$1)</f>
        <v>0</v>
      </c>
      <c r="DO17" s="2">
        <f>COUNTIF(defects!$Z:$Z,Weekly_TVPlantPmod!DO$3&amp;Weekly_TVPlantPmod!$B17&amp;Weekly_TVPlantPmod!$B$3&amp;$B$2&amp;$B$1&amp;$C$1)</f>
        <v>0</v>
      </c>
      <c r="DP17" s="2">
        <f>COUNTIF(defects!$Z:$Z,Weekly_TVPlantPmod!DP$3&amp;Weekly_TVPlantPmod!$B17&amp;Weekly_TVPlantPmod!$B$3&amp;$B$2&amp;$B$1&amp;$C$1)</f>
        <v>0</v>
      </c>
      <c r="DQ17" s="2">
        <f>COUNTIF(defects!$Z:$Z,Weekly_TVPlantPmod!DQ$3&amp;Weekly_TVPlantPmod!$B17&amp;Weekly_TVPlantPmod!$B$3&amp;$B$2&amp;$B$1&amp;$C$1)</f>
        <v>0</v>
      </c>
      <c r="DR17" s="2">
        <f>COUNTIF(defects!$Z:$Z,Weekly_TVPlantPmod!DR$3&amp;Weekly_TVPlantPmod!$B17&amp;Weekly_TVPlantPmod!$B$3&amp;$B$2&amp;$B$1&amp;$C$1)</f>
        <v>0</v>
      </c>
      <c r="DS17" s="2">
        <f>COUNTIF(defects!$Z:$Z,Weekly_TVPlantPmod!DS$3&amp;Weekly_TVPlantPmod!$B17&amp;Weekly_TVPlantPmod!$B$3&amp;$B$2&amp;$B$1&amp;$C$1)</f>
        <v>0</v>
      </c>
      <c r="DT17" s="2">
        <f>COUNTIF(defects!$Z:$Z,Weekly_TVPlantPmod!DT$3&amp;Weekly_TVPlantPmod!$B17&amp;Weekly_TVPlantPmod!$B$3&amp;$B$2&amp;$B$1&amp;$C$1)</f>
        <v>0</v>
      </c>
      <c r="DU17" s="2">
        <f>COUNTIF(defects!$Z:$Z,Weekly_TVPlantPmod!DU$3&amp;Weekly_TVPlantPmod!$B17&amp;Weekly_TVPlantPmod!$B$3&amp;$B$2&amp;$B$1&amp;$C$1)</f>
        <v>0</v>
      </c>
      <c r="DV17" s="2">
        <f>COUNTIF(defects!$Z:$Z,Weekly_TVPlantPmod!DV$3&amp;Weekly_TVPlantPmod!$B17&amp;Weekly_TVPlantPmod!$B$3&amp;$B$2&amp;$B$1&amp;$C$1)</f>
        <v>0</v>
      </c>
      <c r="DW17" s="2">
        <f>COUNTIF(defects!$Z:$Z,Weekly_TVPlantPmod!DW$3&amp;Weekly_TVPlantPmod!$B17&amp;Weekly_TVPlantPmod!$B$3&amp;$B$2&amp;$B$1&amp;$C$1)</f>
        <v>0</v>
      </c>
      <c r="DX17" s="2">
        <f>COUNTIF(defects!$Z:$Z,Weekly_TVPlantPmod!DX$3&amp;Weekly_TVPlantPmod!$B17&amp;Weekly_TVPlantPmod!$B$3&amp;$B$2&amp;$B$1&amp;$C$1)</f>
        <v>0</v>
      </c>
      <c r="DY17" s="2">
        <f>COUNTIF(defects!$Z:$Z,Weekly_TVPlantPmod!DY$3&amp;Weekly_TVPlantPmod!$B17&amp;Weekly_TVPlantPmod!$B$3&amp;$B$2&amp;$B$1&amp;$C$1)</f>
        <v>0</v>
      </c>
      <c r="DZ17" s="2">
        <f>COUNTIF(defects!$Z:$Z,Weekly_TVPlantPmod!DZ$3&amp;Weekly_TVPlantPmod!$B17&amp;Weekly_TVPlantPmod!$B$3&amp;$B$2&amp;$B$1&amp;$C$1)</f>
        <v>0</v>
      </c>
      <c r="EA17" s="2">
        <f>COUNTIF(defects!$Z:$Z,Weekly_TVPlantPmod!EA$3&amp;Weekly_TVPlantPmod!$B17&amp;Weekly_TVPlantPmod!$B$3&amp;$B$2&amp;$B$1&amp;$C$1)</f>
        <v>0</v>
      </c>
      <c r="EB17" s="2">
        <f>COUNTIF(defects!$Z:$Z,Weekly_TVPlantPmod!EB$3&amp;Weekly_TVPlantPmod!$B17&amp;Weekly_TVPlantPmod!$B$3&amp;$B$2&amp;$B$1&amp;$C$1)</f>
        <v>0</v>
      </c>
      <c r="EC17" s="2">
        <f>COUNTIF(defects!$Z:$Z,Weekly_TVPlantPmod!EC$3&amp;Weekly_TVPlantPmod!$B17&amp;Weekly_TVPlantPmod!$B$3&amp;$B$2&amp;$B$1&amp;$C$1)</f>
        <v>0</v>
      </c>
      <c r="ED17" s="2">
        <f>COUNTIF(defects!$Z:$Z,Weekly_TVPlantPmod!ED$3&amp;Weekly_TVPlantPmod!$B17&amp;Weekly_TVPlantPmod!$B$3&amp;$B$2&amp;$B$1&amp;$C$1)</f>
        <v>0</v>
      </c>
      <c r="EE17" s="2">
        <f>COUNTIF(defects!$Z:$Z,Weekly_TVPlantPmod!EE$3&amp;Weekly_TVPlantPmod!$B17&amp;Weekly_TVPlantPmod!$B$3&amp;$B$2&amp;$B$1&amp;$C$1)</f>
        <v>0</v>
      </c>
      <c r="EF17" s="2">
        <f>COUNTIF(defects!$Z:$Z,Weekly_TVPlantPmod!EF$3&amp;Weekly_TVPlantPmod!$B17&amp;Weekly_TVPlantPmod!$B$3&amp;$B$2&amp;$B$1&amp;$C$1)</f>
        <v>0</v>
      </c>
      <c r="EG17" s="2">
        <f>COUNTIF(defects!$Z:$Z,Weekly_TVPlantPmod!EG$3&amp;Weekly_TVPlantPmod!$B17&amp;Weekly_TVPlantPmod!$B$3&amp;$B$2&amp;$B$1&amp;$C$1)</f>
        <v>0</v>
      </c>
      <c r="EH17" s="2">
        <f>COUNTIF(defects!$Z:$Z,Weekly_TVPlantPmod!EH$3&amp;Weekly_TVPlantPmod!$B17&amp;Weekly_TVPlantPmod!$B$3&amp;$B$2&amp;$B$1&amp;$C$1)</f>
        <v>0</v>
      </c>
      <c r="EI17" s="2">
        <f>COUNTIF(defects!$Z:$Z,Weekly_TVPlantPmod!EI$3&amp;Weekly_TVPlantPmod!$B17&amp;Weekly_TVPlantPmod!$B$3&amp;$B$2&amp;$B$1&amp;$C$1)</f>
        <v>0</v>
      </c>
      <c r="EJ17" s="2">
        <f>COUNTIF(defects!$Z:$Z,Weekly_TVPlantPmod!EJ$3&amp;Weekly_TVPlantPmod!$B17&amp;Weekly_TVPlantPmod!$B$3&amp;$B$2&amp;$B$1&amp;$C$1)</f>
        <v>0</v>
      </c>
      <c r="EK17" s="2">
        <f>COUNTIF(defects!$Z:$Z,Weekly_TVPlantPmod!EK$3&amp;Weekly_TVPlantPmod!$B17&amp;Weekly_TVPlantPmod!$B$3&amp;$B$2&amp;$B$1&amp;$C$1)</f>
        <v>0</v>
      </c>
      <c r="EL17" s="2">
        <f>COUNTIF(defects!$Z:$Z,Weekly_TVPlantPmod!EL$3&amp;Weekly_TVPlantPmod!$B17&amp;Weekly_TVPlantPmod!$B$3&amp;$B$2&amp;$B$1&amp;$C$1)</f>
        <v>0</v>
      </c>
      <c r="EM17" s="2">
        <f>COUNTIF(defects!$Z:$Z,Weekly_TVPlantPmod!EM$3&amp;Weekly_TVPlantPmod!$B17&amp;Weekly_TVPlantPmod!$B$3&amp;$B$2&amp;$B$1&amp;$C$1)</f>
        <v>0</v>
      </c>
      <c r="EN17" s="2">
        <f>COUNTIF(defects!$Z:$Z,Weekly_TVPlantPmod!EN$3&amp;Weekly_TVPlantPmod!$B17&amp;Weekly_TVPlantPmod!$B$3&amp;$B$2&amp;$B$1&amp;$C$1)</f>
        <v>0</v>
      </c>
      <c r="EO17" s="2">
        <f>COUNTIF(defects!$Z:$Z,Weekly_TVPlantPmod!EO$3&amp;Weekly_TVPlantPmod!$B17&amp;Weekly_TVPlantPmod!$B$3&amp;$B$2&amp;$B$1&amp;$C$1)</f>
        <v>0</v>
      </c>
      <c r="EP17" s="2">
        <f>COUNTIF(defects!$Z:$Z,Weekly_TVPlantPmod!EP$3&amp;Weekly_TVPlantPmod!$B17&amp;Weekly_TVPlantPmod!$B$3&amp;$B$2&amp;$B$1&amp;$C$1)</f>
        <v>0</v>
      </c>
      <c r="EQ17" s="2">
        <f>COUNTIF(defects!$Z:$Z,Weekly_TVPlantPmod!EQ$3&amp;Weekly_TVPlantPmod!$B17&amp;Weekly_TVPlantPmod!$B$3&amp;$B$2&amp;$B$1&amp;$C$1)</f>
        <v>0</v>
      </c>
      <c r="ER17" s="2">
        <f>COUNTIF(defects!$Z:$Z,Weekly_TVPlantPmod!ER$3&amp;Weekly_TVPlantPmod!$B17&amp;Weekly_TVPlantPmod!$B$3&amp;$B$2&amp;$B$1&amp;$C$1)</f>
        <v>0</v>
      </c>
      <c r="ES17" s="2">
        <f>COUNTIF(defects!$Z:$Z,Weekly_TVPlantPmod!ES$3&amp;Weekly_TVPlantPmod!$B17&amp;Weekly_TVPlantPmod!$B$3&amp;$B$2&amp;$B$1&amp;$C$1)</f>
        <v>0</v>
      </c>
      <c r="ET17" s="2">
        <f>COUNTIF(defects!$Z:$Z,Weekly_TVPlantPmod!ET$3&amp;Weekly_TVPlantPmod!$B17&amp;Weekly_TVPlantPmod!$B$3&amp;$B$2&amp;$B$1&amp;$C$1)</f>
        <v>0</v>
      </c>
      <c r="EU17" s="2">
        <f>COUNTIF(defects!$Z:$Z,Weekly_TVPlantPmod!EU$3&amp;Weekly_TVPlantPmod!$B17&amp;Weekly_TVPlantPmod!$B$3&amp;$B$2&amp;$B$1&amp;$C$1)</f>
        <v>0</v>
      </c>
      <c r="EV17" s="2">
        <f>COUNTIF(defects!$Z:$Z,Weekly_TVPlantPmod!EV$3&amp;Weekly_TVPlantPmod!$B17&amp;Weekly_TVPlantPmod!$B$3&amp;$B$2&amp;$B$1&amp;$C$1)</f>
        <v>0</v>
      </c>
      <c r="EW17" s="2">
        <f>COUNTIF(defects!$Z:$Z,Weekly_TVPlantPmod!EW$3&amp;Weekly_TVPlantPmod!$B17&amp;Weekly_TVPlantPmod!$B$3&amp;$B$2&amp;$B$1&amp;$C$1)</f>
        <v>0</v>
      </c>
      <c r="EX17" s="2">
        <f>COUNTIF(defects!$Z:$Z,Weekly_TVPlantPmod!EX$3&amp;Weekly_TVPlantPmod!$B17&amp;Weekly_TVPlantPmod!$B$3&amp;$B$2&amp;$B$1&amp;$C$1)</f>
        <v>0</v>
      </c>
      <c r="EY17" s="2">
        <f>COUNTIF(defects!$Z:$Z,Weekly_TVPlantPmod!EY$3&amp;Weekly_TVPlantPmod!$B17&amp;Weekly_TVPlantPmod!$B$3&amp;$B$2&amp;$B$1&amp;$C$1)</f>
        <v>0</v>
      </c>
      <c r="EZ17" s="2">
        <f>COUNTIF(defects!$Z:$Z,Weekly_TVPlantPmod!EZ$3&amp;Weekly_TVPlantPmod!$B17&amp;Weekly_TVPlantPmod!$B$3&amp;$B$2&amp;$B$1&amp;$C$1)</f>
        <v>0</v>
      </c>
      <c r="FA17" s="2">
        <f>COUNTIF(defects!$Z:$Z,Weekly_TVPlantPmod!FA$3&amp;Weekly_TVPlantPmod!$B17&amp;Weekly_TVPlantPmod!$B$3&amp;$B$2&amp;$B$1&amp;$C$1)</f>
        <v>0</v>
      </c>
      <c r="FB17" s="2">
        <f>COUNTIF(defects!$Z:$Z,Weekly_TVPlantPmod!FB$3&amp;Weekly_TVPlantPmod!$B17&amp;Weekly_TVPlantPmod!$B$3&amp;$B$2&amp;$B$1&amp;$C$1)</f>
        <v>0</v>
      </c>
      <c r="FC17" s="2">
        <f>COUNTIF(defects!$Z:$Z,Weekly_TVPlantPmod!FC$3&amp;Weekly_TVPlantPmod!$B17&amp;Weekly_TVPlantPmod!$B$3&amp;$B$2&amp;$B$1&amp;$C$1)</f>
        <v>0</v>
      </c>
      <c r="FD17" s="2">
        <f>COUNTIF(defects!$Z:$Z,Weekly_TVPlantPmod!FD$3&amp;Weekly_TVPlantPmod!$B17&amp;Weekly_TVPlantPmod!$B$3&amp;$B$2&amp;$B$1&amp;$C$1)</f>
        <v>0</v>
      </c>
      <c r="FE17" s="2">
        <f>COUNTIF(defects!$Z:$Z,Weekly_TVPlantPmod!FE$3&amp;Weekly_TVPlantPmod!$B17&amp;Weekly_TVPlantPmod!$B$3&amp;$B$2&amp;$B$1&amp;$C$1)</f>
        <v>0</v>
      </c>
    </row>
    <row r="18" spans="2:161">
      <c r="B18" s="2" t="s">
        <v>891</v>
      </c>
      <c r="C18" s="2">
        <f>COUNTIF(defects!$Z:$Z,Weekly_TVPlantPmod!C$3&amp;Weekly_TVPlantPmod!$B18&amp;Weekly_TVPlantPmod!$B$3&amp;$B$2&amp;$B$1&amp;$C$1)</f>
        <v>0</v>
      </c>
      <c r="D18" s="2">
        <f>COUNTIF(defects!$Z:$Z,Weekly_TVPlantPmod!D$3&amp;Weekly_TVPlantPmod!$B18&amp;Weekly_TVPlantPmod!$B$3&amp;$B$2&amp;$B$1&amp;$C$1)</f>
        <v>0</v>
      </c>
      <c r="E18" s="2">
        <f>COUNTIF(defects!$Z:$Z,Weekly_TVPlantPmod!E$3&amp;Weekly_TVPlantPmod!$B18&amp;Weekly_TVPlantPmod!$B$3&amp;$B$2&amp;$B$1&amp;$C$1)</f>
        <v>0</v>
      </c>
      <c r="F18" s="2">
        <f>COUNTIF(defects!$Z:$Z,Weekly_TVPlantPmod!F$3&amp;Weekly_TVPlantPmod!$B18&amp;Weekly_TVPlantPmod!$B$3&amp;$B$2&amp;$B$1&amp;$C$1)</f>
        <v>0</v>
      </c>
      <c r="G18" s="2">
        <f>COUNTIF(defects!$Z:$Z,Weekly_TVPlantPmod!G$3&amp;Weekly_TVPlantPmod!$B18&amp;Weekly_TVPlantPmod!$B$3&amp;$B$2&amp;$B$1&amp;$C$1)</f>
        <v>0</v>
      </c>
      <c r="H18" s="2">
        <f>COUNTIF(defects!$Z:$Z,Weekly_TVPlantPmod!H$3&amp;Weekly_TVPlantPmod!$B18&amp;Weekly_TVPlantPmod!$B$3&amp;$B$2&amp;$B$1&amp;$C$1)</f>
        <v>0</v>
      </c>
      <c r="I18" s="2">
        <f>COUNTIF(defects!$Z:$Z,Weekly_TVPlantPmod!I$3&amp;Weekly_TVPlantPmod!$B18&amp;Weekly_TVPlantPmod!$B$3&amp;$B$2&amp;$B$1&amp;$C$1)</f>
        <v>0</v>
      </c>
      <c r="J18" s="2">
        <f>COUNTIF(defects!$Z:$Z,Weekly_TVPlantPmod!J$3&amp;Weekly_TVPlantPmod!$B18&amp;Weekly_TVPlantPmod!$B$3&amp;$B$2&amp;$B$1&amp;$C$1)</f>
        <v>0</v>
      </c>
      <c r="K18" s="2">
        <f>COUNTIF(defects!$Z:$Z,Weekly_TVPlantPmod!K$3&amp;Weekly_TVPlantPmod!$B18&amp;Weekly_TVPlantPmod!$B$3&amp;$B$2&amp;$B$1&amp;$C$1)</f>
        <v>0</v>
      </c>
      <c r="L18" s="2">
        <f>COUNTIF(defects!$Z:$Z,Weekly_TVPlantPmod!L$3&amp;Weekly_TVPlantPmod!$B18&amp;Weekly_TVPlantPmod!$B$3&amp;$B$2&amp;$B$1&amp;$C$1)</f>
        <v>0</v>
      </c>
      <c r="M18" s="2">
        <f>COUNTIF(defects!$Z:$Z,Weekly_TVPlantPmod!M$3&amp;Weekly_TVPlantPmod!$B18&amp;Weekly_TVPlantPmod!$B$3&amp;$B$2&amp;$B$1&amp;$C$1)</f>
        <v>0</v>
      </c>
      <c r="N18" s="2">
        <f>COUNTIF(defects!$Z:$Z,Weekly_TVPlantPmod!N$3&amp;Weekly_TVPlantPmod!$B18&amp;Weekly_TVPlantPmod!$B$3&amp;$B$2&amp;$B$1&amp;$C$1)</f>
        <v>0</v>
      </c>
      <c r="O18" s="2">
        <f>COUNTIF(defects!$Z:$Z,Weekly_TVPlantPmod!O$3&amp;Weekly_TVPlantPmod!$B18&amp;Weekly_TVPlantPmod!$B$3&amp;$B$2&amp;$B$1&amp;$C$1)</f>
        <v>0</v>
      </c>
      <c r="P18" s="2">
        <f>COUNTIF(defects!$Z:$Z,Weekly_TVPlantPmod!P$3&amp;Weekly_TVPlantPmod!$B18&amp;Weekly_TVPlantPmod!$B$3&amp;$B$2&amp;$B$1&amp;$C$1)</f>
        <v>0</v>
      </c>
      <c r="Q18" s="2">
        <f>COUNTIF(defects!$Z:$Z,Weekly_TVPlantPmod!Q$3&amp;Weekly_TVPlantPmod!$B18&amp;Weekly_TVPlantPmod!$B$3&amp;$B$2&amp;$B$1&amp;$C$1)</f>
        <v>0</v>
      </c>
      <c r="R18" s="2">
        <f>COUNTIF(defects!$Z:$Z,Weekly_TVPlantPmod!R$3&amp;Weekly_TVPlantPmod!$B18&amp;Weekly_TVPlantPmod!$B$3&amp;$B$2&amp;$B$1&amp;$C$1)</f>
        <v>0</v>
      </c>
      <c r="S18" s="2">
        <f>COUNTIF(defects!$Z:$Z,Weekly_TVPlantPmod!S$3&amp;Weekly_TVPlantPmod!$B18&amp;Weekly_TVPlantPmod!$B$3&amp;$B$2&amp;$B$1&amp;$C$1)</f>
        <v>0</v>
      </c>
      <c r="T18" s="2">
        <f>COUNTIF(defects!$Z:$Z,Weekly_TVPlantPmod!T$3&amp;Weekly_TVPlantPmod!$B18&amp;Weekly_TVPlantPmod!$B$3&amp;$B$2&amp;$B$1&amp;$C$1)</f>
        <v>0</v>
      </c>
      <c r="U18" s="2">
        <f>COUNTIF(defects!$Z:$Z,Weekly_TVPlantPmod!U$3&amp;Weekly_TVPlantPmod!$B18&amp;Weekly_TVPlantPmod!$B$3&amp;$B$2&amp;$B$1&amp;$C$1)</f>
        <v>0</v>
      </c>
      <c r="V18" s="2">
        <f>COUNTIF(defects!$Z:$Z,Weekly_TVPlantPmod!V$3&amp;Weekly_TVPlantPmod!$B18&amp;Weekly_TVPlantPmod!$B$3&amp;$B$2&amp;$B$1&amp;$C$1)</f>
        <v>0</v>
      </c>
      <c r="W18" s="2">
        <f>COUNTIF(defects!$Z:$Z,Weekly_TVPlantPmod!W$3&amp;Weekly_TVPlantPmod!$B18&amp;Weekly_TVPlantPmod!$B$3&amp;$B$2&amp;$B$1&amp;$C$1)</f>
        <v>0</v>
      </c>
      <c r="X18" s="2">
        <f>COUNTIF(defects!$Z:$Z,Weekly_TVPlantPmod!X$3&amp;Weekly_TVPlantPmod!$B18&amp;Weekly_TVPlantPmod!$B$3&amp;$B$2&amp;$B$1&amp;$C$1)</f>
        <v>0</v>
      </c>
      <c r="Y18" s="2">
        <f>COUNTIF(defects!$Z:$Z,Weekly_TVPlantPmod!Y$3&amp;Weekly_TVPlantPmod!$B18&amp;Weekly_TVPlantPmod!$B$3&amp;$B$2&amp;$B$1&amp;$C$1)</f>
        <v>0</v>
      </c>
      <c r="Z18" s="2">
        <f>COUNTIF(defects!$Z:$Z,Weekly_TVPlantPmod!Z$3&amp;Weekly_TVPlantPmod!$B18&amp;Weekly_TVPlantPmod!$B$3&amp;$B$2&amp;$B$1&amp;$C$1)</f>
        <v>0</v>
      </c>
      <c r="AA18" s="2">
        <f>COUNTIF(defects!$Z:$Z,Weekly_TVPlantPmod!AA$3&amp;Weekly_TVPlantPmod!$B18&amp;Weekly_TVPlantPmod!$B$3&amp;$B$2&amp;$B$1&amp;$C$1)</f>
        <v>0</v>
      </c>
      <c r="AB18" s="2">
        <f>COUNTIF(defects!$Z:$Z,Weekly_TVPlantPmod!AB$3&amp;Weekly_TVPlantPmod!$B18&amp;Weekly_TVPlantPmod!$B$3&amp;$B$2&amp;$B$1&amp;$C$1)</f>
        <v>0</v>
      </c>
      <c r="AC18" s="2">
        <f>COUNTIF(defects!$Z:$Z,Weekly_TVPlantPmod!AC$3&amp;Weekly_TVPlantPmod!$B18&amp;Weekly_TVPlantPmod!$B$3&amp;$B$2&amp;$B$1&amp;$C$1)</f>
        <v>0</v>
      </c>
      <c r="AD18" s="2">
        <f>COUNTIF(defects!$Z:$Z,Weekly_TVPlantPmod!AD$3&amp;Weekly_TVPlantPmod!$B18&amp;Weekly_TVPlantPmod!$B$3&amp;$B$2&amp;$B$1&amp;$C$1)</f>
        <v>0</v>
      </c>
      <c r="AE18" s="2">
        <f>COUNTIF(defects!$Z:$Z,Weekly_TVPlantPmod!AE$3&amp;Weekly_TVPlantPmod!$B18&amp;Weekly_TVPlantPmod!$B$3&amp;$B$2&amp;$B$1&amp;$C$1)</f>
        <v>0</v>
      </c>
      <c r="AF18" s="2">
        <f>COUNTIF(defects!$Z:$Z,Weekly_TVPlantPmod!AF$3&amp;Weekly_TVPlantPmod!$B18&amp;Weekly_TVPlantPmod!$B$3&amp;$B$2&amp;$B$1&amp;$C$1)</f>
        <v>0</v>
      </c>
      <c r="AG18" s="2">
        <f>COUNTIF(defects!$Z:$Z,Weekly_TVPlantPmod!AG$3&amp;Weekly_TVPlantPmod!$B18&amp;Weekly_TVPlantPmod!$B$3&amp;$B$2&amp;$B$1&amp;$C$1)</f>
        <v>0</v>
      </c>
      <c r="AH18" s="2">
        <f>COUNTIF(defects!$Z:$Z,Weekly_TVPlantPmod!AH$3&amp;Weekly_TVPlantPmod!$B18&amp;Weekly_TVPlantPmod!$B$3&amp;$B$2&amp;$B$1&amp;$C$1)</f>
        <v>0</v>
      </c>
      <c r="AI18" s="2">
        <f>COUNTIF(defects!$Z:$Z,Weekly_TVPlantPmod!AI$3&amp;Weekly_TVPlantPmod!$B18&amp;Weekly_TVPlantPmod!$B$3&amp;$B$2&amp;$B$1&amp;$C$1)</f>
        <v>0</v>
      </c>
      <c r="AJ18" s="2">
        <f>COUNTIF(defects!$Z:$Z,Weekly_TVPlantPmod!AJ$3&amp;Weekly_TVPlantPmod!$B18&amp;Weekly_TVPlantPmod!$B$3&amp;$B$2&amp;$B$1&amp;$C$1)</f>
        <v>0</v>
      </c>
      <c r="AK18" s="2">
        <f>COUNTIF(defects!$Z:$Z,Weekly_TVPlantPmod!AK$3&amp;Weekly_TVPlantPmod!$B18&amp;Weekly_TVPlantPmod!$B$3&amp;$B$2&amp;$B$1&amp;$C$1)</f>
        <v>0</v>
      </c>
      <c r="AL18" s="2">
        <f>COUNTIF(defects!$Z:$Z,Weekly_TVPlantPmod!AL$3&amp;Weekly_TVPlantPmod!$B18&amp;Weekly_TVPlantPmod!$B$3&amp;$B$2&amp;$B$1&amp;$C$1)</f>
        <v>0</v>
      </c>
      <c r="AM18" s="2">
        <f>COUNTIF(defects!$Z:$Z,Weekly_TVPlantPmod!AM$3&amp;Weekly_TVPlantPmod!$B18&amp;Weekly_TVPlantPmod!$B$3&amp;$B$2&amp;$B$1&amp;$C$1)</f>
        <v>0</v>
      </c>
      <c r="AN18" s="2">
        <f>COUNTIF(defects!$Z:$Z,Weekly_TVPlantPmod!AN$3&amp;Weekly_TVPlantPmod!$B18&amp;Weekly_TVPlantPmod!$B$3&amp;$B$2&amp;$B$1&amp;$C$1)</f>
        <v>0</v>
      </c>
      <c r="AO18" s="2">
        <f>COUNTIF(defects!$Z:$Z,Weekly_TVPlantPmod!AO$3&amp;Weekly_TVPlantPmod!$B18&amp;Weekly_TVPlantPmod!$B$3&amp;$B$2&amp;$B$1&amp;$C$1)</f>
        <v>0</v>
      </c>
      <c r="AP18" s="2">
        <f>COUNTIF(defects!$Z:$Z,Weekly_TVPlantPmod!AP$3&amp;Weekly_TVPlantPmod!$B18&amp;Weekly_TVPlantPmod!$B$3&amp;$B$2&amp;$B$1&amp;$C$1)</f>
        <v>0</v>
      </c>
      <c r="AQ18" s="2">
        <f>COUNTIF(defects!$Z:$Z,Weekly_TVPlantPmod!AQ$3&amp;Weekly_TVPlantPmod!$B18&amp;Weekly_TVPlantPmod!$B$3&amp;$B$2&amp;$B$1&amp;$C$1)</f>
        <v>0</v>
      </c>
      <c r="AR18" s="2">
        <f>COUNTIF(defects!$Z:$Z,Weekly_TVPlantPmod!AR$3&amp;Weekly_TVPlantPmod!$B18&amp;Weekly_TVPlantPmod!$B$3&amp;$B$2&amp;$B$1&amp;$C$1)</f>
        <v>0</v>
      </c>
      <c r="AS18" s="2">
        <f>COUNTIF(defects!$Z:$Z,Weekly_TVPlantPmod!AS$3&amp;Weekly_TVPlantPmod!$B18&amp;Weekly_TVPlantPmod!$B$3&amp;$B$2&amp;$B$1&amp;$C$1)</f>
        <v>0</v>
      </c>
      <c r="AT18" s="2">
        <f>COUNTIF(defects!$Z:$Z,Weekly_TVPlantPmod!AT$3&amp;Weekly_TVPlantPmod!$B18&amp;Weekly_TVPlantPmod!$B$3&amp;$B$2&amp;$B$1&amp;$C$1)</f>
        <v>0</v>
      </c>
      <c r="AU18" s="2">
        <f>COUNTIF(defects!$Z:$Z,Weekly_TVPlantPmod!AU$3&amp;Weekly_TVPlantPmod!$B18&amp;Weekly_TVPlantPmod!$B$3&amp;$B$2&amp;$B$1&amp;$C$1)</f>
        <v>0</v>
      </c>
      <c r="AV18" s="2">
        <f>COUNTIF(defects!$Z:$Z,Weekly_TVPlantPmod!AV$3&amp;Weekly_TVPlantPmod!$B18&amp;Weekly_TVPlantPmod!$B$3&amp;$B$2&amp;$B$1&amp;$C$1)</f>
        <v>0</v>
      </c>
      <c r="AW18" s="2">
        <f>COUNTIF(defects!$Z:$Z,Weekly_TVPlantPmod!AW$3&amp;Weekly_TVPlantPmod!$B18&amp;Weekly_TVPlantPmod!$B$3&amp;$B$2&amp;$B$1&amp;$C$1)</f>
        <v>0</v>
      </c>
      <c r="AX18" s="2">
        <f>COUNTIF(defects!$Z:$Z,Weekly_TVPlantPmod!AX$3&amp;Weekly_TVPlantPmod!$B18&amp;Weekly_TVPlantPmod!$B$3&amp;$B$2&amp;$B$1&amp;$C$1)</f>
        <v>0</v>
      </c>
      <c r="AY18" s="2">
        <f>COUNTIF(defects!$Z:$Z,Weekly_TVPlantPmod!AY$3&amp;Weekly_TVPlantPmod!$B18&amp;Weekly_TVPlantPmod!$B$3&amp;$B$2&amp;$B$1&amp;$C$1)</f>
        <v>0</v>
      </c>
      <c r="AZ18" s="2">
        <f>COUNTIF(defects!$Z:$Z,Weekly_TVPlantPmod!AZ$3&amp;Weekly_TVPlantPmod!$B18&amp;Weekly_TVPlantPmod!$B$3&amp;$B$2&amp;$B$1&amp;$C$1)</f>
        <v>0</v>
      </c>
      <c r="BA18" s="2">
        <f>COUNTIF(defects!$Z:$Z,Weekly_TVPlantPmod!BA$3&amp;Weekly_TVPlantPmod!$B18&amp;Weekly_TVPlantPmod!$B$3&amp;$B$2&amp;$B$1&amp;$C$1)</f>
        <v>0</v>
      </c>
      <c r="BB18" s="2">
        <f>COUNTIF(defects!$Z:$Z,Weekly_TVPlantPmod!BB$3&amp;Weekly_TVPlantPmod!$B18&amp;Weekly_TVPlantPmod!$B$3&amp;$B$2&amp;$B$1&amp;$C$1)</f>
        <v>0</v>
      </c>
      <c r="BC18" s="2">
        <f>COUNTIF(defects!$Z:$Z,Weekly_TVPlantPmod!BC$3&amp;Weekly_TVPlantPmod!$B18&amp;Weekly_TVPlantPmod!$B$3&amp;$B$2&amp;$B$1&amp;$C$1)</f>
        <v>0</v>
      </c>
      <c r="BD18" s="2">
        <f>COUNTIF(defects!$Z:$Z,Weekly_TVPlantPmod!BD$3&amp;Weekly_TVPlantPmod!$B18&amp;Weekly_TVPlantPmod!$B$3&amp;$B$2&amp;$B$1&amp;$C$1)</f>
        <v>0</v>
      </c>
      <c r="BE18" s="2">
        <f>COUNTIF(defects!$Z:$Z,Weekly_TVPlantPmod!BE$3&amp;Weekly_TVPlantPmod!$B18&amp;Weekly_TVPlantPmod!$B$3&amp;$B$2&amp;$B$1&amp;$C$1)</f>
        <v>0</v>
      </c>
      <c r="BF18" s="2">
        <f>COUNTIF(defects!$Z:$Z,Weekly_TVPlantPmod!BF$3&amp;Weekly_TVPlantPmod!$B18&amp;Weekly_TVPlantPmod!$B$3&amp;$B$2&amp;$B$1&amp;$C$1)</f>
        <v>0</v>
      </c>
      <c r="BG18" s="2">
        <f>COUNTIF(defects!$Z:$Z,Weekly_TVPlantPmod!BG$3&amp;Weekly_TVPlantPmod!$B18&amp;Weekly_TVPlantPmod!$B$3&amp;$B$2&amp;$B$1&amp;$C$1)</f>
        <v>0</v>
      </c>
      <c r="BH18" s="2">
        <f>COUNTIF(defects!$Z:$Z,Weekly_TVPlantPmod!BH$3&amp;Weekly_TVPlantPmod!$B18&amp;Weekly_TVPlantPmod!$B$3&amp;$B$2&amp;$B$1&amp;$C$1)</f>
        <v>0</v>
      </c>
      <c r="BI18" s="2">
        <f>COUNTIF(defects!$Z:$Z,Weekly_TVPlantPmod!BI$3&amp;Weekly_TVPlantPmod!$B18&amp;Weekly_TVPlantPmod!$B$3&amp;$B$2&amp;$B$1&amp;$C$1)</f>
        <v>0</v>
      </c>
      <c r="BJ18" s="2">
        <f>COUNTIF(defects!$Z:$Z,Weekly_TVPlantPmod!BJ$3&amp;Weekly_TVPlantPmod!$B18&amp;Weekly_TVPlantPmod!$B$3&amp;$B$2&amp;$B$1&amp;$C$1)</f>
        <v>0</v>
      </c>
      <c r="BK18" s="2">
        <f>COUNTIF(defects!$Z:$Z,Weekly_TVPlantPmod!BK$3&amp;Weekly_TVPlantPmod!$B18&amp;Weekly_TVPlantPmod!$B$3&amp;$B$2&amp;$B$1&amp;$C$1)</f>
        <v>0</v>
      </c>
      <c r="BL18" s="2">
        <f>COUNTIF(defects!$Z:$Z,Weekly_TVPlantPmod!BL$3&amp;Weekly_TVPlantPmod!$B18&amp;Weekly_TVPlantPmod!$B$3&amp;$B$2&amp;$B$1&amp;$C$1)</f>
        <v>0</v>
      </c>
      <c r="BM18" s="2">
        <f>COUNTIF(defects!$Z:$Z,Weekly_TVPlantPmod!BM$3&amp;Weekly_TVPlantPmod!$B18&amp;Weekly_TVPlantPmod!$B$3&amp;$B$2&amp;$B$1&amp;$C$1)</f>
        <v>0</v>
      </c>
      <c r="BN18" s="2">
        <f>COUNTIF(defects!$Z:$Z,Weekly_TVPlantPmod!BN$3&amp;Weekly_TVPlantPmod!$B18&amp;Weekly_TVPlantPmod!$B$3&amp;$B$2&amp;$B$1&amp;$C$1)</f>
        <v>0</v>
      </c>
      <c r="BO18" s="2">
        <f>COUNTIF(defects!$Z:$Z,Weekly_TVPlantPmod!BO$3&amp;Weekly_TVPlantPmod!$B18&amp;Weekly_TVPlantPmod!$B$3&amp;$B$2&amp;$B$1&amp;$C$1)</f>
        <v>0</v>
      </c>
      <c r="BP18" s="2">
        <f>COUNTIF(defects!$Z:$Z,Weekly_TVPlantPmod!BP$3&amp;Weekly_TVPlantPmod!$B18&amp;Weekly_TVPlantPmod!$B$3&amp;$B$2&amp;$B$1&amp;$C$1)</f>
        <v>0</v>
      </c>
      <c r="BQ18" s="2">
        <f>COUNTIF(defects!$Z:$Z,Weekly_TVPlantPmod!BQ$3&amp;Weekly_TVPlantPmod!$B18&amp;Weekly_TVPlantPmod!$B$3&amp;$B$2&amp;$B$1&amp;$C$1)</f>
        <v>0</v>
      </c>
      <c r="BR18" s="2">
        <f>COUNTIF(defects!$Z:$Z,Weekly_TVPlantPmod!BR$3&amp;Weekly_TVPlantPmod!$B18&amp;Weekly_TVPlantPmod!$B$3&amp;$B$2&amp;$B$1&amp;$C$1)</f>
        <v>0</v>
      </c>
      <c r="BS18" s="2">
        <f>COUNTIF(defects!$Z:$Z,Weekly_TVPlantPmod!BS$3&amp;Weekly_TVPlantPmod!$B18&amp;Weekly_TVPlantPmod!$B$3&amp;$B$2&amp;$B$1&amp;$C$1)</f>
        <v>0</v>
      </c>
      <c r="BT18" s="2">
        <f>COUNTIF(defects!$Z:$Z,Weekly_TVPlantPmod!BT$3&amp;Weekly_TVPlantPmod!$B18&amp;Weekly_TVPlantPmod!$B$3&amp;$B$2&amp;$B$1&amp;$C$1)</f>
        <v>0</v>
      </c>
      <c r="BU18" s="2">
        <f>COUNTIF(defects!$Z:$Z,Weekly_TVPlantPmod!BU$3&amp;Weekly_TVPlantPmod!$B18&amp;Weekly_TVPlantPmod!$B$3&amp;$B$2&amp;$B$1&amp;$C$1)</f>
        <v>0</v>
      </c>
      <c r="BV18" s="2">
        <f>COUNTIF(defects!$Z:$Z,Weekly_TVPlantPmod!BV$3&amp;Weekly_TVPlantPmod!$B18&amp;Weekly_TVPlantPmod!$B$3&amp;$B$2&amp;$B$1&amp;$C$1)</f>
        <v>0</v>
      </c>
      <c r="BW18" s="2">
        <f>COUNTIF(defects!$Z:$Z,Weekly_TVPlantPmod!BW$3&amp;Weekly_TVPlantPmod!$B18&amp;Weekly_TVPlantPmod!$B$3&amp;$B$2&amp;$B$1&amp;$C$1)</f>
        <v>0</v>
      </c>
      <c r="BX18" s="2">
        <f>COUNTIF(defects!$Z:$Z,Weekly_TVPlantPmod!BX$3&amp;Weekly_TVPlantPmod!$B18&amp;Weekly_TVPlantPmod!$B$3&amp;$B$2&amp;$B$1&amp;$C$1)</f>
        <v>0</v>
      </c>
      <c r="BY18" s="2">
        <f>COUNTIF(defects!$Z:$Z,Weekly_TVPlantPmod!BY$3&amp;Weekly_TVPlantPmod!$B18&amp;Weekly_TVPlantPmod!$B$3&amp;$B$2&amp;$B$1&amp;$C$1)</f>
        <v>0</v>
      </c>
      <c r="BZ18" s="2">
        <f>COUNTIF(defects!$Z:$Z,Weekly_TVPlantPmod!BZ$3&amp;Weekly_TVPlantPmod!$B18&amp;Weekly_TVPlantPmod!$B$3&amp;$B$2&amp;$B$1&amp;$C$1)</f>
        <v>0</v>
      </c>
      <c r="CA18" s="2">
        <f>COUNTIF(defects!$Z:$Z,Weekly_TVPlantPmod!CA$3&amp;Weekly_TVPlantPmod!$B18&amp;Weekly_TVPlantPmod!$B$3&amp;$B$2&amp;$B$1&amp;$C$1)</f>
        <v>0</v>
      </c>
      <c r="CB18" s="2">
        <f>COUNTIF(defects!$Z:$Z,Weekly_TVPlantPmod!CB$3&amp;Weekly_TVPlantPmod!$B18&amp;Weekly_TVPlantPmod!$B$3&amp;$B$2&amp;$B$1&amp;$C$1)</f>
        <v>0</v>
      </c>
      <c r="CC18" s="2">
        <f>COUNTIF(defects!$Z:$Z,Weekly_TVPlantPmod!CC$3&amp;Weekly_TVPlantPmod!$B18&amp;Weekly_TVPlantPmod!$B$3&amp;$B$2&amp;$B$1&amp;$C$1)</f>
        <v>1</v>
      </c>
      <c r="CD18" s="2">
        <f>COUNTIF(defects!$Z:$Z,Weekly_TVPlantPmod!CD$3&amp;Weekly_TVPlantPmod!$B18&amp;Weekly_TVPlantPmod!$B$3&amp;$B$2&amp;$B$1&amp;$C$1)</f>
        <v>0</v>
      </c>
      <c r="CE18" s="2">
        <f>COUNTIF(defects!$Z:$Z,Weekly_TVPlantPmod!CE$3&amp;Weekly_TVPlantPmod!$B18&amp;Weekly_TVPlantPmod!$B$3&amp;$B$2&amp;$B$1&amp;$C$1)</f>
        <v>0</v>
      </c>
      <c r="CF18" s="2">
        <f>COUNTIF(defects!$Z:$Z,Weekly_TVPlantPmod!CF$3&amp;Weekly_TVPlantPmod!$B18&amp;Weekly_TVPlantPmod!$B$3&amp;$B$2&amp;$B$1&amp;$C$1)</f>
        <v>0</v>
      </c>
      <c r="CG18" s="2">
        <f>COUNTIF(defects!$Z:$Z,Weekly_TVPlantPmod!CG$3&amp;Weekly_TVPlantPmod!$B18&amp;Weekly_TVPlantPmod!$B$3&amp;$B$2&amp;$B$1&amp;$C$1)</f>
        <v>0</v>
      </c>
      <c r="CH18" s="2">
        <f>COUNTIF(defects!$Z:$Z,Weekly_TVPlantPmod!CH$3&amp;Weekly_TVPlantPmod!$B18&amp;Weekly_TVPlantPmod!$B$3&amp;$B$2&amp;$B$1&amp;$C$1)</f>
        <v>0</v>
      </c>
      <c r="CI18" s="2">
        <f>COUNTIF(defects!$Z:$Z,Weekly_TVPlantPmod!CI$3&amp;Weekly_TVPlantPmod!$B18&amp;Weekly_TVPlantPmod!$B$3&amp;$B$2&amp;$B$1&amp;$C$1)</f>
        <v>0</v>
      </c>
      <c r="CJ18" s="2">
        <f>COUNTIF(defects!$Z:$Z,Weekly_TVPlantPmod!CJ$3&amp;Weekly_TVPlantPmod!$B18&amp;Weekly_TVPlantPmod!$B$3&amp;$B$2&amp;$B$1&amp;$C$1)</f>
        <v>0</v>
      </c>
      <c r="CK18" s="2">
        <f>COUNTIF(defects!$Z:$Z,Weekly_TVPlantPmod!CK$3&amp;Weekly_TVPlantPmod!$B18&amp;Weekly_TVPlantPmod!$B$3&amp;$B$2&amp;$B$1&amp;$C$1)</f>
        <v>0</v>
      </c>
      <c r="CL18" s="2">
        <f>COUNTIF(defects!$Z:$Z,Weekly_TVPlantPmod!CL$3&amp;Weekly_TVPlantPmod!$B18&amp;Weekly_TVPlantPmod!$B$3&amp;$B$2&amp;$B$1&amp;$C$1)</f>
        <v>0</v>
      </c>
      <c r="CM18" s="2">
        <f>COUNTIF(defects!$Z:$Z,Weekly_TVPlantPmod!CM$3&amp;Weekly_TVPlantPmod!$B18&amp;Weekly_TVPlantPmod!$B$3&amp;$B$2&amp;$B$1&amp;$C$1)</f>
        <v>2</v>
      </c>
      <c r="CN18" s="2">
        <f>COUNTIF(defects!$Z:$Z,Weekly_TVPlantPmod!CN$3&amp;Weekly_TVPlantPmod!$B18&amp;Weekly_TVPlantPmod!$B$3&amp;$B$2&amp;$B$1&amp;$C$1)</f>
        <v>0</v>
      </c>
      <c r="CO18" s="2">
        <f>COUNTIF(defects!$Z:$Z,Weekly_TVPlantPmod!CO$3&amp;Weekly_TVPlantPmod!$B18&amp;Weekly_TVPlantPmod!$B$3&amp;$B$2&amp;$B$1&amp;$C$1)</f>
        <v>1</v>
      </c>
      <c r="CP18" s="2">
        <f>COUNTIF(defects!$Z:$Z,Weekly_TVPlantPmod!CP$3&amp;Weekly_TVPlantPmod!$B18&amp;Weekly_TVPlantPmod!$B$3&amp;$B$2&amp;$B$1&amp;$C$1)</f>
        <v>0</v>
      </c>
      <c r="CQ18" s="2">
        <f>COUNTIF(defects!$Z:$Z,Weekly_TVPlantPmod!CQ$3&amp;Weekly_TVPlantPmod!$B18&amp;Weekly_TVPlantPmod!$B$3&amp;$B$2&amp;$B$1&amp;$C$1)</f>
        <v>0</v>
      </c>
      <c r="CR18" s="2">
        <f>COUNTIF(defects!$Z:$Z,Weekly_TVPlantPmod!CR$3&amp;Weekly_TVPlantPmod!$B18&amp;Weekly_TVPlantPmod!$B$3&amp;$B$2&amp;$B$1&amp;$C$1)</f>
        <v>0</v>
      </c>
      <c r="CS18" s="2">
        <f>COUNTIF(defects!$Z:$Z,Weekly_TVPlantPmod!CS$3&amp;Weekly_TVPlantPmod!$B18&amp;Weekly_TVPlantPmod!$B$3&amp;$B$2&amp;$B$1&amp;$C$1)</f>
        <v>0</v>
      </c>
      <c r="CT18" s="2">
        <f>COUNTIF(defects!$Z:$Z,Weekly_TVPlantPmod!CT$3&amp;Weekly_TVPlantPmod!$B18&amp;Weekly_TVPlantPmod!$B$3&amp;$B$2&amp;$B$1&amp;$C$1)</f>
        <v>0</v>
      </c>
      <c r="CU18" s="2">
        <f>COUNTIF(defects!$Z:$Z,Weekly_TVPlantPmod!CU$3&amp;Weekly_TVPlantPmod!$B18&amp;Weekly_TVPlantPmod!$B$3&amp;$B$2&amp;$B$1&amp;$C$1)</f>
        <v>0</v>
      </c>
      <c r="CV18" s="2">
        <f>COUNTIF(defects!$Z:$Z,Weekly_TVPlantPmod!CV$3&amp;Weekly_TVPlantPmod!$B18&amp;Weekly_TVPlantPmod!$B$3&amp;$B$2&amp;$B$1&amp;$C$1)</f>
        <v>1</v>
      </c>
      <c r="CW18" s="2">
        <f>COUNTIF(defects!$Z:$Z,Weekly_TVPlantPmod!CW$3&amp;Weekly_TVPlantPmod!$B18&amp;Weekly_TVPlantPmod!$B$3&amp;$B$2&amp;$B$1&amp;$C$1)</f>
        <v>0</v>
      </c>
      <c r="CX18" s="2">
        <f>COUNTIF(defects!$Z:$Z,Weekly_TVPlantPmod!CX$3&amp;Weekly_TVPlantPmod!$B18&amp;Weekly_TVPlantPmod!$B$3&amp;$B$2&amp;$B$1&amp;$C$1)</f>
        <v>0</v>
      </c>
      <c r="CY18" s="2">
        <f>COUNTIF(defects!$Z:$Z,Weekly_TVPlantPmod!CY$3&amp;Weekly_TVPlantPmod!$B18&amp;Weekly_TVPlantPmod!$B$3&amp;$B$2&amp;$B$1&amp;$C$1)</f>
        <v>0</v>
      </c>
      <c r="CZ18" s="2">
        <f>COUNTIF(defects!$Z:$Z,Weekly_TVPlantPmod!CZ$3&amp;Weekly_TVPlantPmod!$B18&amp;Weekly_TVPlantPmod!$B$3&amp;$B$2&amp;$B$1&amp;$C$1)</f>
        <v>0</v>
      </c>
      <c r="DA18" s="2">
        <f>COUNTIF(defects!$Z:$Z,Weekly_TVPlantPmod!DA$3&amp;Weekly_TVPlantPmod!$B18&amp;Weekly_TVPlantPmod!$B$3&amp;$B$2&amp;$B$1&amp;$C$1)</f>
        <v>0</v>
      </c>
      <c r="DB18" s="2">
        <f>COUNTIF(defects!$Z:$Z,Weekly_TVPlantPmod!DB$3&amp;Weekly_TVPlantPmod!$B18&amp;Weekly_TVPlantPmod!$B$3&amp;$B$2&amp;$B$1&amp;$C$1)</f>
        <v>0</v>
      </c>
      <c r="DC18" s="2">
        <f>COUNTIF(defects!$Z:$Z,Weekly_TVPlantPmod!DC$3&amp;Weekly_TVPlantPmod!$B18&amp;Weekly_TVPlantPmod!$B$3&amp;$B$2&amp;$B$1&amp;$C$1)</f>
        <v>0</v>
      </c>
      <c r="DD18" s="2">
        <f>COUNTIF(defects!$Z:$Z,Weekly_TVPlantPmod!DD$3&amp;Weekly_TVPlantPmod!$B18&amp;Weekly_TVPlantPmod!$B$3&amp;$B$2&amp;$B$1&amp;$C$1)</f>
        <v>0</v>
      </c>
      <c r="DE18" s="2">
        <f>COUNTIF(defects!$Z:$Z,Weekly_TVPlantPmod!DE$3&amp;Weekly_TVPlantPmod!$B18&amp;Weekly_TVPlantPmod!$B$3&amp;$B$2&amp;$B$1&amp;$C$1)</f>
        <v>0</v>
      </c>
      <c r="DF18" s="2">
        <f>COUNTIF(defects!$Z:$Z,Weekly_TVPlantPmod!DF$3&amp;Weekly_TVPlantPmod!$B18&amp;Weekly_TVPlantPmod!$B$3&amp;$B$2&amp;$B$1&amp;$C$1)</f>
        <v>0</v>
      </c>
      <c r="DG18" s="2">
        <f>COUNTIF(defects!$Z:$Z,Weekly_TVPlantPmod!DG$3&amp;Weekly_TVPlantPmod!$B18&amp;Weekly_TVPlantPmod!$B$3&amp;$B$2&amp;$B$1&amp;$C$1)</f>
        <v>0</v>
      </c>
      <c r="DH18" s="2">
        <f>COUNTIF(defects!$Z:$Z,Weekly_TVPlantPmod!DH$3&amp;Weekly_TVPlantPmod!$B18&amp;Weekly_TVPlantPmod!$B$3&amp;$B$2&amp;$B$1&amp;$C$1)</f>
        <v>0</v>
      </c>
      <c r="DI18" s="2">
        <f>COUNTIF(defects!$Z:$Z,Weekly_TVPlantPmod!DI$3&amp;Weekly_TVPlantPmod!$B18&amp;Weekly_TVPlantPmod!$B$3&amp;$B$2&amp;$B$1&amp;$C$1)</f>
        <v>0</v>
      </c>
      <c r="DJ18" s="2">
        <f>COUNTIF(defects!$Z:$Z,Weekly_TVPlantPmod!DJ$3&amp;Weekly_TVPlantPmod!$B18&amp;Weekly_TVPlantPmod!$B$3&amp;$B$2&amp;$B$1&amp;$C$1)</f>
        <v>0</v>
      </c>
      <c r="DK18" s="2">
        <f>COUNTIF(defects!$Z:$Z,Weekly_TVPlantPmod!DK$3&amp;Weekly_TVPlantPmod!$B18&amp;Weekly_TVPlantPmod!$B$3&amp;$B$2&amp;$B$1&amp;$C$1)</f>
        <v>0</v>
      </c>
      <c r="DL18" s="2">
        <f>COUNTIF(defects!$Z:$Z,Weekly_TVPlantPmod!DL$3&amp;Weekly_TVPlantPmod!$B18&amp;Weekly_TVPlantPmod!$B$3&amp;$B$2&amp;$B$1&amp;$C$1)</f>
        <v>0</v>
      </c>
      <c r="DM18" s="2">
        <f>COUNTIF(defects!$Z:$Z,Weekly_TVPlantPmod!DM$3&amp;Weekly_TVPlantPmod!$B18&amp;Weekly_TVPlantPmod!$B$3&amp;$B$2&amp;$B$1&amp;$C$1)</f>
        <v>0</v>
      </c>
      <c r="DN18" s="2">
        <f>COUNTIF(defects!$Z:$Z,Weekly_TVPlantPmod!DN$3&amp;Weekly_TVPlantPmod!$B18&amp;Weekly_TVPlantPmod!$B$3&amp;$B$2&amp;$B$1&amp;$C$1)</f>
        <v>0</v>
      </c>
      <c r="DO18" s="2">
        <f>COUNTIF(defects!$Z:$Z,Weekly_TVPlantPmod!DO$3&amp;Weekly_TVPlantPmod!$B18&amp;Weekly_TVPlantPmod!$B$3&amp;$B$2&amp;$B$1&amp;$C$1)</f>
        <v>0</v>
      </c>
      <c r="DP18" s="2">
        <f>COUNTIF(defects!$Z:$Z,Weekly_TVPlantPmod!DP$3&amp;Weekly_TVPlantPmod!$B18&amp;Weekly_TVPlantPmod!$B$3&amp;$B$2&amp;$B$1&amp;$C$1)</f>
        <v>0</v>
      </c>
      <c r="DQ18" s="2">
        <f>COUNTIF(defects!$Z:$Z,Weekly_TVPlantPmod!DQ$3&amp;Weekly_TVPlantPmod!$B18&amp;Weekly_TVPlantPmod!$B$3&amp;$B$2&amp;$B$1&amp;$C$1)</f>
        <v>0</v>
      </c>
      <c r="DR18" s="2">
        <f>COUNTIF(defects!$Z:$Z,Weekly_TVPlantPmod!DR$3&amp;Weekly_TVPlantPmod!$B18&amp;Weekly_TVPlantPmod!$B$3&amp;$B$2&amp;$B$1&amp;$C$1)</f>
        <v>0</v>
      </c>
      <c r="DS18" s="2">
        <f>COUNTIF(defects!$Z:$Z,Weekly_TVPlantPmod!DS$3&amp;Weekly_TVPlantPmod!$B18&amp;Weekly_TVPlantPmod!$B$3&amp;$B$2&amp;$B$1&amp;$C$1)</f>
        <v>0</v>
      </c>
      <c r="DT18" s="2">
        <f>COUNTIF(defects!$Z:$Z,Weekly_TVPlantPmod!DT$3&amp;Weekly_TVPlantPmod!$B18&amp;Weekly_TVPlantPmod!$B$3&amp;$B$2&amp;$B$1&amp;$C$1)</f>
        <v>0</v>
      </c>
      <c r="DU18" s="2">
        <f>COUNTIF(defects!$Z:$Z,Weekly_TVPlantPmod!DU$3&amp;Weekly_TVPlantPmod!$B18&amp;Weekly_TVPlantPmod!$B$3&amp;$B$2&amp;$B$1&amp;$C$1)</f>
        <v>0</v>
      </c>
      <c r="DV18" s="2">
        <f>COUNTIF(defects!$Z:$Z,Weekly_TVPlantPmod!DV$3&amp;Weekly_TVPlantPmod!$B18&amp;Weekly_TVPlantPmod!$B$3&amp;$B$2&amp;$B$1&amp;$C$1)</f>
        <v>0</v>
      </c>
      <c r="DW18" s="2">
        <f>COUNTIF(defects!$Z:$Z,Weekly_TVPlantPmod!DW$3&amp;Weekly_TVPlantPmod!$B18&amp;Weekly_TVPlantPmod!$B$3&amp;$B$2&amp;$B$1&amp;$C$1)</f>
        <v>0</v>
      </c>
      <c r="DX18" s="2">
        <f>COUNTIF(defects!$Z:$Z,Weekly_TVPlantPmod!DX$3&amp;Weekly_TVPlantPmod!$B18&amp;Weekly_TVPlantPmod!$B$3&amp;$B$2&amp;$B$1&amp;$C$1)</f>
        <v>0</v>
      </c>
      <c r="DY18" s="2">
        <f>COUNTIF(defects!$Z:$Z,Weekly_TVPlantPmod!DY$3&amp;Weekly_TVPlantPmod!$B18&amp;Weekly_TVPlantPmod!$B$3&amp;$B$2&amp;$B$1&amp;$C$1)</f>
        <v>0</v>
      </c>
      <c r="DZ18" s="2">
        <f>COUNTIF(defects!$Z:$Z,Weekly_TVPlantPmod!DZ$3&amp;Weekly_TVPlantPmod!$B18&amp;Weekly_TVPlantPmod!$B$3&amp;$B$2&amp;$B$1&amp;$C$1)</f>
        <v>0</v>
      </c>
      <c r="EA18" s="2">
        <f>COUNTIF(defects!$Z:$Z,Weekly_TVPlantPmod!EA$3&amp;Weekly_TVPlantPmod!$B18&amp;Weekly_TVPlantPmod!$B$3&amp;$B$2&amp;$B$1&amp;$C$1)</f>
        <v>0</v>
      </c>
      <c r="EB18" s="2">
        <f>COUNTIF(defects!$Z:$Z,Weekly_TVPlantPmod!EB$3&amp;Weekly_TVPlantPmod!$B18&amp;Weekly_TVPlantPmod!$B$3&amp;$B$2&amp;$B$1&amp;$C$1)</f>
        <v>0</v>
      </c>
      <c r="EC18" s="2">
        <f>COUNTIF(defects!$Z:$Z,Weekly_TVPlantPmod!EC$3&amp;Weekly_TVPlantPmod!$B18&amp;Weekly_TVPlantPmod!$B$3&amp;$B$2&amp;$B$1&amp;$C$1)</f>
        <v>0</v>
      </c>
      <c r="ED18" s="2">
        <f>COUNTIF(defects!$Z:$Z,Weekly_TVPlantPmod!ED$3&amp;Weekly_TVPlantPmod!$B18&amp;Weekly_TVPlantPmod!$B$3&amp;$B$2&amp;$B$1&amp;$C$1)</f>
        <v>0</v>
      </c>
      <c r="EE18" s="2">
        <f>COUNTIF(defects!$Z:$Z,Weekly_TVPlantPmod!EE$3&amp;Weekly_TVPlantPmod!$B18&amp;Weekly_TVPlantPmod!$B$3&amp;$B$2&amp;$B$1&amp;$C$1)</f>
        <v>0</v>
      </c>
      <c r="EF18" s="2">
        <f>COUNTIF(defects!$Z:$Z,Weekly_TVPlantPmod!EF$3&amp;Weekly_TVPlantPmod!$B18&amp;Weekly_TVPlantPmod!$B$3&amp;$B$2&amp;$B$1&amp;$C$1)</f>
        <v>0</v>
      </c>
      <c r="EG18" s="2">
        <f>COUNTIF(defects!$Z:$Z,Weekly_TVPlantPmod!EG$3&amp;Weekly_TVPlantPmod!$B18&amp;Weekly_TVPlantPmod!$B$3&amp;$B$2&amp;$B$1&amp;$C$1)</f>
        <v>0</v>
      </c>
      <c r="EH18" s="2">
        <f>COUNTIF(defects!$Z:$Z,Weekly_TVPlantPmod!EH$3&amp;Weekly_TVPlantPmod!$B18&amp;Weekly_TVPlantPmod!$B$3&amp;$B$2&amp;$B$1&amp;$C$1)</f>
        <v>0</v>
      </c>
      <c r="EI18" s="2">
        <f>COUNTIF(defects!$Z:$Z,Weekly_TVPlantPmod!EI$3&amp;Weekly_TVPlantPmod!$B18&amp;Weekly_TVPlantPmod!$B$3&amp;$B$2&amp;$B$1&amp;$C$1)</f>
        <v>0</v>
      </c>
      <c r="EJ18" s="2">
        <f>COUNTIF(defects!$Z:$Z,Weekly_TVPlantPmod!EJ$3&amp;Weekly_TVPlantPmod!$B18&amp;Weekly_TVPlantPmod!$B$3&amp;$B$2&amp;$B$1&amp;$C$1)</f>
        <v>0</v>
      </c>
      <c r="EK18" s="2">
        <f>COUNTIF(defects!$Z:$Z,Weekly_TVPlantPmod!EK$3&amp;Weekly_TVPlantPmod!$B18&amp;Weekly_TVPlantPmod!$B$3&amp;$B$2&amp;$B$1&amp;$C$1)</f>
        <v>0</v>
      </c>
      <c r="EL18" s="2">
        <f>COUNTIF(defects!$Z:$Z,Weekly_TVPlantPmod!EL$3&amp;Weekly_TVPlantPmod!$B18&amp;Weekly_TVPlantPmod!$B$3&amp;$B$2&amp;$B$1&amp;$C$1)</f>
        <v>0</v>
      </c>
      <c r="EM18" s="2">
        <f>COUNTIF(defects!$Z:$Z,Weekly_TVPlantPmod!EM$3&amp;Weekly_TVPlantPmod!$B18&amp;Weekly_TVPlantPmod!$B$3&amp;$B$2&amp;$B$1&amp;$C$1)</f>
        <v>0</v>
      </c>
      <c r="EN18" s="2">
        <f>COUNTIF(defects!$Z:$Z,Weekly_TVPlantPmod!EN$3&amp;Weekly_TVPlantPmod!$B18&amp;Weekly_TVPlantPmod!$B$3&amp;$B$2&amp;$B$1&amp;$C$1)</f>
        <v>0</v>
      </c>
      <c r="EO18" s="2">
        <f>COUNTIF(defects!$Z:$Z,Weekly_TVPlantPmod!EO$3&amp;Weekly_TVPlantPmod!$B18&amp;Weekly_TVPlantPmod!$B$3&amp;$B$2&amp;$B$1&amp;$C$1)</f>
        <v>0</v>
      </c>
      <c r="EP18" s="2">
        <f>COUNTIF(defects!$Z:$Z,Weekly_TVPlantPmod!EP$3&amp;Weekly_TVPlantPmod!$B18&amp;Weekly_TVPlantPmod!$B$3&amp;$B$2&amp;$B$1&amp;$C$1)</f>
        <v>0</v>
      </c>
      <c r="EQ18" s="2">
        <f>COUNTIF(defects!$Z:$Z,Weekly_TVPlantPmod!EQ$3&amp;Weekly_TVPlantPmod!$B18&amp;Weekly_TVPlantPmod!$B$3&amp;$B$2&amp;$B$1&amp;$C$1)</f>
        <v>0</v>
      </c>
      <c r="ER18" s="2">
        <f>COUNTIF(defects!$Z:$Z,Weekly_TVPlantPmod!ER$3&amp;Weekly_TVPlantPmod!$B18&amp;Weekly_TVPlantPmod!$B$3&amp;$B$2&amp;$B$1&amp;$C$1)</f>
        <v>0</v>
      </c>
      <c r="ES18" s="2">
        <f>COUNTIF(defects!$Z:$Z,Weekly_TVPlantPmod!ES$3&amp;Weekly_TVPlantPmod!$B18&amp;Weekly_TVPlantPmod!$B$3&amp;$B$2&amp;$B$1&amp;$C$1)</f>
        <v>0</v>
      </c>
      <c r="ET18" s="2">
        <f>COUNTIF(defects!$Z:$Z,Weekly_TVPlantPmod!ET$3&amp;Weekly_TVPlantPmod!$B18&amp;Weekly_TVPlantPmod!$B$3&amp;$B$2&amp;$B$1&amp;$C$1)</f>
        <v>0</v>
      </c>
      <c r="EU18" s="2">
        <f>COUNTIF(defects!$Z:$Z,Weekly_TVPlantPmod!EU$3&amp;Weekly_TVPlantPmod!$B18&amp;Weekly_TVPlantPmod!$B$3&amp;$B$2&amp;$B$1&amp;$C$1)</f>
        <v>0</v>
      </c>
      <c r="EV18" s="2">
        <f>COUNTIF(defects!$Z:$Z,Weekly_TVPlantPmod!EV$3&amp;Weekly_TVPlantPmod!$B18&amp;Weekly_TVPlantPmod!$B$3&amp;$B$2&amp;$B$1&amp;$C$1)</f>
        <v>0</v>
      </c>
      <c r="EW18" s="2">
        <f>COUNTIF(defects!$Z:$Z,Weekly_TVPlantPmod!EW$3&amp;Weekly_TVPlantPmod!$B18&amp;Weekly_TVPlantPmod!$B$3&amp;$B$2&amp;$B$1&amp;$C$1)</f>
        <v>0</v>
      </c>
      <c r="EX18" s="2">
        <f>COUNTIF(defects!$Z:$Z,Weekly_TVPlantPmod!EX$3&amp;Weekly_TVPlantPmod!$B18&amp;Weekly_TVPlantPmod!$B$3&amp;$B$2&amp;$B$1&amp;$C$1)</f>
        <v>0</v>
      </c>
      <c r="EY18" s="2">
        <f>COUNTIF(defects!$Z:$Z,Weekly_TVPlantPmod!EY$3&amp;Weekly_TVPlantPmod!$B18&amp;Weekly_TVPlantPmod!$B$3&amp;$B$2&amp;$B$1&amp;$C$1)</f>
        <v>0</v>
      </c>
      <c r="EZ18" s="2">
        <f>COUNTIF(defects!$Z:$Z,Weekly_TVPlantPmod!EZ$3&amp;Weekly_TVPlantPmod!$B18&amp;Weekly_TVPlantPmod!$B$3&amp;$B$2&amp;$B$1&amp;$C$1)</f>
        <v>0</v>
      </c>
      <c r="FA18" s="2">
        <f>COUNTIF(defects!$Z:$Z,Weekly_TVPlantPmod!FA$3&amp;Weekly_TVPlantPmod!$B18&amp;Weekly_TVPlantPmod!$B$3&amp;$B$2&amp;$B$1&amp;$C$1)</f>
        <v>0</v>
      </c>
      <c r="FB18" s="2">
        <f>COUNTIF(defects!$Z:$Z,Weekly_TVPlantPmod!FB$3&amp;Weekly_TVPlantPmod!$B18&amp;Weekly_TVPlantPmod!$B$3&amp;$B$2&amp;$B$1&amp;$C$1)</f>
        <v>0</v>
      </c>
      <c r="FC18" s="2">
        <f>COUNTIF(defects!$Z:$Z,Weekly_TVPlantPmod!FC$3&amp;Weekly_TVPlantPmod!$B18&amp;Weekly_TVPlantPmod!$B$3&amp;$B$2&amp;$B$1&amp;$C$1)</f>
        <v>0</v>
      </c>
      <c r="FD18" s="2">
        <f>COUNTIF(defects!$Z:$Z,Weekly_TVPlantPmod!FD$3&amp;Weekly_TVPlantPmod!$B18&amp;Weekly_TVPlantPmod!$B$3&amp;$B$2&amp;$B$1&amp;$C$1)</f>
        <v>0</v>
      </c>
      <c r="FE18" s="2">
        <f>COUNTIF(defects!$Z:$Z,Weekly_TVPlantPmod!FE$3&amp;Weekly_TVPlantPmod!$B18&amp;Weekly_TVPlantPmod!$B$3&amp;$B$2&amp;$B$1&amp;$C$1)</f>
        <v>0</v>
      </c>
    </row>
    <row r="19" spans="2:161">
      <c r="B19" s="3" t="s">
        <v>995</v>
      </c>
      <c r="C19" s="2">
        <f>COUNTIF(defects!$Z:$Z,Weekly_TVPlantPmod!C$3&amp;Weekly_TVPlantPmod!$B19&amp;Weekly_TVPlantPmod!$B$3&amp;$B$2&amp;$B$1&amp;$C$1)</f>
        <v>0</v>
      </c>
      <c r="D19" s="2">
        <f>COUNTIF(defects!$Z:$Z,Weekly_TVPlantPmod!D$3&amp;Weekly_TVPlantPmod!$B19&amp;Weekly_TVPlantPmod!$B$3&amp;$B$2&amp;$B$1&amp;$C$1)</f>
        <v>0</v>
      </c>
      <c r="E19" s="2">
        <f>COUNTIF(defects!$Z:$Z,Weekly_TVPlantPmod!E$3&amp;Weekly_TVPlantPmod!$B19&amp;Weekly_TVPlantPmod!$B$3&amp;$B$2&amp;$B$1&amp;$C$1)</f>
        <v>0</v>
      </c>
      <c r="F19" s="2">
        <f>COUNTIF(defects!$Z:$Z,Weekly_TVPlantPmod!F$3&amp;Weekly_TVPlantPmod!$B19&amp;Weekly_TVPlantPmod!$B$3&amp;$B$2&amp;$B$1&amp;$C$1)</f>
        <v>0</v>
      </c>
      <c r="G19" s="2">
        <f>COUNTIF(defects!$Z:$Z,Weekly_TVPlantPmod!G$3&amp;Weekly_TVPlantPmod!$B19&amp;Weekly_TVPlantPmod!$B$3&amp;$B$2&amp;$B$1&amp;$C$1)</f>
        <v>0</v>
      </c>
      <c r="H19" s="2">
        <f>COUNTIF(defects!$Z:$Z,Weekly_TVPlantPmod!H$3&amp;Weekly_TVPlantPmod!$B19&amp;Weekly_TVPlantPmod!$B$3&amp;$B$2&amp;$B$1&amp;$C$1)</f>
        <v>0</v>
      </c>
      <c r="I19" s="2">
        <f>COUNTIF(defects!$Z:$Z,Weekly_TVPlantPmod!I$3&amp;Weekly_TVPlantPmod!$B19&amp;Weekly_TVPlantPmod!$B$3&amp;$B$2&amp;$B$1&amp;$C$1)</f>
        <v>0</v>
      </c>
      <c r="J19" s="2">
        <f>COUNTIF(defects!$Z:$Z,Weekly_TVPlantPmod!J$3&amp;Weekly_TVPlantPmod!$B19&amp;Weekly_TVPlantPmod!$B$3&amp;$B$2&amp;$B$1&amp;$C$1)</f>
        <v>0</v>
      </c>
      <c r="K19" s="2">
        <f>COUNTIF(defects!$Z:$Z,Weekly_TVPlantPmod!K$3&amp;Weekly_TVPlantPmod!$B19&amp;Weekly_TVPlantPmod!$B$3&amp;$B$2&amp;$B$1&amp;$C$1)</f>
        <v>0</v>
      </c>
      <c r="L19" s="2">
        <f>COUNTIF(defects!$Z:$Z,Weekly_TVPlantPmod!L$3&amp;Weekly_TVPlantPmod!$B19&amp;Weekly_TVPlantPmod!$B$3&amp;$B$2&amp;$B$1&amp;$C$1)</f>
        <v>0</v>
      </c>
      <c r="M19" s="2">
        <f>COUNTIF(defects!$Z:$Z,Weekly_TVPlantPmod!M$3&amp;Weekly_TVPlantPmod!$B19&amp;Weekly_TVPlantPmod!$B$3&amp;$B$2&amp;$B$1&amp;$C$1)</f>
        <v>0</v>
      </c>
      <c r="N19" s="2">
        <f>COUNTIF(defects!$Z:$Z,Weekly_TVPlantPmod!N$3&amp;Weekly_TVPlantPmod!$B19&amp;Weekly_TVPlantPmod!$B$3&amp;$B$2&amp;$B$1&amp;$C$1)</f>
        <v>0</v>
      </c>
      <c r="O19" s="2">
        <f>COUNTIF(defects!$Z:$Z,Weekly_TVPlantPmod!O$3&amp;Weekly_TVPlantPmod!$B19&amp;Weekly_TVPlantPmod!$B$3&amp;$B$2&amp;$B$1&amp;$C$1)</f>
        <v>0</v>
      </c>
      <c r="P19" s="2">
        <f>COUNTIF(defects!$Z:$Z,Weekly_TVPlantPmod!P$3&amp;Weekly_TVPlantPmod!$B19&amp;Weekly_TVPlantPmod!$B$3&amp;$B$2&amp;$B$1&amp;$C$1)</f>
        <v>0</v>
      </c>
      <c r="Q19" s="2">
        <f>COUNTIF(defects!$Z:$Z,Weekly_TVPlantPmod!Q$3&amp;Weekly_TVPlantPmod!$B19&amp;Weekly_TVPlantPmod!$B$3&amp;$B$2&amp;$B$1&amp;$C$1)</f>
        <v>0</v>
      </c>
      <c r="R19" s="2">
        <f>COUNTIF(defects!$Z:$Z,Weekly_TVPlantPmod!R$3&amp;Weekly_TVPlantPmod!$B19&amp;Weekly_TVPlantPmod!$B$3&amp;$B$2&amp;$B$1&amp;$C$1)</f>
        <v>0</v>
      </c>
      <c r="S19" s="2">
        <f>COUNTIF(defects!$Z:$Z,Weekly_TVPlantPmod!S$3&amp;Weekly_TVPlantPmod!$B19&amp;Weekly_TVPlantPmod!$B$3&amp;$B$2&amp;$B$1&amp;$C$1)</f>
        <v>0</v>
      </c>
      <c r="T19" s="2">
        <f>COUNTIF(defects!$Z:$Z,Weekly_TVPlantPmod!T$3&amp;Weekly_TVPlantPmod!$B19&amp;Weekly_TVPlantPmod!$B$3&amp;$B$2&amp;$B$1&amp;$C$1)</f>
        <v>0</v>
      </c>
      <c r="U19" s="2">
        <f>COUNTIF(defects!$Z:$Z,Weekly_TVPlantPmod!U$3&amp;Weekly_TVPlantPmod!$B19&amp;Weekly_TVPlantPmod!$B$3&amp;$B$2&amp;$B$1&amp;$C$1)</f>
        <v>0</v>
      </c>
      <c r="V19" s="2">
        <f>COUNTIF(defects!$Z:$Z,Weekly_TVPlantPmod!V$3&amp;Weekly_TVPlantPmod!$B19&amp;Weekly_TVPlantPmod!$B$3&amp;$B$2&amp;$B$1&amp;$C$1)</f>
        <v>0</v>
      </c>
      <c r="W19" s="2">
        <f>COUNTIF(defects!$Z:$Z,Weekly_TVPlantPmod!W$3&amp;Weekly_TVPlantPmod!$B19&amp;Weekly_TVPlantPmod!$B$3&amp;$B$2&amp;$B$1&amp;$C$1)</f>
        <v>0</v>
      </c>
      <c r="X19" s="2">
        <f>COUNTIF(defects!$Z:$Z,Weekly_TVPlantPmod!X$3&amp;Weekly_TVPlantPmod!$B19&amp;Weekly_TVPlantPmod!$B$3&amp;$B$2&amp;$B$1&amp;$C$1)</f>
        <v>0</v>
      </c>
      <c r="Y19" s="2">
        <f>COUNTIF(defects!$Z:$Z,Weekly_TVPlantPmod!Y$3&amp;Weekly_TVPlantPmod!$B19&amp;Weekly_TVPlantPmod!$B$3&amp;$B$2&amp;$B$1&amp;$C$1)</f>
        <v>0</v>
      </c>
      <c r="Z19" s="2">
        <f>COUNTIF(defects!$Z:$Z,Weekly_TVPlantPmod!Z$3&amp;Weekly_TVPlantPmod!$B19&amp;Weekly_TVPlantPmod!$B$3&amp;$B$2&amp;$B$1&amp;$C$1)</f>
        <v>0</v>
      </c>
      <c r="AA19" s="2">
        <f>COUNTIF(defects!$Z:$Z,Weekly_TVPlantPmod!AA$3&amp;Weekly_TVPlantPmod!$B19&amp;Weekly_TVPlantPmod!$B$3&amp;$B$2&amp;$B$1&amp;$C$1)</f>
        <v>0</v>
      </c>
      <c r="AB19" s="2">
        <f>COUNTIF(defects!$Z:$Z,Weekly_TVPlantPmod!AB$3&amp;Weekly_TVPlantPmod!$B19&amp;Weekly_TVPlantPmod!$B$3&amp;$B$2&amp;$B$1&amp;$C$1)</f>
        <v>0</v>
      </c>
      <c r="AC19" s="2">
        <f>COUNTIF(defects!$Z:$Z,Weekly_TVPlantPmod!AC$3&amp;Weekly_TVPlantPmod!$B19&amp;Weekly_TVPlantPmod!$B$3&amp;$B$2&amp;$B$1&amp;$C$1)</f>
        <v>0</v>
      </c>
      <c r="AD19" s="2">
        <f>COUNTIF(defects!$Z:$Z,Weekly_TVPlantPmod!AD$3&amp;Weekly_TVPlantPmod!$B19&amp;Weekly_TVPlantPmod!$B$3&amp;$B$2&amp;$B$1&amp;$C$1)</f>
        <v>0</v>
      </c>
      <c r="AE19" s="2">
        <f>COUNTIF(defects!$Z:$Z,Weekly_TVPlantPmod!AE$3&amp;Weekly_TVPlantPmod!$B19&amp;Weekly_TVPlantPmod!$B$3&amp;$B$2&amp;$B$1&amp;$C$1)</f>
        <v>0</v>
      </c>
      <c r="AF19" s="2">
        <f>COUNTIF(defects!$Z:$Z,Weekly_TVPlantPmod!AF$3&amp;Weekly_TVPlantPmod!$B19&amp;Weekly_TVPlantPmod!$B$3&amp;$B$2&amp;$B$1&amp;$C$1)</f>
        <v>0</v>
      </c>
      <c r="AG19" s="2">
        <f>COUNTIF(defects!$Z:$Z,Weekly_TVPlantPmod!AG$3&amp;Weekly_TVPlantPmod!$B19&amp;Weekly_TVPlantPmod!$B$3&amp;$B$2&amp;$B$1&amp;$C$1)</f>
        <v>0</v>
      </c>
      <c r="AH19" s="2">
        <f>COUNTIF(defects!$Z:$Z,Weekly_TVPlantPmod!AH$3&amp;Weekly_TVPlantPmod!$B19&amp;Weekly_TVPlantPmod!$B$3&amp;$B$2&amp;$B$1&amp;$C$1)</f>
        <v>0</v>
      </c>
      <c r="AI19" s="2">
        <f>COUNTIF(defects!$Z:$Z,Weekly_TVPlantPmod!AI$3&amp;Weekly_TVPlantPmod!$B19&amp;Weekly_TVPlantPmod!$B$3&amp;$B$2&amp;$B$1&amp;$C$1)</f>
        <v>0</v>
      </c>
      <c r="AJ19" s="2">
        <f>COUNTIF(defects!$Z:$Z,Weekly_TVPlantPmod!AJ$3&amp;Weekly_TVPlantPmod!$B19&amp;Weekly_TVPlantPmod!$B$3&amp;$B$2&amp;$B$1&amp;$C$1)</f>
        <v>0</v>
      </c>
      <c r="AK19" s="2">
        <f>COUNTIF(defects!$Z:$Z,Weekly_TVPlantPmod!AK$3&amp;Weekly_TVPlantPmod!$B19&amp;Weekly_TVPlantPmod!$B$3&amp;$B$2&amp;$B$1&amp;$C$1)</f>
        <v>0</v>
      </c>
      <c r="AL19" s="2">
        <f>COUNTIF(defects!$Z:$Z,Weekly_TVPlantPmod!AL$3&amp;Weekly_TVPlantPmod!$B19&amp;Weekly_TVPlantPmod!$B$3&amp;$B$2&amp;$B$1&amp;$C$1)</f>
        <v>0</v>
      </c>
      <c r="AM19" s="2">
        <f>COUNTIF(defects!$Z:$Z,Weekly_TVPlantPmod!AM$3&amp;Weekly_TVPlantPmod!$B19&amp;Weekly_TVPlantPmod!$B$3&amp;$B$2&amp;$B$1&amp;$C$1)</f>
        <v>0</v>
      </c>
      <c r="AN19" s="2">
        <f>COUNTIF(defects!$Z:$Z,Weekly_TVPlantPmod!AN$3&amp;Weekly_TVPlantPmod!$B19&amp;Weekly_TVPlantPmod!$B$3&amp;$B$2&amp;$B$1&amp;$C$1)</f>
        <v>0</v>
      </c>
      <c r="AO19" s="2">
        <f>COUNTIF(defects!$Z:$Z,Weekly_TVPlantPmod!AO$3&amp;Weekly_TVPlantPmod!$B19&amp;Weekly_TVPlantPmod!$B$3&amp;$B$2&amp;$B$1&amp;$C$1)</f>
        <v>0</v>
      </c>
      <c r="AP19" s="2">
        <f>COUNTIF(defects!$Z:$Z,Weekly_TVPlantPmod!AP$3&amp;Weekly_TVPlantPmod!$B19&amp;Weekly_TVPlantPmod!$B$3&amp;$B$2&amp;$B$1&amp;$C$1)</f>
        <v>0</v>
      </c>
      <c r="AQ19" s="2">
        <f>COUNTIF(defects!$Z:$Z,Weekly_TVPlantPmod!AQ$3&amp;Weekly_TVPlantPmod!$B19&amp;Weekly_TVPlantPmod!$B$3&amp;$B$2&amp;$B$1&amp;$C$1)</f>
        <v>0</v>
      </c>
      <c r="AR19" s="2">
        <f>COUNTIF(defects!$Z:$Z,Weekly_TVPlantPmod!AR$3&amp;Weekly_TVPlantPmod!$B19&amp;Weekly_TVPlantPmod!$B$3&amp;$B$2&amp;$B$1&amp;$C$1)</f>
        <v>0</v>
      </c>
      <c r="AS19" s="2">
        <f>COUNTIF(defects!$Z:$Z,Weekly_TVPlantPmod!AS$3&amp;Weekly_TVPlantPmod!$B19&amp;Weekly_TVPlantPmod!$B$3&amp;$B$2&amp;$B$1&amp;$C$1)</f>
        <v>0</v>
      </c>
      <c r="AT19" s="2">
        <f>COUNTIF(defects!$Z:$Z,Weekly_TVPlantPmod!AT$3&amp;Weekly_TVPlantPmod!$B19&amp;Weekly_TVPlantPmod!$B$3&amp;$B$2&amp;$B$1&amp;$C$1)</f>
        <v>0</v>
      </c>
      <c r="AU19" s="2">
        <f>COUNTIF(defects!$Z:$Z,Weekly_TVPlantPmod!AU$3&amp;Weekly_TVPlantPmod!$B19&amp;Weekly_TVPlantPmod!$B$3&amp;$B$2&amp;$B$1&amp;$C$1)</f>
        <v>0</v>
      </c>
      <c r="AV19" s="2">
        <f>COUNTIF(defects!$Z:$Z,Weekly_TVPlantPmod!AV$3&amp;Weekly_TVPlantPmod!$B19&amp;Weekly_TVPlantPmod!$B$3&amp;$B$2&amp;$B$1&amp;$C$1)</f>
        <v>0</v>
      </c>
      <c r="AW19" s="2">
        <f>COUNTIF(defects!$Z:$Z,Weekly_TVPlantPmod!AW$3&amp;Weekly_TVPlantPmod!$B19&amp;Weekly_TVPlantPmod!$B$3&amp;$B$2&amp;$B$1&amp;$C$1)</f>
        <v>0</v>
      </c>
      <c r="AX19" s="2">
        <f>COUNTIF(defects!$Z:$Z,Weekly_TVPlantPmod!AX$3&amp;Weekly_TVPlantPmod!$B19&amp;Weekly_TVPlantPmod!$B$3&amp;$B$2&amp;$B$1&amp;$C$1)</f>
        <v>0</v>
      </c>
      <c r="AY19" s="2">
        <f>COUNTIF(defects!$Z:$Z,Weekly_TVPlantPmod!AY$3&amp;Weekly_TVPlantPmod!$B19&amp;Weekly_TVPlantPmod!$B$3&amp;$B$2&amp;$B$1&amp;$C$1)</f>
        <v>0</v>
      </c>
      <c r="AZ19" s="2">
        <f>COUNTIF(defects!$Z:$Z,Weekly_TVPlantPmod!AZ$3&amp;Weekly_TVPlantPmod!$B19&amp;Weekly_TVPlantPmod!$B$3&amp;$B$2&amp;$B$1&amp;$C$1)</f>
        <v>0</v>
      </c>
      <c r="BA19" s="2">
        <f>COUNTIF(defects!$Z:$Z,Weekly_TVPlantPmod!BA$3&amp;Weekly_TVPlantPmod!$B19&amp;Weekly_TVPlantPmod!$B$3&amp;$B$2&amp;$B$1&amp;$C$1)</f>
        <v>0</v>
      </c>
      <c r="BB19" s="2">
        <f>COUNTIF(defects!$Z:$Z,Weekly_TVPlantPmod!BB$3&amp;Weekly_TVPlantPmod!$B19&amp;Weekly_TVPlantPmod!$B$3&amp;$B$2&amp;$B$1&amp;$C$1)</f>
        <v>0</v>
      </c>
      <c r="BC19" s="2">
        <f>COUNTIF(defects!$Z:$Z,Weekly_TVPlantPmod!BC$3&amp;Weekly_TVPlantPmod!$B19&amp;Weekly_TVPlantPmod!$B$3&amp;$B$2&amp;$B$1&amp;$C$1)</f>
        <v>0</v>
      </c>
      <c r="BD19" s="2">
        <f>COUNTIF(defects!$Z:$Z,Weekly_TVPlantPmod!BD$3&amp;Weekly_TVPlantPmod!$B19&amp;Weekly_TVPlantPmod!$B$3&amp;$B$2&amp;$B$1&amp;$C$1)</f>
        <v>0</v>
      </c>
      <c r="BE19" s="2">
        <f>COUNTIF(defects!$Z:$Z,Weekly_TVPlantPmod!BE$3&amp;Weekly_TVPlantPmod!$B19&amp;Weekly_TVPlantPmod!$B$3&amp;$B$2&amp;$B$1&amp;$C$1)</f>
        <v>0</v>
      </c>
      <c r="BF19" s="2">
        <f>COUNTIF(defects!$Z:$Z,Weekly_TVPlantPmod!BF$3&amp;Weekly_TVPlantPmod!$B19&amp;Weekly_TVPlantPmod!$B$3&amp;$B$2&amp;$B$1&amp;$C$1)</f>
        <v>0</v>
      </c>
      <c r="BG19" s="2">
        <f>COUNTIF(defects!$Z:$Z,Weekly_TVPlantPmod!BG$3&amp;Weekly_TVPlantPmod!$B19&amp;Weekly_TVPlantPmod!$B$3&amp;$B$2&amp;$B$1&amp;$C$1)</f>
        <v>0</v>
      </c>
      <c r="BH19" s="2">
        <f>COUNTIF(defects!$Z:$Z,Weekly_TVPlantPmod!BH$3&amp;Weekly_TVPlantPmod!$B19&amp;Weekly_TVPlantPmod!$B$3&amp;$B$2&amp;$B$1&amp;$C$1)</f>
        <v>0</v>
      </c>
      <c r="BI19" s="2">
        <f>COUNTIF(defects!$Z:$Z,Weekly_TVPlantPmod!BI$3&amp;Weekly_TVPlantPmod!$B19&amp;Weekly_TVPlantPmod!$B$3&amp;$B$2&amp;$B$1&amp;$C$1)</f>
        <v>0</v>
      </c>
      <c r="BJ19" s="2">
        <f>COUNTIF(defects!$Z:$Z,Weekly_TVPlantPmod!BJ$3&amp;Weekly_TVPlantPmod!$B19&amp;Weekly_TVPlantPmod!$B$3&amp;$B$2&amp;$B$1&amp;$C$1)</f>
        <v>0</v>
      </c>
      <c r="BK19" s="2">
        <f>COUNTIF(defects!$Z:$Z,Weekly_TVPlantPmod!BK$3&amp;Weekly_TVPlantPmod!$B19&amp;Weekly_TVPlantPmod!$B$3&amp;$B$2&amp;$B$1&amp;$C$1)</f>
        <v>0</v>
      </c>
      <c r="BL19" s="2">
        <f>COUNTIF(defects!$Z:$Z,Weekly_TVPlantPmod!BL$3&amp;Weekly_TVPlantPmod!$B19&amp;Weekly_TVPlantPmod!$B$3&amp;$B$2&amp;$B$1&amp;$C$1)</f>
        <v>0</v>
      </c>
      <c r="BM19" s="2">
        <f>COUNTIF(defects!$Z:$Z,Weekly_TVPlantPmod!BM$3&amp;Weekly_TVPlantPmod!$B19&amp;Weekly_TVPlantPmod!$B$3&amp;$B$2&amp;$B$1&amp;$C$1)</f>
        <v>0</v>
      </c>
      <c r="BN19" s="2">
        <f>COUNTIF(defects!$Z:$Z,Weekly_TVPlantPmod!BN$3&amp;Weekly_TVPlantPmod!$B19&amp;Weekly_TVPlantPmod!$B$3&amp;$B$2&amp;$B$1&amp;$C$1)</f>
        <v>0</v>
      </c>
      <c r="BO19" s="2">
        <f>COUNTIF(defects!$Z:$Z,Weekly_TVPlantPmod!BO$3&amp;Weekly_TVPlantPmod!$B19&amp;Weekly_TVPlantPmod!$B$3&amp;$B$2&amp;$B$1&amp;$C$1)</f>
        <v>0</v>
      </c>
      <c r="BP19" s="2">
        <f>COUNTIF(defects!$Z:$Z,Weekly_TVPlantPmod!BP$3&amp;Weekly_TVPlantPmod!$B19&amp;Weekly_TVPlantPmod!$B$3&amp;$B$2&amp;$B$1&amp;$C$1)</f>
        <v>0</v>
      </c>
      <c r="BQ19" s="2">
        <f>COUNTIF(defects!$Z:$Z,Weekly_TVPlantPmod!BQ$3&amp;Weekly_TVPlantPmod!$B19&amp;Weekly_TVPlantPmod!$B$3&amp;$B$2&amp;$B$1&amp;$C$1)</f>
        <v>0</v>
      </c>
      <c r="BR19" s="2">
        <f>COUNTIF(defects!$Z:$Z,Weekly_TVPlantPmod!BR$3&amp;Weekly_TVPlantPmod!$B19&amp;Weekly_TVPlantPmod!$B$3&amp;$B$2&amp;$B$1&amp;$C$1)</f>
        <v>0</v>
      </c>
      <c r="BS19" s="2">
        <f>COUNTIF(defects!$Z:$Z,Weekly_TVPlantPmod!BS$3&amp;Weekly_TVPlantPmod!$B19&amp;Weekly_TVPlantPmod!$B$3&amp;$B$2&amp;$B$1&amp;$C$1)</f>
        <v>0</v>
      </c>
      <c r="BT19" s="2">
        <f>COUNTIF(defects!$Z:$Z,Weekly_TVPlantPmod!BT$3&amp;Weekly_TVPlantPmod!$B19&amp;Weekly_TVPlantPmod!$B$3&amp;$B$2&amp;$B$1&amp;$C$1)</f>
        <v>0</v>
      </c>
      <c r="BU19" s="2">
        <f>COUNTIF(defects!$Z:$Z,Weekly_TVPlantPmod!BU$3&amp;Weekly_TVPlantPmod!$B19&amp;Weekly_TVPlantPmod!$B$3&amp;$B$2&amp;$B$1&amp;$C$1)</f>
        <v>0</v>
      </c>
      <c r="BV19" s="2">
        <f>COUNTIF(defects!$Z:$Z,Weekly_TVPlantPmod!BV$3&amp;Weekly_TVPlantPmod!$B19&amp;Weekly_TVPlantPmod!$B$3&amp;$B$2&amp;$B$1&amp;$C$1)</f>
        <v>0</v>
      </c>
      <c r="BW19" s="2">
        <f>COUNTIF(defects!$Z:$Z,Weekly_TVPlantPmod!BW$3&amp;Weekly_TVPlantPmod!$B19&amp;Weekly_TVPlantPmod!$B$3&amp;$B$2&amp;$B$1&amp;$C$1)</f>
        <v>0</v>
      </c>
      <c r="BX19" s="2">
        <f>COUNTIF(defects!$Z:$Z,Weekly_TVPlantPmod!BX$3&amp;Weekly_TVPlantPmod!$B19&amp;Weekly_TVPlantPmod!$B$3&amp;$B$2&amp;$B$1&amp;$C$1)</f>
        <v>0</v>
      </c>
      <c r="BY19" s="2">
        <f>COUNTIF(defects!$Z:$Z,Weekly_TVPlantPmod!BY$3&amp;Weekly_TVPlantPmod!$B19&amp;Weekly_TVPlantPmod!$B$3&amp;$B$2&amp;$B$1&amp;$C$1)</f>
        <v>0</v>
      </c>
      <c r="BZ19" s="2">
        <f>COUNTIF(defects!$Z:$Z,Weekly_TVPlantPmod!BZ$3&amp;Weekly_TVPlantPmod!$B19&amp;Weekly_TVPlantPmod!$B$3&amp;$B$2&amp;$B$1&amp;$C$1)</f>
        <v>0</v>
      </c>
      <c r="CA19" s="2">
        <f>COUNTIF(defects!$Z:$Z,Weekly_TVPlantPmod!CA$3&amp;Weekly_TVPlantPmod!$B19&amp;Weekly_TVPlantPmod!$B$3&amp;$B$2&amp;$B$1&amp;$C$1)</f>
        <v>0</v>
      </c>
      <c r="CB19" s="2">
        <f>COUNTIF(defects!$Z:$Z,Weekly_TVPlantPmod!CB$3&amp;Weekly_TVPlantPmod!$B19&amp;Weekly_TVPlantPmod!$B$3&amp;$B$2&amp;$B$1&amp;$C$1)</f>
        <v>0</v>
      </c>
      <c r="CC19" s="2">
        <f>COUNTIF(defects!$Z:$Z,Weekly_TVPlantPmod!CC$3&amp;Weekly_TVPlantPmod!$B19&amp;Weekly_TVPlantPmod!$B$3&amp;$B$2&amp;$B$1&amp;$C$1)</f>
        <v>0</v>
      </c>
      <c r="CD19" s="2">
        <f>COUNTIF(defects!$Z:$Z,Weekly_TVPlantPmod!CD$3&amp;Weekly_TVPlantPmod!$B19&amp;Weekly_TVPlantPmod!$B$3&amp;$B$2&amp;$B$1&amp;$C$1)</f>
        <v>0</v>
      </c>
      <c r="CE19" s="2">
        <f>COUNTIF(defects!$Z:$Z,Weekly_TVPlantPmod!CE$3&amp;Weekly_TVPlantPmod!$B19&amp;Weekly_TVPlantPmod!$B$3&amp;$B$2&amp;$B$1&amp;$C$1)</f>
        <v>0</v>
      </c>
      <c r="CF19" s="2">
        <f>COUNTIF(defects!$Z:$Z,Weekly_TVPlantPmod!CF$3&amp;Weekly_TVPlantPmod!$B19&amp;Weekly_TVPlantPmod!$B$3&amp;$B$2&amp;$B$1&amp;$C$1)</f>
        <v>0</v>
      </c>
      <c r="CG19" s="2">
        <f>COUNTIF(defects!$Z:$Z,Weekly_TVPlantPmod!CG$3&amp;Weekly_TVPlantPmod!$B19&amp;Weekly_TVPlantPmod!$B$3&amp;$B$2&amp;$B$1&amp;$C$1)</f>
        <v>0</v>
      </c>
      <c r="CH19" s="2">
        <f>COUNTIF(defects!$Z:$Z,Weekly_TVPlantPmod!CH$3&amp;Weekly_TVPlantPmod!$B19&amp;Weekly_TVPlantPmod!$B$3&amp;$B$2&amp;$B$1&amp;$C$1)</f>
        <v>0</v>
      </c>
      <c r="CI19" s="2">
        <f>COUNTIF(defects!$Z:$Z,Weekly_TVPlantPmod!CI$3&amp;Weekly_TVPlantPmod!$B19&amp;Weekly_TVPlantPmod!$B$3&amp;$B$2&amp;$B$1&amp;$C$1)</f>
        <v>0</v>
      </c>
      <c r="CJ19" s="2">
        <f>COUNTIF(defects!$Z:$Z,Weekly_TVPlantPmod!CJ$3&amp;Weekly_TVPlantPmod!$B19&amp;Weekly_TVPlantPmod!$B$3&amp;$B$2&amp;$B$1&amp;$C$1)</f>
        <v>0</v>
      </c>
      <c r="CK19" s="2">
        <f>COUNTIF(defects!$Z:$Z,Weekly_TVPlantPmod!CK$3&amp;Weekly_TVPlantPmod!$B19&amp;Weekly_TVPlantPmod!$B$3&amp;$B$2&amp;$B$1&amp;$C$1)</f>
        <v>0</v>
      </c>
      <c r="CL19" s="2">
        <f>COUNTIF(defects!$Z:$Z,Weekly_TVPlantPmod!CL$3&amp;Weekly_TVPlantPmod!$B19&amp;Weekly_TVPlantPmod!$B$3&amp;$B$2&amp;$B$1&amp;$C$1)</f>
        <v>0</v>
      </c>
      <c r="CM19" s="2">
        <f>COUNTIF(defects!$Z:$Z,Weekly_TVPlantPmod!CM$3&amp;Weekly_TVPlantPmod!$B19&amp;Weekly_TVPlantPmod!$B$3&amp;$B$2&amp;$B$1&amp;$C$1)</f>
        <v>0</v>
      </c>
      <c r="CN19" s="2">
        <f>COUNTIF(defects!$Z:$Z,Weekly_TVPlantPmod!CN$3&amp;Weekly_TVPlantPmod!$B19&amp;Weekly_TVPlantPmod!$B$3&amp;$B$2&amp;$B$1&amp;$C$1)</f>
        <v>0</v>
      </c>
      <c r="CO19" s="2">
        <f>COUNTIF(defects!$Z:$Z,Weekly_TVPlantPmod!CO$3&amp;Weekly_TVPlantPmod!$B19&amp;Weekly_TVPlantPmod!$B$3&amp;$B$2&amp;$B$1&amp;$C$1)</f>
        <v>0</v>
      </c>
      <c r="CP19" s="2">
        <f>COUNTIF(defects!$Z:$Z,Weekly_TVPlantPmod!CP$3&amp;Weekly_TVPlantPmod!$B19&amp;Weekly_TVPlantPmod!$B$3&amp;$B$2&amp;$B$1&amp;$C$1)</f>
        <v>0</v>
      </c>
      <c r="CQ19" s="2">
        <f>COUNTIF(defects!$Z:$Z,Weekly_TVPlantPmod!CQ$3&amp;Weekly_TVPlantPmod!$B19&amp;Weekly_TVPlantPmod!$B$3&amp;$B$2&amp;$B$1&amp;$C$1)</f>
        <v>0</v>
      </c>
      <c r="CR19" s="2">
        <f>COUNTIF(defects!$Z:$Z,Weekly_TVPlantPmod!CR$3&amp;Weekly_TVPlantPmod!$B19&amp;Weekly_TVPlantPmod!$B$3&amp;$B$2&amp;$B$1&amp;$C$1)</f>
        <v>0</v>
      </c>
      <c r="CS19" s="2">
        <f>COUNTIF(defects!$Z:$Z,Weekly_TVPlantPmod!CS$3&amp;Weekly_TVPlantPmod!$B19&amp;Weekly_TVPlantPmod!$B$3&amp;$B$2&amp;$B$1&amp;$C$1)</f>
        <v>0</v>
      </c>
      <c r="CT19" s="2">
        <f>COUNTIF(defects!$Z:$Z,Weekly_TVPlantPmod!CT$3&amp;Weekly_TVPlantPmod!$B19&amp;Weekly_TVPlantPmod!$B$3&amp;$B$2&amp;$B$1&amp;$C$1)</f>
        <v>0</v>
      </c>
      <c r="CU19" s="2">
        <f>COUNTIF(defects!$Z:$Z,Weekly_TVPlantPmod!CU$3&amp;Weekly_TVPlantPmod!$B19&amp;Weekly_TVPlantPmod!$B$3&amp;$B$2&amp;$B$1&amp;$C$1)</f>
        <v>0</v>
      </c>
      <c r="CV19" s="2">
        <f>COUNTIF(defects!$Z:$Z,Weekly_TVPlantPmod!CV$3&amp;Weekly_TVPlantPmod!$B19&amp;Weekly_TVPlantPmod!$B$3&amp;$B$2&amp;$B$1&amp;$C$1)</f>
        <v>0</v>
      </c>
      <c r="CW19" s="2">
        <f>COUNTIF(defects!$Z:$Z,Weekly_TVPlantPmod!CW$3&amp;Weekly_TVPlantPmod!$B19&amp;Weekly_TVPlantPmod!$B$3&amp;$B$2&amp;$B$1&amp;$C$1)</f>
        <v>0</v>
      </c>
      <c r="CX19" s="2">
        <f>COUNTIF(defects!$Z:$Z,Weekly_TVPlantPmod!CX$3&amp;Weekly_TVPlantPmod!$B19&amp;Weekly_TVPlantPmod!$B$3&amp;$B$2&amp;$B$1&amp;$C$1)</f>
        <v>0</v>
      </c>
      <c r="CY19" s="2">
        <f>COUNTIF(defects!$Z:$Z,Weekly_TVPlantPmod!CY$3&amp;Weekly_TVPlantPmod!$B19&amp;Weekly_TVPlantPmod!$B$3&amp;$B$2&amp;$B$1&amp;$C$1)</f>
        <v>0</v>
      </c>
      <c r="CZ19" s="2">
        <f>COUNTIF(defects!$Z:$Z,Weekly_TVPlantPmod!CZ$3&amp;Weekly_TVPlantPmod!$B19&amp;Weekly_TVPlantPmod!$B$3&amp;$B$2&amp;$B$1&amp;$C$1)</f>
        <v>0</v>
      </c>
      <c r="DA19" s="2">
        <f>COUNTIF(defects!$Z:$Z,Weekly_TVPlantPmod!DA$3&amp;Weekly_TVPlantPmod!$B19&amp;Weekly_TVPlantPmod!$B$3&amp;$B$2&amp;$B$1&amp;$C$1)</f>
        <v>0</v>
      </c>
      <c r="DB19" s="2">
        <f>COUNTIF(defects!$Z:$Z,Weekly_TVPlantPmod!DB$3&amp;Weekly_TVPlantPmod!$B19&amp;Weekly_TVPlantPmod!$B$3&amp;$B$2&amp;$B$1&amp;$C$1)</f>
        <v>0</v>
      </c>
      <c r="DC19" s="2">
        <f>COUNTIF(defects!$Z:$Z,Weekly_TVPlantPmod!DC$3&amp;Weekly_TVPlantPmod!$B19&amp;Weekly_TVPlantPmod!$B$3&amp;$B$2&amp;$B$1&amp;$C$1)</f>
        <v>0</v>
      </c>
      <c r="DD19" s="2">
        <f>COUNTIF(defects!$Z:$Z,Weekly_TVPlantPmod!DD$3&amp;Weekly_TVPlantPmod!$B19&amp;Weekly_TVPlantPmod!$B$3&amp;$B$2&amp;$B$1&amp;$C$1)</f>
        <v>0</v>
      </c>
      <c r="DE19" s="2">
        <f>COUNTIF(defects!$Z:$Z,Weekly_TVPlantPmod!DE$3&amp;Weekly_TVPlantPmod!$B19&amp;Weekly_TVPlantPmod!$B$3&amp;$B$2&amp;$B$1&amp;$C$1)</f>
        <v>0</v>
      </c>
      <c r="DF19" s="2">
        <f>COUNTIF(defects!$Z:$Z,Weekly_TVPlantPmod!DF$3&amp;Weekly_TVPlantPmod!$B19&amp;Weekly_TVPlantPmod!$B$3&amp;$B$2&amp;$B$1&amp;$C$1)</f>
        <v>0</v>
      </c>
      <c r="DG19" s="2">
        <f>COUNTIF(defects!$Z:$Z,Weekly_TVPlantPmod!DG$3&amp;Weekly_TVPlantPmod!$B19&amp;Weekly_TVPlantPmod!$B$3&amp;$B$2&amp;$B$1&amp;$C$1)</f>
        <v>0</v>
      </c>
      <c r="DH19" s="2">
        <f>COUNTIF(defects!$Z:$Z,Weekly_TVPlantPmod!DH$3&amp;Weekly_TVPlantPmod!$B19&amp;Weekly_TVPlantPmod!$B$3&amp;$B$2&amp;$B$1&amp;$C$1)</f>
        <v>0</v>
      </c>
      <c r="DI19" s="2">
        <f>COUNTIF(defects!$Z:$Z,Weekly_TVPlantPmod!DI$3&amp;Weekly_TVPlantPmod!$B19&amp;Weekly_TVPlantPmod!$B$3&amp;$B$2&amp;$B$1&amp;$C$1)</f>
        <v>0</v>
      </c>
      <c r="DJ19" s="2">
        <f>COUNTIF(defects!$Z:$Z,Weekly_TVPlantPmod!DJ$3&amp;Weekly_TVPlantPmod!$B19&amp;Weekly_TVPlantPmod!$B$3&amp;$B$2&amp;$B$1&amp;$C$1)</f>
        <v>0</v>
      </c>
      <c r="DK19" s="2">
        <f>COUNTIF(defects!$Z:$Z,Weekly_TVPlantPmod!DK$3&amp;Weekly_TVPlantPmod!$B19&amp;Weekly_TVPlantPmod!$B$3&amp;$B$2&amp;$B$1&amp;$C$1)</f>
        <v>0</v>
      </c>
      <c r="DL19" s="2">
        <f>COUNTIF(defects!$Z:$Z,Weekly_TVPlantPmod!DL$3&amp;Weekly_TVPlantPmod!$B19&amp;Weekly_TVPlantPmod!$B$3&amp;$B$2&amp;$B$1&amp;$C$1)</f>
        <v>0</v>
      </c>
      <c r="DM19" s="2">
        <f>COUNTIF(defects!$Z:$Z,Weekly_TVPlantPmod!DM$3&amp;Weekly_TVPlantPmod!$B19&amp;Weekly_TVPlantPmod!$B$3&amp;$B$2&amp;$B$1&amp;$C$1)</f>
        <v>0</v>
      </c>
      <c r="DN19" s="2">
        <f>COUNTIF(defects!$Z:$Z,Weekly_TVPlantPmod!DN$3&amp;Weekly_TVPlantPmod!$B19&amp;Weekly_TVPlantPmod!$B$3&amp;$B$2&amp;$B$1&amp;$C$1)</f>
        <v>0</v>
      </c>
      <c r="DO19" s="2">
        <f>COUNTIF(defects!$Z:$Z,Weekly_TVPlantPmod!DO$3&amp;Weekly_TVPlantPmod!$B19&amp;Weekly_TVPlantPmod!$B$3&amp;$B$2&amp;$B$1&amp;$C$1)</f>
        <v>0</v>
      </c>
      <c r="DP19" s="2">
        <f>COUNTIF(defects!$Z:$Z,Weekly_TVPlantPmod!DP$3&amp;Weekly_TVPlantPmod!$B19&amp;Weekly_TVPlantPmod!$B$3&amp;$B$2&amp;$B$1&amp;$C$1)</f>
        <v>0</v>
      </c>
      <c r="DQ19" s="2">
        <f>COUNTIF(defects!$Z:$Z,Weekly_TVPlantPmod!DQ$3&amp;Weekly_TVPlantPmod!$B19&amp;Weekly_TVPlantPmod!$B$3&amp;$B$2&amp;$B$1&amp;$C$1)</f>
        <v>0</v>
      </c>
      <c r="DR19" s="2">
        <f>COUNTIF(defects!$Z:$Z,Weekly_TVPlantPmod!DR$3&amp;Weekly_TVPlantPmod!$B19&amp;Weekly_TVPlantPmod!$B$3&amp;$B$2&amp;$B$1&amp;$C$1)</f>
        <v>0</v>
      </c>
      <c r="DS19" s="2">
        <f>COUNTIF(defects!$Z:$Z,Weekly_TVPlantPmod!DS$3&amp;Weekly_TVPlantPmod!$B19&amp;Weekly_TVPlantPmod!$B$3&amp;$B$2&amp;$B$1&amp;$C$1)</f>
        <v>0</v>
      </c>
      <c r="DT19" s="2">
        <f>COUNTIF(defects!$Z:$Z,Weekly_TVPlantPmod!DT$3&amp;Weekly_TVPlantPmod!$B19&amp;Weekly_TVPlantPmod!$B$3&amp;$B$2&amp;$B$1&amp;$C$1)</f>
        <v>0</v>
      </c>
      <c r="DU19" s="2">
        <f>COUNTIF(defects!$Z:$Z,Weekly_TVPlantPmod!DU$3&amp;Weekly_TVPlantPmod!$B19&amp;Weekly_TVPlantPmod!$B$3&amp;$B$2&amp;$B$1&amp;$C$1)</f>
        <v>0</v>
      </c>
      <c r="DV19" s="2">
        <f>COUNTIF(defects!$Z:$Z,Weekly_TVPlantPmod!DV$3&amp;Weekly_TVPlantPmod!$B19&amp;Weekly_TVPlantPmod!$B$3&amp;$B$2&amp;$B$1&amp;$C$1)</f>
        <v>0</v>
      </c>
      <c r="DW19" s="2">
        <f>COUNTIF(defects!$Z:$Z,Weekly_TVPlantPmod!DW$3&amp;Weekly_TVPlantPmod!$B19&amp;Weekly_TVPlantPmod!$B$3&amp;$B$2&amp;$B$1&amp;$C$1)</f>
        <v>0</v>
      </c>
      <c r="DX19" s="2">
        <f>COUNTIF(defects!$Z:$Z,Weekly_TVPlantPmod!DX$3&amp;Weekly_TVPlantPmod!$B19&amp;Weekly_TVPlantPmod!$B$3&amp;$B$2&amp;$B$1&amp;$C$1)</f>
        <v>0</v>
      </c>
      <c r="DY19" s="2">
        <f>COUNTIF(defects!$Z:$Z,Weekly_TVPlantPmod!DY$3&amp;Weekly_TVPlantPmod!$B19&amp;Weekly_TVPlantPmod!$B$3&amp;$B$2&amp;$B$1&amp;$C$1)</f>
        <v>0</v>
      </c>
      <c r="DZ19" s="2">
        <f>COUNTIF(defects!$Z:$Z,Weekly_TVPlantPmod!DZ$3&amp;Weekly_TVPlantPmod!$B19&amp;Weekly_TVPlantPmod!$B$3&amp;$B$2&amp;$B$1&amp;$C$1)</f>
        <v>0</v>
      </c>
      <c r="EA19" s="2">
        <f>COUNTIF(defects!$Z:$Z,Weekly_TVPlantPmod!EA$3&amp;Weekly_TVPlantPmod!$B19&amp;Weekly_TVPlantPmod!$B$3&amp;$B$2&amp;$B$1&amp;$C$1)</f>
        <v>0</v>
      </c>
      <c r="EB19" s="2">
        <f>COUNTIF(defects!$Z:$Z,Weekly_TVPlantPmod!EB$3&amp;Weekly_TVPlantPmod!$B19&amp;Weekly_TVPlantPmod!$B$3&amp;$B$2&amp;$B$1&amp;$C$1)</f>
        <v>0</v>
      </c>
      <c r="EC19" s="2">
        <f>COUNTIF(defects!$Z:$Z,Weekly_TVPlantPmod!EC$3&amp;Weekly_TVPlantPmod!$B19&amp;Weekly_TVPlantPmod!$B$3&amp;$B$2&amp;$B$1&amp;$C$1)</f>
        <v>0</v>
      </c>
      <c r="ED19" s="2">
        <f>COUNTIF(defects!$Z:$Z,Weekly_TVPlantPmod!ED$3&amp;Weekly_TVPlantPmod!$B19&amp;Weekly_TVPlantPmod!$B$3&amp;$B$2&amp;$B$1&amp;$C$1)</f>
        <v>0</v>
      </c>
      <c r="EE19" s="2">
        <f>COUNTIF(defects!$Z:$Z,Weekly_TVPlantPmod!EE$3&amp;Weekly_TVPlantPmod!$B19&amp;Weekly_TVPlantPmod!$B$3&amp;$B$2&amp;$B$1&amp;$C$1)</f>
        <v>0</v>
      </c>
      <c r="EF19" s="2">
        <f>COUNTIF(defects!$Z:$Z,Weekly_TVPlantPmod!EF$3&amp;Weekly_TVPlantPmod!$B19&amp;Weekly_TVPlantPmod!$B$3&amp;$B$2&amp;$B$1&amp;$C$1)</f>
        <v>0</v>
      </c>
      <c r="EG19" s="2">
        <f>COUNTIF(defects!$Z:$Z,Weekly_TVPlantPmod!EG$3&amp;Weekly_TVPlantPmod!$B19&amp;Weekly_TVPlantPmod!$B$3&amp;$B$2&amp;$B$1&amp;$C$1)</f>
        <v>0</v>
      </c>
      <c r="EH19" s="2">
        <f>COUNTIF(defects!$Z:$Z,Weekly_TVPlantPmod!EH$3&amp;Weekly_TVPlantPmod!$B19&amp;Weekly_TVPlantPmod!$B$3&amp;$B$2&amp;$B$1&amp;$C$1)</f>
        <v>0</v>
      </c>
      <c r="EI19" s="2">
        <f>COUNTIF(defects!$Z:$Z,Weekly_TVPlantPmod!EI$3&amp;Weekly_TVPlantPmod!$B19&amp;Weekly_TVPlantPmod!$B$3&amp;$B$2&amp;$B$1&amp;$C$1)</f>
        <v>0</v>
      </c>
      <c r="EJ19" s="2">
        <f>COUNTIF(defects!$Z:$Z,Weekly_TVPlantPmod!EJ$3&amp;Weekly_TVPlantPmod!$B19&amp;Weekly_TVPlantPmod!$B$3&amp;$B$2&amp;$B$1&amp;$C$1)</f>
        <v>0</v>
      </c>
      <c r="EK19" s="2">
        <f>COUNTIF(defects!$Z:$Z,Weekly_TVPlantPmod!EK$3&amp;Weekly_TVPlantPmod!$B19&amp;Weekly_TVPlantPmod!$B$3&amp;$B$2&amp;$B$1&amp;$C$1)</f>
        <v>0</v>
      </c>
      <c r="EL19" s="2">
        <f>COUNTIF(defects!$Z:$Z,Weekly_TVPlantPmod!EL$3&amp;Weekly_TVPlantPmod!$B19&amp;Weekly_TVPlantPmod!$B$3&amp;$B$2&amp;$B$1&amp;$C$1)</f>
        <v>0</v>
      </c>
      <c r="EM19" s="2">
        <f>COUNTIF(defects!$Z:$Z,Weekly_TVPlantPmod!EM$3&amp;Weekly_TVPlantPmod!$B19&amp;Weekly_TVPlantPmod!$B$3&amp;$B$2&amp;$B$1&amp;$C$1)</f>
        <v>0</v>
      </c>
      <c r="EN19" s="2">
        <f>COUNTIF(defects!$Z:$Z,Weekly_TVPlantPmod!EN$3&amp;Weekly_TVPlantPmod!$B19&amp;Weekly_TVPlantPmod!$B$3&amp;$B$2&amp;$B$1&amp;$C$1)</f>
        <v>0</v>
      </c>
      <c r="EO19" s="2">
        <f>COUNTIF(defects!$Z:$Z,Weekly_TVPlantPmod!EO$3&amp;Weekly_TVPlantPmod!$B19&amp;Weekly_TVPlantPmod!$B$3&amp;$B$2&amp;$B$1&amp;$C$1)</f>
        <v>0</v>
      </c>
      <c r="EP19" s="2">
        <f>COUNTIF(defects!$Z:$Z,Weekly_TVPlantPmod!EP$3&amp;Weekly_TVPlantPmod!$B19&amp;Weekly_TVPlantPmod!$B$3&amp;$B$2&amp;$B$1&amp;$C$1)</f>
        <v>0</v>
      </c>
      <c r="EQ19" s="2">
        <f>COUNTIF(defects!$Z:$Z,Weekly_TVPlantPmod!EQ$3&amp;Weekly_TVPlantPmod!$B19&amp;Weekly_TVPlantPmod!$B$3&amp;$B$2&amp;$B$1&amp;$C$1)</f>
        <v>0</v>
      </c>
      <c r="ER19" s="2">
        <f>COUNTIF(defects!$Z:$Z,Weekly_TVPlantPmod!ER$3&amp;Weekly_TVPlantPmod!$B19&amp;Weekly_TVPlantPmod!$B$3&amp;$B$2&amp;$B$1&amp;$C$1)</f>
        <v>0</v>
      </c>
      <c r="ES19" s="2">
        <f>COUNTIF(defects!$Z:$Z,Weekly_TVPlantPmod!ES$3&amp;Weekly_TVPlantPmod!$B19&amp;Weekly_TVPlantPmod!$B$3&amp;$B$2&amp;$B$1&amp;$C$1)</f>
        <v>0</v>
      </c>
      <c r="ET19" s="2">
        <f>COUNTIF(defects!$Z:$Z,Weekly_TVPlantPmod!ET$3&amp;Weekly_TVPlantPmod!$B19&amp;Weekly_TVPlantPmod!$B$3&amp;$B$2&amp;$B$1&amp;$C$1)</f>
        <v>0</v>
      </c>
      <c r="EU19" s="2">
        <f>COUNTIF(defects!$Z:$Z,Weekly_TVPlantPmod!EU$3&amp;Weekly_TVPlantPmod!$B19&amp;Weekly_TVPlantPmod!$B$3&amp;$B$2&amp;$B$1&amp;$C$1)</f>
        <v>0</v>
      </c>
      <c r="EV19" s="2">
        <f>COUNTIF(defects!$Z:$Z,Weekly_TVPlantPmod!EV$3&amp;Weekly_TVPlantPmod!$B19&amp;Weekly_TVPlantPmod!$B$3&amp;$B$2&amp;$B$1&amp;$C$1)</f>
        <v>0</v>
      </c>
      <c r="EW19" s="2">
        <f>COUNTIF(defects!$Z:$Z,Weekly_TVPlantPmod!EW$3&amp;Weekly_TVPlantPmod!$B19&amp;Weekly_TVPlantPmod!$B$3&amp;$B$2&amp;$B$1&amp;$C$1)</f>
        <v>0</v>
      </c>
      <c r="EX19" s="2">
        <f>COUNTIF(defects!$Z:$Z,Weekly_TVPlantPmod!EX$3&amp;Weekly_TVPlantPmod!$B19&amp;Weekly_TVPlantPmod!$B$3&amp;$B$2&amp;$B$1&amp;$C$1)</f>
        <v>0</v>
      </c>
      <c r="EY19" s="2">
        <f>COUNTIF(defects!$Z:$Z,Weekly_TVPlantPmod!EY$3&amp;Weekly_TVPlantPmod!$B19&amp;Weekly_TVPlantPmod!$B$3&amp;$B$2&amp;$B$1&amp;$C$1)</f>
        <v>0</v>
      </c>
      <c r="EZ19" s="2">
        <f>COUNTIF(defects!$Z:$Z,Weekly_TVPlantPmod!EZ$3&amp;Weekly_TVPlantPmod!$B19&amp;Weekly_TVPlantPmod!$B$3&amp;$B$2&amp;$B$1&amp;$C$1)</f>
        <v>0</v>
      </c>
      <c r="FA19" s="2">
        <f>COUNTIF(defects!$Z:$Z,Weekly_TVPlantPmod!FA$3&amp;Weekly_TVPlantPmod!$B19&amp;Weekly_TVPlantPmod!$B$3&amp;$B$2&amp;$B$1&amp;$C$1)</f>
        <v>0</v>
      </c>
      <c r="FB19" s="2">
        <f>COUNTIF(defects!$Z:$Z,Weekly_TVPlantPmod!FB$3&amp;Weekly_TVPlantPmod!$B19&amp;Weekly_TVPlantPmod!$B$3&amp;$B$2&amp;$B$1&amp;$C$1)</f>
        <v>0</v>
      </c>
      <c r="FC19" s="2">
        <f>COUNTIF(defects!$Z:$Z,Weekly_TVPlantPmod!FC$3&amp;Weekly_TVPlantPmod!$B19&amp;Weekly_TVPlantPmod!$B$3&amp;$B$2&amp;$B$1&amp;$C$1)</f>
        <v>0</v>
      </c>
      <c r="FD19" s="2">
        <f>COUNTIF(defects!$Z:$Z,Weekly_TVPlantPmod!FD$3&amp;Weekly_TVPlantPmod!$B19&amp;Weekly_TVPlantPmod!$B$3&amp;$B$2&amp;$B$1&amp;$C$1)</f>
        <v>0</v>
      </c>
      <c r="FE19" s="2">
        <f>COUNTIF(defects!$Z:$Z,Weekly_TVPlantPmod!FE$3&amp;Weekly_TVPlantPmod!$B19&amp;Weekly_TVPlantPmod!$B$3&amp;$B$2&amp;$B$1&amp;$C$1)</f>
        <v>0</v>
      </c>
    </row>
    <row r="20" spans="2:161">
      <c r="B20" s="3" t="s">
        <v>952</v>
      </c>
      <c r="C20" s="2">
        <f>COUNTIF(defects!$Z:$Z,Weekly_TVPlantPmod!C$3&amp;Weekly_TVPlantPmod!$B20&amp;Weekly_TVPlantPmod!$B$3&amp;$B$2&amp;$B$1&amp;$C$1)</f>
        <v>0</v>
      </c>
      <c r="D20" s="2">
        <f>COUNTIF(defects!$Z:$Z,Weekly_TVPlantPmod!D$3&amp;Weekly_TVPlantPmod!$B20&amp;Weekly_TVPlantPmod!$B$3&amp;$B$2&amp;$B$1&amp;$C$1)</f>
        <v>0</v>
      </c>
      <c r="E20" s="2">
        <f>COUNTIF(defects!$Z:$Z,Weekly_TVPlantPmod!E$3&amp;Weekly_TVPlantPmod!$B20&amp;Weekly_TVPlantPmod!$B$3&amp;$B$2&amp;$B$1&amp;$C$1)</f>
        <v>0</v>
      </c>
      <c r="F20" s="2">
        <f>COUNTIF(defects!$Z:$Z,Weekly_TVPlantPmod!F$3&amp;Weekly_TVPlantPmod!$B20&amp;Weekly_TVPlantPmod!$B$3&amp;$B$2&amp;$B$1&amp;$C$1)</f>
        <v>0</v>
      </c>
      <c r="G20" s="2">
        <f>COUNTIF(defects!$Z:$Z,Weekly_TVPlantPmod!G$3&amp;Weekly_TVPlantPmod!$B20&amp;Weekly_TVPlantPmod!$B$3&amp;$B$2&amp;$B$1&amp;$C$1)</f>
        <v>0</v>
      </c>
      <c r="H20" s="2">
        <f>COUNTIF(defects!$Z:$Z,Weekly_TVPlantPmod!H$3&amp;Weekly_TVPlantPmod!$B20&amp;Weekly_TVPlantPmod!$B$3&amp;$B$2&amp;$B$1&amp;$C$1)</f>
        <v>0</v>
      </c>
      <c r="I20" s="2">
        <f>COUNTIF(defects!$Z:$Z,Weekly_TVPlantPmod!I$3&amp;Weekly_TVPlantPmod!$B20&amp;Weekly_TVPlantPmod!$B$3&amp;$B$2&amp;$B$1&amp;$C$1)</f>
        <v>0</v>
      </c>
      <c r="J20" s="2">
        <f>COUNTIF(defects!$Z:$Z,Weekly_TVPlantPmod!J$3&amp;Weekly_TVPlantPmod!$B20&amp;Weekly_TVPlantPmod!$B$3&amp;$B$2&amp;$B$1&amp;$C$1)</f>
        <v>0</v>
      </c>
      <c r="K20" s="2">
        <f>COUNTIF(defects!$Z:$Z,Weekly_TVPlantPmod!K$3&amp;Weekly_TVPlantPmod!$B20&amp;Weekly_TVPlantPmod!$B$3&amp;$B$2&amp;$B$1&amp;$C$1)</f>
        <v>0</v>
      </c>
      <c r="L20" s="2">
        <f>COUNTIF(defects!$Z:$Z,Weekly_TVPlantPmod!L$3&amp;Weekly_TVPlantPmod!$B20&amp;Weekly_TVPlantPmod!$B$3&amp;$B$2&amp;$B$1&amp;$C$1)</f>
        <v>0</v>
      </c>
      <c r="M20" s="2">
        <f>COUNTIF(defects!$Z:$Z,Weekly_TVPlantPmod!M$3&amp;Weekly_TVPlantPmod!$B20&amp;Weekly_TVPlantPmod!$B$3&amp;$B$2&amp;$B$1&amp;$C$1)</f>
        <v>0</v>
      </c>
      <c r="N20" s="2">
        <f>COUNTIF(defects!$Z:$Z,Weekly_TVPlantPmod!N$3&amp;Weekly_TVPlantPmod!$B20&amp;Weekly_TVPlantPmod!$B$3&amp;$B$2&amp;$B$1&amp;$C$1)</f>
        <v>0</v>
      </c>
      <c r="O20" s="2">
        <f>COUNTIF(defects!$Z:$Z,Weekly_TVPlantPmod!O$3&amp;Weekly_TVPlantPmod!$B20&amp;Weekly_TVPlantPmod!$B$3&amp;$B$2&amp;$B$1&amp;$C$1)</f>
        <v>0</v>
      </c>
      <c r="P20" s="2">
        <f>COUNTIF(defects!$Z:$Z,Weekly_TVPlantPmod!P$3&amp;Weekly_TVPlantPmod!$B20&amp;Weekly_TVPlantPmod!$B$3&amp;$B$2&amp;$B$1&amp;$C$1)</f>
        <v>0</v>
      </c>
      <c r="Q20" s="2">
        <f>COUNTIF(defects!$Z:$Z,Weekly_TVPlantPmod!Q$3&amp;Weekly_TVPlantPmod!$B20&amp;Weekly_TVPlantPmod!$B$3&amp;$B$2&amp;$B$1&amp;$C$1)</f>
        <v>0</v>
      </c>
      <c r="R20" s="2">
        <f>COUNTIF(defects!$Z:$Z,Weekly_TVPlantPmod!R$3&amp;Weekly_TVPlantPmod!$B20&amp;Weekly_TVPlantPmod!$B$3&amp;$B$2&amp;$B$1&amp;$C$1)</f>
        <v>0</v>
      </c>
      <c r="S20" s="2">
        <f>COUNTIF(defects!$Z:$Z,Weekly_TVPlantPmod!S$3&amp;Weekly_TVPlantPmod!$B20&amp;Weekly_TVPlantPmod!$B$3&amp;$B$2&amp;$B$1&amp;$C$1)</f>
        <v>0</v>
      </c>
      <c r="T20" s="2">
        <f>COUNTIF(defects!$Z:$Z,Weekly_TVPlantPmod!T$3&amp;Weekly_TVPlantPmod!$B20&amp;Weekly_TVPlantPmod!$B$3&amp;$B$2&amp;$B$1&amp;$C$1)</f>
        <v>0</v>
      </c>
      <c r="U20" s="2">
        <f>COUNTIF(defects!$Z:$Z,Weekly_TVPlantPmod!U$3&amp;Weekly_TVPlantPmod!$B20&amp;Weekly_TVPlantPmod!$B$3&amp;$B$2&amp;$B$1&amp;$C$1)</f>
        <v>0</v>
      </c>
      <c r="V20" s="2">
        <f>COUNTIF(defects!$Z:$Z,Weekly_TVPlantPmod!V$3&amp;Weekly_TVPlantPmod!$B20&amp;Weekly_TVPlantPmod!$B$3&amp;$B$2&amp;$B$1&amp;$C$1)</f>
        <v>0</v>
      </c>
      <c r="W20" s="2">
        <f>COUNTIF(defects!$Z:$Z,Weekly_TVPlantPmod!W$3&amp;Weekly_TVPlantPmod!$B20&amp;Weekly_TVPlantPmod!$B$3&amp;$B$2&amp;$B$1&amp;$C$1)</f>
        <v>0</v>
      </c>
      <c r="X20" s="2">
        <f>COUNTIF(defects!$Z:$Z,Weekly_TVPlantPmod!X$3&amp;Weekly_TVPlantPmod!$B20&amp;Weekly_TVPlantPmod!$B$3&amp;$B$2&amp;$B$1&amp;$C$1)</f>
        <v>0</v>
      </c>
      <c r="Y20" s="2">
        <f>COUNTIF(defects!$Z:$Z,Weekly_TVPlantPmod!Y$3&amp;Weekly_TVPlantPmod!$B20&amp;Weekly_TVPlantPmod!$B$3&amp;$B$2&amp;$B$1&amp;$C$1)</f>
        <v>0</v>
      </c>
      <c r="Z20" s="2">
        <f>COUNTIF(defects!$Z:$Z,Weekly_TVPlantPmod!Z$3&amp;Weekly_TVPlantPmod!$B20&amp;Weekly_TVPlantPmod!$B$3&amp;$B$2&amp;$B$1&amp;$C$1)</f>
        <v>0</v>
      </c>
      <c r="AA20" s="2">
        <f>COUNTIF(defects!$Z:$Z,Weekly_TVPlantPmod!AA$3&amp;Weekly_TVPlantPmod!$B20&amp;Weekly_TVPlantPmod!$B$3&amp;$B$2&amp;$B$1&amp;$C$1)</f>
        <v>0</v>
      </c>
      <c r="AB20" s="2">
        <f>COUNTIF(defects!$Z:$Z,Weekly_TVPlantPmod!AB$3&amp;Weekly_TVPlantPmod!$B20&amp;Weekly_TVPlantPmod!$B$3&amp;$B$2&amp;$B$1&amp;$C$1)</f>
        <v>0</v>
      </c>
      <c r="AC20" s="2">
        <f>COUNTIF(defects!$Z:$Z,Weekly_TVPlantPmod!AC$3&amp;Weekly_TVPlantPmod!$B20&amp;Weekly_TVPlantPmod!$B$3&amp;$B$2&amp;$B$1&amp;$C$1)</f>
        <v>0</v>
      </c>
      <c r="AD20" s="2">
        <f>COUNTIF(defects!$Z:$Z,Weekly_TVPlantPmod!AD$3&amp;Weekly_TVPlantPmod!$B20&amp;Weekly_TVPlantPmod!$B$3&amp;$B$2&amp;$B$1&amp;$C$1)</f>
        <v>0</v>
      </c>
      <c r="AE20" s="2">
        <f>COUNTIF(defects!$Z:$Z,Weekly_TVPlantPmod!AE$3&amp;Weekly_TVPlantPmod!$B20&amp;Weekly_TVPlantPmod!$B$3&amp;$B$2&amp;$B$1&amp;$C$1)</f>
        <v>0</v>
      </c>
      <c r="AF20" s="2">
        <f>COUNTIF(defects!$Z:$Z,Weekly_TVPlantPmod!AF$3&amp;Weekly_TVPlantPmod!$B20&amp;Weekly_TVPlantPmod!$B$3&amp;$B$2&amp;$B$1&amp;$C$1)</f>
        <v>0</v>
      </c>
      <c r="AG20" s="2">
        <f>COUNTIF(defects!$Z:$Z,Weekly_TVPlantPmod!AG$3&amp;Weekly_TVPlantPmod!$B20&amp;Weekly_TVPlantPmod!$B$3&amp;$B$2&amp;$B$1&amp;$C$1)</f>
        <v>0</v>
      </c>
      <c r="AH20" s="2">
        <f>COUNTIF(defects!$Z:$Z,Weekly_TVPlantPmod!AH$3&amp;Weekly_TVPlantPmod!$B20&amp;Weekly_TVPlantPmod!$B$3&amp;$B$2&amp;$B$1&amp;$C$1)</f>
        <v>0</v>
      </c>
      <c r="AI20" s="2">
        <f>COUNTIF(defects!$Z:$Z,Weekly_TVPlantPmod!AI$3&amp;Weekly_TVPlantPmod!$B20&amp;Weekly_TVPlantPmod!$B$3&amp;$B$2&amp;$B$1&amp;$C$1)</f>
        <v>0</v>
      </c>
      <c r="AJ20" s="2">
        <f>COUNTIF(defects!$Z:$Z,Weekly_TVPlantPmod!AJ$3&amp;Weekly_TVPlantPmod!$B20&amp;Weekly_TVPlantPmod!$B$3&amp;$B$2&amp;$B$1&amp;$C$1)</f>
        <v>0</v>
      </c>
      <c r="AK20" s="2">
        <f>COUNTIF(defects!$Z:$Z,Weekly_TVPlantPmod!AK$3&amp;Weekly_TVPlantPmod!$B20&amp;Weekly_TVPlantPmod!$B$3&amp;$B$2&amp;$B$1&amp;$C$1)</f>
        <v>0</v>
      </c>
      <c r="AL20" s="2">
        <f>COUNTIF(defects!$Z:$Z,Weekly_TVPlantPmod!AL$3&amp;Weekly_TVPlantPmod!$B20&amp;Weekly_TVPlantPmod!$B$3&amp;$B$2&amp;$B$1&amp;$C$1)</f>
        <v>0</v>
      </c>
      <c r="AM20" s="2">
        <f>COUNTIF(defects!$Z:$Z,Weekly_TVPlantPmod!AM$3&amp;Weekly_TVPlantPmod!$B20&amp;Weekly_TVPlantPmod!$B$3&amp;$B$2&amp;$B$1&amp;$C$1)</f>
        <v>0</v>
      </c>
      <c r="AN20" s="2">
        <f>COUNTIF(defects!$Z:$Z,Weekly_TVPlantPmod!AN$3&amp;Weekly_TVPlantPmod!$B20&amp;Weekly_TVPlantPmod!$B$3&amp;$B$2&amp;$B$1&amp;$C$1)</f>
        <v>0</v>
      </c>
      <c r="AO20" s="2">
        <f>COUNTIF(defects!$Z:$Z,Weekly_TVPlantPmod!AO$3&amp;Weekly_TVPlantPmod!$B20&amp;Weekly_TVPlantPmod!$B$3&amp;$B$2&amp;$B$1&amp;$C$1)</f>
        <v>0</v>
      </c>
      <c r="AP20" s="2">
        <f>COUNTIF(defects!$Z:$Z,Weekly_TVPlantPmod!AP$3&amp;Weekly_TVPlantPmod!$B20&amp;Weekly_TVPlantPmod!$B$3&amp;$B$2&amp;$B$1&amp;$C$1)</f>
        <v>0</v>
      </c>
      <c r="AQ20" s="2">
        <f>COUNTIF(defects!$Z:$Z,Weekly_TVPlantPmod!AQ$3&amp;Weekly_TVPlantPmod!$B20&amp;Weekly_TVPlantPmod!$B$3&amp;$B$2&amp;$B$1&amp;$C$1)</f>
        <v>0</v>
      </c>
      <c r="AR20" s="2">
        <f>COUNTIF(defects!$Z:$Z,Weekly_TVPlantPmod!AR$3&amp;Weekly_TVPlantPmod!$B20&amp;Weekly_TVPlantPmod!$B$3&amp;$B$2&amp;$B$1&amp;$C$1)</f>
        <v>0</v>
      </c>
      <c r="AS20" s="2">
        <f>COUNTIF(defects!$Z:$Z,Weekly_TVPlantPmod!AS$3&amp;Weekly_TVPlantPmod!$B20&amp;Weekly_TVPlantPmod!$B$3&amp;$B$2&amp;$B$1&amp;$C$1)</f>
        <v>0</v>
      </c>
      <c r="AT20" s="2">
        <f>COUNTIF(defects!$Z:$Z,Weekly_TVPlantPmod!AT$3&amp;Weekly_TVPlantPmod!$B20&amp;Weekly_TVPlantPmod!$B$3&amp;$B$2&amp;$B$1&amp;$C$1)</f>
        <v>0</v>
      </c>
      <c r="AU20" s="2">
        <f>COUNTIF(defects!$Z:$Z,Weekly_TVPlantPmod!AU$3&amp;Weekly_TVPlantPmod!$B20&amp;Weekly_TVPlantPmod!$B$3&amp;$B$2&amp;$B$1&amp;$C$1)</f>
        <v>0</v>
      </c>
      <c r="AV20" s="2">
        <f>COUNTIF(defects!$Z:$Z,Weekly_TVPlantPmod!AV$3&amp;Weekly_TVPlantPmod!$B20&amp;Weekly_TVPlantPmod!$B$3&amp;$B$2&amp;$B$1&amp;$C$1)</f>
        <v>0</v>
      </c>
      <c r="AW20" s="2">
        <f>COUNTIF(defects!$Z:$Z,Weekly_TVPlantPmod!AW$3&amp;Weekly_TVPlantPmod!$B20&amp;Weekly_TVPlantPmod!$B$3&amp;$B$2&amp;$B$1&amp;$C$1)</f>
        <v>0</v>
      </c>
      <c r="AX20" s="2">
        <f>COUNTIF(defects!$Z:$Z,Weekly_TVPlantPmod!AX$3&amp;Weekly_TVPlantPmod!$B20&amp;Weekly_TVPlantPmod!$B$3&amp;$B$2&amp;$B$1&amp;$C$1)</f>
        <v>0</v>
      </c>
      <c r="AY20" s="2">
        <f>COUNTIF(defects!$Z:$Z,Weekly_TVPlantPmod!AY$3&amp;Weekly_TVPlantPmod!$B20&amp;Weekly_TVPlantPmod!$B$3&amp;$B$2&amp;$B$1&amp;$C$1)</f>
        <v>0</v>
      </c>
      <c r="AZ20" s="2">
        <f>COUNTIF(defects!$Z:$Z,Weekly_TVPlantPmod!AZ$3&amp;Weekly_TVPlantPmod!$B20&amp;Weekly_TVPlantPmod!$B$3&amp;$B$2&amp;$B$1&amp;$C$1)</f>
        <v>0</v>
      </c>
      <c r="BA20" s="2">
        <f>COUNTIF(defects!$Z:$Z,Weekly_TVPlantPmod!BA$3&amp;Weekly_TVPlantPmod!$B20&amp;Weekly_TVPlantPmod!$B$3&amp;$B$2&amp;$B$1&amp;$C$1)</f>
        <v>0</v>
      </c>
      <c r="BB20" s="2">
        <f>COUNTIF(defects!$Z:$Z,Weekly_TVPlantPmod!BB$3&amp;Weekly_TVPlantPmod!$B20&amp;Weekly_TVPlantPmod!$B$3&amp;$B$2&amp;$B$1&amp;$C$1)</f>
        <v>0</v>
      </c>
      <c r="BC20" s="2">
        <f>COUNTIF(defects!$Z:$Z,Weekly_TVPlantPmod!BC$3&amp;Weekly_TVPlantPmod!$B20&amp;Weekly_TVPlantPmod!$B$3&amp;$B$2&amp;$B$1&amp;$C$1)</f>
        <v>0</v>
      </c>
      <c r="BD20" s="2">
        <f>COUNTIF(defects!$Z:$Z,Weekly_TVPlantPmod!BD$3&amp;Weekly_TVPlantPmod!$B20&amp;Weekly_TVPlantPmod!$B$3&amp;$B$2&amp;$B$1&amp;$C$1)</f>
        <v>0</v>
      </c>
      <c r="BE20" s="2">
        <f>COUNTIF(defects!$Z:$Z,Weekly_TVPlantPmod!BE$3&amp;Weekly_TVPlantPmod!$B20&amp;Weekly_TVPlantPmod!$B$3&amp;$B$2&amp;$B$1&amp;$C$1)</f>
        <v>0</v>
      </c>
      <c r="BF20" s="2">
        <f>COUNTIF(defects!$Z:$Z,Weekly_TVPlantPmod!BF$3&amp;Weekly_TVPlantPmod!$B20&amp;Weekly_TVPlantPmod!$B$3&amp;$B$2&amp;$B$1&amp;$C$1)</f>
        <v>0</v>
      </c>
      <c r="BG20" s="2">
        <f>COUNTIF(defects!$Z:$Z,Weekly_TVPlantPmod!BG$3&amp;Weekly_TVPlantPmod!$B20&amp;Weekly_TVPlantPmod!$B$3&amp;$B$2&amp;$B$1&amp;$C$1)</f>
        <v>0</v>
      </c>
      <c r="BH20" s="2">
        <f>COUNTIF(defects!$Z:$Z,Weekly_TVPlantPmod!BH$3&amp;Weekly_TVPlantPmod!$B20&amp;Weekly_TVPlantPmod!$B$3&amp;$B$2&amp;$B$1&amp;$C$1)</f>
        <v>0</v>
      </c>
      <c r="BI20" s="2">
        <f>COUNTIF(defects!$Z:$Z,Weekly_TVPlantPmod!BI$3&amp;Weekly_TVPlantPmod!$B20&amp;Weekly_TVPlantPmod!$B$3&amp;$B$2&amp;$B$1&amp;$C$1)</f>
        <v>0</v>
      </c>
      <c r="BJ20" s="2">
        <f>COUNTIF(defects!$Z:$Z,Weekly_TVPlantPmod!BJ$3&amp;Weekly_TVPlantPmod!$B20&amp;Weekly_TVPlantPmod!$B$3&amp;$B$2&amp;$B$1&amp;$C$1)</f>
        <v>0</v>
      </c>
      <c r="BK20" s="2">
        <f>COUNTIF(defects!$Z:$Z,Weekly_TVPlantPmod!BK$3&amp;Weekly_TVPlantPmod!$B20&amp;Weekly_TVPlantPmod!$B$3&amp;$B$2&amp;$B$1&amp;$C$1)</f>
        <v>0</v>
      </c>
      <c r="BL20" s="2">
        <f>COUNTIF(defects!$Z:$Z,Weekly_TVPlantPmod!BL$3&amp;Weekly_TVPlantPmod!$B20&amp;Weekly_TVPlantPmod!$B$3&amp;$B$2&amp;$B$1&amp;$C$1)</f>
        <v>0</v>
      </c>
      <c r="BM20" s="2">
        <f>COUNTIF(defects!$Z:$Z,Weekly_TVPlantPmod!BM$3&amp;Weekly_TVPlantPmod!$B20&amp;Weekly_TVPlantPmod!$B$3&amp;$B$2&amp;$B$1&amp;$C$1)</f>
        <v>0</v>
      </c>
      <c r="BN20" s="2">
        <f>COUNTIF(defects!$Z:$Z,Weekly_TVPlantPmod!BN$3&amp;Weekly_TVPlantPmod!$B20&amp;Weekly_TVPlantPmod!$B$3&amp;$B$2&amp;$B$1&amp;$C$1)</f>
        <v>0</v>
      </c>
      <c r="BO20" s="2">
        <f>COUNTIF(defects!$Z:$Z,Weekly_TVPlantPmod!BO$3&amp;Weekly_TVPlantPmod!$B20&amp;Weekly_TVPlantPmod!$B$3&amp;$B$2&amp;$B$1&amp;$C$1)</f>
        <v>0</v>
      </c>
      <c r="BP20" s="2">
        <f>COUNTIF(defects!$Z:$Z,Weekly_TVPlantPmod!BP$3&amp;Weekly_TVPlantPmod!$B20&amp;Weekly_TVPlantPmod!$B$3&amp;$B$2&amp;$B$1&amp;$C$1)</f>
        <v>0</v>
      </c>
      <c r="BQ20" s="2">
        <f>COUNTIF(defects!$Z:$Z,Weekly_TVPlantPmod!BQ$3&amp;Weekly_TVPlantPmod!$B20&amp;Weekly_TVPlantPmod!$B$3&amp;$B$2&amp;$B$1&amp;$C$1)</f>
        <v>0</v>
      </c>
      <c r="BR20" s="2">
        <f>COUNTIF(defects!$Z:$Z,Weekly_TVPlantPmod!BR$3&amp;Weekly_TVPlantPmod!$B20&amp;Weekly_TVPlantPmod!$B$3&amp;$B$2&amp;$B$1&amp;$C$1)</f>
        <v>0</v>
      </c>
      <c r="BS20" s="2">
        <f>COUNTIF(defects!$Z:$Z,Weekly_TVPlantPmod!BS$3&amp;Weekly_TVPlantPmod!$B20&amp;Weekly_TVPlantPmod!$B$3&amp;$B$2&amp;$B$1&amp;$C$1)</f>
        <v>0</v>
      </c>
      <c r="BT20" s="2">
        <f>COUNTIF(defects!$Z:$Z,Weekly_TVPlantPmod!BT$3&amp;Weekly_TVPlantPmod!$B20&amp;Weekly_TVPlantPmod!$B$3&amp;$B$2&amp;$B$1&amp;$C$1)</f>
        <v>0</v>
      </c>
      <c r="BU20" s="2">
        <f>COUNTIF(defects!$Z:$Z,Weekly_TVPlantPmod!BU$3&amp;Weekly_TVPlantPmod!$B20&amp;Weekly_TVPlantPmod!$B$3&amp;$B$2&amp;$B$1&amp;$C$1)</f>
        <v>0</v>
      </c>
      <c r="BV20" s="2">
        <f>COUNTIF(defects!$Z:$Z,Weekly_TVPlantPmod!BV$3&amp;Weekly_TVPlantPmod!$B20&amp;Weekly_TVPlantPmod!$B$3&amp;$B$2&amp;$B$1&amp;$C$1)</f>
        <v>0</v>
      </c>
      <c r="BW20" s="2">
        <f>COUNTIF(defects!$Z:$Z,Weekly_TVPlantPmod!BW$3&amp;Weekly_TVPlantPmod!$B20&amp;Weekly_TVPlantPmod!$B$3&amp;$B$2&amp;$B$1&amp;$C$1)</f>
        <v>0</v>
      </c>
      <c r="BX20" s="2">
        <f>COUNTIF(defects!$Z:$Z,Weekly_TVPlantPmod!BX$3&amp;Weekly_TVPlantPmod!$B20&amp;Weekly_TVPlantPmod!$B$3&amp;$B$2&amp;$B$1&amp;$C$1)</f>
        <v>0</v>
      </c>
      <c r="BY20" s="2">
        <f>COUNTIF(defects!$Z:$Z,Weekly_TVPlantPmod!BY$3&amp;Weekly_TVPlantPmod!$B20&amp;Weekly_TVPlantPmod!$B$3&amp;$B$2&amp;$B$1&amp;$C$1)</f>
        <v>0</v>
      </c>
      <c r="BZ20" s="2">
        <f>COUNTIF(defects!$Z:$Z,Weekly_TVPlantPmod!BZ$3&amp;Weekly_TVPlantPmod!$B20&amp;Weekly_TVPlantPmod!$B$3&amp;$B$2&amp;$B$1&amp;$C$1)</f>
        <v>0</v>
      </c>
      <c r="CA20" s="2">
        <f>COUNTIF(defects!$Z:$Z,Weekly_TVPlantPmod!CA$3&amp;Weekly_TVPlantPmod!$B20&amp;Weekly_TVPlantPmod!$B$3&amp;$B$2&amp;$B$1&amp;$C$1)</f>
        <v>0</v>
      </c>
      <c r="CB20" s="2">
        <f>COUNTIF(defects!$Z:$Z,Weekly_TVPlantPmod!CB$3&amp;Weekly_TVPlantPmod!$B20&amp;Weekly_TVPlantPmod!$B$3&amp;$B$2&amp;$B$1&amp;$C$1)</f>
        <v>0</v>
      </c>
      <c r="CC20" s="2">
        <f>COUNTIF(defects!$Z:$Z,Weekly_TVPlantPmod!CC$3&amp;Weekly_TVPlantPmod!$B20&amp;Weekly_TVPlantPmod!$B$3&amp;$B$2&amp;$B$1&amp;$C$1)</f>
        <v>0</v>
      </c>
      <c r="CD20" s="2">
        <f>COUNTIF(defects!$Z:$Z,Weekly_TVPlantPmod!CD$3&amp;Weekly_TVPlantPmod!$B20&amp;Weekly_TVPlantPmod!$B$3&amp;$B$2&amp;$B$1&amp;$C$1)</f>
        <v>0</v>
      </c>
      <c r="CE20" s="2">
        <f>COUNTIF(defects!$Z:$Z,Weekly_TVPlantPmod!CE$3&amp;Weekly_TVPlantPmod!$B20&amp;Weekly_TVPlantPmod!$B$3&amp;$B$2&amp;$B$1&amp;$C$1)</f>
        <v>0</v>
      </c>
      <c r="CF20" s="2">
        <f>COUNTIF(defects!$Z:$Z,Weekly_TVPlantPmod!CF$3&amp;Weekly_TVPlantPmod!$B20&amp;Weekly_TVPlantPmod!$B$3&amp;$B$2&amp;$B$1&amp;$C$1)</f>
        <v>0</v>
      </c>
      <c r="CG20" s="2">
        <f>COUNTIF(defects!$Z:$Z,Weekly_TVPlantPmod!CG$3&amp;Weekly_TVPlantPmod!$B20&amp;Weekly_TVPlantPmod!$B$3&amp;$B$2&amp;$B$1&amp;$C$1)</f>
        <v>0</v>
      </c>
      <c r="CH20" s="2">
        <f>COUNTIF(defects!$Z:$Z,Weekly_TVPlantPmod!CH$3&amp;Weekly_TVPlantPmod!$B20&amp;Weekly_TVPlantPmod!$B$3&amp;$B$2&amp;$B$1&amp;$C$1)</f>
        <v>0</v>
      </c>
      <c r="CI20" s="2">
        <f>COUNTIF(defects!$Z:$Z,Weekly_TVPlantPmod!CI$3&amp;Weekly_TVPlantPmod!$B20&amp;Weekly_TVPlantPmod!$B$3&amp;$B$2&amp;$B$1&amp;$C$1)</f>
        <v>0</v>
      </c>
      <c r="CJ20" s="2">
        <f>COUNTIF(defects!$Z:$Z,Weekly_TVPlantPmod!CJ$3&amp;Weekly_TVPlantPmod!$B20&amp;Weekly_TVPlantPmod!$B$3&amp;$B$2&amp;$B$1&amp;$C$1)</f>
        <v>0</v>
      </c>
      <c r="CK20" s="2">
        <f>COUNTIF(defects!$Z:$Z,Weekly_TVPlantPmod!CK$3&amp;Weekly_TVPlantPmod!$B20&amp;Weekly_TVPlantPmod!$B$3&amp;$B$2&amp;$B$1&amp;$C$1)</f>
        <v>0</v>
      </c>
      <c r="CL20" s="2">
        <f>COUNTIF(defects!$Z:$Z,Weekly_TVPlantPmod!CL$3&amp;Weekly_TVPlantPmod!$B20&amp;Weekly_TVPlantPmod!$B$3&amp;$B$2&amp;$B$1&amp;$C$1)</f>
        <v>0</v>
      </c>
      <c r="CM20" s="2">
        <f>COUNTIF(defects!$Z:$Z,Weekly_TVPlantPmod!CM$3&amp;Weekly_TVPlantPmod!$B20&amp;Weekly_TVPlantPmod!$B$3&amp;$B$2&amp;$B$1&amp;$C$1)</f>
        <v>0</v>
      </c>
      <c r="CN20" s="2">
        <f>COUNTIF(defects!$Z:$Z,Weekly_TVPlantPmod!CN$3&amp;Weekly_TVPlantPmod!$B20&amp;Weekly_TVPlantPmod!$B$3&amp;$B$2&amp;$B$1&amp;$C$1)</f>
        <v>0</v>
      </c>
      <c r="CO20" s="2">
        <f>COUNTIF(defects!$Z:$Z,Weekly_TVPlantPmod!CO$3&amp;Weekly_TVPlantPmod!$B20&amp;Weekly_TVPlantPmod!$B$3&amp;$B$2&amp;$B$1&amp;$C$1)</f>
        <v>0</v>
      </c>
      <c r="CP20" s="2">
        <f>COUNTIF(defects!$Z:$Z,Weekly_TVPlantPmod!CP$3&amp;Weekly_TVPlantPmod!$B20&amp;Weekly_TVPlantPmod!$B$3&amp;$B$2&amp;$B$1&amp;$C$1)</f>
        <v>0</v>
      </c>
      <c r="CQ20" s="2">
        <f>COUNTIF(defects!$Z:$Z,Weekly_TVPlantPmod!CQ$3&amp;Weekly_TVPlantPmod!$B20&amp;Weekly_TVPlantPmod!$B$3&amp;$B$2&amp;$B$1&amp;$C$1)</f>
        <v>0</v>
      </c>
      <c r="CR20" s="2">
        <f>COUNTIF(defects!$Z:$Z,Weekly_TVPlantPmod!CR$3&amp;Weekly_TVPlantPmod!$B20&amp;Weekly_TVPlantPmod!$B$3&amp;$B$2&amp;$B$1&amp;$C$1)</f>
        <v>0</v>
      </c>
      <c r="CS20" s="2">
        <f>COUNTIF(defects!$Z:$Z,Weekly_TVPlantPmod!CS$3&amp;Weekly_TVPlantPmod!$B20&amp;Weekly_TVPlantPmod!$B$3&amp;$B$2&amp;$B$1&amp;$C$1)</f>
        <v>0</v>
      </c>
      <c r="CT20" s="2">
        <f>COUNTIF(defects!$Z:$Z,Weekly_TVPlantPmod!CT$3&amp;Weekly_TVPlantPmod!$B20&amp;Weekly_TVPlantPmod!$B$3&amp;$B$2&amp;$B$1&amp;$C$1)</f>
        <v>0</v>
      </c>
      <c r="CU20" s="2">
        <f>COUNTIF(defects!$Z:$Z,Weekly_TVPlantPmod!CU$3&amp;Weekly_TVPlantPmod!$B20&amp;Weekly_TVPlantPmod!$B$3&amp;$B$2&amp;$B$1&amp;$C$1)</f>
        <v>0</v>
      </c>
      <c r="CV20" s="2">
        <f>COUNTIF(defects!$Z:$Z,Weekly_TVPlantPmod!CV$3&amp;Weekly_TVPlantPmod!$B20&amp;Weekly_TVPlantPmod!$B$3&amp;$B$2&amp;$B$1&amp;$C$1)</f>
        <v>0</v>
      </c>
      <c r="CW20" s="2">
        <f>COUNTIF(defects!$Z:$Z,Weekly_TVPlantPmod!CW$3&amp;Weekly_TVPlantPmod!$B20&amp;Weekly_TVPlantPmod!$B$3&amp;$B$2&amp;$B$1&amp;$C$1)</f>
        <v>0</v>
      </c>
      <c r="CX20" s="2">
        <f>COUNTIF(defects!$Z:$Z,Weekly_TVPlantPmod!CX$3&amp;Weekly_TVPlantPmod!$B20&amp;Weekly_TVPlantPmod!$B$3&amp;$B$2&amp;$B$1&amp;$C$1)</f>
        <v>0</v>
      </c>
      <c r="CY20" s="2">
        <f>COUNTIF(defects!$Z:$Z,Weekly_TVPlantPmod!CY$3&amp;Weekly_TVPlantPmod!$B20&amp;Weekly_TVPlantPmod!$B$3&amp;$B$2&amp;$B$1&amp;$C$1)</f>
        <v>0</v>
      </c>
      <c r="CZ20" s="2">
        <f>COUNTIF(defects!$Z:$Z,Weekly_TVPlantPmod!CZ$3&amp;Weekly_TVPlantPmod!$B20&amp;Weekly_TVPlantPmod!$B$3&amp;$B$2&amp;$B$1&amp;$C$1)</f>
        <v>0</v>
      </c>
      <c r="DA20" s="2">
        <f>COUNTIF(defects!$Z:$Z,Weekly_TVPlantPmod!DA$3&amp;Weekly_TVPlantPmod!$B20&amp;Weekly_TVPlantPmod!$B$3&amp;$B$2&amp;$B$1&amp;$C$1)</f>
        <v>0</v>
      </c>
      <c r="DB20" s="2">
        <f>COUNTIF(defects!$Z:$Z,Weekly_TVPlantPmod!DB$3&amp;Weekly_TVPlantPmod!$B20&amp;Weekly_TVPlantPmod!$B$3&amp;$B$2&amp;$B$1&amp;$C$1)</f>
        <v>0</v>
      </c>
      <c r="DC20" s="2">
        <f>COUNTIF(defects!$Z:$Z,Weekly_TVPlantPmod!DC$3&amp;Weekly_TVPlantPmod!$B20&amp;Weekly_TVPlantPmod!$B$3&amp;$B$2&amp;$B$1&amp;$C$1)</f>
        <v>0</v>
      </c>
      <c r="DD20" s="2">
        <f>COUNTIF(defects!$Z:$Z,Weekly_TVPlantPmod!DD$3&amp;Weekly_TVPlantPmod!$B20&amp;Weekly_TVPlantPmod!$B$3&amp;$B$2&amp;$B$1&amp;$C$1)</f>
        <v>0</v>
      </c>
      <c r="DE20" s="2">
        <f>COUNTIF(defects!$Z:$Z,Weekly_TVPlantPmod!DE$3&amp;Weekly_TVPlantPmod!$B20&amp;Weekly_TVPlantPmod!$B$3&amp;$B$2&amp;$B$1&amp;$C$1)</f>
        <v>0</v>
      </c>
      <c r="DF20" s="2">
        <f>COUNTIF(defects!$Z:$Z,Weekly_TVPlantPmod!DF$3&amp;Weekly_TVPlantPmod!$B20&amp;Weekly_TVPlantPmod!$B$3&amp;$B$2&amp;$B$1&amp;$C$1)</f>
        <v>0</v>
      </c>
      <c r="DG20" s="2">
        <f>COUNTIF(defects!$Z:$Z,Weekly_TVPlantPmod!DG$3&amp;Weekly_TVPlantPmod!$B20&amp;Weekly_TVPlantPmod!$B$3&amp;$B$2&amp;$B$1&amp;$C$1)</f>
        <v>0</v>
      </c>
      <c r="DH20" s="2">
        <f>COUNTIF(defects!$Z:$Z,Weekly_TVPlantPmod!DH$3&amp;Weekly_TVPlantPmod!$B20&amp;Weekly_TVPlantPmod!$B$3&amp;$B$2&amp;$B$1&amp;$C$1)</f>
        <v>0</v>
      </c>
      <c r="DI20" s="2">
        <f>COUNTIF(defects!$Z:$Z,Weekly_TVPlantPmod!DI$3&amp;Weekly_TVPlantPmod!$B20&amp;Weekly_TVPlantPmod!$B$3&amp;$B$2&amp;$B$1&amp;$C$1)</f>
        <v>0</v>
      </c>
      <c r="DJ20" s="2">
        <f>COUNTIF(defects!$Z:$Z,Weekly_TVPlantPmod!DJ$3&amp;Weekly_TVPlantPmod!$B20&amp;Weekly_TVPlantPmod!$B$3&amp;$B$2&amp;$B$1&amp;$C$1)</f>
        <v>0</v>
      </c>
      <c r="DK20" s="2">
        <f>COUNTIF(defects!$Z:$Z,Weekly_TVPlantPmod!DK$3&amp;Weekly_TVPlantPmod!$B20&amp;Weekly_TVPlantPmod!$B$3&amp;$B$2&amp;$B$1&amp;$C$1)</f>
        <v>0</v>
      </c>
      <c r="DL20" s="2">
        <f>COUNTIF(defects!$Z:$Z,Weekly_TVPlantPmod!DL$3&amp;Weekly_TVPlantPmod!$B20&amp;Weekly_TVPlantPmod!$B$3&amp;$B$2&amp;$B$1&amp;$C$1)</f>
        <v>0</v>
      </c>
      <c r="DM20" s="2">
        <f>COUNTIF(defects!$Z:$Z,Weekly_TVPlantPmod!DM$3&amp;Weekly_TVPlantPmod!$B20&amp;Weekly_TVPlantPmod!$B$3&amp;$B$2&amp;$B$1&amp;$C$1)</f>
        <v>0</v>
      </c>
      <c r="DN20" s="2">
        <f>COUNTIF(defects!$Z:$Z,Weekly_TVPlantPmod!DN$3&amp;Weekly_TVPlantPmod!$B20&amp;Weekly_TVPlantPmod!$B$3&amp;$B$2&amp;$B$1&amp;$C$1)</f>
        <v>0</v>
      </c>
      <c r="DO20" s="2">
        <f>COUNTIF(defects!$Z:$Z,Weekly_TVPlantPmod!DO$3&amp;Weekly_TVPlantPmod!$B20&amp;Weekly_TVPlantPmod!$B$3&amp;$B$2&amp;$B$1&amp;$C$1)</f>
        <v>0</v>
      </c>
      <c r="DP20" s="2">
        <f>COUNTIF(defects!$Z:$Z,Weekly_TVPlantPmod!DP$3&amp;Weekly_TVPlantPmod!$B20&amp;Weekly_TVPlantPmod!$B$3&amp;$B$2&amp;$B$1&amp;$C$1)</f>
        <v>0</v>
      </c>
      <c r="DQ20" s="2">
        <f>COUNTIF(defects!$Z:$Z,Weekly_TVPlantPmod!DQ$3&amp;Weekly_TVPlantPmod!$B20&amp;Weekly_TVPlantPmod!$B$3&amp;$B$2&amp;$B$1&amp;$C$1)</f>
        <v>0</v>
      </c>
      <c r="DR20" s="2">
        <f>COUNTIF(defects!$Z:$Z,Weekly_TVPlantPmod!DR$3&amp;Weekly_TVPlantPmod!$B20&amp;Weekly_TVPlantPmod!$B$3&amp;$B$2&amp;$B$1&amp;$C$1)</f>
        <v>0</v>
      </c>
      <c r="DS20" s="2">
        <f>COUNTIF(defects!$Z:$Z,Weekly_TVPlantPmod!DS$3&amp;Weekly_TVPlantPmod!$B20&amp;Weekly_TVPlantPmod!$B$3&amp;$B$2&amp;$B$1&amp;$C$1)</f>
        <v>0</v>
      </c>
      <c r="DT20" s="2">
        <f>COUNTIF(defects!$Z:$Z,Weekly_TVPlantPmod!DT$3&amp;Weekly_TVPlantPmod!$B20&amp;Weekly_TVPlantPmod!$B$3&amp;$B$2&amp;$B$1&amp;$C$1)</f>
        <v>0</v>
      </c>
      <c r="DU20" s="2">
        <f>COUNTIF(defects!$Z:$Z,Weekly_TVPlantPmod!DU$3&amp;Weekly_TVPlantPmod!$B20&amp;Weekly_TVPlantPmod!$B$3&amp;$B$2&amp;$B$1&amp;$C$1)</f>
        <v>0</v>
      </c>
      <c r="DV20" s="2">
        <f>COUNTIF(defects!$Z:$Z,Weekly_TVPlantPmod!DV$3&amp;Weekly_TVPlantPmod!$B20&amp;Weekly_TVPlantPmod!$B$3&amp;$B$2&amp;$B$1&amp;$C$1)</f>
        <v>0</v>
      </c>
      <c r="DW20" s="2">
        <f>COUNTIF(defects!$Z:$Z,Weekly_TVPlantPmod!DW$3&amp;Weekly_TVPlantPmod!$B20&amp;Weekly_TVPlantPmod!$B$3&amp;$B$2&amp;$B$1&amp;$C$1)</f>
        <v>0</v>
      </c>
      <c r="DX20" s="2">
        <f>COUNTIF(defects!$Z:$Z,Weekly_TVPlantPmod!DX$3&amp;Weekly_TVPlantPmod!$B20&amp;Weekly_TVPlantPmod!$B$3&amp;$B$2&amp;$B$1&amp;$C$1)</f>
        <v>0</v>
      </c>
      <c r="DY20" s="2">
        <f>COUNTIF(defects!$Z:$Z,Weekly_TVPlantPmod!DY$3&amp;Weekly_TVPlantPmod!$B20&amp;Weekly_TVPlantPmod!$B$3&amp;$B$2&amp;$B$1&amp;$C$1)</f>
        <v>0</v>
      </c>
      <c r="DZ20" s="2">
        <f>COUNTIF(defects!$Z:$Z,Weekly_TVPlantPmod!DZ$3&amp;Weekly_TVPlantPmod!$B20&amp;Weekly_TVPlantPmod!$B$3&amp;$B$2&amp;$B$1&amp;$C$1)</f>
        <v>0</v>
      </c>
      <c r="EA20" s="2">
        <f>COUNTIF(defects!$Z:$Z,Weekly_TVPlantPmod!EA$3&amp;Weekly_TVPlantPmod!$B20&amp;Weekly_TVPlantPmod!$B$3&amp;$B$2&amp;$B$1&amp;$C$1)</f>
        <v>0</v>
      </c>
      <c r="EB20" s="2">
        <f>COUNTIF(defects!$Z:$Z,Weekly_TVPlantPmod!EB$3&amp;Weekly_TVPlantPmod!$B20&amp;Weekly_TVPlantPmod!$B$3&amp;$B$2&amp;$B$1&amp;$C$1)</f>
        <v>0</v>
      </c>
      <c r="EC20" s="2">
        <f>COUNTIF(defects!$Z:$Z,Weekly_TVPlantPmod!EC$3&amp;Weekly_TVPlantPmod!$B20&amp;Weekly_TVPlantPmod!$B$3&amp;$B$2&amp;$B$1&amp;$C$1)</f>
        <v>0</v>
      </c>
      <c r="ED20" s="2">
        <f>COUNTIF(defects!$Z:$Z,Weekly_TVPlantPmod!ED$3&amp;Weekly_TVPlantPmod!$B20&amp;Weekly_TVPlantPmod!$B$3&amp;$B$2&amp;$B$1&amp;$C$1)</f>
        <v>0</v>
      </c>
      <c r="EE20" s="2">
        <f>COUNTIF(defects!$Z:$Z,Weekly_TVPlantPmod!EE$3&amp;Weekly_TVPlantPmod!$B20&amp;Weekly_TVPlantPmod!$B$3&amp;$B$2&amp;$B$1&amp;$C$1)</f>
        <v>0</v>
      </c>
      <c r="EF20" s="2">
        <f>COUNTIF(defects!$Z:$Z,Weekly_TVPlantPmod!EF$3&amp;Weekly_TVPlantPmod!$B20&amp;Weekly_TVPlantPmod!$B$3&amp;$B$2&amp;$B$1&amp;$C$1)</f>
        <v>0</v>
      </c>
      <c r="EG20" s="2">
        <f>COUNTIF(defects!$Z:$Z,Weekly_TVPlantPmod!EG$3&amp;Weekly_TVPlantPmod!$B20&amp;Weekly_TVPlantPmod!$B$3&amp;$B$2&amp;$B$1&amp;$C$1)</f>
        <v>0</v>
      </c>
      <c r="EH20" s="2">
        <f>COUNTIF(defects!$Z:$Z,Weekly_TVPlantPmod!EH$3&amp;Weekly_TVPlantPmod!$B20&amp;Weekly_TVPlantPmod!$B$3&amp;$B$2&amp;$B$1&amp;$C$1)</f>
        <v>0</v>
      </c>
      <c r="EI20" s="2">
        <f>COUNTIF(defects!$Z:$Z,Weekly_TVPlantPmod!EI$3&amp;Weekly_TVPlantPmod!$B20&amp;Weekly_TVPlantPmod!$B$3&amp;$B$2&amp;$B$1&amp;$C$1)</f>
        <v>0</v>
      </c>
      <c r="EJ20" s="2">
        <f>COUNTIF(defects!$Z:$Z,Weekly_TVPlantPmod!EJ$3&amp;Weekly_TVPlantPmod!$B20&amp;Weekly_TVPlantPmod!$B$3&amp;$B$2&amp;$B$1&amp;$C$1)</f>
        <v>0</v>
      </c>
      <c r="EK20" s="2">
        <f>COUNTIF(defects!$Z:$Z,Weekly_TVPlantPmod!EK$3&amp;Weekly_TVPlantPmod!$B20&amp;Weekly_TVPlantPmod!$B$3&amp;$B$2&amp;$B$1&amp;$C$1)</f>
        <v>0</v>
      </c>
      <c r="EL20" s="2">
        <f>COUNTIF(defects!$Z:$Z,Weekly_TVPlantPmod!EL$3&amp;Weekly_TVPlantPmod!$B20&amp;Weekly_TVPlantPmod!$B$3&amp;$B$2&amp;$B$1&amp;$C$1)</f>
        <v>0</v>
      </c>
      <c r="EM20" s="2">
        <f>COUNTIF(defects!$Z:$Z,Weekly_TVPlantPmod!EM$3&amp;Weekly_TVPlantPmod!$B20&amp;Weekly_TVPlantPmod!$B$3&amp;$B$2&amp;$B$1&amp;$C$1)</f>
        <v>0</v>
      </c>
      <c r="EN20" s="2">
        <f>COUNTIF(defects!$Z:$Z,Weekly_TVPlantPmod!EN$3&amp;Weekly_TVPlantPmod!$B20&amp;Weekly_TVPlantPmod!$B$3&amp;$B$2&amp;$B$1&amp;$C$1)</f>
        <v>0</v>
      </c>
      <c r="EO20" s="2">
        <f>COUNTIF(defects!$Z:$Z,Weekly_TVPlantPmod!EO$3&amp;Weekly_TVPlantPmod!$B20&amp;Weekly_TVPlantPmod!$B$3&amp;$B$2&amp;$B$1&amp;$C$1)</f>
        <v>0</v>
      </c>
      <c r="EP20" s="2">
        <f>COUNTIF(defects!$Z:$Z,Weekly_TVPlantPmod!EP$3&amp;Weekly_TVPlantPmod!$B20&amp;Weekly_TVPlantPmod!$B$3&amp;$B$2&amp;$B$1&amp;$C$1)</f>
        <v>0</v>
      </c>
      <c r="EQ20" s="2">
        <f>COUNTIF(defects!$Z:$Z,Weekly_TVPlantPmod!EQ$3&amp;Weekly_TVPlantPmod!$B20&amp;Weekly_TVPlantPmod!$B$3&amp;$B$2&amp;$B$1&amp;$C$1)</f>
        <v>0</v>
      </c>
      <c r="ER20" s="2">
        <f>COUNTIF(defects!$Z:$Z,Weekly_TVPlantPmod!ER$3&amp;Weekly_TVPlantPmod!$B20&amp;Weekly_TVPlantPmod!$B$3&amp;$B$2&amp;$B$1&amp;$C$1)</f>
        <v>0</v>
      </c>
      <c r="ES20" s="2">
        <f>COUNTIF(defects!$Z:$Z,Weekly_TVPlantPmod!ES$3&amp;Weekly_TVPlantPmod!$B20&amp;Weekly_TVPlantPmod!$B$3&amp;$B$2&amp;$B$1&amp;$C$1)</f>
        <v>0</v>
      </c>
      <c r="ET20" s="2">
        <f>COUNTIF(defects!$Z:$Z,Weekly_TVPlantPmod!ET$3&amp;Weekly_TVPlantPmod!$B20&amp;Weekly_TVPlantPmod!$B$3&amp;$B$2&amp;$B$1&amp;$C$1)</f>
        <v>0</v>
      </c>
      <c r="EU20" s="2">
        <f>COUNTIF(defects!$Z:$Z,Weekly_TVPlantPmod!EU$3&amp;Weekly_TVPlantPmod!$B20&amp;Weekly_TVPlantPmod!$B$3&amp;$B$2&amp;$B$1&amp;$C$1)</f>
        <v>0</v>
      </c>
      <c r="EV20" s="2">
        <f>COUNTIF(defects!$Z:$Z,Weekly_TVPlantPmod!EV$3&amp;Weekly_TVPlantPmod!$B20&amp;Weekly_TVPlantPmod!$B$3&amp;$B$2&amp;$B$1&amp;$C$1)</f>
        <v>0</v>
      </c>
      <c r="EW20" s="2">
        <f>COUNTIF(defects!$Z:$Z,Weekly_TVPlantPmod!EW$3&amp;Weekly_TVPlantPmod!$B20&amp;Weekly_TVPlantPmod!$B$3&amp;$B$2&amp;$B$1&amp;$C$1)</f>
        <v>0</v>
      </c>
      <c r="EX20" s="2">
        <f>COUNTIF(defects!$Z:$Z,Weekly_TVPlantPmod!EX$3&amp;Weekly_TVPlantPmod!$B20&amp;Weekly_TVPlantPmod!$B$3&amp;$B$2&amp;$B$1&amp;$C$1)</f>
        <v>0</v>
      </c>
      <c r="EY20" s="2">
        <f>COUNTIF(defects!$Z:$Z,Weekly_TVPlantPmod!EY$3&amp;Weekly_TVPlantPmod!$B20&amp;Weekly_TVPlantPmod!$B$3&amp;$B$2&amp;$B$1&amp;$C$1)</f>
        <v>0</v>
      </c>
      <c r="EZ20" s="2">
        <f>COUNTIF(defects!$Z:$Z,Weekly_TVPlantPmod!EZ$3&amp;Weekly_TVPlantPmod!$B20&amp;Weekly_TVPlantPmod!$B$3&amp;$B$2&amp;$B$1&amp;$C$1)</f>
        <v>0</v>
      </c>
      <c r="FA20" s="2">
        <f>COUNTIF(defects!$Z:$Z,Weekly_TVPlantPmod!FA$3&amp;Weekly_TVPlantPmod!$B20&amp;Weekly_TVPlantPmod!$B$3&amp;$B$2&amp;$B$1&amp;$C$1)</f>
        <v>0</v>
      </c>
      <c r="FB20" s="2">
        <f>COUNTIF(defects!$Z:$Z,Weekly_TVPlantPmod!FB$3&amp;Weekly_TVPlantPmod!$B20&amp;Weekly_TVPlantPmod!$B$3&amp;$B$2&amp;$B$1&amp;$C$1)</f>
        <v>0</v>
      </c>
      <c r="FC20" s="2">
        <f>COUNTIF(defects!$Z:$Z,Weekly_TVPlantPmod!FC$3&amp;Weekly_TVPlantPmod!$B20&amp;Weekly_TVPlantPmod!$B$3&amp;$B$2&amp;$B$1&amp;$C$1)</f>
        <v>0</v>
      </c>
      <c r="FD20" s="2">
        <f>COUNTIF(defects!$Z:$Z,Weekly_TVPlantPmod!FD$3&amp;Weekly_TVPlantPmod!$B20&amp;Weekly_TVPlantPmod!$B$3&amp;$B$2&amp;$B$1&amp;$C$1)</f>
        <v>0</v>
      </c>
      <c r="FE20" s="2">
        <f>COUNTIF(defects!$Z:$Z,Weekly_TVPlantPmod!FE$3&amp;Weekly_TVPlantPmod!$B20&amp;Weekly_TVPlantPmod!$B$3&amp;$B$2&amp;$B$1&amp;$C$1)</f>
        <v>0</v>
      </c>
    </row>
    <row r="21" spans="2:161">
      <c r="B21" s="3" t="s">
        <v>948</v>
      </c>
      <c r="C21" s="2">
        <f>COUNTIF(defects!$Z:$Z,Weekly_TVPlantPmod!C$3&amp;Weekly_TVPlantPmod!$B21&amp;Weekly_TVPlantPmod!$B$3&amp;$B$2&amp;$B$1&amp;$C$1)</f>
        <v>0</v>
      </c>
      <c r="D21" s="2">
        <f>COUNTIF(defects!$Z:$Z,Weekly_TVPlantPmod!D$3&amp;Weekly_TVPlantPmod!$B21&amp;Weekly_TVPlantPmod!$B$3&amp;$B$2&amp;$B$1&amp;$C$1)</f>
        <v>0</v>
      </c>
      <c r="E21" s="2">
        <f>COUNTIF(defects!$Z:$Z,Weekly_TVPlantPmod!E$3&amp;Weekly_TVPlantPmod!$B21&amp;Weekly_TVPlantPmod!$B$3&amp;$B$2&amp;$B$1&amp;$C$1)</f>
        <v>0</v>
      </c>
      <c r="F21" s="2">
        <f>COUNTIF(defects!$Z:$Z,Weekly_TVPlantPmod!F$3&amp;Weekly_TVPlantPmod!$B21&amp;Weekly_TVPlantPmod!$B$3&amp;$B$2&amp;$B$1&amp;$C$1)</f>
        <v>0</v>
      </c>
      <c r="G21" s="2">
        <f>COUNTIF(defects!$Z:$Z,Weekly_TVPlantPmod!G$3&amp;Weekly_TVPlantPmod!$B21&amp;Weekly_TVPlantPmod!$B$3&amp;$B$2&amp;$B$1&amp;$C$1)</f>
        <v>0</v>
      </c>
      <c r="H21" s="2">
        <f>COUNTIF(defects!$Z:$Z,Weekly_TVPlantPmod!H$3&amp;Weekly_TVPlantPmod!$B21&amp;Weekly_TVPlantPmod!$B$3&amp;$B$2&amp;$B$1&amp;$C$1)</f>
        <v>0</v>
      </c>
      <c r="I21" s="2">
        <f>COUNTIF(defects!$Z:$Z,Weekly_TVPlantPmod!I$3&amp;Weekly_TVPlantPmod!$B21&amp;Weekly_TVPlantPmod!$B$3&amp;$B$2&amp;$B$1&amp;$C$1)</f>
        <v>0</v>
      </c>
      <c r="J21" s="2">
        <f>COUNTIF(defects!$Z:$Z,Weekly_TVPlantPmod!J$3&amp;Weekly_TVPlantPmod!$B21&amp;Weekly_TVPlantPmod!$B$3&amp;$B$2&amp;$B$1&amp;$C$1)</f>
        <v>0</v>
      </c>
      <c r="K21" s="2">
        <f>COUNTIF(defects!$Z:$Z,Weekly_TVPlantPmod!K$3&amp;Weekly_TVPlantPmod!$B21&amp;Weekly_TVPlantPmod!$B$3&amp;$B$2&amp;$B$1&amp;$C$1)</f>
        <v>0</v>
      </c>
      <c r="L21" s="2">
        <f>COUNTIF(defects!$Z:$Z,Weekly_TVPlantPmod!L$3&amp;Weekly_TVPlantPmod!$B21&amp;Weekly_TVPlantPmod!$B$3&amp;$B$2&amp;$B$1&amp;$C$1)</f>
        <v>0</v>
      </c>
      <c r="M21" s="2">
        <f>COUNTIF(defects!$Z:$Z,Weekly_TVPlantPmod!M$3&amp;Weekly_TVPlantPmod!$B21&amp;Weekly_TVPlantPmod!$B$3&amp;$B$2&amp;$B$1&amp;$C$1)</f>
        <v>0</v>
      </c>
      <c r="N21" s="2">
        <f>COUNTIF(defects!$Z:$Z,Weekly_TVPlantPmod!N$3&amp;Weekly_TVPlantPmod!$B21&amp;Weekly_TVPlantPmod!$B$3&amp;$B$2&amp;$B$1&amp;$C$1)</f>
        <v>0</v>
      </c>
      <c r="O21" s="2">
        <f>COUNTIF(defects!$Z:$Z,Weekly_TVPlantPmod!O$3&amp;Weekly_TVPlantPmod!$B21&amp;Weekly_TVPlantPmod!$B$3&amp;$B$2&amp;$B$1&amp;$C$1)</f>
        <v>0</v>
      </c>
      <c r="P21" s="2">
        <f>COUNTIF(defects!$Z:$Z,Weekly_TVPlantPmod!P$3&amp;Weekly_TVPlantPmod!$B21&amp;Weekly_TVPlantPmod!$B$3&amp;$B$2&amp;$B$1&amp;$C$1)</f>
        <v>0</v>
      </c>
      <c r="Q21" s="2">
        <f>COUNTIF(defects!$Z:$Z,Weekly_TVPlantPmod!Q$3&amp;Weekly_TVPlantPmod!$B21&amp;Weekly_TVPlantPmod!$B$3&amp;$B$2&amp;$B$1&amp;$C$1)</f>
        <v>0</v>
      </c>
      <c r="R21" s="2">
        <f>COUNTIF(defects!$Z:$Z,Weekly_TVPlantPmod!R$3&amp;Weekly_TVPlantPmod!$B21&amp;Weekly_TVPlantPmod!$B$3&amp;$B$2&amp;$B$1&amp;$C$1)</f>
        <v>0</v>
      </c>
      <c r="S21" s="2">
        <f>COUNTIF(defects!$Z:$Z,Weekly_TVPlantPmod!S$3&amp;Weekly_TVPlantPmod!$B21&amp;Weekly_TVPlantPmod!$B$3&amp;$B$2&amp;$B$1&amp;$C$1)</f>
        <v>0</v>
      </c>
      <c r="T21" s="2">
        <f>COUNTIF(defects!$Z:$Z,Weekly_TVPlantPmod!T$3&amp;Weekly_TVPlantPmod!$B21&amp;Weekly_TVPlantPmod!$B$3&amp;$B$2&amp;$B$1&amp;$C$1)</f>
        <v>0</v>
      </c>
      <c r="U21" s="2">
        <f>COUNTIF(defects!$Z:$Z,Weekly_TVPlantPmod!U$3&amp;Weekly_TVPlantPmod!$B21&amp;Weekly_TVPlantPmod!$B$3&amp;$B$2&amp;$B$1&amp;$C$1)</f>
        <v>0</v>
      </c>
      <c r="V21" s="2">
        <f>COUNTIF(defects!$Z:$Z,Weekly_TVPlantPmod!V$3&amp;Weekly_TVPlantPmod!$B21&amp;Weekly_TVPlantPmod!$B$3&amp;$B$2&amp;$B$1&amp;$C$1)</f>
        <v>0</v>
      </c>
      <c r="W21" s="2">
        <f>COUNTIF(defects!$Z:$Z,Weekly_TVPlantPmod!W$3&amp;Weekly_TVPlantPmod!$B21&amp;Weekly_TVPlantPmod!$B$3&amp;$B$2&amp;$B$1&amp;$C$1)</f>
        <v>0</v>
      </c>
      <c r="X21" s="2">
        <f>COUNTIF(defects!$Z:$Z,Weekly_TVPlantPmod!X$3&amp;Weekly_TVPlantPmod!$B21&amp;Weekly_TVPlantPmod!$B$3&amp;$B$2&amp;$B$1&amp;$C$1)</f>
        <v>0</v>
      </c>
      <c r="Y21" s="2">
        <f>COUNTIF(defects!$Z:$Z,Weekly_TVPlantPmod!Y$3&amp;Weekly_TVPlantPmod!$B21&amp;Weekly_TVPlantPmod!$B$3&amp;$B$2&amp;$B$1&amp;$C$1)</f>
        <v>0</v>
      </c>
      <c r="Z21" s="2">
        <f>COUNTIF(defects!$Z:$Z,Weekly_TVPlantPmod!Z$3&amp;Weekly_TVPlantPmod!$B21&amp;Weekly_TVPlantPmod!$B$3&amp;$B$2&amp;$B$1&amp;$C$1)</f>
        <v>0</v>
      </c>
      <c r="AA21" s="2">
        <f>COUNTIF(defects!$Z:$Z,Weekly_TVPlantPmod!AA$3&amp;Weekly_TVPlantPmod!$B21&amp;Weekly_TVPlantPmod!$B$3&amp;$B$2&amp;$B$1&amp;$C$1)</f>
        <v>0</v>
      </c>
      <c r="AB21" s="2">
        <f>COUNTIF(defects!$Z:$Z,Weekly_TVPlantPmod!AB$3&amp;Weekly_TVPlantPmod!$B21&amp;Weekly_TVPlantPmod!$B$3&amp;$B$2&amp;$B$1&amp;$C$1)</f>
        <v>0</v>
      </c>
      <c r="AC21" s="2">
        <f>COUNTIF(defects!$Z:$Z,Weekly_TVPlantPmod!AC$3&amp;Weekly_TVPlantPmod!$B21&amp;Weekly_TVPlantPmod!$B$3&amp;$B$2&amp;$B$1&amp;$C$1)</f>
        <v>0</v>
      </c>
      <c r="AD21" s="2">
        <f>COUNTIF(defects!$Z:$Z,Weekly_TVPlantPmod!AD$3&amp;Weekly_TVPlantPmod!$B21&amp;Weekly_TVPlantPmod!$B$3&amp;$B$2&amp;$B$1&amp;$C$1)</f>
        <v>0</v>
      </c>
      <c r="AE21" s="2">
        <f>COUNTIF(defects!$Z:$Z,Weekly_TVPlantPmod!AE$3&amp;Weekly_TVPlantPmod!$B21&amp;Weekly_TVPlantPmod!$B$3&amp;$B$2&amp;$B$1&amp;$C$1)</f>
        <v>0</v>
      </c>
      <c r="AF21" s="2">
        <f>COUNTIF(defects!$Z:$Z,Weekly_TVPlantPmod!AF$3&amp;Weekly_TVPlantPmod!$B21&amp;Weekly_TVPlantPmod!$B$3&amp;$B$2&amp;$B$1&amp;$C$1)</f>
        <v>0</v>
      </c>
      <c r="AG21" s="2">
        <f>COUNTIF(defects!$Z:$Z,Weekly_TVPlantPmod!AG$3&amp;Weekly_TVPlantPmod!$B21&amp;Weekly_TVPlantPmod!$B$3&amp;$B$2&amp;$B$1&amp;$C$1)</f>
        <v>0</v>
      </c>
      <c r="AH21" s="2">
        <f>COUNTIF(defects!$Z:$Z,Weekly_TVPlantPmod!AH$3&amp;Weekly_TVPlantPmod!$B21&amp;Weekly_TVPlantPmod!$B$3&amp;$B$2&amp;$B$1&amp;$C$1)</f>
        <v>0</v>
      </c>
      <c r="AI21" s="2">
        <f>COUNTIF(defects!$Z:$Z,Weekly_TVPlantPmod!AI$3&amp;Weekly_TVPlantPmod!$B21&amp;Weekly_TVPlantPmod!$B$3&amp;$B$2&amp;$B$1&amp;$C$1)</f>
        <v>0</v>
      </c>
      <c r="AJ21" s="2">
        <f>COUNTIF(defects!$Z:$Z,Weekly_TVPlantPmod!AJ$3&amp;Weekly_TVPlantPmod!$B21&amp;Weekly_TVPlantPmod!$B$3&amp;$B$2&amp;$B$1&amp;$C$1)</f>
        <v>0</v>
      </c>
      <c r="AK21" s="2">
        <f>COUNTIF(defects!$Z:$Z,Weekly_TVPlantPmod!AK$3&amp;Weekly_TVPlantPmod!$B21&amp;Weekly_TVPlantPmod!$B$3&amp;$B$2&amp;$B$1&amp;$C$1)</f>
        <v>0</v>
      </c>
      <c r="AL21" s="2">
        <f>COUNTIF(defects!$Z:$Z,Weekly_TVPlantPmod!AL$3&amp;Weekly_TVPlantPmod!$B21&amp;Weekly_TVPlantPmod!$B$3&amp;$B$2&amp;$B$1&amp;$C$1)</f>
        <v>0</v>
      </c>
      <c r="AM21" s="2">
        <f>COUNTIF(defects!$Z:$Z,Weekly_TVPlantPmod!AM$3&amp;Weekly_TVPlantPmod!$B21&amp;Weekly_TVPlantPmod!$B$3&amp;$B$2&amp;$B$1&amp;$C$1)</f>
        <v>0</v>
      </c>
      <c r="AN21" s="2">
        <f>COUNTIF(defects!$Z:$Z,Weekly_TVPlantPmod!AN$3&amp;Weekly_TVPlantPmod!$B21&amp;Weekly_TVPlantPmod!$B$3&amp;$B$2&amp;$B$1&amp;$C$1)</f>
        <v>0</v>
      </c>
      <c r="AO21" s="2">
        <f>COUNTIF(defects!$Z:$Z,Weekly_TVPlantPmod!AO$3&amp;Weekly_TVPlantPmod!$B21&amp;Weekly_TVPlantPmod!$B$3&amp;$B$2&amp;$B$1&amp;$C$1)</f>
        <v>0</v>
      </c>
      <c r="AP21" s="2">
        <f>COUNTIF(defects!$Z:$Z,Weekly_TVPlantPmod!AP$3&amp;Weekly_TVPlantPmod!$B21&amp;Weekly_TVPlantPmod!$B$3&amp;$B$2&amp;$B$1&amp;$C$1)</f>
        <v>0</v>
      </c>
      <c r="AQ21" s="2">
        <f>COUNTIF(defects!$Z:$Z,Weekly_TVPlantPmod!AQ$3&amp;Weekly_TVPlantPmod!$B21&amp;Weekly_TVPlantPmod!$B$3&amp;$B$2&amp;$B$1&amp;$C$1)</f>
        <v>0</v>
      </c>
      <c r="AR21" s="2">
        <f>COUNTIF(defects!$Z:$Z,Weekly_TVPlantPmod!AR$3&amp;Weekly_TVPlantPmod!$B21&amp;Weekly_TVPlantPmod!$B$3&amp;$B$2&amp;$B$1&amp;$C$1)</f>
        <v>0</v>
      </c>
      <c r="AS21" s="2">
        <f>COUNTIF(defects!$Z:$Z,Weekly_TVPlantPmod!AS$3&amp;Weekly_TVPlantPmod!$B21&amp;Weekly_TVPlantPmod!$B$3&amp;$B$2&amp;$B$1&amp;$C$1)</f>
        <v>0</v>
      </c>
      <c r="AT21" s="2">
        <f>COUNTIF(defects!$Z:$Z,Weekly_TVPlantPmod!AT$3&amp;Weekly_TVPlantPmod!$B21&amp;Weekly_TVPlantPmod!$B$3&amp;$B$2&amp;$B$1&amp;$C$1)</f>
        <v>0</v>
      </c>
      <c r="AU21" s="2">
        <f>COUNTIF(defects!$Z:$Z,Weekly_TVPlantPmod!AU$3&amp;Weekly_TVPlantPmod!$B21&amp;Weekly_TVPlantPmod!$B$3&amp;$B$2&amp;$B$1&amp;$C$1)</f>
        <v>0</v>
      </c>
      <c r="AV21" s="2">
        <f>COUNTIF(defects!$Z:$Z,Weekly_TVPlantPmod!AV$3&amp;Weekly_TVPlantPmod!$B21&amp;Weekly_TVPlantPmod!$B$3&amp;$B$2&amp;$B$1&amp;$C$1)</f>
        <v>0</v>
      </c>
      <c r="AW21" s="2">
        <f>COUNTIF(defects!$Z:$Z,Weekly_TVPlantPmod!AW$3&amp;Weekly_TVPlantPmod!$B21&amp;Weekly_TVPlantPmod!$B$3&amp;$B$2&amp;$B$1&amp;$C$1)</f>
        <v>0</v>
      </c>
      <c r="AX21" s="2">
        <f>COUNTIF(defects!$Z:$Z,Weekly_TVPlantPmod!AX$3&amp;Weekly_TVPlantPmod!$B21&amp;Weekly_TVPlantPmod!$B$3&amp;$B$2&amp;$B$1&amp;$C$1)</f>
        <v>0</v>
      </c>
      <c r="AY21" s="2">
        <f>COUNTIF(defects!$Z:$Z,Weekly_TVPlantPmod!AY$3&amp;Weekly_TVPlantPmod!$B21&amp;Weekly_TVPlantPmod!$B$3&amp;$B$2&amp;$B$1&amp;$C$1)</f>
        <v>0</v>
      </c>
      <c r="AZ21" s="2">
        <f>COUNTIF(defects!$Z:$Z,Weekly_TVPlantPmod!AZ$3&amp;Weekly_TVPlantPmod!$B21&amp;Weekly_TVPlantPmod!$B$3&amp;$B$2&amp;$B$1&amp;$C$1)</f>
        <v>0</v>
      </c>
      <c r="BA21" s="2">
        <f>COUNTIF(defects!$Z:$Z,Weekly_TVPlantPmod!BA$3&amp;Weekly_TVPlantPmod!$B21&amp;Weekly_TVPlantPmod!$B$3&amp;$B$2&amp;$B$1&amp;$C$1)</f>
        <v>0</v>
      </c>
      <c r="BB21" s="2">
        <f>COUNTIF(defects!$Z:$Z,Weekly_TVPlantPmod!BB$3&amp;Weekly_TVPlantPmod!$B21&amp;Weekly_TVPlantPmod!$B$3&amp;$B$2&amp;$B$1&amp;$C$1)</f>
        <v>0</v>
      </c>
      <c r="BC21" s="2">
        <f>COUNTIF(defects!$Z:$Z,Weekly_TVPlantPmod!BC$3&amp;Weekly_TVPlantPmod!$B21&amp;Weekly_TVPlantPmod!$B$3&amp;$B$2&amp;$B$1&amp;$C$1)</f>
        <v>0</v>
      </c>
      <c r="BD21" s="2">
        <f>COUNTIF(defects!$Z:$Z,Weekly_TVPlantPmod!BD$3&amp;Weekly_TVPlantPmod!$B21&amp;Weekly_TVPlantPmod!$B$3&amp;$B$2&amp;$B$1&amp;$C$1)</f>
        <v>0</v>
      </c>
      <c r="BE21" s="2">
        <f>COUNTIF(defects!$Z:$Z,Weekly_TVPlantPmod!BE$3&amp;Weekly_TVPlantPmod!$B21&amp;Weekly_TVPlantPmod!$B$3&amp;$B$2&amp;$B$1&amp;$C$1)</f>
        <v>0</v>
      </c>
      <c r="BF21" s="2">
        <f>COUNTIF(defects!$Z:$Z,Weekly_TVPlantPmod!BF$3&amp;Weekly_TVPlantPmod!$B21&amp;Weekly_TVPlantPmod!$B$3&amp;$B$2&amp;$B$1&amp;$C$1)</f>
        <v>0</v>
      </c>
      <c r="BG21" s="2">
        <f>COUNTIF(defects!$Z:$Z,Weekly_TVPlantPmod!BG$3&amp;Weekly_TVPlantPmod!$B21&amp;Weekly_TVPlantPmod!$B$3&amp;$B$2&amp;$B$1&amp;$C$1)</f>
        <v>0</v>
      </c>
      <c r="BH21" s="2">
        <f>COUNTIF(defects!$Z:$Z,Weekly_TVPlantPmod!BH$3&amp;Weekly_TVPlantPmod!$B21&amp;Weekly_TVPlantPmod!$B$3&amp;$B$2&amp;$B$1&amp;$C$1)</f>
        <v>0</v>
      </c>
      <c r="BI21" s="2">
        <f>COUNTIF(defects!$Z:$Z,Weekly_TVPlantPmod!BI$3&amp;Weekly_TVPlantPmod!$B21&amp;Weekly_TVPlantPmod!$B$3&amp;$B$2&amp;$B$1&amp;$C$1)</f>
        <v>0</v>
      </c>
      <c r="BJ21" s="2">
        <f>COUNTIF(defects!$Z:$Z,Weekly_TVPlantPmod!BJ$3&amp;Weekly_TVPlantPmod!$B21&amp;Weekly_TVPlantPmod!$B$3&amp;$B$2&amp;$B$1&amp;$C$1)</f>
        <v>0</v>
      </c>
      <c r="BK21" s="2">
        <f>COUNTIF(defects!$Z:$Z,Weekly_TVPlantPmod!BK$3&amp;Weekly_TVPlantPmod!$B21&amp;Weekly_TVPlantPmod!$B$3&amp;$B$2&amp;$B$1&amp;$C$1)</f>
        <v>0</v>
      </c>
      <c r="BL21" s="2">
        <f>COUNTIF(defects!$Z:$Z,Weekly_TVPlantPmod!BL$3&amp;Weekly_TVPlantPmod!$B21&amp;Weekly_TVPlantPmod!$B$3&amp;$B$2&amp;$B$1&amp;$C$1)</f>
        <v>0</v>
      </c>
      <c r="BM21" s="2">
        <f>COUNTIF(defects!$Z:$Z,Weekly_TVPlantPmod!BM$3&amp;Weekly_TVPlantPmod!$B21&amp;Weekly_TVPlantPmod!$B$3&amp;$B$2&amp;$B$1&amp;$C$1)</f>
        <v>0</v>
      </c>
      <c r="BN21" s="2">
        <f>COUNTIF(defects!$Z:$Z,Weekly_TVPlantPmod!BN$3&amp;Weekly_TVPlantPmod!$B21&amp;Weekly_TVPlantPmod!$B$3&amp;$B$2&amp;$B$1&amp;$C$1)</f>
        <v>0</v>
      </c>
      <c r="BO21" s="2">
        <f>COUNTIF(defects!$Z:$Z,Weekly_TVPlantPmod!BO$3&amp;Weekly_TVPlantPmod!$B21&amp;Weekly_TVPlantPmod!$B$3&amp;$B$2&amp;$B$1&amp;$C$1)</f>
        <v>0</v>
      </c>
      <c r="BP21" s="2">
        <f>COUNTIF(defects!$Z:$Z,Weekly_TVPlantPmod!BP$3&amp;Weekly_TVPlantPmod!$B21&amp;Weekly_TVPlantPmod!$B$3&amp;$B$2&amp;$B$1&amp;$C$1)</f>
        <v>0</v>
      </c>
      <c r="BQ21" s="2">
        <f>COUNTIF(defects!$Z:$Z,Weekly_TVPlantPmod!BQ$3&amp;Weekly_TVPlantPmod!$B21&amp;Weekly_TVPlantPmod!$B$3&amp;$B$2&amp;$B$1&amp;$C$1)</f>
        <v>0</v>
      </c>
      <c r="BR21" s="2">
        <f>COUNTIF(defects!$Z:$Z,Weekly_TVPlantPmod!BR$3&amp;Weekly_TVPlantPmod!$B21&amp;Weekly_TVPlantPmod!$B$3&amp;$B$2&amp;$B$1&amp;$C$1)</f>
        <v>0</v>
      </c>
      <c r="BS21" s="2">
        <f>COUNTIF(defects!$Z:$Z,Weekly_TVPlantPmod!BS$3&amp;Weekly_TVPlantPmod!$B21&amp;Weekly_TVPlantPmod!$B$3&amp;$B$2&amp;$B$1&amp;$C$1)</f>
        <v>0</v>
      </c>
      <c r="BT21" s="2">
        <f>COUNTIF(defects!$Z:$Z,Weekly_TVPlantPmod!BT$3&amp;Weekly_TVPlantPmod!$B21&amp;Weekly_TVPlantPmod!$B$3&amp;$B$2&amp;$B$1&amp;$C$1)</f>
        <v>1</v>
      </c>
      <c r="BU21" s="2">
        <f>COUNTIF(defects!$Z:$Z,Weekly_TVPlantPmod!BU$3&amp;Weekly_TVPlantPmod!$B21&amp;Weekly_TVPlantPmod!$B$3&amp;$B$2&amp;$B$1&amp;$C$1)</f>
        <v>0</v>
      </c>
      <c r="BV21" s="2">
        <f>COUNTIF(defects!$Z:$Z,Weekly_TVPlantPmod!BV$3&amp;Weekly_TVPlantPmod!$B21&amp;Weekly_TVPlantPmod!$B$3&amp;$B$2&amp;$B$1&amp;$C$1)</f>
        <v>0</v>
      </c>
      <c r="BW21" s="2">
        <f>COUNTIF(defects!$Z:$Z,Weekly_TVPlantPmod!BW$3&amp;Weekly_TVPlantPmod!$B21&amp;Weekly_TVPlantPmod!$B$3&amp;$B$2&amp;$B$1&amp;$C$1)</f>
        <v>0</v>
      </c>
      <c r="BX21" s="2">
        <f>COUNTIF(defects!$Z:$Z,Weekly_TVPlantPmod!BX$3&amp;Weekly_TVPlantPmod!$B21&amp;Weekly_TVPlantPmod!$B$3&amp;$B$2&amp;$B$1&amp;$C$1)</f>
        <v>0</v>
      </c>
      <c r="BY21" s="2">
        <f>COUNTIF(defects!$Z:$Z,Weekly_TVPlantPmod!BY$3&amp;Weekly_TVPlantPmod!$B21&amp;Weekly_TVPlantPmod!$B$3&amp;$B$2&amp;$B$1&amp;$C$1)</f>
        <v>0</v>
      </c>
      <c r="BZ21" s="2">
        <f>COUNTIF(defects!$Z:$Z,Weekly_TVPlantPmod!BZ$3&amp;Weekly_TVPlantPmod!$B21&amp;Weekly_TVPlantPmod!$B$3&amp;$B$2&amp;$B$1&amp;$C$1)</f>
        <v>0</v>
      </c>
      <c r="CA21" s="2">
        <f>COUNTIF(defects!$Z:$Z,Weekly_TVPlantPmod!CA$3&amp;Weekly_TVPlantPmod!$B21&amp;Weekly_TVPlantPmod!$B$3&amp;$B$2&amp;$B$1&amp;$C$1)</f>
        <v>0</v>
      </c>
      <c r="CB21" s="2">
        <f>COUNTIF(defects!$Z:$Z,Weekly_TVPlantPmod!CB$3&amp;Weekly_TVPlantPmod!$B21&amp;Weekly_TVPlantPmod!$B$3&amp;$B$2&amp;$B$1&amp;$C$1)</f>
        <v>0</v>
      </c>
      <c r="CC21" s="2">
        <f>COUNTIF(defects!$Z:$Z,Weekly_TVPlantPmod!CC$3&amp;Weekly_TVPlantPmod!$B21&amp;Weekly_TVPlantPmod!$B$3&amp;$B$2&amp;$B$1&amp;$C$1)</f>
        <v>0</v>
      </c>
      <c r="CD21" s="2">
        <f>COUNTIF(defects!$Z:$Z,Weekly_TVPlantPmod!CD$3&amp;Weekly_TVPlantPmod!$B21&amp;Weekly_TVPlantPmod!$B$3&amp;$B$2&amp;$B$1&amp;$C$1)</f>
        <v>0</v>
      </c>
      <c r="CE21" s="2">
        <f>COUNTIF(defects!$Z:$Z,Weekly_TVPlantPmod!CE$3&amp;Weekly_TVPlantPmod!$B21&amp;Weekly_TVPlantPmod!$B$3&amp;$B$2&amp;$B$1&amp;$C$1)</f>
        <v>0</v>
      </c>
      <c r="CF21" s="2">
        <f>COUNTIF(defects!$Z:$Z,Weekly_TVPlantPmod!CF$3&amp;Weekly_TVPlantPmod!$B21&amp;Weekly_TVPlantPmod!$B$3&amp;$B$2&amp;$B$1&amp;$C$1)</f>
        <v>0</v>
      </c>
      <c r="CG21" s="2">
        <f>COUNTIF(defects!$Z:$Z,Weekly_TVPlantPmod!CG$3&amp;Weekly_TVPlantPmod!$B21&amp;Weekly_TVPlantPmod!$B$3&amp;$B$2&amp;$B$1&amp;$C$1)</f>
        <v>0</v>
      </c>
      <c r="CH21" s="2">
        <f>COUNTIF(defects!$Z:$Z,Weekly_TVPlantPmod!CH$3&amp;Weekly_TVPlantPmod!$B21&amp;Weekly_TVPlantPmod!$B$3&amp;$B$2&amp;$B$1&amp;$C$1)</f>
        <v>0</v>
      </c>
      <c r="CI21" s="2">
        <f>COUNTIF(defects!$Z:$Z,Weekly_TVPlantPmod!CI$3&amp;Weekly_TVPlantPmod!$B21&amp;Weekly_TVPlantPmod!$B$3&amp;$B$2&amp;$B$1&amp;$C$1)</f>
        <v>0</v>
      </c>
      <c r="CJ21" s="2">
        <f>COUNTIF(defects!$Z:$Z,Weekly_TVPlantPmod!CJ$3&amp;Weekly_TVPlantPmod!$B21&amp;Weekly_TVPlantPmod!$B$3&amp;$B$2&amp;$B$1&amp;$C$1)</f>
        <v>0</v>
      </c>
      <c r="CK21" s="2">
        <f>COUNTIF(defects!$Z:$Z,Weekly_TVPlantPmod!CK$3&amp;Weekly_TVPlantPmod!$B21&amp;Weekly_TVPlantPmod!$B$3&amp;$B$2&amp;$B$1&amp;$C$1)</f>
        <v>0</v>
      </c>
      <c r="CL21" s="2">
        <f>COUNTIF(defects!$Z:$Z,Weekly_TVPlantPmod!CL$3&amp;Weekly_TVPlantPmod!$B21&amp;Weekly_TVPlantPmod!$B$3&amp;$B$2&amp;$B$1&amp;$C$1)</f>
        <v>0</v>
      </c>
      <c r="CM21" s="2">
        <f>COUNTIF(defects!$Z:$Z,Weekly_TVPlantPmod!CM$3&amp;Weekly_TVPlantPmod!$B21&amp;Weekly_TVPlantPmod!$B$3&amp;$B$2&amp;$B$1&amp;$C$1)</f>
        <v>0</v>
      </c>
      <c r="CN21" s="2">
        <f>COUNTIF(defects!$Z:$Z,Weekly_TVPlantPmod!CN$3&amp;Weekly_TVPlantPmod!$B21&amp;Weekly_TVPlantPmod!$B$3&amp;$B$2&amp;$B$1&amp;$C$1)</f>
        <v>0</v>
      </c>
      <c r="CO21" s="2">
        <f>COUNTIF(defects!$Z:$Z,Weekly_TVPlantPmod!CO$3&amp;Weekly_TVPlantPmod!$B21&amp;Weekly_TVPlantPmod!$B$3&amp;$B$2&amp;$B$1&amp;$C$1)</f>
        <v>0</v>
      </c>
      <c r="CP21" s="2">
        <f>COUNTIF(defects!$Z:$Z,Weekly_TVPlantPmod!CP$3&amp;Weekly_TVPlantPmod!$B21&amp;Weekly_TVPlantPmod!$B$3&amp;$B$2&amp;$B$1&amp;$C$1)</f>
        <v>0</v>
      </c>
      <c r="CQ21" s="2">
        <f>COUNTIF(defects!$Z:$Z,Weekly_TVPlantPmod!CQ$3&amp;Weekly_TVPlantPmod!$B21&amp;Weekly_TVPlantPmod!$B$3&amp;$B$2&amp;$B$1&amp;$C$1)</f>
        <v>0</v>
      </c>
      <c r="CR21" s="2">
        <f>COUNTIF(defects!$Z:$Z,Weekly_TVPlantPmod!CR$3&amp;Weekly_TVPlantPmod!$B21&amp;Weekly_TVPlantPmod!$B$3&amp;$B$2&amp;$B$1&amp;$C$1)</f>
        <v>0</v>
      </c>
      <c r="CS21" s="2">
        <f>COUNTIF(defects!$Z:$Z,Weekly_TVPlantPmod!CS$3&amp;Weekly_TVPlantPmod!$B21&amp;Weekly_TVPlantPmod!$B$3&amp;$B$2&amp;$B$1&amp;$C$1)</f>
        <v>0</v>
      </c>
      <c r="CT21" s="2">
        <f>COUNTIF(defects!$Z:$Z,Weekly_TVPlantPmod!CT$3&amp;Weekly_TVPlantPmod!$B21&amp;Weekly_TVPlantPmod!$B$3&amp;$B$2&amp;$B$1&amp;$C$1)</f>
        <v>0</v>
      </c>
      <c r="CU21" s="2">
        <f>COUNTIF(defects!$Z:$Z,Weekly_TVPlantPmod!CU$3&amp;Weekly_TVPlantPmod!$B21&amp;Weekly_TVPlantPmod!$B$3&amp;$B$2&amp;$B$1&amp;$C$1)</f>
        <v>0</v>
      </c>
      <c r="CV21" s="2">
        <f>COUNTIF(defects!$Z:$Z,Weekly_TVPlantPmod!CV$3&amp;Weekly_TVPlantPmod!$B21&amp;Weekly_TVPlantPmod!$B$3&amp;$B$2&amp;$B$1&amp;$C$1)</f>
        <v>0</v>
      </c>
      <c r="CW21" s="2">
        <f>COUNTIF(defects!$Z:$Z,Weekly_TVPlantPmod!CW$3&amp;Weekly_TVPlantPmod!$B21&amp;Weekly_TVPlantPmod!$B$3&amp;$B$2&amp;$B$1&amp;$C$1)</f>
        <v>0</v>
      </c>
      <c r="CX21" s="2">
        <f>COUNTIF(defects!$Z:$Z,Weekly_TVPlantPmod!CX$3&amp;Weekly_TVPlantPmod!$B21&amp;Weekly_TVPlantPmod!$B$3&amp;$B$2&amp;$B$1&amp;$C$1)</f>
        <v>0</v>
      </c>
      <c r="CY21" s="2">
        <f>COUNTIF(defects!$Z:$Z,Weekly_TVPlantPmod!CY$3&amp;Weekly_TVPlantPmod!$B21&amp;Weekly_TVPlantPmod!$B$3&amp;$B$2&amp;$B$1&amp;$C$1)</f>
        <v>0</v>
      </c>
      <c r="CZ21" s="2">
        <f>COUNTIF(defects!$Z:$Z,Weekly_TVPlantPmod!CZ$3&amp;Weekly_TVPlantPmod!$B21&amp;Weekly_TVPlantPmod!$B$3&amp;$B$2&amp;$B$1&amp;$C$1)</f>
        <v>0</v>
      </c>
      <c r="DA21" s="2">
        <f>COUNTIF(defects!$Z:$Z,Weekly_TVPlantPmod!DA$3&amp;Weekly_TVPlantPmod!$B21&amp;Weekly_TVPlantPmod!$B$3&amp;$B$2&amp;$B$1&amp;$C$1)</f>
        <v>0</v>
      </c>
      <c r="DB21" s="2">
        <f>COUNTIF(defects!$Z:$Z,Weekly_TVPlantPmod!DB$3&amp;Weekly_TVPlantPmod!$B21&amp;Weekly_TVPlantPmod!$B$3&amp;$B$2&amp;$B$1&amp;$C$1)</f>
        <v>0</v>
      </c>
      <c r="DC21" s="2">
        <f>COUNTIF(defects!$Z:$Z,Weekly_TVPlantPmod!DC$3&amp;Weekly_TVPlantPmod!$B21&amp;Weekly_TVPlantPmod!$B$3&amp;$B$2&amp;$B$1&amp;$C$1)</f>
        <v>0</v>
      </c>
      <c r="DD21" s="2">
        <f>COUNTIF(defects!$Z:$Z,Weekly_TVPlantPmod!DD$3&amp;Weekly_TVPlantPmod!$B21&amp;Weekly_TVPlantPmod!$B$3&amp;$B$2&amp;$B$1&amp;$C$1)</f>
        <v>0</v>
      </c>
      <c r="DE21" s="2">
        <f>COUNTIF(defects!$Z:$Z,Weekly_TVPlantPmod!DE$3&amp;Weekly_TVPlantPmod!$B21&amp;Weekly_TVPlantPmod!$B$3&amp;$B$2&amp;$B$1&amp;$C$1)</f>
        <v>0</v>
      </c>
      <c r="DF21" s="2">
        <f>COUNTIF(defects!$Z:$Z,Weekly_TVPlantPmod!DF$3&amp;Weekly_TVPlantPmod!$B21&amp;Weekly_TVPlantPmod!$B$3&amp;$B$2&amp;$B$1&amp;$C$1)</f>
        <v>0</v>
      </c>
      <c r="DG21" s="2">
        <f>COUNTIF(defects!$Z:$Z,Weekly_TVPlantPmod!DG$3&amp;Weekly_TVPlantPmod!$B21&amp;Weekly_TVPlantPmod!$B$3&amp;$B$2&amp;$B$1&amp;$C$1)</f>
        <v>0</v>
      </c>
      <c r="DH21" s="2">
        <f>COUNTIF(defects!$Z:$Z,Weekly_TVPlantPmod!DH$3&amp;Weekly_TVPlantPmod!$B21&amp;Weekly_TVPlantPmod!$B$3&amp;$B$2&amp;$B$1&amp;$C$1)</f>
        <v>0</v>
      </c>
      <c r="DI21" s="2">
        <f>COUNTIF(defects!$Z:$Z,Weekly_TVPlantPmod!DI$3&amp;Weekly_TVPlantPmod!$B21&amp;Weekly_TVPlantPmod!$B$3&amp;$B$2&amp;$B$1&amp;$C$1)</f>
        <v>0</v>
      </c>
      <c r="DJ21" s="2">
        <f>COUNTIF(defects!$Z:$Z,Weekly_TVPlantPmod!DJ$3&amp;Weekly_TVPlantPmod!$B21&amp;Weekly_TVPlantPmod!$B$3&amp;$B$2&amp;$B$1&amp;$C$1)</f>
        <v>0</v>
      </c>
      <c r="DK21" s="2">
        <f>COUNTIF(defects!$Z:$Z,Weekly_TVPlantPmod!DK$3&amp;Weekly_TVPlantPmod!$B21&amp;Weekly_TVPlantPmod!$B$3&amp;$B$2&amp;$B$1&amp;$C$1)</f>
        <v>0</v>
      </c>
      <c r="DL21" s="2">
        <f>COUNTIF(defects!$Z:$Z,Weekly_TVPlantPmod!DL$3&amp;Weekly_TVPlantPmod!$B21&amp;Weekly_TVPlantPmod!$B$3&amp;$B$2&amp;$B$1&amp;$C$1)</f>
        <v>0</v>
      </c>
      <c r="DM21" s="2">
        <f>COUNTIF(defects!$Z:$Z,Weekly_TVPlantPmod!DM$3&amp;Weekly_TVPlantPmod!$B21&amp;Weekly_TVPlantPmod!$B$3&amp;$B$2&amp;$B$1&amp;$C$1)</f>
        <v>0</v>
      </c>
      <c r="DN21" s="2">
        <f>COUNTIF(defects!$Z:$Z,Weekly_TVPlantPmod!DN$3&amp;Weekly_TVPlantPmod!$B21&amp;Weekly_TVPlantPmod!$B$3&amp;$B$2&amp;$B$1&amp;$C$1)</f>
        <v>0</v>
      </c>
      <c r="DO21" s="2">
        <f>COUNTIF(defects!$Z:$Z,Weekly_TVPlantPmod!DO$3&amp;Weekly_TVPlantPmod!$B21&amp;Weekly_TVPlantPmod!$B$3&amp;$B$2&amp;$B$1&amp;$C$1)</f>
        <v>0</v>
      </c>
      <c r="DP21" s="2">
        <f>COUNTIF(defects!$Z:$Z,Weekly_TVPlantPmod!DP$3&amp;Weekly_TVPlantPmod!$B21&amp;Weekly_TVPlantPmod!$B$3&amp;$B$2&amp;$B$1&amp;$C$1)</f>
        <v>0</v>
      </c>
      <c r="DQ21" s="2">
        <f>COUNTIF(defects!$Z:$Z,Weekly_TVPlantPmod!DQ$3&amp;Weekly_TVPlantPmod!$B21&amp;Weekly_TVPlantPmod!$B$3&amp;$B$2&amp;$B$1&amp;$C$1)</f>
        <v>0</v>
      </c>
      <c r="DR21" s="2">
        <f>COUNTIF(defects!$Z:$Z,Weekly_TVPlantPmod!DR$3&amp;Weekly_TVPlantPmod!$B21&amp;Weekly_TVPlantPmod!$B$3&amp;$B$2&amp;$B$1&amp;$C$1)</f>
        <v>0</v>
      </c>
      <c r="DS21" s="2">
        <f>COUNTIF(defects!$Z:$Z,Weekly_TVPlantPmod!DS$3&amp;Weekly_TVPlantPmod!$B21&amp;Weekly_TVPlantPmod!$B$3&amp;$B$2&amp;$B$1&amp;$C$1)</f>
        <v>0</v>
      </c>
      <c r="DT21" s="2">
        <f>COUNTIF(defects!$Z:$Z,Weekly_TVPlantPmod!DT$3&amp;Weekly_TVPlantPmod!$B21&amp;Weekly_TVPlantPmod!$B$3&amp;$B$2&amp;$B$1&amp;$C$1)</f>
        <v>0</v>
      </c>
      <c r="DU21" s="2">
        <f>COUNTIF(defects!$Z:$Z,Weekly_TVPlantPmod!DU$3&amp;Weekly_TVPlantPmod!$B21&amp;Weekly_TVPlantPmod!$B$3&amp;$B$2&amp;$B$1&amp;$C$1)</f>
        <v>0</v>
      </c>
      <c r="DV21" s="2">
        <f>COUNTIF(defects!$Z:$Z,Weekly_TVPlantPmod!DV$3&amp;Weekly_TVPlantPmod!$B21&amp;Weekly_TVPlantPmod!$B$3&amp;$B$2&amp;$B$1&amp;$C$1)</f>
        <v>0</v>
      </c>
      <c r="DW21" s="2">
        <f>COUNTIF(defects!$Z:$Z,Weekly_TVPlantPmod!DW$3&amp;Weekly_TVPlantPmod!$B21&amp;Weekly_TVPlantPmod!$B$3&amp;$B$2&amp;$B$1&amp;$C$1)</f>
        <v>0</v>
      </c>
      <c r="DX21" s="2">
        <f>COUNTIF(defects!$Z:$Z,Weekly_TVPlantPmod!DX$3&amp;Weekly_TVPlantPmod!$B21&amp;Weekly_TVPlantPmod!$B$3&amp;$B$2&amp;$B$1&amp;$C$1)</f>
        <v>0</v>
      </c>
      <c r="DY21" s="2">
        <f>COUNTIF(defects!$Z:$Z,Weekly_TVPlantPmod!DY$3&amp;Weekly_TVPlantPmod!$B21&amp;Weekly_TVPlantPmod!$B$3&amp;$B$2&amp;$B$1&amp;$C$1)</f>
        <v>0</v>
      </c>
      <c r="DZ21" s="2">
        <f>COUNTIF(defects!$Z:$Z,Weekly_TVPlantPmod!DZ$3&amp;Weekly_TVPlantPmod!$B21&amp;Weekly_TVPlantPmod!$B$3&amp;$B$2&amp;$B$1&amp;$C$1)</f>
        <v>0</v>
      </c>
      <c r="EA21" s="2">
        <f>COUNTIF(defects!$Z:$Z,Weekly_TVPlantPmod!EA$3&amp;Weekly_TVPlantPmod!$B21&amp;Weekly_TVPlantPmod!$B$3&amp;$B$2&amp;$B$1&amp;$C$1)</f>
        <v>0</v>
      </c>
      <c r="EB21" s="2">
        <f>COUNTIF(defects!$Z:$Z,Weekly_TVPlantPmod!EB$3&amp;Weekly_TVPlantPmod!$B21&amp;Weekly_TVPlantPmod!$B$3&amp;$B$2&amp;$B$1&amp;$C$1)</f>
        <v>0</v>
      </c>
      <c r="EC21" s="2">
        <f>COUNTIF(defects!$Z:$Z,Weekly_TVPlantPmod!EC$3&amp;Weekly_TVPlantPmod!$B21&amp;Weekly_TVPlantPmod!$B$3&amp;$B$2&amp;$B$1&amp;$C$1)</f>
        <v>0</v>
      </c>
      <c r="ED21" s="2">
        <f>COUNTIF(defects!$Z:$Z,Weekly_TVPlantPmod!ED$3&amp;Weekly_TVPlantPmod!$B21&amp;Weekly_TVPlantPmod!$B$3&amp;$B$2&amp;$B$1&amp;$C$1)</f>
        <v>0</v>
      </c>
      <c r="EE21" s="2">
        <f>COUNTIF(defects!$Z:$Z,Weekly_TVPlantPmod!EE$3&amp;Weekly_TVPlantPmod!$B21&amp;Weekly_TVPlantPmod!$B$3&amp;$B$2&amp;$B$1&amp;$C$1)</f>
        <v>0</v>
      </c>
      <c r="EF21" s="2">
        <f>COUNTIF(defects!$Z:$Z,Weekly_TVPlantPmod!EF$3&amp;Weekly_TVPlantPmod!$B21&amp;Weekly_TVPlantPmod!$B$3&amp;$B$2&amp;$B$1&amp;$C$1)</f>
        <v>0</v>
      </c>
      <c r="EG21" s="2">
        <f>COUNTIF(defects!$Z:$Z,Weekly_TVPlantPmod!EG$3&amp;Weekly_TVPlantPmod!$B21&amp;Weekly_TVPlantPmod!$B$3&amp;$B$2&amp;$B$1&amp;$C$1)</f>
        <v>0</v>
      </c>
      <c r="EH21" s="2">
        <f>COUNTIF(defects!$Z:$Z,Weekly_TVPlantPmod!EH$3&amp;Weekly_TVPlantPmod!$B21&amp;Weekly_TVPlantPmod!$B$3&amp;$B$2&amp;$B$1&amp;$C$1)</f>
        <v>0</v>
      </c>
      <c r="EI21" s="2">
        <f>COUNTIF(defects!$Z:$Z,Weekly_TVPlantPmod!EI$3&amp;Weekly_TVPlantPmod!$B21&amp;Weekly_TVPlantPmod!$B$3&amp;$B$2&amp;$B$1&amp;$C$1)</f>
        <v>0</v>
      </c>
      <c r="EJ21" s="2">
        <f>COUNTIF(defects!$Z:$Z,Weekly_TVPlantPmod!EJ$3&amp;Weekly_TVPlantPmod!$B21&amp;Weekly_TVPlantPmod!$B$3&amp;$B$2&amp;$B$1&amp;$C$1)</f>
        <v>0</v>
      </c>
      <c r="EK21" s="2">
        <f>COUNTIF(defects!$Z:$Z,Weekly_TVPlantPmod!EK$3&amp;Weekly_TVPlantPmod!$B21&amp;Weekly_TVPlantPmod!$B$3&amp;$B$2&amp;$B$1&amp;$C$1)</f>
        <v>0</v>
      </c>
      <c r="EL21" s="2">
        <f>COUNTIF(defects!$Z:$Z,Weekly_TVPlantPmod!EL$3&amp;Weekly_TVPlantPmod!$B21&amp;Weekly_TVPlantPmod!$B$3&amp;$B$2&amp;$B$1&amp;$C$1)</f>
        <v>0</v>
      </c>
      <c r="EM21" s="2">
        <f>COUNTIF(defects!$Z:$Z,Weekly_TVPlantPmod!EM$3&amp;Weekly_TVPlantPmod!$B21&amp;Weekly_TVPlantPmod!$B$3&amp;$B$2&amp;$B$1&amp;$C$1)</f>
        <v>0</v>
      </c>
      <c r="EN21" s="2">
        <f>COUNTIF(defects!$Z:$Z,Weekly_TVPlantPmod!EN$3&amp;Weekly_TVPlantPmod!$B21&amp;Weekly_TVPlantPmod!$B$3&amp;$B$2&amp;$B$1&amp;$C$1)</f>
        <v>0</v>
      </c>
      <c r="EO21" s="2">
        <f>COUNTIF(defects!$Z:$Z,Weekly_TVPlantPmod!EO$3&amp;Weekly_TVPlantPmod!$B21&amp;Weekly_TVPlantPmod!$B$3&amp;$B$2&amp;$B$1&amp;$C$1)</f>
        <v>0</v>
      </c>
      <c r="EP21" s="2">
        <f>COUNTIF(defects!$Z:$Z,Weekly_TVPlantPmod!EP$3&amp;Weekly_TVPlantPmod!$B21&amp;Weekly_TVPlantPmod!$B$3&amp;$B$2&amp;$B$1&amp;$C$1)</f>
        <v>0</v>
      </c>
      <c r="EQ21" s="2">
        <f>COUNTIF(defects!$Z:$Z,Weekly_TVPlantPmod!EQ$3&amp;Weekly_TVPlantPmod!$B21&amp;Weekly_TVPlantPmod!$B$3&amp;$B$2&amp;$B$1&amp;$C$1)</f>
        <v>0</v>
      </c>
      <c r="ER21" s="2">
        <f>COUNTIF(defects!$Z:$Z,Weekly_TVPlantPmod!ER$3&amp;Weekly_TVPlantPmod!$B21&amp;Weekly_TVPlantPmod!$B$3&amp;$B$2&amp;$B$1&amp;$C$1)</f>
        <v>0</v>
      </c>
      <c r="ES21" s="2">
        <f>COUNTIF(defects!$Z:$Z,Weekly_TVPlantPmod!ES$3&amp;Weekly_TVPlantPmod!$B21&amp;Weekly_TVPlantPmod!$B$3&amp;$B$2&amp;$B$1&amp;$C$1)</f>
        <v>0</v>
      </c>
      <c r="ET21" s="2">
        <f>COUNTIF(defects!$Z:$Z,Weekly_TVPlantPmod!ET$3&amp;Weekly_TVPlantPmod!$B21&amp;Weekly_TVPlantPmod!$B$3&amp;$B$2&amp;$B$1&amp;$C$1)</f>
        <v>0</v>
      </c>
      <c r="EU21" s="2">
        <f>COUNTIF(defects!$Z:$Z,Weekly_TVPlantPmod!EU$3&amp;Weekly_TVPlantPmod!$B21&amp;Weekly_TVPlantPmod!$B$3&amp;$B$2&amp;$B$1&amp;$C$1)</f>
        <v>0</v>
      </c>
      <c r="EV21" s="2">
        <f>COUNTIF(defects!$Z:$Z,Weekly_TVPlantPmod!EV$3&amp;Weekly_TVPlantPmod!$B21&amp;Weekly_TVPlantPmod!$B$3&amp;$B$2&amp;$B$1&amp;$C$1)</f>
        <v>0</v>
      </c>
      <c r="EW21" s="2">
        <f>COUNTIF(defects!$Z:$Z,Weekly_TVPlantPmod!EW$3&amp;Weekly_TVPlantPmod!$B21&amp;Weekly_TVPlantPmod!$B$3&amp;$B$2&amp;$B$1&amp;$C$1)</f>
        <v>0</v>
      </c>
      <c r="EX21" s="2">
        <f>COUNTIF(defects!$Z:$Z,Weekly_TVPlantPmod!EX$3&amp;Weekly_TVPlantPmod!$B21&amp;Weekly_TVPlantPmod!$B$3&amp;$B$2&amp;$B$1&amp;$C$1)</f>
        <v>0</v>
      </c>
      <c r="EY21" s="2">
        <f>COUNTIF(defects!$Z:$Z,Weekly_TVPlantPmod!EY$3&amp;Weekly_TVPlantPmod!$B21&amp;Weekly_TVPlantPmod!$B$3&amp;$B$2&amp;$B$1&amp;$C$1)</f>
        <v>0</v>
      </c>
      <c r="EZ21" s="2">
        <f>COUNTIF(defects!$Z:$Z,Weekly_TVPlantPmod!EZ$3&amp;Weekly_TVPlantPmod!$B21&amp;Weekly_TVPlantPmod!$B$3&amp;$B$2&amp;$B$1&amp;$C$1)</f>
        <v>0</v>
      </c>
      <c r="FA21" s="2">
        <f>COUNTIF(defects!$Z:$Z,Weekly_TVPlantPmod!FA$3&amp;Weekly_TVPlantPmod!$B21&amp;Weekly_TVPlantPmod!$B$3&amp;$B$2&amp;$B$1&amp;$C$1)</f>
        <v>0</v>
      </c>
      <c r="FB21" s="2">
        <f>COUNTIF(defects!$Z:$Z,Weekly_TVPlantPmod!FB$3&amp;Weekly_TVPlantPmod!$B21&amp;Weekly_TVPlantPmod!$B$3&amp;$B$2&amp;$B$1&amp;$C$1)</f>
        <v>0</v>
      </c>
      <c r="FC21" s="2">
        <f>COUNTIF(defects!$Z:$Z,Weekly_TVPlantPmod!FC$3&amp;Weekly_TVPlantPmod!$B21&amp;Weekly_TVPlantPmod!$B$3&amp;$B$2&amp;$B$1&amp;$C$1)</f>
        <v>0</v>
      </c>
      <c r="FD21" s="2">
        <f>COUNTIF(defects!$Z:$Z,Weekly_TVPlantPmod!FD$3&amp;Weekly_TVPlantPmod!$B21&amp;Weekly_TVPlantPmod!$B$3&amp;$B$2&amp;$B$1&amp;$C$1)</f>
        <v>0</v>
      </c>
      <c r="FE21" s="2">
        <f>COUNTIF(defects!$Z:$Z,Weekly_TVPlantPmod!FE$3&amp;Weekly_TVPlantPmod!$B21&amp;Weekly_TVPlantPmod!$B$3&amp;$B$2&amp;$B$1&amp;$C$1)</f>
        <v>0</v>
      </c>
    </row>
    <row r="22" spans="2:161">
      <c r="B22" s="3" t="s">
        <v>959</v>
      </c>
      <c r="C22" s="2">
        <f>COUNTIF(defects!$Z:$Z,Weekly_TVPlantPmod!C$3&amp;Weekly_TVPlantPmod!$B22&amp;Weekly_TVPlantPmod!$B$3&amp;$B$2&amp;$B$1&amp;$C$1)</f>
        <v>0</v>
      </c>
      <c r="D22" s="2">
        <f>COUNTIF(defects!$Z:$Z,Weekly_TVPlantPmod!D$3&amp;Weekly_TVPlantPmod!$B22&amp;Weekly_TVPlantPmod!$B$3&amp;$B$2&amp;$B$1&amp;$C$1)</f>
        <v>0</v>
      </c>
      <c r="E22" s="2">
        <f>COUNTIF(defects!$Z:$Z,Weekly_TVPlantPmod!E$3&amp;Weekly_TVPlantPmod!$B22&amp;Weekly_TVPlantPmod!$B$3&amp;$B$2&amp;$B$1&amp;$C$1)</f>
        <v>0</v>
      </c>
      <c r="F22" s="2">
        <f>COUNTIF(defects!$Z:$Z,Weekly_TVPlantPmod!F$3&amp;Weekly_TVPlantPmod!$B22&amp;Weekly_TVPlantPmod!$B$3&amp;$B$2&amp;$B$1&amp;$C$1)</f>
        <v>0</v>
      </c>
      <c r="G22" s="2">
        <f>COUNTIF(defects!$Z:$Z,Weekly_TVPlantPmod!G$3&amp;Weekly_TVPlantPmod!$B22&amp;Weekly_TVPlantPmod!$B$3&amp;$B$2&amp;$B$1&amp;$C$1)</f>
        <v>0</v>
      </c>
      <c r="H22" s="2">
        <f>COUNTIF(defects!$Z:$Z,Weekly_TVPlantPmod!H$3&amp;Weekly_TVPlantPmod!$B22&amp;Weekly_TVPlantPmod!$B$3&amp;$B$2&amp;$B$1&amp;$C$1)</f>
        <v>0</v>
      </c>
      <c r="I22" s="2">
        <f>COUNTIF(defects!$Z:$Z,Weekly_TVPlantPmod!I$3&amp;Weekly_TVPlantPmod!$B22&amp;Weekly_TVPlantPmod!$B$3&amp;$B$2&amp;$B$1&amp;$C$1)</f>
        <v>0</v>
      </c>
      <c r="J22" s="2">
        <f>COUNTIF(defects!$Z:$Z,Weekly_TVPlantPmod!J$3&amp;Weekly_TVPlantPmod!$B22&amp;Weekly_TVPlantPmod!$B$3&amp;$B$2&amp;$B$1&amp;$C$1)</f>
        <v>0</v>
      </c>
      <c r="K22" s="2">
        <f>COUNTIF(defects!$Z:$Z,Weekly_TVPlantPmod!K$3&amp;Weekly_TVPlantPmod!$B22&amp;Weekly_TVPlantPmod!$B$3&amp;$B$2&amp;$B$1&amp;$C$1)</f>
        <v>0</v>
      </c>
      <c r="L22" s="2">
        <f>COUNTIF(defects!$Z:$Z,Weekly_TVPlantPmod!L$3&amp;Weekly_TVPlantPmod!$B22&amp;Weekly_TVPlantPmod!$B$3&amp;$B$2&amp;$B$1&amp;$C$1)</f>
        <v>0</v>
      </c>
      <c r="M22" s="2">
        <f>COUNTIF(defects!$Z:$Z,Weekly_TVPlantPmod!M$3&amp;Weekly_TVPlantPmod!$B22&amp;Weekly_TVPlantPmod!$B$3&amp;$B$2&amp;$B$1&amp;$C$1)</f>
        <v>0</v>
      </c>
      <c r="N22" s="2">
        <f>COUNTIF(defects!$Z:$Z,Weekly_TVPlantPmod!N$3&amp;Weekly_TVPlantPmod!$B22&amp;Weekly_TVPlantPmod!$B$3&amp;$B$2&amp;$B$1&amp;$C$1)</f>
        <v>0</v>
      </c>
      <c r="O22" s="2">
        <f>COUNTIF(defects!$Z:$Z,Weekly_TVPlantPmod!O$3&amp;Weekly_TVPlantPmod!$B22&amp;Weekly_TVPlantPmod!$B$3&amp;$B$2&amp;$B$1&amp;$C$1)</f>
        <v>0</v>
      </c>
      <c r="P22" s="2">
        <f>COUNTIF(defects!$Z:$Z,Weekly_TVPlantPmod!P$3&amp;Weekly_TVPlantPmod!$B22&amp;Weekly_TVPlantPmod!$B$3&amp;$B$2&amp;$B$1&amp;$C$1)</f>
        <v>0</v>
      </c>
      <c r="Q22" s="2">
        <f>COUNTIF(defects!$Z:$Z,Weekly_TVPlantPmod!Q$3&amp;Weekly_TVPlantPmod!$B22&amp;Weekly_TVPlantPmod!$B$3&amp;$B$2&amp;$B$1&amp;$C$1)</f>
        <v>0</v>
      </c>
      <c r="R22" s="2">
        <f>COUNTIF(defects!$Z:$Z,Weekly_TVPlantPmod!R$3&amp;Weekly_TVPlantPmod!$B22&amp;Weekly_TVPlantPmod!$B$3&amp;$B$2&amp;$B$1&amp;$C$1)</f>
        <v>0</v>
      </c>
      <c r="S22" s="2">
        <f>COUNTIF(defects!$Z:$Z,Weekly_TVPlantPmod!S$3&amp;Weekly_TVPlantPmod!$B22&amp;Weekly_TVPlantPmod!$B$3&amp;$B$2&amp;$B$1&amp;$C$1)</f>
        <v>0</v>
      </c>
      <c r="T22" s="2">
        <f>COUNTIF(defects!$Z:$Z,Weekly_TVPlantPmod!T$3&amp;Weekly_TVPlantPmod!$B22&amp;Weekly_TVPlantPmod!$B$3&amp;$B$2&amp;$B$1&amp;$C$1)</f>
        <v>0</v>
      </c>
      <c r="U22" s="2">
        <f>COUNTIF(defects!$Z:$Z,Weekly_TVPlantPmod!U$3&amp;Weekly_TVPlantPmod!$B22&amp;Weekly_TVPlantPmod!$B$3&amp;$B$2&amp;$B$1&amp;$C$1)</f>
        <v>0</v>
      </c>
      <c r="V22" s="2">
        <f>COUNTIF(defects!$Z:$Z,Weekly_TVPlantPmod!V$3&amp;Weekly_TVPlantPmod!$B22&amp;Weekly_TVPlantPmod!$B$3&amp;$B$2&amp;$B$1&amp;$C$1)</f>
        <v>0</v>
      </c>
      <c r="W22" s="2">
        <f>COUNTIF(defects!$Z:$Z,Weekly_TVPlantPmod!W$3&amp;Weekly_TVPlantPmod!$B22&amp;Weekly_TVPlantPmod!$B$3&amp;$B$2&amp;$B$1&amp;$C$1)</f>
        <v>0</v>
      </c>
      <c r="X22" s="2">
        <f>COUNTIF(defects!$Z:$Z,Weekly_TVPlantPmod!X$3&amp;Weekly_TVPlantPmod!$B22&amp;Weekly_TVPlantPmod!$B$3&amp;$B$2&amp;$B$1&amp;$C$1)</f>
        <v>0</v>
      </c>
      <c r="Y22" s="2">
        <f>COUNTIF(defects!$Z:$Z,Weekly_TVPlantPmod!Y$3&amp;Weekly_TVPlantPmod!$B22&amp;Weekly_TVPlantPmod!$B$3&amp;$B$2&amp;$B$1&amp;$C$1)</f>
        <v>0</v>
      </c>
      <c r="Z22" s="2">
        <f>COUNTIF(defects!$Z:$Z,Weekly_TVPlantPmod!Z$3&amp;Weekly_TVPlantPmod!$B22&amp;Weekly_TVPlantPmod!$B$3&amp;$B$2&amp;$B$1&amp;$C$1)</f>
        <v>0</v>
      </c>
      <c r="AA22" s="2">
        <f>COUNTIF(defects!$Z:$Z,Weekly_TVPlantPmod!AA$3&amp;Weekly_TVPlantPmod!$B22&amp;Weekly_TVPlantPmod!$B$3&amp;$B$2&amp;$B$1&amp;$C$1)</f>
        <v>0</v>
      </c>
      <c r="AB22" s="2">
        <f>COUNTIF(defects!$Z:$Z,Weekly_TVPlantPmod!AB$3&amp;Weekly_TVPlantPmod!$B22&amp;Weekly_TVPlantPmod!$B$3&amp;$B$2&amp;$B$1&amp;$C$1)</f>
        <v>0</v>
      </c>
      <c r="AC22" s="2">
        <f>COUNTIF(defects!$Z:$Z,Weekly_TVPlantPmod!AC$3&amp;Weekly_TVPlantPmod!$B22&amp;Weekly_TVPlantPmod!$B$3&amp;$B$2&amp;$B$1&amp;$C$1)</f>
        <v>0</v>
      </c>
      <c r="AD22" s="2">
        <f>COUNTIF(defects!$Z:$Z,Weekly_TVPlantPmod!AD$3&amp;Weekly_TVPlantPmod!$B22&amp;Weekly_TVPlantPmod!$B$3&amp;$B$2&amp;$B$1&amp;$C$1)</f>
        <v>0</v>
      </c>
      <c r="AE22" s="2">
        <f>COUNTIF(defects!$Z:$Z,Weekly_TVPlantPmod!AE$3&amp;Weekly_TVPlantPmod!$B22&amp;Weekly_TVPlantPmod!$B$3&amp;$B$2&amp;$B$1&amp;$C$1)</f>
        <v>0</v>
      </c>
      <c r="AF22" s="2">
        <f>COUNTIF(defects!$Z:$Z,Weekly_TVPlantPmod!AF$3&amp;Weekly_TVPlantPmod!$B22&amp;Weekly_TVPlantPmod!$B$3&amp;$B$2&amp;$B$1&amp;$C$1)</f>
        <v>0</v>
      </c>
      <c r="AG22" s="2">
        <f>COUNTIF(defects!$Z:$Z,Weekly_TVPlantPmod!AG$3&amp;Weekly_TVPlantPmod!$B22&amp;Weekly_TVPlantPmod!$B$3&amp;$B$2&amp;$B$1&amp;$C$1)</f>
        <v>0</v>
      </c>
      <c r="AH22" s="2">
        <f>COUNTIF(defects!$Z:$Z,Weekly_TVPlantPmod!AH$3&amp;Weekly_TVPlantPmod!$B22&amp;Weekly_TVPlantPmod!$B$3&amp;$B$2&amp;$B$1&amp;$C$1)</f>
        <v>0</v>
      </c>
      <c r="AI22" s="2">
        <f>COUNTIF(defects!$Z:$Z,Weekly_TVPlantPmod!AI$3&amp;Weekly_TVPlantPmod!$B22&amp;Weekly_TVPlantPmod!$B$3&amp;$B$2&amp;$B$1&amp;$C$1)</f>
        <v>0</v>
      </c>
      <c r="AJ22" s="2">
        <f>COUNTIF(defects!$Z:$Z,Weekly_TVPlantPmod!AJ$3&amp;Weekly_TVPlantPmod!$B22&amp;Weekly_TVPlantPmod!$B$3&amp;$B$2&amp;$B$1&amp;$C$1)</f>
        <v>0</v>
      </c>
      <c r="AK22" s="2">
        <f>COUNTIF(defects!$Z:$Z,Weekly_TVPlantPmod!AK$3&amp;Weekly_TVPlantPmod!$B22&amp;Weekly_TVPlantPmod!$B$3&amp;$B$2&amp;$B$1&amp;$C$1)</f>
        <v>0</v>
      </c>
      <c r="AL22" s="2">
        <f>COUNTIF(defects!$Z:$Z,Weekly_TVPlantPmod!AL$3&amp;Weekly_TVPlantPmod!$B22&amp;Weekly_TVPlantPmod!$B$3&amp;$B$2&amp;$B$1&amp;$C$1)</f>
        <v>0</v>
      </c>
      <c r="AM22" s="2">
        <f>COUNTIF(defects!$Z:$Z,Weekly_TVPlantPmod!AM$3&amp;Weekly_TVPlantPmod!$B22&amp;Weekly_TVPlantPmod!$B$3&amp;$B$2&amp;$B$1&amp;$C$1)</f>
        <v>0</v>
      </c>
      <c r="AN22" s="2">
        <f>COUNTIF(defects!$Z:$Z,Weekly_TVPlantPmod!AN$3&amp;Weekly_TVPlantPmod!$B22&amp;Weekly_TVPlantPmod!$B$3&amp;$B$2&amp;$B$1&amp;$C$1)</f>
        <v>0</v>
      </c>
      <c r="AO22" s="2">
        <f>COUNTIF(defects!$Z:$Z,Weekly_TVPlantPmod!AO$3&amp;Weekly_TVPlantPmod!$B22&amp;Weekly_TVPlantPmod!$B$3&amp;$B$2&amp;$B$1&amp;$C$1)</f>
        <v>0</v>
      </c>
      <c r="AP22" s="2">
        <f>COUNTIF(defects!$Z:$Z,Weekly_TVPlantPmod!AP$3&amp;Weekly_TVPlantPmod!$B22&amp;Weekly_TVPlantPmod!$B$3&amp;$B$2&amp;$B$1&amp;$C$1)</f>
        <v>0</v>
      </c>
      <c r="AQ22" s="2">
        <f>COUNTIF(defects!$Z:$Z,Weekly_TVPlantPmod!AQ$3&amp;Weekly_TVPlantPmod!$B22&amp;Weekly_TVPlantPmod!$B$3&amp;$B$2&amp;$B$1&amp;$C$1)</f>
        <v>0</v>
      </c>
      <c r="AR22" s="2">
        <f>COUNTIF(defects!$Z:$Z,Weekly_TVPlantPmod!AR$3&amp;Weekly_TVPlantPmod!$B22&amp;Weekly_TVPlantPmod!$B$3&amp;$B$2&amp;$B$1&amp;$C$1)</f>
        <v>0</v>
      </c>
      <c r="AS22" s="2">
        <f>COUNTIF(defects!$Z:$Z,Weekly_TVPlantPmod!AS$3&amp;Weekly_TVPlantPmod!$B22&amp;Weekly_TVPlantPmod!$B$3&amp;$B$2&amp;$B$1&amp;$C$1)</f>
        <v>0</v>
      </c>
      <c r="AT22" s="2">
        <f>COUNTIF(defects!$Z:$Z,Weekly_TVPlantPmod!AT$3&amp;Weekly_TVPlantPmod!$B22&amp;Weekly_TVPlantPmod!$B$3&amp;$B$2&amp;$B$1&amp;$C$1)</f>
        <v>0</v>
      </c>
      <c r="AU22" s="2">
        <f>COUNTIF(defects!$Z:$Z,Weekly_TVPlantPmod!AU$3&amp;Weekly_TVPlantPmod!$B22&amp;Weekly_TVPlantPmod!$B$3&amp;$B$2&amp;$B$1&amp;$C$1)</f>
        <v>0</v>
      </c>
      <c r="AV22" s="2">
        <f>COUNTIF(defects!$Z:$Z,Weekly_TVPlantPmod!AV$3&amp;Weekly_TVPlantPmod!$B22&amp;Weekly_TVPlantPmod!$B$3&amp;$B$2&amp;$B$1&amp;$C$1)</f>
        <v>0</v>
      </c>
      <c r="AW22" s="2">
        <f>COUNTIF(defects!$Z:$Z,Weekly_TVPlantPmod!AW$3&amp;Weekly_TVPlantPmod!$B22&amp;Weekly_TVPlantPmod!$B$3&amp;$B$2&amp;$B$1&amp;$C$1)</f>
        <v>0</v>
      </c>
      <c r="AX22" s="2">
        <f>COUNTIF(defects!$Z:$Z,Weekly_TVPlantPmod!AX$3&amp;Weekly_TVPlantPmod!$B22&amp;Weekly_TVPlantPmod!$B$3&amp;$B$2&amp;$B$1&amp;$C$1)</f>
        <v>0</v>
      </c>
      <c r="AY22" s="2">
        <f>COUNTIF(defects!$Z:$Z,Weekly_TVPlantPmod!AY$3&amp;Weekly_TVPlantPmod!$B22&amp;Weekly_TVPlantPmod!$B$3&amp;$B$2&amp;$B$1&amp;$C$1)</f>
        <v>0</v>
      </c>
      <c r="AZ22" s="2">
        <f>COUNTIF(defects!$Z:$Z,Weekly_TVPlantPmod!AZ$3&amp;Weekly_TVPlantPmod!$B22&amp;Weekly_TVPlantPmod!$B$3&amp;$B$2&amp;$B$1&amp;$C$1)</f>
        <v>0</v>
      </c>
      <c r="BA22" s="2">
        <f>COUNTIF(defects!$Z:$Z,Weekly_TVPlantPmod!BA$3&amp;Weekly_TVPlantPmod!$B22&amp;Weekly_TVPlantPmod!$B$3&amp;$B$2&amp;$B$1&amp;$C$1)</f>
        <v>0</v>
      </c>
      <c r="BB22" s="2">
        <f>COUNTIF(defects!$Z:$Z,Weekly_TVPlantPmod!BB$3&amp;Weekly_TVPlantPmod!$B22&amp;Weekly_TVPlantPmod!$B$3&amp;$B$2&amp;$B$1&amp;$C$1)</f>
        <v>0</v>
      </c>
      <c r="BC22" s="2">
        <f>COUNTIF(defects!$Z:$Z,Weekly_TVPlantPmod!BC$3&amp;Weekly_TVPlantPmod!$B22&amp;Weekly_TVPlantPmod!$B$3&amp;$B$2&amp;$B$1&amp;$C$1)</f>
        <v>0</v>
      </c>
      <c r="BD22" s="2">
        <f>COUNTIF(defects!$Z:$Z,Weekly_TVPlantPmod!BD$3&amp;Weekly_TVPlantPmod!$B22&amp;Weekly_TVPlantPmod!$B$3&amp;$B$2&amp;$B$1&amp;$C$1)</f>
        <v>0</v>
      </c>
      <c r="BE22" s="2">
        <f>COUNTIF(defects!$Z:$Z,Weekly_TVPlantPmod!BE$3&amp;Weekly_TVPlantPmod!$B22&amp;Weekly_TVPlantPmod!$B$3&amp;$B$2&amp;$B$1&amp;$C$1)</f>
        <v>0</v>
      </c>
      <c r="BF22" s="2">
        <f>COUNTIF(defects!$Z:$Z,Weekly_TVPlantPmod!BF$3&amp;Weekly_TVPlantPmod!$B22&amp;Weekly_TVPlantPmod!$B$3&amp;$B$2&amp;$B$1&amp;$C$1)</f>
        <v>0</v>
      </c>
      <c r="BG22" s="2">
        <f>COUNTIF(defects!$Z:$Z,Weekly_TVPlantPmod!BG$3&amp;Weekly_TVPlantPmod!$B22&amp;Weekly_TVPlantPmod!$B$3&amp;$B$2&amp;$B$1&amp;$C$1)</f>
        <v>0</v>
      </c>
      <c r="BH22" s="2">
        <f>COUNTIF(defects!$Z:$Z,Weekly_TVPlantPmod!BH$3&amp;Weekly_TVPlantPmod!$B22&amp;Weekly_TVPlantPmod!$B$3&amp;$B$2&amp;$B$1&amp;$C$1)</f>
        <v>0</v>
      </c>
      <c r="BI22" s="2">
        <f>COUNTIF(defects!$Z:$Z,Weekly_TVPlantPmod!BI$3&amp;Weekly_TVPlantPmod!$B22&amp;Weekly_TVPlantPmod!$B$3&amp;$B$2&amp;$B$1&amp;$C$1)</f>
        <v>0</v>
      </c>
      <c r="BJ22" s="2">
        <f>COUNTIF(defects!$Z:$Z,Weekly_TVPlantPmod!BJ$3&amp;Weekly_TVPlantPmod!$B22&amp;Weekly_TVPlantPmod!$B$3&amp;$B$2&amp;$B$1&amp;$C$1)</f>
        <v>0</v>
      </c>
      <c r="BK22" s="2">
        <f>COUNTIF(defects!$Z:$Z,Weekly_TVPlantPmod!BK$3&amp;Weekly_TVPlantPmod!$B22&amp;Weekly_TVPlantPmod!$B$3&amp;$B$2&amp;$B$1&amp;$C$1)</f>
        <v>0</v>
      </c>
      <c r="BL22" s="2">
        <f>COUNTIF(defects!$Z:$Z,Weekly_TVPlantPmod!BL$3&amp;Weekly_TVPlantPmod!$B22&amp;Weekly_TVPlantPmod!$B$3&amp;$B$2&amp;$B$1&amp;$C$1)</f>
        <v>0</v>
      </c>
      <c r="BM22" s="2">
        <f>COUNTIF(defects!$Z:$Z,Weekly_TVPlantPmod!BM$3&amp;Weekly_TVPlantPmod!$B22&amp;Weekly_TVPlantPmod!$B$3&amp;$B$2&amp;$B$1&amp;$C$1)</f>
        <v>0</v>
      </c>
      <c r="BN22" s="2">
        <f>COUNTIF(defects!$Z:$Z,Weekly_TVPlantPmod!BN$3&amp;Weekly_TVPlantPmod!$B22&amp;Weekly_TVPlantPmod!$B$3&amp;$B$2&amp;$B$1&amp;$C$1)</f>
        <v>0</v>
      </c>
      <c r="BO22" s="2">
        <f>COUNTIF(defects!$Z:$Z,Weekly_TVPlantPmod!BO$3&amp;Weekly_TVPlantPmod!$B22&amp;Weekly_TVPlantPmod!$B$3&amp;$B$2&amp;$B$1&amp;$C$1)</f>
        <v>0</v>
      </c>
      <c r="BP22" s="2">
        <f>COUNTIF(defects!$Z:$Z,Weekly_TVPlantPmod!BP$3&amp;Weekly_TVPlantPmod!$B22&amp;Weekly_TVPlantPmod!$B$3&amp;$B$2&amp;$B$1&amp;$C$1)</f>
        <v>0</v>
      </c>
      <c r="BQ22" s="2">
        <f>COUNTIF(defects!$Z:$Z,Weekly_TVPlantPmod!BQ$3&amp;Weekly_TVPlantPmod!$B22&amp;Weekly_TVPlantPmod!$B$3&amp;$B$2&amp;$B$1&amp;$C$1)</f>
        <v>0</v>
      </c>
      <c r="BR22" s="2">
        <f>COUNTIF(defects!$Z:$Z,Weekly_TVPlantPmod!BR$3&amp;Weekly_TVPlantPmod!$B22&amp;Weekly_TVPlantPmod!$B$3&amp;$B$2&amp;$B$1&amp;$C$1)</f>
        <v>0</v>
      </c>
      <c r="BS22" s="2">
        <f>COUNTIF(defects!$Z:$Z,Weekly_TVPlantPmod!BS$3&amp;Weekly_TVPlantPmod!$B22&amp;Weekly_TVPlantPmod!$B$3&amp;$B$2&amp;$B$1&amp;$C$1)</f>
        <v>0</v>
      </c>
      <c r="BT22" s="2">
        <f>COUNTIF(defects!$Z:$Z,Weekly_TVPlantPmod!BT$3&amp;Weekly_TVPlantPmod!$B22&amp;Weekly_TVPlantPmod!$B$3&amp;$B$2&amp;$B$1&amp;$C$1)</f>
        <v>0</v>
      </c>
      <c r="BU22" s="2">
        <f>COUNTIF(defects!$Z:$Z,Weekly_TVPlantPmod!BU$3&amp;Weekly_TVPlantPmod!$B22&amp;Weekly_TVPlantPmod!$B$3&amp;$B$2&amp;$B$1&amp;$C$1)</f>
        <v>0</v>
      </c>
      <c r="BV22" s="2">
        <f>COUNTIF(defects!$Z:$Z,Weekly_TVPlantPmod!BV$3&amp;Weekly_TVPlantPmod!$B22&amp;Weekly_TVPlantPmod!$B$3&amp;$B$2&amp;$B$1&amp;$C$1)</f>
        <v>0</v>
      </c>
      <c r="BW22" s="2">
        <f>COUNTIF(defects!$Z:$Z,Weekly_TVPlantPmod!BW$3&amp;Weekly_TVPlantPmod!$B22&amp;Weekly_TVPlantPmod!$B$3&amp;$B$2&amp;$B$1&amp;$C$1)</f>
        <v>0</v>
      </c>
      <c r="BX22" s="2">
        <f>COUNTIF(defects!$Z:$Z,Weekly_TVPlantPmod!BX$3&amp;Weekly_TVPlantPmod!$B22&amp;Weekly_TVPlantPmod!$B$3&amp;$B$2&amp;$B$1&amp;$C$1)</f>
        <v>0</v>
      </c>
      <c r="BY22" s="2">
        <f>COUNTIF(defects!$Z:$Z,Weekly_TVPlantPmod!BY$3&amp;Weekly_TVPlantPmod!$B22&amp;Weekly_TVPlantPmod!$B$3&amp;$B$2&amp;$B$1&amp;$C$1)</f>
        <v>0</v>
      </c>
      <c r="BZ22" s="2">
        <f>COUNTIF(defects!$Z:$Z,Weekly_TVPlantPmod!BZ$3&amp;Weekly_TVPlantPmod!$B22&amp;Weekly_TVPlantPmod!$B$3&amp;$B$2&amp;$B$1&amp;$C$1)</f>
        <v>0</v>
      </c>
      <c r="CA22" s="2">
        <f>COUNTIF(defects!$Z:$Z,Weekly_TVPlantPmod!CA$3&amp;Weekly_TVPlantPmod!$B22&amp;Weekly_TVPlantPmod!$B$3&amp;$B$2&amp;$B$1&amp;$C$1)</f>
        <v>0</v>
      </c>
      <c r="CB22" s="2">
        <f>COUNTIF(defects!$Z:$Z,Weekly_TVPlantPmod!CB$3&amp;Weekly_TVPlantPmod!$B22&amp;Weekly_TVPlantPmod!$B$3&amp;$B$2&amp;$B$1&amp;$C$1)</f>
        <v>0</v>
      </c>
      <c r="CC22" s="2">
        <f>COUNTIF(defects!$Z:$Z,Weekly_TVPlantPmod!CC$3&amp;Weekly_TVPlantPmod!$B22&amp;Weekly_TVPlantPmod!$B$3&amp;$B$2&amp;$B$1&amp;$C$1)</f>
        <v>0</v>
      </c>
      <c r="CD22" s="2">
        <f>COUNTIF(defects!$Z:$Z,Weekly_TVPlantPmod!CD$3&amp;Weekly_TVPlantPmod!$B22&amp;Weekly_TVPlantPmod!$B$3&amp;$B$2&amp;$B$1&amp;$C$1)</f>
        <v>0</v>
      </c>
      <c r="CE22" s="2">
        <f>COUNTIF(defects!$Z:$Z,Weekly_TVPlantPmod!CE$3&amp;Weekly_TVPlantPmod!$B22&amp;Weekly_TVPlantPmod!$B$3&amp;$B$2&amp;$B$1&amp;$C$1)</f>
        <v>0</v>
      </c>
      <c r="CF22" s="2">
        <f>COUNTIF(defects!$Z:$Z,Weekly_TVPlantPmod!CF$3&amp;Weekly_TVPlantPmod!$B22&amp;Weekly_TVPlantPmod!$B$3&amp;$B$2&amp;$B$1&amp;$C$1)</f>
        <v>0</v>
      </c>
      <c r="CG22" s="2">
        <f>COUNTIF(defects!$Z:$Z,Weekly_TVPlantPmod!CG$3&amp;Weekly_TVPlantPmod!$B22&amp;Weekly_TVPlantPmod!$B$3&amp;$B$2&amp;$B$1&amp;$C$1)</f>
        <v>0</v>
      </c>
      <c r="CH22" s="2">
        <f>COUNTIF(defects!$Z:$Z,Weekly_TVPlantPmod!CH$3&amp;Weekly_TVPlantPmod!$B22&amp;Weekly_TVPlantPmod!$B$3&amp;$B$2&amp;$B$1&amp;$C$1)</f>
        <v>0</v>
      </c>
      <c r="CI22" s="2">
        <f>COUNTIF(defects!$Z:$Z,Weekly_TVPlantPmod!CI$3&amp;Weekly_TVPlantPmod!$B22&amp;Weekly_TVPlantPmod!$B$3&amp;$B$2&amp;$B$1&amp;$C$1)</f>
        <v>0</v>
      </c>
      <c r="CJ22" s="2">
        <f>COUNTIF(defects!$Z:$Z,Weekly_TVPlantPmod!CJ$3&amp;Weekly_TVPlantPmod!$B22&amp;Weekly_TVPlantPmod!$B$3&amp;$B$2&amp;$B$1&amp;$C$1)</f>
        <v>0</v>
      </c>
      <c r="CK22" s="2">
        <f>COUNTIF(defects!$Z:$Z,Weekly_TVPlantPmod!CK$3&amp;Weekly_TVPlantPmod!$B22&amp;Weekly_TVPlantPmod!$B$3&amp;$B$2&amp;$B$1&amp;$C$1)</f>
        <v>2</v>
      </c>
      <c r="CL22" s="2">
        <f>COUNTIF(defects!$Z:$Z,Weekly_TVPlantPmod!CL$3&amp;Weekly_TVPlantPmod!$B22&amp;Weekly_TVPlantPmod!$B$3&amp;$B$2&amp;$B$1&amp;$C$1)</f>
        <v>0</v>
      </c>
      <c r="CM22" s="2">
        <f>COUNTIF(defects!$Z:$Z,Weekly_TVPlantPmod!CM$3&amp;Weekly_TVPlantPmod!$B22&amp;Weekly_TVPlantPmod!$B$3&amp;$B$2&amp;$B$1&amp;$C$1)</f>
        <v>0</v>
      </c>
      <c r="CN22" s="2">
        <f>COUNTIF(defects!$Z:$Z,Weekly_TVPlantPmod!CN$3&amp;Weekly_TVPlantPmod!$B22&amp;Weekly_TVPlantPmod!$B$3&amp;$B$2&amp;$B$1&amp;$C$1)</f>
        <v>0</v>
      </c>
      <c r="CO22" s="2">
        <f>COUNTIF(defects!$Z:$Z,Weekly_TVPlantPmod!CO$3&amp;Weekly_TVPlantPmod!$B22&amp;Weekly_TVPlantPmod!$B$3&amp;$B$2&amp;$B$1&amp;$C$1)</f>
        <v>0</v>
      </c>
      <c r="CP22" s="2">
        <f>COUNTIF(defects!$Z:$Z,Weekly_TVPlantPmod!CP$3&amp;Weekly_TVPlantPmod!$B22&amp;Weekly_TVPlantPmod!$B$3&amp;$B$2&amp;$B$1&amp;$C$1)</f>
        <v>0</v>
      </c>
      <c r="CQ22" s="2">
        <f>COUNTIF(defects!$Z:$Z,Weekly_TVPlantPmod!CQ$3&amp;Weekly_TVPlantPmod!$B22&amp;Weekly_TVPlantPmod!$B$3&amp;$B$2&amp;$B$1&amp;$C$1)</f>
        <v>0</v>
      </c>
      <c r="CR22" s="2">
        <f>COUNTIF(defects!$Z:$Z,Weekly_TVPlantPmod!CR$3&amp;Weekly_TVPlantPmod!$B22&amp;Weekly_TVPlantPmod!$B$3&amp;$B$2&amp;$B$1&amp;$C$1)</f>
        <v>0</v>
      </c>
      <c r="CS22" s="2">
        <f>COUNTIF(defects!$Z:$Z,Weekly_TVPlantPmod!CS$3&amp;Weekly_TVPlantPmod!$B22&amp;Weekly_TVPlantPmod!$B$3&amp;$B$2&amp;$B$1&amp;$C$1)</f>
        <v>0</v>
      </c>
      <c r="CT22" s="2">
        <f>COUNTIF(defects!$Z:$Z,Weekly_TVPlantPmod!CT$3&amp;Weekly_TVPlantPmod!$B22&amp;Weekly_TVPlantPmod!$B$3&amp;$B$2&amp;$B$1&amp;$C$1)</f>
        <v>1</v>
      </c>
      <c r="CU22" s="2">
        <f>COUNTIF(defects!$Z:$Z,Weekly_TVPlantPmod!CU$3&amp;Weekly_TVPlantPmod!$B22&amp;Weekly_TVPlantPmod!$B$3&amp;$B$2&amp;$B$1&amp;$C$1)</f>
        <v>0</v>
      </c>
      <c r="CV22" s="2">
        <f>COUNTIF(defects!$Z:$Z,Weekly_TVPlantPmod!CV$3&amp;Weekly_TVPlantPmod!$B22&amp;Weekly_TVPlantPmod!$B$3&amp;$B$2&amp;$B$1&amp;$C$1)</f>
        <v>0</v>
      </c>
      <c r="CW22" s="2">
        <f>COUNTIF(defects!$Z:$Z,Weekly_TVPlantPmod!CW$3&amp;Weekly_TVPlantPmod!$B22&amp;Weekly_TVPlantPmod!$B$3&amp;$B$2&amp;$B$1&amp;$C$1)</f>
        <v>0</v>
      </c>
      <c r="CX22" s="2">
        <f>COUNTIF(defects!$Z:$Z,Weekly_TVPlantPmod!CX$3&amp;Weekly_TVPlantPmod!$B22&amp;Weekly_TVPlantPmod!$B$3&amp;$B$2&amp;$B$1&amp;$C$1)</f>
        <v>0</v>
      </c>
      <c r="CY22" s="2">
        <f>COUNTIF(defects!$Z:$Z,Weekly_TVPlantPmod!CY$3&amp;Weekly_TVPlantPmod!$B22&amp;Weekly_TVPlantPmod!$B$3&amp;$B$2&amp;$B$1&amp;$C$1)</f>
        <v>0</v>
      </c>
      <c r="CZ22" s="2">
        <f>COUNTIF(defects!$Z:$Z,Weekly_TVPlantPmod!CZ$3&amp;Weekly_TVPlantPmod!$B22&amp;Weekly_TVPlantPmod!$B$3&amp;$B$2&amp;$B$1&amp;$C$1)</f>
        <v>0</v>
      </c>
      <c r="DA22" s="2">
        <f>COUNTIF(defects!$Z:$Z,Weekly_TVPlantPmod!DA$3&amp;Weekly_TVPlantPmod!$B22&amp;Weekly_TVPlantPmod!$B$3&amp;$B$2&amp;$B$1&amp;$C$1)</f>
        <v>0</v>
      </c>
      <c r="DB22" s="2">
        <f>COUNTIF(defects!$Z:$Z,Weekly_TVPlantPmod!DB$3&amp;Weekly_TVPlantPmod!$B22&amp;Weekly_TVPlantPmod!$B$3&amp;$B$2&amp;$B$1&amp;$C$1)</f>
        <v>0</v>
      </c>
      <c r="DC22" s="2">
        <f>COUNTIF(defects!$Z:$Z,Weekly_TVPlantPmod!DC$3&amp;Weekly_TVPlantPmod!$B22&amp;Weekly_TVPlantPmod!$B$3&amp;$B$2&amp;$B$1&amp;$C$1)</f>
        <v>1</v>
      </c>
      <c r="DD22" s="2">
        <f>COUNTIF(defects!$Z:$Z,Weekly_TVPlantPmod!DD$3&amp;Weekly_TVPlantPmod!$B22&amp;Weekly_TVPlantPmod!$B$3&amp;$B$2&amp;$B$1&amp;$C$1)</f>
        <v>0</v>
      </c>
      <c r="DE22" s="2">
        <f>COUNTIF(defects!$Z:$Z,Weekly_TVPlantPmod!DE$3&amp;Weekly_TVPlantPmod!$B22&amp;Weekly_TVPlantPmod!$B$3&amp;$B$2&amp;$B$1&amp;$C$1)</f>
        <v>0</v>
      </c>
      <c r="DF22" s="2">
        <f>COUNTIF(defects!$Z:$Z,Weekly_TVPlantPmod!DF$3&amp;Weekly_TVPlantPmod!$B22&amp;Weekly_TVPlantPmod!$B$3&amp;$B$2&amp;$B$1&amp;$C$1)</f>
        <v>0</v>
      </c>
      <c r="DG22" s="2">
        <f>COUNTIF(defects!$Z:$Z,Weekly_TVPlantPmod!DG$3&amp;Weekly_TVPlantPmod!$B22&amp;Weekly_TVPlantPmod!$B$3&amp;$B$2&amp;$B$1&amp;$C$1)</f>
        <v>0</v>
      </c>
      <c r="DH22" s="2">
        <f>COUNTIF(defects!$Z:$Z,Weekly_TVPlantPmod!DH$3&amp;Weekly_TVPlantPmod!$B22&amp;Weekly_TVPlantPmod!$B$3&amp;$B$2&amp;$B$1&amp;$C$1)</f>
        <v>0</v>
      </c>
      <c r="DI22" s="2">
        <f>COUNTIF(defects!$Z:$Z,Weekly_TVPlantPmod!DI$3&amp;Weekly_TVPlantPmod!$B22&amp;Weekly_TVPlantPmod!$B$3&amp;$B$2&amp;$B$1&amp;$C$1)</f>
        <v>0</v>
      </c>
      <c r="DJ22" s="2">
        <f>COUNTIF(defects!$Z:$Z,Weekly_TVPlantPmod!DJ$3&amp;Weekly_TVPlantPmod!$B22&amp;Weekly_TVPlantPmod!$B$3&amp;$B$2&amp;$B$1&amp;$C$1)</f>
        <v>0</v>
      </c>
      <c r="DK22" s="2">
        <f>COUNTIF(defects!$Z:$Z,Weekly_TVPlantPmod!DK$3&amp;Weekly_TVPlantPmod!$B22&amp;Weekly_TVPlantPmod!$B$3&amp;$B$2&amp;$B$1&amp;$C$1)</f>
        <v>0</v>
      </c>
      <c r="DL22" s="2">
        <f>COUNTIF(defects!$Z:$Z,Weekly_TVPlantPmod!DL$3&amp;Weekly_TVPlantPmod!$B22&amp;Weekly_TVPlantPmod!$B$3&amp;$B$2&amp;$B$1&amp;$C$1)</f>
        <v>0</v>
      </c>
      <c r="DM22" s="2">
        <f>COUNTIF(defects!$Z:$Z,Weekly_TVPlantPmod!DM$3&amp;Weekly_TVPlantPmod!$B22&amp;Weekly_TVPlantPmod!$B$3&amp;$B$2&amp;$B$1&amp;$C$1)</f>
        <v>0</v>
      </c>
      <c r="DN22" s="2">
        <f>COUNTIF(defects!$Z:$Z,Weekly_TVPlantPmod!DN$3&amp;Weekly_TVPlantPmod!$B22&amp;Weekly_TVPlantPmod!$B$3&amp;$B$2&amp;$B$1&amp;$C$1)</f>
        <v>0</v>
      </c>
      <c r="DO22" s="2">
        <f>COUNTIF(defects!$Z:$Z,Weekly_TVPlantPmod!DO$3&amp;Weekly_TVPlantPmod!$B22&amp;Weekly_TVPlantPmod!$B$3&amp;$B$2&amp;$B$1&amp;$C$1)</f>
        <v>0</v>
      </c>
      <c r="DP22" s="2">
        <f>COUNTIF(defects!$Z:$Z,Weekly_TVPlantPmod!DP$3&amp;Weekly_TVPlantPmod!$B22&amp;Weekly_TVPlantPmod!$B$3&amp;$B$2&amp;$B$1&amp;$C$1)</f>
        <v>0</v>
      </c>
      <c r="DQ22" s="2">
        <f>COUNTIF(defects!$Z:$Z,Weekly_TVPlantPmod!DQ$3&amp;Weekly_TVPlantPmod!$B22&amp;Weekly_TVPlantPmod!$B$3&amp;$B$2&amp;$B$1&amp;$C$1)</f>
        <v>0</v>
      </c>
      <c r="DR22" s="2">
        <f>COUNTIF(defects!$Z:$Z,Weekly_TVPlantPmod!DR$3&amp;Weekly_TVPlantPmod!$B22&amp;Weekly_TVPlantPmod!$B$3&amp;$B$2&amp;$B$1&amp;$C$1)</f>
        <v>0</v>
      </c>
      <c r="DS22" s="2">
        <f>COUNTIF(defects!$Z:$Z,Weekly_TVPlantPmod!DS$3&amp;Weekly_TVPlantPmod!$B22&amp;Weekly_TVPlantPmod!$B$3&amp;$B$2&amp;$B$1&amp;$C$1)</f>
        <v>0</v>
      </c>
      <c r="DT22" s="2">
        <f>COUNTIF(defects!$Z:$Z,Weekly_TVPlantPmod!DT$3&amp;Weekly_TVPlantPmod!$B22&amp;Weekly_TVPlantPmod!$B$3&amp;$B$2&amp;$B$1&amp;$C$1)</f>
        <v>0</v>
      </c>
      <c r="DU22" s="2">
        <f>COUNTIF(defects!$Z:$Z,Weekly_TVPlantPmod!DU$3&amp;Weekly_TVPlantPmod!$B22&amp;Weekly_TVPlantPmod!$B$3&amp;$B$2&amp;$B$1&amp;$C$1)</f>
        <v>0</v>
      </c>
      <c r="DV22" s="2">
        <f>COUNTIF(defects!$Z:$Z,Weekly_TVPlantPmod!DV$3&amp;Weekly_TVPlantPmod!$B22&amp;Weekly_TVPlantPmod!$B$3&amp;$B$2&amp;$B$1&amp;$C$1)</f>
        <v>0</v>
      </c>
      <c r="DW22" s="2">
        <f>COUNTIF(defects!$Z:$Z,Weekly_TVPlantPmod!DW$3&amp;Weekly_TVPlantPmod!$B22&amp;Weekly_TVPlantPmod!$B$3&amp;$B$2&amp;$B$1&amp;$C$1)</f>
        <v>0</v>
      </c>
      <c r="DX22" s="2">
        <f>COUNTIF(defects!$Z:$Z,Weekly_TVPlantPmod!DX$3&amp;Weekly_TVPlantPmod!$B22&amp;Weekly_TVPlantPmod!$B$3&amp;$B$2&amp;$B$1&amp;$C$1)</f>
        <v>0</v>
      </c>
      <c r="DY22" s="2">
        <f>COUNTIF(defects!$Z:$Z,Weekly_TVPlantPmod!DY$3&amp;Weekly_TVPlantPmod!$B22&amp;Weekly_TVPlantPmod!$B$3&amp;$B$2&amp;$B$1&amp;$C$1)</f>
        <v>0</v>
      </c>
      <c r="DZ22" s="2">
        <f>COUNTIF(defects!$Z:$Z,Weekly_TVPlantPmod!DZ$3&amp;Weekly_TVPlantPmod!$B22&amp;Weekly_TVPlantPmod!$B$3&amp;$B$2&amp;$B$1&amp;$C$1)</f>
        <v>0</v>
      </c>
      <c r="EA22" s="2">
        <f>COUNTIF(defects!$Z:$Z,Weekly_TVPlantPmod!EA$3&amp;Weekly_TVPlantPmod!$B22&amp;Weekly_TVPlantPmod!$B$3&amp;$B$2&amp;$B$1&amp;$C$1)</f>
        <v>0</v>
      </c>
      <c r="EB22" s="2">
        <f>COUNTIF(defects!$Z:$Z,Weekly_TVPlantPmod!EB$3&amp;Weekly_TVPlantPmod!$B22&amp;Weekly_TVPlantPmod!$B$3&amp;$B$2&amp;$B$1&amp;$C$1)</f>
        <v>0</v>
      </c>
      <c r="EC22" s="2">
        <f>COUNTIF(defects!$Z:$Z,Weekly_TVPlantPmod!EC$3&amp;Weekly_TVPlantPmod!$B22&amp;Weekly_TVPlantPmod!$B$3&amp;$B$2&amp;$B$1&amp;$C$1)</f>
        <v>0</v>
      </c>
      <c r="ED22" s="2">
        <f>COUNTIF(defects!$Z:$Z,Weekly_TVPlantPmod!ED$3&amp;Weekly_TVPlantPmod!$B22&amp;Weekly_TVPlantPmod!$B$3&amp;$B$2&amp;$B$1&amp;$C$1)</f>
        <v>0</v>
      </c>
      <c r="EE22" s="2">
        <f>COUNTIF(defects!$Z:$Z,Weekly_TVPlantPmod!EE$3&amp;Weekly_TVPlantPmod!$B22&amp;Weekly_TVPlantPmod!$B$3&amp;$B$2&amp;$B$1&amp;$C$1)</f>
        <v>0</v>
      </c>
      <c r="EF22" s="2">
        <f>COUNTIF(defects!$Z:$Z,Weekly_TVPlantPmod!EF$3&amp;Weekly_TVPlantPmod!$B22&amp;Weekly_TVPlantPmod!$B$3&amp;$B$2&amp;$B$1&amp;$C$1)</f>
        <v>0</v>
      </c>
      <c r="EG22" s="2">
        <f>COUNTIF(defects!$Z:$Z,Weekly_TVPlantPmod!EG$3&amp;Weekly_TVPlantPmod!$B22&amp;Weekly_TVPlantPmod!$B$3&amp;$B$2&amp;$B$1&amp;$C$1)</f>
        <v>0</v>
      </c>
      <c r="EH22" s="2">
        <f>COUNTIF(defects!$Z:$Z,Weekly_TVPlantPmod!EH$3&amp;Weekly_TVPlantPmod!$B22&amp;Weekly_TVPlantPmod!$B$3&amp;$B$2&amp;$B$1&amp;$C$1)</f>
        <v>0</v>
      </c>
      <c r="EI22" s="2">
        <f>COUNTIF(defects!$Z:$Z,Weekly_TVPlantPmod!EI$3&amp;Weekly_TVPlantPmod!$B22&amp;Weekly_TVPlantPmod!$B$3&amp;$B$2&amp;$B$1&amp;$C$1)</f>
        <v>0</v>
      </c>
      <c r="EJ22" s="2">
        <f>COUNTIF(defects!$Z:$Z,Weekly_TVPlantPmod!EJ$3&amp;Weekly_TVPlantPmod!$B22&amp;Weekly_TVPlantPmod!$B$3&amp;$B$2&amp;$B$1&amp;$C$1)</f>
        <v>0</v>
      </c>
      <c r="EK22" s="2">
        <f>COUNTIF(defects!$Z:$Z,Weekly_TVPlantPmod!EK$3&amp;Weekly_TVPlantPmod!$B22&amp;Weekly_TVPlantPmod!$B$3&amp;$B$2&amp;$B$1&amp;$C$1)</f>
        <v>0</v>
      </c>
      <c r="EL22" s="2">
        <f>COUNTIF(defects!$Z:$Z,Weekly_TVPlantPmod!EL$3&amp;Weekly_TVPlantPmod!$B22&amp;Weekly_TVPlantPmod!$B$3&amp;$B$2&amp;$B$1&amp;$C$1)</f>
        <v>0</v>
      </c>
      <c r="EM22" s="2">
        <f>COUNTIF(defects!$Z:$Z,Weekly_TVPlantPmod!EM$3&amp;Weekly_TVPlantPmod!$B22&amp;Weekly_TVPlantPmod!$B$3&amp;$B$2&amp;$B$1&amp;$C$1)</f>
        <v>0</v>
      </c>
      <c r="EN22" s="2">
        <f>COUNTIF(defects!$Z:$Z,Weekly_TVPlantPmod!EN$3&amp;Weekly_TVPlantPmod!$B22&amp;Weekly_TVPlantPmod!$B$3&amp;$B$2&amp;$B$1&amp;$C$1)</f>
        <v>0</v>
      </c>
      <c r="EO22" s="2">
        <f>COUNTIF(defects!$Z:$Z,Weekly_TVPlantPmod!EO$3&amp;Weekly_TVPlantPmod!$B22&amp;Weekly_TVPlantPmod!$B$3&amp;$B$2&amp;$B$1&amp;$C$1)</f>
        <v>0</v>
      </c>
      <c r="EP22" s="2">
        <f>COUNTIF(defects!$Z:$Z,Weekly_TVPlantPmod!EP$3&amp;Weekly_TVPlantPmod!$B22&amp;Weekly_TVPlantPmod!$B$3&amp;$B$2&amp;$B$1&amp;$C$1)</f>
        <v>0</v>
      </c>
      <c r="EQ22" s="2">
        <f>COUNTIF(defects!$Z:$Z,Weekly_TVPlantPmod!EQ$3&amp;Weekly_TVPlantPmod!$B22&amp;Weekly_TVPlantPmod!$B$3&amp;$B$2&amp;$B$1&amp;$C$1)</f>
        <v>0</v>
      </c>
      <c r="ER22" s="2">
        <f>COUNTIF(defects!$Z:$Z,Weekly_TVPlantPmod!ER$3&amp;Weekly_TVPlantPmod!$B22&amp;Weekly_TVPlantPmod!$B$3&amp;$B$2&amp;$B$1&amp;$C$1)</f>
        <v>0</v>
      </c>
      <c r="ES22" s="2">
        <f>COUNTIF(defects!$Z:$Z,Weekly_TVPlantPmod!ES$3&amp;Weekly_TVPlantPmod!$B22&amp;Weekly_TVPlantPmod!$B$3&amp;$B$2&amp;$B$1&amp;$C$1)</f>
        <v>0</v>
      </c>
      <c r="ET22" s="2">
        <f>COUNTIF(defects!$Z:$Z,Weekly_TVPlantPmod!ET$3&amp;Weekly_TVPlantPmod!$B22&amp;Weekly_TVPlantPmod!$B$3&amp;$B$2&amp;$B$1&amp;$C$1)</f>
        <v>0</v>
      </c>
      <c r="EU22" s="2">
        <f>COUNTIF(defects!$Z:$Z,Weekly_TVPlantPmod!EU$3&amp;Weekly_TVPlantPmod!$B22&amp;Weekly_TVPlantPmod!$B$3&amp;$B$2&amp;$B$1&amp;$C$1)</f>
        <v>0</v>
      </c>
      <c r="EV22" s="2">
        <f>COUNTIF(defects!$Z:$Z,Weekly_TVPlantPmod!EV$3&amp;Weekly_TVPlantPmod!$B22&amp;Weekly_TVPlantPmod!$B$3&amp;$B$2&amp;$B$1&amp;$C$1)</f>
        <v>0</v>
      </c>
      <c r="EW22" s="2">
        <f>COUNTIF(defects!$Z:$Z,Weekly_TVPlantPmod!EW$3&amp;Weekly_TVPlantPmod!$B22&amp;Weekly_TVPlantPmod!$B$3&amp;$B$2&amp;$B$1&amp;$C$1)</f>
        <v>0</v>
      </c>
      <c r="EX22" s="2">
        <f>COUNTIF(defects!$Z:$Z,Weekly_TVPlantPmod!EX$3&amp;Weekly_TVPlantPmod!$B22&amp;Weekly_TVPlantPmod!$B$3&amp;$B$2&amp;$B$1&amp;$C$1)</f>
        <v>0</v>
      </c>
      <c r="EY22" s="2">
        <f>COUNTIF(defects!$Z:$Z,Weekly_TVPlantPmod!EY$3&amp;Weekly_TVPlantPmod!$B22&amp;Weekly_TVPlantPmod!$B$3&amp;$B$2&amp;$B$1&amp;$C$1)</f>
        <v>0</v>
      </c>
      <c r="EZ22" s="2">
        <f>COUNTIF(defects!$Z:$Z,Weekly_TVPlantPmod!EZ$3&amp;Weekly_TVPlantPmod!$B22&amp;Weekly_TVPlantPmod!$B$3&amp;$B$2&amp;$B$1&amp;$C$1)</f>
        <v>0</v>
      </c>
      <c r="FA22" s="2">
        <f>COUNTIF(defects!$Z:$Z,Weekly_TVPlantPmod!FA$3&amp;Weekly_TVPlantPmod!$B22&amp;Weekly_TVPlantPmod!$B$3&amp;$B$2&amp;$B$1&amp;$C$1)</f>
        <v>0</v>
      </c>
      <c r="FB22" s="2">
        <f>COUNTIF(defects!$Z:$Z,Weekly_TVPlantPmod!FB$3&amp;Weekly_TVPlantPmod!$B22&amp;Weekly_TVPlantPmod!$B$3&amp;$B$2&amp;$B$1&amp;$C$1)</f>
        <v>0</v>
      </c>
      <c r="FC22" s="2">
        <f>COUNTIF(defects!$Z:$Z,Weekly_TVPlantPmod!FC$3&amp;Weekly_TVPlantPmod!$B22&amp;Weekly_TVPlantPmod!$B$3&amp;$B$2&amp;$B$1&amp;$C$1)</f>
        <v>0</v>
      </c>
      <c r="FD22" s="2">
        <f>COUNTIF(defects!$Z:$Z,Weekly_TVPlantPmod!FD$3&amp;Weekly_TVPlantPmod!$B22&amp;Weekly_TVPlantPmod!$B$3&amp;$B$2&amp;$B$1&amp;$C$1)</f>
        <v>0</v>
      </c>
      <c r="FE22" s="2">
        <f>COUNTIF(defects!$Z:$Z,Weekly_TVPlantPmod!FE$3&amp;Weekly_TVPlantPmod!$B22&amp;Weekly_TVPlantPmod!$B$3&amp;$B$2&amp;$B$1&amp;$C$1)</f>
        <v>0</v>
      </c>
    </row>
    <row r="23" spans="2:161">
      <c r="B23" s="3" t="s">
        <v>951</v>
      </c>
      <c r="C23" s="2">
        <f>COUNTIF(defects!$Z:$Z,Weekly_TVPlantPmod!C$3&amp;Weekly_TVPlantPmod!$B23&amp;Weekly_TVPlantPmod!$B$3&amp;$B$2&amp;$B$1&amp;$C$1)</f>
        <v>0</v>
      </c>
      <c r="D23" s="2">
        <f>COUNTIF(defects!$Z:$Z,Weekly_TVPlantPmod!D$3&amp;Weekly_TVPlantPmod!$B23&amp;Weekly_TVPlantPmod!$B$3&amp;$B$2&amp;$B$1&amp;$C$1)</f>
        <v>0</v>
      </c>
      <c r="E23" s="2">
        <f>COUNTIF(defects!$Z:$Z,Weekly_TVPlantPmod!E$3&amp;Weekly_TVPlantPmod!$B23&amp;Weekly_TVPlantPmod!$B$3&amp;$B$2&amp;$B$1&amp;$C$1)</f>
        <v>0</v>
      </c>
      <c r="F23" s="2">
        <f>COUNTIF(defects!$Z:$Z,Weekly_TVPlantPmod!F$3&amp;Weekly_TVPlantPmod!$B23&amp;Weekly_TVPlantPmod!$B$3&amp;$B$2&amp;$B$1&amp;$C$1)</f>
        <v>0</v>
      </c>
      <c r="G23" s="2">
        <f>COUNTIF(defects!$Z:$Z,Weekly_TVPlantPmod!G$3&amp;Weekly_TVPlantPmod!$B23&amp;Weekly_TVPlantPmod!$B$3&amp;$B$2&amp;$B$1&amp;$C$1)</f>
        <v>0</v>
      </c>
      <c r="H23" s="2">
        <f>COUNTIF(defects!$Z:$Z,Weekly_TVPlantPmod!H$3&amp;Weekly_TVPlantPmod!$B23&amp;Weekly_TVPlantPmod!$B$3&amp;$B$2&amp;$B$1&amp;$C$1)</f>
        <v>0</v>
      </c>
      <c r="I23" s="2">
        <f>COUNTIF(defects!$Z:$Z,Weekly_TVPlantPmod!I$3&amp;Weekly_TVPlantPmod!$B23&amp;Weekly_TVPlantPmod!$B$3&amp;$B$2&amp;$B$1&amp;$C$1)</f>
        <v>0</v>
      </c>
      <c r="J23" s="2">
        <f>COUNTIF(defects!$Z:$Z,Weekly_TVPlantPmod!J$3&amp;Weekly_TVPlantPmod!$B23&amp;Weekly_TVPlantPmod!$B$3&amp;$B$2&amp;$B$1&amp;$C$1)</f>
        <v>0</v>
      </c>
      <c r="K23" s="2">
        <f>COUNTIF(defects!$Z:$Z,Weekly_TVPlantPmod!K$3&amp;Weekly_TVPlantPmod!$B23&amp;Weekly_TVPlantPmod!$B$3&amp;$B$2&amp;$B$1&amp;$C$1)</f>
        <v>0</v>
      </c>
      <c r="L23" s="2">
        <f>COUNTIF(defects!$Z:$Z,Weekly_TVPlantPmod!L$3&amp;Weekly_TVPlantPmod!$B23&amp;Weekly_TVPlantPmod!$B$3&amp;$B$2&amp;$B$1&amp;$C$1)</f>
        <v>0</v>
      </c>
      <c r="M23" s="2">
        <f>COUNTIF(defects!$Z:$Z,Weekly_TVPlantPmod!M$3&amp;Weekly_TVPlantPmod!$B23&amp;Weekly_TVPlantPmod!$B$3&amp;$B$2&amp;$B$1&amp;$C$1)</f>
        <v>0</v>
      </c>
      <c r="N23" s="2">
        <f>COUNTIF(defects!$Z:$Z,Weekly_TVPlantPmod!N$3&amp;Weekly_TVPlantPmod!$B23&amp;Weekly_TVPlantPmod!$B$3&amp;$B$2&amp;$B$1&amp;$C$1)</f>
        <v>0</v>
      </c>
      <c r="O23" s="2">
        <f>COUNTIF(defects!$Z:$Z,Weekly_TVPlantPmod!O$3&amp;Weekly_TVPlantPmod!$B23&amp;Weekly_TVPlantPmod!$B$3&amp;$B$2&amp;$B$1&amp;$C$1)</f>
        <v>0</v>
      </c>
      <c r="P23" s="2">
        <f>COUNTIF(defects!$Z:$Z,Weekly_TVPlantPmod!P$3&amp;Weekly_TVPlantPmod!$B23&amp;Weekly_TVPlantPmod!$B$3&amp;$B$2&amp;$B$1&amp;$C$1)</f>
        <v>0</v>
      </c>
      <c r="Q23" s="2">
        <f>COUNTIF(defects!$Z:$Z,Weekly_TVPlantPmod!Q$3&amp;Weekly_TVPlantPmod!$B23&amp;Weekly_TVPlantPmod!$B$3&amp;$B$2&amp;$B$1&amp;$C$1)</f>
        <v>0</v>
      </c>
      <c r="R23" s="2">
        <f>COUNTIF(defects!$Z:$Z,Weekly_TVPlantPmod!R$3&amp;Weekly_TVPlantPmod!$B23&amp;Weekly_TVPlantPmod!$B$3&amp;$B$2&amp;$B$1&amp;$C$1)</f>
        <v>0</v>
      </c>
      <c r="S23" s="2">
        <f>COUNTIF(defects!$Z:$Z,Weekly_TVPlantPmod!S$3&amp;Weekly_TVPlantPmod!$B23&amp;Weekly_TVPlantPmod!$B$3&amp;$B$2&amp;$B$1&amp;$C$1)</f>
        <v>0</v>
      </c>
      <c r="T23" s="2">
        <f>COUNTIF(defects!$Z:$Z,Weekly_TVPlantPmod!T$3&amp;Weekly_TVPlantPmod!$B23&amp;Weekly_TVPlantPmod!$B$3&amp;$B$2&amp;$B$1&amp;$C$1)</f>
        <v>0</v>
      </c>
      <c r="U23" s="2">
        <f>COUNTIF(defects!$Z:$Z,Weekly_TVPlantPmod!U$3&amp;Weekly_TVPlantPmod!$B23&amp;Weekly_TVPlantPmod!$B$3&amp;$B$2&amp;$B$1&amp;$C$1)</f>
        <v>0</v>
      </c>
      <c r="V23" s="2">
        <f>COUNTIF(defects!$Z:$Z,Weekly_TVPlantPmod!V$3&amp;Weekly_TVPlantPmod!$B23&amp;Weekly_TVPlantPmod!$B$3&amp;$B$2&amp;$B$1&amp;$C$1)</f>
        <v>0</v>
      </c>
      <c r="W23" s="2">
        <f>COUNTIF(defects!$Z:$Z,Weekly_TVPlantPmod!W$3&amp;Weekly_TVPlantPmod!$B23&amp;Weekly_TVPlantPmod!$B$3&amp;$B$2&amp;$B$1&amp;$C$1)</f>
        <v>0</v>
      </c>
      <c r="X23" s="2">
        <f>COUNTIF(defects!$Z:$Z,Weekly_TVPlantPmod!X$3&amp;Weekly_TVPlantPmod!$B23&amp;Weekly_TVPlantPmod!$B$3&amp;$B$2&amp;$B$1&amp;$C$1)</f>
        <v>0</v>
      </c>
      <c r="Y23" s="2">
        <f>COUNTIF(defects!$Z:$Z,Weekly_TVPlantPmod!Y$3&amp;Weekly_TVPlantPmod!$B23&amp;Weekly_TVPlantPmod!$B$3&amp;$B$2&amp;$B$1&amp;$C$1)</f>
        <v>0</v>
      </c>
      <c r="Z23" s="2">
        <f>COUNTIF(defects!$Z:$Z,Weekly_TVPlantPmod!Z$3&amp;Weekly_TVPlantPmod!$B23&amp;Weekly_TVPlantPmod!$B$3&amp;$B$2&amp;$B$1&amp;$C$1)</f>
        <v>0</v>
      </c>
      <c r="AA23" s="2">
        <f>COUNTIF(defects!$Z:$Z,Weekly_TVPlantPmod!AA$3&amp;Weekly_TVPlantPmod!$B23&amp;Weekly_TVPlantPmod!$B$3&amp;$B$2&amp;$B$1&amp;$C$1)</f>
        <v>0</v>
      </c>
      <c r="AB23" s="2">
        <f>COUNTIF(defects!$Z:$Z,Weekly_TVPlantPmod!AB$3&amp;Weekly_TVPlantPmod!$B23&amp;Weekly_TVPlantPmod!$B$3&amp;$B$2&amp;$B$1&amp;$C$1)</f>
        <v>0</v>
      </c>
      <c r="AC23" s="2">
        <f>COUNTIF(defects!$Z:$Z,Weekly_TVPlantPmod!AC$3&amp;Weekly_TVPlantPmod!$B23&amp;Weekly_TVPlantPmod!$B$3&amp;$B$2&amp;$B$1&amp;$C$1)</f>
        <v>0</v>
      </c>
      <c r="AD23" s="2">
        <f>COUNTIF(defects!$Z:$Z,Weekly_TVPlantPmod!AD$3&amp;Weekly_TVPlantPmod!$B23&amp;Weekly_TVPlantPmod!$B$3&amp;$B$2&amp;$B$1&amp;$C$1)</f>
        <v>0</v>
      </c>
      <c r="AE23" s="2">
        <f>COUNTIF(defects!$Z:$Z,Weekly_TVPlantPmod!AE$3&amp;Weekly_TVPlantPmod!$B23&amp;Weekly_TVPlantPmod!$B$3&amp;$B$2&amp;$B$1&amp;$C$1)</f>
        <v>0</v>
      </c>
      <c r="AF23" s="2">
        <f>COUNTIF(defects!$Z:$Z,Weekly_TVPlantPmod!AF$3&amp;Weekly_TVPlantPmod!$B23&amp;Weekly_TVPlantPmod!$B$3&amp;$B$2&amp;$B$1&amp;$C$1)</f>
        <v>0</v>
      </c>
      <c r="AG23" s="2">
        <f>COUNTIF(defects!$Z:$Z,Weekly_TVPlantPmod!AG$3&amp;Weekly_TVPlantPmod!$B23&amp;Weekly_TVPlantPmod!$B$3&amp;$B$2&amp;$B$1&amp;$C$1)</f>
        <v>0</v>
      </c>
      <c r="AH23" s="2">
        <f>COUNTIF(defects!$Z:$Z,Weekly_TVPlantPmod!AH$3&amp;Weekly_TVPlantPmod!$B23&amp;Weekly_TVPlantPmod!$B$3&amp;$B$2&amp;$B$1&amp;$C$1)</f>
        <v>0</v>
      </c>
      <c r="AI23" s="2">
        <f>COUNTIF(defects!$Z:$Z,Weekly_TVPlantPmod!AI$3&amp;Weekly_TVPlantPmod!$B23&amp;Weekly_TVPlantPmod!$B$3&amp;$B$2&amp;$B$1&amp;$C$1)</f>
        <v>0</v>
      </c>
      <c r="AJ23" s="2">
        <f>COUNTIF(defects!$Z:$Z,Weekly_TVPlantPmod!AJ$3&amp;Weekly_TVPlantPmod!$B23&amp;Weekly_TVPlantPmod!$B$3&amp;$B$2&amp;$B$1&amp;$C$1)</f>
        <v>0</v>
      </c>
      <c r="AK23" s="2">
        <f>COUNTIF(defects!$Z:$Z,Weekly_TVPlantPmod!AK$3&amp;Weekly_TVPlantPmod!$B23&amp;Weekly_TVPlantPmod!$B$3&amp;$B$2&amp;$B$1&amp;$C$1)</f>
        <v>0</v>
      </c>
      <c r="AL23" s="2">
        <f>COUNTIF(defects!$Z:$Z,Weekly_TVPlantPmod!AL$3&amp;Weekly_TVPlantPmod!$B23&amp;Weekly_TVPlantPmod!$B$3&amp;$B$2&amp;$B$1&amp;$C$1)</f>
        <v>0</v>
      </c>
      <c r="AM23" s="2">
        <f>COUNTIF(defects!$Z:$Z,Weekly_TVPlantPmod!AM$3&amp;Weekly_TVPlantPmod!$B23&amp;Weekly_TVPlantPmod!$B$3&amp;$B$2&amp;$B$1&amp;$C$1)</f>
        <v>0</v>
      </c>
      <c r="AN23" s="2">
        <f>COUNTIF(defects!$Z:$Z,Weekly_TVPlantPmod!AN$3&amp;Weekly_TVPlantPmod!$B23&amp;Weekly_TVPlantPmod!$B$3&amp;$B$2&amp;$B$1&amp;$C$1)</f>
        <v>0</v>
      </c>
      <c r="AO23" s="2">
        <f>COUNTIF(defects!$Z:$Z,Weekly_TVPlantPmod!AO$3&amp;Weekly_TVPlantPmod!$B23&amp;Weekly_TVPlantPmod!$B$3&amp;$B$2&amp;$B$1&amp;$C$1)</f>
        <v>0</v>
      </c>
      <c r="AP23" s="2">
        <f>COUNTIF(defects!$Z:$Z,Weekly_TVPlantPmod!AP$3&amp;Weekly_TVPlantPmod!$B23&amp;Weekly_TVPlantPmod!$B$3&amp;$B$2&amp;$B$1&amp;$C$1)</f>
        <v>0</v>
      </c>
      <c r="AQ23" s="2">
        <f>COUNTIF(defects!$Z:$Z,Weekly_TVPlantPmod!AQ$3&amp;Weekly_TVPlantPmod!$B23&amp;Weekly_TVPlantPmod!$B$3&amp;$B$2&amp;$B$1&amp;$C$1)</f>
        <v>0</v>
      </c>
      <c r="AR23" s="2">
        <f>COUNTIF(defects!$Z:$Z,Weekly_TVPlantPmod!AR$3&amp;Weekly_TVPlantPmod!$B23&amp;Weekly_TVPlantPmod!$B$3&amp;$B$2&amp;$B$1&amp;$C$1)</f>
        <v>0</v>
      </c>
      <c r="AS23" s="2">
        <f>COUNTIF(defects!$Z:$Z,Weekly_TVPlantPmod!AS$3&amp;Weekly_TVPlantPmod!$B23&amp;Weekly_TVPlantPmod!$B$3&amp;$B$2&amp;$B$1&amp;$C$1)</f>
        <v>0</v>
      </c>
      <c r="AT23" s="2">
        <f>COUNTIF(defects!$Z:$Z,Weekly_TVPlantPmod!AT$3&amp;Weekly_TVPlantPmod!$B23&amp;Weekly_TVPlantPmod!$B$3&amp;$B$2&amp;$B$1&amp;$C$1)</f>
        <v>0</v>
      </c>
      <c r="AU23" s="2">
        <f>COUNTIF(defects!$Z:$Z,Weekly_TVPlantPmod!AU$3&amp;Weekly_TVPlantPmod!$B23&amp;Weekly_TVPlantPmod!$B$3&amp;$B$2&amp;$B$1&amp;$C$1)</f>
        <v>0</v>
      </c>
      <c r="AV23" s="2">
        <f>COUNTIF(defects!$Z:$Z,Weekly_TVPlantPmod!AV$3&amp;Weekly_TVPlantPmod!$B23&amp;Weekly_TVPlantPmod!$B$3&amp;$B$2&amp;$B$1&amp;$C$1)</f>
        <v>0</v>
      </c>
      <c r="AW23" s="2">
        <f>COUNTIF(defects!$Z:$Z,Weekly_TVPlantPmod!AW$3&amp;Weekly_TVPlantPmod!$B23&amp;Weekly_TVPlantPmod!$B$3&amp;$B$2&amp;$B$1&amp;$C$1)</f>
        <v>0</v>
      </c>
      <c r="AX23" s="2">
        <f>COUNTIF(defects!$Z:$Z,Weekly_TVPlantPmod!AX$3&amp;Weekly_TVPlantPmod!$B23&amp;Weekly_TVPlantPmod!$B$3&amp;$B$2&amp;$B$1&amp;$C$1)</f>
        <v>0</v>
      </c>
      <c r="AY23" s="2">
        <f>COUNTIF(defects!$Z:$Z,Weekly_TVPlantPmod!AY$3&amp;Weekly_TVPlantPmod!$B23&amp;Weekly_TVPlantPmod!$B$3&amp;$B$2&amp;$B$1&amp;$C$1)</f>
        <v>0</v>
      </c>
      <c r="AZ23" s="2">
        <f>COUNTIF(defects!$Z:$Z,Weekly_TVPlantPmod!AZ$3&amp;Weekly_TVPlantPmod!$B23&amp;Weekly_TVPlantPmod!$B$3&amp;$B$2&amp;$B$1&amp;$C$1)</f>
        <v>0</v>
      </c>
      <c r="BA23" s="2">
        <f>COUNTIF(defects!$Z:$Z,Weekly_TVPlantPmod!BA$3&amp;Weekly_TVPlantPmod!$B23&amp;Weekly_TVPlantPmod!$B$3&amp;$B$2&amp;$B$1&amp;$C$1)</f>
        <v>0</v>
      </c>
      <c r="BB23" s="2">
        <f>COUNTIF(defects!$Z:$Z,Weekly_TVPlantPmod!BB$3&amp;Weekly_TVPlantPmod!$B23&amp;Weekly_TVPlantPmod!$B$3&amp;$B$2&amp;$B$1&amp;$C$1)</f>
        <v>0</v>
      </c>
      <c r="BC23" s="2">
        <f>COUNTIF(defects!$Z:$Z,Weekly_TVPlantPmod!BC$3&amp;Weekly_TVPlantPmod!$B23&amp;Weekly_TVPlantPmod!$B$3&amp;$B$2&amp;$B$1&amp;$C$1)</f>
        <v>0</v>
      </c>
      <c r="BD23" s="2">
        <f>COUNTIF(defects!$Z:$Z,Weekly_TVPlantPmod!BD$3&amp;Weekly_TVPlantPmod!$B23&amp;Weekly_TVPlantPmod!$B$3&amp;$B$2&amp;$B$1&amp;$C$1)</f>
        <v>0</v>
      </c>
      <c r="BE23" s="2">
        <f>COUNTIF(defects!$Z:$Z,Weekly_TVPlantPmod!BE$3&amp;Weekly_TVPlantPmod!$B23&amp;Weekly_TVPlantPmod!$B$3&amp;$B$2&amp;$B$1&amp;$C$1)</f>
        <v>0</v>
      </c>
      <c r="BF23" s="2">
        <f>COUNTIF(defects!$Z:$Z,Weekly_TVPlantPmod!BF$3&amp;Weekly_TVPlantPmod!$B23&amp;Weekly_TVPlantPmod!$B$3&amp;$B$2&amp;$B$1&amp;$C$1)</f>
        <v>0</v>
      </c>
      <c r="BG23" s="2">
        <f>COUNTIF(defects!$Z:$Z,Weekly_TVPlantPmod!BG$3&amp;Weekly_TVPlantPmod!$B23&amp;Weekly_TVPlantPmod!$B$3&amp;$B$2&amp;$B$1&amp;$C$1)</f>
        <v>0</v>
      </c>
      <c r="BH23" s="2">
        <f>COUNTIF(defects!$Z:$Z,Weekly_TVPlantPmod!BH$3&amp;Weekly_TVPlantPmod!$B23&amp;Weekly_TVPlantPmod!$B$3&amp;$B$2&amp;$B$1&amp;$C$1)</f>
        <v>0</v>
      </c>
      <c r="BI23" s="2">
        <f>COUNTIF(defects!$Z:$Z,Weekly_TVPlantPmod!BI$3&amp;Weekly_TVPlantPmod!$B23&amp;Weekly_TVPlantPmod!$B$3&amp;$B$2&amp;$B$1&amp;$C$1)</f>
        <v>0</v>
      </c>
      <c r="BJ23" s="2">
        <f>COUNTIF(defects!$Z:$Z,Weekly_TVPlantPmod!BJ$3&amp;Weekly_TVPlantPmod!$B23&amp;Weekly_TVPlantPmod!$B$3&amp;$B$2&amp;$B$1&amp;$C$1)</f>
        <v>0</v>
      </c>
      <c r="BK23" s="2">
        <f>COUNTIF(defects!$Z:$Z,Weekly_TVPlantPmod!BK$3&amp;Weekly_TVPlantPmod!$B23&amp;Weekly_TVPlantPmod!$B$3&amp;$B$2&amp;$B$1&amp;$C$1)</f>
        <v>0</v>
      </c>
      <c r="BL23" s="2">
        <f>COUNTIF(defects!$Z:$Z,Weekly_TVPlantPmod!BL$3&amp;Weekly_TVPlantPmod!$B23&amp;Weekly_TVPlantPmod!$B$3&amp;$B$2&amp;$B$1&amp;$C$1)</f>
        <v>0</v>
      </c>
      <c r="BM23" s="2">
        <f>COUNTIF(defects!$Z:$Z,Weekly_TVPlantPmod!BM$3&amp;Weekly_TVPlantPmod!$B23&amp;Weekly_TVPlantPmod!$B$3&amp;$B$2&amp;$B$1&amp;$C$1)</f>
        <v>0</v>
      </c>
      <c r="BN23" s="2">
        <f>COUNTIF(defects!$Z:$Z,Weekly_TVPlantPmod!BN$3&amp;Weekly_TVPlantPmod!$B23&amp;Weekly_TVPlantPmod!$B$3&amp;$B$2&amp;$B$1&amp;$C$1)</f>
        <v>0</v>
      </c>
      <c r="BO23" s="2">
        <f>COUNTIF(defects!$Z:$Z,Weekly_TVPlantPmod!BO$3&amp;Weekly_TVPlantPmod!$B23&amp;Weekly_TVPlantPmod!$B$3&amp;$B$2&amp;$B$1&amp;$C$1)</f>
        <v>0</v>
      </c>
      <c r="BP23" s="2">
        <f>COUNTIF(defects!$Z:$Z,Weekly_TVPlantPmod!BP$3&amp;Weekly_TVPlantPmod!$B23&amp;Weekly_TVPlantPmod!$B$3&amp;$B$2&amp;$B$1&amp;$C$1)</f>
        <v>0</v>
      </c>
      <c r="BQ23" s="2">
        <f>COUNTIF(defects!$Z:$Z,Weekly_TVPlantPmod!BQ$3&amp;Weekly_TVPlantPmod!$B23&amp;Weekly_TVPlantPmod!$B$3&amp;$B$2&amp;$B$1&amp;$C$1)</f>
        <v>0</v>
      </c>
      <c r="BR23" s="2">
        <f>COUNTIF(defects!$Z:$Z,Weekly_TVPlantPmod!BR$3&amp;Weekly_TVPlantPmod!$B23&amp;Weekly_TVPlantPmod!$B$3&amp;$B$2&amp;$B$1&amp;$C$1)</f>
        <v>0</v>
      </c>
      <c r="BS23" s="2">
        <f>COUNTIF(defects!$Z:$Z,Weekly_TVPlantPmod!BS$3&amp;Weekly_TVPlantPmod!$B23&amp;Weekly_TVPlantPmod!$B$3&amp;$B$2&amp;$B$1&amp;$C$1)</f>
        <v>0</v>
      </c>
      <c r="BT23" s="2">
        <f>COUNTIF(defects!$Z:$Z,Weekly_TVPlantPmod!BT$3&amp;Weekly_TVPlantPmod!$B23&amp;Weekly_TVPlantPmod!$B$3&amp;$B$2&amp;$B$1&amp;$C$1)</f>
        <v>0</v>
      </c>
      <c r="BU23" s="2">
        <f>COUNTIF(defects!$Z:$Z,Weekly_TVPlantPmod!BU$3&amp;Weekly_TVPlantPmod!$B23&amp;Weekly_TVPlantPmod!$B$3&amp;$B$2&amp;$B$1&amp;$C$1)</f>
        <v>0</v>
      </c>
      <c r="BV23" s="2">
        <f>COUNTIF(defects!$Z:$Z,Weekly_TVPlantPmod!BV$3&amp;Weekly_TVPlantPmod!$B23&amp;Weekly_TVPlantPmod!$B$3&amp;$B$2&amp;$B$1&amp;$C$1)</f>
        <v>0</v>
      </c>
      <c r="BW23" s="2">
        <f>COUNTIF(defects!$Z:$Z,Weekly_TVPlantPmod!BW$3&amp;Weekly_TVPlantPmod!$B23&amp;Weekly_TVPlantPmod!$B$3&amp;$B$2&amp;$B$1&amp;$C$1)</f>
        <v>0</v>
      </c>
      <c r="BX23" s="2">
        <f>COUNTIF(defects!$Z:$Z,Weekly_TVPlantPmod!BX$3&amp;Weekly_TVPlantPmod!$B23&amp;Weekly_TVPlantPmod!$B$3&amp;$B$2&amp;$B$1&amp;$C$1)</f>
        <v>0</v>
      </c>
      <c r="BY23" s="2">
        <f>COUNTIF(defects!$Z:$Z,Weekly_TVPlantPmod!BY$3&amp;Weekly_TVPlantPmod!$B23&amp;Weekly_TVPlantPmod!$B$3&amp;$B$2&amp;$B$1&amp;$C$1)</f>
        <v>0</v>
      </c>
      <c r="BZ23" s="2">
        <f>COUNTIF(defects!$Z:$Z,Weekly_TVPlantPmod!BZ$3&amp;Weekly_TVPlantPmod!$B23&amp;Weekly_TVPlantPmod!$B$3&amp;$B$2&amp;$B$1&amp;$C$1)</f>
        <v>0</v>
      </c>
      <c r="CA23" s="2">
        <f>COUNTIF(defects!$Z:$Z,Weekly_TVPlantPmod!CA$3&amp;Weekly_TVPlantPmod!$B23&amp;Weekly_TVPlantPmod!$B$3&amp;$B$2&amp;$B$1&amp;$C$1)</f>
        <v>0</v>
      </c>
      <c r="CB23" s="2">
        <f>COUNTIF(defects!$Z:$Z,Weekly_TVPlantPmod!CB$3&amp;Weekly_TVPlantPmod!$B23&amp;Weekly_TVPlantPmod!$B$3&amp;$B$2&amp;$B$1&amp;$C$1)</f>
        <v>0</v>
      </c>
      <c r="CC23" s="2">
        <f>COUNTIF(defects!$Z:$Z,Weekly_TVPlantPmod!CC$3&amp;Weekly_TVPlantPmod!$B23&amp;Weekly_TVPlantPmod!$B$3&amp;$B$2&amp;$B$1&amp;$C$1)</f>
        <v>0</v>
      </c>
      <c r="CD23" s="2">
        <f>COUNTIF(defects!$Z:$Z,Weekly_TVPlantPmod!CD$3&amp;Weekly_TVPlantPmod!$B23&amp;Weekly_TVPlantPmod!$B$3&amp;$B$2&amp;$B$1&amp;$C$1)</f>
        <v>0</v>
      </c>
      <c r="CE23" s="2">
        <f>COUNTIF(defects!$Z:$Z,Weekly_TVPlantPmod!CE$3&amp;Weekly_TVPlantPmod!$B23&amp;Weekly_TVPlantPmod!$B$3&amp;$B$2&amp;$B$1&amp;$C$1)</f>
        <v>0</v>
      </c>
      <c r="CF23" s="2">
        <f>COUNTIF(defects!$Z:$Z,Weekly_TVPlantPmod!CF$3&amp;Weekly_TVPlantPmod!$B23&amp;Weekly_TVPlantPmod!$B$3&amp;$B$2&amp;$B$1&amp;$C$1)</f>
        <v>0</v>
      </c>
      <c r="CG23" s="2">
        <f>COUNTIF(defects!$Z:$Z,Weekly_TVPlantPmod!CG$3&amp;Weekly_TVPlantPmod!$B23&amp;Weekly_TVPlantPmod!$B$3&amp;$B$2&amp;$B$1&amp;$C$1)</f>
        <v>0</v>
      </c>
      <c r="CH23" s="2">
        <f>COUNTIF(defects!$Z:$Z,Weekly_TVPlantPmod!CH$3&amp;Weekly_TVPlantPmod!$B23&amp;Weekly_TVPlantPmod!$B$3&amp;$B$2&amp;$B$1&amp;$C$1)</f>
        <v>0</v>
      </c>
      <c r="CI23" s="2">
        <f>COUNTIF(defects!$Z:$Z,Weekly_TVPlantPmod!CI$3&amp;Weekly_TVPlantPmod!$B23&amp;Weekly_TVPlantPmod!$B$3&amp;$B$2&amp;$B$1&amp;$C$1)</f>
        <v>0</v>
      </c>
      <c r="CJ23" s="2">
        <f>COUNTIF(defects!$Z:$Z,Weekly_TVPlantPmod!CJ$3&amp;Weekly_TVPlantPmod!$B23&amp;Weekly_TVPlantPmod!$B$3&amp;$B$2&amp;$B$1&amp;$C$1)</f>
        <v>0</v>
      </c>
      <c r="CK23" s="2">
        <f>COUNTIF(defects!$Z:$Z,Weekly_TVPlantPmod!CK$3&amp;Weekly_TVPlantPmod!$B23&amp;Weekly_TVPlantPmod!$B$3&amp;$B$2&amp;$B$1&amp;$C$1)</f>
        <v>0</v>
      </c>
      <c r="CL23" s="2">
        <f>COUNTIF(defects!$Z:$Z,Weekly_TVPlantPmod!CL$3&amp;Weekly_TVPlantPmod!$B23&amp;Weekly_TVPlantPmod!$B$3&amp;$B$2&amp;$B$1&amp;$C$1)</f>
        <v>0</v>
      </c>
      <c r="CM23" s="2">
        <f>COUNTIF(defects!$Z:$Z,Weekly_TVPlantPmod!CM$3&amp;Weekly_TVPlantPmod!$B23&amp;Weekly_TVPlantPmod!$B$3&amp;$B$2&amp;$B$1&amp;$C$1)</f>
        <v>0</v>
      </c>
      <c r="CN23" s="2">
        <f>COUNTIF(defects!$Z:$Z,Weekly_TVPlantPmod!CN$3&amp;Weekly_TVPlantPmod!$B23&amp;Weekly_TVPlantPmod!$B$3&amp;$B$2&amp;$B$1&amp;$C$1)</f>
        <v>0</v>
      </c>
      <c r="CO23" s="2">
        <f>COUNTIF(defects!$Z:$Z,Weekly_TVPlantPmod!CO$3&amp;Weekly_TVPlantPmod!$B23&amp;Weekly_TVPlantPmod!$B$3&amp;$B$2&amp;$B$1&amp;$C$1)</f>
        <v>0</v>
      </c>
      <c r="CP23" s="2">
        <f>COUNTIF(defects!$Z:$Z,Weekly_TVPlantPmod!CP$3&amp;Weekly_TVPlantPmod!$B23&amp;Weekly_TVPlantPmod!$B$3&amp;$B$2&amp;$B$1&amp;$C$1)</f>
        <v>0</v>
      </c>
      <c r="CQ23" s="2">
        <f>COUNTIF(defects!$Z:$Z,Weekly_TVPlantPmod!CQ$3&amp;Weekly_TVPlantPmod!$B23&amp;Weekly_TVPlantPmod!$B$3&amp;$B$2&amp;$B$1&amp;$C$1)</f>
        <v>0</v>
      </c>
      <c r="CR23" s="2">
        <f>COUNTIF(defects!$Z:$Z,Weekly_TVPlantPmod!CR$3&amp;Weekly_TVPlantPmod!$B23&amp;Weekly_TVPlantPmod!$B$3&amp;$B$2&amp;$B$1&amp;$C$1)</f>
        <v>0</v>
      </c>
      <c r="CS23" s="2">
        <f>COUNTIF(defects!$Z:$Z,Weekly_TVPlantPmod!CS$3&amp;Weekly_TVPlantPmod!$B23&amp;Weekly_TVPlantPmod!$B$3&amp;$B$2&amp;$B$1&amp;$C$1)</f>
        <v>0</v>
      </c>
      <c r="CT23" s="2">
        <f>COUNTIF(defects!$Z:$Z,Weekly_TVPlantPmod!CT$3&amp;Weekly_TVPlantPmod!$B23&amp;Weekly_TVPlantPmod!$B$3&amp;$B$2&amp;$B$1&amp;$C$1)</f>
        <v>0</v>
      </c>
      <c r="CU23" s="2">
        <f>COUNTIF(defects!$Z:$Z,Weekly_TVPlantPmod!CU$3&amp;Weekly_TVPlantPmod!$B23&amp;Weekly_TVPlantPmod!$B$3&amp;$B$2&amp;$B$1&amp;$C$1)</f>
        <v>0</v>
      </c>
      <c r="CV23" s="2">
        <f>COUNTIF(defects!$Z:$Z,Weekly_TVPlantPmod!CV$3&amp;Weekly_TVPlantPmod!$B23&amp;Weekly_TVPlantPmod!$B$3&amp;$B$2&amp;$B$1&amp;$C$1)</f>
        <v>0</v>
      </c>
      <c r="CW23" s="2">
        <f>COUNTIF(defects!$Z:$Z,Weekly_TVPlantPmod!CW$3&amp;Weekly_TVPlantPmod!$B23&amp;Weekly_TVPlantPmod!$B$3&amp;$B$2&amp;$B$1&amp;$C$1)</f>
        <v>0</v>
      </c>
      <c r="CX23" s="2">
        <f>COUNTIF(defects!$Z:$Z,Weekly_TVPlantPmod!CX$3&amp;Weekly_TVPlantPmod!$B23&amp;Weekly_TVPlantPmod!$B$3&amp;$B$2&amp;$B$1&amp;$C$1)</f>
        <v>0</v>
      </c>
      <c r="CY23" s="2">
        <f>COUNTIF(defects!$Z:$Z,Weekly_TVPlantPmod!CY$3&amp;Weekly_TVPlantPmod!$B23&amp;Weekly_TVPlantPmod!$B$3&amp;$B$2&amp;$B$1&amp;$C$1)</f>
        <v>0</v>
      </c>
      <c r="CZ23" s="2">
        <f>COUNTIF(defects!$Z:$Z,Weekly_TVPlantPmod!CZ$3&amp;Weekly_TVPlantPmod!$B23&amp;Weekly_TVPlantPmod!$B$3&amp;$B$2&amp;$B$1&amp;$C$1)</f>
        <v>0</v>
      </c>
      <c r="DA23" s="2">
        <f>COUNTIF(defects!$Z:$Z,Weekly_TVPlantPmod!DA$3&amp;Weekly_TVPlantPmod!$B23&amp;Weekly_TVPlantPmod!$B$3&amp;$B$2&amp;$B$1&amp;$C$1)</f>
        <v>0</v>
      </c>
      <c r="DB23" s="2">
        <f>COUNTIF(defects!$Z:$Z,Weekly_TVPlantPmod!DB$3&amp;Weekly_TVPlantPmod!$B23&amp;Weekly_TVPlantPmod!$B$3&amp;$B$2&amp;$B$1&amp;$C$1)</f>
        <v>0</v>
      </c>
      <c r="DC23" s="2">
        <f>COUNTIF(defects!$Z:$Z,Weekly_TVPlantPmod!DC$3&amp;Weekly_TVPlantPmod!$B23&amp;Weekly_TVPlantPmod!$B$3&amp;$B$2&amp;$B$1&amp;$C$1)</f>
        <v>0</v>
      </c>
      <c r="DD23" s="2">
        <f>COUNTIF(defects!$Z:$Z,Weekly_TVPlantPmod!DD$3&amp;Weekly_TVPlantPmod!$B23&amp;Weekly_TVPlantPmod!$B$3&amp;$B$2&amp;$B$1&amp;$C$1)</f>
        <v>0</v>
      </c>
      <c r="DE23" s="2">
        <f>COUNTIF(defects!$Z:$Z,Weekly_TVPlantPmod!DE$3&amp;Weekly_TVPlantPmod!$B23&amp;Weekly_TVPlantPmod!$B$3&amp;$B$2&amp;$B$1&amp;$C$1)</f>
        <v>0</v>
      </c>
      <c r="DF23" s="2">
        <f>COUNTIF(defects!$Z:$Z,Weekly_TVPlantPmod!DF$3&amp;Weekly_TVPlantPmod!$B23&amp;Weekly_TVPlantPmod!$B$3&amp;$B$2&amp;$B$1&amp;$C$1)</f>
        <v>0</v>
      </c>
      <c r="DG23" s="2">
        <f>COUNTIF(defects!$Z:$Z,Weekly_TVPlantPmod!DG$3&amp;Weekly_TVPlantPmod!$B23&amp;Weekly_TVPlantPmod!$B$3&amp;$B$2&amp;$B$1&amp;$C$1)</f>
        <v>0</v>
      </c>
      <c r="DH23" s="2">
        <f>COUNTIF(defects!$Z:$Z,Weekly_TVPlantPmod!DH$3&amp;Weekly_TVPlantPmod!$B23&amp;Weekly_TVPlantPmod!$B$3&amp;$B$2&amp;$B$1&amp;$C$1)</f>
        <v>0</v>
      </c>
      <c r="DI23" s="2">
        <f>COUNTIF(defects!$Z:$Z,Weekly_TVPlantPmod!DI$3&amp;Weekly_TVPlantPmod!$B23&amp;Weekly_TVPlantPmod!$B$3&amp;$B$2&amp;$B$1&amp;$C$1)</f>
        <v>0</v>
      </c>
      <c r="DJ23" s="2">
        <f>COUNTIF(defects!$Z:$Z,Weekly_TVPlantPmod!DJ$3&amp;Weekly_TVPlantPmod!$B23&amp;Weekly_TVPlantPmod!$B$3&amp;$B$2&amp;$B$1&amp;$C$1)</f>
        <v>0</v>
      </c>
      <c r="DK23" s="2">
        <f>COUNTIF(defects!$Z:$Z,Weekly_TVPlantPmod!DK$3&amp;Weekly_TVPlantPmod!$B23&amp;Weekly_TVPlantPmod!$B$3&amp;$B$2&amp;$B$1&amp;$C$1)</f>
        <v>0</v>
      </c>
      <c r="DL23" s="2">
        <f>COUNTIF(defects!$Z:$Z,Weekly_TVPlantPmod!DL$3&amp;Weekly_TVPlantPmod!$B23&amp;Weekly_TVPlantPmod!$B$3&amp;$B$2&amp;$B$1&amp;$C$1)</f>
        <v>0</v>
      </c>
      <c r="DM23" s="2">
        <f>COUNTIF(defects!$Z:$Z,Weekly_TVPlantPmod!DM$3&amp;Weekly_TVPlantPmod!$B23&amp;Weekly_TVPlantPmod!$B$3&amp;$B$2&amp;$B$1&amp;$C$1)</f>
        <v>0</v>
      </c>
      <c r="DN23" s="2">
        <f>COUNTIF(defects!$Z:$Z,Weekly_TVPlantPmod!DN$3&amp;Weekly_TVPlantPmod!$B23&amp;Weekly_TVPlantPmod!$B$3&amp;$B$2&amp;$B$1&amp;$C$1)</f>
        <v>0</v>
      </c>
      <c r="DO23" s="2">
        <f>COUNTIF(defects!$Z:$Z,Weekly_TVPlantPmod!DO$3&amp;Weekly_TVPlantPmod!$B23&amp;Weekly_TVPlantPmod!$B$3&amp;$B$2&amp;$B$1&amp;$C$1)</f>
        <v>0</v>
      </c>
      <c r="DP23" s="2">
        <f>COUNTIF(defects!$Z:$Z,Weekly_TVPlantPmod!DP$3&amp;Weekly_TVPlantPmod!$B23&amp;Weekly_TVPlantPmod!$B$3&amp;$B$2&amp;$B$1&amp;$C$1)</f>
        <v>0</v>
      </c>
      <c r="DQ23" s="2">
        <f>COUNTIF(defects!$Z:$Z,Weekly_TVPlantPmod!DQ$3&amp;Weekly_TVPlantPmod!$B23&amp;Weekly_TVPlantPmod!$B$3&amp;$B$2&amp;$B$1&amp;$C$1)</f>
        <v>0</v>
      </c>
      <c r="DR23" s="2">
        <f>COUNTIF(defects!$Z:$Z,Weekly_TVPlantPmod!DR$3&amp;Weekly_TVPlantPmod!$B23&amp;Weekly_TVPlantPmod!$B$3&amp;$B$2&amp;$B$1&amp;$C$1)</f>
        <v>0</v>
      </c>
      <c r="DS23" s="2">
        <f>COUNTIF(defects!$Z:$Z,Weekly_TVPlantPmod!DS$3&amp;Weekly_TVPlantPmod!$B23&amp;Weekly_TVPlantPmod!$B$3&amp;$B$2&amp;$B$1&amp;$C$1)</f>
        <v>0</v>
      </c>
      <c r="DT23" s="2">
        <f>COUNTIF(defects!$Z:$Z,Weekly_TVPlantPmod!DT$3&amp;Weekly_TVPlantPmod!$B23&amp;Weekly_TVPlantPmod!$B$3&amp;$B$2&amp;$B$1&amp;$C$1)</f>
        <v>0</v>
      </c>
      <c r="DU23" s="2">
        <f>COUNTIF(defects!$Z:$Z,Weekly_TVPlantPmod!DU$3&amp;Weekly_TVPlantPmod!$B23&amp;Weekly_TVPlantPmod!$B$3&amp;$B$2&amp;$B$1&amp;$C$1)</f>
        <v>0</v>
      </c>
      <c r="DV23" s="2">
        <f>COUNTIF(defects!$Z:$Z,Weekly_TVPlantPmod!DV$3&amp;Weekly_TVPlantPmod!$B23&amp;Weekly_TVPlantPmod!$B$3&amp;$B$2&amp;$B$1&amp;$C$1)</f>
        <v>0</v>
      </c>
      <c r="DW23" s="2">
        <f>COUNTIF(defects!$Z:$Z,Weekly_TVPlantPmod!DW$3&amp;Weekly_TVPlantPmod!$B23&amp;Weekly_TVPlantPmod!$B$3&amp;$B$2&amp;$B$1&amp;$C$1)</f>
        <v>0</v>
      </c>
      <c r="DX23" s="2">
        <f>COUNTIF(defects!$Z:$Z,Weekly_TVPlantPmod!DX$3&amp;Weekly_TVPlantPmod!$B23&amp;Weekly_TVPlantPmod!$B$3&amp;$B$2&amp;$B$1&amp;$C$1)</f>
        <v>0</v>
      </c>
      <c r="DY23" s="2">
        <f>COUNTIF(defects!$Z:$Z,Weekly_TVPlantPmod!DY$3&amp;Weekly_TVPlantPmod!$B23&amp;Weekly_TVPlantPmod!$B$3&amp;$B$2&amp;$B$1&amp;$C$1)</f>
        <v>0</v>
      </c>
      <c r="DZ23" s="2">
        <f>COUNTIF(defects!$Z:$Z,Weekly_TVPlantPmod!DZ$3&amp;Weekly_TVPlantPmod!$B23&amp;Weekly_TVPlantPmod!$B$3&amp;$B$2&amp;$B$1&amp;$C$1)</f>
        <v>0</v>
      </c>
      <c r="EA23" s="2">
        <f>COUNTIF(defects!$Z:$Z,Weekly_TVPlantPmod!EA$3&amp;Weekly_TVPlantPmod!$B23&amp;Weekly_TVPlantPmod!$B$3&amp;$B$2&amp;$B$1&amp;$C$1)</f>
        <v>0</v>
      </c>
      <c r="EB23" s="2">
        <f>COUNTIF(defects!$Z:$Z,Weekly_TVPlantPmod!EB$3&amp;Weekly_TVPlantPmod!$B23&amp;Weekly_TVPlantPmod!$B$3&amp;$B$2&amp;$B$1&amp;$C$1)</f>
        <v>0</v>
      </c>
      <c r="EC23" s="2">
        <f>COUNTIF(defects!$Z:$Z,Weekly_TVPlantPmod!EC$3&amp;Weekly_TVPlantPmod!$B23&amp;Weekly_TVPlantPmod!$B$3&amp;$B$2&amp;$B$1&amp;$C$1)</f>
        <v>0</v>
      </c>
      <c r="ED23" s="2">
        <f>COUNTIF(defects!$Z:$Z,Weekly_TVPlantPmod!ED$3&amp;Weekly_TVPlantPmod!$B23&amp;Weekly_TVPlantPmod!$B$3&amp;$B$2&amp;$B$1&amp;$C$1)</f>
        <v>0</v>
      </c>
      <c r="EE23" s="2">
        <f>COUNTIF(defects!$Z:$Z,Weekly_TVPlantPmod!EE$3&amp;Weekly_TVPlantPmod!$B23&amp;Weekly_TVPlantPmod!$B$3&amp;$B$2&amp;$B$1&amp;$C$1)</f>
        <v>0</v>
      </c>
      <c r="EF23" s="2">
        <f>COUNTIF(defects!$Z:$Z,Weekly_TVPlantPmod!EF$3&amp;Weekly_TVPlantPmod!$B23&amp;Weekly_TVPlantPmod!$B$3&amp;$B$2&amp;$B$1&amp;$C$1)</f>
        <v>0</v>
      </c>
      <c r="EG23" s="2">
        <f>COUNTIF(defects!$Z:$Z,Weekly_TVPlantPmod!EG$3&amp;Weekly_TVPlantPmod!$B23&amp;Weekly_TVPlantPmod!$B$3&amp;$B$2&amp;$B$1&amp;$C$1)</f>
        <v>0</v>
      </c>
      <c r="EH23" s="2">
        <f>COUNTIF(defects!$Z:$Z,Weekly_TVPlantPmod!EH$3&amp;Weekly_TVPlantPmod!$B23&amp;Weekly_TVPlantPmod!$B$3&amp;$B$2&amp;$B$1&amp;$C$1)</f>
        <v>0</v>
      </c>
      <c r="EI23" s="2">
        <f>COUNTIF(defects!$Z:$Z,Weekly_TVPlantPmod!EI$3&amp;Weekly_TVPlantPmod!$B23&amp;Weekly_TVPlantPmod!$B$3&amp;$B$2&amp;$B$1&amp;$C$1)</f>
        <v>0</v>
      </c>
      <c r="EJ23" s="2">
        <f>COUNTIF(defects!$Z:$Z,Weekly_TVPlantPmod!EJ$3&amp;Weekly_TVPlantPmod!$B23&amp;Weekly_TVPlantPmod!$B$3&amp;$B$2&amp;$B$1&amp;$C$1)</f>
        <v>0</v>
      </c>
      <c r="EK23" s="2">
        <f>COUNTIF(defects!$Z:$Z,Weekly_TVPlantPmod!EK$3&amp;Weekly_TVPlantPmod!$B23&amp;Weekly_TVPlantPmod!$B$3&amp;$B$2&amp;$B$1&amp;$C$1)</f>
        <v>0</v>
      </c>
      <c r="EL23" s="2">
        <f>COUNTIF(defects!$Z:$Z,Weekly_TVPlantPmod!EL$3&amp;Weekly_TVPlantPmod!$B23&amp;Weekly_TVPlantPmod!$B$3&amp;$B$2&amp;$B$1&amp;$C$1)</f>
        <v>0</v>
      </c>
      <c r="EM23" s="2">
        <f>COUNTIF(defects!$Z:$Z,Weekly_TVPlantPmod!EM$3&amp;Weekly_TVPlantPmod!$B23&amp;Weekly_TVPlantPmod!$B$3&amp;$B$2&amp;$B$1&amp;$C$1)</f>
        <v>0</v>
      </c>
      <c r="EN23" s="2">
        <f>COUNTIF(defects!$Z:$Z,Weekly_TVPlantPmod!EN$3&amp;Weekly_TVPlantPmod!$B23&amp;Weekly_TVPlantPmod!$B$3&amp;$B$2&amp;$B$1&amp;$C$1)</f>
        <v>0</v>
      </c>
      <c r="EO23" s="2">
        <f>COUNTIF(defects!$Z:$Z,Weekly_TVPlantPmod!EO$3&amp;Weekly_TVPlantPmod!$B23&amp;Weekly_TVPlantPmod!$B$3&amp;$B$2&amp;$B$1&amp;$C$1)</f>
        <v>0</v>
      </c>
      <c r="EP23" s="2">
        <f>COUNTIF(defects!$Z:$Z,Weekly_TVPlantPmod!EP$3&amp;Weekly_TVPlantPmod!$B23&amp;Weekly_TVPlantPmod!$B$3&amp;$B$2&amp;$B$1&amp;$C$1)</f>
        <v>0</v>
      </c>
      <c r="EQ23" s="2">
        <f>COUNTIF(defects!$Z:$Z,Weekly_TVPlantPmod!EQ$3&amp;Weekly_TVPlantPmod!$B23&amp;Weekly_TVPlantPmod!$B$3&amp;$B$2&amp;$B$1&amp;$C$1)</f>
        <v>0</v>
      </c>
      <c r="ER23" s="2">
        <f>COUNTIF(defects!$Z:$Z,Weekly_TVPlantPmod!ER$3&amp;Weekly_TVPlantPmod!$B23&amp;Weekly_TVPlantPmod!$B$3&amp;$B$2&amp;$B$1&amp;$C$1)</f>
        <v>0</v>
      </c>
      <c r="ES23" s="2">
        <f>COUNTIF(defects!$Z:$Z,Weekly_TVPlantPmod!ES$3&amp;Weekly_TVPlantPmod!$B23&amp;Weekly_TVPlantPmod!$B$3&amp;$B$2&amp;$B$1&amp;$C$1)</f>
        <v>0</v>
      </c>
      <c r="ET23" s="2">
        <f>COUNTIF(defects!$Z:$Z,Weekly_TVPlantPmod!ET$3&amp;Weekly_TVPlantPmod!$B23&amp;Weekly_TVPlantPmod!$B$3&amp;$B$2&amp;$B$1&amp;$C$1)</f>
        <v>0</v>
      </c>
      <c r="EU23" s="2">
        <f>COUNTIF(defects!$Z:$Z,Weekly_TVPlantPmod!EU$3&amp;Weekly_TVPlantPmod!$B23&amp;Weekly_TVPlantPmod!$B$3&amp;$B$2&amp;$B$1&amp;$C$1)</f>
        <v>0</v>
      </c>
      <c r="EV23" s="2">
        <f>COUNTIF(defects!$Z:$Z,Weekly_TVPlantPmod!EV$3&amp;Weekly_TVPlantPmod!$B23&amp;Weekly_TVPlantPmod!$B$3&amp;$B$2&amp;$B$1&amp;$C$1)</f>
        <v>0</v>
      </c>
      <c r="EW23" s="2">
        <f>COUNTIF(defects!$Z:$Z,Weekly_TVPlantPmod!EW$3&amp;Weekly_TVPlantPmod!$B23&amp;Weekly_TVPlantPmod!$B$3&amp;$B$2&amp;$B$1&amp;$C$1)</f>
        <v>0</v>
      </c>
      <c r="EX23" s="2">
        <f>COUNTIF(defects!$Z:$Z,Weekly_TVPlantPmod!EX$3&amp;Weekly_TVPlantPmod!$B23&amp;Weekly_TVPlantPmod!$B$3&amp;$B$2&amp;$B$1&amp;$C$1)</f>
        <v>0</v>
      </c>
      <c r="EY23" s="2">
        <f>COUNTIF(defects!$Z:$Z,Weekly_TVPlantPmod!EY$3&amp;Weekly_TVPlantPmod!$B23&amp;Weekly_TVPlantPmod!$B$3&amp;$B$2&amp;$B$1&amp;$C$1)</f>
        <v>0</v>
      </c>
      <c r="EZ23" s="2">
        <f>COUNTIF(defects!$Z:$Z,Weekly_TVPlantPmod!EZ$3&amp;Weekly_TVPlantPmod!$B23&amp;Weekly_TVPlantPmod!$B$3&amp;$B$2&amp;$B$1&amp;$C$1)</f>
        <v>0</v>
      </c>
      <c r="FA23" s="2">
        <f>COUNTIF(defects!$Z:$Z,Weekly_TVPlantPmod!FA$3&amp;Weekly_TVPlantPmod!$B23&amp;Weekly_TVPlantPmod!$B$3&amp;$B$2&amp;$B$1&amp;$C$1)</f>
        <v>0</v>
      </c>
      <c r="FB23" s="2">
        <f>COUNTIF(defects!$Z:$Z,Weekly_TVPlantPmod!FB$3&amp;Weekly_TVPlantPmod!$B23&amp;Weekly_TVPlantPmod!$B$3&amp;$B$2&amp;$B$1&amp;$C$1)</f>
        <v>0</v>
      </c>
      <c r="FC23" s="2">
        <f>COUNTIF(defects!$Z:$Z,Weekly_TVPlantPmod!FC$3&amp;Weekly_TVPlantPmod!$B23&amp;Weekly_TVPlantPmod!$B$3&amp;$B$2&amp;$B$1&amp;$C$1)</f>
        <v>0</v>
      </c>
      <c r="FD23" s="2">
        <f>COUNTIF(defects!$Z:$Z,Weekly_TVPlantPmod!FD$3&amp;Weekly_TVPlantPmod!$B23&amp;Weekly_TVPlantPmod!$B$3&amp;$B$2&amp;$B$1&amp;$C$1)</f>
        <v>0</v>
      </c>
      <c r="FE23" s="2">
        <f>COUNTIF(defects!$Z:$Z,Weekly_TVPlantPmod!FE$3&amp;Weekly_TVPlantPmod!$B23&amp;Weekly_TVPlantPmod!$B$3&amp;$B$2&amp;$B$1&amp;$C$1)</f>
        <v>0</v>
      </c>
    </row>
    <row r="24" spans="2:161">
      <c r="B24" s="3" t="s">
        <v>996</v>
      </c>
      <c r="C24" s="2">
        <f>COUNTIF(defects!$Z:$Z,Weekly_TVPlantPmod!C$3&amp;Weekly_TVPlantPmod!$B24&amp;Weekly_TVPlantPmod!$B$3&amp;$B$2&amp;$B$1&amp;$C$1)</f>
        <v>0</v>
      </c>
      <c r="D24" s="2">
        <f>COUNTIF(defects!$Z:$Z,Weekly_TVPlantPmod!D$3&amp;Weekly_TVPlantPmod!$B24&amp;Weekly_TVPlantPmod!$B$3&amp;$B$2&amp;$B$1&amp;$C$1)</f>
        <v>0</v>
      </c>
      <c r="E24" s="2">
        <f>COUNTIF(defects!$Z:$Z,Weekly_TVPlantPmod!E$3&amp;Weekly_TVPlantPmod!$B24&amp;Weekly_TVPlantPmod!$B$3&amp;$B$2&amp;$B$1&amp;$C$1)</f>
        <v>0</v>
      </c>
      <c r="F24" s="2">
        <f>COUNTIF(defects!$Z:$Z,Weekly_TVPlantPmod!F$3&amp;Weekly_TVPlantPmod!$B24&amp;Weekly_TVPlantPmod!$B$3&amp;$B$2&amp;$B$1&amp;$C$1)</f>
        <v>0</v>
      </c>
      <c r="G24" s="2">
        <f>COUNTIF(defects!$Z:$Z,Weekly_TVPlantPmod!G$3&amp;Weekly_TVPlantPmod!$B24&amp;Weekly_TVPlantPmod!$B$3&amp;$B$2&amp;$B$1&amp;$C$1)</f>
        <v>0</v>
      </c>
      <c r="H24" s="2">
        <f>COUNTIF(defects!$Z:$Z,Weekly_TVPlantPmod!H$3&amp;Weekly_TVPlantPmod!$B24&amp;Weekly_TVPlantPmod!$B$3&amp;$B$2&amp;$B$1&amp;$C$1)</f>
        <v>0</v>
      </c>
      <c r="I24" s="2">
        <f>COUNTIF(defects!$Z:$Z,Weekly_TVPlantPmod!I$3&amp;Weekly_TVPlantPmod!$B24&amp;Weekly_TVPlantPmod!$B$3&amp;$B$2&amp;$B$1&amp;$C$1)</f>
        <v>0</v>
      </c>
      <c r="J24" s="2">
        <f>COUNTIF(defects!$Z:$Z,Weekly_TVPlantPmod!J$3&amp;Weekly_TVPlantPmod!$B24&amp;Weekly_TVPlantPmod!$B$3&amp;$B$2&amp;$B$1&amp;$C$1)</f>
        <v>0</v>
      </c>
      <c r="K24" s="2">
        <f>COUNTIF(defects!$Z:$Z,Weekly_TVPlantPmod!K$3&amp;Weekly_TVPlantPmod!$B24&amp;Weekly_TVPlantPmod!$B$3&amp;$B$2&amp;$B$1&amp;$C$1)</f>
        <v>0</v>
      </c>
      <c r="L24" s="2">
        <f>COUNTIF(defects!$Z:$Z,Weekly_TVPlantPmod!L$3&amp;Weekly_TVPlantPmod!$B24&amp;Weekly_TVPlantPmod!$B$3&amp;$B$2&amp;$B$1&amp;$C$1)</f>
        <v>0</v>
      </c>
      <c r="M24" s="2">
        <f>COUNTIF(defects!$Z:$Z,Weekly_TVPlantPmod!M$3&amp;Weekly_TVPlantPmod!$B24&amp;Weekly_TVPlantPmod!$B$3&amp;$B$2&amp;$B$1&amp;$C$1)</f>
        <v>0</v>
      </c>
      <c r="N24" s="2">
        <f>COUNTIF(defects!$Z:$Z,Weekly_TVPlantPmod!N$3&amp;Weekly_TVPlantPmod!$B24&amp;Weekly_TVPlantPmod!$B$3&amp;$B$2&amp;$B$1&amp;$C$1)</f>
        <v>0</v>
      </c>
      <c r="O24" s="2">
        <f>COUNTIF(defects!$Z:$Z,Weekly_TVPlantPmod!O$3&amp;Weekly_TVPlantPmod!$B24&amp;Weekly_TVPlantPmod!$B$3&amp;$B$2&amp;$B$1&amp;$C$1)</f>
        <v>0</v>
      </c>
      <c r="P24" s="2">
        <f>COUNTIF(defects!$Z:$Z,Weekly_TVPlantPmod!P$3&amp;Weekly_TVPlantPmod!$B24&amp;Weekly_TVPlantPmod!$B$3&amp;$B$2&amp;$B$1&amp;$C$1)</f>
        <v>0</v>
      </c>
      <c r="Q24" s="2">
        <f>COUNTIF(defects!$Z:$Z,Weekly_TVPlantPmod!Q$3&amp;Weekly_TVPlantPmod!$B24&amp;Weekly_TVPlantPmod!$B$3&amp;$B$2&amp;$B$1&amp;$C$1)</f>
        <v>0</v>
      </c>
      <c r="R24" s="2">
        <f>COUNTIF(defects!$Z:$Z,Weekly_TVPlantPmod!R$3&amp;Weekly_TVPlantPmod!$B24&amp;Weekly_TVPlantPmod!$B$3&amp;$B$2&amp;$B$1&amp;$C$1)</f>
        <v>0</v>
      </c>
      <c r="S24" s="2">
        <f>COUNTIF(defects!$Z:$Z,Weekly_TVPlantPmod!S$3&amp;Weekly_TVPlantPmod!$B24&amp;Weekly_TVPlantPmod!$B$3&amp;$B$2&amp;$B$1&amp;$C$1)</f>
        <v>0</v>
      </c>
      <c r="T24" s="2">
        <f>COUNTIF(defects!$Z:$Z,Weekly_TVPlantPmod!T$3&amp;Weekly_TVPlantPmod!$B24&amp;Weekly_TVPlantPmod!$B$3&amp;$B$2&amp;$B$1&amp;$C$1)</f>
        <v>0</v>
      </c>
      <c r="U24" s="2">
        <f>COUNTIF(defects!$Z:$Z,Weekly_TVPlantPmod!U$3&amp;Weekly_TVPlantPmod!$B24&amp;Weekly_TVPlantPmod!$B$3&amp;$B$2&amp;$B$1&amp;$C$1)</f>
        <v>0</v>
      </c>
      <c r="V24" s="2">
        <f>COUNTIF(defects!$Z:$Z,Weekly_TVPlantPmod!V$3&amp;Weekly_TVPlantPmod!$B24&amp;Weekly_TVPlantPmod!$B$3&amp;$B$2&amp;$B$1&amp;$C$1)</f>
        <v>0</v>
      </c>
      <c r="W24" s="2">
        <f>COUNTIF(defects!$Z:$Z,Weekly_TVPlantPmod!W$3&amp;Weekly_TVPlantPmod!$B24&amp;Weekly_TVPlantPmod!$B$3&amp;$B$2&amp;$B$1&amp;$C$1)</f>
        <v>0</v>
      </c>
      <c r="X24" s="2">
        <f>COUNTIF(defects!$Z:$Z,Weekly_TVPlantPmod!X$3&amp;Weekly_TVPlantPmod!$B24&amp;Weekly_TVPlantPmod!$B$3&amp;$B$2&amp;$B$1&amp;$C$1)</f>
        <v>0</v>
      </c>
      <c r="Y24" s="2">
        <f>COUNTIF(defects!$Z:$Z,Weekly_TVPlantPmod!Y$3&amp;Weekly_TVPlantPmod!$B24&amp;Weekly_TVPlantPmod!$B$3&amp;$B$2&amp;$B$1&amp;$C$1)</f>
        <v>0</v>
      </c>
      <c r="Z24" s="2">
        <f>COUNTIF(defects!$Z:$Z,Weekly_TVPlantPmod!Z$3&amp;Weekly_TVPlantPmod!$B24&amp;Weekly_TVPlantPmod!$B$3&amp;$B$2&amp;$B$1&amp;$C$1)</f>
        <v>0</v>
      </c>
      <c r="AA24" s="2">
        <f>COUNTIF(defects!$Z:$Z,Weekly_TVPlantPmod!AA$3&amp;Weekly_TVPlantPmod!$B24&amp;Weekly_TVPlantPmod!$B$3&amp;$B$2&amp;$B$1&amp;$C$1)</f>
        <v>0</v>
      </c>
      <c r="AB24" s="2">
        <f>COUNTIF(defects!$Z:$Z,Weekly_TVPlantPmod!AB$3&amp;Weekly_TVPlantPmod!$B24&amp;Weekly_TVPlantPmod!$B$3&amp;$B$2&amp;$B$1&amp;$C$1)</f>
        <v>0</v>
      </c>
      <c r="AC24" s="2">
        <f>COUNTIF(defects!$Z:$Z,Weekly_TVPlantPmod!AC$3&amp;Weekly_TVPlantPmod!$B24&amp;Weekly_TVPlantPmod!$B$3&amp;$B$2&amp;$B$1&amp;$C$1)</f>
        <v>0</v>
      </c>
      <c r="AD24" s="2">
        <f>COUNTIF(defects!$Z:$Z,Weekly_TVPlantPmod!AD$3&amp;Weekly_TVPlantPmod!$B24&amp;Weekly_TVPlantPmod!$B$3&amp;$B$2&amp;$B$1&amp;$C$1)</f>
        <v>0</v>
      </c>
      <c r="AE24" s="2">
        <f>COUNTIF(defects!$Z:$Z,Weekly_TVPlantPmod!AE$3&amp;Weekly_TVPlantPmod!$B24&amp;Weekly_TVPlantPmod!$B$3&amp;$B$2&amp;$B$1&amp;$C$1)</f>
        <v>0</v>
      </c>
      <c r="AF24" s="2">
        <f>COUNTIF(defects!$Z:$Z,Weekly_TVPlantPmod!AF$3&amp;Weekly_TVPlantPmod!$B24&amp;Weekly_TVPlantPmod!$B$3&amp;$B$2&amp;$B$1&amp;$C$1)</f>
        <v>0</v>
      </c>
      <c r="AG24" s="2">
        <f>COUNTIF(defects!$Z:$Z,Weekly_TVPlantPmod!AG$3&amp;Weekly_TVPlantPmod!$B24&amp;Weekly_TVPlantPmod!$B$3&amp;$B$2&amp;$B$1&amp;$C$1)</f>
        <v>0</v>
      </c>
      <c r="AH24" s="2">
        <f>COUNTIF(defects!$Z:$Z,Weekly_TVPlantPmod!AH$3&amp;Weekly_TVPlantPmod!$B24&amp;Weekly_TVPlantPmod!$B$3&amp;$B$2&amp;$B$1&amp;$C$1)</f>
        <v>0</v>
      </c>
      <c r="AI24" s="2">
        <f>COUNTIF(defects!$Z:$Z,Weekly_TVPlantPmod!AI$3&amp;Weekly_TVPlantPmod!$B24&amp;Weekly_TVPlantPmod!$B$3&amp;$B$2&amp;$B$1&amp;$C$1)</f>
        <v>0</v>
      </c>
      <c r="AJ24" s="2">
        <f>COUNTIF(defects!$Z:$Z,Weekly_TVPlantPmod!AJ$3&amp;Weekly_TVPlantPmod!$B24&amp;Weekly_TVPlantPmod!$B$3&amp;$B$2&amp;$B$1&amp;$C$1)</f>
        <v>0</v>
      </c>
      <c r="AK24" s="2">
        <f>COUNTIF(defects!$Z:$Z,Weekly_TVPlantPmod!AK$3&amp;Weekly_TVPlantPmod!$B24&amp;Weekly_TVPlantPmod!$B$3&amp;$B$2&amp;$B$1&amp;$C$1)</f>
        <v>0</v>
      </c>
      <c r="AL24" s="2">
        <f>COUNTIF(defects!$Z:$Z,Weekly_TVPlantPmod!AL$3&amp;Weekly_TVPlantPmod!$B24&amp;Weekly_TVPlantPmod!$B$3&amp;$B$2&amp;$B$1&amp;$C$1)</f>
        <v>0</v>
      </c>
      <c r="AM24" s="2">
        <f>COUNTIF(defects!$Z:$Z,Weekly_TVPlantPmod!AM$3&amp;Weekly_TVPlantPmod!$B24&amp;Weekly_TVPlantPmod!$B$3&amp;$B$2&amp;$B$1&amp;$C$1)</f>
        <v>0</v>
      </c>
      <c r="AN24" s="2">
        <f>COUNTIF(defects!$Z:$Z,Weekly_TVPlantPmod!AN$3&amp;Weekly_TVPlantPmod!$B24&amp;Weekly_TVPlantPmod!$B$3&amp;$B$2&amp;$B$1&amp;$C$1)</f>
        <v>0</v>
      </c>
      <c r="AO24" s="2">
        <f>COUNTIF(defects!$Z:$Z,Weekly_TVPlantPmod!AO$3&amp;Weekly_TVPlantPmod!$B24&amp;Weekly_TVPlantPmod!$B$3&amp;$B$2&amp;$B$1&amp;$C$1)</f>
        <v>0</v>
      </c>
      <c r="AP24" s="2">
        <f>COUNTIF(defects!$Z:$Z,Weekly_TVPlantPmod!AP$3&amp;Weekly_TVPlantPmod!$B24&amp;Weekly_TVPlantPmod!$B$3&amp;$B$2&amp;$B$1&amp;$C$1)</f>
        <v>0</v>
      </c>
      <c r="AQ24" s="2">
        <f>COUNTIF(defects!$Z:$Z,Weekly_TVPlantPmod!AQ$3&amp;Weekly_TVPlantPmod!$B24&amp;Weekly_TVPlantPmod!$B$3&amp;$B$2&amp;$B$1&amp;$C$1)</f>
        <v>0</v>
      </c>
      <c r="AR24" s="2">
        <f>COUNTIF(defects!$Z:$Z,Weekly_TVPlantPmod!AR$3&amp;Weekly_TVPlantPmod!$B24&amp;Weekly_TVPlantPmod!$B$3&amp;$B$2&amp;$B$1&amp;$C$1)</f>
        <v>0</v>
      </c>
      <c r="AS24" s="2">
        <f>COUNTIF(defects!$Z:$Z,Weekly_TVPlantPmod!AS$3&amp;Weekly_TVPlantPmod!$B24&amp;Weekly_TVPlantPmod!$B$3&amp;$B$2&amp;$B$1&amp;$C$1)</f>
        <v>0</v>
      </c>
      <c r="AT24" s="2">
        <f>COUNTIF(defects!$Z:$Z,Weekly_TVPlantPmod!AT$3&amp;Weekly_TVPlantPmod!$B24&amp;Weekly_TVPlantPmod!$B$3&amp;$B$2&amp;$B$1&amp;$C$1)</f>
        <v>0</v>
      </c>
      <c r="AU24" s="2">
        <f>COUNTIF(defects!$Z:$Z,Weekly_TVPlantPmod!AU$3&amp;Weekly_TVPlantPmod!$B24&amp;Weekly_TVPlantPmod!$B$3&amp;$B$2&amp;$B$1&amp;$C$1)</f>
        <v>0</v>
      </c>
      <c r="AV24" s="2">
        <f>COUNTIF(defects!$Z:$Z,Weekly_TVPlantPmod!AV$3&amp;Weekly_TVPlantPmod!$B24&amp;Weekly_TVPlantPmod!$B$3&amp;$B$2&amp;$B$1&amp;$C$1)</f>
        <v>0</v>
      </c>
      <c r="AW24" s="2">
        <f>COUNTIF(defects!$Z:$Z,Weekly_TVPlantPmod!AW$3&amp;Weekly_TVPlantPmod!$B24&amp;Weekly_TVPlantPmod!$B$3&amp;$B$2&amp;$B$1&amp;$C$1)</f>
        <v>0</v>
      </c>
      <c r="AX24" s="2">
        <f>COUNTIF(defects!$Z:$Z,Weekly_TVPlantPmod!AX$3&amp;Weekly_TVPlantPmod!$B24&amp;Weekly_TVPlantPmod!$B$3&amp;$B$2&amp;$B$1&amp;$C$1)</f>
        <v>0</v>
      </c>
      <c r="AY24" s="2">
        <f>COUNTIF(defects!$Z:$Z,Weekly_TVPlantPmod!AY$3&amp;Weekly_TVPlantPmod!$B24&amp;Weekly_TVPlantPmod!$B$3&amp;$B$2&amp;$B$1&amp;$C$1)</f>
        <v>0</v>
      </c>
      <c r="AZ24" s="2">
        <f>COUNTIF(defects!$Z:$Z,Weekly_TVPlantPmod!AZ$3&amp;Weekly_TVPlantPmod!$B24&amp;Weekly_TVPlantPmod!$B$3&amp;$B$2&amp;$B$1&amp;$C$1)</f>
        <v>0</v>
      </c>
      <c r="BA24" s="2">
        <f>COUNTIF(defects!$Z:$Z,Weekly_TVPlantPmod!BA$3&amp;Weekly_TVPlantPmod!$B24&amp;Weekly_TVPlantPmod!$B$3&amp;$B$2&amp;$B$1&amp;$C$1)</f>
        <v>0</v>
      </c>
      <c r="BB24" s="2">
        <f>COUNTIF(defects!$Z:$Z,Weekly_TVPlantPmod!BB$3&amp;Weekly_TVPlantPmod!$B24&amp;Weekly_TVPlantPmod!$B$3&amp;$B$2&amp;$B$1&amp;$C$1)</f>
        <v>0</v>
      </c>
      <c r="BC24" s="2">
        <f>COUNTIF(defects!$Z:$Z,Weekly_TVPlantPmod!BC$3&amp;Weekly_TVPlantPmod!$B24&amp;Weekly_TVPlantPmod!$B$3&amp;$B$2&amp;$B$1&amp;$C$1)</f>
        <v>0</v>
      </c>
      <c r="BD24" s="2">
        <f>COUNTIF(defects!$Z:$Z,Weekly_TVPlantPmod!BD$3&amp;Weekly_TVPlantPmod!$B24&amp;Weekly_TVPlantPmod!$B$3&amp;$B$2&amp;$B$1&amp;$C$1)</f>
        <v>0</v>
      </c>
      <c r="BE24" s="2">
        <f>COUNTIF(defects!$Z:$Z,Weekly_TVPlantPmod!BE$3&amp;Weekly_TVPlantPmod!$B24&amp;Weekly_TVPlantPmod!$B$3&amp;$B$2&amp;$B$1&amp;$C$1)</f>
        <v>0</v>
      </c>
      <c r="BF24" s="2">
        <f>COUNTIF(defects!$Z:$Z,Weekly_TVPlantPmod!BF$3&amp;Weekly_TVPlantPmod!$B24&amp;Weekly_TVPlantPmod!$B$3&amp;$B$2&amp;$B$1&amp;$C$1)</f>
        <v>0</v>
      </c>
      <c r="BG24" s="2">
        <f>COUNTIF(defects!$Z:$Z,Weekly_TVPlantPmod!BG$3&amp;Weekly_TVPlantPmod!$B24&amp;Weekly_TVPlantPmod!$B$3&amp;$B$2&amp;$B$1&amp;$C$1)</f>
        <v>0</v>
      </c>
      <c r="BH24" s="2">
        <f>COUNTIF(defects!$Z:$Z,Weekly_TVPlantPmod!BH$3&amp;Weekly_TVPlantPmod!$B24&amp;Weekly_TVPlantPmod!$B$3&amp;$B$2&amp;$B$1&amp;$C$1)</f>
        <v>0</v>
      </c>
      <c r="BI24" s="2">
        <f>COUNTIF(defects!$Z:$Z,Weekly_TVPlantPmod!BI$3&amp;Weekly_TVPlantPmod!$B24&amp;Weekly_TVPlantPmod!$B$3&amp;$B$2&amp;$B$1&amp;$C$1)</f>
        <v>0</v>
      </c>
      <c r="BJ24" s="2">
        <f>COUNTIF(defects!$Z:$Z,Weekly_TVPlantPmod!BJ$3&amp;Weekly_TVPlantPmod!$B24&amp;Weekly_TVPlantPmod!$B$3&amp;$B$2&amp;$B$1&amp;$C$1)</f>
        <v>0</v>
      </c>
      <c r="BK24" s="2">
        <f>COUNTIF(defects!$Z:$Z,Weekly_TVPlantPmod!BK$3&amp;Weekly_TVPlantPmod!$B24&amp;Weekly_TVPlantPmod!$B$3&amp;$B$2&amp;$B$1&amp;$C$1)</f>
        <v>0</v>
      </c>
      <c r="BL24" s="2">
        <f>COUNTIF(defects!$Z:$Z,Weekly_TVPlantPmod!BL$3&amp;Weekly_TVPlantPmod!$B24&amp;Weekly_TVPlantPmod!$B$3&amp;$B$2&amp;$B$1&amp;$C$1)</f>
        <v>0</v>
      </c>
      <c r="BM24" s="2">
        <f>COUNTIF(defects!$Z:$Z,Weekly_TVPlantPmod!BM$3&amp;Weekly_TVPlantPmod!$B24&amp;Weekly_TVPlantPmod!$B$3&amp;$B$2&amp;$B$1&amp;$C$1)</f>
        <v>0</v>
      </c>
      <c r="BN24" s="2">
        <f>COUNTIF(defects!$Z:$Z,Weekly_TVPlantPmod!BN$3&amp;Weekly_TVPlantPmod!$B24&amp;Weekly_TVPlantPmod!$B$3&amp;$B$2&amp;$B$1&amp;$C$1)</f>
        <v>0</v>
      </c>
      <c r="BO24" s="2">
        <f>COUNTIF(defects!$Z:$Z,Weekly_TVPlantPmod!BO$3&amp;Weekly_TVPlantPmod!$B24&amp;Weekly_TVPlantPmod!$B$3&amp;$B$2&amp;$B$1&amp;$C$1)</f>
        <v>0</v>
      </c>
      <c r="BP24" s="2">
        <f>COUNTIF(defects!$Z:$Z,Weekly_TVPlantPmod!BP$3&amp;Weekly_TVPlantPmod!$B24&amp;Weekly_TVPlantPmod!$B$3&amp;$B$2&amp;$B$1&amp;$C$1)</f>
        <v>0</v>
      </c>
      <c r="BQ24" s="2">
        <f>COUNTIF(defects!$Z:$Z,Weekly_TVPlantPmod!BQ$3&amp;Weekly_TVPlantPmod!$B24&amp;Weekly_TVPlantPmod!$B$3&amp;$B$2&amp;$B$1&amp;$C$1)</f>
        <v>0</v>
      </c>
      <c r="BR24" s="2">
        <f>COUNTIF(defects!$Z:$Z,Weekly_TVPlantPmod!BR$3&amp;Weekly_TVPlantPmod!$B24&amp;Weekly_TVPlantPmod!$B$3&amp;$B$2&amp;$B$1&amp;$C$1)</f>
        <v>0</v>
      </c>
      <c r="BS24" s="2">
        <f>COUNTIF(defects!$Z:$Z,Weekly_TVPlantPmod!BS$3&amp;Weekly_TVPlantPmod!$B24&amp;Weekly_TVPlantPmod!$B$3&amp;$B$2&amp;$B$1&amp;$C$1)</f>
        <v>0</v>
      </c>
      <c r="BT24" s="2">
        <f>COUNTIF(defects!$Z:$Z,Weekly_TVPlantPmod!BT$3&amp;Weekly_TVPlantPmod!$B24&amp;Weekly_TVPlantPmod!$B$3&amp;$B$2&amp;$B$1&amp;$C$1)</f>
        <v>0</v>
      </c>
      <c r="BU24" s="2">
        <f>COUNTIF(defects!$Z:$Z,Weekly_TVPlantPmod!BU$3&amp;Weekly_TVPlantPmod!$B24&amp;Weekly_TVPlantPmod!$B$3&amp;$B$2&amp;$B$1&amp;$C$1)</f>
        <v>0</v>
      </c>
      <c r="BV24" s="2">
        <f>COUNTIF(defects!$Z:$Z,Weekly_TVPlantPmod!BV$3&amp;Weekly_TVPlantPmod!$B24&amp;Weekly_TVPlantPmod!$B$3&amp;$B$2&amp;$B$1&amp;$C$1)</f>
        <v>0</v>
      </c>
      <c r="BW24" s="2">
        <f>COUNTIF(defects!$Z:$Z,Weekly_TVPlantPmod!BW$3&amp;Weekly_TVPlantPmod!$B24&amp;Weekly_TVPlantPmod!$B$3&amp;$B$2&amp;$B$1&amp;$C$1)</f>
        <v>0</v>
      </c>
      <c r="BX24" s="2">
        <f>COUNTIF(defects!$Z:$Z,Weekly_TVPlantPmod!BX$3&amp;Weekly_TVPlantPmod!$B24&amp;Weekly_TVPlantPmod!$B$3&amp;$B$2&amp;$B$1&amp;$C$1)</f>
        <v>0</v>
      </c>
      <c r="BY24" s="2">
        <f>COUNTIF(defects!$Z:$Z,Weekly_TVPlantPmod!BY$3&amp;Weekly_TVPlantPmod!$B24&amp;Weekly_TVPlantPmod!$B$3&amp;$B$2&amp;$B$1&amp;$C$1)</f>
        <v>0</v>
      </c>
      <c r="BZ24" s="2">
        <f>COUNTIF(defects!$Z:$Z,Weekly_TVPlantPmod!BZ$3&amp;Weekly_TVPlantPmod!$B24&amp;Weekly_TVPlantPmod!$B$3&amp;$B$2&amp;$B$1&amp;$C$1)</f>
        <v>0</v>
      </c>
      <c r="CA24" s="2">
        <f>COUNTIF(defects!$Z:$Z,Weekly_TVPlantPmod!CA$3&amp;Weekly_TVPlantPmod!$B24&amp;Weekly_TVPlantPmod!$B$3&amp;$B$2&amp;$B$1&amp;$C$1)</f>
        <v>0</v>
      </c>
      <c r="CB24" s="2">
        <f>COUNTIF(defects!$Z:$Z,Weekly_TVPlantPmod!CB$3&amp;Weekly_TVPlantPmod!$B24&amp;Weekly_TVPlantPmod!$B$3&amp;$B$2&amp;$B$1&amp;$C$1)</f>
        <v>0</v>
      </c>
      <c r="CC24" s="2">
        <f>COUNTIF(defects!$Z:$Z,Weekly_TVPlantPmod!CC$3&amp;Weekly_TVPlantPmod!$B24&amp;Weekly_TVPlantPmod!$B$3&amp;$B$2&amp;$B$1&amp;$C$1)</f>
        <v>0</v>
      </c>
      <c r="CD24" s="2">
        <f>COUNTIF(defects!$Z:$Z,Weekly_TVPlantPmod!CD$3&amp;Weekly_TVPlantPmod!$B24&amp;Weekly_TVPlantPmod!$B$3&amp;$B$2&amp;$B$1&amp;$C$1)</f>
        <v>0</v>
      </c>
      <c r="CE24" s="2">
        <f>COUNTIF(defects!$Z:$Z,Weekly_TVPlantPmod!CE$3&amp;Weekly_TVPlantPmod!$B24&amp;Weekly_TVPlantPmod!$B$3&amp;$B$2&amp;$B$1&amp;$C$1)</f>
        <v>0</v>
      </c>
      <c r="CF24" s="2">
        <f>COUNTIF(defects!$Z:$Z,Weekly_TVPlantPmod!CF$3&amp;Weekly_TVPlantPmod!$B24&amp;Weekly_TVPlantPmod!$B$3&amp;$B$2&amp;$B$1&amp;$C$1)</f>
        <v>0</v>
      </c>
      <c r="CG24" s="2">
        <f>COUNTIF(defects!$Z:$Z,Weekly_TVPlantPmod!CG$3&amp;Weekly_TVPlantPmod!$B24&amp;Weekly_TVPlantPmod!$B$3&amp;$B$2&amp;$B$1&amp;$C$1)</f>
        <v>0</v>
      </c>
      <c r="CH24" s="2">
        <f>COUNTIF(defects!$Z:$Z,Weekly_TVPlantPmod!CH$3&amp;Weekly_TVPlantPmod!$B24&amp;Weekly_TVPlantPmod!$B$3&amp;$B$2&amp;$B$1&amp;$C$1)</f>
        <v>0</v>
      </c>
      <c r="CI24" s="2">
        <f>COUNTIF(defects!$Z:$Z,Weekly_TVPlantPmod!CI$3&amp;Weekly_TVPlantPmod!$B24&amp;Weekly_TVPlantPmod!$B$3&amp;$B$2&amp;$B$1&amp;$C$1)</f>
        <v>0</v>
      </c>
      <c r="CJ24" s="2">
        <f>COUNTIF(defects!$Z:$Z,Weekly_TVPlantPmod!CJ$3&amp;Weekly_TVPlantPmod!$B24&amp;Weekly_TVPlantPmod!$B$3&amp;$B$2&amp;$B$1&amp;$C$1)</f>
        <v>0</v>
      </c>
      <c r="CK24" s="2">
        <f>COUNTIF(defects!$Z:$Z,Weekly_TVPlantPmod!CK$3&amp;Weekly_TVPlantPmod!$B24&amp;Weekly_TVPlantPmod!$B$3&amp;$B$2&amp;$B$1&amp;$C$1)</f>
        <v>0</v>
      </c>
      <c r="CL24" s="2">
        <f>COUNTIF(defects!$Z:$Z,Weekly_TVPlantPmod!CL$3&amp;Weekly_TVPlantPmod!$B24&amp;Weekly_TVPlantPmod!$B$3&amp;$B$2&amp;$B$1&amp;$C$1)</f>
        <v>0</v>
      </c>
      <c r="CM24" s="2">
        <f>COUNTIF(defects!$Z:$Z,Weekly_TVPlantPmod!CM$3&amp;Weekly_TVPlantPmod!$B24&amp;Weekly_TVPlantPmod!$B$3&amp;$B$2&amp;$B$1&amp;$C$1)</f>
        <v>0</v>
      </c>
      <c r="CN24" s="2">
        <f>COUNTIF(defects!$Z:$Z,Weekly_TVPlantPmod!CN$3&amp;Weekly_TVPlantPmod!$B24&amp;Weekly_TVPlantPmod!$B$3&amp;$B$2&amp;$B$1&amp;$C$1)</f>
        <v>0</v>
      </c>
      <c r="CO24" s="2">
        <f>COUNTIF(defects!$Z:$Z,Weekly_TVPlantPmod!CO$3&amp;Weekly_TVPlantPmod!$B24&amp;Weekly_TVPlantPmod!$B$3&amp;$B$2&amp;$B$1&amp;$C$1)</f>
        <v>0</v>
      </c>
      <c r="CP24" s="2">
        <f>COUNTIF(defects!$Z:$Z,Weekly_TVPlantPmod!CP$3&amp;Weekly_TVPlantPmod!$B24&amp;Weekly_TVPlantPmod!$B$3&amp;$B$2&amp;$B$1&amp;$C$1)</f>
        <v>0</v>
      </c>
      <c r="CQ24" s="2">
        <f>COUNTIF(defects!$Z:$Z,Weekly_TVPlantPmod!CQ$3&amp;Weekly_TVPlantPmod!$B24&amp;Weekly_TVPlantPmod!$B$3&amp;$B$2&amp;$B$1&amp;$C$1)</f>
        <v>0</v>
      </c>
      <c r="CR24" s="2">
        <f>COUNTIF(defects!$Z:$Z,Weekly_TVPlantPmod!CR$3&amp;Weekly_TVPlantPmod!$B24&amp;Weekly_TVPlantPmod!$B$3&amp;$B$2&amp;$B$1&amp;$C$1)</f>
        <v>0</v>
      </c>
      <c r="CS24" s="2">
        <f>COUNTIF(defects!$Z:$Z,Weekly_TVPlantPmod!CS$3&amp;Weekly_TVPlantPmod!$B24&amp;Weekly_TVPlantPmod!$B$3&amp;$B$2&amp;$B$1&amp;$C$1)</f>
        <v>0</v>
      </c>
      <c r="CT24" s="2">
        <f>COUNTIF(defects!$Z:$Z,Weekly_TVPlantPmod!CT$3&amp;Weekly_TVPlantPmod!$B24&amp;Weekly_TVPlantPmod!$B$3&amp;$B$2&amp;$B$1&amp;$C$1)</f>
        <v>0</v>
      </c>
      <c r="CU24" s="2">
        <f>COUNTIF(defects!$Z:$Z,Weekly_TVPlantPmod!CU$3&amp;Weekly_TVPlantPmod!$B24&amp;Weekly_TVPlantPmod!$B$3&amp;$B$2&amp;$B$1&amp;$C$1)</f>
        <v>0</v>
      </c>
      <c r="CV24" s="2">
        <f>COUNTIF(defects!$Z:$Z,Weekly_TVPlantPmod!CV$3&amp;Weekly_TVPlantPmod!$B24&amp;Weekly_TVPlantPmod!$B$3&amp;$B$2&amp;$B$1&amp;$C$1)</f>
        <v>0</v>
      </c>
      <c r="CW24" s="2">
        <f>COUNTIF(defects!$Z:$Z,Weekly_TVPlantPmod!CW$3&amp;Weekly_TVPlantPmod!$B24&amp;Weekly_TVPlantPmod!$B$3&amp;$B$2&amp;$B$1&amp;$C$1)</f>
        <v>0</v>
      </c>
      <c r="CX24" s="2">
        <f>COUNTIF(defects!$Z:$Z,Weekly_TVPlantPmod!CX$3&amp;Weekly_TVPlantPmod!$B24&amp;Weekly_TVPlantPmod!$B$3&amp;$B$2&amp;$B$1&amp;$C$1)</f>
        <v>0</v>
      </c>
      <c r="CY24" s="2">
        <f>COUNTIF(defects!$Z:$Z,Weekly_TVPlantPmod!CY$3&amp;Weekly_TVPlantPmod!$B24&amp;Weekly_TVPlantPmod!$B$3&amp;$B$2&amp;$B$1&amp;$C$1)</f>
        <v>0</v>
      </c>
      <c r="CZ24" s="2">
        <f>COUNTIF(defects!$Z:$Z,Weekly_TVPlantPmod!CZ$3&amp;Weekly_TVPlantPmod!$B24&amp;Weekly_TVPlantPmod!$B$3&amp;$B$2&amp;$B$1&amp;$C$1)</f>
        <v>0</v>
      </c>
      <c r="DA24" s="2">
        <f>COUNTIF(defects!$Z:$Z,Weekly_TVPlantPmod!DA$3&amp;Weekly_TVPlantPmod!$B24&amp;Weekly_TVPlantPmod!$B$3&amp;$B$2&amp;$B$1&amp;$C$1)</f>
        <v>0</v>
      </c>
      <c r="DB24" s="2">
        <f>COUNTIF(defects!$Z:$Z,Weekly_TVPlantPmod!DB$3&amp;Weekly_TVPlantPmod!$B24&amp;Weekly_TVPlantPmod!$B$3&amp;$B$2&amp;$B$1&amp;$C$1)</f>
        <v>0</v>
      </c>
      <c r="DC24" s="2">
        <f>COUNTIF(defects!$Z:$Z,Weekly_TVPlantPmod!DC$3&amp;Weekly_TVPlantPmod!$B24&amp;Weekly_TVPlantPmod!$B$3&amp;$B$2&amp;$B$1&amp;$C$1)</f>
        <v>0</v>
      </c>
      <c r="DD24" s="2">
        <f>COUNTIF(defects!$Z:$Z,Weekly_TVPlantPmod!DD$3&amp;Weekly_TVPlantPmod!$B24&amp;Weekly_TVPlantPmod!$B$3&amp;$B$2&amp;$B$1&amp;$C$1)</f>
        <v>0</v>
      </c>
      <c r="DE24" s="2">
        <f>COUNTIF(defects!$Z:$Z,Weekly_TVPlantPmod!DE$3&amp;Weekly_TVPlantPmod!$B24&amp;Weekly_TVPlantPmod!$B$3&amp;$B$2&amp;$B$1&amp;$C$1)</f>
        <v>0</v>
      </c>
      <c r="DF24" s="2">
        <f>COUNTIF(defects!$Z:$Z,Weekly_TVPlantPmod!DF$3&amp;Weekly_TVPlantPmod!$B24&amp;Weekly_TVPlantPmod!$B$3&amp;$B$2&amp;$B$1&amp;$C$1)</f>
        <v>0</v>
      </c>
      <c r="DG24" s="2">
        <f>COUNTIF(defects!$Z:$Z,Weekly_TVPlantPmod!DG$3&amp;Weekly_TVPlantPmod!$B24&amp;Weekly_TVPlantPmod!$B$3&amp;$B$2&amp;$B$1&amp;$C$1)</f>
        <v>0</v>
      </c>
      <c r="DH24" s="2">
        <f>COUNTIF(defects!$Z:$Z,Weekly_TVPlantPmod!DH$3&amp;Weekly_TVPlantPmod!$B24&amp;Weekly_TVPlantPmod!$B$3&amp;$B$2&amp;$B$1&amp;$C$1)</f>
        <v>0</v>
      </c>
      <c r="DI24" s="2">
        <f>COUNTIF(defects!$Z:$Z,Weekly_TVPlantPmod!DI$3&amp;Weekly_TVPlantPmod!$B24&amp;Weekly_TVPlantPmod!$B$3&amp;$B$2&amp;$B$1&amp;$C$1)</f>
        <v>0</v>
      </c>
      <c r="DJ24" s="2">
        <f>COUNTIF(defects!$Z:$Z,Weekly_TVPlantPmod!DJ$3&amp;Weekly_TVPlantPmod!$B24&amp;Weekly_TVPlantPmod!$B$3&amp;$B$2&amp;$B$1&amp;$C$1)</f>
        <v>0</v>
      </c>
      <c r="DK24" s="2">
        <f>COUNTIF(defects!$Z:$Z,Weekly_TVPlantPmod!DK$3&amp;Weekly_TVPlantPmod!$B24&amp;Weekly_TVPlantPmod!$B$3&amp;$B$2&amp;$B$1&amp;$C$1)</f>
        <v>0</v>
      </c>
      <c r="DL24" s="2">
        <f>COUNTIF(defects!$Z:$Z,Weekly_TVPlantPmod!DL$3&amp;Weekly_TVPlantPmod!$B24&amp;Weekly_TVPlantPmod!$B$3&amp;$B$2&amp;$B$1&amp;$C$1)</f>
        <v>0</v>
      </c>
      <c r="DM24" s="2">
        <f>COUNTIF(defects!$Z:$Z,Weekly_TVPlantPmod!DM$3&amp;Weekly_TVPlantPmod!$B24&amp;Weekly_TVPlantPmod!$B$3&amp;$B$2&amp;$B$1&amp;$C$1)</f>
        <v>0</v>
      </c>
      <c r="DN24" s="2">
        <f>COUNTIF(defects!$Z:$Z,Weekly_TVPlantPmod!DN$3&amp;Weekly_TVPlantPmod!$B24&amp;Weekly_TVPlantPmod!$B$3&amp;$B$2&amp;$B$1&amp;$C$1)</f>
        <v>0</v>
      </c>
      <c r="DO24" s="2">
        <f>COUNTIF(defects!$Z:$Z,Weekly_TVPlantPmod!DO$3&amp;Weekly_TVPlantPmod!$B24&amp;Weekly_TVPlantPmod!$B$3&amp;$B$2&amp;$B$1&amp;$C$1)</f>
        <v>0</v>
      </c>
      <c r="DP24" s="2">
        <f>COUNTIF(defects!$Z:$Z,Weekly_TVPlantPmod!DP$3&amp;Weekly_TVPlantPmod!$B24&amp;Weekly_TVPlantPmod!$B$3&amp;$B$2&amp;$B$1&amp;$C$1)</f>
        <v>0</v>
      </c>
      <c r="DQ24" s="2">
        <f>COUNTIF(defects!$Z:$Z,Weekly_TVPlantPmod!DQ$3&amp;Weekly_TVPlantPmod!$B24&amp;Weekly_TVPlantPmod!$B$3&amp;$B$2&amp;$B$1&amp;$C$1)</f>
        <v>0</v>
      </c>
      <c r="DR24" s="2">
        <f>COUNTIF(defects!$Z:$Z,Weekly_TVPlantPmod!DR$3&amp;Weekly_TVPlantPmod!$B24&amp;Weekly_TVPlantPmod!$B$3&amp;$B$2&amp;$B$1&amp;$C$1)</f>
        <v>0</v>
      </c>
      <c r="DS24" s="2">
        <f>COUNTIF(defects!$Z:$Z,Weekly_TVPlantPmod!DS$3&amp;Weekly_TVPlantPmod!$B24&amp;Weekly_TVPlantPmod!$B$3&amp;$B$2&amp;$B$1&amp;$C$1)</f>
        <v>0</v>
      </c>
      <c r="DT24" s="2">
        <f>COUNTIF(defects!$Z:$Z,Weekly_TVPlantPmod!DT$3&amp;Weekly_TVPlantPmod!$B24&amp;Weekly_TVPlantPmod!$B$3&amp;$B$2&amp;$B$1&amp;$C$1)</f>
        <v>0</v>
      </c>
      <c r="DU24" s="2">
        <f>COUNTIF(defects!$Z:$Z,Weekly_TVPlantPmod!DU$3&amp;Weekly_TVPlantPmod!$B24&amp;Weekly_TVPlantPmod!$B$3&amp;$B$2&amp;$B$1&amp;$C$1)</f>
        <v>0</v>
      </c>
      <c r="DV24" s="2">
        <f>COUNTIF(defects!$Z:$Z,Weekly_TVPlantPmod!DV$3&amp;Weekly_TVPlantPmod!$B24&amp;Weekly_TVPlantPmod!$B$3&amp;$B$2&amp;$B$1&amp;$C$1)</f>
        <v>0</v>
      </c>
      <c r="DW24" s="2">
        <f>COUNTIF(defects!$Z:$Z,Weekly_TVPlantPmod!DW$3&amp;Weekly_TVPlantPmod!$B24&amp;Weekly_TVPlantPmod!$B$3&amp;$B$2&amp;$B$1&amp;$C$1)</f>
        <v>0</v>
      </c>
      <c r="DX24" s="2">
        <f>COUNTIF(defects!$Z:$Z,Weekly_TVPlantPmod!DX$3&amp;Weekly_TVPlantPmod!$B24&amp;Weekly_TVPlantPmod!$B$3&amp;$B$2&amp;$B$1&amp;$C$1)</f>
        <v>0</v>
      </c>
      <c r="DY24" s="2">
        <f>COUNTIF(defects!$Z:$Z,Weekly_TVPlantPmod!DY$3&amp;Weekly_TVPlantPmod!$B24&amp;Weekly_TVPlantPmod!$B$3&amp;$B$2&amp;$B$1&amp;$C$1)</f>
        <v>0</v>
      </c>
      <c r="DZ24" s="2">
        <f>COUNTIF(defects!$Z:$Z,Weekly_TVPlantPmod!DZ$3&amp;Weekly_TVPlantPmod!$B24&amp;Weekly_TVPlantPmod!$B$3&amp;$B$2&amp;$B$1&amp;$C$1)</f>
        <v>0</v>
      </c>
      <c r="EA24" s="2">
        <f>COUNTIF(defects!$Z:$Z,Weekly_TVPlantPmod!EA$3&amp;Weekly_TVPlantPmod!$B24&amp;Weekly_TVPlantPmod!$B$3&amp;$B$2&amp;$B$1&amp;$C$1)</f>
        <v>0</v>
      </c>
      <c r="EB24" s="2">
        <f>COUNTIF(defects!$Z:$Z,Weekly_TVPlantPmod!EB$3&amp;Weekly_TVPlantPmod!$B24&amp;Weekly_TVPlantPmod!$B$3&amp;$B$2&amp;$B$1&amp;$C$1)</f>
        <v>0</v>
      </c>
      <c r="EC24" s="2">
        <f>COUNTIF(defects!$Z:$Z,Weekly_TVPlantPmod!EC$3&amp;Weekly_TVPlantPmod!$B24&amp;Weekly_TVPlantPmod!$B$3&amp;$B$2&amp;$B$1&amp;$C$1)</f>
        <v>0</v>
      </c>
      <c r="ED24" s="2">
        <f>COUNTIF(defects!$Z:$Z,Weekly_TVPlantPmod!ED$3&amp;Weekly_TVPlantPmod!$B24&amp;Weekly_TVPlantPmod!$B$3&amp;$B$2&amp;$B$1&amp;$C$1)</f>
        <v>0</v>
      </c>
      <c r="EE24" s="2">
        <f>COUNTIF(defects!$Z:$Z,Weekly_TVPlantPmod!EE$3&amp;Weekly_TVPlantPmod!$B24&amp;Weekly_TVPlantPmod!$B$3&amp;$B$2&amp;$B$1&amp;$C$1)</f>
        <v>0</v>
      </c>
      <c r="EF24" s="2">
        <f>COUNTIF(defects!$Z:$Z,Weekly_TVPlantPmod!EF$3&amp;Weekly_TVPlantPmod!$B24&amp;Weekly_TVPlantPmod!$B$3&amp;$B$2&amp;$B$1&amp;$C$1)</f>
        <v>0</v>
      </c>
      <c r="EG24" s="2">
        <f>COUNTIF(defects!$Z:$Z,Weekly_TVPlantPmod!EG$3&amp;Weekly_TVPlantPmod!$B24&amp;Weekly_TVPlantPmod!$B$3&amp;$B$2&amp;$B$1&amp;$C$1)</f>
        <v>0</v>
      </c>
      <c r="EH24" s="2">
        <f>COUNTIF(defects!$Z:$Z,Weekly_TVPlantPmod!EH$3&amp;Weekly_TVPlantPmod!$B24&amp;Weekly_TVPlantPmod!$B$3&amp;$B$2&amp;$B$1&amp;$C$1)</f>
        <v>0</v>
      </c>
      <c r="EI24" s="2">
        <f>COUNTIF(defects!$Z:$Z,Weekly_TVPlantPmod!EI$3&amp;Weekly_TVPlantPmod!$B24&amp;Weekly_TVPlantPmod!$B$3&amp;$B$2&amp;$B$1&amp;$C$1)</f>
        <v>0</v>
      </c>
      <c r="EJ24" s="2">
        <f>COUNTIF(defects!$Z:$Z,Weekly_TVPlantPmod!EJ$3&amp;Weekly_TVPlantPmod!$B24&amp;Weekly_TVPlantPmod!$B$3&amp;$B$2&amp;$B$1&amp;$C$1)</f>
        <v>0</v>
      </c>
      <c r="EK24" s="2">
        <f>COUNTIF(defects!$Z:$Z,Weekly_TVPlantPmod!EK$3&amp;Weekly_TVPlantPmod!$B24&amp;Weekly_TVPlantPmod!$B$3&amp;$B$2&amp;$B$1&amp;$C$1)</f>
        <v>0</v>
      </c>
      <c r="EL24" s="2">
        <f>COUNTIF(defects!$Z:$Z,Weekly_TVPlantPmod!EL$3&amp;Weekly_TVPlantPmod!$B24&amp;Weekly_TVPlantPmod!$B$3&amp;$B$2&amp;$B$1&amp;$C$1)</f>
        <v>0</v>
      </c>
      <c r="EM24" s="2">
        <f>COUNTIF(defects!$Z:$Z,Weekly_TVPlantPmod!EM$3&amp;Weekly_TVPlantPmod!$B24&amp;Weekly_TVPlantPmod!$B$3&amp;$B$2&amp;$B$1&amp;$C$1)</f>
        <v>0</v>
      </c>
      <c r="EN24" s="2">
        <f>COUNTIF(defects!$Z:$Z,Weekly_TVPlantPmod!EN$3&amp;Weekly_TVPlantPmod!$B24&amp;Weekly_TVPlantPmod!$B$3&amp;$B$2&amp;$B$1&amp;$C$1)</f>
        <v>0</v>
      </c>
      <c r="EO24" s="2">
        <f>COUNTIF(defects!$Z:$Z,Weekly_TVPlantPmod!EO$3&amp;Weekly_TVPlantPmod!$B24&amp;Weekly_TVPlantPmod!$B$3&amp;$B$2&amp;$B$1&amp;$C$1)</f>
        <v>0</v>
      </c>
      <c r="EP24" s="2">
        <f>COUNTIF(defects!$Z:$Z,Weekly_TVPlantPmod!EP$3&amp;Weekly_TVPlantPmod!$B24&amp;Weekly_TVPlantPmod!$B$3&amp;$B$2&amp;$B$1&amp;$C$1)</f>
        <v>0</v>
      </c>
      <c r="EQ24" s="2">
        <f>COUNTIF(defects!$Z:$Z,Weekly_TVPlantPmod!EQ$3&amp;Weekly_TVPlantPmod!$B24&amp;Weekly_TVPlantPmod!$B$3&amp;$B$2&amp;$B$1&amp;$C$1)</f>
        <v>0</v>
      </c>
      <c r="ER24" s="2">
        <f>COUNTIF(defects!$Z:$Z,Weekly_TVPlantPmod!ER$3&amp;Weekly_TVPlantPmod!$B24&amp;Weekly_TVPlantPmod!$B$3&amp;$B$2&amp;$B$1&amp;$C$1)</f>
        <v>0</v>
      </c>
      <c r="ES24" s="2">
        <f>COUNTIF(defects!$Z:$Z,Weekly_TVPlantPmod!ES$3&amp;Weekly_TVPlantPmod!$B24&amp;Weekly_TVPlantPmod!$B$3&amp;$B$2&amp;$B$1&amp;$C$1)</f>
        <v>0</v>
      </c>
      <c r="ET24" s="2">
        <f>COUNTIF(defects!$Z:$Z,Weekly_TVPlantPmod!ET$3&amp;Weekly_TVPlantPmod!$B24&amp;Weekly_TVPlantPmod!$B$3&amp;$B$2&amp;$B$1&amp;$C$1)</f>
        <v>0</v>
      </c>
      <c r="EU24" s="2">
        <f>COUNTIF(defects!$Z:$Z,Weekly_TVPlantPmod!EU$3&amp;Weekly_TVPlantPmod!$B24&amp;Weekly_TVPlantPmod!$B$3&amp;$B$2&amp;$B$1&amp;$C$1)</f>
        <v>0</v>
      </c>
      <c r="EV24" s="2">
        <f>COUNTIF(defects!$Z:$Z,Weekly_TVPlantPmod!EV$3&amp;Weekly_TVPlantPmod!$B24&amp;Weekly_TVPlantPmod!$B$3&amp;$B$2&amp;$B$1&amp;$C$1)</f>
        <v>0</v>
      </c>
      <c r="EW24" s="2">
        <f>COUNTIF(defects!$Z:$Z,Weekly_TVPlantPmod!EW$3&amp;Weekly_TVPlantPmod!$B24&amp;Weekly_TVPlantPmod!$B$3&amp;$B$2&amp;$B$1&amp;$C$1)</f>
        <v>0</v>
      </c>
      <c r="EX24" s="2">
        <f>COUNTIF(defects!$Z:$Z,Weekly_TVPlantPmod!EX$3&amp;Weekly_TVPlantPmod!$B24&amp;Weekly_TVPlantPmod!$B$3&amp;$B$2&amp;$B$1&amp;$C$1)</f>
        <v>0</v>
      </c>
      <c r="EY24" s="2">
        <f>COUNTIF(defects!$Z:$Z,Weekly_TVPlantPmod!EY$3&amp;Weekly_TVPlantPmod!$B24&amp;Weekly_TVPlantPmod!$B$3&amp;$B$2&amp;$B$1&amp;$C$1)</f>
        <v>0</v>
      </c>
      <c r="EZ24" s="2">
        <f>COUNTIF(defects!$Z:$Z,Weekly_TVPlantPmod!EZ$3&amp;Weekly_TVPlantPmod!$B24&amp;Weekly_TVPlantPmod!$B$3&amp;$B$2&amp;$B$1&amp;$C$1)</f>
        <v>0</v>
      </c>
      <c r="FA24" s="2">
        <f>COUNTIF(defects!$Z:$Z,Weekly_TVPlantPmod!FA$3&amp;Weekly_TVPlantPmod!$B24&amp;Weekly_TVPlantPmod!$B$3&amp;$B$2&amp;$B$1&amp;$C$1)</f>
        <v>0</v>
      </c>
      <c r="FB24" s="2">
        <f>COUNTIF(defects!$Z:$Z,Weekly_TVPlantPmod!FB$3&amp;Weekly_TVPlantPmod!$B24&amp;Weekly_TVPlantPmod!$B$3&amp;$B$2&amp;$B$1&amp;$C$1)</f>
        <v>0</v>
      </c>
      <c r="FC24" s="2">
        <f>COUNTIF(defects!$Z:$Z,Weekly_TVPlantPmod!FC$3&amp;Weekly_TVPlantPmod!$B24&amp;Weekly_TVPlantPmod!$B$3&amp;$B$2&amp;$B$1&amp;$C$1)</f>
        <v>0</v>
      </c>
      <c r="FD24" s="2">
        <f>COUNTIF(defects!$Z:$Z,Weekly_TVPlantPmod!FD$3&amp;Weekly_TVPlantPmod!$B24&amp;Weekly_TVPlantPmod!$B$3&amp;$B$2&amp;$B$1&amp;$C$1)</f>
        <v>0</v>
      </c>
      <c r="FE24" s="2">
        <f>COUNTIF(defects!$Z:$Z,Weekly_TVPlantPmod!FE$3&amp;Weekly_TVPlantPmod!$B24&amp;Weekly_TVPlantPmod!$B$3&amp;$B$2&amp;$B$1&amp;$C$1)</f>
        <v>0</v>
      </c>
    </row>
    <row r="25" spans="2:161">
      <c r="C25" s="2"/>
    </row>
  </sheetData>
  <phoneticPr fontId="7" type="noConversion"/>
  <conditionalFormatting sqref="C6:C25 D6:FE24 C4:FE5">
    <cfRule type="cellIs" dxfId="11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DFDCF-62E1-4DEC-AC50-14D74875A484}">
  <sheetPr codeName="wsMonthly2">
    <tabColor rgb="FF00CC99"/>
  </sheetPr>
  <dimension ref="B1:AV48"/>
  <sheetViews>
    <sheetView zoomScale="85" zoomScaleNormal="85" workbookViewId="0">
      <selection activeCell="AR3" sqref="AR3"/>
    </sheetView>
  </sheetViews>
  <sheetFormatPr defaultColWidth="8.90625" defaultRowHeight="14.5"/>
  <cols>
    <col min="1" max="1" width="3" style="3" customWidth="1"/>
    <col min="2" max="5" width="11.08984375" style="3" customWidth="1"/>
    <col min="6" max="29" width="9.453125" style="3" hidden="1" customWidth="1"/>
    <col min="30" max="31" width="9.453125" style="3" customWidth="1"/>
    <col min="32" max="42" width="9.453125" style="3" hidden="1" customWidth="1"/>
    <col min="43" max="48" width="9.453125" style="3" customWidth="1"/>
    <col min="49" max="16384" width="8.90625" style="3"/>
  </cols>
  <sheetData>
    <row r="1" spans="2:48">
      <c r="B1" s="3" t="str">
        <f>Report!O26</f>
        <v>SOEM</v>
      </c>
      <c r="C1" s="3" t="str">
        <f>Report!P26</f>
        <v>75APH</v>
      </c>
    </row>
    <row r="2" spans="2:48">
      <c r="B2" s="25" t="s">
        <v>28</v>
      </c>
      <c r="C2" s="3" t="str">
        <f>B3</f>
        <v>FY21</v>
      </c>
      <c r="D2" s="3" t="str">
        <f>"FY" &amp; (RIGHT(B3,2)+1)</f>
        <v>FY22</v>
      </c>
      <c r="F2" s="3" t="s">
        <v>961</v>
      </c>
      <c r="G2" s="3" t="s">
        <v>961</v>
      </c>
      <c r="H2" s="3" t="s">
        <v>961</v>
      </c>
      <c r="I2" s="3" t="s">
        <v>961</v>
      </c>
      <c r="J2" s="3" t="s">
        <v>961</v>
      </c>
      <c r="K2" s="3" t="s">
        <v>961</v>
      </c>
      <c r="L2" s="3" t="s">
        <v>961</v>
      </c>
      <c r="M2" s="3" t="s">
        <v>961</v>
      </c>
      <c r="N2" s="3" t="s">
        <v>961</v>
      </c>
      <c r="O2" s="3" t="s">
        <v>961</v>
      </c>
      <c r="P2" s="3" t="s">
        <v>961</v>
      </c>
      <c r="Q2" s="3" t="s">
        <v>961</v>
      </c>
      <c r="R2" s="3" t="s">
        <v>960</v>
      </c>
      <c r="S2" s="3" t="s">
        <v>960</v>
      </c>
      <c r="T2" s="3" t="s">
        <v>960</v>
      </c>
      <c r="U2" s="3" t="s">
        <v>960</v>
      </c>
      <c r="V2" s="3" t="s">
        <v>960</v>
      </c>
      <c r="W2" s="3" t="s">
        <v>960</v>
      </c>
      <c r="X2" s="3" t="s">
        <v>960</v>
      </c>
      <c r="Y2" s="3" t="s">
        <v>960</v>
      </c>
      <c r="Z2" s="3" t="s">
        <v>960</v>
      </c>
      <c r="AA2" s="3" t="s">
        <v>960</v>
      </c>
      <c r="AB2" s="3" t="s">
        <v>960</v>
      </c>
      <c r="AC2" s="3" t="s">
        <v>960</v>
      </c>
      <c r="AD2" s="3" t="s">
        <v>1025</v>
      </c>
      <c r="AE2" s="3" t="s">
        <v>1025</v>
      </c>
      <c r="AF2" s="3" t="s">
        <v>1025</v>
      </c>
      <c r="AG2" s="3" t="s">
        <v>1025</v>
      </c>
      <c r="AH2" s="3" t="s">
        <v>1025</v>
      </c>
      <c r="AI2" s="3" t="s">
        <v>1025</v>
      </c>
      <c r="AJ2" s="3" t="s">
        <v>1025</v>
      </c>
      <c r="AK2" s="3" t="s">
        <v>1025</v>
      </c>
      <c r="AL2" s="3" t="s">
        <v>1025</v>
      </c>
      <c r="AM2" s="3" t="s">
        <v>1025</v>
      </c>
      <c r="AN2" s="3" t="s">
        <v>1025</v>
      </c>
      <c r="AO2" s="3" t="s">
        <v>1025</v>
      </c>
      <c r="AP2" s="3" t="s">
        <v>6951</v>
      </c>
    </row>
    <row r="3" spans="2:48">
      <c r="B3" s="9" t="str">
        <f>Report!M26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988</v>
      </c>
      <c r="G3" s="10" t="s">
        <v>987</v>
      </c>
      <c r="H3" s="10" t="s">
        <v>986</v>
      </c>
      <c r="I3" s="10" t="s">
        <v>977</v>
      </c>
      <c r="J3" s="10" t="s">
        <v>978</v>
      </c>
      <c r="K3" s="10" t="s">
        <v>979</v>
      </c>
      <c r="L3" s="10" t="s">
        <v>980</v>
      </c>
      <c r="M3" s="10" t="s">
        <v>981</v>
      </c>
      <c r="N3" s="10" t="s">
        <v>982</v>
      </c>
      <c r="O3" s="10" t="s">
        <v>983</v>
      </c>
      <c r="P3" s="10" t="s">
        <v>984</v>
      </c>
      <c r="Q3" s="10" t="s">
        <v>985</v>
      </c>
      <c r="R3" s="10" t="s">
        <v>976</v>
      </c>
      <c r="S3" s="10" t="s">
        <v>975</v>
      </c>
      <c r="T3" s="10" t="s">
        <v>969</v>
      </c>
      <c r="U3" s="10" t="s">
        <v>970</v>
      </c>
      <c r="V3" s="10" t="s">
        <v>971</v>
      </c>
      <c r="W3" s="10" t="s">
        <v>972</v>
      </c>
      <c r="X3" s="10" t="s">
        <v>973</v>
      </c>
      <c r="Y3" s="10" t="s">
        <v>974</v>
      </c>
      <c r="Z3" s="10" t="s">
        <v>997</v>
      </c>
      <c r="AA3" s="10" t="s">
        <v>998</v>
      </c>
      <c r="AB3" s="10" t="s">
        <v>999</v>
      </c>
      <c r="AC3" s="10" t="s">
        <v>1000</v>
      </c>
      <c r="AD3" s="10" t="s">
        <v>1001</v>
      </c>
      <c r="AE3" s="10" t="s">
        <v>1002</v>
      </c>
      <c r="AF3" s="10" t="s">
        <v>1003</v>
      </c>
      <c r="AG3" s="10" t="s">
        <v>1004</v>
      </c>
      <c r="AH3" s="10" t="s">
        <v>1005</v>
      </c>
      <c r="AI3" s="10" t="s">
        <v>1006</v>
      </c>
      <c r="AJ3" s="10" t="s">
        <v>1007</v>
      </c>
      <c r="AK3" s="10" t="s">
        <v>1008</v>
      </c>
      <c r="AL3" s="10" t="s">
        <v>1009</v>
      </c>
      <c r="AM3" s="10" t="s">
        <v>1010</v>
      </c>
      <c r="AN3" s="10" t="s">
        <v>1011</v>
      </c>
      <c r="AO3" s="10" t="s">
        <v>1012</v>
      </c>
      <c r="AP3" s="10" t="s">
        <v>1013</v>
      </c>
      <c r="AQ3" s="10"/>
      <c r="AR3" s="11" cm="1">
        <f t="array" ref="AR3">GetPreviousWkNo(AS3)</f>
        <v>2151</v>
      </c>
      <c r="AS3" s="11" cm="1">
        <f t="array" ref="AS3">GetPreviousWkNo(AT3)</f>
        <v>2152</v>
      </c>
      <c r="AT3" s="16">
        <f>Report!N26</f>
        <v>2201</v>
      </c>
      <c r="AU3" s="10"/>
      <c r="AV3" s="12" t="s">
        <v>1024</v>
      </c>
    </row>
    <row r="4" spans="2:48">
      <c r="B4" s="12" t="s">
        <v>989</v>
      </c>
      <c r="C4" s="12">
        <f>SUMIF($F$2:$AP$2,C$2,$F4:$AP4)</f>
        <v>29253</v>
      </c>
      <c r="D4" s="12">
        <f>SUMIF($F$2:$AP$2,D$2,$F4:$AP4)</f>
        <v>0</v>
      </c>
      <c r="E4" s="12"/>
      <c r="F4" s="12">
        <f>SUMIF(inputs!$L:$L,$B$3&amp;F$3&amp;$B$1&amp;$C$1,inputs!$D:$D)</f>
        <v>0</v>
      </c>
      <c r="G4" s="12">
        <f>SUMIF(inputs!$L:$L,$B$3&amp;G$3&amp;$B$1&amp;$C$1,inputs!$D:$D)</f>
        <v>0</v>
      </c>
      <c r="H4" s="12">
        <f>SUMIF(inputs!$L:$L,$B$3&amp;H$3&amp;$B$1&amp;$C$1,inputs!$D:$D)</f>
        <v>0</v>
      </c>
      <c r="I4" s="12">
        <f>SUMIF(inputs!$L:$L,$B$3&amp;I$3&amp;$B$1&amp;$C$1,inputs!$D:$D)</f>
        <v>0</v>
      </c>
      <c r="J4" s="12">
        <f>SUMIF(inputs!$L:$L,$B$3&amp;J$3&amp;$B$1&amp;$C$1,inputs!$D:$D)</f>
        <v>0</v>
      </c>
      <c r="K4" s="12">
        <f>SUMIF(inputs!$L:$L,$B$3&amp;K$3&amp;$B$1&amp;$C$1,inputs!$D:$D)</f>
        <v>0</v>
      </c>
      <c r="L4" s="12">
        <f>SUMIF(inputs!$L:$L,$B$3&amp;L$3&amp;$B$1&amp;$C$1,inputs!$D:$D)</f>
        <v>0</v>
      </c>
      <c r="M4" s="12">
        <f>SUMIF(inputs!$L:$L,$B$3&amp;M$3&amp;$B$1&amp;$C$1,inputs!$D:$D)</f>
        <v>0</v>
      </c>
      <c r="N4" s="12">
        <f>SUMIF(inputs!$L:$L,$B$3&amp;N$3&amp;$B$1&amp;$C$1,inputs!$D:$D)</f>
        <v>0</v>
      </c>
      <c r="O4" s="12">
        <f>SUMIF(inputs!$L:$L,$B$3&amp;O$3&amp;$B$1&amp;$C$1,inputs!$D:$D)</f>
        <v>0</v>
      </c>
      <c r="P4" s="12">
        <f>SUMIF(inputs!$L:$L,$B$3&amp;P$3&amp;$B$1&amp;$C$1,inputs!$D:$D)</f>
        <v>0</v>
      </c>
      <c r="Q4" s="12">
        <f>SUMIF(inputs!$L:$L,$B$3&amp;Q$3&amp;$B$1&amp;$C$1,inputs!$D:$D)</f>
        <v>0</v>
      </c>
      <c r="R4" s="12">
        <f>SUMIF(inputs!$L:$L,$B$3&amp;R$3&amp;$B$1&amp;$C$1,inputs!$D:$D)</f>
        <v>0</v>
      </c>
      <c r="S4" s="12">
        <f>SUMIF(inputs!$L:$L,$B$3&amp;S$3&amp;$B$1&amp;$C$1,inputs!$D:$D)</f>
        <v>0</v>
      </c>
      <c r="T4" s="12">
        <f>SUMIF(inputs!$L:$L,$B$3&amp;T$3&amp;$B$1&amp;$C$1,inputs!$D:$D)</f>
        <v>197</v>
      </c>
      <c r="U4" s="12">
        <f>SUMIF(inputs!$L:$L,$B$3&amp;U$3&amp;$B$1&amp;$C$1,inputs!$D:$D)</f>
        <v>4902</v>
      </c>
      <c r="V4" s="12">
        <f>SUMIF(inputs!$L:$L,$B$3&amp;V$3&amp;$B$1&amp;$C$1,inputs!$D:$D)</f>
        <v>3616</v>
      </c>
      <c r="W4" s="12">
        <f>SUMIF(inputs!$L:$L,$B$3&amp;W$3&amp;$B$1&amp;$C$1,inputs!$D:$D)</f>
        <v>2212</v>
      </c>
      <c r="X4" s="12">
        <f>SUMIF(inputs!$L:$L,$B$3&amp;X$3&amp;$B$1&amp;$C$1,inputs!$D:$D)</f>
        <v>2998</v>
      </c>
      <c r="Y4" s="12">
        <f>SUMIF(inputs!$L:$L,$B$3&amp;Y$3&amp;$B$1&amp;$C$1,inputs!$D:$D)</f>
        <v>3856</v>
      </c>
      <c r="Z4" s="12">
        <f>SUMIF(inputs!$L:$L,$B$3&amp;Z$3&amp;$B$1&amp;$C$1,inputs!$D:$D)</f>
        <v>2668</v>
      </c>
      <c r="AA4" s="12">
        <f>SUMIF(inputs!$L:$L,$B$3&amp;AA$3&amp;$B$1&amp;$C$1,inputs!$D:$D)</f>
        <v>3121</v>
      </c>
      <c r="AB4" s="12">
        <f>SUMIF(inputs!$L:$L,$B$3&amp;AB$3&amp;$B$1&amp;$C$1,inputs!$D:$D)</f>
        <v>2960</v>
      </c>
      <c r="AC4" s="12">
        <f>SUMIF(inputs!$L:$L,$B$3&amp;AC$3&amp;$B$1&amp;$C$1,inputs!$D:$D)</f>
        <v>2723</v>
      </c>
      <c r="AD4" s="12">
        <f>SUMIF(inputs!$L:$L,$B$3&amp;AD$3&amp;$B$1&amp;$C$1,inputs!$D:$D)</f>
        <v>0</v>
      </c>
      <c r="AE4" s="12">
        <f>SUMIF(inputs!$L:$L,$B$3&amp;AE$3&amp;$B$1&amp;$C$1,inputs!$D:$D)</f>
        <v>0</v>
      </c>
      <c r="AF4" s="12">
        <f>SUMIF(inputs!$L:$L,$B$3&amp;AF$3&amp;$B$1&amp;$C$1,inputs!$D:$D)</f>
        <v>0</v>
      </c>
      <c r="AG4" s="12">
        <f>SUMIF(inputs!$L:$L,$B$3&amp;AG$3&amp;$B$1&amp;$C$1,inputs!$D:$D)</f>
        <v>0</v>
      </c>
      <c r="AH4" s="12">
        <f>SUMIF(inputs!$L:$L,$B$3&amp;AH$3&amp;$B$1&amp;$C$1,inputs!$D:$D)</f>
        <v>0</v>
      </c>
      <c r="AI4" s="12">
        <f>SUMIF(inputs!$L:$L,$B$3&amp;AI$3&amp;$B$1&amp;$C$1,inputs!$D:$D)</f>
        <v>0</v>
      </c>
      <c r="AJ4" s="12">
        <f>SUMIF(inputs!$L:$L,$B$3&amp;AJ$3&amp;$B$1&amp;$C$1,inputs!$D:$D)</f>
        <v>0</v>
      </c>
      <c r="AK4" s="12">
        <f>SUMIF(inputs!$L:$L,$B$3&amp;AK$3&amp;$B$1&amp;$C$1,inputs!$D:$D)</f>
        <v>0</v>
      </c>
      <c r="AL4" s="12">
        <f>SUMIF(inputs!$L:$L,$B$3&amp;AL$3&amp;$B$1&amp;$C$1,inputs!$D:$D)</f>
        <v>0</v>
      </c>
      <c r="AM4" s="12">
        <f>SUMIF(inputs!$L:$L,$B$3&amp;AM$3&amp;$B$1&amp;$C$1,inputs!$D:$D)</f>
        <v>0</v>
      </c>
      <c r="AN4" s="12">
        <f>SUMIF(inputs!$L:$L,$B$3&amp;AN$3&amp;$B$1&amp;$C$1,inputs!$D:$D)</f>
        <v>0</v>
      </c>
      <c r="AO4" s="12">
        <f>SUMIF(inputs!$L:$L,$B$3&amp;AO$3&amp;$B$1&amp;$C$1,inputs!$D:$D)</f>
        <v>0</v>
      </c>
      <c r="AP4" s="12">
        <f>SUMIF(inputs!$L:$L,$B$3&amp;AP$3&amp;$B$1&amp;$C$1,inputs!$D:$D)</f>
        <v>0</v>
      </c>
      <c r="AQ4" s="12"/>
      <c r="AR4" s="12">
        <f>HLOOKUP(AR$3,Weekly_TVPlantPmod!$3:$24,MATCH($B4,Weekly_TVPlantPmod!$B$3:$B$24,0),0)</f>
        <v>261</v>
      </c>
      <c r="AS4" s="12">
        <f>HLOOKUP(AS$3,Weekly_TVPlantPmod!$3:$24,MATCH($B4,Weekly_TVPlantPmod!$B$3:$B$24,0),0)</f>
        <v>1326</v>
      </c>
      <c r="AT4" s="12">
        <f>HLOOKUP(AT$3,Weekly_TVPlantPmod!$3:$24,MATCH($B4,Weekly_TVPlantPmod!$B$3:$B$24,0),0)</f>
        <v>0</v>
      </c>
      <c r="AU4" s="12"/>
      <c r="AV4" s="12">
        <f>SUM(F4:AP4)</f>
        <v>29253</v>
      </c>
    </row>
    <row r="5" spans="2:48">
      <c r="B5" s="12" t="s">
        <v>990</v>
      </c>
      <c r="C5" s="12">
        <f t="shared" ref="C5:D24" si="0">SUMIF($F$2:$AP$2,C$2,$F5:$AP5)</f>
        <v>51</v>
      </c>
      <c r="D5" s="12">
        <f t="shared" si="0"/>
        <v>0</v>
      </c>
      <c r="E5" s="12"/>
      <c r="F5" s="12">
        <f>SUM(F6:F24)</f>
        <v>0</v>
      </c>
      <c r="G5" s="12">
        <f>SUM(G6:G24)</f>
        <v>0</v>
      </c>
      <c r="H5" s="12">
        <f t="shared" ref="H5:AP5" si="1">SUM(H6:H24)</f>
        <v>0</v>
      </c>
      <c r="I5" s="12">
        <f t="shared" si="1"/>
        <v>0</v>
      </c>
      <c r="J5" s="12">
        <f t="shared" si="1"/>
        <v>0</v>
      </c>
      <c r="K5" s="12">
        <f t="shared" si="1"/>
        <v>0</v>
      </c>
      <c r="L5" s="12">
        <f t="shared" si="1"/>
        <v>0</v>
      </c>
      <c r="M5" s="12">
        <f t="shared" si="1"/>
        <v>0</v>
      </c>
      <c r="N5" s="12">
        <f t="shared" si="1"/>
        <v>0</v>
      </c>
      <c r="O5" s="12">
        <f t="shared" si="1"/>
        <v>0</v>
      </c>
      <c r="P5" s="12">
        <f t="shared" si="1"/>
        <v>0</v>
      </c>
      <c r="Q5" s="12">
        <f t="shared" si="1"/>
        <v>0</v>
      </c>
      <c r="R5" s="12">
        <f t="shared" si="1"/>
        <v>0</v>
      </c>
      <c r="S5" s="12">
        <f t="shared" si="1"/>
        <v>0</v>
      </c>
      <c r="T5" s="12">
        <f t="shared" si="1"/>
        <v>0</v>
      </c>
      <c r="U5" s="12">
        <f t="shared" si="1"/>
        <v>7</v>
      </c>
      <c r="V5" s="12">
        <f t="shared" si="1"/>
        <v>3</v>
      </c>
      <c r="W5" s="12">
        <f t="shared" si="1"/>
        <v>3</v>
      </c>
      <c r="X5" s="12">
        <f t="shared" si="1"/>
        <v>5</v>
      </c>
      <c r="Y5" s="12">
        <f t="shared" si="1"/>
        <v>9</v>
      </c>
      <c r="Z5" s="12">
        <f t="shared" si="1"/>
        <v>8</v>
      </c>
      <c r="AA5" s="12">
        <f t="shared" si="1"/>
        <v>5</v>
      </c>
      <c r="AB5" s="12">
        <f t="shared" si="1"/>
        <v>5</v>
      </c>
      <c r="AC5" s="12">
        <f t="shared" si="1"/>
        <v>6</v>
      </c>
      <c r="AD5" s="12">
        <f t="shared" si="1"/>
        <v>0</v>
      </c>
      <c r="AE5" s="12">
        <f t="shared" si="1"/>
        <v>0</v>
      </c>
      <c r="AF5" s="12">
        <f t="shared" si="1"/>
        <v>0</v>
      </c>
      <c r="AG5" s="12">
        <f t="shared" si="1"/>
        <v>0</v>
      </c>
      <c r="AH5" s="12">
        <f t="shared" si="1"/>
        <v>0</v>
      </c>
      <c r="AI5" s="12">
        <f t="shared" si="1"/>
        <v>0</v>
      </c>
      <c r="AJ5" s="12">
        <f t="shared" si="1"/>
        <v>0</v>
      </c>
      <c r="AK5" s="12">
        <f t="shared" si="1"/>
        <v>0</v>
      </c>
      <c r="AL5" s="12">
        <f t="shared" si="1"/>
        <v>0</v>
      </c>
      <c r="AM5" s="12">
        <f t="shared" si="1"/>
        <v>0</v>
      </c>
      <c r="AN5" s="12">
        <f t="shared" si="1"/>
        <v>0</v>
      </c>
      <c r="AO5" s="12">
        <f t="shared" si="1"/>
        <v>0</v>
      </c>
      <c r="AP5" s="12">
        <f t="shared" si="1"/>
        <v>0</v>
      </c>
      <c r="AQ5" s="12"/>
      <c r="AR5" s="12">
        <f>HLOOKUP(AR$3,Weekly_TVPlantPmod!$3:$24,MATCH($B5,Weekly_TVPlantPmod!$B$3:$B$24,0),0)</f>
        <v>1</v>
      </c>
      <c r="AS5" s="12">
        <f>HLOOKUP(AS$3,Weekly_TVPlantPmod!$3:$24,MATCH($B5,Weekly_TVPlantPmod!$B$3:$B$24,0),0)</f>
        <v>4</v>
      </c>
      <c r="AT5" s="12">
        <f>HLOOKUP(AT$3,Weekly_TVPlantPmod!$3:$24,MATCH($B5,Weekly_TVPlantPmod!$B$3:$B$24,0),0)</f>
        <v>0</v>
      </c>
      <c r="AU5" s="12"/>
      <c r="AV5" s="12">
        <f>SUM(F5:AP5)</f>
        <v>51</v>
      </c>
    </row>
    <row r="6" spans="2:48">
      <c r="B6" s="12" t="s">
        <v>991</v>
      </c>
      <c r="C6" s="12">
        <f t="shared" si="0"/>
        <v>0</v>
      </c>
      <c r="D6" s="12">
        <f t="shared" si="0"/>
        <v>0</v>
      </c>
      <c r="E6" s="12"/>
      <c r="F6" s="12">
        <f>COUNTIF(defects!$AA:$AA,Monthly_TVPlantPmod!$B6&amp;Monthly_TVPlantPmod!$B$3&amp;$B$2&amp;Monthly_TVPlantPmod!F$3&amp;$B$1&amp;$C$1)</f>
        <v>0</v>
      </c>
      <c r="G6" s="12">
        <f>COUNTIF(defects!$AA:$AA,Monthly_TVPlantPmod!$B6&amp;Monthly_TVPlantPmod!$B$3&amp;$B$2&amp;Monthly_TVPlantPmod!G$3&amp;$B$1&amp;$C$1)</f>
        <v>0</v>
      </c>
      <c r="H6" s="12">
        <f>COUNTIF(defects!$AA:$AA,Monthly_TVPlantPmod!$B6&amp;Monthly_TVPlantPmod!$B$3&amp;$B$2&amp;Monthly_TVPlantPmod!H$3&amp;$B$1&amp;$C$1)</f>
        <v>0</v>
      </c>
      <c r="I6" s="12">
        <f>COUNTIF(defects!$AA:$AA,Monthly_TVPlantPmod!$B6&amp;Monthly_TVPlantPmod!$B$3&amp;$B$2&amp;Monthly_TVPlantPmod!I$3&amp;$B$1&amp;$C$1)</f>
        <v>0</v>
      </c>
      <c r="J6" s="12">
        <f>COUNTIF(defects!$AA:$AA,Monthly_TVPlantPmod!$B6&amp;Monthly_TVPlantPmod!$B$3&amp;$B$2&amp;Monthly_TVPlantPmod!J$3&amp;$B$1&amp;$C$1)</f>
        <v>0</v>
      </c>
      <c r="K6" s="12">
        <f>COUNTIF(defects!$AA:$AA,Monthly_TVPlantPmod!$B6&amp;Monthly_TVPlantPmod!$B$3&amp;$B$2&amp;Monthly_TVPlantPmod!K$3&amp;$B$1&amp;$C$1)</f>
        <v>0</v>
      </c>
      <c r="L6" s="12">
        <f>COUNTIF(defects!$AA:$AA,Monthly_TVPlantPmod!$B6&amp;Monthly_TVPlantPmod!$B$3&amp;$B$2&amp;Monthly_TVPlantPmod!L$3&amp;$B$1&amp;$C$1)</f>
        <v>0</v>
      </c>
      <c r="M6" s="12">
        <f>COUNTIF(defects!$AA:$AA,Monthly_TVPlantPmod!$B6&amp;Monthly_TVPlantPmod!$B$3&amp;$B$2&amp;Monthly_TVPlantPmod!M$3&amp;$B$1&amp;$C$1)</f>
        <v>0</v>
      </c>
      <c r="N6" s="12">
        <f>COUNTIF(defects!$AA:$AA,Monthly_TVPlantPmod!$B6&amp;Monthly_TVPlantPmod!$B$3&amp;$B$2&amp;Monthly_TVPlantPmod!N$3&amp;$B$1&amp;$C$1)</f>
        <v>0</v>
      </c>
      <c r="O6" s="12">
        <f>COUNTIF(defects!$AA:$AA,Monthly_TVPlantPmod!$B6&amp;Monthly_TVPlantPmod!$B$3&amp;$B$2&amp;Monthly_TVPlantPmod!O$3&amp;$B$1&amp;$C$1)</f>
        <v>0</v>
      </c>
      <c r="P6" s="12">
        <f>COUNTIF(defects!$AA:$AA,Monthly_TVPlantPmod!$B6&amp;Monthly_TVPlantPmod!$B$3&amp;$B$2&amp;Monthly_TVPlantPmod!P$3&amp;$B$1&amp;$C$1)</f>
        <v>0</v>
      </c>
      <c r="Q6" s="12">
        <f>COUNTIF(defects!$AA:$AA,Monthly_TVPlantPmod!$B6&amp;Monthly_TVPlantPmod!$B$3&amp;$B$2&amp;Monthly_TVPlantPmod!Q$3&amp;$B$1&amp;$C$1)</f>
        <v>0</v>
      </c>
      <c r="R6" s="12">
        <f>COUNTIF(defects!$AA:$AA,Monthly_TVPlantPmod!$B6&amp;Monthly_TVPlantPmod!$B$3&amp;$B$2&amp;Monthly_TVPlantPmod!R$3&amp;$B$1&amp;$C$1)</f>
        <v>0</v>
      </c>
      <c r="S6" s="12">
        <f>COUNTIF(defects!$AA:$AA,Monthly_TVPlantPmod!$B6&amp;Monthly_TVPlantPmod!$B$3&amp;$B$2&amp;Monthly_TVPlantPmod!S$3&amp;$B$1&amp;$C$1)</f>
        <v>0</v>
      </c>
      <c r="T6" s="12">
        <f>COUNTIF(defects!$AA:$AA,Monthly_TVPlantPmod!$B6&amp;Monthly_TVPlantPmod!$B$3&amp;$B$2&amp;Monthly_TVPlantPmod!T$3&amp;$B$1&amp;$C$1)</f>
        <v>0</v>
      </c>
      <c r="U6" s="12">
        <f>COUNTIF(defects!$AA:$AA,Monthly_TVPlantPmod!$B6&amp;Monthly_TVPlantPmod!$B$3&amp;$B$2&amp;Monthly_TVPlantPmod!U$3&amp;$B$1&amp;$C$1)</f>
        <v>0</v>
      </c>
      <c r="V6" s="12">
        <f>COUNTIF(defects!$AA:$AA,Monthly_TVPlantPmod!$B6&amp;Monthly_TVPlantPmod!$B$3&amp;$B$2&amp;Monthly_TVPlantPmod!V$3&amp;$B$1&amp;$C$1)</f>
        <v>0</v>
      </c>
      <c r="W6" s="12">
        <f>COUNTIF(defects!$AA:$AA,Monthly_TVPlantPmod!$B6&amp;Monthly_TVPlantPmod!$B$3&amp;$B$2&amp;Monthly_TVPlantPmod!W$3&amp;$B$1&amp;$C$1)</f>
        <v>0</v>
      </c>
      <c r="X6" s="12">
        <f>COUNTIF(defects!$AA:$AA,Monthly_TVPlantPmod!$B6&amp;Monthly_TVPlantPmod!$B$3&amp;$B$2&amp;Monthly_TVPlantPmod!X$3&amp;$B$1&amp;$C$1)</f>
        <v>0</v>
      </c>
      <c r="Y6" s="12">
        <f>COUNTIF(defects!$AA:$AA,Monthly_TVPlantPmod!$B6&amp;Monthly_TVPlantPmod!$B$3&amp;$B$2&amp;Monthly_TVPlantPmod!Y$3&amp;$B$1&amp;$C$1)</f>
        <v>0</v>
      </c>
      <c r="Z6" s="12">
        <f>COUNTIF(defects!$AA:$AA,Monthly_TVPlantPmod!$B6&amp;Monthly_TVPlantPmod!$B$3&amp;$B$2&amp;Monthly_TVPlantPmod!Z$3&amp;$B$1&amp;$C$1)</f>
        <v>0</v>
      </c>
      <c r="AA6" s="12">
        <f>COUNTIF(defects!$AA:$AA,Monthly_TVPlantPmod!$B6&amp;Monthly_TVPlantPmod!$B$3&amp;$B$2&amp;Monthly_TVPlantPmod!AA$3&amp;$B$1&amp;$C$1)</f>
        <v>0</v>
      </c>
      <c r="AB6" s="12">
        <f>COUNTIF(defects!$AA:$AA,Monthly_TVPlantPmod!$B6&amp;Monthly_TVPlantPmod!$B$3&amp;$B$2&amp;Monthly_TVPlantPmod!AB$3&amp;$B$1&amp;$C$1)</f>
        <v>0</v>
      </c>
      <c r="AC6" s="12">
        <f>COUNTIF(defects!$AA:$AA,Monthly_TVPlantPmod!$B6&amp;Monthly_TVPlantPmod!$B$3&amp;$B$2&amp;Monthly_TVPlantPmod!AC$3&amp;$B$1&amp;$C$1)</f>
        <v>0</v>
      </c>
      <c r="AD6" s="12">
        <f>COUNTIF(defects!$AA:$AA,Monthly_TVPlantPmod!$B6&amp;Monthly_TVPlantPmod!$B$3&amp;$B$2&amp;Monthly_TVPlantPmod!AD$3&amp;$B$1&amp;$C$1)</f>
        <v>0</v>
      </c>
      <c r="AE6" s="12">
        <f>COUNTIF(defects!$AA:$AA,Monthly_TVPlantPmod!$B6&amp;Monthly_TVPlantPmod!$B$3&amp;$B$2&amp;Monthly_TVPlantPmod!AE$3&amp;$B$1&amp;$C$1)</f>
        <v>0</v>
      </c>
      <c r="AF6" s="12">
        <f>COUNTIF(defects!$AA:$AA,Monthly_TVPlantPmod!$B6&amp;Monthly_TVPlantPmod!$B$3&amp;$B$2&amp;Monthly_TVPlantPmod!AF$3&amp;$B$1&amp;$C$1)</f>
        <v>0</v>
      </c>
      <c r="AG6" s="12">
        <f>COUNTIF(defects!$AA:$AA,Monthly_TVPlantPmod!$B6&amp;Monthly_TVPlantPmod!$B$3&amp;$B$2&amp;Monthly_TVPlantPmod!AG$3&amp;$B$1&amp;$C$1)</f>
        <v>0</v>
      </c>
      <c r="AH6" s="12">
        <f>COUNTIF(defects!$AA:$AA,Monthly_TVPlantPmod!$B6&amp;Monthly_TVPlantPmod!$B$3&amp;$B$2&amp;Monthly_TVPlantPmod!AH$3&amp;$B$1&amp;$C$1)</f>
        <v>0</v>
      </c>
      <c r="AI6" s="12">
        <f>COUNTIF(defects!$AA:$AA,Monthly_TVPlantPmod!$B6&amp;Monthly_TVPlantPmod!$B$3&amp;$B$2&amp;Monthly_TVPlantPmod!AI$3&amp;$B$1&amp;$C$1)</f>
        <v>0</v>
      </c>
      <c r="AJ6" s="12">
        <f>COUNTIF(defects!$AA:$AA,Monthly_TVPlantPmod!$B6&amp;Monthly_TVPlantPmod!$B$3&amp;$B$2&amp;Monthly_TVPlantPmod!AJ$3&amp;$B$1&amp;$C$1)</f>
        <v>0</v>
      </c>
      <c r="AK6" s="12">
        <f>COUNTIF(defects!$AA:$AA,Monthly_TVPlantPmod!$B6&amp;Monthly_TVPlantPmod!$B$3&amp;$B$2&amp;Monthly_TVPlantPmod!AK$3&amp;$B$1&amp;$C$1)</f>
        <v>0</v>
      </c>
      <c r="AL6" s="12">
        <f>COUNTIF(defects!$AA:$AA,Monthly_TVPlantPmod!$B6&amp;Monthly_TVPlantPmod!$B$3&amp;$B$2&amp;Monthly_TVPlantPmod!AL$3&amp;$B$1&amp;$C$1)</f>
        <v>0</v>
      </c>
      <c r="AM6" s="12">
        <f>COUNTIF(defects!$AA:$AA,Monthly_TVPlantPmod!$B6&amp;Monthly_TVPlantPmod!$B$3&amp;$B$2&amp;Monthly_TVPlantPmod!AM$3&amp;$B$1&amp;$C$1)</f>
        <v>0</v>
      </c>
      <c r="AN6" s="12">
        <f>COUNTIF(defects!$AA:$AA,Monthly_TVPlantPmod!$B6&amp;Monthly_TVPlantPmod!$B$3&amp;$B$2&amp;Monthly_TVPlantPmod!AN$3&amp;$B$1&amp;$C$1)</f>
        <v>0</v>
      </c>
      <c r="AO6" s="12">
        <f>COUNTIF(defects!$AA:$AA,Monthly_TVPlantPmod!$B6&amp;Monthly_TVPlantPmod!$B$3&amp;$B$2&amp;Monthly_TVPlantPmod!AO$3&amp;$B$1&amp;$C$1)</f>
        <v>0</v>
      </c>
      <c r="AP6" s="12">
        <f>COUNTIF(defects!$AA:$AA,Monthly_TVPlantPmod!$B6&amp;Monthly_TVPlantPmod!$B$3&amp;$B$2&amp;Monthly_TVPlantPmod!AP$3&amp;$B$1&amp;$C$1)</f>
        <v>0</v>
      </c>
      <c r="AQ6" s="12"/>
      <c r="AR6" s="12">
        <f>HLOOKUP(AR$3,Weekly_TVPlantPmod!$3:$24,MATCH($B6,Weekly_TVPlantPmod!$B$3:$B$24,0),0)</f>
        <v>0</v>
      </c>
      <c r="AS6" s="12">
        <f>HLOOKUP(AS$3,Weekly_TVPlantPmod!$3:$24,MATCH($B6,Weekly_TVPlantPmod!$B$3:$B$24,0),0)</f>
        <v>0</v>
      </c>
      <c r="AT6" s="12">
        <f>HLOOKUP(AT$3,Weekly_TVPlantPmod!$3:$24,MATCH($B6,Weekly_TVPlantPmod!$B$3:$B$24,0),0)</f>
        <v>0</v>
      </c>
      <c r="AU6" s="12"/>
      <c r="AV6" s="12">
        <f>SUM(F6:AP6)</f>
        <v>0</v>
      </c>
    </row>
    <row r="7" spans="2:48">
      <c r="B7" s="12" t="s">
        <v>957</v>
      </c>
      <c r="C7" s="12">
        <f t="shared" si="0"/>
        <v>0</v>
      </c>
      <c r="D7" s="12">
        <f t="shared" si="0"/>
        <v>0</v>
      </c>
      <c r="E7" s="12"/>
      <c r="F7" s="12">
        <f>COUNTIF(defects!$AA:$AA,Monthly_TVPlantPmod!$B7&amp;Monthly_TVPlantPmod!$B$3&amp;$B$2&amp;Monthly_TVPlantPmod!F$3&amp;$B$1&amp;$C$1)</f>
        <v>0</v>
      </c>
      <c r="G7" s="12">
        <f>COUNTIF(defects!$AA:$AA,Monthly_TVPlantPmod!$B7&amp;Monthly_TVPlantPmod!$B$3&amp;$B$2&amp;Monthly_TVPlantPmod!G$3&amp;$B$1&amp;$C$1)</f>
        <v>0</v>
      </c>
      <c r="H7" s="12">
        <f>COUNTIF(defects!$AA:$AA,Monthly_TVPlantPmod!$B7&amp;Monthly_TVPlantPmod!$B$3&amp;$B$2&amp;Monthly_TVPlantPmod!H$3&amp;$B$1&amp;$C$1)</f>
        <v>0</v>
      </c>
      <c r="I7" s="12">
        <f>COUNTIF(defects!$AA:$AA,Monthly_TVPlantPmod!$B7&amp;Monthly_TVPlantPmod!$B$3&amp;$B$2&amp;Monthly_TVPlantPmod!I$3&amp;$B$1&amp;$C$1)</f>
        <v>0</v>
      </c>
      <c r="J7" s="12">
        <f>COUNTIF(defects!$AA:$AA,Monthly_TVPlantPmod!$B7&amp;Monthly_TVPlantPmod!$B$3&amp;$B$2&amp;Monthly_TVPlantPmod!J$3&amp;$B$1&amp;$C$1)</f>
        <v>0</v>
      </c>
      <c r="K7" s="12">
        <f>COUNTIF(defects!$AA:$AA,Monthly_TVPlantPmod!$B7&amp;Monthly_TVPlantPmod!$B$3&amp;$B$2&amp;Monthly_TVPlantPmod!K$3&amp;$B$1&amp;$C$1)</f>
        <v>0</v>
      </c>
      <c r="L7" s="12">
        <f>COUNTIF(defects!$AA:$AA,Monthly_TVPlantPmod!$B7&amp;Monthly_TVPlantPmod!$B$3&amp;$B$2&amp;Monthly_TVPlantPmod!L$3&amp;$B$1&amp;$C$1)</f>
        <v>0</v>
      </c>
      <c r="M7" s="12">
        <f>COUNTIF(defects!$AA:$AA,Monthly_TVPlantPmod!$B7&amp;Monthly_TVPlantPmod!$B$3&amp;$B$2&amp;Monthly_TVPlantPmod!M$3&amp;$B$1&amp;$C$1)</f>
        <v>0</v>
      </c>
      <c r="N7" s="12">
        <f>COUNTIF(defects!$AA:$AA,Monthly_TVPlantPmod!$B7&amp;Monthly_TVPlantPmod!$B$3&amp;$B$2&amp;Monthly_TVPlantPmod!N$3&amp;$B$1&amp;$C$1)</f>
        <v>0</v>
      </c>
      <c r="O7" s="12">
        <f>COUNTIF(defects!$AA:$AA,Monthly_TVPlantPmod!$B7&amp;Monthly_TVPlantPmod!$B$3&amp;$B$2&amp;Monthly_TVPlantPmod!O$3&amp;$B$1&amp;$C$1)</f>
        <v>0</v>
      </c>
      <c r="P7" s="12">
        <f>COUNTIF(defects!$AA:$AA,Monthly_TVPlantPmod!$B7&amp;Monthly_TVPlantPmod!$B$3&amp;$B$2&amp;Monthly_TVPlantPmod!P$3&amp;$B$1&amp;$C$1)</f>
        <v>0</v>
      </c>
      <c r="Q7" s="12">
        <f>COUNTIF(defects!$AA:$AA,Monthly_TVPlantPmod!$B7&amp;Monthly_TVPlantPmod!$B$3&amp;$B$2&amp;Monthly_TVPlantPmod!Q$3&amp;$B$1&amp;$C$1)</f>
        <v>0</v>
      </c>
      <c r="R7" s="12">
        <f>COUNTIF(defects!$AA:$AA,Monthly_TVPlantPmod!$B7&amp;Monthly_TVPlantPmod!$B$3&amp;$B$2&amp;Monthly_TVPlantPmod!R$3&amp;$B$1&amp;$C$1)</f>
        <v>0</v>
      </c>
      <c r="S7" s="12">
        <f>COUNTIF(defects!$AA:$AA,Monthly_TVPlantPmod!$B7&amp;Monthly_TVPlantPmod!$B$3&amp;$B$2&amp;Monthly_TVPlantPmod!S$3&amp;$B$1&amp;$C$1)</f>
        <v>0</v>
      </c>
      <c r="T7" s="12">
        <f>COUNTIF(defects!$AA:$AA,Monthly_TVPlantPmod!$B7&amp;Monthly_TVPlantPmod!$B$3&amp;$B$2&amp;Monthly_TVPlantPmod!T$3&amp;$B$1&amp;$C$1)</f>
        <v>0</v>
      </c>
      <c r="U7" s="12">
        <f>COUNTIF(defects!$AA:$AA,Monthly_TVPlantPmod!$B7&amp;Monthly_TVPlantPmod!$B$3&amp;$B$2&amp;Monthly_TVPlantPmod!U$3&amp;$B$1&amp;$C$1)</f>
        <v>0</v>
      </c>
      <c r="V7" s="12">
        <f>COUNTIF(defects!$AA:$AA,Monthly_TVPlantPmod!$B7&amp;Monthly_TVPlantPmod!$B$3&amp;$B$2&amp;Monthly_TVPlantPmod!V$3&amp;$B$1&amp;$C$1)</f>
        <v>0</v>
      </c>
      <c r="W7" s="12">
        <f>COUNTIF(defects!$AA:$AA,Monthly_TVPlantPmod!$B7&amp;Monthly_TVPlantPmod!$B$3&amp;$B$2&amp;Monthly_TVPlantPmod!W$3&amp;$B$1&amp;$C$1)</f>
        <v>0</v>
      </c>
      <c r="X7" s="12">
        <f>COUNTIF(defects!$AA:$AA,Monthly_TVPlantPmod!$B7&amp;Monthly_TVPlantPmod!$B$3&amp;$B$2&amp;Monthly_TVPlantPmod!X$3&amp;$B$1&amp;$C$1)</f>
        <v>0</v>
      </c>
      <c r="Y7" s="12">
        <f>COUNTIF(defects!$AA:$AA,Monthly_TVPlantPmod!$B7&amp;Monthly_TVPlantPmod!$B$3&amp;$B$2&amp;Monthly_TVPlantPmod!Y$3&amp;$B$1&amp;$C$1)</f>
        <v>0</v>
      </c>
      <c r="Z7" s="12">
        <f>COUNTIF(defects!$AA:$AA,Monthly_TVPlantPmod!$B7&amp;Monthly_TVPlantPmod!$B$3&amp;$B$2&amp;Monthly_TVPlantPmod!Z$3&amp;$B$1&amp;$C$1)</f>
        <v>0</v>
      </c>
      <c r="AA7" s="12">
        <f>COUNTIF(defects!$AA:$AA,Monthly_TVPlantPmod!$B7&amp;Monthly_TVPlantPmod!$B$3&amp;$B$2&amp;Monthly_TVPlantPmod!AA$3&amp;$B$1&amp;$C$1)</f>
        <v>0</v>
      </c>
      <c r="AB7" s="12">
        <f>COUNTIF(defects!$AA:$AA,Monthly_TVPlantPmod!$B7&amp;Monthly_TVPlantPmod!$B$3&amp;$B$2&amp;Monthly_TVPlantPmod!AB$3&amp;$B$1&amp;$C$1)</f>
        <v>0</v>
      </c>
      <c r="AC7" s="12">
        <f>COUNTIF(defects!$AA:$AA,Monthly_TVPlantPmod!$B7&amp;Monthly_TVPlantPmod!$B$3&amp;$B$2&amp;Monthly_TVPlantPmod!AC$3&amp;$B$1&amp;$C$1)</f>
        <v>0</v>
      </c>
      <c r="AD7" s="12">
        <f>COUNTIF(defects!$AA:$AA,Monthly_TVPlantPmod!$B7&amp;Monthly_TVPlantPmod!$B$3&amp;$B$2&amp;Monthly_TVPlantPmod!AD$3&amp;$B$1&amp;$C$1)</f>
        <v>0</v>
      </c>
      <c r="AE7" s="12">
        <f>COUNTIF(defects!$AA:$AA,Monthly_TVPlantPmod!$B7&amp;Monthly_TVPlantPmod!$B$3&amp;$B$2&amp;Monthly_TVPlantPmod!AE$3&amp;$B$1&amp;$C$1)</f>
        <v>0</v>
      </c>
      <c r="AF7" s="12">
        <f>COUNTIF(defects!$AA:$AA,Monthly_TVPlantPmod!$B7&amp;Monthly_TVPlantPmod!$B$3&amp;$B$2&amp;Monthly_TVPlantPmod!AF$3&amp;$B$1&amp;$C$1)</f>
        <v>0</v>
      </c>
      <c r="AG7" s="12">
        <f>COUNTIF(defects!$AA:$AA,Monthly_TVPlantPmod!$B7&amp;Monthly_TVPlantPmod!$B$3&amp;$B$2&amp;Monthly_TVPlantPmod!AG$3&amp;$B$1&amp;$C$1)</f>
        <v>0</v>
      </c>
      <c r="AH7" s="12">
        <f>COUNTIF(defects!$AA:$AA,Monthly_TVPlantPmod!$B7&amp;Monthly_TVPlantPmod!$B$3&amp;$B$2&amp;Monthly_TVPlantPmod!AH$3&amp;$B$1&amp;$C$1)</f>
        <v>0</v>
      </c>
      <c r="AI7" s="12">
        <f>COUNTIF(defects!$AA:$AA,Monthly_TVPlantPmod!$B7&amp;Monthly_TVPlantPmod!$B$3&amp;$B$2&amp;Monthly_TVPlantPmod!AI$3&amp;$B$1&amp;$C$1)</f>
        <v>0</v>
      </c>
      <c r="AJ7" s="12">
        <f>COUNTIF(defects!$AA:$AA,Monthly_TVPlantPmod!$B7&amp;Monthly_TVPlantPmod!$B$3&amp;$B$2&amp;Monthly_TVPlantPmod!AJ$3&amp;$B$1&amp;$C$1)</f>
        <v>0</v>
      </c>
      <c r="AK7" s="12">
        <f>COUNTIF(defects!$AA:$AA,Monthly_TVPlantPmod!$B7&amp;Monthly_TVPlantPmod!$B$3&amp;$B$2&amp;Monthly_TVPlantPmod!AK$3&amp;$B$1&amp;$C$1)</f>
        <v>0</v>
      </c>
      <c r="AL7" s="12">
        <f>COUNTIF(defects!$AA:$AA,Monthly_TVPlantPmod!$B7&amp;Monthly_TVPlantPmod!$B$3&amp;$B$2&amp;Monthly_TVPlantPmod!AL$3&amp;$B$1&amp;$C$1)</f>
        <v>0</v>
      </c>
      <c r="AM7" s="12">
        <f>COUNTIF(defects!$AA:$AA,Monthly_TVPlantPmod!$B7&amp;Monthly_TVPlantPmod!$B$3&amp;$B$2&amp;Monthly_TVPlantPmod!AM$3&amp;$B$1&amp;$C$1)</f>
        <v>0</v>
      </c>
      <c r="AN7" s="12">
        <f>COUNTIF(defects!$AA:$AA,Monthly_TVPlantPmod!$B7&amp;Monthly_TVPlantPmod!$B$3&amp;$B$2&amp;Monthly_TVPlantPmod!AN$3&amp;$B$1&amp;$C$1)</f>
        <v>0</v>
      </c>
      <c r="AO7" s="12">
        <f>COUNTIF(defects!$AA:$AA,Monthly_TVPlantPmod!$B7&amp;Monthly_TVPlantPmod!$B$3&amp;$B$2&amp;Monthly_TVPlantPmod!AO$3&amp;$B$1&amp;$C$1)</f>
        <v>0</v>
      </c>
      <c r="AP7" s="12">
        <f>COUNTIF(defects!$AA:$AA,Monthly_TVPlantPmod!$B7&amp;Monthly_TVPlantPmod!$B$3&amp;$B$2&amp;Monthly_TVPlantPmod!AP$3&amp;$B$1&amp;$C$1)</f>
        <v>0</v>
      </c>
      <c r="AQ7" s="12"/>
      <c r="AR7" s="12">
        <f>HLOOKUP(AR$3,Weekly_TVPlantPmod!$3:$24,MATCH($B7,Weekly_TVPlantPmod!$B$3:$B$24,0),0)</f>
        <v>0</v>
      </c>
      <c r="AS7" s="12">
        <f>HLOOKUP(AS$3,Weekly_TVPlantPmod!$3:$24,MATCH($B7,Weekly_TVPlantPmod!$B$3:$B$24,0),0)</f>
        <v>0</v>
      </c>
      <c r="AT7" s="12">
        <f>HLOOKUP(AT$3,Weekly_TVPlantPmod!$3:$24,MATCH($B7,Weekly_TVPlantPmod!$B$3:$B$24,0),0)</f>
        <v>0</v>
      </c>
      <c r="AU7" s="12"/>
      <c r="AV7" s="12">
        <f t="shared" ref="AV7:AV24" si="2">SUM(F7:AP7)</f>
        <v>0</v>
      </c>
    </row>
    <row r="8" spans="2:48">
      <c r="B8" s="12" t="s">
        <v>955</v>
      </c>
      <c r="C8" s="12">
        <f t="shared" si="0"/>
        <v>1</v>
      </c>
      <c r="D8" s="12">
        <f t="shared" si="0"/>
        <v>0</v>
      </c>
      <c r="E8" s="12"/>
      <c r="F8" s="12">
        <f>COUNTIF(defects!$AA:$AA,Monthly_TVPlantPmod!$B8&amp;Monthly_TVPlantPmod!$B$3&amp;$B$2&amp;Monthly_TVPlantPmod!F$3&amp;$B$1&amp;$C$1)</f>
        <v>0</v>
      </c>
      <c r="G8" s="12">
        <f>COUNTIF(defects!$AA:$AA,Monthly_TVPlantPmod!$B8&amp;Monthly_TVPlantPmod!$B$3&amp;$B$2&amp;Monthly_TVPlantPmod!G$3&amp;$B$1&amp;$C$1)</f>
        <v>0</v>
      </c>
      <c r="H8" s="12">
        <f>COUNTIF(defects!$AA:$AA,Monthly_TVPlantPmod!$B8&amp;Monthly_TVPlantPmod!$B$3&amp;$B$2&amp;Monthly_TVPlantPmod!H$3&amp;$B$1&amp;$C$1)</f>
        <v>0</v>
      </c>
      <c r="I8" s="12">
        <f>COUNTIF(defects!$AA:$AA,Monthly_TVPlantPmod!$B8&amp;Monthly_TVPlantPmod!$B$3&amp;$B$2&amp;Monthly_TVPlantPmod!I$3&amp;$B$1&amp;$C$1)</f>
        <v>0</v>
      </c>
      <c r="J8" s="12">
        <f>COUNTIF(defects!$AA:$AA,Monthly_TVPlantPmod!$B8&amp;Monthly_TVPlantPmod!$B$3&amp;$B$2&amp;Monthly_TVPlantPmod!J$3&amp;$B$1&amp;$C$1)</f>
        <v>0</v>
      </c>
      <c r="K8" s="12">
        <f>COUNTIF(defects!$AA:$AA,Monthly_TVPlantPmod!$B8&amp;Monthly_TVPlantPmod!$B$3&amp;$B$2&amp;Monthly_TVPlantPmod!K$3&amp;$B$1&amp;$C$1)</f>
        <v>0</v>
      </c>
      <c r="L8" s="12">
        <f>COUNTIF(defects!$AA:$AA,Monthly_TVPlantPmod!$B8&amp;Monthly_TVPlantPmod!$B$3&amp;$B$2&amp;Monthly_TVPlantPmod!L$3&amp;$B$1&amp;$C$1)</f>
        <v>0</v>
      </c>
      <c r="M8" s="12">
        <f>COUNTIF(defects!$AA:$AA,Monthly_TVPlantPmod!$B8&amp;Monthly_TVPlantPmod!$B$3&amp;$B$2&amp;Monthly_TVPlantPmod!M$3&amp;$B$1&amp;$C$1)</f>
        <v>0</v>
      </c>
      <c r="N8" s="12">
        <f>COUNTIF(defects!$AA:$AA,Monthly_TVPlantPmod!$B8&amp;Monthly_TVPlantPmod!$B$3&amp;$B$2&amp;Monthly_TVPlantPmod!N$3&amp;$B$1&amp;$C$1)</f>
        <v>0</v>
      </c>
      <c r="O8" s="12">
        <f>COUNTIF(defects!$AA:$AA,Monthly_TVPlantPmod!$B8&amp;Monthly_TVPlantPmod!$B$3&amp;$B$2&amp;Monthly_TVPlantPmod!O$3&amp;$B$1&amp;$C$1)</f>
        <v>0</v>
      </c>
      <c r="P8" s="12">
        <f>COUNTIF(defects!$AA:$AA,Monthly_TVPlantPmod!$B8&amp;Monthly_TVPlantPmod!$B$3&amp;$B$2&amp;Monthly_TVPlantPmod!P$3&amp;$B$1&amp;$C$1)</f>
        <v>0</v>
      </c>
      <c r="Q8" s="12">
        <f>COUNTIF(defects!$AA:$AA,Monthly_TVPlantPmod!$B8&amp;Monthly_TVPlantPmod!$B$3&amp;$B$2&amp;Monthly_TVPlantPmod!Q$3&amp;$B$1&amp;$C$1)</f>
        <v>0</v>
      </c>
      <c r="R8" s="12">
        <f>COUNTIF(defects!$AA:$AA,Monthly_TVPlantPmod!$B8&amp;Monthly_TVPlantPmod!$B$3&amp;$B$2&amp;Monthly_TVPlantPmod!R$3&amp;$B$1&amp;$C$1)</f>
        <v>0</v>
      </c>
      <c r="S8" s="12">
        <f>COUNTIF(defects!$AA:$AA,Monthly_TVPlantPmod!$B8&amp;Monthly_TVPlantPmod!$B$3&amp;$B$2&amp;Monthly_TVPlantPmod!S$3&amp;$B$1&amp;$C$1)</f>
        <v>0</v>
      </c>
      <c r="T8" s="12">
        <f>COUNTIF(defects!$AA:$AA,Monthly_TVPlantPmod!$B8&amp;Monthly_TVPlantPmod!$B$3&amp;$B$2&amp;Monthly_TVPlantPmod!T$3&amp;$B$1&amp;$C$1)</f>
        <v>0</v>
      </c>
      <c r="U8" s="12">
        <f>COUNTIF(defects!$AA:$AA,Monthly_TVPlantPmod!$B8&amp;Monthly_TVPlantPmod!$B$3&amp;$B$2&amp;Monthly_TVPlantPmod!U$3&amp;$B$1&amp;$C$1)</f>
        <v>0</v>
      </c>
      <c r="V8" s="12">
        <f>COUNTIF(defects!$AA:$AA,Monthly_TVPlantPmod!$B8&amp;Monthly_TVPlantPmod!$B$3&amp;$B$2&amp;Monthly_TVPlantPmod!V$3&amp;$B$1&amp;$C$1)</f>
        <v>1</v>
      </c>
      <c r="W8" s="12">
        <f>COUNTIF(defects!$AA:$AA,Monthly_TVPlantPmod!$B8&amp;Monthly_TVPlantPmod!$B$3&amp;$B$2&amp;Monthly_TVPlantPmod!W$3&amp;$B$1&amp;$C$1)</f>
        <v>0</v>
      </c>
      <c r="X8" s="12">
        <f>COUNTIF(defects!$AA:$AA,Monthly_TVPlantPmod!$B8&amp;Monthly_TVPlantPmod!$B$3&amp;$B$2&amp;Monthly_TVPlantPmod!X$3&amp;$B$1&amp;$C$1)</f>
        <v>0</v>
      </c>
      <c r="Y8" s="12">
        <f>COUNTIF(defects!$AA:$AA,Monthly_TVPlantPmod!$B8&amp;Monthly_TVPlantPmod!$B$3&amp;$B$2&amp;Monthly_TVPlantPmod!Y$3&amp;$B$1&amp;$C$1)</f>
        <v>0</v>
      </c>
      <c r="Z8" s="12">
        <f>COUNTIF(defects!$AA:$AA,Monthly_TVPlantPmod!$B8&amp;Monthly_TVPlantPmod!$B$3&amp;$B$2&amp;Monthly_TVPlantPmod!Z$3&amp;$B$1&amp;$C$1)</f>
        <v>0</v>
      </c>
      <c r="AA8" s="12">
        <f>COUNTIF(defects!$AA:$AA,Monthly_TVPlantPmod!$B8&amp;Monthly_TVPlantPmod!$B$3&amp;$B$2&amp;Monthly_TVPlantPmod!AA$3&amp;$B$1&amp;$C$1)</f>
        <v>0</v>
      </c>
      <c r="AB8" s="12">
        <f>COUNTIF(defects!$AA:$AA,Monthly_TVPlantPmod!$B8&amp;Monthly_TVPlantPmod!$B$3&amp;$B$2&amp;Monthly_TVPlantPmod!AB$3&amp;$B$1&amp;$C$1)</f>
        <v>0</v>
      </c>
      <c r="AC8" s="12">
        <f>COUNTIF(defects!$AA:$AA,Monthly_TVPlantPmod!$B8&amp;Monthly_TVPlantPmod!$B$3&amp;$B$2&amp;Monthly_TVPlantPmod!AC$3&amp;$B$1&amp;$C$1)</f>
        <v>0</v>
      </c>
      <c r="AD8" s="12">
        <f>COUNTIF(defects!$AA:$AA,Monthly_TVPlantPmod!$B8&amp;Monthly_TVPlantPmod!$B$3&amp;$B$2&amp;Monthly_TVPlantPmod!AD$3&amp;$B$1&amp;$C$1)</f>
        <v>0</v>
      </c>
      <c r="AE8" s="12">
        <f>COUNTIF(defects!$AA:$AA,Monthly_TVPlantPmod!$B8&amp;Monthly_TVPlantPmod!$B$3&amp;$B$2&amp;Monthly_TVPlantPmod!AE$3&amp;$B$1&amp;$C$1)</f>
        <v>0</v>
      </c>
      <c r="AF8" s="12">
        <f>COUNTIF(defects!$AA:$AA,Monthly_TVPlantPmod!$B8&amp;Monthly_TVPlantPmod!$B$3&amp;$B$2&amp;Monthly_TVPlantPmod!AF$3&amp;$B$1&amp;$C$1)</f>
        <v>0</v>
      </c>
      <c r="AG8" s="12">
        <f>COUNTIF(defects!$AA:$AA,Monthly_TVPlantPmod!$B8&amp;Monthly_TVPlantPmod!$B$3&amp;$B$2&amp;Monthly_TVPlantPmod!AG$3&amp;$B$1&amp;$C$1)</f>
        <v>0</v>
      </c>
      <c r="AH8" s="12">
        <f>COUNTIF(defects!$AA:$AA,Monthly_TVPlantPmod!$B8&amp;Monthly_TVPlantPmod!$B$3&amp;$B$2&amp;Monthly_TVPlantPmod!AH$3&amp;$B$1&amp;$C$1)</f>
        <v>0</v>
      </c>
      <c r="AI8" s="12">
        <f>COUNTIF(defects!$AA:$AA,Monthly_TVPlantPmod!$B8&amp;Monthly_TVPlantPmod!$B$3&amp;$B$2&amp;Monthly_TVPlantPmod!AI$3&amp;$B$1&amp;$C$1)</f>
        <v>0</v>
      </c>
      <c r="AJ8" s="12">
        <f>COUNTIF(defects!$AA:$AA,Monthly_TVPlantPmod!$B8&amp;Monthly_TVPlantPmod!$B$3&amp;$B$2&amp;Monthly_TVPlantPmod!AJ$3&amp;$B$1&amp;$C$1)</f>
        <v>0</v>
      </c>
      <c r="AK8" s="12">
        <f>COUNTIF(defects!$AA:$AA,Monthly_TVPlantPmod!$B8&amp;Monthly_TVPlantPmod!$B$3&amp;$B$2&amp;Monthly_TVPlantPmod!AK$3&amp;$B$1&amp;$C$1)</f>
        <v>0</v>
      </c>
      <c r="AL8" s="12">
        <f>COUNTIF(defects!$AA:$AA,Monthly_TVPlantPmod!$B8&amp;Monthly_TVPlantPmod!$B$3&amp;$B$2&amp;Monthly_TVPlantPmod!AL$3&amp;$B$1&amp;$C$1)</f>
        <v>0</v>
      </c>
      <c r="AM8" s="12">
        <f>COUNTIF(defects!$AA:$AA,Monthly_TVPlantPmod!$B8&amp;Monthly_TVPlantPmod!$B$3&amp;$B$2&amp;Monthly_TVPlantPmod!AM$3&amp;$B$1&amp;$C$1)</f>
        <v>0</v>
      </c>
      <c r="AN8" s="12">
        <f>COUNTIF(defects!$AA:$AA,Monthly_TVPlantPmod!$B8&amp;Monthly_TVPlantPmod!$B$3&amp;$B$2&amp;Monthly_TVPlantPmod!AN$3&amp;$B$1&amp;$C$1)</f>
        <v>0</v>
      </c>
      <c r="AO8" s="12">
        <f>COUNTIF(defects!$AA:$AA,Monthly_TVPlantPmod!$B8&amp;Monthly_TVPlantPmod!$B$3&amp;$B$2&amp;Monthly_TVPlantPmod!AO$3&amp;$B$1&amp;$C$1)</f>
        <v>0</v>
      </c>
      <c r="AP8" s="12">
        <f>COUNTIF(defects!$AA:$AA,Monthly_TVPlantPmod!$B8&amp;Monthly_TVPlantPmod!$B$3&amp;$B$2&amp;Monthly_TVPlantPmod!AP$3&amp;$B$1&amp;$C$1)</f>
        <v>0</v>
      </c>
      <c r="AQ8" s="12"/>
      <c r="AR8" s="12">
        <f>HLOOKUP(AR$3,Weekly_TVPlantPmod!$3:$24,MATCH($B8,Weekly_TVPlantPmod!$B$3:$B$24,0),0)</f>
        <v>0</v>
      </c>
      <c r="AS8" s="12">
        <f>HLOOKUP(AS$3,Weekly_TVPlantPmod!$3:$24,MATCH($B8,Weekly_TVPlantPmod!$B$3:$B$24,0),0)</f>
        <v>0</v>
      </c>
      <c r="AT8" s="12">
        <f>HLOOKUP(AT$3,Weekly_TVPlantPmod!$3:$24,MATCH($B8,Weekly_TVPlantPmod!$B$3:$B$24,0),0)</f>
        <v>0</v>
      </c>
      <c r="AU8" s="12"/>
      <c r="AV8" s="12">
        <f t="shared" si="2"/>
        <v>1</v>
      </c>
    </row>
    <row r="9" spans="2:48">
      <c r="B9" s="12" t="s">
        <v>953</v>
      </c>
      <c r="C9" s="12">
        <f t="shared" si="0"/>
        <v>1</v>
      </c>
      <c r="D9" s="12">
        <f t="shared" si="0"/>
        <v>0</v>
      </c>
      <c r="E9" s="12"/>
      <c r="F9" s="12">
        <f>COUNTIF(defects!$AA:$AA,Monthly_TVPlantPmod!$B9&amp;Monthly_TVPlantPmod!$B$3&amp;$B$2&amp;Monthly_TVPlantPmod!F$3&amp;$B$1&amp;$C$1)</f>
        <v>0</v>
      </c>
      <c r="G9" s="12">
        <f>COUNTIF(defects!$AA:$AA,Monthly_TVPlantPmod!$B9&amp;Monthly_TVPlantPmod!$B$3&amp;$B$2&amp;Monthly_TVPlantPmod!G$3&amp;$B$1&amp;$C$1)</f>
        <v>0</v>
      </c>
      <c r="H9" s="12">
        <f>COUNTIF(defects!$AA:$AA,Monthly_TVPlantPmod!$B9&amp;Monthly_TVPlantPmod!$B$3&amp;$B$2&amp;Monthly_TVPlantPmod!H$3&amp;$B$1&amp;$C$1)</f>
        <v>0</v>
      </c>
      <c r="I9" s="12">
        <f>COUNTIF(defects!$AA:$AA,Monthly_TVPlantPmod!$B9&amp;Monthly_TVPlantPmod!$B$3&amp;$B$2&amp;Monthly_TVPlantPmod!I$3&amp;$B$1&amp;$C$1)</f>
        <v>0</v>
      </c>
      <c r="J9" s="12">
        <f>COUNTIF(defects!$AA:$AA,Monthly_TVPlantPmod!$B9&amp;Monthly_TVPlantPmod!$B$3&amp;$B$2&amp;Monthly_TVPlantPmod!J$3&amp;$B$1&amp;$C$1)</f>
        <v>0</v>
      </c>
      <c r="K9" s="12">
        <f>COUNTIF(defects!$AA:$AA,Monthly_TVPlantPmod!$B9&amp;Monthly_TVPlantPmod!$B$3&amp;$B$2&amp;Monthly_TVPlantPmod!K$3&amp;$B$1&amp;$C$1)</f>
        <v>0</v>
      </c>
      <c r="L9" s="12">
        <f>COUNTIF(defects!$AA:$AA,Monthly_TVPlantPmod!$B9&amp;Monthly_TVPlantPmod!$B$3&amp;$B$2&amp;Monthly_TVPlantPmod!L$3&amp;$B$1&amp;$C$1)</f>
        <v>0</v>
      </c>
      <c r="M9" s="12">
        <f>COUNTIF(defects!$AA:$AA,Monthly_TVPlantPmod!$B9&amp;Monthly_TVPlantPmod!$B$3&amp;$B$2&amp;Monthly_TVPlantPmod!M$3&amp;$B$1&amp;$C$1)</f>
        <v>0</v>
      </c>
      <c r="N9" s="12">
        <f>COUNTIF(defects!$AA:$AA,Monthly_TVPlantPmod!$B9&amp;Monthly_TVPlantPmod!$B$3&amp;$B$2&amp;Monthly_TVPlantPmod!N$3&amp;$B$1&amp;$C$1)</f>
        <v>0</v>
      </c>
      <c r="O9" s="12">
        <f>COUNTIF(defects!$AA:$AA,Monthly_TVPlantPmod!$B9&amp;Monthly_TVPlantPmod!$B$3&amp;$B$2&amp;Monthly_TVPlantPmod!O$3&amp;$B$1&amp;$C$1)</f>
        <v>0</v>
      </c>
      <c r="P9" s="12">
        <f>COUNTIF(defects!$AA:$AA,Monthly_TVPlantPmod!$B9&amp;Monthly_TVPlantPmod!$B$3&amp;$B$2&amp;Monthly_TVPlantPmod!P$3&amp;$B$1&amp;$C$1)</f>
        <v>0</v>
      </c>
      <c r="Q9" s="12">
        <f>COUNTIF(defects!$AA:$AA,Monthly_TVPlantPmod!$B9&amp;Monthly_TVPlantPmod!$B$3&amp;$B$2&amp;Monthly_TVPlantPmod!Q$3&amp;$B$1&amp;$C$1)</f>
        <v>0</v>
      </c>
      <c r="R9" s="12">
        <f>COUNTIF(defects!$AA:$AA,Monthly_TVPlantPmod!$B9&amp;Monthly_TVPlantPmod!$B$3&amp;$B$2&amp;Monthly_TVPlantPmod!R$3&amp;$B$1&amp;$C$1)</f>
        <v>0</v>
      </c>
      <c r="S9" s="12">
        <f>COUNTIF(defects!$AA:$AA,Monthly_TVPlantPmod!$B9&amp;Monthly_TVPlantPmod!$B$3&amp;$B$2&amp;Monthly_TVPlantPmod!S$3&amp;$B$1&amp;$C$1)</f>
        <v>0</v>
      </c>
      <c r="T9" s="12">
        <f>COUNTIF(defects!$AA:$AA,Monthly_TVPlantPmod!$B9&amp;Monthly_TVPlantPmod!$B$3&amp;$B$2&amp;Monthly_TVPlantPmod!T$3&amp;$B$1&amp;$C$1)</f>
        <v>0</v>
      </c>
      <c r="U9" s="12">
        <f>COUNTIF(defects!$AA:$AA,Monthly_TVPlantPmod!$B9&amp;Monthly_TVPlantPmod!$B$3&amp;$B$2&amp;Monthly_TVPlantPmod!U$3&amp;$B$1&amp;$C$1)</f>
        <v>0</v>
      </c>
      <c r="V9" s="12">
        <f>COUNTIF(defects!$AA:$AA,Monthly_TVPlantPmod!$B9&amp;Monthly_TVPlantPmod!$B$3&amp;$B$2&amp;Monthly_TVPlantPmod!V$3&amp;$B$1&amp;$C$1)</f>
        <v>0</v>
      </c>
      <c r="W9" s="12">
        <f>COUNTIF(defects!$AA:$AA,Monthly_TVPlantPmod!$B9&amp;Monthly_TVPlantPmod!$B$3&amp;$B$2&amp;Monthly_TVPlantPmod!W$3&amp;$B$1&amp;$C$1)</f>
        <v>0</v>
      </c>
      <c r="X9" s="12">
        <f>COUNTIF(defects!$AA:$AA,Monthly_TVPlantPmod!$B9&amp;Monthly_TVPlantPmod!$B$3&amp;$B$2&amp;Monthly_TVPlantPmod!X$3&amp;$B$1&amp;$C$1)</f>
        <v>1</v>
      </c>
      <c r="Y9" s="12">
        <f>COUNTIF(defects!$AA:$AA,Monthly_TVPlantPmod!$B9&amp;Monthly_TVPlantPmod!$B$3&amp;$B$2&amp;Monthly_TVPlantPmod!Y$3&amp;$B$1&amp;$C$1)</f>
        <v>0</v>
      </c>
      <c r="Z9" s="12">
        <f>COUNTIF(defects!$AA:$AA,Monthly_TVPlantPmod!$B9&amp;Monthly_TVPlantPmod!$B$3&amp;$B$2&amp;Monthly_TVPlantPmod!Z$3&amp;$B$1&amp;$C$1)</f>
        <v>0</v>
      </c>
      <c r="AA9" s="12">
        <f>COUNTIF(defects!$AA:$AA,Monthly_TVPlantPmod!$B9&amp;Monthly_TVPlantPmod!$B$3&amp;$B$2&amp;Monthly_TVPlantPmod!AA$3&amp;$B$1&amp;$C$1)</f>
        <v>0</v>
      </c>
      <c r="AB9" s="12">
        <f>COUNTIF(defects!$AA:$AA,Monthly_TVPlantPmod!$B9&amp;Monthly_TVPlantPmod!$B$3&amp;$B$2&amp;Monthly_TVPlantPmod!AB$3&amp;$B$1&amp;$C$1)</f>
        <v>0</v>
      </c>
      <c r="AC9" s="12">
        <f>COUNTIF(defects!$AA:$AA,Monthly_TVPlantPmod!$B9&amp;Monthly_TVPlantPmod!$B$3&amp;$B$2&amp;Monthly_TVPlantPmod!AC$3&amp;$B$1&amp;$C$1)</f>
        <v>0</v>
      </c>
      <c r="AD9" s="12">
        <f>COUNTIF(defects!$AA:$AA,Monthly_TVPlantPmod!$B9&amp;Monthly_TVPlantPmod!$B$3&amp;$B$2&amp;Monthly_TVPlantPmod!AD$3&amp;$B$1&amp;$C$1)</f>
        <v>0</v>
      </c>
      <c r="AE9" s="12">
        <f>COUNTIF(defects!$AA:$AA,Monthly_TVPlantPmod!$B9&amp;Monthly_TVPlantPmod!$B$3&amp;$B$2&amp;Monthly_TVPlantPmod!AE$3&amp;$B$1&amp;$C$1)</f>
        <v>0</v>
      </c>
      <c r="AF9" s="12">
        <f>COUNTIF(defects!$AA:$AA,Monthly_TVPlantPmod!$B9&amp;Monthly_TVPlantPmod!$B$3&amp;$B$2&amp;Monthly_TVPlantPmod!AF$3&amp;$B$1&amp;$C$1)</f>
        <v>0</v>
      </c>
      <c r="AG9" s="12">
        <f>COUNTIF(defects!$AA:$AA,Monthly_TVPlantPmod!$B9&amp;Monthly_TVPlantPmod!$B$3&amp;$B$2&amp;Monthly_TVPlantPmod!AG$3&amp;$B$1&amp;$C$1)</f>
        <v>0</v>
      </c>
      <c r="AH9" s="12">
        <f>COUNTIF(defects!$AA:$AA,Monthly_TVPlantPmod!$B9&amp;Monthly_TVPlantPmod!$B$3&amp;$B$2&amp;Monthly_TVPlantPmod!AH$3&amp;$B$1&amp;$C$1)</f>
        <v>0</v>
      </c>
      <c r="AI9" s="12">
        <f>COUNTIF(defects!$AA:$AA,Monthly_TVPlantPmod!$B9&amp;Monthly_TVPlantPmod!$B$3&amp;$B$2&amp;Monthly_TVPlantPmod!AI$3&amp;$B$1&amp;$C$1)</f>
        <v>0</v>
      </c>
      <c r="AJ9" s="12">
        <f>COUNTIF(defects!$AA:$AA,Monthly_TVPlantPmod!$B9&amp;Monthly_TVPlantPmod!$B$3&amp;$B$2&amp;Monthly_TVPlantPmod!AJ$3&amp;$B$1&amp;$C$1)</f>
        <v>0</v>
      </c>
      <c r="AK9" s="12">
        <f>COUNTIF(defects!$AA:$AA,Monthly_TVPlantPmod!$B9&amp;Monthly_TVPlantPmod!$B$3&amp;$B$2&amp;Monthly_TVPlantPmod!AK$3&amp;$B$1&amp;$C$1)</f>
        <v>0</v>
      </c>
      <c r="AL9" s="12">
        <f>COUNTIF(defects!$AA:$AA,Monthly_TVPlantPmod!$B9&amp;Monthly_TVPlantPmod!$B$3&amp;$B$2&amp;Monthly_TVPlantPmod!AL$3&amp;$B$1&amp;$C$1)</f>
        <v>0</v>
      </c>
      <c r="AM9" s="12">
        <f>COUNTIF(defects!$AA:$AA,Monthly_TVPlantPmod!$B9&amp;Monthly_TVPlantPmod!$B$3&amp;$B$2&amp;Monthly_TVPlantPmod!AM$3&amp;$B$1&amp;$C$1)</f>
        <v>0</v>
      </c>
      <c r="AN9" s="12">
        <f>COUNTIF(defects!$AA:$AA,Monthly_TVPlantPmod!$B9&amp;Monthly_TVPlantPmod!$B$3&amp;$B$2&amp;Monthly_TVPlantPmod!AN$3&amp;$B$1&amp;$C$1)</f>
        <v>0</v>
      </c>
      <c r="AO9" s="12">
        <f>COUNTIF(defects!$AA:$AA,Monthly_TVPlantPmod!$B9&amp;Monthly_TVPlantPmod!$B$3&amp;$B$2&amp;Monthly_TVPlantPmod!AO$3&amp;$B$1&amp;$C$1)</f>
        <v>0</v>
      </c>
      <c r="AP9" s="12">
        <f>COUNTIF(defects!$AA:$AA,Monthly_TVPlantPmod!$B9&amp;Monthly_TVPlantPmod!$B$3&amp;$B$2&amp;Monthly_TVPlantPmod!AP$3&amp;$B$1&amp;$C$1)</f>
        <v>0</v>
      </c>
      <c r="AQ9" s="12"/>
      <c r="AR9" s="12">
        <f>HLOOKUP(AR$3,Weekly_TVPlantPmod!$3:$24,MATCH($B9,Weekly_TVPlantPmod!$B$3:$B$24,0),0)</f>
        <v>0</v>
      </c>
      <c r="AS9" s="12">
        <f>HLOOKUP(AS$3,Weekly_TVPlantPmod!$3:$24,MATCH($B9,Weekly_TVPlantPmod!$B$3:$B$24,0),0)</f>
        <v>0</v>
      </c>
      <c r="AT9" s="12">
        <f>HLOOKUP(AT$3,Weekly_TVPlantPmod!$3:$24,MATCH($B9,Weekly_TVPlantPmod!$B$3:$B$24,0),0)</f>
        <v>0</v>
      </c>
      <c r="AU9" s="12"/>
      <c r="AV9" s="12">
        <f t="shared" si="2"/>
        <v>1</v>
      </c>
    </row>
    <row r="10" spans="2:48">
      <c r="B10" s="12" t="s">
        <v>954</v>
      </c>
      <c r="C10" s="12">
        <f t="shared" si="0"/>
        <v>5</v>
      </c>
      <c r="D10" s="12">
        <f t="shared" si="0"/>
        <v>0</v>
      </c>
      <c r="E10" s="12"/>
      <c r="F10" s="12">
        <f>COUNTIF(defects!$AA:$AA,Monthly_TVPlantPmod!$B10&amp;Monthly_TVPlantPmod!$B$3&amp;$B$2&amp;Monthly_TVPlantPmod!F$3&amp;$B$1&amp;$C$1)</f>
        <v>0</v>
      </c>
      <c r="G10" s="12">
        <f>COUNTIF(defects!$AA:$AA,Monthly_TVPlantPmod!$B10&amp;Monthly_TVPlantPmod!$B$3&amp;$B$2&amp;Monthly_TVPlantPmod!G$3&amp;$B$1&amp;$C$1)</f>
        <v>0</v>
      </c>
      <c r="H10" s="12">
        <f>COUNTIF(defects!$AA:$AA,Monthly_TVPlantPmod!$B10&amp;Monthly_TVPlantPmod!$B$3&amp;$B$2&amp;Monthly_TVPlantPmod!H$3&amp;$B$1&amp;$C$1)</f>
        <v>0</v>
      </c>
      <c r="I10" s="12">
        <f>COUNTIF(defects!$AA:$AA,Monthly_TVPlantPmod!$B10&amp;Monthly_TVPlantPmod!$B$3&amp;$B$2&amp;Monthly_TVPlantPmod!I$3&amp;$B$1&amp;$C$1)</f>
        <v>0</v>
      </c>
      <c r="J10" s="12">
        <f>COUNTIF(defects!$AA:$AA,Monthly_TVPlantPmod!$B10&amp;Monthly_TVPlantPmod!$B$3&amp;$B$2&amp;Monthly_TVPlantPmod!J$3&amp;$B$1&amp;$C$1)</f>
        <v>0</v>
      </c>
      <c r="K10" s="12">
        <f>COUNTIF(defects!$AA:$AA,Monthly_TVPlantPmod!$B10&amp;Monthly_TVPlantPmod!$B$3&amp;$B$2&amp;Monthly_TVPlantPmod!K$3&amp;$B$1&amp;$C$1)</f>
        <v>0</v>
      </c>
      <c r="L10" s="12">
        <f>COUNTIF(defects!$AA:$AA,Monthly_TVPlantPmod!$B10&amp;Monthly_TVPlantPmod!$B$3&amp;$B$2&amp;Monthly_TVPlantPmod!L$3&amp;$B$1&amp;$C$1)</f>
        <v>0</v>
      </c>
      <c r="M10" s="12">
        <f>COUNTIF(defects!$AA:$AA,Monthly_TVPlantPmod!$B10&amp;Monthly_TVPlantPmod!$B$3&amp;$B$2&amp;Monthly_TVPlantPmod!M$3&amp;$B$1&amp;$C$1)</f>
        <v>0</v>
      </c>
      <c r="N10" s="12">
        <f>COUNTIF(defects!$AA:$AA,Monthly_TVPlantPmod!$B10&amp;Monthly_TVPlantPmod!$B$3&amp;$B$2&amp;Monthly_TVPlantPmod!N$3&amp;$B$1&amp;$C$1)</f>
        <v>0</v>
      </c>
      <c r="O10" s="12">
        <f>COUNTIF(defects!$AA:$AA,Monthly_TVPlantPmod!$B10&amp;Monthly_TVPlantPmod!$B$3&amp;$B$2&amp;Monthly_TVPlantPmod!O$3&amp;$B$1&amp;$C$1)</f>
        <v>0</v>
      </c>
      <c r="P10" s="12">
        <f>COUNTIF(defects!$AA:$AA,Monthly_TVPlantPmod!$B10&amp;Monthly_TVPlantPmod!$B$3&amp;$B$2&amp;Monthly_TVPlantPmod!P$3&amp;$B$1&amp;$C$1)</f>
        <v>0</v>
      </c>
      <c r="Q10" s="12">
        <f>COUNTIF(defects!$AA:$AA,Monthly_TVPlantPmod!$B10&amp;Monthly_TVPlantPmod!$B$3&amp;$B$2&amp;Monthly_TVPlantPmod!Q$3&amp;$B$1&amp;$C$1)</f>
        <v>0</v>
      </c>
      <c r="R10" s="12">
        <f>COUNTIF(defects!$AA:$AA,Monthly_TVPlantPmod!$B10&amp;Monthly_TVPlantPmod!$B$3&amp;$B$2&amp;Monthly_TVPlantPmod!R$3&amp;$B$1&amp;$C$1)</f>
        <v>0</v>
      </c>
      <c r="S10" s="12">
        <f>COUNTIF(defects!$AA:$AA,Monthly_TVPlantPmod!$B10&amp;Monthly_TVPlantPmod!$B$3&amp;$B$2&amp;Monthly_TVPlantPmod!S$3&amp;$B$1&amp;$C$1)</f>
        <v>0</v>
      </c>
      <c r="T10" s="12">
        <f>COUNTIF(defects!$AA:$AA,Monthly_TVPlantPmod!$B10&amp;Monthly_TVPlantPmod!$B$3&amp;$B$2&amp;Monthly_TVPlantPmod!T$3&amp;$B$1&amp;$C$1)</f>
        <v>0</v>
      </c>
      <c r="U10" s="12">
        <f>COUNTIF(defects!$AA:$AA,Monthly_TVPlantPmod!$B10&amp;Monthly_TVPlantPmod!$B$3&amp;$B$2&amp;Monthly_TVPlantPmod!U$3&amp;$B$1&amp;$C$1)</f>
        <v>0</v>
      </c>
      <c r="V10" s="12">
        <f>COUNTIF(defects!$AA:$AA,Monthly_TVPlantPmod!$B10&amp;Monthly_TVPlantPmod!$B$3&amp;$B$2&amp;Monthly_TVPlantPmod!V$3&amp;$B$1&amp;$C$1)</f>
        <v>0</v>
      </c>
      <c r="W10" s="12">
        <f>COUNTIF(defects!$AA:$AA,Monthly_TVPlantPmod!$B10&amp;Monthly_TVPlantPmod!$B$3&amp;$B$2&amp;Monthly_TVPlantPmod!W$3&amp;$B$1&amp;$C$1)</f>
        <v>1</v>
      </c>
      <c r="X10" s="12">
        <f>COUNTIF(defects!$AA:$AA,Monthly_TVPlantPmod!$B10&amp;Monthly_TVPlantPmod!$B$3&amp;$B$2&amp;Monthly_TVPlantPmod!X$3&amp;$B$1&amp;$C$1)</f>
        <v>0</v>
      </c>
      <c r="Y10" s="12">
        <f>COUNTIF(defects!$AA:$AA,Monthly_TVPlantPmod!$B10&amp;Monthly_TVPlantPmod!$B$3&amp;$B$2&amp;Monthly_TVPlantPmod!Y$3&amp;$B$1&amp;$C$1)</f>
        <v>1</v>
      </c>
      <c r="Z10" s="12">
        <f>COUNTIF(defects!$AA:$AA,Monthly_TVPlantPmod!$B10&amp;Monthly_TVPlantPmod!$B$3&amp;$B$2&amp;Monthly_TVPlantPmod!Z$3&amp;$B$1&amp;$C$1)</f>
        <v>2</v>
      </c>
      <c r="AA10" s="12">
        <f>COUNTIF(defects!$AA:$AA,Monthly_TVPlantPmod!$B10&amp;Monthly_TVPlantPmod!$B$3&amp;$B$2&amp;Monthly_TVPlantPmod!AA$3&amp;$B$1&amp;$C$1)</f>
        <v>0</v>
      </c>
      <c r="AB10" s="12">
        <f>COUNTIF(defects!$AA:$AA,Monthly_TVPlantPmod!$B10&amp;Monthly_TVPlantPmod!$B$3&amp;$B$2&amp;Monthly_TVPlantPmod!AB$3&amp;$B$1&amp;$C$1)</f>
        <v>0</v>
      </c>
      <c r="AC10" s="12">
        <f>COUNTIF(defects!$AA:$AA,Monthly_TVPlantPmod!$B10&amp;Monthly_TVPlantPmod!$B$3&amp;$B$2&amp;Monthly_TVPlantPmod!AC$3&amp;$B$1&amp;$C$1)</f>
        <v>1</v>
      </c>
      <c r="AD10" s="12">
        <f>COUNTIF(defects!$AA:$AA,Monthly_TVPlantPmod!$B10&amp;Monthly_TVPlantPmod!$B$3&amp;$B$2&amp;Monthly_TVPlantPmod!AD$3&amp;$B$1&amp;$C$1)</f>
        <v>0</v>
      </c>
      <c r="AE10" s="12">
        <f>COUNTIF(defects!$AA:$AA,Monthly_TVPlantPmod!$B10&amp;Monthly_TVPlantPmod!$B$3&amp;$B$2&amp;Monthly_TVPlantPmod!AE$3&amp;$B$1&amp;$C$1)</f>
        <v>0</v>
      </c>
      <c r="AF10" s="12">
        <f>COUNTIF(defects!$AA:$AA,Monthly_TVPlantPmod!$B10&amp;Monthly_TVPlantPmod!$B$3&amp;$B$2&amp;Monthly_TVPlantPmod!AF$3&amp;$B$1&amp;$C$1)</f>
        <v>0</v>
      </c>
      <c r="AG10" s="12">
        <f>COUNTIF(defects!$AA:$AA,Monthly_TVPlantPmod!$B10&amp;Monthly_TVPlantPmod!$B$3&amp;$B$2&amp;Monthly_TVPlantPmod!AG$3&amp;$B$1&amp;$C$1)</f>
        <v>0</v>
      </c>
      <c r="AH10" s="12">
        <f>COUNTIF(defects!$AA:$AA,Monthly_TVPlantPmod!$B10&amp;Monthly_TVPlantPmod!$B$3&amp;$B$2&amp;Monthly_TVPlantPmod!AH$3&amp;$B$1&amp;$C$1)</f>
        <v>0</v>
      </c>
      <c r="AI10" s="12">
        <f>COUNTIF(defects!$AA:$AA,Monthly_TVPlantPmod!$B10&amp;Monthly_TVPlantPmod!$B$3&amp;$B$2&amp;Monthly_TVPlantPmod!AI$3&amp;$B$1&amp;$C$1)</f>
        <v>0</v>
      </c>
      <c r="AJ10" s="12">
        <f>COUNTIF(defects!$AA:$AA,Monthly_TVPlantPmod!$B10&amp;Monthly_TVPlantPmod!$B$3&amp;$B$2&amp;Monthly_TVPlantPmod!AJ$3&amp;$B$1&amp;$C$1)</f>
        <v>0</v>
      </c>
      <c r="AK10" s="12">
        <f>COUNTIF(defects!$AA:$AA,Monthly_TVPlantPmod!$B10&amp;Monthly_TVPlantPmod!$B$3&amp;$B$2&amp;Monthly_TVPlantPmod!AK$3&amp;$B$1&amp;$C$1)</f>
        <v>0</v>
      </c>
      <c r="AL10" s="12">
        <f>COUNTIF(defects!$AA:$AA,Monthly_TVPlantPmod!$B10&amp;Monthly_TVPlantPmod!$B$3&amp;$B$2&amp;Monthly_TVPlantPmod!AL$3&amp;$B$1&amp;$C$1)</f>
        <v>0</v>
      </c>
      <c r="AM10" s="12">
        <f>COUNTIF(defects!$AA:$AA,Monthly_TVPlantPmod!$B10&amp;Monthly_TVPlantPmod!$B$3&amp;$B$2&amp;Monthly_TVPlantPmod!AM$3&amp;$B$1&amp;$C$1)</f>
        <v>0</v>
      </c>
      <c r="AN10" s="12">
        <f>COUNTIF(defects!$AA:$AA,Monthly_TVPlantPmod!$B10&amp;Monthly_TVPlantPmod!$B$3&amp;$B$2&amp;Monthly_TVPlantPmod!AN$3&amp;$B$1&amp;$C$1)</f>
        <v>0</v>
      </c>
      <c r="AO10" s="12">
        <f>COUNTIF(defects!$AA:$AA,Monthly_TVPlantPmod!$B10&amp;Monthly_TVPlantPmod!$B$3&amp;$B$2&amp;Monthly_TVPlantPmod!AO$3&amp;$B$1&amp;$C$1)</f>
        <v>0</v>
      </c>
      <c r="AP10" s="12">
        <f>COUNTIF(defects!$AA:$AA,Monthly_TVPlantPmod!$B10&amp;Monthly_TVPlantPmod!$B$3&amp;$B$2&amp;Monthly_TVPlantPmod!AP$3&amp;$B$1&amp;$C$1)</f>
        <v>0</v>
      </c>
      <c r="AQ10" s="12"/>
      <c r="AR10" s="12">
        <f>HLOOKUP(AR$3,Weekly_TVPlantPmod!$3:$24,MATCH($B10,Weekly_TVPlantPmod!$B$3:$B$24,0),0)</f>
        <v>0</v>
      </c>
      <c r="AS10" s="12">
        <f>HLOOKUP(AS$3,Weekly_TVPlantPmod!$3:$24,MATCH($B10,Weekly_TVPlantPmod!$B$3:$B$24,0),0)</f>
        <v>1</v>
      </c>
      <c r="AT10" s="12">
        <f>HLOOKUP(AT$3,Weekly_TVPlantPmod!$3:$24,MATCH($B10,Weekly_TVPlantPmod!$B$3:$B$24,0),0)</f>
        <v>0</v>
      </c>
      <c r="AU10" s="12"/>
      <c r="AV10" s="12">
        <f t="shared" si="2"/>
        <v>5</v>
      </c>
    </row>
    <row r="11" spans="2:48">
      <c r="B11" s="12" t="s">
        <v>956</v>
      </c>
      <c r="C11" s="12">
        <f t="shared" si="0"/>
        <v>2</v>
      </c>
      <c r="D11" s="12">
        <f t="shared" si="0"/>
        <v>0</v>
      </c>
      <c r="E11" s="12"/>
      <c r="F11" s="12">
        <f>COUNTIF(defects!$AA:$AA,Monthly_TVPlantPmod!$B11&amp;Monthly_TVPlantPmod!$B$3&amp;$B$2&amp;Monthly_TVPlantPmod!F$3&amp;$B$1&amp;$C$1)</f>
        <v>0</v>
      </c>
      <c r="G11" s="12">
        <f>COUNTIF(defects!$AA:$AA,Monthly_TVPlantPmod!$B11&amp;Monthly_TVPlantPmod!$B$3&amp;$B$2&amp;Monthly_TVPlantPmod!G$3&amp;$B$1&amp;$C$1)</f>
        <v>0</v>
      </c>
      <c r="H11" s="12">
        <f>COUNTIF(defects!$AA:$AA,Monthly_TVPlantPmod!$B11&amp;Monthly_TVPlantPmod!$B$3&amp;$B$2&amp;Monthly_TVPlantPmod!H$3&amp;$B$1&amp;$C$1)</f>
        <v>0</v>
      </c>
      <c r="I11" s="12">
        <f>COUNTIF(defects!$AA:$AA,Monthly_TVPlantPmod!$B11&amp;Monthly_TVPlantPmod!$B$3&amp;$B$2&amp;Monthly_TVPlantPmod!I$3&amp;$B$1&amp;$C$1)</f>
        <v>0</v>
      </c>
      <c r="J11" s="12">
        <f>COUNTIF(defects!$AA:$AA,Monthly_TVPlantPmod!$B11&amp;Monthly_TVPlantPmod!$B$3&amp;$B$2&amp;Monthly_TVPlantPmod!J$3&amp;$B$1&amp;$C$1)</f>
        <v>0</v>
      </c>
      <c r="K11" s="12">
        <f>COUNTIF(defects!$AA:$AA,Monthly_TVPlantPmod!$B11&amp;Monthly_TVPlantPmod!$B$3&amp;$B$2&amp;Monthly_TVPlantPmod!K$3&amp;$B$1&amp;$C$1)</f>
        <v>0</v>
      </c>
      <c r="L11" s="12">
        <f>COUNTIF(defects!$AA:$AA,Monthly_TVPlantPmod!$B11&amp;Monthly_TVPlantPmod!$B$3&amp;$B$2&amp;Monthly_TVPlantPmod!L$3&amp;$B$1&amp;$C$1)</f>
        <v>0</v>
      </c>
      <c r="M11" s="12">
        <f>COUNTIF(defects!$AA:$AA,Monthly_TVPlantPmod!$B11&amp;Monthly_TVPlantPmod!$B$3&amp;$B$2&amp;Monthly_TVPlantPmod!M$3&amp;$B$1&amp;$C$1)</f>
        <v>0</v>
      </c>
      <c r="N11" s="12">
        <f>COUNTIF(defects!$AA:$AA,Monthly_TVPlantPmod!$B11&amp;Monthly_TVPlantPmod!$B$3&amp;$B$2&amp;Monthly_TVPlantPmod!N$3&amp;$B$1&amp;$C$1)</f>
        <v>0</v>
      </c>
      <c r="O11" s="12">
        <f>COUNTIF(defects!$AA:$AA,Monthly_TVPlantPmod!$B11&amp;Monthly_TVPlantPmod!$B$3&amp;$B$2&amp;Monthly_TVPlantPmod!O$3&amp;$B$1&amp;$C$1)</f>
        <v>0</v>
      </c>
      <c r="P11" s="12">
        <f>COUNTIF(defects!$AA:$AA,Monthly_TVPlantPmod!$B11&amp;Monthly_TVPlantPmod!$B$3&amp;$B$2&amp;Monthly_TVPlantPmod!P$3&amp;$B$1&amp;$C$1)</f>
        <v>0</v>
      </c>
      <c r="Q11" s="12">
        <f>COUNTIF(defects!$AA:$AA,Monthly_TVPlantPmod!$B11&amp;Monthly_TVPlantPmod!$B$3&amp;$B$2&amp;Monthly_TVPlantPmod!Q$3&amp;$B$1&amp;$C$1)</f>
        <v>0</v>
      </c>
      <c r="R11" s="12">
        <f>COUNTIF(defects!$AA:$AA,Monthly_TVPlantPmod!$B11&amp;Monthly_TVPlantPmod!$B$3&amp;$B$2&amp;Monthly_TVPlantPmod!R$3&amp;$B$1&amp;$C$1)</f>
        <v>0</v>
      </c>
      <c r="S11" s="12">
        <f>COUNTIF(defects!$AA:$AA,Monthly_TVPlantPmod!$B11&amp;Monthly_TVPlantPmod!$B$3&amp;$B$2&amp;Monthly_TVPlantPmod!S$3&amp;$B$1&amp;$C$1)</f>
        <v>0</v>
      </c>
      <c r="T11" s="12">
        <f>COUNTIF(defects!$AA:$AA,Monthly_TVPlantPmod!$B11&amp;Monthly_TVPlantPmod!$B$3&amp;$B$2&amp;Monthly_TVPlantPmod!T$3&amp;$B$1&amp;$C$1)</f>
        <v>0</v>
      </c>
      <c r="U11" s="12">
        <f>COUNTIF(defects!$AA:$AA,Monthly_TVPlantPmod!$B11&amp;Monthly_TVPlantPmod!$B$3&amp;$B$2&amp;Monthly_TVPlantPmod!U$3&amp;$B$1&amp;$C$1)</f>
        <v>0</v>
      </c>
      <c r="V11" s="12">
        <f>COUNTIF(defects!$AA:$AA,Monthly_TVPlantPmod!$B11&amp;Monthly_TVPlantPmod!$B$3&amp;$B$2&amp;Monthly_TVPlantPmod!V$3&amp;$B$1&amp;$C$1)</f>
        <v>0</v>
      </c>
      <c r="W11" s="12">
        <f>COUNTIF(defects!$AA:$AA,Monthly_TVPlantPmod!$B11&amp;Monthly_TVPlantPmod!$B$3&amp;$B$2&amp;Monthly_TVPlantPmod!W$3&amp;$B$1&amp;$C$1)</f>
        <v>0</v>
      </c>
      <c r="X11" s="12">
        <f>COUNTIF(defects!$AA:$AA,Monthly_TVPlantPmod!$B11&amp;Monthly_TVPlantPmod!$B$3&amp;$B$2&amp;Monthly_TVPlantPmod!X$3&amp;$B$1&amp;$C$1)</f>
        <v>0</v>
      </c>
      <c r="Y11" s="12">
        <f>COUNTIF(defects!$AA:$AA,Monthly_TVPlantPmod!$B11&amp;Monthly_TVPlantPmod!$B$3&amp;$B$2&amp;Monthly_TVPlantPmod!Y$3&amp;$B$1&amp;$C$1)</f>
        <v>1</v>
      </c>
      <c r="Z11" s="12">
        <f>COUNTIF(defects!$AA:$AA,Monthly_TVPlantPmod!$B11&amp;Monthly_TVPlantPmod!$B$3&amp;$B$2&amp;Monthly_TVPlantPmod!Z$3&amp;$B$1&amp;$C$1)</f>
        <v>0</v>
      </c>
      <c r="AA11" s="12">
        <f>COUNTIF(defects!$AA:$AA,Monthly_TVPlantPmod!$B11&amp;Monthly_TVPlantPmod!$B$3&amp;$B$2&amp;Monthly_TVPlantPmod!AA$3&amp;$B$1&amp;$C$1)</f>
        <v>1</v>
      </c>
      <c r="AB11" s="12">
        <f>COUNTIF(defects!$AA:$AA,Monthly_TVPlantPmod!$B11&amp;Monthly_TVPlantPmod!$B$3&amp;$B$2&amp;Monthly_TVPlantPmod!AB$3&amp;$B$1&amp;$C$1)</f>
        <v>0</v>
      </c>
      <c r="AC11" s="12">
        <f>COUNTIF(defects!$AA:$AA,Monthly_TVPlantPmod!$B11&amp;Monthly_TVPlantPmod!$B$3&amp;$B$2&amp;Monthly_TVPlantPmod!AC$3&amp;$B$1&amp;$C$1)</f>
        <v>0</v>
      </c>
      <c r="AD11" s="12">
        <f>COUNTIF(defects!$AA:$AA,Monthly_TVPlantPmod!$B11&amp;Monthly_TVPlantPmod!$B$3&amp;$B$2&amp;Monthly_TVPlantPmod!AD$3&amp;$B$1&amp;$C$1)</f>
        <v>0</v>
      </c>
      <c r="AE11" s="12">
        <f>COUNTIF(defects!$AA:$AA,Monthly_TVPlantPmod!$B11&amp;Monthly_TVPlantPmod!$B$3&amp;$B$2&amp;Monthly_TVPlantPmod!AE$3&amp;$B$1&amp;$C$1)</f>
        <v>0</v>
      </c>
      <c r="AF11" s="12">
        <f>COUNTIF(defects!$AA:$AA,Monthly_TVPlantPmod!$B11&amp;Monthly_TVPlantPmod!$B$3&amp;$B$2&amp;Monthly_TVPlantPmod!AF$3&amp;$B$1&amp;$C$1)</f>
        <v>0</v>
      </c>
      <c r="AG11" s="12">
        <f>COUNTIF(defects!$AA:$AA,Monthly_TVPlantPmod!$B11&amp;Monthly_TVPlantPmod!$B$3&amp;$B$2&amp;Monthly_TVPlantPmod!AG$3&amp;$B$1&amp;$C$1)</f>
        <v>0</v>
      </c>
      <c r="AH11" s="12">
        <f>COUNTIF(defects!$AA:$AA,Monthly_TVPlantPmod!$B11&amp;Monthly_TVPlantPmod!$B$3&amp;$B$2&amp;Monthly_TVPlantPmod!AH$3&amp;$B$1&amp;$C$1)</f>
        <v>0</v>
      </c>
      <c r="AI11" s="12">
        <f>COUNTIF(defects!$AA:$AA,Monthly_TVPlantPmod!$B11&amp;Monthly_TVPlantPmod!$B$3&amp;$B$2&amp;Monthly_TVPlantPmod!AI$3&amp;$B$1&amp;$C$1)</f>
        <v>0</v>
      </c>
      <c r="AJ11" s="12">
        <f>COUNTIF(defects!$AA:$AA,Monthly_TVPlantPmod!$B11&amp;Monthly_TVPlantPmod!$B$3&amp;$B$2&amp;Monthly_TVPlantPmod!AJ$3&amp;$B$1&amp;$C$1)</f>
        <v>0</v>
      </c>
      <c r="AK11" s="12">
        <f>COUNTIF(defects!$AA:$AA,Monthly_TVPlantPmod!$B11&amp;Monthly_TVPlantPmod!$B$3&amp;$B$2&amp;Monthly_TVPlantPmod!AK$3&amp;$B$1&amp;$C$1)</f>
        <v>0</v>
      </c>
      <c r="AL11" s="12">
        <f>COUNTIF(defects!$AA:$AA,Monthly_TVPlantPmod!$B11&amp;Monthly_TVPlantPmod!$B$3&amp;$B$2&amp;Monthly_TVPlantPmod!AL$3&amp;$B$1&amp;$C$1)</f>
        <v>0</v>
      </c>
      <c r="AM11" s="12">
        <f>COUNTIF(defects!$AA:$AA,Monthly_TVPlantPmod!$B11&amp;Monthly_TVPlantPmod!$B$3&amp;$B$2&amp;Monthly_TVPlantPmod!AM$3&amp;$B$1&amp;$C$1)</f>
        <v>0</v>
      </c>
      <c r="AN11" s="12">
        <f>COUNTIF(defects!$AA:$AA,Monthly_TVPlantPmod!$B11&amp;Monthly_TVPlantPmod!$B$3&amp;$B$2&amp;Monthly_TVPlantPmod!AN$3&amp;$B$1&amp;$C$1)</f>
        <v>0</v>
      </c>
      <c r="AO11" s="12">
        <f>COUNTIF(defects!$AA:$AA,Monthly_TVPlantPmod!$B11&amp;Monthly_TVPlantPmod!$B$3&amp;$B$2&amp;Monthly_TVPlantPmod!AO$3&amp;$B$1&amp;$C$1)</f>
        <v>0</v>
      </c>
      <c r="AP11" s="12">
        <f>COUNTIF(defects!$AA:$AA,Monthly_TVPlantPmod!$B11&amp;Monthly_TVPlantPmod!$B$3&amp;$B$2&amp;Monthly_TVPlantPmod!AP$3&amp;$B$1&amp;$C$1)</f>
        <v>0</v>
      </c>
      <c r="AQ11" s="12"/>
      <c r="AR11" s="12">
        <f>HLOOKUP(AR$3,Weekly_TVPlantPmod!$3:$24,MATCH($B11,Weekly_TVPlantPmod!$B$3:$B$24,0),0)</f>
        <v>0</v>
      </c>
      <c r="AS11" s="12">
        <f>HLOOKUP(AS$3,Weekly_TVPlantPmod!$3:$24,MATCH($B11,Weekly_TVPlantPmod!$B$3:$B$24,0),0)</f>
        <v>0</v>
      </c>
      <c r="AT11" s="12">
        <f>HLOOKUP(AT$3,Weekly_TVPlantPmod!$3:$24,MATCH($B11,Weekly_TVPlantPmod!$B$3:$B$24,0),0)</f>
        <v>0</v>
      </c>
      <c r="AU11" s="12"/>
      <c r="AV11" s="12">
        <f t="shared" si="2"/>
        <v>2</v>
      </c>
    </row>
    <row r="12" spans="2:48">
      <c r="B12" s="12" t="s">
        <v>992</v>
      </c>
      <c r="C12" s="12">
        <f t="shared" si="0"/>
        <v>0</v>
      </c>
      <c r="D12" s="12">
        <f t="shared" si="0"/>
        <v>0</v>
      </c>
      <c r="E12" s="12"/>
      <c r="F12" s="12">
        <f>COUNTIF(defects!$AA:$AA,Monthly_TVPlantPmod!$B12&amp;Monthly_TVPlantPmod!$B$3&amp;$B$2&amp;Monthly_TVPlantPmod!F$3&amp;$B$1&amp;$C$1)</f>
        <v>0</v>
      </c>
      <c r="G12" s="12">
        <f>COUNTIF(defects!$AA:$AA,Monthly_TVPlantPmod!$B12&amp;Monthly_TVPlantPmod!$B$3&amp;$B$2&amp;Monthly_TVPlantPmod!G$3&amp;$B$1&amp;$C$1)</f>
        <v>0</v>
      </c>
      <c r="H12" s="12">
        <f>COUNTIF(defects!$AA:$AA,Monthly_TVPlantPmod!$B12&amp;Monthly_TVPlantPmod!$B$3&amp;$B$2&amp;Monthly_TVPlantPmod!H$3&amp;$B$1&amp;$C$1)</f>
        <v>0</v>
      </c>
      <c r="I12" s="12">
        <f>COUNTIF(defects!$AA:$AA,Monthly_TVPlantPmod!$B12&amp;Monthly_TVPlantPmod!$B$3&amp;$B$2&amp;Monthly_TVPlantPmod!I$3&amp;$B$1&amp;$C$1)</f>
        <v>0</v>
      </c>
      <c r="J12" s="12">
        <f>COUNTIF(defects!$AA:$AA,Monthly_TVPlantPmod!$B12&amp;Monthly_TVPlantPmod!$B$3&amp;$B$2&amp;Monthly_TVPlantPmod!J$3&amp;$B$1&amp;$C$1)</f>
        <v>0</v>
      </c>
      <c r="K12" s="12">
        <f>COUNTIF(defects!$AA:$AA,Monthly_TVPlantPmod!$B12&amp;Monthly_TVPlantPmod!$B$3&amp;$B$2&amp;Monthly_TVPlantPmod!K$3&amp;$B$1&amp;$C$1)</f>
        <v>0</v>
      </c>
      <c r="L12" s="12">
        <f>COUNTIF(defects!$AA:$AA,Monthly_TVPlantPmod!$B12&amp;Monthly_TVPlantPmod!$B$3&amp;$B$2&amp;Monthly_TVPlantPmod!L$3&amp;$B$1&amp;$C$1)</f>
        <v>0</v>
      </c>
      <c r="M12" s="12">
        <f>COUNTIF(defects!$AA:$AA,Monthly_TVPlantPmod!$B12&amp;Monthly_TVPlantPmod!$B$3&amp;$B$2&amp;Monthly_TVPlantPmod!M$3&amp;$B$1&amp;$C$1)</f>
        <v>0</v>
      </c>
      <c r="N12" s="12">
        <f>COUNTIF(defects!$AA:$AA,Monthly_TVPlantPmod!$B12&amp;Monthly_TVPlantPmod!$B$3&amp;$B$2&amp;Monthly_TVPlantPmod!N$3&amp;$B$1&amp;$C$1)</f>
        <v>0</v>
      </c>
      <c r="O12" s="12">
        <f>COUNTIF(defects!$AA:$AA,Monthly_TVPlantPmod!$B12&amp;Monthly_TVPlantPmod!$B$3&amp;$B$2&amp;Monthly_TVPlantPmod!O$3&amp;$B$1&amp;$C$1)</f>
        <v>0</v>
      </c>
      <c r="P12" s="12">
        <f>COUNTIF(defects!$AA:$AA,Monthly_TVPlantPmod!$B12&amp;Monthly_TVPlantPmod!$B$3&amp;$B$2&amp;Monthly_TVPlantPmod!P$3&amp;$B$1&amp;$C$1)</f>
        <v>0</v>
      </c>
      <c r="Q12" s="12">
        <f>COUNTIF(defects!$AA:$AA,Monthly_TVPlantPmod!$B12&amp;Monthly_TVPlantPmod!$B$3&amp;$B$2&amp;Monthly_TVPlantPmod!Q$3&amp;$B$1&amp;$C$1)</f>
        <v>0</v>
      </c>
      <c r="R12" s="12">
        <f>COUNTIF(defects!$AA:$AA,Monthly_TVPlantPmod!$B12&amp;Monthly_TVPlantPmod!$B$3&amp;$B$2&amp;Monthly_TVPlantPmod!R$3&amp;$B$1&amp;$C$1)</f>
        <v>0</v>
      </c>
      <c r="S12" s="12">
        <f>COUNTIF(defects!$AA:$AA,Monthly_TVPlantPmod!$B12&amp;Monthly_TVPlantPmod!$B$3&amp;$B$2&amp;Monthly_TVPlantPmod!S$3&amp;$B$1&amp;$C$1)</f>
        <v>0</v>
      </c>
      <c r="T12" s="12">
        <f>COUNTIF(defects!$AA:$AA,Monthly_TVPlantPmod!$B12&amp;Monthly_TVPlantPmod!$B$3&amp;$B$2&amp;Monthly_TVPlantPmod!T$3&amp;$B$1&amp;$C$1)</f>
        <v>0</v>
      </c>
      <c r="U12" s="12">
        <f>COUNTIF(defects!$AA:$AA,Monthly_TVPlantPmod!$B12&amp;Monthly_TVPlantPmod!$B$3&amp;$B$2&amp;Monthly_TVPlantPmod!U$3&amp;$B$1&amp;$C$1)</f>
        <v>0</v>
      </c>
      <c r="V12" s="12">
        <f>COUNTIF(defects!$AA:$AA,Monthly_TVPlantPmod!$B12&amp;Monthly_TVPlantPmod!$B$3&amp;$B$2&amp;Monthly_TVPlantPmod!V$3&amp;$B$1&amp;$C$1)</f>
        <v>0</v>
      </c>
      <c r="W12" s="12">
        <f>COUNTIF(defects!$AA:$AA,Monthly_TVPlantPmod!$B12&amp;Monthly_TVPlantPmod!$B$3&amp;$B$2&amp;Monthly_TVPlantPmod!W$3&amp;$B$1&amp;$C$1)</f>
        <v>0</v>
      </c>
      <c r="X12" s="12">
        <f>COUNTIF(defects!$AA:$AA,Monthly_TVPlantPmod!$B12&amp;Monthly_TVPlantPmod!$B$3&amp;$B$2&amp;Monthly_TVPlantPmod!X$3&amp;$B$1&amp;$C$1)</f>
        <v>0</v>
      </c>
      <c r="Y12" s="12">
        <f>COUNTIF(defects!$AA:$AA,Monthly_TVPlantPmod!$B12&amp;Monthly_TVPlantPmod!$B$3&amp;$B$2&amp;Monthly_TVPlantPmod!Y$3&amp;$B$1&amp;$C$1)</f>
        <v>0</v>
      </c>
      <c r="Z12" s="12">
        <f>COUNTIF(defects!$AA:$AA,Monthly_TVPlantPmod!$B12&amp;Monthly_TVPlantPmod!$B$3&amp;$B$2&amp;Monthly_TVPlantPmod!Z$3&amp;$B$1&amp;$C$1)</f>
        <v>0</v>
      </c>
      <c r="AA12" s="12">
        <f>COUNTIF(defects!$AA:$AA,Monthly_TVPlantPmod!$B12&amp;Monthly_TVPlantPmod!$B$3&amp;$B$2&amp;Monthly_TVPlantPmod!AA$3&amp;$B$1&amp;$C$1)</f>
        <v>0</v>
      </c>
      <c r="AB12" s="12">
        <f>COUNTIF(defects!$AA:$AA,Monthly_TVPlantPmod!$B12&amp;Monthly_TVPlantPmod!$B$3&amp;$B$2&amp;Monthly_TVPlantPmod!AB$3&amp;$B$1&amp;$C$1)</f>
        <v>0</v>
      </c>
      <c r="AC12" s="12">
        <f>COUNTIF(defects!$AA:$AA,Monthly_TVPlantPmod!$B12&amp;Monthly_TVPlantPmod!$B$3&amp;$B$2&amp;Monthly_TVPlantPmod!AC$3&amp;$B$1&amp;$C$1)</f>
        <v>0</v>
      </c>
      <c r="AD12" s="12">
        <f>COUNTIF(defects!$AA:$AA,Monthly_TVPlantPmod!$B12&amp;Monthly_TVPlantPmod!$B$3&amp;$B$2&amp;Monthly_TVPlantPmod!AD$3&amp;$B$1&amp;$C$1)</f>
        <v>0</v>
      </c>
      <c r="AE12" s="12">
        <f>COUNTIF(defects!$AA:$AA,Monthly_TVPlantPmod!$B12&amp;Monthly_TVPlantPmod!$B$3&amp;$B$2&amp;Monthly_TVPlantPmod!AE$3&amp;$B$1&amp;$C$1)</f>
        <v>0</v>
      </c>
      <c r="AF12" s="12">
        <f>COUNTIF(defects!$AA:$AA,Monthly_TVPlantPmod!$B12&amp;Monthly_TVPlantPmod!$B$3&amp;$B$2&amp;Monthly_TVPlantPmod!AF$3&amp;$B$1&amp;$C$1)</f>
        <v>0</v>
      </c>
      <c r="AG12" s="12">
        <f>COUNTIF(defects!$AA:$AA,Monthly_TVPlantPmod!$B12&amp;Monthly_TVPlantPmod!$B$3&amp;$B$2&amp;Monthly_TVPlantPmod!AG$3&amp;$B$1&amp;$C$1)</f>
        <v>0</v>
      </c>
      <c r="AH12" s="12">
        <f>COUNTIF(defects!$AA:$AA,Monthly_TVPlantPmod!$B12&amp;Monthly_TVPlantPmod!$B$3&amp;$B$2&amp;Monthly_TVPlantPmod!AH$3&amp;$B$1&amp;$C$1)</f>
        <v>0</v>
      </c>
      <c r="AI12" s="12">
        <f>COUNTIF(defects!$AA:$AA,Monthly_TVPlantPmod!$B12&amp;Monthly_TVPlantPmod!$B$3&amp;$B$2&amp;Monthly_TVPlantPmod!AI$3&amp;$B$1&amp;$C$1)</f>
        <v>0</v>
      </c>
      <c r="AJ12" s="12">
        <f>COUNTIF(defects!$AA:$AA,Monthly_TVPlantPmod!$B12&amp;Monthly_TVPlantPmod!$B$3&amp;$B$2&amp;Monthly_TVPlantPmod!AJ$3&amp;$B$1&amp;$C$1)</f>
        <v>0</v>
      </c>
      <c r="AK12" s="12">
        <f>COUNTIF(defects!$AA:$AA,Monthly_TVPlantPmod!$B12&amp;Monthly_TVPlantPmod!$B$3&amp;$B$2&amp;Monthly_TVPlantPmod!AK$3&amp;$B$1&amp;$C$1)</f>
        <v>0</v>
      </c>
      <c r="AL12" s="12">
        <f>COUNTIF(defects!$AA:$AA,Monthly_TVPlantPmod!$B12&amp;Monthly_TVPlantPmod!$B$3&amp;$B$2&amp;Monthly_TVPlantPmod!AL$3&amp;$B$1&amp;$C$1)</f>
        <v>0</v>
      </c>
      <c r="AM12" s="12">
        <f>COUNTIF(defects!$AA:$AA,Monthly_TVPlantPmod!$B12&amp;Monthly_TVPlantPmod!$B$3&amp;$B$2&amp;Monthly_TVPlantPmod!AM$3&amp;$B$1&amp;$C$1)</f>
        <v>0</v>
      </c>
      <c r="AN12" s="12">
        <f>COUNTIF(defects!$AA:$AA,Monthly_TVPlantPmod!$B12&amp;Monthly_TVPlantPmod!$B$3&amp;$B$2&amp;Monthly_TVPlantPmod!AN$3&amp;$B$1&amp;$C$1)</f>
        <v>0</v>
      </c>
      <c r="AO12" s="12">
        <f>COUNTIF(defects!$AA:$AA,Monthly_TVPlantPmod!$B12&amp;Monthly_TVPlantPmod!$B$3&amp;$B$2&amp;Monthly_TVPlantPmod!AO$3&amp;$B$1&amp;$C$1)</f>
        <v>0</v>
      </c>
      <c r="AP12" s="12">
        <f>COUNTIF(defects!$AA:$AA,Monthly_TVPlantPmod!$B12&amp;Monthly_TVPlantPmod!$B$3&amp;$B$2&amp;Monthly_TVPlantPmod!AP$3&amp;$B$1&amp;$C$1)</f>
        <v>0</v>
      </c>
      <c r="AQ12" s="12"/>
      <c r="AR12" s="12">
        <f>HLOOKUP(AR$3,Weekly_TVPlantPmod!$3:$24,MATCH($B12,Weekly_TVPlantPmod!$B$3:$B$24,0),0)</f>
        <v>0</v>
      </c>
      <c r="AS12" s="12">
        <f>HLOOKUP(AS$3,Weekly_TVPlantPmod!$3:$24,MATCH($B12,Weekly_TVPlantPmod!$B$3:$B$24,0),0)</f>
        <v>0</v>
      </c>
      <c r="AT12" s="12">
        <f>HLOOKUP(AT$3,Weekly_TVPlantPmod!$3:$24,MATCH($B12,Weekly_TVPlantPmod!$B$3:$B$24,0),0)</f>
        <v>0</v>
      </c>
      <c r="AU12" s="12"/>
      <c r="AV12" s="12">
        <f t="shared" si="2"/>
        <v>0</v>
      </c>
    </row>
    <row r="13" spans="2:48">
      <c r="B13" s="12" t="s">
        <v>950</v>
      </c>
      <c r="C13" s="12">
        <f t="shared" si="0"/>
        <v>5</v>
      </c>
      <c r="D13" s="12">
        <f t="shared" si="0"/>
        <v>0</v>
      </c>
      <c r="E13" s="12"/>
      <c r="F13" s="12">
        <f>COUNTIF(defects!$AA:$AA,Monthly_TVPlantPmod!$B13&amp;Monthly_TVPlantPmod!$B$3&amp;$B$2&amp;Monthly_TVPlantPmod!F$3&amp;$B$1&amp;$C$1)</f>
        <v>0</v>
      </c>
      <c r="G13" s="12">
        <f>COUNTIF(defects!$AA:$AA,Monthly_TVPlantPmod!$B13&amp;Monthly_TVPlantPmod!$B$3&amp;$B$2&amp;Monthly_TVPlantPmod!G$3&amp;$B$1&amp;$C$1)</f>
        <v>0</v>
      </c>
      <c r="H13" s="12">
        <f>COUNTIF(defects!$AA:$AA,Monthly_TVPlantPmod!$B13&amp;Monthly_TVPlantPmod!$B$3&amp;$B$2&amp;Monthly_TVPlantPmod!H$3&amp;$B$1&amp;$C$1)</f>
        <v>0</v>
      </c>
      <c r="I13" s="12">
        <f>COUNTIF(defects!$AA:$AA,Monthly_TVPlantPmod!$B13&amp;Monthly_TVPlantPmod!$B$3&amp;$B$2&amp;Monthly_TVPlantPmod!I$3&amp;$B$1&amp;$C$1)</f>
        <v>0</v>
      </c>
      <c r="J13" s="12">
        <f>COUNTIF(defects!$AA:$AA,Monthly_TVPlantPmod!$B13&amp;Monthly_TVPlantPmod!$B$3&amp;$B$2&amp;Monthly_TVPlantPmod!J$3&amp;$B$1&amp;$C$1)</f>
        <v>0</v>
      </c>
      <c r="K13" s="12">
        <f>COUNTIF(defects!$AA:$AA,Monthly_TVPlantPmod!$B13&amp;Monthly_TVPlantPmod!$B$3&amp;$B$2&amp;Monthly_TVPlantPmod!K$3&amp;$B$1&amp;$C$1)</f>
        <v>0</v>
      </c>
      <c r="L13" s="12">
        <f>COUNTIF(defects!$AA:$AA,Monthly_TVPlantPmod!$B13&amp;Monthly_TVPlantPmod!$B$3&amp;$B$2&amp;Monthly_TVPlantPmod!L$3&amp;$B$1&amp;$C$1)</f>
        <v>0</v>
      </c>
      <c r="M13" s="12">
        <f>COUNTIF(defects!$AA:$AA,Monthly_TVPlantPmod!$B13&amp;Monthly_TVPlantPmod!$B$3&amp;$B$2&amp;Monthly_TVPlantPmod!M$3&amp;$B$1&amp;$C$1)</f>
        <v>0</v>
      </c>
      <c r="N13" s="12">
        <f>COUNTIF(defects!$AA:$AA,Monthly_TVPlantPmod!$B13&amp;Monthly_TVPlantPmod!$B$3&amp;$B$2&amp;Monthly_TVPlantPmod!N$3&amp;$B$1&amp;$C$1)</f>
        <v>0</v>
      </c>
      <c r="O13" s="12">
        <f>COUNTIF(defects!$AA:$AA,Monthly_TVPlantPmod!$B13&amp;Monthly_TVPlantPmod!$B$3&amp;$B$2&amp;Monthly_TVPlantPmod!O$3&amp;$B$1&amp;$C$1)</f>
        <v>0</v>
      </c>
      <c r="P13" s="12">
        <f>COUNTIF(defects!$AA:$AA,Monthly_TVPlantPmod!$B13&amp;Monthly_TVPlantPmod!$B$3&amp;$B$2&amp;Monthly_TVPlantPmod!P$3&amp;$B$1&amp;$C$1)</f>
        <v>0</v>
      </c>
      <c r="Q13" s="12">
        <f>COUNTIF(defects!$AA:$AA,Monthly_TVPlantPmod!$B13&amp;Monthly_TVPlantPmod!$B$3&amp;$B$2&amp;Monthly_TVPlantPmod!Q$3&amp;$B$1&amp;$C$1)</f>
        <v>0</v>
      </c>
      <c r="R13" s="12">
        <f>COUNTIF(defects!$AA:$AA,Monthly_TVPlantPmod!$B13&amp;Monthly_TVPlantPmod!$B$3&amp;$B$2&amp;Monthly_TVPlantPmod!R$3&amp;$B$1&amp;$C$1)</f>
        <v>0</v>
      </c>
      <c r="S13" s="12">
        <f>COUNTIF(defects!$AA:$AA,Monthly_TVPlantPmod!$B13&amp;Monthly_TVPlantPmod!$B$3&amp;$B$2&amp;Monthly_TVPlantPmod!S$3&amp;$B$1&amp;$C$1)</f>
        <v>0</v>
      </c>
      <c r="T13" s="12">
        <f>COUNTIF(defects!$AA:$AA,Monthly_TVPlantPmod!$B13&amp;Monthly_TVPlantPmod!$B$3&amp;$B$2&amp;Monthly_TVPlantPmod!T$3&amp;$B$1&amp;$C$1)</f>
        <v>0</v>
      </c>
      <c r="U13" s="12">
        <f>COUNTIF(defects!$AA:$AA,Monthly_TVPlantPmod!$B13&amp;Monthly_TVPlantPmod!$B$3&amp;$B$2&amp;Monthly_TVPlantPmod!U$3&amp;$B$1&amp;$C$1)</f>
        <v>2</v>
      </c>
      <c r="V13" s="12">
        <f>COUNTIF(defects!$AA:$AA,Monthly_TVPlantPmod!$B13&amp;Monthly_TVPlantPmod!$B$3&amp;$B$2&amp;Monthly_TVPlantPmod!V$3&amp;$B$1&amp;$C$1)</f>
        <v>0</v>
      </c>
      <c r="W13" s="12">
        <f>COUNTIF(defects!$AA:$AA,Monthly_TVPlantPmod!$B13&amp;Monthly_TVPlantPmod!$B$3&amp;$B$2&amp;Monthly_TVPlantPmod!W$3&amp;$B$1&amp;$C$1)</f>
        <v>0</v>
      </c>
      <c r="X13" s="12">
        <f>COUNTIF(defects!$AA:$AA,Monthly_TVPlantPmod!$B13&amp;Monthly_TVPlantPmod!$B$3&amp;$B$2&amp;Monthly_TVPlantPmod!X$3&amp;$B$1&amp;$C$1)</f>
        <v>1</v>
      </c>
      <c r="Y13" s="12">
        <f>COUNTIF(defects!$AA:$AA,Monthly_TVPlantPmod!$B13&amp;Monthly_TVPlantPmod!$B$3&amp;$B$2&amp;Monthly_TVPlantPmod!Y$3&amp;$B$1&amp;$C$1)</f>
        <v>0</v>
      </c>
      <c r="Z13" s="12">
        <f>COUNTIF(defects!$AA:$AA,Monthly_TVPlantPmod!$B13&amp;Monthly_TVPlantPmod!$B$3&amp;$B$2&amp;Monthly_TVPlantPmod!Z$3&amp;$B$1&amp;$C$1)</f>
        <v>0</v>
      </c>
      <c r="AA13" s="12">
        <f>COUNTIF(defects!$AA:$AA,Monthly_TVPlantPmod!$B13&amp;Monthly_TVPlantPmod!$B$3&amp;$B$2&amp;Monthly_TVPlantPmod!AA$3&amp;$B$1&amp;$C$1)</f>
        <v>0</v>
      </c>
      <c r="AB13" s="12">
        <f>COUNTIF(defects!$AA:$AA,Monthly_TVPlantPmod!$B13&amp;Monthly_TVPlantPmod!$B$3&amp;$B$2&amp;Monthly_TVPlantPmod!AB$3&amp;$B$1&amp;$C$1)</f>
        <v>0</v>
      </c>
      <c r="AC13" s="12">
        <f>COUNTIF(defects!$AA:$AA,Monthly_TVPlantPmod!$B13&amp;Monthly_TVPlantPmod!$B$3&amp;$B$2&amp;Monthly_TVPlantPmod!AC$3&amp;$B$1&amp;$C$1)</f>
        <v>2</v>
      </c>
      <c r="AD13" s="12">
        <f>COUNTIF(defects!$AA:$AA,Monthly_TVPlantPmod!$B13&amp;Monthly_TVPlantPmod!$B$3&amp;$B$2&amp;Monthly_TVPlantPmod!AD$3&amp;$B$1&amp;$C$1)</f>
        <v>0</v>
      </c>
      <c r="AE13" s="12">
        <f>COUNTIF(defects!$AA:$AA,Monthly_TVPlantPmod!$B13&amp;Monthly_TVPlantPmod!$B$3&amp;$B$2&amp;Monthly_TVPlantPmod!AE$3&amp;$B$1&amp;$C$1)</f>
        <v>0</v>
      </c>
      <c r="AF13" s="12">
        <f>COUNTIF(defects!$AA:$AA,Monthly_TVPlantPmod!$B13&amp;Monthly_TVPlantPmod!$B$3&amp;$B$2&amp;Monthly_TVPlantPmod!AF$3&amp;$B$1&amp;$C$1)</f>
        <v>0</v>
      </c>
      <c r="AG13" s="12">
        <f>COUNTIF(defects!$AA:$AA,Monthly_TVPlantPmod!$B13&amp;Monthly_TVPlantPmod!$B$3&amp;$B$2&amp;Monthly_TVPlantPmod!AG$3&amp;$B$1&amp;$C$1)</f>
        <v>0</v>
      </c>
      <c r="AH13" s="12">
        <f>COUNTIF(defects!$AA:$AA,Monthly_TVPlantPmod!$B13&amp;Monthly_TVPlantPmod!$B$3&amp;$B$2&amp;Monthly_TVPlantPmod!AH$3&amp;$B$1&amp;$C$1)</f>
        <v>0</v>
      </c>
      <c r="AI13" s="12">
        <f>COUNTIF(defects!$AA:$AA,Monthly_TVPlantPmod!$B13&amp;Monthly_TVPlantPmod!$B$3&amp;$B$2&amp;Monthly_TVPlantPmod!AI$3&amp;$B$1&amp;$C$1)</f>
        <v>0</v>
      </c>
      <c r="AJ13" s="12">
        <f>COUNTIF(defects!$AA:$AA,Monthly_TVPlantPmod!$B13&amp;Monthly_TVPlantPmod!$B$3&amp;$B$2&amp;Monthly_TVPlantPmod!AJ$3&amp;$B$1&amp;$C$1)</f>
        <v>0</v>
      </c>
      <c r="AK13" s="12">
        <f>COUNTIF(defects!$AA:$AA,Monthly_TVPlantPmod!$B13&amp;Monthly_TVPlantPmod!$B$3&amp;$B$2&amp;Monthly_TVPlantPmod!AK$3&amp;$B$1&amp;$C$1)</f>
        <v>0</v>
      </c>
      <c r="AL13" s="12">
        <f>COUNTIF(defects!$AA:$AA,Monthly_TVPlantPmod!$B13&amp;Monthly_TVPlantPmod!$B$3&amp;$B$2&amp;Monthly_TVPlantPmod!AL$3&amp;$B$1&amp;$C$1)</f>
        <v>0</v>
      </c>
      <c r="AM13" s="12">
        <f>COUNTIF(defects!$AA:$AA,Monthly_TVPlantPmod!$B13&amp;Monthly_TVPlantPmod!$B$3&amp;$B$2&amp;Monthly_TVPlantPmod!AM$3&amp;$B$1&amp;$C$1)</f>
        <v>0</v>
      </c>
      <c r="AN13" s="12">
        <f>COUNTIF(defects!$AA:$AA,Monthly_TVPlantPmod!$B13&amp;Monthly_TVPlantPmod!$B$3&amp;$B$2&amp;Monthly_TVPlantPmod!AN$3&amp;$B$1&amp;$C$1)</f>
        <v>0</v>
      </c>
      <c r="AO13" s="12">
        <f>COUNTIF(defects!$AA:$AA,Monthly_TVPlantPmod!$B13&amp;Monthly_TVPlantPmod!$B$3&amp;$B$2&amp;Monthly_TVPlantPmod!AO$3&amp;$B$1&amp;$C$1)</f>
        <v>0</v>
      </c>
      <c r="AP13" s="12">
        <f>COUNTIF(defects!$AA:$AA,Monthly_TVPlantPmod!$B13&amp;Monthly_TVPlantPmod!$B$3&amp;$B$2&amp;Monthly_TVPlantPmod!AP$3&amp;$B$1&amp;$C$1)</f>
        <v>0</v>
      </c>
      <c r="AQ13" s="12"/>
      <c r="AR13" s="12">
        <f>HLOOKUP(AR$3,Weekly_TVPlantPmod!$3:$24,MATCH($B13,Weekly_TVPlantPmod!$B$3:$B$24,0),0)</f>
        <v>1</v>
      </c>
      <c r="AS13" s="12">
        <f>HLOOKUP(AS$3,Weekly_TVPlantPmod!$3:$24,MATCH($B13,Weekly_TVPlantPmod!$B$3:$B$24,0),0)</f>
        <v>0</v>
      </c>
      <c r="AT13" s="12">
        <f>HLOOKUP(AT$3,Weekly_TVPlantPmod!$3:$24,MATCH($B13,Weekly_TVPlantPmod!$B$3:$B$24,0),0)</f>
        <v>0</v>
      </c>
      <c r="AU13" s="12"/>
      <c r="AV13" s="12">
        <f t="shared" si="2"/>
        <v>5</v>
      </c>
    </row>
    <row r="14" spans="2:48">
      <c r="B14" s="12" t="s">
        <v>993</v>
      </c>
      <c r="C14" s="12">
        <f t="shared" si="0"/>
        <v>0</v>
      </c>
      <c r="D14" s="12">
        <f t="shared" si="0"/>
        <v>0</v>
      </c>
      <c r="E14" s="12"/>
      <c r="F14" s="12">
        <f>COUNTIF(defects!$AA:$AA,Monthly_TVPlantPmod!$B14&amp;Monthly_TVPlantPmod!$B$3&amp;$B$2&amp;Monthly_TVPlantPmod!F$3&amp;$B$1&amp;$C$1)</f>
        <v>0</v>
      </c>
      <c r="G14" s="12">
        <f>COUNTIF(defects!$AA:$AA,Monthly_TVPlantPmod!$B14&amp;Monthly_TVPlantPmod!$B$3&amp;$B$2&amp;Monthly_TVPlantPmod!G$3&amp;$B$1&amp;$C$1)</f>
        <v>0</v>
      </c>
      <c r="H14" s="12">
        <f>COUNTIF(defects!$AA:$AA,Monthly_TVPlantPmod!$B14&amp;Monthly_TVPlantPmod!$B$3&amp;$B$2&amp;Monthly_TVPlantPmod!H$3&amp;$B$1&amp;$C$1)</f>
        <v>0</v>
      </c>
      <c r="I14" s="12">
        <f>COUNTIF(defects!$AA:$AA,Monthly_TVPlantPmod!$B14&amp;Monthly_TVPlantPmod!$B$3&amp;$B$2&amp;Monthly_TVPlantPmod!I$3&amp;$B$1&amp;$C$1)</f>
        <v>0</v>
      </c>
      <c r="J14" s="12">
        <f>COUNTIF(defects!$AA:$AA,Monthly_TVPlantPmod!$B14&amp;Monthly_TVPlantPmod!$B$3&amp;$B$2&amp;Monthly_TVPlantPmod!J$3&amp;$B$1&amp;$C$1)</f>
        <v>0</v>
      </c>
      <c r="K14" s="12">
        <f>COUNTIF(defects!$AA:$AA,Monthly_TVPlantPmod!$B14&amp;Monthly_TVPlantPmod!$B$3&amp;$B$2&amp;Monthly_TVPlantPmod!K$3&amp;$B$1&amp;$C$1)</f>
        <v>0</v>
      </c>
      <c r="L14" s="12">
        <f>COUNTIF(defects!$AA:$AA,Monthly_TVPlantPmod!$B14&amp;Monthly_TVPlantPmod!$B$3&amp;$B$2&amp;Monthly_TVPlantPmod!L$3&amp;$B$1&amp;$C$1)</f>
        <v>0</v>
      </c>
      <c r="M14" s="12">
        <f>COUNTIF(defects!$AA:$AA,Monthly_TVPlantPmod!$B14&amp;Monthly_TVPlantPmod!$B$3&amp;$B$2&amp;Monthly_TVPlantPmod!M$3&amp;$B$1&amp;$C$1)</f>
        <v>0</v>
      </c>
      <c r="N14" s="12">
        <f>COUNTIF(defects!$AA:$AA,Monthly_TVPlantPmod!$B14&amp;Monthly_TVPlantPmod!$B$3&amp;$B$2&amp;Monthly_TVPlantPmod!N$3&amp;$B$1&amp;$C$1)</f>
        <v>0</v>
      </c>
      <c r="O14" s="12">
        <f>COUNTIF(defects!$AA:$AA,Monthly_TVPlantPmod!$B14&amp;Monthly_TVPlantPmod!$B$3&amp;$B$2&amp;Monthly_TVPlantPmod!O$3&amp;$B$1&amp;$C$1)</f>
        <v>0</v>
      </c>
      <c r="P14" s="12">
        <f>COUNTIF(defects!$AA:$AA,Monthly_TVPlantPmod!$B14&amp;Monthly_TVPlantPmod!$B$3&amp;$B$2&amp;Monthly_TVPlantPmod!P$3&amp;$B$1&amp;$C$1)</f>
        <v>0</v>
      </c>
      <c r="Q14" s="12">
        <f>COUNTIF(defects!$AA:$AA,Monthly_TVPlantPmod!$B14&amp;Monthly_TVPlantPmod!$B$3&amp;$B$2&amp;Monthly_TVPlantPmod!Q$3&amp;$B$1&amp;$C$1)</f>
        <v>0</v>
      </c>
      <c r="R14" s="12">
        <f>COUNTIF(defects!$AA:$AA,Monthly_TVPlantPmod!$B14&amp;Monthly_TVPlantPmod!$B$3&amp;$B$2&amp;Monthly_TVPlantPmod!R$3&amp;$B$1&amp;$C$1)</f>
        <v>0</v>
      </c>
      <c r="S14" s="12">
        <f>COUNTIF(defects!$AA:$AA,Monthly_TVPlantPmod!$B14&amp;Monthly_TVPlantPmod!$B$3&amp;$B$2&amp;Monthly_TVPlantPmod!S$3&amp;$B$1&amp;$C$1)</f>
        <v>0</v>
      </c>
      <c r="T14" s="12">
        <f>COUNTIF(defects!$AA:$AA,Monthly_TVPlantPmod!$B14&amp;Monthly_TVPlantPmod!$B$3&amp;$B$2&amp;Monthly_TVPlantPmod!T$3&amp;$B$1&amp;$C$1)</f>
        <v>0</v>
      </c>
      <c r="U14" s="12">
        <f>COUNTIF(defects!$AA:$AA,Monthly_TVPlantPmod!$B14&amp;Monthly_TVPlantPmod!$B$3&amp;$B$2&amp;Monthly_TVPlantPmod!U$3&amp;$B$1&amp;$C$1)</f>
        <v>0</v>
      </c>
      <c r="V14" s="12">
        <f>COUNTIF(defects!$AA:$AA,Monthly_TVPlantPmod!$B14&amp;Monthly_TVPlantPmod!$B$3&amp;$B$2&amp;Monthly_TVPlantPmod!V$3&amp;$B$1&amp;$C$1)</f>
        <v>0</v>
      </c>
      <c r="W14" s="12">
        <f>COUNTIF(defects!$AA:$AA,Monthly_TVPlantPmod!$B14&amp;Monthly_TVPlantPmod!$B$3&amp;$B$2&amp;Monthly_TVPlantPmod!W$3&amp;$B$1&amp;$C$1)</f>
        <v>0</v>
      </c>
      <c r="X14" s="12">
        <f>COUNTIF(defects!$AA:$AA,Monthly_TVPlantPmod!$B14&amp;Monthly_TVPlantPmod!$B$3&amp;$B$2&amp;Monthly_TVPlantPmod!X$3&amp;$B$1&amp;$C$1)</f>
        <v>0</v>
      </c>
      <c r="Y14" s="12">
        <f>COUNTIF(defects!$AA:$AA,Monthly_TVPlantPmod!$B14&amp;Monthly_TVPlantPmod!$B$3&amp;$B$2&amp;Monthly_TVPlantPmod!Y$3&amp;$B$1&amp;$C$1)</f>
        <v>0</v>
      </c>
      <c r="Z14" s="12">
        <f>COUNTIF(defects!$AA:$AA,Monthly_TVPlantPmod!$B14&amp;Monthly_TVPlantPmod!$B$3&amp;$B$2&amp;Monthly_TVPlantPmod!Z$3&amp;$B$1&amp;$C$1)</f>
        <v>0</v>
      </c>
      <c r="AA14" s="12">
        <f>COUNTIF(defects!$AA:$AA,Monthly_TVPlantPmod!$B14&amp;Monthly_TVPlantPmod!$B$3&amp;$B$2&amp;Monthly_TVPlantPmod!AA$3&amp;$B$1&amp;$C$1)</f>
        <v>0</v>
      </c>
      <c r="AB14" s="12">
        <f>COUNTIF(defects!$AA:$AA,Monthly_TVPlantPmod!$B14&amp;Monthly_TVPlantPmod!$B$3&amp;$B$2&amp;Monthly_TVPlantPmod!AB$3&amp;$B$1&amp;$C$1)</f>
        <v>0</v>
      </c>
      <c r="AC14" s="12">
        <f>COUNTIF(defects!$AA:$AA,Monthly_TVPlantPmod!$B14&amp;Monthly_TVPlantPmod!$B$3&amp;$B$2&amp;Monthly_TVPlantPmod!AC$3&amp;$B$1&amp;$C$1)</f>
        <v>0</v>
      </c>
      <c r="AD14" s="12">
        <f>COUNTIF(defects!$AA:$AA,Monthly_TVPlantPmod!$B14&amp;Monthly_TVPlantPmod!$B$3&amp;$B$2&amp;Monthly_TVPlantPmod!AD$3&amp;$B$1&amp;$C$1)</f>
        <v>0</v>
      </c>
      <c r="AE14" s="12">
        <f>COUNTIF(defects!$AA:$AA,Monthly_TVPlantPmod!$B14&amp;Monthly_TVPlantPmod!$B$3&amp;$B$2&amp;Monthly_TVPlantPmod!AE$3&amp;$B$1&amp;$C$1)</f>
        <v>0</v>
      </c>
      <c r="AF14" s="12">
        <f>COUNTIF(defects!$AA:$AA,Monthly_TVPlantPmod!$B14&amp;Monthly_TVPlantPmod!$B$3&amp;$B$2&amp;Monthly_TVPlantPmod!AF$3&amp;$B$1&amp;$C$1)</f>
        <v>0</v>
      </c>
      <c r="AG14" s="12">
        <f>COUNTIF(defects!$AA:$AA,Monthly_TVPlantPmod!$B14&amp;Monthly_TVPlantPmod!$B$3&amp;$B$2&amp;Monthly_TVPlantPmod!AG$3&amp;$B$1&amp;$C$1)</f>
        <v>0</v>
      </c>
      <c r="AH14" s="12">
        <f>COUNTIF(defects!$AA:$AA,Monthly_TVPlantPmod!$B14&amp;Monthly_TVPlantPmod!$B$3&amp;$B$2&amp;Monthly_TVPlantPmod!AH$3&amp;$B$1&amp;$C$1)</f>
        <v>0</v>
      </c>
      <c r="AI14" s="12">
        <f>COUNTIF(defects!$AA:$AA,Monthly_TVPlantPmod!$B14&amp;Monthly_TVPlantPmod!$B$3&amp;$B$2&amp;Monthly_TVPlantPmod!AI$3&amp;$B$1&amp;$C$1)</f>
        <v>0</v>
      </c>
      <c r="AJ14" s="12">
        <f>COUNTIF(defects!$AA:$AA,Monthly_TVPlantPmod!$B14&amp;Monthly_TVPlantPmod!$B$3&amp;$B$2&amp;Monthly_TVPlantPmod!AJ$3&amp;$B$1&amp;$C$1)</f>
        <v>0</v>
      </c>
      <c r="AK14" s="12">
        <f>COUNTIF(defects!$AA:$AA,Monthly_TVPlantPmod!$B14&amp;Monthly_TVPlantPmod!$B$3&amp;$B$2&amp;Monthly_TVPlantPmod!AK$3&amp;$B$1&amp;$C$1)</f>
        <v>0</v>
      </c>
      <c r="AL14" s="12">
        <f>COUNTIF(defects!$AA:$AA,Monthly_TVPlantPmod!$B14&amp;Monthly_TVPlantPmod!$B$3&amp;$B$2&amp;Monthly_TVPlantPmod!AL$3&amp;$B$1&amp;$C$1)</f>
        <v>0</v>
      </c>
      <c r="AM14" s="12">
        <f>COUNTIF(defects!$AA:$AA,Monthly_TVPlantPmod!$B14&amp;Monthly_TVPlantPmod!$B$3&amp;$B$2&amp;Monthly_TVPlantPmod!AM$3&amp;$B$1&amp;$C$1)</f>
        <v>0</v>
      </c>
      <c r="AN14" s="12">
        <f>COUNTIF(defects!$AA:$AA,Monthly_TVPlantPmod!$B14&amp;Monthly_TVPlantPmod!$B$3&amp;$B$2&amp;Monthly_TVPlantPmod!AN$3&amp;$B$1&amp;$C$1)</f>
        <v>0</v>
      </c>
      <c r="AO14" s="12">
        <f>COUNTIF(defects!$AA:$AA,Monthly_TVPlantPmod!$B14&amp;Monthly_TVPlantPmod!$B$3&amp;$B$2&amp;Monthly_TVPlantPmod!AO$3&amp;$B$1&amp;$C$1)</f>
        <v>0</v>
      </c>
      <c r="AP14" s="12">
        <f>COUNTIF(defects!$AA:$AA,Monthly_TVPlantPmod!$B14&amp;Monthly_TVPlantPmod!$B$3&amp;$B$2&amp;Monthly_TVPlantPmod!AP$3&amp;$B$1&amp;$C$1)</f>
        <v>0</v>
      </c>
      <c r="AQ14" s="12"/>
      <c r="AR14" s="12">
        <f>HLOOKUP(AR$3,Weekly_TVPlantPmod!$3:$24,MATCH($B14,Weekly_TVPlantPmod!$B$3:$B$24,0),0)</f>
        <v>0</v>
      </c>
      <c r="AS14" s="12">
        <f>HLOOKUP(AS$3,Weekly_TVPlantPmod!$3:$24,MATCH($B14,Weekly_TVPlantPmod!$B$3:$B$24,0),0)</f>
        <v>0</v>
      </c>
      <c r="AT14" s="12">
        <f>HLOOKUP(AT$3,Weekly_TVPlantPmod!$3:$24,MATCH($B14,Weekly_TVPlantPmod!$B$3:$B$24,0),0)</f>
        <v>0</v>
      </c>
      <c r="AU14" s="12"/>
      <c r="AV14" s="12">
        <f t="shared" si="2"/>
        <v>0</v>
      </c>
    </row>
    <row r="15" spans="2:48">
      <c r="B15" s="12" t="s">
        <v>949</v>
      </c>
      <c r="C15" s="12">
        <f t="shared" si="0"/>
        <v>10</v>
      </c>
      <c r="D15" s="12">
        <f t="shared" si="0"/>
        <v>0</v>
      </c>
      <c r="E15" s="12"/>
      <c r="F15" s="12">
        <f>COUNTIF(defects!$AA:$AA,Monthly_TVPlantPmod!$B15&amp;Monthly_TVPlantPmod!$B$3&amp;$B$2&amp;Monthly_TVPlantPmod!F$3&amp;$B$1&amp;$C$1)</f>
        <v>0</v>
      </c>
      <c r="G15" s="12">
        <f>COUNTIF(defects!$AA:$AA,Monthly_TVPlantPmod!$B15&amp;Monthly_TVPlantPmod!$B$3&amp;$B$2&amp;Monthly_TVPlantPmod!G$3&amp;$B$1&amp;$C$1)</f>
        <v>0</v>
      </c>
      <c r="H15" s="12">
        <f>COUNTIF(defects!$AA:$AA,Monthly_TVPlantPmod!$B15&amp;Monthly_TVPlantPmod!$B$3&amp;$B$2&amp;Monthly_TVPlantPmod!H$3&amp;$B$1&amp;$C$1)</f>
        <v>0</v>
      </c>
      <c r="I15" s="12">
        <f>COUNTIF(defects!$AA:$AA,Monthly_TVPlantPmod!$B15&amp;Monthly_TVPlantPmod!$B$3&amp;$B$2&amp;Monthly_TVPlantPmod!I$3&amp;$B$1&amp;$C$1)</f>
        <v>0</v>
      </c>
      <c r="J15" s="12">
        <f>COUNTIF(defects!$AA:$AA,Monthly_TVPlantPmod!$B15&amp;Monthly_TVPlantPmod!$B$3&amp;$B$2&amp;Monthly_TVPlantPmod!J$3&amp;$B$1&amp;$C$1)</f>
        <v>0</v>
      </c>
      <c r="K15" s="12">
        <f>COUNTIF(defects!$AA:$AA,Monthly_TVPlantPmod!$B15&amp;Monthly_TVPlantPmod!$B$3&amp;$B$2&amp;Monthly_TVPlantPmod!K$3&amp;$B$1&amp;$C$1)</f>
        <v>0</v>
      </c>
      <c r="L15" s="12">
        <f>COUNTIF(defects!$AA:$AA,Monthly_TVPlantPmod!$B15&amp;Monthly_TVPlantPmod!$B$3&amp;$B$2&amp;Monthly_TVPlantPmod!L$3&amp;$B$1&amp;$C$1)</f>
        <v>0</v>
      </c>
      <c r="M15" s="12">
        <f>COUNTIF(defects!$AA:$AA,Monthly_TVPlantPmod!$B15&amp;Monthly_TVPlantPmod!$B$3&amp;$B$2&amp;Monthly_TVPlantPmod!M$3&amp;$B$1&amp;$C$1)</f>
        <v>0</v>
      </c>
      <c r="N15" s="12">
        <f>COUNTIF(defects!$AA:$AA,Monthly_TVPlantPmod!$B15&amp;Monthly_TVPlantPmod!$B$3&amp;$B$2&amp;Monthly_TVPlantPmod!N$3&amp;$B$1&amp;$C$1)</f>
        <v>0</v>
      </c>
      <c r="O15" s="12">
        <f>COUNTIF(defects!$AA:$AA,Monthly_TVPlantPmod!$B15&amp;Monthly_TVPlantPmod!$B$3&amp;$B$2&amp;Monthly_TVPlantPmod!O$3&amp;$B$1&amp;$C$1)</f>
        <v>0</v>
      </c>
      <c r="P15" s="12">
        <f>COUNTIF(defects!$AA:$AA,Monthly_TVPlantPmod!$B15&amp;Monthly_TVPlantPmod!$B$3&amp;$B$2&amp;Monthly_TVPlantPmod!P$3&amp;$B$1&amp;$C$1)</f>
        <v>0</v>
      </c>
      <c r="Q15" s="12">
        <f>COUNTIF(defects!$AA:$AA,Monthly_TVPlantPmod!$B15&amp;Monthly_TVPlantPmod!$B$3&amp;$B$2&amp;Monthly_TVPlantPmod!Q$3&amp;$B$1&amp;$C$1)</f>
        <v>0</v>
      </c>
      <c r="R15" s="12">
        <f>COUNTIF(defects!$AA:$AA,Monthly_TVPlantPmod!$B15&amp;Monthly_TVPlantPmod!$B$3&amp;$B$2&amp;Monthly_TVPlantPmod!R$3&amp;$B$1&amp;$C$1)</f>
        <v>0</v>
      </c>
      <c r="S15" s="12">
        <f>COUNTIF(defects!$AA:$AA,Monthly_TVPlantPmod!$B15&amp;Monthly_TVPlantPmod!$B$3&amp;$B$2&amp;Monthly_TVPlantPmod!S$3&amp;$B$1&amp;$C$1)</f>
        <v>0</v>
      </c>
      <c r="T15" s="12">
        <f>COUNTIF(defects!$AA:$AA,Monthly_TVPlantPmod!$B15&amp;Monthly_TVPlantPmod!$B$3&amp;$B$2&amp;Monthly_TVPlantPmod!T$3&amp;$B$1&amp;$C$1)</f>
        <v>0</v>
      </c>
      <c r="U15" s="12">
        <f>COUNTIF(defects!$AA:$AA,Monthly_TVPlantPmod!$B15&amp;Monthly_TVPlantPmod!$B$3&amp;$B$2&amp;Monthly_TVPlantPmod!U$3&amp;$B$1&amp;$C$1)</f>
        <v>1</v>
      </c>
      <c r="V15" s="12">
        <f>COUNTIF(defects!$AA:$AA,Monthly_TVPlantPmod!$B15&amp;Monthly_TVPlantPmod!$B$3&amp;$B$2&amp;Monthly_TVPlantPmod!V$3&amp;$B$1&amp;$C$1)</f>
        <v>0</v>
      </c>
      <c r="W15" s="12">
        <f>COUNTIF(defects!$AA:$AA,Monthly_TVPlantPmod!$B15&amp;Monthly_TVPlantPmod!$B$3&amp;$B$2&amp;Monthly_TVPlantPmod!W$3&amp;$B$1&amp;$C$1)</f>
        <v>0</v>
      </c>
      <c r="X15" s="12">
        <f>COUNTIF(defects!$AA:$AA,Monthly_TVPlantPmod!$B15&amp;Monthly_TVPlantPmod!$B$3&amp;$B$2&amp;Monthly_TVPlantPmod!X$3&amp;$B$1&amp;$C$1)</f>
        <v>0</v>
      </c>
      <c r="Y15" s="12">
        <f>COUNTIF(defects!$AA:$AA,Monthly_TVPlantPmod!$B15&amp;Monthly_TVPlantPmod!$B$3&amp;$B$2&amp;Monthly_TVPlantPmod!Y$3&amp;$B$1&amp;$C$1)</f>
        <v>2</v>
      </c>
      <c r="Z15" s="12">
        <f>COUNTIF(defects!$AA:$AA,Monthly_TVPlantPmod!$B15&amp;Monthly_TVPlantPmod!$B$3&amp;$B$2&amp;Monthly_TVPlantPmod!Z$3&amp;$B$1&amp;$C$1)</f>
        <v>0</v>
      </c>
      <c r="AA15" s="12">
        <f>COUNTIF(defects!$AA:$AA,Monthly_TVPlantPmod!$B15&amp;Monthly_TVPlantPmod!$B$3&amp;$B$2&amp;Monthly_TVPlantPmod!AA$3&amp;$B$1&amp;$C$1)</f>
        <v>3</v>
      </c>
      <c r="AB15" s="12">
        <f>COUNTIF(defects!$AA:$AA,Monthly_TVPlantPmod!$B15&amp;Monthly_TVPlantPmod!$B$3&amp;$B$2&amp;Monthly_TVPlantPmod!AB$3&amp;$B$1&amp;$C$1)</f>
        <v>3</v>
      </c>
      <c r="AC15" s="12">
        <f>COUNTIF(defects!$AA:$AA,Monthly_TVPlantPmod!$B15&amp;Monthly_TVPlantPmod!$B$3&amp;$B$2&amp;Monthly_TVPlantPmod!AC$3&amp;$B$1&amp;$C$1)</f>
        <v>1</v>
      </c>
      <c r="AD15" s="12">
        <f>COUNTIF(defects!$AA:$AA,Monthly_TVPlantPmod!$B15&amp;Monthly_TVPlantPmod!$B$3&amp;$B$2&amp;Monthly_TVPlantPmod!AD$3&amp;$B$1&amp;$C$1)</f>
        <v>0</v>
      </c>
      <c r="AE15" s="12">
        <f>COUNTIF(defects!$AA:$AA,Monthly_TVPlantPmod!$B15&amp;Monthly_TVPlantPmod!$B$3&amp;$B$2&amp;Monthly_TVPlantPmod!AE$3&amp;$B$1&amp;$C$1)</f>
        <v>0</v>
      </c>
      <c r="AF15" s="12">
        <f>COUNTIF(defects!$AA:$AA,Monthly_TVPlantPmod!$B15&amp;Monthly_TVPlantPmod!$B$3&amp;$B$2&amp;Monthly_TVPlantPmod!AF$3&amp;$B$1&amp;$C$1)</f>
        <v>0</v>
      </c>
      <c r="AG15" s="12">
        <f>COUNTIF(defects!$AA:$AA,Monthly_TVPlantPmod!$B15&amp;Monthly_TVPlantPmod!$B$3&amp;$B$2&amp;Monthly_TVPlantPmod!AG$3&amp;$B$1&amp;$C$1)</f>
        <v>0</v>
      </c>
      <c r="AH15" s="12">
        <f>COUNTIF(defects!$AA:$AA,Monthly_TVPlantPmod!$B15&amp;Monthly_TVPlantPmod!$B$3&amp;$B$2&amp;Monthly_TVPlantPmod!AH$3&amp;$B$1&amp;$C$1)</f>
        <v>0</v>
      </c>
      <c r="AI15" s="12">
        <f>COUNTIF(defects!$AA:$AA,Monthly_TVPlantPmod!$B15&amp;Monthly_TVPlantPmod!$B$3&amp;$B$2&amp;Monthly_TVPlantPmod!AI$3&amp;$B$1&amp;$C$1)</f>
        <v>0</v>
      </c>
      <c r="AJ15" s="12">
        <f>COUNTIF(defects!$AA:$AA,Monthly_TVPlantPmod!$B15&amp;Monthly_TVPlantPmod!$B$3&amp;$B$2&amp;Monthly_TVPlantPmod!AJ$3&amp;$B$1&amp;$C$1)</f>
        <v>0</v>
      </c>
      <c r="AK15" s="12">
        <f>COUNTIF(defects!$AA:$AA,Monthly_TVPlantPmod!$B15&amp;Monthly_TVPlantPmod!$B$3&amp;$B$2&amp;Monthly_TVPlantPmod!AK$3&amp;$B$1&amp;$C$1)</f>
        <v>0</v>
      </c>
      <c r="AL15" s="12">
        <f>COUNTIF(defects!$AA:$AA,Monthly_TVPlantPmod!$B15&amp;Monthly_TVPlantPmod!$B$3&amp;$B$2&amp;Monthly_TVPlantPmod!AL$3&amp;$B$1&amp;$C$1)</f>
        <v>0</v>
      </c>
      <c r="AM15" s="12">
        <f>COUNTIF(defects!$AA:$AA,Monthly_TVPlantPmod!$B15&amp;Monthly_TVPlantPmod!$B$3&amp;$B$2&amp;Monthly_TVPlantPmod!AM$3&amp;$B$1&amp;$C$1)</f>
        <v>0</v>
      </c>
      <c r="AN15" s="12">
        <f>COUNTIF(defects!$AA:$AA,Monthly_TVPlantPmod!$B15&amp;Monthly_TVPlantPmod!$B$3&amp;$B$2&amp;Monthly_TVPlantPmod!AN$3&amp;$B$1&amp;$C$1)</f>
        <v>0</v>
      </c>
      <c r="AO15" s="12">
        <f>COUNTIF(defects!$AA:$AA,Monthly_TVPlantPmod!$B15&amp;Monthly_TVPlantPmod!$B$3&amp;$B$2&amp;Monthly_TVPlantPmod!AO$3&amp;$B$1&amp;$C$1)</f>
        <v>0</v>
      </c>
      <c r="AP15" s="12">
        <f>COUNTIF(defects!$AA:$AA,Monthly_TVPlantPmod!$B15&amp;Monthly_TVPlantPmod!$B$3&amp;$B$2&amp;Monthly_TVPlantPmod!AP$3&amp;$B$1&amp;$C$1)</f>
        <v>0</v>
      </c>
      <c r="AQ15" s="12"/>
      <c r="AR15" s="12">
        <f>HLOOKUP(AR$3,Weekly_TVPlantPmod!$3:$24,MATCH($B15,Weekly_TVPlantPmod!$B$3:$B$24,0),0)</f>
        <v>0</v>
      </c>
      <c r="AS15" s="12">
        <f>HLOOKUP(AS$3,Weekly_TVPlantPmod!$3:$24,MATCH($B15,Weekly_TVPlantPmod!$B$3:$B$24,0),0)</f>
        <v>1</v>
      </c>
      <c r="AT15" s="12">
        <f>HLOOKUP(AT$3,Weekly_TVPlantPmod!$3:$24,MATCH($B15,Weekly_TVPlantPmod!$B$3:$B$24,0),0)</f>
        <v>0</v>
      </c>
      <c r="AU15" s="12"/>
      <c r="AV15" s="12">
        <f t="shared" si="2"/>
        <v>10</v>
      </c>
    </row>
    <row r="16" spans="2:48">
      <c r="B16" s="12" t="s">
        <v>28</v>
      </c>
      <c r="C16" s="12">
        <f t="shared" si="0"/>
        <v>17</v>
      </c>
      <c r="D16" s="12">
        <f t="shared" si="0"/>
        <v>0</v>
      </c>
      <c r="E16" s="12"/>
      <c r="F16" s="12">
        <f>COUNTIF(defects!$AA:$AA,Monthly_TVPlantPmod!$B16&amp;Monthly_TVPlantPmod!$B$3&amp;$B$2&amp;Monthly_TVPlantPmod!F$3&amp;$B$1&amp;$C$1)</f>
        <v>0</v>
      </c>
      <c r="G16" s="12">
        <f>COUNTIF(defects!$AA:$AA,Monthly_TVPlantPmod!$B16&amp;Monthly_TVPlantPmod!$B$3&amp;$B$2&amp;Monthly_TVPlantPmod!G$3&amp;$B$1&amp;$C$1)</f>
        <v>0</v>
      </c>
      <c r="H16" s="12">
        <f>COUNTIF(defects!$AA:$AA,Monthly_TVPlantPmod!$B16&amp;Monthly_TVPlantPmod!$B$3&amp;$B$2&amp;Monthly_TVPlantPmod!H$3&amp;$B$1&amp;$C$1)</f>
        <v>0</v>
      </c>
      <c r="I16" s="12">
        <f>COUNTIF(defects!$AA:$AA,Monthly_TVPlantPmod!$B16&amp;Monthly_TVPlantPmod!$B$3&amp;$B$2&amp;Monthly_TVPlantPmod!I$3&amp;$B$1&amp;$C$1)</f>
        <v>0</v>
      </c>
      <c r="J16" s="12">
        <f>COUNTIF(defects!$AA:$AA,Monthly_TVPlantPmod!$B16&amp;Monthly_TVPlantPmod!$B$3&amp;$B$2&amp;Monthly_TVPlantPmod!J$3&amp;$B$1&amp;$C$1)</f>
        <v>0</v>
      </c>
      <c r="K16" s="12">
        <f>COUNTIF(defects!$AA:$AA,Monthly_TVPlantPmod!$B16&amp;Monthly_TVPlantPmod!$B$3&amp;$B$2&amp;Monthly_TVPlantPmod!K$3&amp;$B$1&amp;$C$1)</f>
        <v>0</v>
      </c>
      <c r="L16" s="12">
        <f>COUNTIF(defects!$AA:$AA,Monthly_TVPlantPmod!$B16&amp;Monthly_TVPlantPmod!$B$3&amp;$B$2&amp;Monthly_TVPlantPmod!L$3&amp;$B$1&amp;$C$1)</f>
        <v>0</v>
      </c>
      <c r="M16" s="12">
        <f>COUNTIF(defects!$AA:$AA,Monthly_TVPlantPmod!$B16&amp;Monthly_TVPlantPmod!$B$3&amp;$B$2&amp;Monthly_TVPlantPmod!M$3&amp;$B$1&amp;$C$1)</f>
        <v>0</v>
      </c>
      <c r="N16" s="12">
        <f>COUNTIF(defects!$AA:$AA,Monthly_TVPlantPmod!$B16&amp;Monthly_TVPlantPmod!$B$3&amp;$B$2&amp;Monthly_TVPlantPmod!N$3&amp;$B$1&amp;$C$1)</f>
        <v>0</v>
      </c>
      <c r="O16" s="12">
        <f>COUNTIF(defects!$AA:$AA,Monthly_TVPlantPmod!$B16&amp;Monthly_TVPlantPmod!$B$3&amp;$B$2&amp;Monthly_TVPlantPmod!O$3&amp;$B$1&amp;$C$1)</f>
        <v>0</v>
      </c>
      <c r="P16" s="12">
        <f>COUNTIF(defects!$AA:$AA,Monthly_TVPlantPmod!$B16&amp;Monthly_TVPlantPmod!$B$3&amp;$B$2&amp;Monthly_TVPlantPmod!P$3&amp;$B$1&amp;$C$1)</f>
        <v>0</v>
      </c>
      <c r="Q16" s="12">
        <f>COUNTIF(defects!$AA:$AA,Monthly_TVPlantPmod!$B16&amp;Monthly_TVPlantPmod!$B$3&amp;$B$2&amp;Monthly_TVPlantPmod!Q$3&amp;$B$1&amp;$C$1)</f>
        <v>0</v>
      </c>
      <c r="R16" s="12">
        <f>COUNTIF(defects!$AA:$AA,Monthly_TVPlantPmod!$B16&amp;Monthly_TVPlantPmod!$B$3&amp;$B$2&amp;Monthly_TVPlantPmod!R$3&amp;$B$1&amp;$C$1)</f>
        <v>0</v>
      </c>
      <c r="S16" s="12">
        <f>COUNTIF(defects!$AA:$AA,Monthly_TVPlantPmod!$B16&amp;Monthly_TVPlantPmod!$B$3&amp;$B$2&amp;Monthly_TVPlantPmod!S$3&amp;$B$1&amp;$C$1)</f>
        <v>0</v>
      </c>
      <c r="T16" s="12">
        <f>COUNTIF(defects!$AA:$AA,Monthly_TVPlantPmod!$B16&amp;Monthly_TVPlantPmod!$B$3&amp;$B$2&amp;Monthly_TVPlantPmod!T$3&amp;$B$1&amp;$C$1)</f>
        <v>0</v>
      </c>
      <c r="U16" s="12">
        <f>COUNTIF(defects!$AA:$AA,Monthly_TVPlantPmod!$B16&amp;Monthly_TVPlantPmod!$B$3&amp;$B$2&amp;Monthly_TVPlantPmod!U$3&amp;$B$1&amp;$C$1)</f>
        <v>3</v>
      </c>
      <c r="V16" s="12">
        <f>COUNTIF(defects!$AA:$AA,Monthly_TVPlantPmod!$B16&amp;Monthly_TVPlantPmod!$B$3&amp;$B$2&amp;Monthly_TVPlantPmod!V$3&amp;$B$1&amp;$C$1)</f>
        <v>2</v>
      </c>
      <c r="W16" s="12">
        <f>COUNTIF(defects!$AA:$AA,Monthly_TVPlantPmod!$B16&amp;Monthly_TVPlantPmod!$B$3&amp;$B$2&amp;Monthly_TVPlantPmod!W$3&amp;$B$1&amp;$C$1)</f>
        <v>1</v>
      </c>
      <c r="X16" s="12">
        <f>COUNTIF(defects!$AA:$AA,Monthly_TVPlantPmod!$B16&amp;Monthly_TVPlantPmod!$B$3&amp;$B$2&amp;Monthly_TVPlantPmod!X$3&amp;$B$1&amp;$C$1)</f>
        <v>3</v>
      </c>
      <c r="Y16" s="12">
        <f>COUNTIF(defects!$AA:$AA,Monthly_TVPlantPmod!$B16&amp;Monthly_TVPlantPmod!$B$3&amp;$B$2&amp;Monthly_TVPlantPmod!Y$3&amp;$B$1&amp;$C$1)</f>
        <v>3</v>
      </c>
      <c r="Z16" s="12">
        <f>COUNTIF(defects!$AA:$AA,Monthly_TVPlantPmod!$B16&amp;Monthly_TVPlantPmod!$B$3&amp;$B$2&amp;Monthly_TVPlantPmod!Z$3&amp;$B$1&amp;$C$1)</f>
        <v>3</v>
      </c>
      <c r="AA16" s="12">
        <f>COUNTIF(defects!$AA:$AA,Monthly_TVPlantPmod!$B16&amp;Monthly_TVPlantPmod!$B$3&amp;$B$2&amp;Monthly_TVPlantPmod!AA$3&amp;$B$1&amp;$C$1)</f>
        <v>0</v>
      </c>
      <c r="AB16" s="12">
        <f>COUNTIF(defects!$AA:$AA,Monthly_TVPlantPmod!$B16&amp;Monthly_TVPlantPmod!$B$3&amp;$B$2&amp;Monthly_TVPlantPmod!AB$3&amp;$B$1&amp;$C$1)</f>
        <v>1</v>
      </c>
      <c r="AC16" s="12">
        <f>COUNTIF(defects!$AA:$AA,Monthly_TVPlantPmod!$B16&amp;Monthly_TVPlantPmod!$B$3&amp;$B$2&amp;Monthly_TVPlantPmod!AC$3&amp;$B$1&amp;$C$1)</f>
        <v>1</v>
      </c>
      <c r="AD16" s="12">
        <f>COUNTIF(defects!$AA:$AA,Monthly_TVPlantPmod!$B16&amp;Monthly_TVPlantPmod!$B$3&amp;$B$2&amp;Monthly_TVPlantPmod!AD$3&amp;$B$1&amp;$C$1)</f>
        <v>0</v>
      </c>
      <c r="AE16" s="12">
        <f>COUNTIF(defects!$AA:$AA,Monthly_TVPlantPmod!$B16&amp;Monthly_TVPlantPmod!$B$3&amp;$B$2&amp;Monthly_TVPlantPmod!AE$3&amp;$B$1&amp;$C$1)</f>
        <v>0</v>
      </c>
      <c r="AF16" s="12">
        <f>COUNTIF(defects!$AA:$AA,Monthly_TVPlantPmod!$B16&amp;Monthly_TVPlantPmod!$B$3&amp;$B$2&amp;Monthly_TVPlantPmod!AF$3&amp;$B$1&amp;$C$1)</f>
        <v>0</v>
      </c>
      <c r="AG16" s="12">
        <f>COUNTIF(defects!$AA:$AA,Monthly_TVPlantPmod!$B16&amp;Monthly_TVPlantPmod!$B$3&amp;$B$2&amp;Monthly_TVPlantPmod!AG$3&amp;$B$1&amp;$C$1)</f>
        <v>0</v>
      </c>
      <c r="AH16" s="12">
        <f>COUNTIF(defects!$AA:$AA,Monthly_TVPlantPmod!$B16&amp;Monthly_TVPlantPmod!$B$3&amp;$B$2&amp;Monthly_TVPlantPmod!AH$3&amp;$B$1&amp;$C$1)</f>
        <v>0</v>
      </c>
      <c r="AI16" s="12">
        <f>COUNTIF(defects!$AA:$AA,Monthly_TVPlantPmod!$B16&amp;Monthly_TVPlantPmod!$B$3&amp;$B$2&amp;Monthly_TVPlantPmod!AI$3&amp;$B$1&amp;$C$1)</f>
        <v>0</v>
      </c>
      <c r="AJ16" s="12">
        <f>COUNTIF(defects!$AA:$AA,Monthly_TVPlantPmod!$B16&amp;Monthly_TVPlantPmod!$B$3&amp;$B$2&amp;Monthly_TVPlantPmod!AJ$3&amp;$B$1&amp;$C$1)</f>
        <v>0</v>
      </c>
      <c r="AK16" s="12">
        <f>COUNTIF(defects!$AA:$AA,Monthly_TVPlantPmod!$B16&amp;Monthly_TVPlantPmod!$B$3&amp;$B$2&amp;Monthly_TVPlantPmod!AK$3&amp;$B$1&amp;$C$1)</f>
        <v>0</v>
      </c>
      <c r="AL16" s="12">
        <f>COUNTIF(defects!$AA:$AA,Monthly_TVPlantPmod!$B16&amp;Monthly_TVPlantPmod!$B$3&amp;$B$2&amp;Monthly_TVPlantPmod!AL$3&amp;$B$1&amp;$C$1)</f>
        <v>0</v>
      </c>
      <c r="AM16" s="12">
        <f>COUNTIF(defects!$AA:$AA,Monthly_TVPlantPmod!$B16&amp;Monthly_TVPlantPmod!$B$3&amp;$B$2&amp;Monthly_TVPlantPmod!AM$3&amp;$B$1&amp;$C$1)</f>
        <v>0</v>
      </c>
      <c r="AN16" s="12">
        <f>COUNTIF(defects!$AA:$AA,Monthly_TVPlantPmod!$B16&amp;Monthly_TVPlantPmod!$B$3&amp;$B$2&amp;Monthly_TVPlantPmod!AN$3&amp;$B$1&amp;$C$1)</f>
        <v>0</v>
      </c>
      <c r="AO16" s="12">
        <f>COUNTIF(defects!$AA:$AA,Monthly_TVPlantPmod!$B16&amp;Monthly_TVPlantPmod!$B$3&amp;$B$2&amp;Monthly_TVPlantPmod!AO$3&amp;$B$1&amp;$C$1)</f>
        <v>0</v>
      </c>
      <c r="AP16" s="12">
        <f>COUNTIF(defects!$AA:$AA,Monthly_TVPlantPmod!$B16&amp;Monthly_TVPlantPmod!$B$3&amp;$B$2&amp;Monthly_TVPlantPmod!AP$3&amp;$B$1&amp;$C$1)</f>
        <v>0</v>
      </c>
      <c r="AQ16" s="12"/>
      <c r="AR16" s="12">
        <f>HLOOKUP(AR$3,Weekly_TVPlantPmod!$3:$24,MATCH($B16,Weekly_TVPlantPmod!$B$3:$B$24,0),0)</f>
        <v>0</v>
      </c>
      <c r="AS16" s="12">
        <f>HLOOKUP(AS$3,Weekly_TVPlantPmod!$3:$24,MATCH($B16,Weekly_TVPlantPmod!$B$3:$B$24,0),0)</f>
        <v>1</v>
      </c>
      <c r="AT16" s="12">
        <f>HLOOKUP(AT$3,Weekly_TVPlantPmod!$3:$24,MATCH($B16,Weekly_TVPlantPmod!$B$3:$B$24,0),0)</f>
        <v>0</v>
      </c>
      <c r="AU16" s="12"/>
      <c r="AV16" s="12">
        <f t="shared" si="2"/>
        <v>17</v>
      </c>
    </row>
    <row r="17" spans="2:48">
      <c r="B17" s="12" t="s">
        <v>994</v>
      </c>
      <c r="C17" s="12">
        <f t="shared" si="0"/>
        <v>0</v>
      </c>
      <c r="D17" s="12">
        <f t="shared" si="0"/>
        <v>0</v>
      </c>
      <c r="E17" s="12"/>
      <c r="F17" s="12">
        <f>COUNTIF(defects!$AA:$AA,Monthly_TVPlantPmod!$B17&amp;Monthly_TVPlantPmod!$B$3&amp;$B$2&amp;Monthly_TVPlantPmod!F$3&amp;$B$1&amp;$C$1)</f>
        <v>0</v>
      </c>
      <c r="G17" s="12">
        <f>COUNTIF(defects!$AA:$AA,Monthly_TVPlantPmod!$B17&amp;Monthly_TVPlantPmod!$B$3&amp;$B$2&amp;Monthly_TVPlantPmod!G$3&amp;$B$1&amp;$C$1)</f>
        <v>0</v>
      </c>
      <c r="H17" s="12">
        <f>COUNTIF(defects!$AA:$AA,Monthly_TVPlantPmod!$B17&amp;Monthly_TVPlantPmod!$B$3&amp;$B$2&amp;Monthly_TVPlantPmod!H$3&amp;$B$1&amp;$C$1)</f>
        <v>0</v>
      </c>
      <c r="I17" s="12">
        <f>COUNTIF(defects!$AA:$AA,Monthly_TVPlantPmod!$B17&amp;Monthly_TVPlantPmod!$B$3&amp;$B$2&amp;Monthly_TVPlantPmod!I$3&amp;$B$1&amp;$C$1)</f>
        <v>0</v>
      </c>
      <c r="J17" s="12">
        <f>COUNTIF(defects!$AA:$AA,Monthly_TVPlantPmod!$B17&amp;Monthly_TVPlantPmod!$B$3&amp;$B$2&amp;Monthly_TVPlantPmod!J$3&amp;$B$1&amp;$C$1)</f>
        <v>0</v>
      </c>
      <c r="K17" s="12">
        <f>COUNTIF(defects!$AA:$AA,Monthly_TVPlantPmod!$B17&amp;Monthly_TVPlantPmod!$B$3&amp;$B$2&amp;Monthly_TVPlantPmod!K$3&amp;$B$1&amp;$C$1)</f>
        <v>0</v>
      </c>
      <c r="L17" s="12">
        <f>COUNTIF(defects!$AA:$AA,Monthly_TVPlantPmod!$B17&amp;Monthly_TVPlantPmod!$B$3&amp;$B$2&amp;Monthly_TVPlantPmod!L$3&amp;$B$1&amp;$C$1)</f>
        <v>0</v>
      </c>
      <c r="M17" s="12">
        <f>COUNTIF(defects!$AA:$AA,Monthly_TVPlantPmod!$B17&amp;Monthly_TVPlantPmod!$B$3&amp;$B$2&amp;Monthly_TVPlantPmod!M$3&amp;$B$1&amp;$C$1)</f>
        <v>0</v>
      </c>
      <c r="N17" s="12">
        <f>COUNTIF(defects!$AA:$AA,Monthly_TVPlantPmod!$B17&amp;Monthly_TVPlantPmod!$B$3&amp;$B$2&amp;Monthly_TVPlantPmod!N$3&amp;$B$1&amp;$C$1)</f>
        <v>0</v>
      </c>
      <c r="O17" s="12">
        <f>COUNTIF(defects!$AA:$AA,Monthly_TVPlantPmod!$B17&amp;Monthly_TVPlantPmod!$B$3&amp;$B$2&amp;Monthly_TVPlantPmod!O$3&amp;$B$1&amp;$C$1)</f>
        <v>0</v>
      </c>
      <c r="P17" s="12">
        <f>COUNTIF(defects!$AA:$AA,Monthly_TVPlantPmod!$B17&amp;Monthly_TVPlantPmod!$B$3&amp;$B$2&amp;Monthly_TVPlantPmod!P$3&amp;$B$1&amp;$C$1)</f>
        <v>0</v>
      </c>
      <c r="Q17" s="12">
        <f>COUNTIF(defects!$AA:$AA,Monthly_TVPlantPmod!$B17&amp;Monthly_TVPlantPmod!$B$3&amp;$B$2&amp;Monthly_TVPlantPmod!Q$3&amp;$B$1&amp;$C$1)</f>
        <v>0</v>
      </c>
      <c r="R17" s="12">
        <f>COUNTIF(defects!$AA:$AA,Monthly_TVPlantPmod!$B17&amp;Monthly_TVPlantPmod!$B$3&amp;$B$2&amp;Monthly_TVPlantPmod!R$3&amp;$B$1&amp;$C$1)</f>
        <v>0</v>
      </c>
      <c r="S17" s="12">
        <f>COUNTIF(defects!$AA:$AA,Monthly_TVPlantPmod!$B17&amp;Monthly_TVPlantPmod!$B$3&amp;$B$2&amp;Monthly_TVPlantPmod!S$3&amp;$B$1&amp;$C$1)</f>
        <v>0</v>
      </c>
      <c r="T17" s="12">
        <f>COUNTIF(defects!$AA:$AA,Monthly_TVPlantPmod!$B17&amp;Monthly_TVPlantPmod!$B$3&amp;$B$2&amp;Monthly_TVPlantPmod!T$3&amp;$B$1&amp;$C$1)</f>
        <v>0</v>
      </c>
      <c r="U17" s="12">
        <f>COUNTIF(defects!$AA:$AA,Monthly_TVPlantPmod!$B17&amp;Monthly_TVPlantPmod!$B$3&amp;$B$2&amp;Monthly_TVPlantPmod!U$3&amp;$B$1&amp;$C$1)</f>
        <v>0</v>
      </c>
      <c r="V17" s="12">
        <f>COUNTIF(defects!$AA:$AA,Monthly_TVPlantPmod!$B17&amp;Monthly_TVPlantPmod!$B$3&amp;$B$2&amp;Monthly_TVPlantPmod!V$3&amp;$B$1&amp;$C$1)</f>
        <v>0</v>
      </c>
      <c r="W17" s="12">
        <f>COUNTIF(defects!$AA:$AA,Monthly_TVPlantPmod!$B17&amp;Monthly_TVPlantPmod!$B$3&amp;$B$2&amp;Monthly_TVPlantPmod!W$3&amp;$B$1&amp;$C$1)</f>
        <v>0</v>
      </c>
      <c r="X17" s="12">
        <f>COUNTIF(defects!$AA:$AA,Monthly_TVPlantPmod!$B17&amp;Monthly_TVPlantPmod!$B$3&amp;$B$2&amp;Monthly_TVPlantPmod!X$3&amp;$B$1&amp;$C$1)</f>
        <v>0</v>
      </c>
      <c r="Y17" s="12">
        <f>COUNTIF(defects!$AA:$AA,Monthly_TVPlantPmod!$B17&amp;Monthly_TVPlantPmod!$B$3&amp;$B$2&amp;Monthly_TVPlantPmod!Y$3&amp;$B$1&amp;$C$1)</f>
        <v>0</v>
      </c>
      <c r="Z17" s="12">
        <f>COUNTIF(defects!$AA:$AA,Monthly_TVPlantPmod!$B17&amp;Monthly_TVPlantPmod!$B$3&amp;$B$2&amp;Monthly_TVPlantPmod!Z$3&amp;$B$1&amp;$C$1)</f>
        <v>0</v>
      </c>
      <c r="AA17" s="12">
        <f>COUNTIF(defects!$AA:$AA,Monthly_TVPlantPmod!$B17&amp;Monthly_TVPlantPmod!$B$3&amp;$B$2&amp;Monthly_TVPlantPmod!AA$3&amp;$B$1&amp;$C$1)</f>
        <v>0</v>
      </c>
      <c r="AB17" s="12">
        <f>COUNTIF(defects!$AA:$AA,Monthly_TVPlantPmod!$B17&amp;Monthly_TVPlantPmod!$B$3&amp;$B$2&amp;Monthly_TVPlantPmod!AB$3&amp;$B$1&amp;$C$1)</f>
        <v>0</v>
      </c>
      <c r="AC17" s="12">
        <f>COUNTIF(defects!$AA:$AA,Monthly_TVPlantPmod!$B17&amp;Monthly_TVPlantPmod!$B$3&amp;$B$2&amp;Monthly_TVPlantPmod!AC$3&amp;$B$1&amp;$C$1)</f>
        <v>0</v>
      </c>
      <c r="AD17" s="12">
        <f>COUNTIF(defects!$AA:$AA,Monthly_TVPlantPmod!$B17&amp;Monthly_TVPlantPmod!$B$3&amp;$B$2&amp;Monthly_TVPlantPmod!AD$3&amp;$B$1&amp;$C$1)</f>
        <v>0</v>
      </c>
      <c r="AE17" s="12">
        <f>COUNTIF(defects!$AA:$AA,Monthly_TVPlantPmod!$B17&amp;Monthly_TVPlantPmod!$B$3&amp;$B$2&amp;Monthly_TVPlantPmod!AE$3&amp;$B$1&amp;$C$1)</f>
        <v>0</v>
      </c>
      <c r="AF17" s="12">
        <f>COUNTIF(defects!$AA:$AA,Monthly_TVPlantPmod!$B17&amp;Monthly_TVPlantPmod!$B$3&amp;$B$2&amp;Monthly_TVPlantPmod!AF$3&amp;$B$1&amp;$C$1)</f>
        <v>0</v>
      </c>
      <c r="AG17" s="12">
        <f>COUNTIF(defects!$AA:$AA,Monthly_TVPlantPmod!$B17&amp;Monthly_TVPlantPmod!$B$3&amp;$B$2&amp;Monthly_TVPlantPmod!AG$3&amp;$B$1&amp;$C$1)</f>
        <v>0</v>
      </c>
      <c r="AH17" s="12">
        <f>COUNTIF(defects!$AA:$AA,Monthly_TVPlantPmod!$B17&amp;Monthly_TVPlantPmod!$B$3&amp;$B$2&amp;Monthly_TVPlantPmod!AH$3&amp;$B$1&amp;$C$1)</f>
        <v>0</v>
      </c>
      <c r="AI17" s="12">
        <f>COUNTIF(defects!$AA:$AA,Monthly_TVPlantPmod!$B17&amp;Monthly_TVPlantPmod!$B$3&amp;$B$2&amp;Monthly_TVPlantPmod!AI$3&amp;$B$1&amp;$C$1)</f>
        <v>0</v>
      </c>
      <c r="AJ17" s="12">
        <f>COUNTIF(defects!$AA:$AA,Monthly_TVPlantPmod!$B17&amp;Monthly_TVPlantPmod!$B$3&amp;$B$2&amp;Monthly_TVPlantPmod!AJ$3&amp;$B$1&amp;$C$1)</f>
        <v>0</v>
      </c>
      <c r="AK17" s="12">
        <f>COUNTIF(defects!$AA:$AA,Monthly_TVPlantPmod!$B17&amp;Monthly_TVPlantPmod!$B$3&amp;$B$2&amp;Monthly_TVPlantPmod!AK$3&amp;$B$1&amp;$C$1)</f>
        <v>0</v>
      </c>
      <c r="AL17" s="12">
        <f>COUNTIF(defects!$AA:$AA,Monthly_TVPlantPmod!$B17&amp;Monthly_TVPlantPmod!$B$3&amp;$B$2&amp;Monthly_TVPlantPmod!AL$3&amp;$B$1&amp;$C$1)</f>
        <v>0</v>
      </c>
      <c r="AM17" s="12">
        <f>COUNTIF(defects!$AA:$AA,Monthly_TVPlantPmod!$B17&amp;Monthly_TVPlantPmod!$B$3&amp;$B$2&amp;Monthly_TVPlantPmod!AM$3&amp;$B$1&amp;$C$1)</f>
        <v>0</v>
      </c>
      <c r="AN17" s="12">
        <f>COUNTIF(defects!$AA:$AA,Monthly_TVPlantPmod!$B17&amp;Monthly_TVPlantPmod!$B$3&amp;$B$2&amp;Monthly_TVPlantPmod!AN$3&amp;$B$1&amp;$C$1)</f>
        <v>0</v>
      </c>
      <c r="AO17" s="12">
        <f>COUNTIF(defects!$AA:$AA,Monthly_TVPlantPmod!$B17&amp;Monthly_TVPlantPmod!$B$3&amp;$B$2&amp;Monthly_TVPlantPmod!AO$3&amp;$B$1&amp;$C$1)</f>
        <v>0</v>
      </c>
      <c r="AP17" s="12">
        <f>COUNTIF(defects!$AA:$AA,Monthly_TVPlantPmod!$B17&amp;Monthly_TVPlantPmod!$B$3&amp;$B$2&amp;Monthly_TVPlantPmod!AP$3&amp;$B$1&amp;$C$1)</f>
        <v>0</v>
      </c>
      <c r="AQ17" s="12"/>
      <c r="AR17" s="12">
        <f>HLOOKUP(AR$3,Weekly_TVPlantPmod!$3:$24,MATCH($B17,Weekly_TVPlantPmod!$B$3:$B$24,0),0)</f>
        <v>0</v>
      </c>
      <c r="AS17" s="12">
        <f>HLOOKUP(AS$3,Weekly_TVPlantPmod!$3:$24,MATCH($B17,Weekly_TVPlantPmod!$B$3:$B$24,0),0)</f>
        <v>0</v>
      </c>
      <c r="AT17" s="12">
        <f>HLOOKUP(AT$3,Weekly_TVPlantPmod!$3:$24,MATCH($B17,Weekly_TVPlantPmod!$B$3:$B$24,0),0)</f>
        <v>0</v>
      </c>
      <c r="AU17" s="12"/>
      <c r="AV17" s="12">
        <f t="shared" si="2"/>
        <v>0</v>
      </c>
    </row>
    <row r="18" spans="2:48">
      <c r="B18" s="12" t="s">
        <v>891</v>
      </c>
      <c r="C18" s="12">
        <f t="shared" si="0"/>
        <v>5</v>
      </c>
      <c r="D18" s="12">
        <f t="shared" si="0"/>
        <v>0</v>
      </c>
      <c r="E18" s="12"/>
      <c r="F18" s="12">
        <f>COUNTIF(defects!$AA:$AA,Monthly_TVPlantPmod!$B18&amp;Monthly_TVPlantPmod!$B$3&amp;$B$2&amp;Monthly_TVPlantPmod!F$3&amp;$B$1&amp;$C$1)</f>
        <v>0</v>
      </c>
      <c r="G18" s="12">
        <f>COUNTIF(defects!$AA:$AA,Monthly_TVPlantPmod!$B18&amp;Monthly_TVPlantPmod!$B$3&amp;$B$2&amp;Monthly_TVPlantPmod!G$3&amp;$B$1&amp;$C$1)</f>
        <v>0</v>
      </c>
      <c r="H18" s="12">
        <f>COUNTIF(defects!$AA:$AA,Monthly_TVPlantPmod!$B18&amp;Monthly_TVPlantPmod!$B$3&amp;$B$2&amp;Monthly_TVPlantPmod!H$3&amp;$B$1&amp;$C$1)</f>
        <v>0</v>
      </c>
      <c r="I18" s="12">
        <f>COUNTIF(defects!$AA:$AA,Monthly_TVPlantPmod!$B18&amp;Monthly_TVPlantPmod!$B$3&amp;$B$2&amp;Monthly_TVPlantPmod!I$3&amp;$B$1&amp;$C$1)</f>
        <v>0</v>
      </c>
      <c r="J18" s="12">
        <f>COUNTIF(defects!$AA:$AA,Monthly_TVPlantPmod!$B18&amp;Monthly_TVPlantPmod!$B$3&amp;$B$2&amp;Monthly_TVPlantPmod!J$3&amp;$B$1&amp;$C$1)</f>
        <v>0</v>
      </c>
      <c r="K18" s="12">
        <f>COUNTIF(defects!$AA:$AA,Monthly_TVPlantPmod!$B18&amp;Monthly_TVPlantPmod!$B$3&amp;$B$2&amp;Monthly_TVPlantPmod!K$3&amp;$B$1&amp;$C$1)</f>
        <v>0</v>
      </c>
      <c r="L18" s="12">
        <f>COUNTIF(defects!$AA:$AA,Monthly_TVPlantPmod!$B18&amp;Monthly_TVPlantPmod!$B$3&amp;$B$2&amp;Monthly_TVPlantPmod!L$3&amp;$B$1&amp;$C$1)</f>
        <v>0</v>
      </c>
      <c r="M18" s="12">
        <f>COUNTIF(defects!$AA:$AA,Monthly_TVPlantPmod!$B18&amp;Monthly_TVPlantPmod!$B$3&amp;$B$2&amp;Monthly_TVPlantPmod!M$3&amp;$B$1&amp;$C$1)</f>
        <v>0</v>
      </c>
      <c r="N18" s="12">
        <f>COUNTIF(defects!$AA:$AA,Monthly_TVPlantPmod!$B18&amp;Monthly_TVPlantPmod!$B$3&amp;$B$2&amp;Monthly_TVPlantPmod!N$3&amp;$B$1&amp;$C$1)</f>
        <v>0</v>
      </c>
      <c r="O18" s="12">
        <f>COUNTIF(defects!$AA:$AA,Monthly_TVPlantPmod!$B18&amp;Monthly_TVPlantPmod!$B$3&amp;$B$2&amp;Monthly_TVPlantPmod!O$3&amp;$B$1&amp;$C$1)</f>
        <v>0</v>
      </c>
      <c r="P18" s="12">
        <f>COUNTIF(defects!$AA:$AA,Monthly_TVPlantPmod!$B18&amp;Monthly_TVPlantPmod!$B$3&amp;$B$2&amp;Monthly_TVPlantPmod!P$3&amp;$B$1&amp;$C$1)</f>
        <v>0</v>
      </c>
      <c r="Q18" s="12">
        <f>COUNTIF(defects!$AA:$AA,Monthly_TVPlantPmod!$B18&amp;Monthly_TVPlantPmod!$B$3&amp;$B$2&amp;Monthly_TVPlantPmod!Q$3&amp;$B$1&amp;$C$1)</f>
        <v>0</v>
      </c>
      <c r="R18" s="12">
        <f>COUNTIF(defects!$AA:$AA,Monthly_TVPlantPmod!$B18&amp;Monthly_TVPlantPmod!$B$3&amp;$B$2&amp;Monthly_TVPlantPmod!R$3&amp;$B$1&amp;$C$1)</f>
        <v>0</v>
      </c>
      <c r="S18" s="12">
        <f>COUNTIF(defects!$AA:$AA,Monthly_TVPlantPmod!$B18&amp;Monthly_TVPlantPmod!$B$3&amp;$B$2&amp;Monthly_TVPlantPmod!S$3&amp;$B$1&amp;$C$1)</f>
        <v>0</v>
      </c>
      <c r="T18" s="12">
        <f>COUNTIF(defects!$AA:$AA,Monthly_TVPlantPmod!$B18&amp;Monthly_TVPlantPmod!$B$3&amp;$B$2&amp;Monthly_TVPlantPmod!T$3&amp;$B$1&amp;$C$1)</f>
        <v>0</v>
      </c>
      <c r="U18" s="12">
        <f>COUNTIF(defects!$AA:$AA,Monthly_TVPlantPmod!$B18&amp;Monthly_TVPlantPmod!$B$3&amp;$B$2&amp;Monthly_TVPlantPmod!U$3&amp;$B$1&amp;$C$1)</f>
        <v>0</v>
      </c>
      <c r="V18" s="12">
        <f>COUNTIF(defects!$AA:$AA,Monthly_TVPlantPmod!$B18&amp;Monthly_TVPlantPmod!$B$3&amp;$B$2&amp;Monthly_TVPlantPmod!V$3&amp;$B$1&amp;$C$1)</f>
        <v>0</v>
      </c>
      <c r="W18" s="12">
        <f>COUNTIF(defects!$AA:$AA,Monthly_TVPlantPmod!$B18&amp;Monthly_TVPlantPmod!$B$3&amp;$B$2&amp;Monthly_TVPlantPmod!W$3&amp;$B$1&amp;$C$1)</f>
        <v>1</v>
      </c>
      <c r="X18" s="12">
        <f>COUNTIF(defects!$AA:$AA,Monthly_TVPlantPmod!$B18&amp;Monthly_TVPlantPmod!$B$3&amp;$B$2&amp;Monthly_TVPlantPmod!X$3&amp;$B$1&amp;$C$1)</f>
        <v>0</v>
      </c>
      <c r="Y18" s="12">
        <f>COUNTIF(defects!$AA:$AA,Monthly_TVPlantPmod!$B18&amp;Monthly_TVPlantPmod!$B$3&amp;$B$2&amp;Monthly_TVPlantPmod!Y$3&amp;$B$1&amp;$C$1)</f>
        <v>0</v>
      </c>
      <c r="Z18" s="12">
        <f>COUNTIF(defects!$AA:$AA,Monthly_TVPlantPmod!$B18&amp;Monthly_TVPlantPmod!$B$3&amp;$B$2&amp;Monthly_TVPlantPmod!Z$3&amp;$B$1&amp;$C$1)</f>
        <v>3</v>
      </c>
      <c r="AA18" s="12">
        <f>COUNTIF(defects!$AA:$AA,Monthly_TVPlantPmod!$B18&amp;Monthly_TVPlantPmod!$B$3&amp;$B$2&amp;Monthly_TVPlantPmod!AA$3&amp;$B$1&amp;$C$1)</f>
        <v>0</v>
      </c>
      <c r="AB18" s="12">
        <f>COUNTIF(defects!$AA:$AA,Monthly_TVPlantPmod!$B18&amp;Monthly_TVPlantPmod!$B$3&amp;$B$2&amp;Monthly_TVPlantPmod!AB$3&amp;$B$1&amp;$C$1)</f>
        <v>1</v>
      </c>
      <c r="AC18" s="12">
        <f>COUNTIF(defects!$AA:$AA,Monthly_TVPlantPmod!$B18&amp;Monthly_TVPlantPmod!$B$3&amp;$B$2&amp;Monthly_TVPlantPmod!AC$3&amp;$B$1&amp;$C$1)</f>
        <v>0</v>
      </c>
      <c r="AD18" s="12">
        <f>COUNTIF(defects!$AA:$AA,Monthly_TVPlantPmod!$B18&amp;Monthly_TVPlantPmod!$B$3&amp;$B$2&amp;Monthly_TVPlantPmod!AD$3&amp;$B$1&amp;$C$1)</f>
        <v>0</v>
      </c>
      <c r="AE18" s="12">
        <f>COUNTIF(defects!$AA:$AA,Monthly_TVPlantPmod!$B18&amp;Monthly_TVPlantPmod!$B$3&amp;$B$2&amp;Monthly_TVPlantPmod!AE$3&amp;$B$1&amp;$C$1)</f>
        <v>0</v>
      </c>
      <c r="AF18" s="12">
        <f>COUNTIF(defects!$AA:$AA,Monthly_TVPlantPmod!$B18&amp;Monthly_TVPlantPmod!$B$3&amp;$B$2&amp;Monthly_TVPlantPmod!AF$3&amp;$B$1&amp;$C$1)</f>
        <v>0</v>
      </c>
      <c r="AG18" s="12">
        <f>COUNTIF(defects!$AA:$AA,Monthly_TVPlantPmod!$B18&amp;Monthly_TVPlantPmod!$B$3&amp;$B$2&amp;Monthly_TVPlantPmod!AG$3&amp;$B$1&amp;$C$1)</f>
        <v>0</v>
      </c>
      <c r="AH18" s="12">
        <f>COUNTIF(defects!$AA:$AA,Monthly_TVPlantPmod!$B18&amp;Monthly_TVPlantPmod!$B$3&amp;$B$2&amp;Monthly_TVPlantPmod!AH$3&amp;$B$1&amp;$C$1)</f>
        <v>0</v>
      </c>
      <c r="AI18" s="12">
        <f>COUNTIF(defects!$AA:$AA,Monthly_TVPlantPmod!$B18&amp;Monthly_TVPlantPmod!$B$3&amp;$B$2&amp;Monthly_TVPlantPmod!AI$3&amp;$B$1&amp;$C$1)</f>
        <v>0</v>
      </c>
      <c r="AJ18" s="12">
        <f>COUNTIF(defects!$AA:$AA,Monthly_TVPlantPmod!$B18&amp;Monthly_TVPlantPmod!$B$3&amp;$B$2&amp;Monthly_TVPlantPmod!AJ$3&amp;$B$1&amp;$C$1)</f>
        <v>0</v>
      </c>
      <c r="AK18" s="12">
        <f>COUNTIF(defects!$AA:$AA,Monthly_TVPlantPmod!$B18&amp;Monthly_TVPlantPmod!$B$3&amp;$B$2&amp;Monthly_TVPlantPmod!AK$3&amp;$B$1&amp;$C$1)</f>
        <v>0</v>
      </c>
      <c r="AL18" s="12">
        <f>COUNTIF(defects!$AA:$AA,Monthly_TVPlantPmod!$B18&amp;Monthly_TVPlantPmod!$B$3&amp;$B$2&amp;Monthly_TVPlantPmod!AL$3&amp;$B$1&amp;$C$1)</f>
        <v>0</v>
      </c>
      <c r="AM18" s="12">
        <f>COUNTIF(defects!$AA:$AA,Monthly_TVPlantPmod!$B18&amp;Monthly_TVPlantPmod!$B$3&amp;$B$2&amp;Monthly_TVPlantPmod!AM$3&amp;$B$1&amp;$C$1)</f>
        <v>0</v>
      </c>
      <c r="AN18" s="12">
        <f>COUNTIF(defects!$AA:$AA,Monthly_TVPlantPmod!$B18&amp;Monthly_TVPlantPmod!$B$3&amp;$B$2&amp;Monthly_TVPlantPmod!AN$3&amp;$B$1&amp;$C$1)</f>
        <v>0</v>
      </c>
      <c r="AO18" s="12">
        <f>COUNTIF(defects!$AA:$AA,Monthly_TVPlantPmod!$B18&amp;Monthly_TVPlantPmod!$B$3&amp;$B$2&amp;Monthly_TVPlantPmod!AO$3&amp;$B$1&amp;$C$1)</f>
        <v>0</v>
      </c>
      <c r="AP18" s="12">
        <f>COUNTIF(defects!$AA:$AA,Monthly_TVPlantPmod!$B18&amp;Monthly_TVPlantPmod!$B$3&amp;$B$2&amp;Monthly_TVPlantPmod!AP$3&amp;$B$1&amp;$C$1)</f>
        <v>0</v>
      </c>
      <c r="AQ18" s="12"/>
      <c r="AR18" s="12">
        <f>HLOOKUP(AR$3,Weekly_TVPlantPmod!$3:$24,MATCH($B18,Weekly_TVPlantPmod!$B$3:$B$24,0),0)</f>
        <v>0</v>
      </c>
      <c r="AS18" s="12">
        <f>HLOOKUP(AS$3,Weekly_TVPlantPmod!$3:$24,MATCH($B18,Weekly_TVPlantPmod!$B$3:$B$24,0),0)</f>
        <v>0</v>
      </c>
      <c r="AT18" s="12">
        <f>HLOOKUP(AT$3,Weekly_TVPlantPmod!$3:$24,MATCH($B18,Weekly_TVPlantPmod!$B$3:$B$24,0),0)</f>
        <v>0</v>
      </c>
      <c r="AU18" s="12"/>
      <c r="AV18" s="12">
        <f t="shared" si="2"/>
        <v>5</v>
      </c>
    </row>
    <row r="19" spans="2:48">
      <c r="B19" s="12" t="s">
        <v>995</v>
      </c>
      <c r="C19" s="12">
        <f t="shared" si="0"/>
        <v>0</v>
      </c>
      <c r="D19" s="12">
        <f t="shared" si="0"/>
        <v>0</v>
      </c>
      <c r="E19" s="12"/>
      <c r="F19" s="12">
        <f>COUNTIF(defects!$AA:$AA,Monthly_TVPlantPmod!$B19&amp;Monthly_TVPlantPmod!$B$3&amp;$B$2&amp;Monthly_TVPlantPmod!F$3&amp;$B$1&amp;$C$1)</f>
        <v>0</v>
      </c>
      <c r="G19" s="12">
        <f>COUNTIF(defects!$AA:$AA,Monthly_TVPlantPmod!$B19&amp;Monthly_TVPlantPmod!$B$3&amp;$B$2&amp;Monthly_TVPlantPmod!G$3&amp;$B$1&amp;$C$1)</f>
        <v>0</v>
      </c>
      <c r="H19" s="12">
        <f>COUNTIF(defects!$AA:$AA,Monthly_TVPlantPmod!$B19&amp;Monthly_TVPlantPmod!$B$3&amp;$B$2&amp;Monthly_TVPlantPmod!H$3&amp;$B$1&amp;$C$1)</f>
        <v>0</v>
      </c>
      <c r="I19" s="12">
        <f>COUNTIF(defects!$AA:$AA,Monthly_TVPlantPmod!$B19&amp;Monthly_TVPlantPmod!$B$3&amp;$B$2&amp;Monthly_TVPlantPmod!I$3&amp;$B$1&amp;$C$1)</f>
        <v>0</v>
      </c>
      <c r="J19" s="12">
        <f>COUNTIF(defects!$AA:$AA,Monthly_TVPlantPmod!$B19&amp;Monthly_TVPlantPmod!$B$3&amp;$B$2&amp;Monthly_TVPlantPmod!J$3&amp;$B$1&amp;$C$1)</f>
        <v>0</v>
      </c>
      <c r="K19" s="12">
        <f>COUNTIF(defects!$AA:$AA,Monthly_TVPlantPmod!$B19&amp;Monthly_TVPlantPmod!$B$3&amp;$B$2&amp;Monthly_TVPlantPmod!K$3&amp;$B$1&amp;$C$1)</f>
        <v>0</v>
      </c>
      <c r="L19" s="12">
        <f>COUNTIF(defects!$AA:$AA,Monthly_TVPlantPmod!$B19&amp;Monthly_TVPlantPmod!$B$3&amp;$B$2&amp;Monthly_TVPlantPmod!L$3&amp;$B$1&amp;$C$1)</f>
        <v>0</v>
      </c>
      <c r="M19" s="12">
        <f>COUNTIF(defects!$AA:$AA,Monthly_TVPlantPmod!$B19&amp;Monthly_TVPlantPmod!$B$3&amp;$B$2&amp;Monthly_TVPlantPmod!M$3&amp;$B$1&amp;$C$1)</f>
        <v>0</v>
      </c>
      <c r="N19" s="12">
        <f>COUNTIF(defects!$AA:$AA,Monthly_TVPlantPmod!$B19&amp;Monthly_TVPlantPmod!$B$3&amp;$B$2&amp;Monthly_TVPlantPmod!N$3&amp;$B$1&amp;$C$1)</f>
        <v>0</v>
      </c>
      <c r="O19" s="12">
        <f>COUNTIF(defects!$AA:$AA,Monthly_TVPlantPmod!$B19&amp;Monthly_TVPlantPmod!$B$3&amp;$B$2&amp;Monthly_TVPlantPmod!O$3&amp;$B$1&amp;$C$1)</f>
        <v>0</v>
      </c>
      <c r="P19" s="12">
        <f>COUNTIF(defects!$AA:$AA,Monthly_TVPlantPmod!$B19&amp;Monthly_TVPlantPmod!$B$3&amp;$B$2&amp;Monthly_TVPlantPmod!P$3&amp;$B$1&amp;$C$1)</f>
        <v>0</v>
      </c>
      <c r="Q19" s="12">
        <f>COUNTIF(defects!$AA:$AA,Monthly_TVPlantPmod!$B19&amp;Monthly_TVPlantPmod!$B$3&amp;$B$2&amp;Monthly_TVPlantPmod!Q$3&amp;$B$1&amp;$C$1)</f>
        <v>0</v>
      </c>
      <c r="R19" s="12">
        <f>COUNTIF(defects!$AA:$AA,Monthly_TVPlantPmod!$B19&amp;Monthly_TVPlantPmod!$B$3&amp;$B$2&amp;Monthly_TVPlantPmod!R$3&amp;$B$1&amp;$C$1)</f>
        <v>0</v>
      </c>
      <c r="S19" s="12">
        <f>COUNTIF(defects!$AA:$AA,Monthly_TVPlantPmod!$B19&amp;Monthly_TVPlantPmod!$B$3&amp;$B$2&amp;Monthly_TVPlantPmod!S$3&amp;$B$1&amp;$C$1)</f>
        <v>0</v>
      </c>
      <c r="T19" s="12">
        <f>COUNTIF(defects!$AA:$AA,Monthly_TVPlantPmod!$B19&amp;Monthly_TVPlantPmod!$B$3&amp;$B$2&amp;Monthly_TVPlantPmod!T$3&amp;$B$1&amp;$C$1)</f>
        <v>0</v>
      </c>
      <c r="U19" s="12">
        <f>COUNTIF(defects!$AA:$AA,Monthly_TVPlantPmod!$B19&amp;Monthly_TVPlantPmod!$B$3&amp;$B$2&amp;Monthly_TVPlantPmod!U$3&amp;$B$1&amp;$C$1)</f>
        <v>0</v>
      </c>
      <c r="V19" s="12">
        <f>COUNTIF(defects!$AA:$AA,Monthly_TVPlantPmod!$B19&amp;Monthly_TVPlantPmod!$B$3&amp;$B$2&amp;Monthly_TVPlantPmod!V$3&amp;$B$1&amp;$C$1)</f>
        <v>0</v>
      </c>
      <c r="W19" s="12">
        <f>COUNTIF(defects!$AA:$AA,Monthly_TVPlantPmod!$B19&amp;Monthly_TVPlantPmod!$B$3&amp;$B$2&amp;Monthly_TVPlantPmod!W$3&amp;$B$1&amp;$C$1)</f>
        <v>0</v>
      </c>
      <c r="X19" s="12">
        <f>COUNTIF(defects!$AA:$AA,Monthly_TVPlantPmod!$B19&amp;Monthly_TVPlantPmod!$B$3&amp;$B$2&amp;Monthly_TVPlantPmod!X$3&amp;$B$1&amp;$C$1)</f>
        <v>0</v>
      </c>
      <c r="Y19" s="12">
        <f>COUNTIF(defects!$AA:$AA,Monthly_TVPlantPmod!$B19&amp;Monthly_TVPlantPmod!$B$3&amp;$B$2&amp;Monthly_TVPlantPmod!Y$3&amp;$B$1&amp;$C$1)</f>
        <v>0</v>
      </c>
      <c r="Z19" s="12">
        <f>COUNTIF(defects!$AA:$AA,Monthly_TVPlantPmod!$B19&amp;Monthly_TVPlantPmod!$B$3&amp;$B$2&amp;Monthly_TVPlantPmod!Z$3&amp;$B$1&amp;$C$1)</f>
        <v>0</v>
      </c>
      <c r="AA19" s="12">
        <f>COUNTIF(defects!$AA:$AA,Monthly_TVPlantPmod!$B19&amp;Monthly_TVPlantPmod!$B$3&amp;$B$2&amp;Monthly_TVPlantPmod!AA$3&amp;$B$1&amp;$C$1)</f>
        <v>0</v>
      </c>
      <c r="AB19" s="12">
        <f>COUNTIF(defects!$AA:$AA,Monthly_TVPlantPmod!$B19&amp;Monthly_TVPlantPmod!$B$3&amp;$B$2&amp;Monthly_TVPlantPmod!AB$3&amp;$B$1&amp;$C$1)</f>
        <v>0</v>
      </c>
      <c r="AC19" s="12">
        <f>COUNTIF(defects!$AA:$AA,Monthly_TVPlantPmod!$B19&amp;Monthly_TVPlantPmod!$B$3&amp;$B$2&amp;Monthly_TVPlantPmod!AC$3&amp;$B$1&amp;$C$1)</f>
        <v>0</v>
      </c>
      <c r="AD19" s="12">
        <f>COUNTIF(defects!$AA:$AA,Monthly_TVPlantPmod!$B19&amp;Monthly_TVPlantPmod!$B$3&amp;$B$2&amp;Monthly_TVPlantPmod!AD$3&amp;$B$1&amp;$C$1)</f>
        <v>0</v>
      </c>
      <c r="AE19" s="12">
        <f>COUNTIF(defects!$AA:$AA,Monthly_TVPlantPmod!$B19&amp;Monthly_TVPlantPmod!$B$3&amp;$B$2&amp;Monthly_TVPlantPmod!AE$3&amp;$B$1&amp;$C$1)</f>
        <v>0</v>
      </c>
      <c r="AF19" s="12">
        <f>COUNTIF(defects!$AA:$AA,Monthly_TVPlantPmod!$B19&amp;Monthly_TVPlantPmod!$B$3&amp;$B$2&amp;Monthly_TVPlantPmod!AF$3&amp;$B$1&amp;$C$1)</f>
        <v>0</v>
      </c>
      <c r="AG19" s="12">
        <f>COUNTIF(defects!$AA:$AA,Monthly_TVPlantPmod!$B19&amp;Monthly_TVPlantPmod!$B$3&amp;$B$2&amp;Monthly_TVPlantPmod!AG$3&amp;$B$1&amp;$C$1)</f>
        <v>0</v>
      </c>
      <c r="AH19" s="12">
        <f>COUNTIF(defects!$AA:$AA,Monthly_TVPlantPmod!$B19&amp;Monthly_TVPlantPmod!$B$3&amp;$B$2&amp;Monthly_TVPlantPmod!AH$3&amp;$B$1&amp;$C$1)</f>
        <v>0</v>
      </c>
      <c r="AI19" s="12">
        <f>COUNTIF(defects!$AA:$AA,Monthly_TVPlantPmod!$B19&amp;Monthly_TVPlantPmod!$B$3&amp;$B$2&amp;Monthly_TVPlantPmod!AI$3&amp;$B$1&amp;$C$1)</f>
        <v>0</v>
      </c>
      <c r="AJ19" s="12">
        <f>COUNTIF(defects!$AA:$AA,Monthly_TVPlantPmod!$B19&amp;Monthly_TVPlantPmod!$B$3&amp;$B$2&amp;Monthly_TVPlantPmod!AJ$3&amp;$B$1&amp;$C$1)</f>
        <v>0</v>
      </c>
      <c r="AK19" s="12">
        <f>COUNTIF(defects!$AA:$AA,Monthly_TVPlantPmod!$B19&amp;Monthly_TVPlantPmod!$B$3&amp;$B$2&amp;Monthly_TVPlantPmod!AK$3&amp;$B$1&amp;$C$1)</f>
        <v>0</v>
      </c>
      <c r="AL19" s="12">
        <f>COUNTIF(defects!$AA:$AA,Monthly_TVPlantPmod!$B19&amp;Monthly_TVPlantPmod!$B$3&amp;$B$2&amp;Monthly_TVPlantPmod!AL$3&amp;$B$1&amp;$C$1)</f>
        <v>0</v>
      </c>
      <c r="AM19" s="12">
        <f>COUNTIF(defects!$AA:$AA,Monthly_TVPlantPmod!$B19&amp;Monthly_TVPlantPmod!$B$3&amp;$B$2&amp;Monthly_TVPlantPmod!AM$3&amp;$B$1&amp;$C$1)</f>
        <v>0</v>
      </c>
      <c r="AN19" s="12">
        <f>COUNTIF(defects!$AA:$AA,Monthly_TVPlantPmod!$B19&amp;Monthly_TVPlantPmod!$B$3&amp;$B$2&amp;Monthly_TVPlantPmod!AN$3&amp;$B$1&amp;$C$1)</f>
        <v>0</v>
      </c>
      <c r="AO19" s="12">
        <f>COUNTIF(defects!$AA:$AA,Monthly_TVPlantPmod!$B19&amp;Monthly_TVPlantPmod!$B$3&amp;$B$2&amp;Monthly_TVPlantPmod!AO$3&amp;$B$1&amp;$C$1)</f>
        <v>0</v>
      </c>
      <c r="AP19" s="12">
        <f>COUNTIF(defects!$AA:$AA,Monthly_TVPlantPmod!$B19&amp;Monthly_TVPlantPmod!$B$3&amp;$B$2&amp;Monthly_TVPlantPmod!AP$3&amp;$B$1&amp;$C$1)</f>
        <v>0</v>
      </c>
      <c r="AQ19" s="12"/>
      <c r="AR19" s="12">
        <f>HLOOKUP(AR$3,Weekly_TVPlantPmod!$3:$24,MATCH($B19,Weekly_TVPlantPmod!$B$3:$B$24,0),0)</f>
        <v>0</v>
      </c>
      <c r="AS19" s="12">
        <f>HLOOKUP(AS$3,Weekly_TVPlantPmod!$3:$24,MATCH($B19,Weekly_TVPlantPmod!$B$3:$B$24,0),0)</f>
        <v>0</v>
      </c>
      <c r="AT19" s="12">
        <f>HLOOKUP(AT$3,Weekly_TVPlantPmod!$3:$24,MATCH($B19,Weekly_TVPlantPmod!$B$3:$B$24,0),0)</f>
        <v>0</v>
      </c>
      <c r="AU19" s="12"/>
      <c r="AV19" s="12">
        <f t="shared" si="2"/>
        <v>0</v>
      </c>
    </row>
    <row r="20" spans="2:48">
      <c r="B20" s="12" t="s">
        <v>952</v>
      </c>
      <c r="C20" s="12">
        <f t="shared" si="0"/>
        <v>0</v>
      </c>
      <c r="D20" s="12">
        <f t="shared" si="0"/>
        <v>0</v>
      </c>
      <c r="E20" s="12"/>
      <c r="F20" s="12">
        <f>COUNTIF(defects!$AA:$AA,Monthly_TVPlantPmod!$B20&amp;Monthly_TVPlantPmod!$B$3&amp;$B$2&amp;Monthly_TVPlantPmod!F$3&amp;$B$1&amp;$C$1)</f>
        <v>0</v>
      </c>
      <c r="G20" s="12">
        <f>COUNTIF(defects!$AA:$AA,Monthly_TVPlantPmod!$B20&amp;Monthly_TVPlantPmod!$B$3&amp;$B$2&amp;Monthly_TVPlantPmod!G$3&amp;$B$1&amp;$C$1)</f>
        <v>0</v>
      </c>
      <c r="H20" s="12">
        <f>COUNTIF(defects!$AA:$AA,Monthly_TVPlantPmod!$B20&amp;Monthly_TVPlantPmod!$B$3&amp;$B$2&amp;Monthly_TVPlantPmod!H$3&amp;$B$1&amp;$C$1)</f>
        <v>0</v>
      </c>
      <c r="I20" s="12">
        <f>COUNTIF(defects!$AA:$AA,Monthly_TVPlantPmod!$B20&amp;Monthly_TVPlantPmod!$B$3&amp;$B$2&amp;Monthly_TVPlantPmod!I$3&amp;$B$1&amp;$C$1)</f>
        <v>0</v>
      </c>
      <c r="J20" s="12">
        <f>COUNTIF(defects!$AA:$AA,Monthly_TVPlantPmod!$B20&amp;Monthly_TVPlantPmod!$B$3&amp;$B$2&amp;Monthly_TVPlantPmod!J$3&amp;$B$1&amp;$C$1)</f>
        <v>0</v>
      </c>
      <c r="K20" s="12">
        <f>COUNTIF(defects!$AA:$AA,Monthly_TVPlantPmod!$B20&amp;Monthly_TVPlantPmod!$B$3&amp;$B$2&amp;Monthly_TVPlantPmod!K$3&amp;$B$1&amp;$C$1)</f>
        <v>0</v>
      </c>
      <c r="L20" s="12">
        <f>COUNTIF(defects!$AA:$AA,Monthly_TVPlantPmod!$B20&amp;Monthly_TVPlantPmod!$B$3&amp;$B$2&amp;Monthly_TVPlantPmod!L$3&amp;$B$1&amp;$C$1)</f>
        <v>0</v>
      </c>
      <c r="M20" s="12">
        <f>COUNTIF(defects!$AA:$AA,Monthly_TVPlantPmod!$B20&amp;Monthly_TVPlantPmod!$B$3&amp;$B$2&amp;Monthly_TVPlantPmod!M$3&amp;$B$1&amp;$C$1)</f>
        <v>0</v>
      </c>
      <c r="N20" s="12">
        <f>COUNTIF(defects!$AA:$AA,Monthly_TVPlantPmod!$B20&amp;Monthly_TVPlantPmod!$B$3&amp;$B$2&amp;Monthly_TVPlantPmod!N$3&amp;$B$1&amp;$C$1)</f>
        <v>0</v>
      </c>
      <c r="O20" s="12">
        <f>COUNTIF(defects!$AA:$AA,Monthly_TVPlantPmod!$B20&amp;Monthly_TVPlantPmod!$B$3&amp;$B$2&amp;Monthly_TVPlantPmod!O$3&amp;$B$1&amp;$C$1)</f>
        <v>0</v>
      </c>
      <c r="P20" s="12">
        <f>COUNTIF(defects!$AA:$AA,Monthly_TVPlantPmod!$B20&amp;Monthly_TVPlantPmod!$B$3&amp;$B$2&amp;Monthly_TVPlantPmod!P$3&amp;$B$1&amp;$C$1)</f>
        <v>0</v>
      </c>
      <c r="Q20" s="12">
        <f>COUNTIF(defects!$AA:$AA,Monthly_TVPlantPmod!$B20&amp;Monthly_TVPlantPmod!$B$3&amp;$B$2&amp;Monthly_TVPlantPmod!Q$3&amp;$B$1&amp;$C$1)</f>
        <v>0</v>
      </c>
      <c r="R20" s="12">
        <f>COUNTIF(defects!$AA:$AA,Monthly_TVPlantPmod!$B20&amp;Monthly_TVPlantPmod!$B$3&amp;$B$2&amp;Monthly_TVPlantPmod!R$3&amp;$B$1&amp;$C$1)</f>
        <v>0</v>
      </c>
      <c r="S20" s="12">
        <f>COUNTIF(defects!$AA:$AA,Monthly_TVPlantPmod!$B20&amp;Monthly_TVPlantPmod!$B$3&amp;$B$2&amp;Monthly_TVPlantPmod!S$3&amp;$B$1&amp;$C$1)</f>
        <v>0</v>
      </c>
      <c r="T20" s="12">
        <f>COUNTIF(defects!$AA:$AA,Monthly_TVPlantPmod!$B20&amp;Monthly_TVPlantPmod!$B$3&amp;$B$2&amp;Monthly_TVPlantPmod!T$3&amp;$B$1&amp;$C$1)</f>
        <v>0</v>
      </c>
      <c r="U20" s="12">
        <f>COUNTIF(defects!$AA:$AA,Monthly_TVPlantPmod!$B20&amp;Monthly_TVPlantPmod!$B$3&amp;$B$2&amp;Monthly_TVPlantPmod!U$3&amp;$B$1&amp;$C$1)</f>
        <v>0</v>
      </c>
      <c r="V20" s="12">
        <f>COUNTIF(defects!$AA:$AA,Monthly_TVPlantPmod!$B20&amp;Monthly_TVPlantPmod!$B$3&amp;$B$2&amp;Monthly_TVPlantPmod!V$3&amp;$B$1&amp;$C$1)</f>
        <v>0</v>
      </c>
      <c r="W20" s="12">
        <f>COUNTIF(defects!$AA:$AA,Monthly_TVPlantPmod!$B20&amp;Monthly_TVPlantPmod!$B$3&amp;$B$2&amp;Monthly_TVPlantPmod!W$3&amp;$B$1&amp;$C$1)</f>
        <v>0</v>
      </c>
      <c r="X20" s="12">
        <f>COUNTIF(defects!$AA:$AA,Monthly_TVPlantPmod!$B20&amp;Monthly_TVPlantPmod!$B$3&amp;$B$2&amp;Monthly_TVPlantPmod!X$3&amp;$B$1&amp;$C$1)</f>
        <v>0</v>
      </c>
      <c r="Y20" s="12">
        <f>COUNTIF(defects!$AA:$AA,Monthly_TVPlantPmod!$B20&amp;Monthly_TVPlantPmod!$B$3&amp;$B$2&amp;Monthly_TVPlantPmod!Y$3&amp;$B$1&amp;$C$1)</f>
        <v>0</v>
      </c>
      <c r="Z20" s="12">
        <f>COUNTIF(defects!$AA:$AA,Monthly_TVPlantPmod!$B20&amp;Monthly_TVPlantPmod!$B$3&amp;$B$2&amp;Monthly_TVPlantPmod!Z$3&amp;$B$1&amp;$C$1)</f>
        <v>0</v>
      </c>
      <c r="AA20" s="12">
        <f>COUNTIF(defects!$AA:$AA,Monthly_TVPlantPmod!$B20&amp;Monthly_TVPlantPmod!$B$3&amp;$B$2&amp;Monthly_TVPlantPmod!AA$3&amp;$B$1&amp;$C$1)</f>
        <v>0</v>
      </c>
      <c r="AB20" s="12">
        <f>COUNTIF(defects!$AA:$AA,Monthly_TVPlantPmod!$B20&amp;Monthly_TVPlantPmod!$B$3&amp;$B$2&amp;Monthly_TVPlantPmod!AB$3&amp;$B$1&amp;$C$1)</f>
        <v>0</v>
      </c>
      <c r="AC20" s="12">
        <f>COUNTIF(defects!$AA:$AA,Monthly_TVPlantPmod!$B20&amp;Monthly_TVPlantPmod!$B$3&amp;$B$2&amp;Monthly_TVPlantPmod!AC$3&amp;$B$1&amp;$C$1)</f>
        <v>0</v>
      </c>
      <c r="AD20" s="12">
        <f>COUNTIF(defects!$AA:$AA,Monthly_TVPlantPmod!$B20&amp;Monthly_TVPlantPmod!$B$3&amp;$B$2&amp;Monthly_TVPlantPmod!AD$3&amp;$B$1&amp;$C$1)</f>
        <v>0</v>
      </c>
      <c r="AE20" s="12">
        <f>COUNTIF(defects!$AA:$AA,Monthly_TVPlantPmod!$B20&amp;Monthly_TVPlantPmod!$B$3&amp;$B$2&amp;Monthly_TVPlantPmod!AE$3&amp;$B$1&amp;$C$1)</f>
        <v>0</v>
      </c>
      <c r="AF20" s="12">
        <f>COUNTIF(defects!$AA:$AA,Monthly_TVPlantPmod!$B20&amp;Monthly_TVPlantPmod!$B$3&amp;$B$2&amp;Monthly_TVPlantPmod!AF$3&amp;$B$1&amp;$C$1)</f>
        <v>0</v>
      </c>
      <c r="AG20" s="12">
        <f>COUNTIF(defects!$AA:$AA,Monthly_TVPlantPmod!$B20&amp;Monthly_TVPlantPmod!$B$3&amp;$B$2&amp;Monthly_TVPlantPmod!AG$3&amp;$B$1&amp;$C$1)</f>
        <v>0</v>
      </c>
      <c r="AH20" s="12">
        <f>COUNTIF(defects!$AA:$AA,Monthly_TVPlantPmod!$B20&amp;Monthly_TVPlantPmod!$B$3&amp;$B$2&amp;Monthly_TVPlantPmod!AH$3&amp;$B$1&amp;$C$1)</f>
        <v>0</v>
      </c>
      <c r="AI20" s="12">
        <f>COUNTIF(defects!$AA:$AA,Monthly_TVPlantPmod!$B20&amp;Monthly_TVPlantPmod!$B$3&amp;$B$2&amp;Monthly_TVPlantPmod!AI$3&amp;$B$1&amp;$C$1)</f>
        <v>0</v>
      </c>
      <c r="AJ20" s="12">
        <f>COUNTIF(defects!$AA:$AA,Monthly_TVPlantPmod!$B20&amp;Monthly_TVPlantPmod!$B$3&amp;$B$2&amp;Monthly_TVPlantPmod!AJ$3&amp;$B$1&amp;$C$1)</f>
        <v>0</v>
      </c>
      <c r="AK20" s="12">
        <f>COUNTIF(defects!$AA:$AA,Monthly_TVPlantPmod!$B20&amp;Monthly_TVPlantPmod!$B$3&amp;$B$2&amp;Monthly_TVPlantPmod!AK$3&amp;$B$1&amp;$C$1)</f>
        <v>0</v>
      </c>
      <c r="AL20" s="12">
        <f>COUNTIF(defects!$AA:$AA,Monthly_TVPlantPmod!$B20&amp;Monthly_TVPlantPmod!$B$3&amp;$B$2&amp;Monthly_TVPlantPmod!AL$3&amp;$B$1&amp;$C$1)</f>
        <v>0</v>
      </c>
      <c r="AM20" s="12">
        <f>COUNTIF(defects!$AA:$AA,Monthly_TVPlantPmod!$B20&amp;Monthly_TVPlantPmod!$B$3&amp;$B$2&amp;Monthly_TVPlantPmod!AM$3&amp;$B$1&amp;$C$1)</f>
        <v>0</v>
      </c>
      <c r="AN20" s="12">
        <f>COUNTIF(defects!$AA:$AA,Monthly_TVPlantPmod!$B20&amp;Monthly_TVPlantPmod!$B$3&amp;$B$2&amp;Monthly_TVPlantPmod!AN$3&amp;$B$1&amp;$C$1)</f>
        <v>0</v>
      </c>
      <c r="AO20" s="12">
        <f>COUNTIF(defects!$AA:$AA,Monthly_TVPlantPmod!$B20&amp;Monthly_TVPlantPmod!$B$3&amp;$B$2&amp;Monthly_TVPlantPmod!AO$3&amp;$B$1&amp;$C$1)</f>
        <v>0</v>
      </c>
      <c r="AP20" s="12">
        <f>COUNTIF(defects!$AA:$AA,Monthly_TVPlantPmod!$B20&amp;Monthly_TVPlantPmod!$B$3&amp;$B$2&amp;Monthly_TVPlantPmod!AP$3&amp;$B$1&amp;$C$1)</f>
        <v>0</v>
      </c>
      <c r="AQ20" s="12"/>
      <c r="AR20" s="12">
        <f>HLOOKUP(AR$3,Weekly_TVPlantPmod!$3:$24,MATCH($B20,Weekly_TVPlantPmod!$B$3:$B$24,0),0)</f>
        <v>0</v>
      </c>
      <c r="AS20" s="12">
        <f>HLOOKUP(AS$3,Weekly_TVPlantPmod!$3:$24,MATCH($B20,Weekly_TVPlantPmod!$B$3:$B$24,0),0)</f>
        <v>0</v>
      </c>
      <c r="AT20" s="12">
        <f>HLOOKUP(AT$3,Weekly_TVPlantPmod!$3:$24,MATCH($B20,Weekly_TVPlantPmod!$B$3:$B$24,0),0)</f>
        <v>0</v>
      </c>
      <c r="AU20" s="12"/>
      <c r="AV20" s="12">
        <f t="shared" si="2"/>
        <v>0</v>
      </c>
    </row>
    <row r="21" spans="2:48">
      <c r="B21" s="12" t="s">
        <v>948</v>
      </c>
      <c r="C21" s="12">
        <f t="shared" si="0"/>
        <v>1</v>
      </c>
      <c r="D21" s="12">
        <f t="shared" si="0"/>
        <v>0</v>
      </c>
      <c r="E21" s="12"/>
      <c r="F21" s="12">
        <f>COUNTIF(defects!$AA:$AA,Monthly_TVPlantPmod!$B21&amp;Monthly_TVPlantPmod!$B$3&amp;$B$2&amp;Monthly_TVPlantPmod!F$3&amp;$B$1&amp;$C$1)</f>
        <v>0</v>
      </c>
      <c r="G21" s="12">
        <f>COUNTIF(defects!$AA:$AA,Monthly_TVPlantPmod!$B21&amp;Monthly_TVPlantPmod!$B$3&amp;$B$2&amp;Monthly_TVPlantPmod!G$3&amp;$B$1&amp;$C$1)</f>
        <v>0</v>
      </c>
      <c r="H21" s="12">
        <f>COUNTIF(defects!$AA:$AA,Monthly_TVPlantPmod!$B21&amp;Monthly_TVPlantPmod!$B$3&amp;$B$2&amp;Monthly_TVPlantPmod!H$3&amp;$B$1&amp;$C$1)</f>
        <v>0</v>
      </c>
      <c r="I21" s="12">
        <f>COUNTIF(defects!$AA:$AA,Monthly_TVPlantPmod!$B21&amp;Monthly_TVPlantPmod!$B$3&amp;$B$2&amp;Monthly_TVPlantPmod!I$3&amp;$B$1&amp;$C$1)</f>
        <v>0</v>
      </c>
      <c r="J21" s="12">
        <f>COUNTIF(defects!$AA:$AA,Monthly_TVPlantPmod!$B21&amp;Monthly_TVPlantPmod!$B$3&amp;$B$2&amp;Monthly_TVPlantPmod!J$3&amp;$B$1&amp;$C$1)</f>
        <v>0</v>
      </c>
      <c r="K21" s="12">
        <f>COUNTIF(defects!$AA:$AA,Monthly_TVPlantPmod!$B21&amp;Monthly_TVPlantPmod!$B$3&amp;$B$2&amp;Monthly_TVPlantPmod!K$3&amp;$B$1&amp;$C$1)</f>
        <v>0</v>
      </c>
      <c r="L21" s="12">
        <f>COUNTIF(defects!$AA:$AA,Monthly_TVPlantPmod!$B21&amp;Monthly_TVPlantPmod!$B$3&amp;$B$2&amp;Monthly_TVPlantPmod!L$3&amp;$B$1&amp;$C$1)</f>
        <v>0</v>
      </c>
      <c r="M21" s="12">
        <f>COUNTIF(defects!$AA:$AA,Monthly_TVPlantPmod!$B21&amp;Monthly_TVPlantPmod!$B$3&amp;$B$2&amp;Monthly_TVPlantPmod!M$3&amp;$B$1&amp;$C$1)</f>
        <v>0</v>
      </c>
      <c r="N21" s="12">
        <f>COUNTIF(defects!$AA:$AA,Monthly_TVPlantPmod!$B21&amp;Monthly_TVPlantPmod!$B$3&amp;$B$2&amp;Monthly_TVPlantPmod!N$3&amp;$B$1&amp;$C$1)</f>
        <v>0</v>
      </c>
      <c r="O21" s="12">
        <f>COUNTIF(defects!$AA:$AA,Monthly_TVPlantPmod!$B21&amp;Monthly_TVPlantPmod!$B$3&amp;$B$2&amp;Monthly_TVPlantPmod!O$3&amp;$B$1&amp;$C$1)</f>
        <v>0</v>
      </c>
      <c r="P21" s="12">
        <f>COUNTIF(defects!$AA:$AA,Monthly_TVPlantPmod!$B21&amp;Monthly_TVPlantPmod!$B$3&amp;$B$2&amp;Monthly_TVPlantPmod!P$3&amp;$B$1&amp;$C$1)</f>
        <v>0</v>
      </c>
      <c r="Q21" s="12">
        <f>COUNTIF(defects!$AA:$AA,Monthly_TVPlantPmod!$B21&amp;Monthly_TVPlantPmod!$B$3&amp;$B$2&amp;Monthly_TVPlantPmod!Q$3&amp;$B$1&amp;$C$1)</f>
        <v>0</v>
      </c>
      <c r="R21" s="12">
        <f>COUNTIF(defects!$AA:$AA,Monthly_TVPlantPmod!$B21&amp;Monthly_TVPlantPmod!$B$3&amp;$B$2&amp;Monthly_TVPlantPmod!R$3&amp;$B$1&amp;$C$1)</f>
        <v>0</v>
      </c>
      <c r="S21" s="12">
        <f>COUNTIF(defects!$AA:$AA,Monthly_TVPlantPmod!$B21&amp;Monthly_TVPlantPmod!$B$3&amp;$B$2&amp;Monthly_TVPlantPmod!S$3&amp;$B$1&amp;$C$1)</f>
        <v>0</v>
      </c>
      <c r="T21" s="12">
        <f>COUNTIF(defects!$AA:$AA,Monthly_TVPlantPmod!$B21&amp;Monthly_TVPlantPmod!$B$3&amp;$B$2&amp;Monthly_TVPlantPmod!T$3&amp;$B$1&amp;$C$1)</f>
        <v>0</v>
      </c>
      <c r="U21" s="12">
        <f>COUNTIF(defects!$AA:$AA,Monthly_TVPlantPmod!$B21&amp;Monthly_TVPlantPmod!$B$3&amp;$B$2&amp;Monthly_TVPlantPmod!U$3&amp;$B$1&amp;$C$1)</f>
        <v>1</v>
      </c>
      <c r="V21" s="12">
        <f>COUNTIF(defects!$AA:$AA,Monthly_TVPlantPmod!$B21&amp;Monthly_TVPlantPmod!$B$3&amp;$B$2&amp;Monthly_TVPlantPmod!V$3&amp;$B$1&amp;$C$1)</f>
        <v>0</v>
      </c>
      <c r="W21" s="12">
        <f>COUNTIF(defects!$AA:$AA,Monthly_TVPlantPmod!$B21&amp;Monthly_TVPlantPmod!$B$3&amp;$B$2&amp;Monthly_TVPlantPmod!W$3&amp;$B$1&amp;$C$1)</f>
        <v>0</v>
      </c>
      <c r="X21" s="12">
        <f>COUNTIF(defects!$AA:$AA,Monthly_TVPlantPmod!$B21&amp;Monthly_TVPlantPmod!$B$3&amp;$B$2&amp;Monthly_TVPlantPmod!X$3&amp;$B$1&amp;$C$1)</f>
        <v>0</v>
      </c>
      <c r="Y21" s="12">
        <f>COUNTIF(defects!$AA:$AA,Monthly_TVPlantPmod!$B21&amp;Monthly_TVPlantPmod!$B$3&amp;$B$2&amp;Monthly_TVPlantPmod!Y$3&amp;$B$1&amp;$C$1)</f>
        <v>0</v>
      </c>
      <c r="Z21" s="12">
        <f>COUNTIF(defects!$AA:$AA,Monthly_TVPlantPmod!$B21&amp;Monthly_TVPlantPmod!$B$3&amp;$B$2&amp;Monthly_TVPlantPmod!Z$3&amp;$B$1&amp;$C$1)</f>
        <v>0</v>
      </c>
      <c r="AA21" s="12">
        <f>COUNTIF(defects!$AA:$AA,Monthly_TVPlantPmod!$B21&amp;Monthly_TVPlantPmod!$B$3&amp;$B$2&amp;Monthly_TVPlantPmod!AA$3&amp;$B$1&amp;$C$1)</f>
        <v>0</v>
      </c>
      <c r="AB21" s="12">
        <f>COUNTIF(defects!$AA:$AA,Monthly_TVPlantPmod!$B21&amp;Monthly_TVPlantPmod!$B$3&amp;$B$2&amp;Monthly_TVPlantPmod!AB$3&amp;$B$1&amp;$C$1)</f>
        <v>0</v>
      </c>
      <c r="AC21" s="12">
        <f>COUNTIF(defects!$AA:$AA,Monthly_TVPlantPmod!$B21&amp;Monthly_TVPlantPmod!$B$3&amp;$B$2&amp;Monthly_TVPlantPmod!AC$3&amp;$B$1&amp;$C$1)</f>
        <v>0</v>
      </c>
      <c r="AD21" s="12">
        <f>COUNTIF(defects!$AA:$AA,Monthly_TVPlantPmod!$B21&amp;Monthly_TVPlantPmod!$B$3&amp;$B$2&amp;Monthly_TVPlantPmod!AD$3&amp;$B$1&amp;$C$1)</f>
        <v>0</v>
      </c>
      <c r="AE21" s="12">
        <f>COUNTIF(defects!$AA:$AA,Monthly_TVPlantPmod!$B21&amp;Monthly_TVPlantPmod!$B$3&amp;$B$2&amp;Monthly_TVPlantPmod!AE$3&amp;$B$1&amp;$C$1)</f>
        <v>0</v>
      </c>
      <c r="AF21" s="12">
        <f>COUNTIF(defects!$AA:$AA,Monthly_TVPlantPmod!$B21&amp;Monthly_TVPlantPmod!$B$3&amp;$B$2&amp;Monthly_TVPlantPmod!AF$3&amp;$B$1&amp;$C$1)</f>
        <v>0</v>
      </c>
      <c r="AG21" s="12">
        <f>COUNTIF(defects!$AA:$AA,Monthly_TVPlantPmod!$B21&amp;Monthly_TVPlantPmod!$B$3&amp;$B$2&amp;Monthly_TVPlantPmod!AG$3&amp;$B$1&amp;$C$1)</f>
        <v>0</v>
      </c>
      <c r="AH21" s="12">
        <f>COUNTIF(defects!$AA:$AA,Monthly_TVPlantPmod!$B21&amp;Monthly_TVPlantPmod!$B$3&amp;$B$2&amp;Monthly_TVPlantPmod!AH$3&amp;$B$1&amp;$C$1)</f>
        <v>0</v>
      </c>
      <c r="AI21" s="12">
        <f>COUNTIF(defects!$AA:$AA,Monthly_TVPlantPmod!$B21&amp;Monthly_TVPlantPmod!$B$3&amp;$B$2&amp;Monthly_TVPlantPmod!AI$3&amp;$B$1&amp;$C$1)</f>
        <v>0</v>
      </c>
      <c r="AJ21" s="12">
        <f>COUNTIF(defects!$AA:$AA,Monthly_TVPlantPmod!$B21&amp;Monthly_TVPlantPmod!$B$3&amp;$B$2&amp;Monthly_TVPlantPmod!AJ$3&amp;$B$1&amp;$C$1)</f>
        <v>0</v>
      </c>
      <c r="AK21" s="12">
        <f>COUNTIF(defects!$AA:$AA,Monthly_TVPlantPmod!$B21&amp;Monthly_TVPlantPmod!$B$3&amp;$B$2&amp;Monthly_TVPlantPmod!AK$3&amp;$B$1&amp;$C$1)</f>
        <v>0</v>
      </c>
      <c r="AL21" s="12">
        <f>COUNTIF(defects!$AA:$AA,Monthly_TVPlantPmod!$B21&amp;Monthly_TVPlantPmod!$B$3&amp;$B$2&amp;Monthly_TVPlantPmod!AL$3&amp;$B$1&amp;$C$1)</f>
        <v>0</v>
      </c>
      <c r="AM21" s="12">
        <f>COUNTIF(defects!$AA:$AA,Monthly_TVPlantPmod!$B21&amp;Monthly_TVPlantPmod!$B$3&amp;$B$2&amp;Monthly_TVPlantPmod!AM$3&amp;$B$1&amp;$C$1)</f>
        <v>0</v>
      </c>
      <c r="AN21" s="12">
        <f>COUNTIF(defects!$AA:$AA,Monthly_TVPlantPmod!$B21&amp;Monthly_TVPlantPmod!$B$3&amp;$B$2&amp;Monthly_TVPlantPmod!AN$3&amp;$B$1&amp;$C$1)</f>
        <v>0</v>
      </c>
      <c r="AO21" s="12">
        <f>COUNTIF(defects!$AA:$AA,Monthly_TVPlantPmod!$B21&amp;Monthly_TVPlantPmod!$B$3&amp;$B$2&amp;Monthly_TVPlantPmod!AO$3&amp;$B$1&amp;$C$1)</f>
        <v>0</v>
      </c>
      <c r="AP21" s="12">
        <f>COUNTIF(defects!$AA:$AA,Monthly_TVPlantPmod!$B21&amp;Monthly_TVPlantPmod!$B$3&amp;$B$2&amp;Monthly_TVPlantPmod!AP$3&amp;$B$1&amp;$C$1)</f>
        <v>0</v>
      </c>
      <c r="AQ21" s="12"/>
      <c r="AR21" s="12">
        <f>HLOOKUP(AR$3,Weekly_TVPlantPmod!$3:$24,MATCH($B21,Weekly_TVPlantPmod!$B$3:$B$24,0),0)</f>
        <v>0</v>
      </c>
      <c r="AS21" s="12">
        <f>HLOOKUP(AS$3,Weekly_TVPlantPmod!$3:$24,MATCH($B21,Weekly_TVPlantPmod!$B$3:$B$24,0),0)</f>
        <v>0</v>
      </c>
      <c r="AT21" s="12">
        <f>HLOOKUP(AT$3,Weekly_TVPlantPmod!$3:$24,MATCH($B21,Weekly_TVPlantPmod!$B$3:$B$24,0),0)</f>
        <v>0</v>
      </c>
      <c r="AU21" s="12"/>
      <c r="AV21" s="12">
        <f t="shared" si="2"/>
        <v>1</v>
      </c>
    </row>
    <row r="22" spans="2:48">
      <c r="B22" s="12" t="s">
        <v>959</v>
      </c>
      <c r="C22" s="12">
        <f t="shared" si="0"/>
        <v>4</v>
      </c>
      <c r="D22" s="12">
        <f t="shared" si="0"/>
        <v>0</v>
      </c>
      <c r="E22" s="12"/>
      <c r="F22" s="12">
        <f>COUNTIF(defects!$AA:$AA,Monthly_TVPlantPmod!$B22&amp;Monthly_TVPlantPmod!$B$3&amp;$B$2&amp;Monthly_TVPlantPmod!F$3&amp;$B$1&amp;$C$1)</f>
        <v>0</v>
      </c>
      <c r="G22" s="12">
        <f>COUNTIF(defects!$AA:$AA,Monthly_TVPlantPmod!$B22&amp;Monthly_TVPlantPmod!$B$3&amp;$B$2&amp;Monthly_TVPlantPmod!G$3&amp;$B$1&amp;$C$1)</f>
        <v>0</v>
      </c>
      <c r="H22" s="12">
        <f>COUNTIF(defects!$AA:$AA,Monthly_TVPlantPmod!$B22&amp;Monthly_TVPlantPmod!$B$3&amp;$B$2&amp;Monthly_TVPlantPmod!H$3&amp;$B$1&amp;$C$1)</f>
        <v>0</v>
      </c>
      <c r="I22" s="12">
        <f>COUNTIF(defects!$AA:$AA,Monthly_TVPlantPmod!$B22&amp;Monthly_TVPlantPmod!$B$3&amp;$B$2&amp;Monthly_TVPlantPmod!I$3&amp;$B$1&amp;$C$1)</f>
        <v>0</v>
      </c>
      <c r="J22" s="12">
        <f>COUNTIF(defects!$AA:$AA,Monthly_TVPlantPmod!$B22&amp;Monthly_TVPlantPmod!$B$3&amp;$B$2&amp;Monthly_TVPlantPmod!J$3&amp;$B$1&amp;$C$1)</f>
        <v>0</v>
      </c>
      <c r="K22" s="12">
        <f>COUNTIF(defects!$AA:$AA,Monthly_TVPlantPmod!$B22&amp;Monthly_TVPlantPmod!$B$3&amp;$B$2&amp;Monthly_TVPlantPmod!K$3&amp;$B$1&amp;$C$1)</f>
        <v>0</v>
      </c>
      <c r="L22" s="12">
        <f>COUNTIF(defects!$AA:$AA,Monthly_TVPlantPmod!$B22&amp;Monthly_TVPlantPmod!$B$3&amp;$B$2&amp;Monthly_TVPlantPmod!L$3&amp;$B$1&amp;$C$1)</f>
        <v>0</v>
      </c>
      <c r="M22" s="12">
        <f>COUNTIF(defects!$AA:$AA,Monthly_TVPlantPmod!$B22&amp;Monthly_TVPlantPmod!$B$3&amp;$B$2&amp;Monthly_TVPlantPmod!M$3&amp;$B$1&amp;$C$1)</f>
        <v>0</v>
      </c>
      <c r="N22" s="12">
        <f>COUNTIF(defects!$AA:$AA,Monthly_TVPlantPmod!$B22&amp;Monthly_TVPlantPmod!$B$3&amp;$B$2&amp;Monthly_TVPlantPmod!N$3&amp;$B$1&amp;$C$1)</f>
        <v>0</v>
      </c>
      <c r="O22" s="12">
        <f>COUNTIF(defects!$AA:$AA,Monthly_TVPlantPmod!$B22&amp;Monthly_TVPlantPmod!$B$3&amp;$B$2&amp;Monthly_TVPlantPmod!O$3&amp;$B$1&amp;$C$1)</f>
        <v>0</v>
      </c>
      <c r="P22" s="12">
        <f>COUNTIF(defects!$AA:$AA,Monthly_TVPlantPmod!$B22&amp;Monthly_TVPlantPmod!$B$3&amp;$B$2&amp;Monthly_TVPlantPmod!P$3&amp;$B$1&amp;$C$1)</f>
        <v>0</v>
      </c>
      <c r="Q22" s="12">
        <f>COUNTIF(defects!$AA:$AA,Monthly_TVPlantPmod!$B22&amp;Monthly_TVPlantPmod!$B$3&amp;$B$2&amp;Monthly_TVPlantPmod!Q$3&amp;$B$1&amp;$C$1)</f>
        <v>0</v>
      </c>
      <c r="R22" s="12">
        <f>COUNTIF(defects!$AA:$AA,Monthly_TVPlantPmod!$B22&amp;Monthly_TVPlantPmod!$B$3&amp;$B$2&amp;Monthly_TVPlantPmod!R$3&amp;$B$1&amp;$C$1)</f>
        <v>0</v>
      </c>
      <c r="S22" s="12">
        <f>COUNTIF(defects!$AA:$AA,Monthly_TVPlantPmod!$B22&amp;Monthly_TVPlantPmod!$B$3&amp;$B$2&amp;Monthly_TVPlantPmod!S$3&amp;$B$1&amp;$C$1)</f>
        <v>0</v>
      </c>
      <c r="T22" s="12">
        <f>COUNTIF(defects!$AA:$AA,Monthly_TVPlantPmod!$B22&amp;Monthly_TVPlantPmod!$B$3&amp;$B$2&amp;Monthly_TVPlantPmod!T$3&amp;$B$1&amp;$C$1)</f>
        <v>0</v>
      </c>
      <c r="U22" s="12">
        <f>COUNTIF(defects!$AA:$AA,Monthly_TVPlantPmod!$B22&amp;Monthly_TVPlantPmod!$B$3&amp;$B$2&amp;Monthly_TVPlantPmod!U$3&amp;$B$1&amp;$C$1)</f>
        <v>0</v>
      </c>
      <c r="V22" s="12">
        <f>COUNTIF(defects!$AA:$AA,Monthly_TVPlantPmod!$B22&amp;Monthly_TVPlantPmod!$B$3&amp;$B$2&amp;Monthly_TVPlantPmod!V$3&amp;$B$1&amp;$C$1)</f>
        <v>0</v>
      </c>
      <c r="W22" s="12">
        <f>COUNTIF(defects!$AA:$AA,Monthly_TVPlantPmod!$B22&amp;Monthly_TVPlantPmod!$B$3&amp;$B$2&amp;Monthly_TVPlantPmod!W$3&amp;$B$1&amp;$C$1)</f>
        <v>0</v>
      </c>
      <c r="X22" s="12">
        <f>COUNTIF(defects!$AA:$AA,Monthly_TVPlantPmod!$B22&amp;Monthly_TVPlantPmod!$B$3&amp;$B$2&amp;Monthly_TVPlantPmod!X$3&amp;$B$1&amp;$C$1)</f>
        <v>0</v>
      </c>
      <c r="Y22" s="12">
        <f>COUNTIF(defects!$AA:$AA,Monthly_TVPlantPmod!$B22&amp;Monthly_TVPlantPmod!$B$3&amp;$B$2&amp;Monthly_TVPlantPmod!Y$3&amp;$B$1&amp;$C$1)</f>
        <v>2</v>
      </c>
      <c r="Z22" s="12">
        <f>COUNTIF(defects!$AA:$AA,Monthly_TVPlantPmod!$B22&amp;Monthly_TVPlantPmod!$B$3&amp;$B$2&amp;Monthly_TVPlantPmod!Z$3&amp;$B$1&amp;$C$1)</f>
        <v>0</v>
      </c>
      <c r="AA22" s="12">
        <f>COUNTIF(defects!$AA:$AA,Monthly_TVPlantPmod!$B22&amp;Monthly_TVPlantPmod!$B$3&amp;$B$2&amp;Monthly_TVPlantPmod!AA$3&amp;$B$1&amp;$C$1)</f>
        <v>1</v>
      </c>
      <c r="AB22" s="12">
        <f>COUNTIF(defects!$AA:$AA,Monthly_TVPlantPmod!$B22&amp;Monthly_TVPlantPmod!$B$3&amp;$B$2&amp;Monthly_TVPlantPmod!AB$3&amp;$B$1&amp;$C$1)</f>
        <v>0</v>
      </c>
      <c r="AC22" s="12">
        <f>COUNTIF(defects!$AA:$AA,Monthly_TVPlantPmod!$B22&amp;Monthly_TVPlantPmod!$B$3&amp;$B$2&amp;Monthly_TVPlantPmod!AC$3&amp;$B$1&amp;$C$1)</f>
        <v>1</v>
      </c>
      <c r="AD22" s="12">
        <f>COUNTIF(defects!$AA:$AA,Monthly_TVPlantPmod!$B22&amp;Monthly_TVPlantPmod!$B$3&amp;$B$2&amp;Monthly_TVPlantPmod!AD$3&amp;$B$1&amp;$C$1)</f>
        <v>0</v>
      </c>
      <c r="AE22" s="12">
        <f>COUNTIF(defects!$AA:$AA,Monthly_TVPlantPmod!$B22&amp;Monthly_TVPlantPmod!$B$3&amp;$B$2&amp;Monthly_TVPlantPmod!AE$3&amp;$B$1&amp;$C$1)</f>
        <v>0</v>
      </c>
      <c r="AF22" s="12">
        <f>COUNTIF(defects!$AA:$AA,Monthly_TVPlantPmod!$B22&amp;Monthly_TVPlantPmod!$B$3&amp;$B$2&amp;Monthly_TVPlantPmod!AF$3&amp;$B$1&amp;$C$1)</f>
        <v>0</v>
      </c>
      <c r="AG22" s="12">
        <f>COUNTIF(defects!$AA:$AA,Monthly_TVPlantPmod!$B22&amp;Monthly_TVPlantPmod!$B$3&amp;$B$2&amp;Monthly_TVPlantPmod!AG$3&amp;$B$1&amp;$C$1)</f>
        <v>0</v>
      </c>
      <c r="AH22" s="12">
        <f>COUNTIF(defects!$AA:$AA,Monthly_TVPlantPmod!$B22&amp;Monthly_TVPlantPmod!$B$3&amp;$B$2&amp;Monthly_TVPlantPmod!AH$3&amp;$B$1&amp;$C$1)</f>
        <v>0</v>
      </c>
      <c r="AI22" s="12">
        <f>COUNTIF(defects!$AA:$AA,Monthly_TVPlantPmod!$B22&amp;Monthly_TVPlantPmod!$B$3&amp;$B$2&amp;Monthly_TVPlantPmod!AI$3&amp;$B$1&amp;$C$1)</f>
        <v>0</v>
      </c>
      <c r="AJ22" s="12">
        <f>COUNTIF(defects!$AA:$AA,Monthly_TVPlantPmod!$B22&amp;Monthly_TVPlantPmod!$B$3&amp;$B$2&amp;Monthly_TVPlantPmod!AJ$3&amp;$B$1&amp;$C$1)</f>
        <v>0</v>
      </c>
      <c r="AK22" s="12">
        <f>COUNTIF(defects!$AA:$AA,Monthly_TVPlantPmod!$B22&amp;Monthly_TVPlantPmod!$B$3&amp;$B$2&amp;Monthly_TVPlantPmod!AK$3&amp;$B$1&amp;$C$1)</f>
        <v>0</v>
      </c>
      <c r="AL22" s="12">
        <f>COUNTIF(defects!$AA:$AA,Monthly_TVPlantPmod!$B22&amp;Monthly_TVPlantPmod!$B$3&amp;$B$2&amp;Monthly_TVPlantPmod!AL$3&amp;$B$1&amp;$C$1)</f>
        <v>0</v>
      </c>
      <c r="AM22" s="12">
        <f>COUNTIF(defects!$AA:$AA,Monthly_TVPlantPmod!$B22&amp;Monthly_TVPlantPmod!$B$3&amp;$B$2&amp;Monthly_TVPlantPmod!AM$3&amp;$B$1&amp;$C$1)</f>
        <v>0</v>
      </c>
      <c r="AN22" s="12">
        <f>COUNTIF(defects!$AA:$AA,Monthly_TVPlantPmod!$B22&amp;Monthly_TVPlantPmod!$B$3&amp;$B$2&amp;Monthly_TVPlantPmod!AN$3&amp;$B$1&amp;$C$1)</f>
        <v>0</v>
      </c>
      <c r="AO22" s="12">
        <f>COUNTIF(defects!$AA:$AA,Monthly_TVPlantPmod!$B22&amp;Monthly_TVPlantPmod!$B$3&amp;$B$2&amp;Monthly_TVPlantPmod!AO$3&amp;$B$1&amp;$C$1)</f>
        <v>0</v>
      </c>
      <c r="AP22" s="12">
        <f>COUNTIF(defects!$AA:$AA,Monthly_TVPlantPmod!$B22&amp;Monthly_TVPlantPmod!$B$3&amp;$B$2&amp;Monthly_TVPlantPmod!AP$3&amp;$B$1&amp;$C$1)</f>
        <v>0</v>
      </c>
      <c r="AQ22" s="12"/>
      <c r="AR22" s="12">
        <f>HLOOKUP(AR$3,Weekly_TVPlantPmod!$3:$24,MATCH($B22,Weekly_TVPlantPmod!$B$3:$B$24,0),0)</f>
        <v>0</v>
      </c>
      <c r="AS22" s="12">
        <f>HLOOKUP(AS$3,Weekly_TVPlantPmod!$3:$24,MATCH($B22,Weekly_TVPlantPmod!$B$3:$B$24,0),0)</f>
        <v>1</v>
      </c>
      <c r="AT22" s="12">
        <f>HLOOKUP(AT$3,Weekly_TVPlantPmod!$3:$24,MATCH($B22,Weekly_TVPlantPmod!$B$3:$B$24,0),0)</f>
        <v>0</v>
      </c>
      <c r="AU22" s="12"/>
      <c r="AV22" s="12">
        <f t="shared" si="2"/>
        <v>4</v>
      </c>
    </row>
    <row r="23" spans="2:48">
      <c r="B23" s="12" t="s">
        <v>951</v>
      </c>
      <c r="C23" s="12">
        <f t="shared" si="0"/>
        <v>0</v>
      </c>
      <c r="D23" s="12">
        <f t="shared" si="0"/>
        <v>0</v>
      </c>
      <c r="E23" s="12"/>
      <c r="F23" s="12">
        <f>COUNTIF(defects!$AA:$AA,Monthly_TVPlantPmod!$B23&amp;Monthly_TVPlantPmod!$B$3&amp;$B$2&amp;Monthly_TVPlantPmod!F$3&amp;$B$1&amp;$C$1)</f>
        <v>0</v>
      </c>
      <c r="G23" s="12">
        <f>COUNTIF(defects!$AA:$AA,Monthly_TVPlantPmod!$B23&amp;Monthly_TVPlantPmod!$B$3&amp;$B$2&amp;Monthly_TVPlantPmod!G$3&amp;$B$1&amp;$C$1)</f>
        <v>0</v>
      </c>
      <c r="H23" s="12">
        <f>COUNTIF(defects!$AA:$AA,Monthly_TVPlantPmod!$B23&amp;Monthly_TVPlantPmod!$B$3&amp;$B$2&amp;Monthly_TVPlantPmod!H$3&amp;$B$1&amp;$C$1)</f>
        <v>0</v>
      </c>
      <c r="I23" s="12">
        <f>COUNTIF(defects!$AA:$AA,Monthly_TVPlantPmod!$B23&amp;Monthly_TVPlantPmod!$B$3&amp;$B$2&amp;Monthly_TVPlantPmod!I$3&amp;$B$1&amp;$C$1)</f>
        <v>0</v>
      </c>
      <c r="J23" s="12">
        <f>COUNTIF(defects!$AA:$AA,Monthly_TVPlantPmod!$B23&amp;Monthly_TVPlantPmod!$B$3&amp;$B$2&amp;Monthly_TVPlantPmod!J$3&amp;$B$1&amp;$C$1)</f>
        <v>0</v>
      </c>
      <c r="K23" s="12">
        <f>COUNTIF(defects!$AA:$AA,Monthly_TVPlantPmod!$B23&amp;Monthly_TVPlantPmod!$B$3&amp;$B$2&amp;Monthly_TVPlantPmod!K$3&amp;$B$1&amp;$C$1)</f>
        <v>0</v>
      </c>
      <c r="L23" s="12">
        <f>COUNTIF(defects!$AA:$AA,Monthly_TVPlantPmod!$B23&amp;Monthly_TVPlantPmod!$B$3&amp;$B$2&amp;Monthly_TVPlantPmod!L$3&amp;$B$1&amp;$C$1)</f>
        <v>0</v>
      </c>
      <c r="M23" s="12">
        <f>COUNTIF(defects!$AA:$AA,Monthly_TVPlantPmod!$B23&amp;Monthly_TVPlantPmod!$B$3&amp;$B$2&amp;Monthly_TVPlantPmod!M$3&amp;$B$1&amp;$C$1)</f>
        <v>0</v>
      </c>
      <c r="N23" s="12">
        <f>COUNTIF(defects!$AA:$AA,Monthly_TVPlantPmod!$B23&amp;Monthly_TVPlantPmod!$B$3&amp;$B$2&amp;Monthly_TVPlantPmod!N$3&amp;$B$1&amp;$C$1)</f>
        <v>0</v>
      </c>
      <c r="O23" s="12">
        <f>COUNTIF(defects!$AA:$AA,Monthly_TVPlantPmod!$B23&amp;Monthly_TVPlantPmod!$B$3&amp;$B$2&amp;Monthly_TVPlantPmod!O$3&amp;$B$1&amp;$C$1)</f>
        <v>0</v>
      </c>
      <c r="P23" s="12">
        <f>COUNTIF(defects!$AA:$AA,Monthly_TVPlantPmod!$B23&amp;Monthly_TVPlantPmod!$B$3&amp;$B$2&amp;Monthly_TVPlantPmod!P$3&amp;$B$1&amp;$C$1)</f>
        <v>0</v>
      </c>
      <c r="Q23" s="12">
        <f>COUNTIF(defects!$AA:$AA,Monthly_TVPlantPmod!$B23&amp;Monthly_TVPlantPmod!$B$3&amp;$B$2&amp;Monthly_TVPlantPmod!Q$3&amp;$B$1&amp;$C$1)</f>
        <v>0</v>
      </c>
      <c r="R23" s="12">
        <f>COUNTIF(defects!$AA:$AA,Monthly_TVPlantPmod!$B23&amp;Monthly_TVPlantPmod!$B$3&amp;$B$2&amp;Monthly_TVPlantPmod!R$3&amp;$B$1&amp;$C$1)</f>
        <v>0</v>
      </c>
      <c r="S23" s="12">
        <f>COUNTIF(defects!$AA:$AA,Monthly_TVPlantPmod!$B23&amp;Monthly_TVPlantPmod!$B$3&amp;$B$2&amp;Monthly_TVPlantPmod!S$3&amp;$B$1&amp;$C$1)</f>
        <v>0</v>
      </c>
      <c r="T23" s="12">
        <f>COUNTIF(defects!$AA:$AA,Monthly_TVPlantPmod!$B23&amp;Monthly_TVPlantPmod!$B$3&amp;$B$2&amp;Monthly_TVPlantPmod!T$3&amp;$B$1&amp;$C$1)</f>
        <v>0</v>
      </c>
      <c r="U23" s="12">
        <f>COUNTIF(defects!$AA:$AA,Monthly_TVPlantPmod!$B23&amp;Monthly_TVPlantPmod!$B$3&amp;$B$2&amp;Monthly_TVPlantPmod!U$3&amp;$B$1&amp;$C$1)</f>
        <v>0</v>
      </c>
      <c r="V23" s="12">
        <f>COUNTIF(defects!$AA:$AA,Monthly_TVPlantPmod!$B23&amp;Monthly_TVPlantPmod!$B$3&amp;$B$2&amp;Monthly_TVPlantPmod!V$3&amp;$B$1&amp;$C$1)</f>
        <v>0</v>
      </c>
      <c r="W23" s="12">
        <f>COUNTIF(defects!$AA:$AA,Monthly_TVPlantPmod!$B23&amp;Monthly_TVPlantPmod!$B$3&amp;$B$2&amp;Monthly_TVPlantPmod!W$3&amp;$B$1&amp;$C$1)</f>
        <v>0</v>
      </c>
      <c r="X23" s="12">
        <f>COUNTIF(defects!$AA:$AA,Monthly_TVPlantPmod!$B23&amp;Monthly_TVPlantPmod!$B$3&amp;$B$2&amp;Monthly_TVPlantPmod!X$3&amp;$B$1&amp;$C$1)</f>
        <v>0</v>
      </c>
      <c r="Y23" s="12">
        <f>COUNTIF(defects!$AA:$AA,Monthly_TVPlantPmod!$B23&amp;Monthly_TVPlantPmod!$B$3&amp;$B$2&amp;Monthly_TVPlantPmod!Y$3&amp;$B$1&amp;$C$1)</f>
        <v>0</v>
      </c>
      <c r="Z23" s="12">
        <f>COUNTIF(defects!$AA:$AA,Monthly_TVPlantPmod!$B23&amp;Monthly_TVPlantPmod!$B$3&amp;$B$2&amp;Monthly_TVPlantPmod!Z$3&amp;$B$1&amp;$C$1)</f>
        <v>0</v>
      </c>
      <c r="AA23" s="12">
        <f>COUNTIF(defects!$AA:$AA,Monthly_TVPlantPmod!$B23&amp;Monthly_TVPlantPmod!$B$3&amp;$B$2&amp;Monthly_TVPlantPmod!AA$3&amp;$B$1&amp;$C$1)</f>
        <v>0</v>
      </c>
      <c r="AB23" s="12">
        <f>COUNTIF(defects!$AA:$AA,Monthly_TVPlantPmod!$B23&amp;Monthly_TVPlantPmod!$B$3&amp;$B$2&amp;Monthly_TVPlantPmod!AB$3&amp;$B$1&amp;$C$1)</f>
        <v>0</v>
      </c>
      <c r="AC23" s="12">
        <f>COUNTIF(defects!$AA:$AA,Monthly_TVPlantPmod!$B23&amp;Monthly_TVPlantPmod!$B$3&amp;$B$2&amp;Monthly_TVPlantPmod!AC$3&amp;$B$1&amp;$C$1)</f>
        <v>0</v>
      </c>
      <c r="AD23" s="12">
        <f>COUNTIF(defects!$AA:$AA,Monthly_TVPlantPmod!$B23&amp;Monthly_TVPlantPmod!$B$3&amp;$B$2&amp;Monthly_TVPlantPmod!AD$3&amp;$B$1&amp;$C$1)</f>
        <v>0</v>
      </c>
      <c r="AE23" s="12">
        <f>COUNTIF(defects!$AA:$AA,Monthly_TVPlantPmod!$B23&amp;Monthly_TVPlantPmod!$B$3&amp;$B$2&amp;Monthly_TVPlantPmod!AE$3&amp;$B$1&amp;$C$1)</f>
        <v>0</v>
      </c>
      <c r="AF23" s="12">
        <f>COUNTIF(defects!$AA:$AA,Monthly_TVPlantPmod!$B23&amp;Monthly_TVPlantPmod!$B$3&amp;$B$2&amp;Monthly_TVPlantPmod!AF$3&amp;$B$1&amp;$C$1)</f>
        <v>0</v>
      </c>
      <c r="AG23" s="12">
        <f>COUNTIF(defects!$AA:$AA,Monthly_TVPlantPmod!$B23&amp;Monthly_TVPlantPmod!$B$3&amp;$B$2&amp;Monthly_TVPlantPmod!AG$3&amp;$B$1&amp;$C$1)</f>
        <v>0</v>
      </c>
      <c r="AH23" s="12">
        <f>COUNTIF(defects!$AA:$AA,Monthly_TVPlantPmod!$B23&amp;Monthly_TVPlantPmod!$B$3&amp;$B$2&amp;Monthly_TVPlantPmod!AH$3&amp;$B$1&amp;$C$1)</f>
        <v>0</v>
      </c>
      <c r="AI23" s="12">
        <f>COUNTIF(defects!$AA:$AA,Monthly_TVPlantPmod!$B23&amp;Monthly_TVPlantPmod!$B$3&amp;$B$2&amp;Monthly_TVPlantPmod!AI$3&amp;$B$1&amp;$C$1)</f>
        <v>0</v>
      </c>
      <c r="AJ23" s="12">
        <f>COUNTIF(defects!$AA:$AA,Monthly_TVPlantPmod!$B23&amp;Monthly_TVPlantPmod!$B$3&amp;$B$2&amp;Monthly_TVPlantPmod!AJ$3&amp;$B$1&amp;$C$1)</f>
        <v>0</v>
      </c>
      <c r="AK23" s="12">
        <f>COUNTIF(defects!$AA:$AA,Monthly_TVPlantPmod!$B23&amp;Monthly_TVPlantPmod!$B$3&amp;$B$2&amp;Monthly_TVPlantPmod!AK$3&amp;$B$1&amp;$C$1)</f>
        <v>0</v>
      </c>
      <c r="AL23" s="12">
        <f>COUNTIF(defects!$AA:$AA,Monthly_TVPlantPmod!$B23&amp;Monthly_TVPlantPmod!$B$3&amp;$B$2&amp;Monthly_TVPlantPmod!AL$3&amp;$B$1&amp;$C$1)</f>
        <v>0</v>
      </c>
      <c r="AM23" s="12">
        <f>COUNTIF(defects!$AA:$AA,Monthly_TVPlantPmod!$B23&amp;Monthly_TVPlantPmod!$B$3&amp;$B$2&amp;Monthly_TVPlantPmod!AM$3&amp;$B$1&amp;$C$1)</f>
        <v>0</v>
      </c>
      <c r="AN23" s="12">
        <f>COUNTIF(defects!$AA:$AA,Monthly_TVPlantPmod!$B23&amp;Monthly_TVPlantPmod!$B$3&amp;$B$2&amp;Monthly_TVPlantPmod!AN$3&amp;$B$1&amp;$C$1)</f>
        <v>0</v>
      </c>
      <c r="AO23" s="12">
        <f>COUNTIF(defects!$AA:$AA,Monthly_TVPlantPmod!$B23&amp;Monthly_TVPlantPmod!$B$3&amp;$B$2&amp;Monthly_TVPlantPmod!AO$3&amp;$B$1&amp;$C$1)</f>
        <v>0</v>
      </c>
      <c r="AP23" s="12">
        <f>COUNTIF(defects!$AA:$AA,Monthly_TVPlantPmod!$B23&amp;Monthly_TVPlantPmod!$B$3&amp;$B$2&amp;Monthly_TVPlantPmod!AP$3&amp;$B$1&amp;$C$1)</f>
        <v>0</v>
      </c>
      <c r="AQ23" s="12"/>
      <c r="AR23" s="12">
        <f>HLOOKUP(AR$3,Weekly_TVPlantPmod!$3:$24,MATCH($B23,Weekly_TVPlantPmod!$B$3:$B$24,0),0)</f>
        <v>0</v>
      </c>
      <c r="AS23" s="12">
        <f>HLOOKUP(AS$3,Weekly_TVPlantPmod!$3:$24,MATCH($B23,Weekly_TVPlantPmod!$B$3:$B$24,0),0)</f>
        <v>0</v>
      </c>
      <c r="AT23" s="12">
        <f>HLOOKUP(AT$3,Weekly_TVPlantPmod!$3:$24,MATCH($B23,Weekly_TVPlantPmod!$B$3:$B$24,0),0)</f>
        <v>0</v>
      </c>
      <c r="AU23" s="12"/>
      <c r="AV23" s="12">
        <f t="shared" si="2"/>
        <v>0</v>
      </c>
    </row>
    <row r="24" spans="2:48">
      <c r="B24" s="12" t="s">
        <v>996</v>
      </c>
      <c r="C24" s="12">
        <f t="shared" si="0"/>
        <v>0</v>
      </c>
      <c r="D24" s="12">
        <f t="shared" si="0"/>
        <v>0</v>
      </c>
      <c r="E24" s="12"/>
      <c r="F24" s="12">
        <f>COUNTIF(defects!$AA:$AA,Monthly_TVPlantPmod!$B24&amp;Monthly_TVPlantPmod!$B$3&amp;$B$2&amp;Monthly_TVPlantPmod!F$3&amp;$B$1&amp;$C$1)</f>
        <v>0</v>
      </c>
      <c r="G24" s="12">
        <f>COUNTIF(defects!$AA:$AA,Monthly_TVPlantPmod!$B24&amp;Monthly_TVPlantPmod!$B$3&amp;$B$2&amp;Monthly_TVPlantPmod!G$3&amp;$B$1&amp;$C$1)</f>
        <v>0</v>
      </c>
      <c r="H24" s="12">
        <f>COUNTIF(defects!$AA:$AA,Monthly_TVPlantPmod!$B24&amp;Monthly_TVPlantPmod!$B$3&amp;$B$2&amp;Monthly_TVPlantPmod!H$3&amp;$B$1&amp;$C$1)</f>
        <v>0</v>
      </c>
      <c r="I24" s="12">
        <f>COUNTIF(defects!$AA:$AA,Monthly_TVPlantPmod!$B24&amp;Monthly_TVPlantPmod!$B$3&amp;$B$2&amp;Monthly_TVPlantPmod!I$3&amp;$B$1&amp;$C$1)</f>
        <v>0</v>
      </c>
      <c r="J24" s="12">
        <f>COUNTIF(defects!$AA:$AA,Monthly_TVPlantPmod!$B24&amp;Monthly_TVPlantPmod!$B$3&amp;$B$2&amp;Monthly_TVPlantPmod!J$3&amp;$B$1&amp;$C$1)</f>
        <v>0</v>
      </c>
      <c r="K24" s="12">
        <f>COUNTIF(defects!$AA:$AA,Monthly_TVPlantPmod!$B24&amp;Monthly_TVPlantPmod!$B$3&amp;$B$2&amp;Monthly_TVPlantPmod!K$3&amp;$B$1&amp;$C$1)</f>
        <v>0</v>
      </c>
      <c r="L24" s="12">
        <f>COUNTIF(defects!$AA:$AA,Monthly_TVPlantPmod!$B24&amp;Monthly_TVPlantPmod!$B$3&amp;$B$2&amp;Monthly_TVPlantPmod!L$3&amp;$B$1&amp;$C$1)</f>
        <v>0</v>
      </c>
      <c r="M24" s="12">
        <f>COUNTIF(defects!$AA:$AA,Monthly_TVPlantPmod!$B24&amp;Monthly_TVPlantPmod!$B$3&amp;$B$2&amp;Monthly_TVPlantPmod!M$3&amp;$B$1&amp;$C$1)</f>
        <v>0</v>
      </c>
      <c r="N24" s="12">
        <f>COUNTIF(defects!$AA:$AA,Monthly_TVPlantPmod!$B24&amp;Monthly_TVPlantPmod!$B$3&amp;$B$2&amp;Monthly_TVPlantPmod!N$3&amp;$B$1&amp;$C$1)</f>
        <v>0</v>
      </c>
      <c r="O24" s="12">
        <f>COUNTIF(defects!$AA:$AA,Monthly_TVPlantPmod!$B24&amp;Monthly_TVPlantPmod!$B$3&amp;$B$2&amp;Monthly_TVPlantPmod!O$3&amp;$B$1&amp;$C$1)</f>
        <v>0</v>
      </c>
      <c r="P24" s="12">
        <f>COUNTIF(defects!$AA:$AA,Monthly_TVPlantPmod!$B24&amp;Monthly_TVPlantPmod!$B$3&amp;$B$2&amp;Monthly_TVPlantPmod!P$3&amp;$B$1&amp;$C$1)</f>
        <v>0</v>
      </c>
      <c r="Q24" s="12">
        <f>COUNTIF(defects!$AA:$AA,Monthly_TVPlantPmod!$B24&amp;Monthly_TVPlantPmod!$B$3&amp;$B$2&amp;Monthly_TVPlantPmod!Q$3&amp;$B$1&amp;$C$1)</f>
        <v>0</v>
      </c>
      <c r="R24" s="12">
        <f>COUNTIF(defects!$AA:$AA,Monthly_TVPlantPmod!$B24&amp;Monthly_TVPlantPmod!$B$3&amp;$B$2&amp;Monthly_TVPlantPmod!R$3&amp;$B$1&amp;$C$1)</f>
        <v>0</v>
      </c>
      <c r="S24" s="12">
        <f>COUNTIF(defects!$AA:$AA,Monthly_TVPlantPmod!$B24&amp;Monthly_TVPlantPmod!$B$3&amp;$B$2&amp;Monthly_TVPlantPmod!S$3&amp;$B$1&amp;$C$1)</f>
        <v>0</v>
      </c>
      <c r="T24" s="12">
        <f>COUNTIF(defects!$AA:$AA,Monthly_TVPlantPmod!$B24&amp;Monthly_TVPlantPmod!$B$3&amp;$B$2&amp;Monthly_TVPlantPmod!T$3&amp;$B$1&amp;$C$1)</f>
        <v>0</v>
      </c>
      <c r="U24" s="12">
        <f>COUNTIF(defects!$AA:$AA,Monthly_TVPlantPmod!$B24&amp;Monthly_TVPlantPmod!$B$3&amp;$B$2&amp;Monthly_TVPlantPmod!U$3&amp;$B$1&amp;$C$1)</f>
        <v>0</v>
      </c>
      <c r="V24" s="12">
        <f>COUNTIF(defects!$AA:$AA,Monthly_TVPlantPmod!$B24&amp;Monthly_TVPlantPmod!$B$3&amp;$B$2&amp;Monthly_TVPlantPmod!V$3&amp;$B$1&amp;$C$1)</f>
        <v>0</v>
      </c>
      <c r="W24" s="12">
        <f>COUNTIF(defects!$AA:$AA,Monthly_TVPlantPmod!$B24&amp;Monthly_TVPlantPmod!$B$3&amp;$B$2&amp;Monthly_TVPlantPmod!W$3&amp;$B$1&amp;$C$1)</f>
        <v>0</v>
      </c>
      <c r="X24" s="12">
        <f>COUNTIF(defects!$AA:$AA,Monthly_TVPlantPmod!$B24&amp;Monthly_TVPlantPmod!$B$3&amp;$B$2&amp;Monthly_TVPlantPmod!X$3&amp;$B$1&amp;$C$1)</f>
        <v>0</v>
      </c>
      <c r="Y24" s="12">
        <f>COUNTIF(defects!$AA:$AA,Monthly_TVPlantPmod!$B24&amp;Monthly_TVPlantPmod!$B$3&amp;$B$2&amp;Monthly_TVPlantPmod!Y$3&amp;$B$1&amp;$C$1)</f>
        <v>0</v>
      </c>
      <c r="Z24" s="12">
        <f>COUNTIF(defects!$AA:$AA,Monthly_TVPlantPmod!$B24&amp;Monthly_TVPlantPmod!$B$3&amp;$B$2&amp;Monthly_TVPlantPmod!Z$3&amp;$B$1&amp;$C$1)</f>
        <v>0</v>
      </c>
      <c r="AA24" s="12">
        <f>COUNTIF(defects!$AA:$AA,Monthly_TVPlantPmod!$B24&amp;Monthly_TVPlantPmod!$B$3&amp;$B$2&amp;Monthly_TVPlantPmod!AA$3&amp;$B$1&amp;$C$1)</f>
        <v>0</v>
      </c>
      <c r="AB24" s="12">
        <f>COUNTIF(defects!$AA:$AA,Monthly_TVPlantPmod!$B24&amp;Monthly_TVPlantPmod!$B$3&amp;$B$2&amp;Monthly_TVPlantPmod!AB$3&amp;$B$1&amp;$C$1)</f>
        <v>0</v>
      </c>
      <c r="AC24" s="12">
        <f>COUNTIF(defects!$AA:$AA,Monthly_TVPlantPmod!$B24&amp;Monthly_TVPlantPmod!$B$3&amp;$B$2&amp;Monthly_TVPlantPmod!AC$3&amp;$B$1&amp;$C$1)</f>
        <v>0</v>
      </c>
      <c r="AD24" s="12">
        <f>COUNTIF(defects!$AA:$AA,Monthly_TVPlantPmod!$B24&amp;Monthly_TVPlantPmod!$B$3&amp;$B$2&amp;Monthly_TVPlantPmod!AD$3&amp;$B$1&amp;$C$1)</f>
        <v>0</v>
      </c>
      <c r="AE24" s="12">
        <f>COUNTIF(defects!$AA:$AA,Monthly_TVPlantPmod!$B24&amp;Monthly_TVPlantPmod!$B$3&amp;$B$2&amp;Monthly_TVPlantPmod!AE$3&amp;$B$1&amp;$C$1)</f>
        <v>0</v>
      </c>
      <c r="AF24" s="12">
        <f>COUNTIF(defects!$AA:$AA,Monthly_TVPlantPmod!$B24&amp;Monthly_TVPlantPmod!$B$3&amp;$B$2&amp;Monthly_TVPlantPmod!AF$3&amp;$B$1&amp;$C$1)</f>
        <v>0</v>
      </c>
      <c r="AG24" s="12">
        <f>COUNTIF(defects!$AA:$AA,Monthly_TVPlantPmod!$B24&amp;Monthly_TVPlantPmod!$B$3&amp;$B$2&amp;Monthly_TVPlantPmod!AG$3&amp;$B$1&amp;$C$1)</f>
        <v>0</v>
      </c>
      <c r="AH24" s="12">
        <f>COUNTIF(defects!$AA:$AA,Monthly_TVPlantPmod!$B24&amp;Monthly_TVPlantPmod!$B$3&amp;$B$2&amp;Monthly_TVPlantPmod!AH$3&amp;$B$1&amp;$C$1)</f>
        <v>0</v>
      </c>
      <c r="AI24" s="12">
        <f>COUNTIF(defects!$AA:$AA,Monthly_TVPlantPmod!$B24&amp;Monthly_TVPlantPmod!$B$3&amp;$B$2&amp;Monthly_TVPlantPmod!AI$3&amp;$B$1&amp;$C$1)</f>
        <v>0</v>
      </c>
      <c r="AJ24" s="12">
        <f>COUNTIF(defects!$AA:$AA,Monthly_TVPlantPmod!$B24&amp;Monthly_TVPlantPmod!$B$3&amp;$B$2&amp;Monthly_TVPlantPmod!AJ$3&amp;$B$1&amp;$C$1)</f>
        <v>0</v>
      </c>
      <c r="AK24" s="12">
        <f>COUNTIF(defects!$AA:$AA,Monthly_TVPlantPmod!$B24&amp;Monthly_TVPlantPmod!$B$3&amp;$B$2&amp;Monthly_TVPlantPmod!AK$3&amp;$B$1&amp;$C$1)</f>
        <v>0</v>
      </c>
      <c r="AL24" s="12">
        <f>COUNTIF(defects!$AA:$AA,Monthly_TVPlantPmod!$B24&amp;Monthly_TVPlantPmod!$B$3&amp;$B$2&amp;Monthly_TVPlantPmod!AL$3&amp;$B$1&amp;$C$1)</f>
        <v>0</v>
      </c>
      <c r="AM24" s="12">
        <f>COUNTIF(defects!$AA:$AA,Monthly_TVPlantPmod!$B24&amp;Monthly_TVPlantPmod!$B$3&amp;$B$2&amp;Monthly_TVPlantPmod!AM$3&amp;$B$1&amp;$C$1)</f>
        <v>0</v>
      </c>
      <c r="AN24" s="12">
        <f>COUNTIF(defects!$AA:$AA,Monthly_TVPlantPmod!$B24&amp;Monthly_TVPlantPmod!$B$3&amp;$B$2&amp;Monthly_TVPlantPmod!AN$3&amp;$B$1&amp;$C$1)</f>
        <v>0</v>
      </c>
      <c r="AO24" s="12">
        <f>COUNTIF(defects!$AA:$AA,Monthly_TVPlantPmod!$B24&amp;Monthly_TVPlantPmod!$B$3&amp;$B$2&amp;Monthly_TVPlantPmod!AO$3&amp;$B$1&amp;$C$1)</f>
        <v>0</v>
      </c>
      <c r="AP24" s="12">
        <f>COUNTIF(defects!$AA:$AA,Monthly_TVPlantPmod!$B24&amp;Monthly_TVPlantPmod!$B$3&amp;$B$2&amp;Monthly_TVPlantPmod!AP$3&amp;$B$1&amp;$C$1)</f>
        <v>0</v>
      </c>
      <c r="AQ24" s="12"/>
      <c r="AR24" s="12">
        <f>HLOOKUP(AR$3,Weekly_TVPlantPmod!$3:$24,MATCH($B24,Weekly_TVPlantPmod!$B$3:$B$24,0),0)</f>
        <v>0</v>
      </c>
      <c r="AS24" s="12">
        <f>HLOOKUP(AS$3,Weekly_TVPlantPmod!$3:$24,MATCH($B24,Weekly_TVPlantPmod!$B$3:$B$24,0),0)</f>
        <v>0</v>
      </c>
      <c r="AT24" s="12">
        <f>HLOOKUP(AT$3,Weekly_TVPlantPmod!$3:$24,MATCH($B24,Weekly_TVPlantPmod!$B$3:$B$24,0),0)</f>
        <v>0</v>
      </c>
      <c r="AU24" s="12"/>
      <c r="AV24" s="12">
        <f t="shared" si="2"/>
        <v>0</v>
      </c>
    </row>
    <row r="25" spans="2:48" ht="14.15" customHeight="1"/>
    <row r="26" spans="2:48">
      <c r="B26" s="12"/>
      <c r="C26" s="10" t="str">
        <f t="shared" ref="C26:D26" si="3">C3</f>
        <v>FY21 TTL</v>
      </c>
      <c r="D26" s="10" t="str">
        <f t="shared" si="3"/>
        <v>FY22 TTL</v>
      </c>
      <c r="E26" s="10"/>
      <c r="F26" s="10" t="str">
        <f>F3</f>
        <v>20 Jan</v>
      </c>
      <c r="G26" s="10" t="str">
        <f t="shared" ref="G26:AV26" si="4">G3</f>
        <v>20 Feb</v>
      </c>
      <c r="H26" s="10" t="str">
        <f t="shared" si="4"/>
        <v>20 Mar</v>
      </c>
      <c r="I26" s="10" t="str">
        <f t="shared" si="4"/>
        <v>20 Apr</v>
      </c>
      <c r="J26" s="10" t="str">
        <f t="shared" si="4"/>
        <v>20 May</v>
      </c>
      <c r="K26" s="10" t="str">
        <f t="shared" si="4"/>
        <v>20 Jun</v>
      </c>
      <c r="L26" s="10" t="str">
        <f t="shared" si="4"/>
        <v>20 Jul</v>
      </c>
      <c r="M26" s="10" t="str">
        <f t="shared" si="4"/>
        <v>20 Aug</v>
      </c>
      <c r="N26" s="10" t="str">
        <f t="shared" si="4"/>
        <v>20 Sep</v>
      </c>
      <c r="O26" s="10" t="str">
        <f t="shared" si="4"/>
        <v>20 Oct</v>
      </c>
      <c r="P26" s="10" t="str">
        <f t="shared" si="4"/>
        <v>20 Nov</v>
      </c>
      <c r="Q26" s="10" t="str">
        <f t="shared" si="4"/>
        <v>20 Dec</v>
      </c>
      <c r="R26" s="10" t="str">
        <f t="shared" si="4"/>
        <v>21 Jan</v>
      </c>
      <c r="S26" s="10" t="str">
        <f t="shared" si="4"/>
        <v>21 Feb</v>
      </c>
      <c r="T26" s="10" t="str">
        <f t="shared" si="4"/>
        <v>21 Mar</v>
      </c>
      <c r="U26" s="10" t="str">
        <f t="shared" si="4"/>
        <v>21 Apr</v>
      </c>
      <c r="V26" s="10" t="str">
        <f t="shared" si="4"/>
        <v>21 May</v>
      </c>
      <c r="W26" s="10" t="str">
        <f t="shared" si="4"/>
        <v>21 Jun</v>
      </c>
      <c r="X26" s="10" t="str">
        <f t="shared" si="4"/>
        <v>21 Jul</v>
      </c>
      <c r="Y26" s="10" t="str">
        <f t="shared" si="4"/>
        <v>21 Aug</v>
      </c>
      <c r="Z26" s="10" t="str">
        <f t="shared" si="4"/>
        <v>21 Sep</v>
      </c>
      <c r="AA26" s="10" t="str">
        <f t="shared" si="4"/>
        <v>21 Oct</v>
      </c>
      <c r="AB26" s="10" t="str">
        <f t="shared" si="4"/>
        <v>21 Nov</v>
      </c>
      <c r="AC26" s="10" t="str">
        <f t="shared" si="4"/>
        <v>21 Dec</v>
      </c>
      <c r="AD26" s="10" t="str">
        <f t="shared" si="4"/>
        <v>22 Jan</v>
      </c>
      <c r="AE26" s="10" t="str">
        <f t="shared" si="4"/>
        <v>22 Feb</v>
      </c>
      <c r="AF26" s="10" t="str">
        <f t="shared" si="4"/>
        <v>22 Mar</v>
      </c>
      <c r="AG26" s="10" t="str">
        <f t="shared" si="4"/>
        <v>22 Apr</v>
      </c>
      <c r="AH26" s="10" t="str">
        <f t="shared" si="4"/>
        <v>22 May</v>
      </c>
      <c r="AI26" s="10" t="str">
        <f t="shared" si="4"/>
        <v>22 Jun</v>
      </c>
      <c r="AJ26" s="10" t="str">
        <f t="shared" si="4"/>
        <v>22 Jul</v>
      </c>
      <c r="AK26" s="10" t="str">
        <f t="shared" si="4"/>
        <v>22 Aug</v>
      </c>
      <c r="AL26" s="10" t="str">
        <f t="shared" si="4"/>
        <v>22 Sep</v>
      </c>
      <c r="AM26" s="10" t="str">
        <f t="shared" si="4"/>
        <v>22 Oct</v>
      </c>
      <c r="AN26" s="10" t="str">
        <f t="shared" si="4"/>
        <v>22 Nov</v>
      </c>
      <c r="AO26" s="10" t="str">
        <f t="shared" si="4"/>
        <v>22 Dec</v>
      </c>
      <c r="AP26" s="10" t="str">
        <f t="shared" si="4"/>
        <v>23 Jan</v>
      </c>
      <c r="AQ26" s="10"/>
      <c r="AR26" s="11">
        <f t="shared" si="4"/>
        <v>2151</v>
      </c>
      <c r="AS26" s="11">
        <f t="shared" si="4"/>
        <v>2152</v>
      </c>
      <c r="AT26" s="11">
        <f t="shared" si="4"/>
        <v>2201</v>
      </c>
      <c r="AU26" s="10"/>
      <c r="AV26" s="10" t="str">
        <f t="shared" si="4"/>
        <v>TTL</v>
      </c>
    </row>
    <row r="27" spans="2:48" s="7" customFormat="1">
      <c r="B27" s="13" t="s">
        <v>1014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>
      <c r="B28" s="13" t="s">
        <v>989</v>
      </c>
      <c r="C28" s="11">
        <f t="shared" ref="C28:D28" si="5">C4</f>
        <v>29253</v>
      </c>
      <c r="D28" s="11">
        <f t="shared" si="5"/>
        <v>0</v>
      </c>
      <c r="E28" s="11"/>
      <c r="F28" s="11">
        <f t="shared" ref="F28:AP28" si="6">F4</f>
        <v>0</v>
      </c>
      <c r="G28" s="11">
        <f t="shared" si="6"/>
        <v>0</v>
      </c>
      <c r="H28" s="11">
        <f t="shared" si="6"/>
        <v>0</v>
      </c>
      <c r="I28" s="11">
        <f t="shared" si="6"/>
        <v>0</v>
      </c>
      <c r="J28" s="11">
        <f t="shared" si="6"/>
        <v>0</v>
      </c>
      <c r="K28" s="11">
        <f t="shared" si="6"/>
        <v>0</v>
      </c>
      <c r="L28" s="11">
        <f t="shared" si="6"/>
        <v>0</v>
      </c>
      <c r="M28" s="11">
        <f t="shared" si="6"/>
        <v>0</v>
      </c>
      <c r="N28" s="11">
        <f t="shared" si="6"/>
        <v>0</v>
      </c>
      <c r="O28" s="11">
        <f t="shared" si="6"/>
        <v>0</v>
      </c>
      <c r="P28" s="11">
        <f t="shared" si="6"/>
        <v>0</v>
      </c>
      <c r="Q28" s="11">
        <f t="shared" si="6"/>
        <v>0</v>
      </c>
      <c r="R28" s="11">
        <f t="shared" si="6"/>
        <v>0</v>
      </c>
      <c r="S28" s="11">
        <f t="shared" si="6"/>
        <v>0</v>
      </c>
      <c r="T28" s="11">
        <f t="shared" si="6"/>
        <v>197</v>
      </c>
      <c r="U28" s="11">
        <f t="shared" si="6"/>
        <v>4902</v>
      </c>
      <c r="V28" s="11">
        <f t="shared" si="6"/>
        <v>3616</v>
      </c>
      <c r="W28" s="11">
        <f t="shared" si="6"/>
        <v>2212</v>
      </c>
      <c r="X28" s="11">
        <f t="shared" si="6"/>
        <v>2998</v>
      </c>
      <c r="Y28" s="11">
        <f t="shared" si="6"/>
        <v>3856</v>
      </c>
      <c r="Z28" s="11">
        <f t="shared" si="6"/>
        <v>2668</v>
      </c>
      <c r="AA28" s="11">
        <f t="shared" si="6"/>
        <v>3121</v>
      </c>
      <c r="AB28" s="11">
        <f t="shared" si="6"/>
        <v>2960</v>
      </c>
      <c r="AC28" s="11">
        <f t="shared" si="6"/>
        <v>2723</v>
      </c>
      <c r="AD28" s="11">
        <f t="shared" si="6"/>
        <v>0</v>
      </c>
      <c r="AE28" s="11">
        <f t="shared" si="6"/>
        <v>0</v>
      </c>
      <c r="AF28" s="11">
        <f t="shared" si="6"/>
        <v>0</v>
      </c>
      <c r="AG28" s="11">
        <f t="shared" si="6"/>
        <v>0</v>
      </c>
      <c r="AH28" s="11">
        <f t="shared" si="6"/>
        <v>0</v>
      </c>
      <c r="AI28" s="11">
        <f t="shared" si="6"/>
        <v>0</v>
      </c>
      <c r="AJ28" s="11">
        <f t="shared" si="6"/>
        <v>0</v>
      </c>
      <c r="AK28" s="11">
        <f t="shared" si="6"/>
        <v>0</v>
      </c>
      <c r="AL28" s="11">
        <f t="shared" si="6"/>
        <v>0</v>
      </c>
      <c r="AM28" s="11">
        <f t="shared" si="6"/>
        <v>0</v>
      </c>
      <c r="AN28" s="11">
        <f t="shared" si="6"/>
        <v>0</v>
      </c>
      <c r="AO28" s="11">
        <f t="shared" si="6"/>
        <v>0</v>
      </c>
      <c r="AP28" s="11">
        <f t="shared" si="6"/>
        <v>0</v>
      </c>
      <c r="AQ28" s="11"/>
      <c r="AR28" s="11">
        <f>AR4</f>
        <v>261</v>
      </c>
      <c r="AS28" s="11">
        <f>AS4</f>
        <v>1326</v>
      </c>
      <c r="AT28" s="11">
        <f>AT4</f>
        <v>0</v>
      </c>
      <c r="AU28" s="11"/>
      <c r="AV28" s="11">
        <f>AV4</f>
        <v>29253</v>
      </c>
    </row>
    <row r="29" spans="2:48">
      <c r="B29" s="12" t="s">
        <v>1018</v>
      </c>
      <c r="C29" s="12">
        <f t="shared" ref="C29:R44" si="7">IFERROR(ROUNDUP(C5/C$4*10^6,0),0)</f>
        <v>1744</v>
      </c>
      <c r="D29" s="12">
        <f t="shared" si="7"/>
        <v>0</v>
      </c>
      <c r="E29" s="12"/>
      <c r="F29" s="12">
        <f t="shared" ref="F29:U44" si="8">IFERROR(ROUNDUP(F5/F$4*10^6,0),0)</f>
        <v>0</v>
      </c>
      <c r="G29" s="12">
        <f t="shared" si="8"/>
        <v>0</v>
      </c>
      <c r="H29" s="12">
        <f t="shared" si="8"/>
        <v>0</v>
      </c>
      <c r="I29" s="12">
        <f t="shared" si="8"/>
        <v>0</v>
      </c>
      <c r="J29" s="12">
        <f t="shared" si="8"/>
        <v>0</v>
      </c>
      <c r="K29" s="12">
        <f t="shared" si="8"/>
        <v>0</v>
      </c>
      <c r="L29" s="12">
        <f t="shared" si="8"/>
        <v>0</v>
      </c>
      <c r="M29" s="12">
        <f t="shared" si="8"/>
        <v>0</v>
      </c>
      <c r="N29" s="12">
        <f t="shared" si="8"/>
        <v>0</v>
      </c>
      <c r="O29" s="12">
        <f t="shared" si="8"/>
        <v>0</v>
      </c>
      <c r="P29" s="12">
        <f t="shared" si="8"/>
        <v>0</v>
      </c>
      <c r="Q29" s="12">
        <f t="shared" si="8"/>
        <v>0</v>
      </c>
      <c r="R29" s="12">
        <f t="shared" si="8"/>
        <v>0</v>
      </c>
      <c r="S29" s="12">
        <f>IFERROR(ROUNDUP(S5/S$4*10^6,0),0)</f>
        <v>0</v>
      </c>
      <c r="T29" s="12">
        <f t="shared" ref="T29:AP41" si="9">IFERROR(ROUNDUP(T5/T$4*10^6,0),0)</f>
        <v>0</v>
      </c>
      <c r="U29" s="12">
        <f t="shared" si="9"/>
        <v>1428</v>
      </c>
      <c r="V29" s="12">
        <f t="shared" si="9"/>
        <v>830</v>
      </c>
      <c r="W29" s="12">
        <f t="shared" si="9"/>
        <v>1357</v>
      </c>
      <c r="X29" s="12">
        <f t="shared" si="9"/>
        <v>1668</v>
      </c>
      <c r="Y29" s="12">
        <f t="shared" si="9"/>
        <v>2335</v>
      </c>
      <c r="Z29" s="12">
        <f t="shared" si="9"/>
        <v>2999</v>
      </c>
      <c r="AA29" s="12">
        <f t="shared" si="9"/>
        <v>1603</v>
      </c>
      <c r="AB29" s="12">
        <f t="shared" si="9"/>
        <v>1690</v>
      </c>
      <c r="AC29" s="12">
        <f t="shared" si="9"/>
        <v>2204</v>
      </c>
      <c r="AD29" s="12">
        <f t="shared" si="9"/>
        <v>0</v>
      </c>
      <c r="AE29" s="12">
        <f t="shared" si="9"/>
        <v>0</v>
      </c>
      <c r="AF29" s="12">
        <f t="shared" si="9"/>
        <v>0</v>
      </c>
      <c r="AG29" s="12">
        <f t="shared" si="9"/>
        <v>0</v>
      </c>
      <c r="AH29" s="12">
        <f t="shared" si="9"/>
        <v>0</v>
      </c>
      <c r="AI29" s="12">
        <f t="shared" si="9"/>
        <v>0</v>
      </c>
      <c r="AJ29" s="12">
        <f t="shared" si="9"/>
        <v>0</v>
      </c>
      <c r="AK29" s="12">
        <f t="shared" si="9"/>
        <v>0</v>
      </c>
      <c r="AL29" s="12">
        <f t="shared" si="9"/>
        <v>0</v>
      </c>
      <c r="AM29" s="12">
        <f t="shared" si="9"/>
        <v>0</v>
      </c>
      <c r="AN29" s="12">
        <f t="shared" si="9"/>
        <v>0</v>
      </c>
      <c r="AO29" s="12">
        <f t="shared" si="9"/>
        <v>0</v>
      </c>
      <c r="AP29" s="12">
        <f t="shared" si="9"/>
        <v>0</v>
      </c>
      <c r="AQ29" s="12"/>
      <c r="AR29" s="12">
        <f>IFERROR(ROUNDUP(AR5/AR$4*10^6,0),0)</f>
        <v>3832</v>
      </c>
      <c r="AS29" s="12">
        <f>IFERROR(ROUNDUP(AS5/AS$4*10^6,0),0)</f>
        <v>3017</v>
      </c>
      <c r="AT29" s="12">
        <f>IFERROR(ROUNDUP(AT5/AT$4*10^6,0),0)</f>
        <v>0</v>
      </c>
      <c r="AU29" s="12"/>
      <c r="AV29" s="12">
        <f>IFERROR(ROUNDUP(AV5/$AV$4*10^6,0),0)</f>
        <v>1744</v>
      </c>
    </row>
    <row r="30" spans="2:48">
      <c r="B30" s="12" t="s">
        <v>991</v>
      </c>
      <c r="C30" s="12">
        <f t="shared" si="7"/>
        <v>0</v>
      </c>
      <c r="D30" s="12">
        <f t="shared" si="7"/>
        <v>0</v>
      </c>
      <c r="E30" s="12">
        <f t="shared" si="7"/>
        <v>0</v>
      </c>
      <c r="F30" s="12">
        <f>IFERROR(ROUNDUP(F6/F$4*10^6,0),0)</f>
        <v>0</v>
      </c>
      <c r="G30" s="12">
        <f t="shared" si="8"/>
        <v>0</v>
      </c>
      <c r="H30" s="12">
        <f t="shared" si="8"/>
        <v>0</v>
      </c>
      <c r="I30" s="12">
        <f t="shared" si="8"/>
        <v>0</v>
      </c>
      <c r="J30" s="12">
        <f t="shared" si="8"/>
        <v>0</v>
      </c>
      <c r="K30" s="12">
        <f t="shared" si="8"/>
        <v>0</v>
      </c>
      <c r="L30" s="12">
        <f t="shared" si="8"/>
        <v>0</v>
      </c>
      <c r="M30" s="12">
        <f t="shared" si="8"/>
        <v>0</v>
      </c>
      <c r="N30" s="12">
        <f t="shared" si="8"/>
        <v>0</v>
      </c>
      <c r="O30" s="12">
        <f t="shared" si="8"/>
        <v>0</v>
      </c>
      <c r="P30" s="12">
        <f t="shared" si="8"/>
        <v>0</v>
      </c>
      <c r="Q30" s="12">
        <f t="shared" si="8"/>
        <v>0</v>
      </c>
      <c r="R30" s="12">
        <f t="shared" si="8"/>
        <v>0</v>
      </c>
      <c r="S30" s="12">
        <f t="shared" si="8"/>
        <v>0</v>
      </c>
      <c r="T30" s="12">
        <f t="shared" si="8"/>
        <v>0</v>
      </c>
      <c r="U30" s="12">
        <f t="shared" si="8"/>
        <v>0</v>
      </c>
      <c r="V30" s="12">
        <f t="shared" si="9"/>
        <v>0</v>
      </c>
      <c r="W30" s="12">
        <f t="shared" si="9"/>
        <v>0</v>
      </c>
      <c r="X30" s="12">
        <f t="shared" si="9"/>
        <v>0</v>
      </c>
      <c r="Y30" s="12">
        <f t="shared" si="9"/>
        <v>0</v>
      </c>
      <c r="Z30" s="12">
        <f t="shared" si="9"/>
        <v>0</v>
      </c>
      <c r="AA30" s="12">
        <f t="shared" si="9"/>
        <v>0</v>
      </c>
      <c r="AB30" s="12">
        <f t="shared" si="9"/>
        <v>0</v>
      </c>
      <c r="AC30" s="12">
        <f t="shared" si="9"/>
        <v>0</v>
      </c>
      <c r="AD30" s="12">
        <f t="shared" si="9"/>
        <v>0</v>
      </c>
      <c r="AE30" s="12">
        <f t="shared" si="9"/>
        <v>0</v>
      </c>
      <c r="AF30" s="12">
        <f t="shared" si="9"/>
        <v>0</v>
      </c>
      <c r="AG30" s="12">
        <f t="shared" si="9"/>
        <v>0</v>
      </c>
      <c r="AH30" s="12">
        <f t="shared" si="9"/>
        <v>0</v>
      </c>
      <c r="AI30" s="12">
        <f t="shared" si="9"/>
        <v>0</v>
      </c>
      <c r="AJ30" s="12">
        <f t="shared" si="9"/>
        <v>0</v>
      </c>
      <c r="AK30" s="12">
        <f t="shared" si="9"/>
        <v>0</v>
      </c>
      <c r="AL30" s="12">
        <f t="shared" si="9"/>
        <v>0</v>
      </c>
      <c r="AM30" s="12">
        <f t="shared" si="9"/>
        <v>0</v>
      </c>
      <c r="AN30" s="12">
        <f t="shared" si="9"/>
        <v>0</v>
      </c>
      <c r="AO30" s="12">
        <f t="shared" si="9"/>
        <v>0</v>
      </c>
      <c r="AP30" s="12">
        <f t="shared" si="9"/>
        <v>0</v>
      </c>
      <c r="AQ30" s="12">
        <f t="shared" ref="AQ30:AT40" si="10">IFERROR(ROUNDUP(AQ6/AQ$4*10^6,0),0)</f>
        <v>0</v>
      </c>
      <c r="AR30" s="12">
        <f t="shared" si="10"/>
        <v>0</v>
      </c>
      <c r="AS30" s="12">
        <f t="shared" si="10"/>
        <v>0</v>
      </c>
      <c r="AT30" s="12">
        <f t="shared" si="10"/>
        <v>0</v>
      </c>
      <c r="AU30" s="12"/>
      <c r="AV30" s="12">
        <f t="shared" ref="AV30:AV48" si="11">IFERROR(ROUNDUP(AV6/$AV$4*10^6,0),0)</f>
        <v>0</v>
      </c>
    </row>
    <row r="31" spans="2:48">
      <c r="B31" s="12" t="s">
        <v>957</v>
      </c>
      <c r="C31" s="12">
        <f t="shared" si="7"/>
        <v>0</v>
      </c>
      <c r="D31" s="12">
        <f t="shared" si="7"/>
        <v>0</v>
      </c>
      <c r="E31" s="12">
        <f t="shared" si="7"/>
        <v>0</v>
      </c>
      <c r="F31" s="12">
        <f t="shared" si="7"/>
        <v>0</v>
      </c>
      <c r="G31" s="12">
        <f t="shared" si="7"/>
        <v>0</v>
      </c>
      <c r="H31" s="12">
        <f t="shared" si="7"/>
        <v>0</v>
      </c>
      <c r="I31" s="12">
        <f t="shared" si="7"/>
        <v>0</v>
      </c>
      <c r="J31" s="12">
        <f t="shared" si="7"/>
        <v>0</v>
      </c>
      <c r="K31" s="12">
        <f t="shared" si="7"/>
        <v>0</v>
      </c>
      <c r="L31" s="12">
        <f t="shared" si="7"/>
        <v>0</v>
      </c>
      <c r="M31" s="12">
        <f t="shared" si="7"/>
        <v>0</v>
      </c>
      <c r="N31" s="12">
        <f t="shared" si="7"/>
        <v>0</v>
      </c>
      <c r="O31" s="12">
        <f t="shared" si="7"/>
        <v>0</v>
      </c>
      <c r="P31" s="12">
        <f t="shared" si="7"/>
        <v>0</v>
      </c>
      <c r="Q31" s="12">
        <f t="shared" si="7"/>
        <v>0</v>
      </c>
      <c r="R31" s="12">
        <f t="shared" si="7"/>
        <v>0</v>
      </c>
      <c r="S31" s="12">
        <f t="shared" si="8"/>
        <v>0</v>
      </c>
      <c r="T31" s="12">
        <f t="shared" si="8"/>
        <v>0</v>
      </c>
      <c r="U31" s="12">
        <f t="shared" si="8"/>
        <v>0</v>
      </c>
      <c r="V31" s="12">
        <f t="shared" si="9"/>
        <v>0</v>
      </c>
      <c r="W31" s="12">
        <f t="shared" si="9"/>
        <v>0</v>
      </c>
      <c r="X31" s="12">
        <f t="shared" si="9"/>
        <v>0</v>
      </c>
      <c r="Y31" s="12">
        <f t="shared" si="9"/>
        <v>0</v>
      </c>
      <c r="Z31" s="12">
        <f t="shared" si="9"/>
        <v>0</v>
      </c>
      <c r="AA31" s="12">
        <f t="shared" si="9"/>
        <v>0</v>
      </c>
      <c r="AB31" s="12">
        <f t="shared" si="9"/>
        <v>0</v>
      </c>
      <c r="AC31" s="12">
        <f t="shared" si="9"/>
        <v>0</v>
      </c>
      <c r="AD31" s="12">
        <f t="shared" si="9"/>
        <v>0</v>
      </c>
      <c r="AE31" s="12">
        <f t="shared" si="9"/>
        <v>0</v>
      </c>
      <c r="AF31" s="12">
        <f t="shared" si="9"/>
        <v>0</v>
      </c>
      <c r="AG31" s="12">
        <f t="shared" si="9"/>
        <v>0</v>
      </c>
      <c r="AH31" s="12">
        <f t="shared" si="9"/>
        <v>0</v>
      </c>
      <c r="AI31" s="12">
        <f t="shared" si="9"/>
        <v>0</v>
      </c>
      <c r="AJ31" s="12">
        <f t="shared" si="9"/>
        <v>0</v>
      </c>
      <c r="AK31" s="12">
        <f t="shared" si="9"/>
        <v>0</v>
      </c>
      <c r="AL31" s="12">
        <f t="shared" si="9"/>
        <v>0</v>
      </c>
      <c r="AM31" s="12">
        <f t="shared" si="9"/>
        <v>0</v>
      </c>
      <c r="AN31" s="12">
        <f t="shared" si="9"/>
        <v>0</v>
      </c>
      <c r="AO31" s="12">
        <f t="shared" si="9"/>
        <v>0</v>
      </c>
      <c r="AP31" s="12">
        <f t="shared" si="9"/>
        <v>0</v>
      </c>
      <c r="AQ31" s="12">
        <f t="shared" si="10"/>
        <v>0</v>
      </c>
      <c r="AR31" s="12">
        <f t="shared" si="10"/>
        <v>0</v>
      </c>
      <c r="AS31" s="12">
        <f t="shared" si="10"/>
        <v>0</v>
      </c>
      <c r="AT31" s="12">
        <f t="shared" si="10"/>
        <v>0</v>
      </c>
      <c r="AU31" s="12"/>
      <c r="AV31" s="12">
        <f t="shared" si="11"/>
        <v>0</v>
      </c>
    </row>
    <row r="32" spans="2:48">
      <c r="B32" s="12" t="s">
        <v>955</v>
      </c>
      <c r="C32" s="12">
        <f t="shared" si="7"/>
        <v>35</v>
      </c>
      <c r="D32" s="12">
        <f t="shared" si="7"/>
        <v>0</v>
      </c>
      <c r="E32" s="12">
        <f t="shared" si="7"/>
        <v>0</v>
      </c>
      <c r="F32" s="12">
        <f t="shared" si="8"/>
        <v>0</v>
      </c>
      <c r="G32" s="12">
        <f t="shared" si="8"/>
        <v>0</v>
      </c>
      <c r="H32" s="12">
        <f t="shared" si="8"/>
        <v>0</v>
      </c>
      <c r="I32" s="12">
        <f t="shared" si="8"/>
        <v>0</v>
      </c>
      <c r="J32" s="12">
        <f t="shared" si="8"/>
        <v>0</v>
      </c>
      <c r="K32" s="12">
        <f t="shared" si="8"/>
        <v>0</v>
      </c>
      <c r="L32" s="12">
        <f t="shared" si="8"/>
        <v>0</v>
      </c>
      <c r="M32" s="12">
        <f t="shared" si="8"/>
        <v>0</v>
      </c>
      <c r="N32" s="12">
        <f t="shared" si="8"/>
        <v>0</v>
      </c>
      <c r="O32" s="12">
        <f t="shared" si="8"/>
        <v>0</v>
      </c>
      <c r="P32" s="12">
        <f t="shared" si="8"/>
        <v>0</v>
      </c>
      <c r="Q32" s="12">
        <f t="shared" si="8"/>
        <v>0</v>
      </c>
      <c r="R32" s="12">
        <f t="shared" si="8"/>
        <v>0</v>
      </c>
      <c r="S32" s="12">
        <f t="shared" si="8"/>
        <v>0</v>
      </c>
      <c r="T32" s="12">
        <f t="shared" si="8"/>
        <v>0</v>
      </c>
      <c r="U32" s="12">
        <f t="shared" si="8"/>
        <v>0</v>
      </c>
      <c r="V32" s="12">
        <f t="shared" si="9"/>
        <v>277</v>
      </c>
      <c r="W32" s="12">
        <f t="shared" si="9"/>
        <v>0</v>
      </c>
      <c r="X32" s="12">
        <f t="shared" si="9"/>
        <v>0</v>
      </c>
      <c r="Y32" s="12">
        <f t="shared" si="9"/>
        <v>0</v>
      </c>
      <c r="Z32" s="12">
        <f t="shared" si="9"/>
        <v>0</v>
      </c>
      <c r="AA32" s="12">
        <f t="shared" si="9"/>
        <v>0</v>
      </c>
      <c r="AB32" s="12">
        <f t="shared" si="9"/>
        <v>0</v>
      </c>
      <c r="AC32" s="12">
        <f t="shared" si="9"/>
        <v>0</v>
      </c>
      <c r="AD32" s="12">
        <f t="shared" si="9"/>
        <v>0</v>
      </c>
      <c r="AE32" s="12">
        <f t="shared" si="9"/>
        <v>0</v>
      </c>
      <c r="AF32" s="12">
        <f t="shared" si="9"/>
        <v>0</v>
      </c>
      <c r="AG32" s="12">
        <f t="shared" si="9"/>
        <v>0</v>
      </c>
      <c r="AH32" s="12">
        <f t="shared" si="9"/>
        <v>0</v>
      </c>
      <c r="AI32" s="12">
        <f t="shared" si="9"/>
        <v>0</v>
      </c>
      <c r="AJ32" s="12">
        <f t="shared" si="9"/>
        <v>0</v>
      </c>
      <c r="AK32" s="12">
        <f t="shared" si="9"/>
        <v>0</v>
      </c>
      <c r="AL32" s="12">
        <f t="shared" si="9"/>
        <v>0</v>
      </c>
      <c r="AM32" s="12">
        <f t="shared" si="9"/>
        <v>0</v>
      </c>
      <c r="AN32" s="12">
        <f t="shared" si="9"/>
        <v>0</v>
      </c>
      <c r="AO32" s="12">
        <f t="shared" si="9"/>
        <v>0</v>
      </c>
      <c r="AP32" s="12">
        <f t="shared" si="9"/>
        <v>0</v>
      </c>
      <c r="AQ32" s="12">
        <f t="shared" si="10"/>
        <v>0</v>
      </c>
      <c r="AR32" s="12">
        <f t="shared" si="10"/>
        <v>0</v>
      </c>
      <c r="AS32" s="12">
        <f t="shared" si="10"/>
        <v>0</v>
      </c>
      <c r="AT32" s="12">
        <f t="shared" si="10"/>
        <v>0</v>
      </c>
      <c r="AU32" s="12"/>
      <c r="AV32" s="12">
        <f t="shared" si="11"/>
        <v>35</v>
      </c>
    </row>
    <row r="33" spans="2:48">
      <c r="B33" s="12" t="s">
        <v>953</v>
      </c>
      <c r="C33" s="12">
        <f t="shared" si="7"/>
        <v>35</v>
      </c>
      <c r="D33" s="12">
        <f t="shared" si="7"/>
        <v>0</v>
      </c>
      <c r="E33" s="12">
        <f t="shared" si="7"/>
        <v>0</v>
      </c>
      <c r="F33" s="12">
        <f t="shared" si="8"/>
        <v>0</v>
      </c>
      <c r="G33" s="12">
        <f t="shared" si="8"/>
        <v>0</v>
      </c>
      <c r="H33" s="12">
        <f t="shared" si="8"/>
        <v>0</v>
      </c>
      <c r="I33" s="12">
        <f t="shared" si="8"/>
        <v>0</v>
      </c>
      <c r="J33" s="12">
        <f t="shared" si="8"/>
        <v>0</v>
      </c>
      <c r="K33" s="12">
        <f t="shared" si="8"/>
        <v>0</v>
      </c>
      <c r="L33" s="12">
        <f t="shared" si="8"/>
        <v>0</v>
      </c>
      <c r="M33" s="12">
        <f t="shared" si="8"/>
        <v>0</v>
      </c>
      <c r="N33" s="12">
        <f t="shared" si="8"/>
        <v>0</v>
      </c>
      <c r="O33" s="12">
        <f t="shared" si="8"/>
        <v>0</v>
      </c>
      <c r="P33" s="12">
        <f t="shared" si="8"/>
        <v>0</v>
      </c>
      <c r="Q33" s="12">
        <f t="shared" si="8"/>
        <v>0</v>
      </c>
      <c r="R33" s="12">
        <f t="shared" si="8"/>
        <v>0</v>
      </c>
      <c r="S33" s="12">
        <f t="shared" si="8"/>
        <v>0</v>
      </c>
      <c r="T33" s="12">
        <f t="shared" si="8"/>
        <v>0</v>
      </c>
      <c r="U33" s="12">
        <f t="shared" si="8"/>
        <v>0</v>
      </c>
      <c r="V33" s="12">
        <f t="shared" si="9"/>
        <v>0</v>
      </c>
      <c r="W33" s="12">
        <f t="shared" si="9"/>
        <v>0</v>
      </c>
      <c r="X33" s="12">
        <f t="shared" si="9"/>
        <v>334</v>
      </c>
      <c r="Y33" s="12">
        <f t="shared" si="9"/>
        <v>0</v>
      </c>
      <c r="Z33" s="12">
        <f t="shared" si="9"/>
        <v>0</v>
      </c>
      <c r="AA33" s="12">
        <f t="shared" si="9"/>
        <v>0</v>
      </c>
      <c r="AB33" s="12">
        <f t="shared" si="9"/>
        <v>0</v>
      </c>
      <c r="AC33" s="12">
        <f t="shared" si="9"/>
        <v>0</v>
      </c>
      <c r="AD33" s="12">
        <f t="shared" si="9"/>
        <v>0</v>
      </c>
      <c r="AE33" s="12">
        <f t="shared" si="9"/>
        <v>0</v>
      </c>
      <c r="AF33" s="12">
        <f t="shared" si="9"/>
        <v>0</v>
      </c>
      <c r="AG33" s="12">
        <f t="shared" si="9"/>
        <v>0</v>
      </c>
      <c r="AH33" s="12">
        <f t="shared" si="9"/>
        <v>0</v>
      </c>
      <c r="AI33" s="12">
        <f t="shared" si="9"/>
        <v>0</v>
      </c>
      <c r="AJ33" s="12">
        <f t="shared" si="9"/>
        <v>0</v>
      </c>
      <c r="AK33" s="12">
        <f t="shared" si="9"/>
        <v>0</v>
      </c>
      <c r="AL33" s="12">
        <f t="shared" si="9"/>
        <v>0</v>
      </c>
      <c r="AM33" s="12">
        <f t="shared" si="9"/>
        <v>0</v>
      </c>
      <c r="AN33" s="12">
        <f t="shared" si="9"/>
        <v>0</v>
      </c>
      <c r="AO33" s="12">
        <f t="shared" si="9"/>
        <v>0</v>
      </c>
      <c r="AP33" s="12">
        <f t="shared" si="9"/>
        <v>0</v>
      </c>
      <c r="AQ33" s="12">
        <f t="shared" si="10"/>
        <v>0</v>
      </c>
      <c r="AR33" s="12">
        <f t="shared" si="10"/>
        <v>0</v>
      </c>
      <c r="AS33" s="12">
        <f t="shared" si="10"/>
        <v>0</v>
      </c>
      <c r="AT33" s="12">
        <f t="shared" si="10"/>
        <v>0</v>
      </c>
      <c r="AU33" s="12"/>
      <c r="AV33" s="12">
        <f t="shared" si="11"/>
        <v>35</v>
      </c>
    </row>
    <row r="34" spans="2:48">
      <c r="B34" s="12" t="s">
        <v>954</v>
      </c>
      <c r="C34" s="12">
        <f t="shared" si="7"/>
        <v>171</v>
      </c>
      <c r="D34" s="12">
        <f t="shared" si="7"/>
        <v>0</v>
      </c>
      <c r="E34" s="12">
        <f t="shared" si="7"/>
        <v>0</v>
      </c>
      <c r="F34" s="12">
        <f t="shared" si="8"/>
        <v>0</v>
      </c>
      <c r="G34" s="12">
        <f t="shared" si="8"/>
        <v>0</v>
      </c>
      <c r="H34" s="12">
        <f t="shared" si="8"/>
        <v>0</v>
      </c>
      <c r="I34" s="12">
        <f t="shared" si="8"/>
        <v>0</v>
      </c>
      <c r="J34" s="12">
        <f t="shared" si="8"/>
        <v>0</v>
      </c>
      <c r="K34" s="12">
        <f t="shared" si="8"/>
        <v>0</v>
      </c>
      <c r="L34" s="12">
        <f t="shared" si="8"/>
        <v>0</v>
      </c>
      <c r="M34" s="12">
        <f t="shared" si="8"/>
        <v>0</v>
      </c>
      <c r="N34" s="12">
        <f t="shared" si="8"/>
        <v>0</v>
      </c>
      <c r="O34" s="12">
        <f t="shared" si="8"/>
        <v>0</v>
      </c>
      <c r="P34" s="12">
        <f t="shared" si="8"/>
        <v>0</v>
      </c>
      <c r="Q34" s="12">
        <f t="shared" si="8"/>
        <v>0</v>
      </c>
      <c r="R34" s="12">
        <f t="shared" si="8"/>
        <v>0</v>
      </c>
      <c r="S34" s="12">
        <f t="shared" si="8"/>
        <v>0</v>
      </c>
      <c r="T34" s="12">
        <f t="shared" si="8"/>
        <v>0</v>
      </c>
      <c r="U34" s="12">
        <f t="shared" si="8"/>
        <v>0</v>
      </c>
      <c r="V34" s="12">
        <f t="shared" si="9"/>
        <v>0</v>
      </c>
      <c r="W34" s="12">
        <f t="shared" si="9"/>
        <v>453</v>
      </c>
      <c r="X34" s="12">
        <f t="shared" si="9"/>
        <v>0</v>
      </c>
      <c r="Y34" s="12">
        <f t="shared" si="9"/>
        <v>260</v>
      </c>
      <c r="Z34" s="12">
        <f t="shared" si="9"/>
        <v>750</v>
      </c>
      <c r="AA34" s="12">
        <f t="shared" si="9"/>
        <v>0</v>
      </c>
      <c r="AB34" s="12">
        <f t="shared" si="9"/>
        <v>0</v>
      </c>
      <c r="AC34" s="12">
        <f t="shared" si="9"/>
        <v>368</v>
      </c>
      <c r="AD34" s="12">
        <f t="shared" si="9"/>
        <v>0</v>
      </c>
      <c r="AE34" s="12">
        <f t="shared" si="9"/>
        <v>0</v>
      </c>
      <c r="AF34" s="12">
        <f t="shared" si="9"/>
        <v>0</v>
      </c>
      <c r="AG34" s="12">
        <f t="shared" si="9"/>
        <v>0</v>
      </c>
      <c r="AH34" s="12">
        <f t="shared" si="9"/>
        <v>0</v>
      </c>
      <c r="AI34" s="12">
        <f t="shared" si="9"/>
        <v>0</v>
      </c>
      <c r="AJ34" s="12">
        <f t="shared" si="9"/>
        <v>0</v>
      </c>
      <c r="AK34" s="12">
        <f t="shared" si="9"/>
        <v>0</v>
      </c>
      <c r="AL34" s="12">
        <f t="shared" si="9"/>
        <v>0</v>
      </c>
      <c r="AM34" s="12">
        <f t="shared" si="9"/>
        <v>0</v>
      </c>
      <c r="AN34" s="12">
        <f t="shared" si="9"/>
        <v>0</v>
      </c>
      <c r="AO34" s="12">
        <f t="shared" si="9"/>
        <v>0</v>
      </c>
      <c r="AP34" s="12">
        <f t="shared" si="9"/>
        <v>0</v>
      </c>
      <c r="AQ34" s="12">
        <f t="shared" si="10"/>
        <v>0</v>
      </c>
      <c r="AR34" s="12">
        <f t="shared" si="10"/>
        <v>0</v>
      </c>
      <c r="AS34" s="12">
        <f t="shared" si="10"/>
        <v>755</v>
      </c>
      <c r="AT34" s="12">
        <f t="shared" si="10"/>
        <v>0</v>
      </c>
      <c r="AU34" s="12"/>
      <c r="AV34" s="12">
        <f t="shared" si="11"/>
        <v>171</v>
      </c>
    </row>
    <row r="35" spans="2:48">
      <c r="B35" s="12" t="s">
        <v>956</v>
      </c>
      <c r="C35" s="12">
        <f t="shared" si="7"/>
        <v>69</v>
      </c>
      <c r="D35" s="12">
        <f t="shared" si="7"/>
        <v>0</v>
      </c>
      <c r="E35" s="12">
        <f t="shared" si="7"/>
        <v>0</v>
      </c>
      <c r="F35" s="12">
        <f t="shared" si="8"/>
        <v>0</v>
      </c>
      <c r="G35" s="12">
        <f t="shared" si="8"/>
        <v>0</v>
      </c>
      <c r="H35" s="12">
        <f t="shared" si="8"/>
        <v>0</v>
      </c>
      <c r="I35" s="12">
        <f t="shared" si="8"/>
        <v>0</v>
      </c>
      <c r="J35" s="12">
        <f t="shared" si="8"/>
        <v>0</v>
      </c>
      <c r="K35" s="12">
        <f t="shared" si="8"/>
        <v>0</v>
      </c>
      <c r="L35" s="12">
        <f t="shared" si="8"/>
        <v>0</v>
      </c>
      <c r="M35" s="12">
        <f t="shared" si="8"/>
        <v>0</v>
      </c>
      <c r="N35" s="12">
        <f t="shared" si="8"/>
        <v>0</v>
      </c>
      <c r="O35" s="12">
        <f t="shared" si="8"/>
        <v>0</v>
      </c>
      <c r="P35" s="12">
        <f t="shared" si="8"/>
        <v>0</v>
      </c>
      <c r="Q35" s="12">
        <f t="shared" si="8"/>
        <v>0</v>
      </c>
      <c r="R35" s="12">
        <f t="shared" si="8"/>
        <v>0</v>
      </c>
      <c r="S35" s="12">
        <f t="shared" si="8"/>
        <v>0</v>
      </c>
      <c r="T35" s="12">
        <f t="shared" si="8"/>
        <v>0</v>
      </c>
      <c r="U35" s="12">
        <f t="shared" si="8"/>
        <v>0</v>
      </c>
      <c r="V35" s="12">
        <f t="shared" si="9"/>
        <v>0</v>
      </c>
      <c r="W35" s="12">
        <f t="shared" si="9"/>
        <v>0</v>
      </c>
      <c r="X35" s="12">
        <f t="shared" si="9"/>
        <v>0</v>
      </c>
      <c r="Y35" s="12">
        <f t="shared" si="9"/>
        <v>260</v>
      </c>
      <c r="Z35" s="12">
        <f t="shared" si="9"/>
        <v>0</v>
      </c>
      <c r="AA35" s="12">
        <f t="shared" si="9"/>
        <v>321</v>
      </c>
      <c r="AB35" s="12">
        <f t="shared" si="9"/>
        <v>0</v>
      </c>
      <c r="AC35" s="12">
        <f t="shared" si="9"/>
        <v>0</v>
      </c>
      <c r="AD35" s="12">
        <f t="shared" si="9"/>
        <v>0</v>
      </c>
      <c r="AE35" s="12">
        <f t="shared" si="9"/>
        <v>0</v>
      </c>
      <c r="AF35" s="12">
        <f t="shared" si="9"/>
        <v>0</v>
      </c>
      <c r="AG35" s="12">
        <f t="shared" si="9"/>
        <v>0</v>
      </c>
      <c r="AH35" s="12">
        <f t="shared" si="9"/>
        <v>0</v>
      </c>
      <c r="AI35" s="12">
        <f t="shared" si="9"/>
        <v>0</v>
      </c>
      <c r="AJ35" s="12">
        <f t="shared" si="9"/>
        <v>0</v>
      </c>
      <c r="AK35" s="12">
        <f t="shared" si="9"/>
        <v>0</v>
      </c>
      <c r="AL35" s="12">
        <f t="shared" si="9"/>
        <v>0</v>
      </c>
      <c r="AM35" s="12">
        <f t="shared" si="9"/>
        <v>0</v>
      </c>
      <c r="AN35" s="12">
        <f t="shared" si="9"/>
        <v>0</v>
      </c>
      <c r="AO35" s="12">
        <f t="shared" si="9"/>
        <v>0</v>
      </c>
      <c r="AP35" s="12">
        <f t="shared" si="9"/>
        <v>0</v>
      </c>
      <c r="AQ35" s="12">
        <f t="shared" si="10"/>
        <v>0</v>
      </c>
      <c r="AR35" s="12">
        <f t="shared" si="10"/>
        <v>0</v>
      </c>
      <c r="AS35" s="12">
        <f t="shared" si="10"/>
        <v>0</v>
      </c>
      <c r="AT35" s="12">
        <f t="shared" si="10"/>
        <v>0</v>
      </c>
      <c r="AU35" s="12"/>
      <c r="AV35" s="12">
        <f t="shared" si="11"/>
        <v>69</v>
      </c>
    </row>
    <row r="36" spans="2:48">
      <c r="B36" s="12" t="s">
        <v>992</v>
      </c>
      <c r="C36" s="12">
        <f t="shared" si="7"/>
        <v>0</v>
      </c>
      <c r="D36" s="12">
        <f t="shared" si="7"/>
        <v>0</v>
      </c>
      <c r="E36" s="12">
        <f t="shared" si="7"/>
        <v>0</v>
      </c>
      <c r="F36" s="12">
        <f t="shared" si="8"/>
        <v>0</v>
      </c>
      <c r="G36" s="12">
        <f t="shared" si="8"/>
        <v>0</v>
      </c>
      <c r="H36" s="12">
        <f t="shared" si="8"/>
        <v>0</v>
      </c>
      <c r="I36" s="12">
        <f t="shared" si="8"/>
        <v>0</v>
      </c>
      <c r="J36" s="12">
        <f t="shared" si="8"/>
        <v>0</v>
      </c>
      <c r="K36" s="12">
        <f t="shared" si="8"/>
        <v>0</v>
      </c>
      <c r="L36" s="12">
        <f t="shared" si="8"/>
        <v>0</v>
      </c>
      <c r="M36" s="12">
        <f t="shared" si="8"/>
        <v>0</v>
      </c>
      <c r="N36" s="12">
        <f t="shared" si="8"/>
        <v>0</v>
      </c>
      <c r="O36" s="12">
        <f t="shared" si="8"/>
        <v>0</v>
      </c>
      <c r="P36" s="12">
        <f t="shared" si="8"/>
        <v>0</v>
      </c>
      <c r="Q36" s="12">
        <f t="shared" si="8"/>
        <v>0</v>
      </c>
      <c r="R36" s="12">
        <f t="shared" si="8"/>
        <v>0</v>
      </c>
      <c r="S36" s="12">
        <f t="shared" si="8"/>
        <v>0</v>
      </c>
      <c r="T36" s="12">
        <f t="shared" si="8"/>
        <v>0</v>
      </c>
      <c r="U36" s="12">
        <f t="shared" si="8"/>
        <v>0</v>
      </c>
      <c r="V36" s="12">
        <f t="shared" si="9"/>
        <v>0</v>
      </c>
      <c r="W36" s="12">
        <f t="shared" si="9"/>
        <v>0</v>
      </c>
      <c r="X36" s="12">
        <f t="shared" si="9"/>
        <v>0</v>
      </c>
      <c r="Y36" s="12">
        <f t="shared" si="9"/>
        <v>0</v>
      </c>
      <c r="Z36" s="12">
        <f t="shared" si="9"/>
        <v>0</v>
      </c>
      <c r="AA36" s="12">
        <f t="shared" si="9"/>
        <v>0</v>
      </c>
      <c r="AB36" s="12">
        <f t="shared" si="9"/>
        <v>0</v>
      </c>
      <c r="AC36" s="12">
        <f t="shared" si="9"/>
        <v>0</v>
      </c>
      <c r="AD36" s="12">
        <f t="shared" si="9"/>
        <v>0</v>
      </c>
      <c r="AE36" s="12">
        <f t="shared" si="9"/>
        <v>0</v>
      </c>
      <c r="AF36" s="12">
        <f t="shared" si="9"/>
        <v>0</v>
      </c>
      <c r="AG36" s="12">
        <f t="shared" si="9"/>
        <v>0</v>
      </c>
      <c r="AH36" s="12">
        <f t="shared" si="9"/>
        <v>0</v>
      </c>
      <c r="AI36" s="12">
        <f t="shared" si="9"/>
        <v>0</v>
      </c>
      <c r="AJ36" s="12">
        <f t="shared" si="9"/>
        <v>0</v>
      </c>
      <c r="AK36" s="12">
        <f t="shared" si="9"/>
        <v>0</v>
      </c>
      <c r="AL36" s="12">
        <f t="shared" si="9"/>
        <v>0</v>
      </c>
      <c r="AM36" s="12">
        <f t="shared" si="9"/>
        <v>0</v>
      </c>
      <c r="AN36" s="12">
        <f t="shared" si="9"/>
        <v>0</v>
      </c>
      <c r="AO36" s="12">
        <f t="shared" si="9"/>
        <v>0</v>
      </c>
      <c r="AP36" s="12">
        <f t="shared" si="9"/>
        <v>0</v>
      </c>
      <c r="AQ36" s="12">
        <f t="shared" si="10"/>
        <v>0</v>
      </c>
      <c r="AR36" s="12">
        <f t="shared" si="10"/>
        <v>0</v>
      </c>
      <c r="AS36" s="12">
        <f t="shared" si="10"/>
        <v>0</v>
      </c>
      <c r="AT36" s="12">
        <f t="shared" si="10"/>
        <v>0</v>
      </c>
      <c r="AU36" s="12"/>
      <c r="AV36" s="12">
        <f t="shared" si="11"/>
        <v>0</v>
      </c>
    </row>
    <row r="37" spans="2:48">
      <c r="B37" s="12" t="s">
        <v>950</v>
      </c>
      <c r="C37" s="12">
        <f t="shared" si="7"/>
        <v>171</v>
      </c>
      <c r="D37" s="12">
        <f t="shared" si="7"/>
        <v>0</v>
      </c>
      <c r="E37" s="12">
        <f t="shared" si="7"/>
        <v>0</v>
      </c>
      <c r="F37" s="12">
        <f t="shared" si="8"/>
        <v>0</v>
      </c>
      <c r="G37" s="12">
        <f t="shared" si="8"/>
        <v>0</v>
      </c>
      <c r="H37" s="12">
        <f t="shared" si="8"/>
        <v>0</v>
      </c>
      <c r="I37" s="12">
        <f t="shared" si="8"/>
        <v>0</v>
      </c>
      <c r="J37" s="12">
        <f t="shared" si="8"/>
        <v>0</v>
      </c>
      <c r="K37" s="12">
        <f t="shared" si="8"/>
        <v>0</v>
      </c>
      <c r="L37" s="12">
        <f t="shared" si="8"/>
        <v>0</v>
      </c>
      <c r="M37" s="12">
        <f t="shared" si="8"/>
        <v>0</v>
      </c>
      <c r="N37" s="12">
        <f t="shared" si="8"/>
        <v>0</v>
      </c>
      <c r="O37" s="12">
        <f t="shared" si="8"/>
        <v>0</v>
      </c>
      <c r="P37" s="12">
        <f t="shared" si="8"/>
        <v>0</v>
      </c>
      <c r="Q37" s="12">
        <f t="shared" si="8"/>
        <v>0</v>
      </c>
      <c r="R37" s="12">
        <f t="shared" si="8"/>
        <v>0</v>
      </c>
      <c r="S37" s="12">
        <f t="shared" si="8"/>
        <v>0</v>
      </c>
      <c r="T37" s="12">
        <f t="shared" si="8"/>
        <v>0</v>
      </c>
      <c r="U37" s="12">
        <f t="shared" si="8"/>
        <v>408</v>
      </c>
      <c r="V37" s="12">
        <f t="shared" si="9"/>
        <v>0</v>
      </c>
      <c r="W37" s="12">
        <f t="shared" si="9"/>
        <v>0</v>
      </c>
      <c r="X37" s="12">
        <f t="shared" si="9"/>
        <v>334</v>
      </c>
      <c r="Y37" s="12">
        <f t="shared" si="9"/>
        <v>0</v>
      </c>
      <c r="Z37" s="12">
        <f t="shared" si="9"/>
        <v>0</v>
      </c>
      <c r="AA37" s="12">
        <f t="shared" si="9"/>
        <v>0</v>
      </c>
      <c r="AB37" s="12">
        <f t="shared" si="9"/>
        <v>0</v>
      </c>
      <c r="AC37" s="12">
        <f t="shared" si="9"/>
        <v>735</v>
      </c>
      <c r="AD37" s="12">
        <f t="shared" si="9"/>
        <v>0</v>
      </c>
      <c r="AE37" s="12">
        <f t="shared" si="9"/>
        <v>0</v>
      </c>
      <c r="AF37" s="12">
        <f t="shared" si="9"/>
        <v>0</v>
      </c>
      <c r="AG37" s="12">
        <f t="shared" si="9"/>
        <v>0</v>
      </c>
      <c r="AH37" s="12">
        <f t="shared" si="9"/>
        <v>0</v>
      </c>
      <c r="AI37" s="12">
        <f t="shared" si="9"/>
        <v>0</v>
      </c>
      <c r="AJ37" s="12">
        <f t="shared" si="9"/>
        <v>0</v>
      </c>
      <c r="AK37" s="12">
        <f t="shared" si="9"/>
        <v>0</v>
      </c>
      <c r="AL37" s="12">
        <f t="shared" si="9"/>
        <v>0</v>
      </c>
      <c r="AM37" s="12">
        <f t="shared" si="9"/>
        <v>0</v>
      </c>
      <c r="AN37" s="12">
        <f t="shared" si="9"/>
        <v>0</v>
      </c>
      <c r="AO37" s="12">
        <f t="shared" si="9"/>
        <v>0</v>
      </c>
      <c r="AP37" s="12">
        <f t="shared" si="9"/>
        <v>0</v>
      </c>
      <c r="AQ37" s="12">
        <f t="shared" si="10"/>
        <v>0</v>
      </c>
      <c r="AR37" s="12">
        <f>IFERROR(ROUNDUP(AR13/AR$4*10^6,0),0)</f>
        <v>3832</v>
      </c>
      <c r="AS37" s="12">
        <f t="shared" si="10"/>
        <v>0</v>
      </c>
      <c r="AT37" s="12">
        <f t="shared" si="10"/>
        <v>0</v>
      </c>
      <c r="AU37" s="12"/>
      <c r="AV37" s="12">
        <f t="shared" si="11"/>
        <v>171</v>
      </c>
    </row>
    <row r="38" spans="2:48">
      <c r="B38" s="12" t="s">
        <v>993</v>
      </c>
      <c r="C38" s="12">
        <f t="shared" si="7"/>
        <v>0</v>
      </c>
      <c r="D38" s="12">
        <f t="shared" si="7"/>
        <v>0</v>
      </c>
      <c r="E38" s="12">
        <f t="shared" si="7"/>
        <v>0</v>
      </c>
      <c r="F38" s="12">
        <f t="shared" si="8"/>
        <v>0</v>
      </c>
      <c r="G38" s="12">
        <f t="shared" si="8"/>
        <v>0</v>
      </c>
      <c r="H38" s="12">
        <f t="shared" si="8"/>
        <v>0</v>
      </c>
      <c r="I38" s="12">
        <f t="shared" si="8"/>
        <v>0</v>
      </c>
      <c r="J38" s="12">
        <f t="shared" si="8"/>
        <v>0</v>
      </c>
      <c r="K38" s="12">
        <f t="shared" si="8"/>
        <v>0</v>
      </c>
      <c r="L38" s="12">
        <f t="shared" si="8"/>
        <v>0</v>
      </c>
      <c r="M38" s="12">
        <f t="shared" si="8"/>
        <v>0</v>
      </c>
      <c r="N38" s="12">
        <f t="shared" si="8"/>
        <v>0</v>
      </c>
      <c r="O38" s="12">
        <f t="shared" si="8"/>
        <v>0</v>
      </c>
      <c r="P38" s="12">
        <f t="shared" si="8"/>
        <v>0</v>
      </c>
      <c r="Q38" s="12">
        <f t="shared" si="8"/>
        <v>0</v>
      </c>
      <c r="R38" s="12">
        <f t="shared" si="8"/>
        <v>0</v>
      </c>
      <c r="S38" s="12">
        <f t="shared" si="8"/>
        <v>0</v>
      </c>
      <c r="T38" s="12">
        <f t="shared" si="8"/>
        <v>0</v>
      </c>
      <c r="U38" s="12">
        <f t="shared" si="8"/>
        <v>0</v>
      </c>
      <c r="V38" s="12">
        <f t="shared" si="9"/>
        <v>0</v>
      </c>
      <c r="W38" s="12">
        <f t="shared" si="9"/>
        <v>0</v>
      </c>
      <c r="X38" s="12">
        <f t="shared" si="9"/>
        <v>0</v>
      </c>
      <c r="Y38" s="12">
        <f t="shared" si="9"/>
        <v>0</v>
      </c>
      <c r="Z38" s="12">
        <f t="shared" si="9"/>
        <v>0</v>
      </c>
      <c r="AA38" s="12">
        <f t="shared" si="9"/>
        <v>0</v>
      </c>
      <c r="AB38" s="12">
        <f t="shared" si="9"/>
        <v>0</v>
      </c>
      <c r="AC38" s="12">
        <f t="shared" si="9"/>
        <v>0</v>
      </c>
      <c r="AD38" s="12">
        <f t="shared" si="9"/>
        <v>0</v>
      </c>
      <c r="AE38" s="12">
        <f t="shared" si="9"/>
        <v>0</v>
      </c>
      <c r="AF38" s="12">
        <f t="shared" si="9"/>
        <v>0</v>
      </c>
      <c r="AG38" s="12">
        <f t="shared" si="9"/>
        <v>0</v>
      </c>
      <c r="AH38" s="12">
        <f t="shared" si="9"/>
        <v>0</v>
      </c>
      <c r="AI38" s="12">
        <f t="shared" si="9"/>
        <v>0</v>
      </c>
      <c r="AJ38" s="12">
        <f t="shared" si="9"/>
        <v>0</v>
      </c>
      <c r="AK38" s="12">
        <f t="shared" si="9"/>
        <v>0</v>
      </c>
      <c r="AL38" s="12">
        <f t="shared" si="9"/>
        <v>0</v>
      </c>
      <c r="AM38" s="12">
        <f t="shared" si="9"/>
        <v>0</v>
      </c>
      <c r="AN38" s="12">
        <f t="shared" si="9"/>
        <v>0</v>
      </c>
      <c r="AO38" s="12">
        <f t="shared" si="9"/>
        <v>0</v>
      </c>
      <c r="AP38" s="12">
        <f t="shared" si="9"/>
        <v>0</v>
      </c>
      <c r="AQ38" s="12">
        <f t="shared" si="10"/>
        <v>0</v>
      </c>
      <c r="AR38" s="12">
        <f t="shared" si="10"/>
        <v>0</v>
      </c>
      <c r="AS38" s="12">
        <f t="shared" si="10"/>
        <v>0</v>
      </c>
      <c r="AT38" s="12">
        <f t="shared" si="10"/>
        <v>0</v>
      </c>
      <c r="AU38" s="12"/>
      <c r="AV38" s="12">
        <f t="shared" si="11"/>
        <v>0</v>
      </c>
    </row>
    <row r="39" spans="2:48">
      <c r="B39" s="12" t="s">
        <v>949</v>
      </c>
      <c r="C39" s="12">
        <f t="shared" si="7"/>
        <v>342</v>
      </c>
      <c r="D39" s="12">
        <f t="shared" si="7"/>
        <v>0</v>
      </c>
      <c r="E39" s="12">
        <f t="shared" si="7"/>
        <v>0</v>
      </c>
      <c r="F39" s="12">
        <f t="shared" si="8"/>
        <v>0</v>
      </c>
      <c r="G39" s="12">
        <f t="shared" si="8"/>
        <v>0</v>
      </c>
      <c r="H39" s="12">
        <f t="shared" si="8"/>
        <v>0</v>
      </c>
      <c r="I39" s="12">
        <f t="shared" si="8"/>
        <v>0</v>
      </c>
      <c r="J39" s="12">
        <f t="shared" si="8"/>
        <v>0</v>
      </c>
      <c r="K39" s="12">
        <f t="shared" si="8"/>
        <v>0</v>
      </c>
      <c r="L39" s="12">
        <f t="shared" si="8"/>
        <v>0</v>
      </c>
      <c r="M39" s="12">
        <f t="shared" si="8"/>
        <v>0</v>
      </c>
      <c r="N39" s="12">
        <f t="shared" si="8"/>
        <v>0</v>
      </c>
      <c r="O39" s="12">
        <f t="shared" si="8"/>
        <v>0</v>
      </c>
      <c r="P39" s="12">
        <f t="shared" si="8"/>
        <v>0</v>
      </c>
      <c r="Q39" s="12">
        <f t="shared" si="8"/>
        <v>0</v>
      </c>
      <c r="R39" s="12">
        <f t="shared" si="8"/>
        <v>0</v>
      </c>
      <c r="S39" s="12">
        <f t="shared" si="8"/>
        <v>0</v>
      </c>
      <c r="T39" s="12">
        <f t="shared" si="8"/>
        <v>0</v>
      </c>
      <c r="U39" s="12">
        <f t="shared" si="8"/>
        <v>204</v>
      </c>
      <c r="V39" s="12">
        <f t="shared" si="9"/>
        <v>0</v>
      </c>
      <c r="W39" s="12">
        <f t="shared" si="9"/>
        <v>0</v>
      </c>
      <c r="X39" s="12">
        <f t="shared" si="9"/>
        <v>0</v>
      </c>
      <c r="Y39" s="12">
        <f t="shared" si="9"/>
        <v>519</v>
      </c>
      <c r="Z39" s="12">
        <f t="shared" si="9"/>
        <v>0</v>
      </c>
      <c r="AA39" s="12">
        <f t="shared" si="9"/>
        <v>962</v>
      </c>
      <c r="AB39" s="12">
        <f t="shared" si="9"/>
        <v>1014</v>
      </c>
      <c r="AC39" s="12">
        <f t="shared" si="9"/>
        <v>368</v>
      </c>
      <c r="AD39" s="12">
        <f t="shared" si="9"/>
        <v>0</v>
      </c>
      <c r="AE39" s="12">
        <f t="shared" si="9"/>
        <v>0</v>
      </c>
      <c r="AF39" s="12">
        <f t="shared" si="9"/>
        <v>0</v>
      </c>
      <c r="AG39" s="12">
        <f t="shared" si="9"/>
        <v>0</v>
      </c>
      <c r="AH39" s="12">
        <f t="shared" si="9"/>
        <v>0</v>
      </c>
      <c r="AI39" s="12">
        <f t="shared" si="9"/>
        <v>0</v>
      </c>
      <c r="AJ39" s="12">
        <f t="shared" si="9"/>
        <v>0</v>
      </c>
      <c r="AK39" s="12">
        <f t="shared" si="9"/>
        <v>0</v>
      </c>
      <c r="AL39" s="12">
        <f t="shared" si="9"/>
        <v>0</v>
      </c>
      <c r="AM39" s="12">
        <f t="shared" si="9"/>
        <v>0</v>
      </c>
      <c r="AN39" s="12">
        <f t="shared" si="9"/>
        <v>0</v>
      </c>
      <c r="AO39" s="12">
        <f t="shared" si="9"/>
        <v>0</v>
      </c>
      <c r="AP39" s="12">
        <f t="shared" si="9"/>
        <v>0</v>
      </c>
      <c r="AQ39" s="12">
        <f t="shared" si="10"/>
        <v>0</v>
      </c>
      <c r="AR39" s="12">
        <f t="shared" si="10"/>
        <v>0</v>
      </c>
      <c r="AS39" s="12">
        <f t="shared" si="10"/>
        <v>755</v>
      </c>
      <c r="AT39" s="12">
        <f t="shared" si="10"/>
        <v>0</v>
      </c>
      <c r="AU39" s="12"/>
      <c r="AV39" s="12">
        <f t="shared" si="11"/>
        <v>342</v>
      </c>
    </row>
    <row r="40" spans="2:48">
      <c r="B40" s="12" t="s">
        <v>28</v>
      </c>
      <c r="C40" s="12">
        <f t="shared" si="7"/>
        <v>582</v>
      </c>
      <c r="D40" s="12">
        <f t="shared" si="7"/>
        <v>0</v>
      </c>
      <c r="E40" s="12">
        <f t="shared" si="7"/>
        <v>0</v>
      </c>
      <c r="F40" s="12">
        <f t="shared" si="8"/>
        <v>0</v>
      </c>
      <c r="G40" s="12">
        <f t="shared" si="8"/>
        <v>0</v>
      </c>
      <c r="H40" s="12">
        <f t="shared" si="8"/>
        <v>0</v>
      </c>
      <c r="I40" s="12">
        <f t="shared" si="8"/>
        <v>0</v>
      </c>
      <c r="J40" s="12">
        <f t="shared" si="8"/>
        <v>0</v>
      </c>
      <c r="K40" s="12">
        <f t="shared" si="8"/>
        <v>0</v>
      </c>
      <c r="L40" s="12">
        <f t="shared" si="8"/>
        <v>0</v>
      </c>
      <c r="M40" s="12">
        <f t="shared" si="8"/>
        <v>0</v>
      </c>
      <c r="N40" s="12">
        <f t="shared" si="8"/>
        <v>0</v>
      </c>
      <c r="O40" s="12">
        <f t="shared" si="8"/>
        <v>0</v>
      </c>
      <c r="P40" s="12">
        <f t="shared" si="8"/>
        <v>0</v>
      </c>
      <c r="Q40" s="12">
        <f t="shared" si="8"/>
        <v>0</v>
      </c>
      <c r="R40" s="12">
        <f t="shared" si="8"/>
        <v>0</v>
      </c>
      <c r="S40" s="12">
        <f t="shared" si="8"/>
        <v>0</v>
      </c>
      <c r="T40" s="12">
        <f t="shared" si="8"/>
        <v>0</v>
      </c>
      <c r="U40" s="12">
        <f t="shared" si="8"/>
        <v>612</v>
      </c>
      <c r="V40" s="12">
        <f t="shared" si="9"/>
        <v>554</v>
      </c>
      <c r="W40" s="12">
        <f t="shared" si="9"/>
        <v>453</v>
      </c>
      <c r="X40" s="12">
        <f t="shared" si="9"/>
        <v>1001</v>
      </c>
      <c r="Y40" s="12">
        <f t="shared" si="9"/>
        <v>779</v>
      </c>
      <c r="Z40" s="12">
        <f t="shared" si="9"/>
        <v>1125</v>
      </c>
      <c r="AA40" s="12">
        <f t="shared" si="9"/>
        <v>0</v>
      </c>
      <c r="AB40" s="12">
        <f t="shared" si="9"/>
        <v>338</v>
      </c>
      <c r="AC40" s="12">
        <f t="shared" si="9"/>
        <v>368</v>
      </c>
      <c r="AD40" s="12">
        <f t="shared" si="9"/>
        <v>0</v>
      </c>
      <c r="AE40" s="12">
        <f t="shared" si="9"/>
        <v>0</v>
      </c>
      <c r="AF40" s="12">
        <f t="shared" si="9"/>
        <v>0</v>
      </c>
      <c r="AG40" s="12">
        <f t="shared" si="9"/>
        <v>0</v>
      </c>
      <c r="AH40" s="12">
        <f t="shared" si="9"/>
        <v>0</v>
      </c>
      <c r="AI40" s="12">
        <f t="shared" si="9"/>
        <v>0</v>
      </c>
      <c r="AJ40" s="12">
        <f t="shared" si="9"/>
        <v>0</v>
      </c>
      <c r="AK40" s="12">
        <f t="shared" si="9"/>
        <v>0</v>
      </c>
      <c r="AL40" s="12">
        <f t="shared" si="9"/>
        <v>0</v>
      </c>
      <c r="AM40" s="12">
        <f t="shared" si="9"/>
        <v>0</v>
      </c>
      <c r="AN40" s="12">
        <f t="shared" si="9"/>
        <v>0</v>
      </c>
      <c r="AO40" s="12">
        <f t="shared" si="9"/>
        <v>0</v>
      </c>
      <c r="AP40" s="12">
        <f t="shared" si="9"/>
        <v>0</v>
      </c>
      <c r="AQ40" s="12">
        <f t="shared" si="10"/>
        <v>0</v>
      </c>
      <c r="AR40" s="12">
        <f t="shared" si="10"/>
        <v>0</v>
      </c>
      <c r="AS40" s="12">
        <f t="shared" si="10"/>
        <v>755</v>
      </c>
      <c r="AT40" s="12">
        <f t="shared" si="10"/>
        <v>0</v>
      </c>
      <c r="AU40" s="12"/>
      <c r="AV40" s="12">
        <f t="shared" si="11"/>
        <v>582</v>
      </c>
    </row>
    <row r="41" spans="2:48">
      <c r="B41" s="12" t="s">
        <v>994</v>
      </c>
      <c r="C41" s="12">
        <f t="shared" si="7"/>
        <v>0</v>
      </c>
      <c r="D41" s="12">
        <f t="shared" si="7"/>
        <v>0</v>
      </c>
      <c r="E41" s="12">
        <f t="shared" si="7"/>
        <v>0</v>
      </c>
      <c r="F41" s="12">
        <f t="shared" si="8"/>
        <v>0</v>
      </c>
      <c r="G41" s="12">
        <f t="shared" si="8"/>
        <v>0</v>
      </c>
      <c r="H41" s="12">
        <f t="shared" si="8"/>
        <v>0</v>
      </c>
      <c r="I41" s="12">
        <f t="shared" si="8"/>
        <v>0</v>
      </c>
      <c r="J41" s="12">
        <f t="shared" si="8"/>
        <v>0</v>
      </c>
      <c r="K41" s="12">
        <f t="shared" si="8"/>
        <v>0</v>
      </c>
      <c r="L41" s="12">
        <f t="shared" si="8"/>
        <v>0</v>
      </c>
      <c r="M41" s="12">
        <f t="shared" si="8"/>
        <v>0</v>
      </c>
      <c r="N41" s="12">
        <f t="shared" si="8"/>
        <v>0</v>
      </c>
      <c r="O41" s="12">
        <f t="shared" si="8"/>
        <v>0</v>
      </c>
      <c r="P41" s="12">
        <f t="shared" si="8"/>
        <v>0</v>
      </c>
      <c r="Q41" s="12">
        <f t="shared" si="8"/>
        <v>0</v>
      </c>
      <c r="R41" s="12">
        <f t="shared" si="8"/>
        <v>0</v>
      </c>
      <c r="S41" s="12">
        <f t="shared" si="8"/>
        <v>0</v>
      </c>
      <c r="T41" s="12">
        <f t="shared" si="8"/>
        <v>0</v>
      </c>
      <c r="U41" s="12">
        <f t="shared" si="8"/>
        <v>0</v>
      </c>
      <c r="V41" s="12">
        <f t="shared" si="9"/>
        <v>0</v>
      </c>
      <c r="W41" s="12">
        <f t="shared" ref="G41:AU47" si="12">IFERROR(ROUNDUP(W17/W$4*10^6,0),0)</f>
        <v>0</v>
      </c>
      <c r="X41" s="12">
        <f t="shared" si="12"/>
        <v>0</v>
      </c>
      <c r="Y41" s="12">
        <f t="shared" si="12"/>
        <v>0</v>
      </c>
      <c r="Z41" s="12">
        <f t="shared" si="12"/>
        <v>0</v>
      </c>
      <c r="AA41" s="12">
        <f t="shared" si="12"/>
        <v>0</v>
      </c>
      <c r="AB41" s="12">
        <f t="shared" si="12"/>
        <v>0</v>
      </c>
      <c r="AC41" s="12">
        <f t="shared" si="12"/>
        <v>0</v>
      </c>
      <c r="AD41" s="12">
        <f t="shared" si="12"/>
        <v>0</v>
      </c>
      <c r="AE41" s="12">
        <f t="shared" si="12"/>
        <v>0</v>
      </c>
      <c r="AF41" s="12">
        <f t="shared" si="12"/>
        <v>0</v>
      </c>
      <c r="AG41" s="12">
        <f t="shared" si="12"/>
        <v>0</v>
      </c>
      <c r="AH41" s="12">
        <f t="shared" si="12"/>
        <v>0</v>
      </c>
      <c r="AI41" s="12">
        <f t="shared" si="12"/>
        <v>0</v>
      </c>
      <c r="AJ41" s="12">
        <f t="shared" si="12"/>
        <v>0</v>
      </c>
      <c r="AK41" s="12">
        <f t="shared" si="12"/>
        <v>0</v>
      </c>
      <c r="AL41" s="12">
        <f t="shared" si="12"/>
        <v>0</v>
      </c>
      <c r="AM41" s="12">
        <f t="shared" si="12"/>
        <v>0</v>
      </c>
      <c r="AN41" s="12">
        <f t="shared" si="12"/>
        <v>0</v>
      </c>
      <c r="AO41" s="12">
        <f t="shared" si="12"/>
        <v>0</v>
      </c>
      <c r="AP41" s="12">
        <f t="shared" si="12"/>
        <v>0</v>
      </c>
      <c r="AQ41" s="12">
        <f t="shared" si="12"/>
        <v>0</v>
      </c>
      <c r="AR41" s="12">
        <f t="shared" si="12"/>
        <v>0</v>
      </c>
      <c r="AS41" s="12">
        <f t="shared" si="12"/>
        <v>0</v>
      </c>
      <c r="AT41" s="12">
        <f t="shared" si="12"/>
        <v>0</v>
      </c>
      <c r="AU41" s="12"/>
      <c r="AV41" s="12">
        <f t="shared" si="11"/>
        <v>0</v>
      </c>
    </row>
    <row r="42" spans="2:48">
      <c r="B42" s="12" t="s">
        <v>891</v>
      </c>
      <c r="C42" s="12">
        <f t="shared" si="7"/>
        <v>171</v>
      </c>
      <c r="D42" s="12">
        <f t="shared" si="7"/>
        <v>0</v>
      </c>
      <c r="E42" s="12">
        <f t="shared" si="7"/>
        <v>0</v>
      </c>
      <c r="F42" s="12">
        <f t="shared" si="8"/>
        <v>0</v>
      </c>
      <c r="G42" s="12">
        <f t="shared" si="12"/>
        <v>0</v>
      </c>
      <c r="H42" s="12">
        <f t="shared" si="12"/>
        <v>0</v>
      </c>
      <c r="I42" s="12">
        <f t="shared" si="12"/>
        <v>0</v>
      </c>
      <c r="J42" s="12">
        <f t="shared" si="12"/>
        <v>0</v>
      </c>
      <c r="K42" s="12">
        <f t="shared" si="12"/>
        <v>0</v>
      </c>
      <c r="L42" s="12">
        <f t="shared" si="12"/>
        <v>0</v>
      </c>
      <c r="M42" s="12">
        <f t="shared" si="12"/>
        <v>0</v>
      </c>
      <c r="N42" s="12">
        <f t="shared" si="12"/>
        <v>0</v>
      </c>
      <c r="O42" s="12">
        <f t="shared" si="12"/>
        <v>0</v>
      </c>
      <c r="P42" s="12">
        <f t="shared" si="12"/>
        <v>0</v>
      </c>
      <c r="Q42" s="12">
        <f t="shared" si="12"/>
        <v>0</v>
      </c>
      <c r="R42" s="12">
        <f t="shared" si="12"/>
        <v>0</v>
      </c>
      <c r="S42" s="12">
        <f t="shared" si="12"/>
        <v>0</v>
      </c>
      <c r="T42" s="12">
        <f t="shared" si="12"/>
        <v>0</v>
      </c>
      <c r="U42" s="12">
        <f t="shared" si="12"/>
        <v>0</v>
      </c>
      <c r="V42" s="12">
        <f t="shared" si="12"/>
        <v>0</v>
      </c>
      <c r="W42" s="12">
        <f t="shared" si="12"/>
        <v>453</v>
      </c>
      <c r="X42" s="12">
        <f t="shared" si="12"/>
        <v>0</v>
      </c>
      <c r="Y42" s="12">
        <f t="shared" si="12"/>
        <v>0</v>
      </c>
      <c r="Z42" s="12">
        <f t="shared" si="12"/>
        <v>1125</v>
      </c>
      <c r="AA42" s="12">
        <f t="shared" si="12"/>
        <v>0</v>
      </c>
      <c r="AB42" s="12">
        <f t="shared" si="12"/>
        <v>338</v>
      </c>
      <c r="AC42" s="12">
        <f t="shared" si="12"/>
        <v>0</v>
      </c>
      <c r="AD42" s="12">
        <f t="shared" si="12"/>
        <v>0</v>
      </c>
      <c r="AE42" s="12">
        <f t="shared" si="12"/>
        <v>0</v>
      </c>
      <c r="AF42" s="12">
        <f t="shared" si="12"/>
        <v>0</v>
      </c>
      <c r="AG42" s="12">
        <f t="shared" si="12"/>
        <v>0</v>
      </c>
      <c r="AH42" s="12">
        <f t="shared" si="12"/>
        <v>0</v>
      </c>
      <c r="AI42" s="12">
        <f t="shared" si="12"/>
        <v>0</v>
      </c>
      <c r="AJ42" s="12">
        <f t="shared" si="12"/>
        <v>0</v>
      </c>
      <c r="AK42" s="12">
        <f t="shared" si="12"/>
        <v>0</v>
      </c>
      <c r="AL42" s="12">
        <f t="shared" si="12"/>
        <v>0</v>
      </c>
      <c r="AM42" s="12">
        <f t="shared" si="12"/>
        <v>0</v>
      </c>
      <c r="AN42" s="12">
        <f t="shared" si="12"/>
        <v>0</v>
      </c>
      <c r="AO42" s="12">
        <f t="shared" si="12"/>
        <v>0</v>
      </c>
      <c r="AP42" s="12">
        <f t="shared" si="12"/>
        <v>0</v>
      </c>
      <c r="AQ42" s="12">
        <f t="shared" si="12"/>
        <v>0</v>
      </c>
      <c r="AR42" s="12">
        <f t="shared" si="12"/>
        <v>0</v>
      </c>
      <c r="AS42" s="12">
        <f t="shared" si="12"/>
        <v>0</v>
      </c>
      <c r="AT42" s="12">
        <f t="shared" si="12"/>
        <v>0</v>
      </c>
      <c r="AU42" s="12"/>
      <c r="AV42" s="12">
        <f t="shared" si="11"/>
        <v>171</v>
      </c>
    </row>
    <row r="43" spans="2:48">
      <c r="B43" s="12" t="s">
        <v>995</v>
      </c>
      <c r="C43" s="12">
        <f t="shared" si="7"/>
        <v>0</v>
      </c>
      <c r="D43" s="12">
        <f t="shared" si="7"/>
        <v>0</v>
      </c>
      <c r="E43" s="12">
        <f t="shared" si="7"/>
        <v>0</v>
      </c>
      <c r="F43" s="12">
        <f t="shared" si="8"/>
        <v>0</v>
      </c>
      <c r="G43" s="12">
        <f t="shared" si="12"/>
        <v>0</v>
      </c>
      <c r="H43" s="12">
        <f t="shared" si="12"/>
        <v>0</v>
      </c>
      <c r="I43" s="12">
        <f t="shared" si="12"/>
        <v>0</v>
      </c>
      <c r="J43" s="12">
        <f t="shared" si="12"/>
        <v>0</v>
      </c>
      <c r="K43" s="12">
        <f t="shared" si="12"/>
        <v>0</v>
      </c>
      <c r="L43" s="12">
        <f t="shared" si="12"/>
        <v>0</v>
      </c>
      <c r="M43" s="12">
        <f t="shared" si="12"/>
        <v>0</v>
      </c>
      <c r="N43" s="12">
        <f t="shared" si="12"/>
        <v>0</v>
      </c>
      <c r="O43" s="12">
        <f t="shared" si="12"/>
        <v>0</v>
      </c>
      <c r="P43" s="12">
        <f t="shared" si="12"/>
        <v>0</v>
      </c>
      <c r="Q43" s="12">
        <f t="shared" si="12"/>
        <v>0</v>
      </c>
      <c r="R43" s="12">
        <f t="shared" si="12"/>
        <v>0</v>
      </c>
      <c r="S43" s="12">
        <f t="shared" si="12"/>
        <v>0</v>
      </c>
      <c r="T43" s="12">
        <f t="shared" si="12"/>
        <v>0</v>
      </c>
      <c r="U43" s="12">
        <f t="shared" si="12"/>
        <v>0</v>
      </c>
      <c r="V43" s="12">
        <f t="shared" si="12"/>
        <v>0</v>
      </c>
      <c r="W43" s="12">
        <f t="shared" si="12"/>
        <v>0</v>
      </c>
      <c r="X43" s="12">
        <f t="shared" si="12"/>
        <v>0</v>
      </c>
      <c r="Y43" s="12">
        <f t="shared" si="12"/>
        <v>0</v>
      </c>
      <c r="Z43" s="12">
        <f t="shared" si="12"/>
        <v>0</v>
      </c>
      <c r="AA43" s="12">
        <f t="shared" si="12"/>
        <v>0</v>
      </c>
      <c r="AB43" s="12">
        <f t="shared" si="12"/>
        <v>0</v>
      </c>
      <c r="AC43" s="12">
        <f t="shared" si="12"/>
        <v>0</v>
      </c>
      <c r="AD43" s="12">
        <f t="shared" si="12"/>
        <v>0</v>
      </c>
      <c r="AE43" s="12">
        <f t="shared" si="12"/>
        <v>0</v>
      </c>
      <c r="AF43" s="12">
        <f t="shared" si="12"/>
        <v>0</v>
      </c>
      <c r="AG43" s="12">
        <f t="shared" si="12"/>
        <v>0</v>
      </c>
      <c r="AH43" s="12">
        <f t="shared" si="12"/>
        <v>0</v>
      </c>
      <c r="AI43" s="12">
        <f t="shared" si="12"/>
        <v>0</v>
      </c>
      <c r="AJ43" s="12">
        <f t="shared" si="12"/>
        <v>0</v>
      </c>
      <c r="AK43" s="12">
        <f t="shared" si="12"/>
        <v>0</v>
      </c>
      <c r="AL43" s="12">
        <f t="shared" si="12"/>
        <v>0</v>
      </c>
      <c r="AM43" s="12">
        <f t="shared" si="12"/>
        <v>0</v>
      </c>
      <c r="AN43" s="12">
        <f t="shared" si="12"/>
        <v>0</v>
      </c>
      <c r="AO43" s="12">
        <f t="shared" si="12"/>
        <v>0</v>
      </c>
      <c r="AP43" s="12">
        <f t="shared" si="12"/>
        <v>0</v>
      </c>
      <c r="AQ43" s="12">
        <f t="shared" si="12"/>
        <v>0</v>
      </c>
      <c r="AR43" s="12">
        <f t="shared" si="12"/>
        <v>0</v>
      </c>
      <c r="AS43" s="12">
        <f t="shared" si="12"/>
        <v>0</v>
      </c>
      <c r="AT43" s="12">
        <f t="shared" si="12"/>
        <v>0</v>
      </c>
      <c r="AU43" s="12"/>
      <c r="AV43" s="12">
        <f t="shared" si="11"/>
        <v>0</v>
      </c>
    </row>
    <row r="44" spans="2:48">
      <c r="B44" s="12" t="s">
        <v>952</v>
      </c>
      <c r="C44" s="12">
        <f t="shared" si="7"/>
        <v>0</v>
      </c>
      <c r="D44" s="12">
        <f t="shared" si="7"/>
        <v>0</v>
      </c>
      <c r="E44" s="12">
        <f t="shared" si="7"/>
        <v>0</v>
      </c>
      <c r="F44" s="12">
        <f t="shared" si="8"/>
        <v>0</v>
      </c>
      <c r="G44" s="12">
        <f t="shared" si="12"/>
        <v>0</v>
      </c>
      <c r="H44" s="12">
        <f t="shared" si="12"/>
        <v>0</v>
      </c>
      <c r="I44" s="12">
        <f t="shared" si="12"/>
        <v>0</v>
      </c>
      <c r="J44" s="12">
        <f t="shared" si="12"/>
        <v>0</v>
      </c>
      <c r="K44" s="12">
        <f t="shared" si="12"/>
        <v>0</v>
      </c>
      <c r="L44" s="12">
        <f t="shared" si="12"/>
        <v>0</v>
      </c>
      <c r="M44" s="12">
        <f t="shared" si="12"/>
        <v>0</v>
      </c>
      <c r="N44" s="12">
        <f t="shared" si="12"/>
        <v>0</v>
      </c>
      <c r="O44" s="12">
        <f t="shared" si="12"/>
        <v>0</v>
      </c>
      <c r="P44" s="12">
        <f t="shared" si="12"/>
        <v>0</v>
      </c>
      <c r="Q44" s="12">
        <f t="shared" si="12"/>
        <v>0</v>
      </c>
      <c r="R44" s="12">
        <f t="shared" si="12"/>
        <v>0</v>
      </c>
      <c r="S44" s="12">
        <f t="shared" si="12"/>
        <v>0</v>
      </c>
      <c r="T44" s="12">
        <f t="shared" si="12"/>
        <v>0</v>
      </c>
      <c r="U44" s="12">
        <f t="shared" si="12"/>
        <v>0</v>
      </c>
      <c r="V44" s="12">
        <f t="shared" si="12"/>
        <v>0</v>
      </c>
      <c r="W44" s="12">
        <f t="shared" si="12"/>
        <v>0</v>
      </c>
      <c r="X44" s="12">
        <f t="shared" si="12"/>
        <v>0</v>
      </c>
      <c r="Y44" s="12">
        <f t="shared" si="12"/>
        <v>0</v>
      </c>
      <c r="Z44" s="12">
        <f t="shared" si="12"/>
        <v>0</v>
      </c>
      <c r="AA44" s="12">
        <f t="shared" si="12"/>
        <v>0</v>
      </c>
      <c r="AB44" s="12">
        <f t="shared" si="12"/>
        <v>0</v>
      </c>
      <c r="AC44" s="12">
        <f t="shared" si="12"/>
        <v>0</v>
      </c>
      <c r="AD44" s="12">
        <f t="shared" si="12"/>
        <v>0</v>
      </c>
      <c r="AE44" s="12">
        <f t="shared" si="12"/>
        <v>0</v>
      </c>
      <c r="AF44" s="12">
        <f t="shared" si="12"/>
        <v>0</v>
      </c>
      <c r="AG44" s="12">
        <f t="shared" si="12"/>
        <v>0</v>
      </c>
      <c r="AH44" s="12">
        <f t="shared" si="12"/>
        <v>0</v>
      </c>
      <c r="AI44" s="12">
        <f t="shared" si="12"/>
        <v>0</v>
      </c>
      <c r="AJ44" s="12">
        <f t="shared" si="12"/>
        <v>0</v>
      </c>
      <c r="AK44" s="12">
        <f t="shared" si="12"/>
        <v>0</v>
      </c>
      <c r="AL44" s="12">
        <f t="shared" si="12"/>
        <v>0</v>
      </c>
      <c r="AM44" s="12">
        <f t="shared" si="12"/>
        <v>0</v>
      </c>
      <c r="AN44" s="12">
        <f t="shared" si="12"/>
        <v>0</v>
      </c>
      <c r="AO44" s="12">
        <f t="shared" si="12"/>
        <v>0</v>
      </c>
      <c r="AP44" s="12">
        <f t="shared" si="12"/>
        <v>0</v>
      </c>
      <c r="AQ44" s="12">
        <f t="shared" si="12"/>
        <v>0</v>
      </c>
      <c r="AR44" s="12">
        <f t="shared" si="12"/>
        <v>0</v>
      </c>
      <c r="AS44" s="12">
        <f t="shared" si="12"/>
        <v>0</v>
      </c>
      <c r="AT44" s="12">
        <f t="shared" si="12"/>
        <v>0</v>
      </c>
      <c r="AU44" s="12"/>
      <c r="AV44" s="12">
        <f t="shared" si="11"/>
        <v>0</v>
      </c>
    </row>
    <row r="45" spans="2:48">
      <c r="B45" s="12" t="s">
        <v>948</v>
      </c>
      <c r="C45" s="12">
        <f t="shared" ref="C45:R48" si="13">IFERROR(ROUNDUP(C21/C$4*10^6,0),0)</f>
        <v>35</v>
      </c>
      <c r="D45" s="12">
        <f t="shared" si="13"/>
        <v>0</v>
      </c>
      <c r="E45" s="12">
        <f t="shared" si="13"/>
        <v>0</v>
      </c>
      <c r="F45" s="12">
        <f t="shared" si="13"/>
        <v>0</v>
      </c>
      <c r="G45" s="12">
        <f t="shared" si="12"/>
        <v>0</v>
      </c>
      <c r="H45" s="12">
        <f t="shared" si="12"/>
        <v>0</v>
      </c>
      <c r="I45" s="12">
        <f t="shared" si="12"/>
        <v>0</v>
      </c>
      <c r="J45" s="12">
        <f t="shared" si="12"/>
        <v>0</v>
      </c>
      <c r="K45" s="12">
        <f t="shared" si="12"/>
        <v>0</v>
      </c>
      <c r="L45" s="12">
        <f t="shared" si="12"/>
        <v>0</v>
      </c>
      <c r="M45" s="12">
        <f t="shared" si="12"/>
        <v>0</v>
      </c>
      <c r="N45" s="12">
        <f t="shared" si="12"/>
        <v>0</v>
      </c>
      <c r="O45" s="12">
        <f t="shared" si="12"/>
        <v>0</v>
      </c>
      <c r="P45" s="12">
        <f t="shared" si="12"/>
        <v>0</v>
      </c>
      <c r="Q45" s="12">
        <f t="shared" si="12"/>
        <v>0</v>
      </c>
      <c r="R45" s="12">
        <f t="shared" si="12"/>
        <v>0</v>
      </c>
      <c r="S45" s="12">
        <f t="shared" si="12"/>
        <v>0</v>
      </c>
      <c r="T45" s="12">
        <f t="shared" si="12"/>
        <v>0</v>
      </c>
      <c r="U45" s="12">
        <f t="shared" si="12"/>
        <v>204</v>
      </c>
      <c r="V45" s="12">
        <f t="shared" si="12"/>
        <v>0</v>
      </c>
      <c r="W45" s="12">
        <f t="shared" si="12"/>
        <v>0</v>
      </c>
      <c r="X45" s="12">
        <f t="shared" si="12"/>
        <v>0</v>
      </c>
      <c r="Y45" s="12">
        <f t="shared" si="12"/>
        <v>0</v>
      </c>
      <c r="Z45" s="12">
        <f t="shared" si="12"/>
        <v>0</v>
      </c>
      <c r="AA45" s="12">
        <f t="shared" si="12"/>
        <v>0</v>
      </c>
      <c r="AB45" s="12">
        <f t="shared" si="12"/>
        <v>0</v>
      </c>
      <c r="AC45" s="12">
        <f t="shared" si="12"/>
        <v>0</v>
      </c>
      <c r="AD45" s="12">
        <f t="shared" si="12"/>
        <v>0</v>
      </c>
      <c r="AE45" s="12">
        <f t="shared" si="12"/>
        <v>0</v>
      </c>
      <c r="AF45" s="12">
        <f t="shared" si="12"/>
        <v>0</v>
      </c>
      <c r="AG45" s="12">
        <f t="shared" si="12"/>
        <v>0</v>
      </c>
      <c r="AH45" s="12">
        <f t="shared" si="12"/>
        <v>0</v>
      </c>
      <c r="AI45" s="12">
        <f t="shared" si="12"/>
        <v>0</v>
      </c>
      <c r="AJ45" s="12">
        <f t="shared" si="12"/>
        <v>0</v>
      </c>
      <c r="AK45" s="12">
        <f t="shared" si="12"/>
        <v>0</v>
      </c>
      <c r="AL45" s="12">
        <f t="shared" si="12"/>
        <v>0</v>
      </c>
      <c r="AM45" s="12">
        <f t="shared" si="12"/>
        <v>0</v>
      </c>
      <c r="AN45" s="12">
        <f t="shared" si="12"/>
        <v>0</v>
      </c>
      <c r="AO45" s="12">
        <f t="shared" si="12"/>
        <v>0</v>
      </c>
      <c r="AP45" s="12">
        <f t="shared" si="12"/>
        <v>0</v>
      </c>
      <c r="AQ45" s="12">
        <f t="shared" si="12"/>
        <v>0</v>
      </c>
      <c r="AR45" s="12">
        <f t="shared" si="12"/>
        <v>0</v>
      </c>
      <c r="AS45" s="12">
        <f t="shared" si="12"/>
        <v>0</v>
      </c>
      <c r="AT45" s="12">
        <f t="shared" si="12"/>
        <v>0</v>
      </c>
      <c r="AU45" s="12"/>
      <c r="AV45" s="12">
        <f t="shared" si="11"/>
        <v>35</v>
      </c>
    </row>
    <row r="46" spans="2:48">
      <c r="B46" s="12" t="s">
        <v>959</v>
      </c>
      <c r="C46" s="12">
        <f t="shared" si="13"/>
        <v>137</v>
      </c>
      <c r="D46" s="12">
        <f t="shared" si="13"/>
        <v>0</v>
      </c>
      <c r="E46" s="12">
        <f t="shared" si="13"/>
        <v>0</v>
      </c>
      <c r="F46" s="12">
        <f t="shared" si="13"/>
        <v>0</v>
      </c>
      <c r="G46" s="12">
        <f t="shared" si="12"/>
        <v>0</v>
      </c>
      <c r="H46" s="12">
        <f t="shared" si="12"/>
        <v>0</v>
      </c>
      <c r="I46" s="12">
        <f t="shared" si="12"/>
        <v>0</v>
      </c>
      <c r="J46" s="12">
        <f t="shared" si="12"/>
        <v>0</v>
      </c>
      <c r="K46" s="12">
        <f t="shared" si="12"/>
        <v>0</v>
      </c>
      <c r="L46" s="12">
        <f t="shared" si="12"/>
        <v>0</v>
      </c>
      <c r="M46" s="12">
        <f t="shared" si="12"/>
        <v>0</v>
      </c>
      <c r="N46" s="12">
        <f t="shared" si="12"/>
        <v>0</v>
      </c>
      <c r="O46" s="12">
        <f t="shared" si="12"/>
        <v>0</v>
      </c>
      <c r="P46" s="12">
        <f t="shared" si="12"/>
        <v>0</v>
      </c>
      <c r="Q46" s="12">
        <f t="shared" si="12"/>
        <v>0</v>
      </c>
      <c r="R46" s="12">
        <f t="shared" si="12"/>
        <v>0</v>
      </c>
      <c r="S46" s="12">
        <f t="shared" si="12"/>
        <v>0</v>
      </c>
      <c r="T46" s="12">
        <f t="shared" si="12"/>
        <v>0</v>
      </c>
      <c r="U46" s="12">
        <f t="shared" si="12"/>
        <v>0</v>
      </c>
      <c r="V46" s="12">
        <f t="shared" si="12"/>
        <v>0</v>
      </c>
      <c r="W46" s="12">
        <f t="shared" si="12"/>
        <v>0</v>
      </c>
      <c r="X46" s="12">
        <f t="shared" si="12"/>
        <v>0</v>
      </c>
      <c r="Y46" s="12">
        <f t="shared" si="12"/>
        <v>519</v>
      </c>
      <c r="Z46" s="12">
        <f t="shared" si="12"/>
        <v>0</v>
      </c>
      <c r="AA46" s="12">
        <f t="shared" si="12"/>
        <v>321</v>
      </c>
      <c r="AB46" s="12">
        <f t="shared" si="12"/>
        <v>0</v>
      </c>
      <c r="AC46" s="12">
        <f t="shared" si="12"/>
        <v>368</v>
      </c>
      <c r="AD46" s="12">
        <f t="shared" si="12"/>
        <v>0</v>
      </c>
      <c r="AE46" s="12">
        <f t="shared" si="12"/>
        <v>0</v>
      </c>
      <c r="AF46" s="12">
        <f t="shared" si="12"/>
        <v>0</v>
      </c>
      <c r="AG46" s="12">
        <f t="shared" si="12"/>
        <v>0</v>
      </c>
      <c r="AH46" s="12">
        <f t="shared" si="12"/>
        <v>0</v>
      </c>
      <c r="AI46" s="12">
        <f t="shared" si="12"/>
        <v>0</v>
      </c>
      <c r="AJ46" s="12">
        <f t="shared" si="12"/>
        <v>0</v>
      </c>
      <c r="AK46" s="12">
        <f t="shared" si="12"/>
        <v>0</v>
      </c>
      <c r="AL46" s="12">
        <f t="shared" si="12"/>
        <v>0</v>
      </c>
      <c r="AM46" s="12">
        <f t="shared" si="12"/>
        <v>0</v>
      </c>
      <c r="AN46" s="12">
        <f t="shared" si="12"/>
        <v>0</v>
      </c>
      <c r="AO46" s="12">
        <f t="shared" si="12"/>
        <v>0</v>
      </c>
      <c r="AP46" s="12">
        <f t="shared" si="12"/>
        <v>0</v>
      </c>
      <c r="AQ46" s="12">
        <f t="shared" si="12"/>
        <v>0</v>
      </c>
      <c r="AR46" s="12">
        <f t="shared" si="12"/>
        <v>0</v>
      </c>
      <c r="AS46" s="12">
        <f t="shared" si="12"/>
        <v>755</v>
      </c>
      <c r="AT46" s="12">
        <f t="shared" si="12"/>
        <v>0</v>
      </c>
      <c r="AU46" s="12">
        <f t="shared" si="12"/>
        <v>0</v>
      </c>
      <c r="AV46" s="12">
        <f t="shared" si="11"/>
        <v>137</v>
      </c>
    </row>
    <row r="47" spans="2:48">
      <c r="B47" s="12" t="s">
        <v>951</v>
      </c>
      <c r="C47" s="12">
        <f t="shared" si="13"/>
        <v>0</v>
      </c>
      <c r="D47" s="12">
        <f t="shared" si="13"/>
        <v>0</v>
      </c>
      <c r="E47" s="12">
        <f t="shared" si="13"/>
        <v>0</v>
      </c>
      <c r="F47" s="12">
        <f t="shared" si="13"/>
        <v>0</v>
      </c>
      <c r="G47" s="12">
        <f t="shared" si="12"/>
        <v>0</v>
      </c>
      <c r="H47" s="12">
        <f t="shared" si="12"/>
        <v>0</v>
      </c>
      <c r="I47" s="12">
        <f t="shared" si="12"/>
        <v>0</v>
      </c>
      <c r="J47" s="12">
        <f t="shared" si="12"/>
        <v>0</v>
      </c>
      <c r="K47" s="12">
        <f t="shared" si="12"/>
        <v>0</v>
      </c>
      <c r="L47" s="12">
        <f t="shared" si="12"/>
        <v>0</v>
      </c>
      <c r="M47" s="12">
        <f t="shared" si="12"/>
        <v>0</v>
      </c>
      <c r="N47" s="12">
        <f t="shared" si="12"/>
        <v>0</v>
      </c>
      <c r="O47" s="12">
        <f t="shared" si="12"/>
        <v>0</v>
      </c>
      <c r="P47" s="12">
        <f t="shared" si="12"/>
        <v>0</v>
      </c>
      <c r="Q47" s="12">
        <f t="shared" si="12"/>
        <v>0</v>
      </c>
      <c r="R47" s="12">
        <f t="shared" si="12"/>
        <v>0</v>
      </c>
      <c r="S47" s="12">
        <f t="shared" si="12"/>
        <v>0</v>
      </c>
      <c r="T47" s="12">
        <f t="shared" si="12"/>
        <v>0</v>
      </c>
      <c r="U47" s="12">
        <f t="shared" si="12"/>
        <v>0</v>
      </c>
      <c r="V47" s="12">
        <f t="shared" si="12"/>
        <v>0</v>
      </c>
      <c r="W47" s="12">
        <f t="shared" si="12"/>
        <v>0</v>
      </c>
      <c r="X47" s="12">
        <f t="shared" si="12"/>
        <v>0</v>
      </c>
      <c r="Y47" s="12">
        <f t="shared" si="12"/>
        <v>0</v>
      </c>
      <c r="Z47" s="12">
        <f t="shared" si="12"/>
        <v>0</v>
      </c>
      <c r="AA47" s="12">
        <f t="shared" si="12"/>
        <v>0</v>
      </c>
      <c r="AB47" s="12">
        <f t="shared" si="12"/>
        <v>0</v>
      </c>
      <c r="AC47" s="12">
        <f t="shared" si="12"/>
        <v>0</v>
      </c>
      <c r="AD47" s="12">
        <f t="shared" si="12"/>
        <v>0</v>
      </c>
      <c r="AE47" s="12">
        <f t="shared" si="12"/>
        <v>0</v>
      </c>
      <c r="AF47" s="12">
        <f t="shared" si="12"/>
        <v>0</v>
      </c>
      <c r="AG47" s="12">
        <f t="shared" si="12"/>
        <v>0</v>
      </c>
      <c r="AH47" s="12">
        <f t="shared" si="12"/>
        <v>0</v>
      </c>
      <c r="AI47" s="12">
        <f t="shared" si="12"/>
        <v>0</v>
      </c>
      <c r="AJ47" s="12">
        <f t="shared" si="12"/>
        <v>0</v>
      </c>
      <c r="AK47" s="12">
        <f t="shared" ref="AK47:AU48" si="14">IFERROR(ROUNDUP(AK23/AK$4*10^6,0),0)</f>
        <v>0</v>
      </c>
      <c r="AL47" s="12">
        <f t="shared" si="14"/>
        <v>0</v>
      </c>
      <c r="AM47" s="12">
        <f t="shared" si="14"/>
        <v>0</v>
      </c>
      <c r="AN47" s="12">
        <f t="shared" si="14"/>
        <v>0</v>
      </c>
      <c r="AO47" s="12">
        <f t="shared" si="14"/>
        <v>0</v>
      </c>
      <c r="AP47" s="12">
        <f t="shared" si="14"/>
        <v>0</v>
      </c>
      <c r="AQ47" s="12">
        <f t="shared" si="14"/>
        <v>0</v>
      </c>
      <c r="AR47" s="12">
        <f t="shared" si="14"/>
        <v>0</v>
      </c>
      <c r="AS47" s="12">
        <f t="shared" si="14"/>
        <v>0</v>
      </c>
      <c r="AT47" s="12">
        <f t="shared" si="14"/>
        <v>0</v>
      </c>
      <c r="AU47" s="12">
        <f t="shared" si="14"/>
        <v>0</v>
      </c>
      <c r="AV47" s="12">
        <f t="shared" si="11"/>
        <v>0</v>
      </c>
    </row>
    <row r="48" spans="2:48">
      <c r="B48" s="12" t="s">
        <v>996</v>
      </c>
      <c r="C48" s="12">
        <f t="shared" si="13"/>
        <v>0</v>
      </c>
      <c r="D48" s="12">
        <f t="shared" si="13"/>
        <v>0</v>
      </c>
      <c r="E48" s="12">
        <f t="shared" si="13"/>
        <v>0</v>
      </c>
      <c r="F48" s="12">
        <f t="shared" si="13"/>
        <v>0</v>
      </c>
      <c r="G48" s="12">
        <f t="shared" si="13"/>
        <v>0</v>
      </c>
      <c r="H48" s="12">
        <f t="shared" si="13"/>
        <v>0</v>
      </c>
      <c r="I48" s="12">
        <f t="shared" si="13"/>
        <v>0</v>
      </c>
      <c r="J48" s="12">
        <f t="shared" si="13"/>
        <v>0</v>
      </c>
      <c r="K48" s="12">
        <f t="shared" si="13"/>
        <v>0</v>
      </c>
      <c r="L48" s="12">
        <f t="shared" si="13"/>
        <v>0</v>
      </c>
      <c r="M48" s="12">
        <f t="shared" si="13"/>
        <v>0</v>
      </c>
      <c r="N48" s="12">
        <f t="shared" si="13"/>
        <v>0</v>
      </c>
      <c r="O48" s="12">
        <f t="shared" si="13"/>
        <v>0</v>
      </c>
      <c r="P48" s="12">
        <f t="shared" si="13"/>
        <v>0</v>
      </c>
      <c r="Q48" s="12">
        <f t="shared" si="13"/>
        <v>0</v>
      </c>
      <c r="R48" s="12">
        <f t="shared" si="13"/>
        <v>0</v>
      </c>
      <c r="S48" s="12">
        <f t="shared" ref="S48:AT48" si="15">IFERROR(ROUNDUP(S24/S$4*10^6,0),0)</f>
        <v>0</v>
      </c>
      <c r="T48" s="12">
        <f t="shared" si="15"/>
        <v>0</v>
      </c>
      <c r="U48" s="12">
        <f t="shared" si="15"/>
        <v>0</v>
      </c>
      <c r="V48" s="12">
        <f t="shared" si="15"/>
        <v>0</v>
      </c>
      <c r="W48" s="12">
        <f t="shared" si="15"/>
        <v>0</v>
      </c>
      <c r="X48" s="12">
        <f t="shared" si="15"/>
        <v>0</v>
      </c>
      <c r="Y48" s="12">
        <f t="shared" si="15"/>
        <v>0</v>
      </c>
      <c r="Z48" s="12">
        <f t="shared" si="15"/>
        <v>0</v>
      </c>
      <c r="AA48" s="12">
        <f t="shared" si="15"/>
        <v>0</v>
      </c>
      <c r="AB48" s="12">
        <f t="shared" si="15"/>
        <v>0</v>
      </c>
      <c r="AC48" s="12">
        <f t="shared" si="15"/>
        <v>0</v>
      </c>
      <c r="AD48" s="12">
        <f t="shared" si="15"/>
        <v>0</v>
      </c>
      <c r="AE48" s="12">
        <f t="shared" si="15"/>
        <v>0</v>
      </c>
      <c r="AF48" s="12">
        <f t="shared" si="15"/>
        <v>0</v>
      </c>
      <c r="AG48" s="12">
        <f t="shared" si="15"/>
        <v>0</v>
      </c>
      <c r="AH48" s="12">
        <f t="shared" si="15"/>
        <v>0</v>
      </c>
      <c r="AI48" s="12">
        <f t="shared" si="15"/>
        <v>0</v>
      </c>
      <c r="AJ48" s="12">
        <f t="shared" si="15"/>
        <v>0</v>
      </c>
      <c r="AK48" s="12">
        <f t="shared" si="15"/>
        <v>0</v>
      </c>
      <c r="AL48" s="12">
        <f t="shared" si="15"/>
        <v>0</v>
      </c>
      <c r="AM48" s="12">
        <f t="shared" si="15"/>
        <v>0</v>
      </c>
      <c r="AN48" s="12">
        <f t="shared" si="15"/>
        <v>0</v>
      </c>
      <c r="AO48" s="12">
        <f t="shared" si="15"/>
        <v>0</v>
      </c>
      <c r="AP48" s="12">
        <f t="shared" si="15"/>
        <v>0</v>
      </c>
      <c r="AQ48" s="12">
        <f t="shared" si="15"/>
        <v>0</v>
      </c>
      <c r="AR48" s="12">
        <f t="shared" si="15"/>
        <v>0</v>
      </c>
      <c r="AS48" s="12">
        <f t="shared" si="15"/>
        <v>0</v>
      </c>
      <c r="AT48" s="12">
        <f t="shared" si="15"/>
        <v>0</v>
      </c>
      <c r="AU48" s="12">
        <f t="shared" si="14"/>
        <v>0</v>
      </c>
      <c r="AV48" s="12">
        <f t="shared" si="11"/>
        <v>0</v>
      </c>
    </row>
  </sheetData>
  <phoneticPr fontId="7" type="noConversion"/>
  <conditionalFormatting sqref="C30:E48 C28:E28 B29:E29 F4:AT24">
    <cfRule type="cellIs" dxfId="10" priority="2" operator="equal">
      <formula>0</formula>
    </cfRule>
  </conditionalFormatting>
  <conditionalFormatting sqref="F28:AT48 AU46:AU48">
    <cfRule type="cellIs" dxfId="9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974B2-9AEC-4D0B-9259-A76B452B7021}">
  <sheetPr codeName="wsWeekly1">
    <tabColor rgb="FF0099FF"/>
  </sheetPr>
  <dimension ref="B1:FE25"/>
  <sheetViews>
    <sheetView zoomScale="70" zoomScaleNormal="70" workbookViewId="0">
      <selection activeCell="I54" sqref="I54"/>
    </sheetView>
  </sheetViews>
  <sheetFormatPr defaultColWidth="8.90625" defaultRowHeight="14.5"/>
  <cols>
    <col min="1" max="1" width="3.08984375" style="3" customWidth="1"/>
    <col min="2" max="2" width="11.08984375" style="3" customWidth="1"/>
    <col min="3" max="3" width="9.453125" style="3" customWidth="1"/>
    <col min="4" max="54" width="9.453125" style="3" bestFit="1" customWidth="1"/>
    <col min="55" max="16384" width="8.90625" style="3"/>
  </cols>
  <sheetData>
    <row r="1" spans="2:161" s="5" customFormat="1" ht="14.15" customHeight="1">
      <c r="B1" s="5" t="str">
        <f>Report!D26</f>
        <v>FSK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5" customHeight="1">
      <c r="B2" s="24" t="s">
        <v>28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>
      <c r="B3" s="17" t="str">
        <f>Report!B26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2053</v>
      </c>
      <c r="BD3" s="6">
        <v>2101</v>
      </c>
      <c r="BE3" s="6">
        <v>2102</v>
      </c>
      <c r="BF3" s="6">
        <v>2103</v>
      </c>
      <c r="BG3" s="6">
        <v>2104</v>
      </c>
      <c r="BH3" s="6">
        <v>2105</v>
      </c>
      <c r="BI3" s="6">
        <v>2106</v>
      </c>
      <c r="BJ3" s="6">
        <v>2107</v>
      </c>
      <c r="BK3" s="6">
        <v>2108</v>
      </c>
      <c r="BL3" s="6">
        <v>2109</v>
      </c>
      <c r="BM3" s="6">
        <v>2110</v>
      </c>
      <c r="BN3" s="6">
        <v>2111</v>
      </c>
      <c r="BO3" s="6">
        <v>2112</v>
      </c>
      <c r="BP3" s="6">
        <v>2113</v>
      </c>
      <c r="BQ3" s="6">
        <v>2114</v>
      </c>
      <c r="BR3" s="6">
        <v>2115</v>
      </c>
      <c r="BS3" s="6">
        <v>2116</v>
      </c>
      <c r="BT3" s="6">
        <v>2117</v>
      </c>
      <c r="BU3" s="6">
        <v>2118</v>
      </c>
      <c r="BV3" s="6">
        <v>2119</v>
      </c>
      <c r="BW3" s="6">
        <v>2120</v>
      </c>
      <c r="BX3" s="6">
        <v>2121</v>
      </c>
      <c r="BY3" s="6">
        <v>2122</v>
      </c>
      <c r="BZ3" s="6">
        <v>2123</v>
      </c>
      <c r="CA3" s="6">
        <v>2124</v>
      </c>
      <c r="CB3" s="6">
        <v>2125</v>
      </c>
      <c r="CC3" s="6">
        <v>2126</v>
      </c>
      <c r="CD3" s="6">
        <v>2127</v>
      </c>
      <c r="CE3" s="6">
        <v>2128</v>
      </c>
      <c r="CF3" s="6">
        <v>2129</v>
      </c>
      <c r="CG3" s="6">
        <v>2130</v>
      </c>
      <c r="CH3" s="6">
        <v>2131</v>
      </c>
      <c r="CI3" s="6">
        <v>2132</v>
      </c>
      <c r="CJ3" s="6">
        <v>2133</v>
      </c>
      <c r="CK3" s="6">
        <v>2134</v>
      </c>
      <c r="CL3" s="6">
        <v>2135</v>
      </c>
      <c r="CM3" s="6">
        <v>2136</v>
      </c>
      <c r="CN3" s="6">
        <v>2137</v>
      </c>
      <c r="CO3" s="6">
        <v>2138</v>
      </c>
      <c r="CP3" s="6">
        <v>2139</v>
      </c>
      <c r="CQ3" s="6">
        <v>2140</v>
      </c>
      <c r="CR3" s="6">
        <v>2141</v>
      </c>
      <c r="CS3" s="6">
        <v>2142</v>
      </c>
      <c r="CT3" s="6">
        <v>2143</v>
      </c>
      <c r="CU3" s="6">
        <v>2144</v>
      </c>
      <c r="CV3" s="6">
        <v>2145</v>
      </c>
      <c r="CW3" s="6">
        <v>2146</v>
      </c>
      <c r="CX3" s="6">
        <v>2147</v>
      </c>
      <c r="CY3" s="6">
        <v>2148</v>
      </c>
      <c r="CZ3" s="6">
        <v>2149</v>
      </c>
      <c r="DA3" s="6">
        <v>2150</v>
      </c>
      <c r="DB3" s="6">
        <v>2151</v>
      </c>
      <c r="DC3" s="6">
        <v>2152</v>
      </c>
      <c r="DD3" s="6">
        <v>2153</v>
      </c>
      <c r="DE3" s="6">
        <v>2201</v>
      </c>
      <c r="DF3" s="6">
        <v>2202</v>
      </c>
      <c r="DG3" s="6">
        <v>2203</v>
      </c>
      <c r="DH3" s="6">
        <v>2204</v>
      </c>
      <c r="DI3" s="6">
        <v>2205</v>
      </c>
      <c r="DJ3" s="6">
        <v>2206</v>
      </c>
      <c r="DK3" s="6">
        <v>2207</v>
      </c>
      <c r="DL3" s="6">
        <v>2208</v>
      </c>
      <c r="DM3" s="6">
        <v>2209</v>
      </c>
      <c r="DN3" s="6">
        <v>2210</v>
      </c>
      <c r="DO3" s="6">
        <v>2211</v>
      </c>
      <c r="DP3" s="6">
        <v>2212</v>
      </c>
      <c r="DQ3" s="6">
        <v>2213</v>
      </c>
      <c r="DR3" s="6">
        <v>2214</v>
      </c>
      <c r="DS3" s="6">
        <v>2215</v>
      </c>
      <c r="DT3" s="6">
        <v>2216</v>
      </c>
      <c r="DU3" s="6">
        <v>2217</v>
      </c>
      <c r="DV3" s="6">
        <v>2218</v>
      </c>
      <c r="DW3" s="6">
        <v>2219</v>
      </c>
      <c r="DX3" s="6">
        <v>2220</v>
      </c>
      <c r="DY3" s="6">
        <v>2221</v>
      </c>
      <c r="DZ3" s="6">
        <v>2222</v>
      </c>
      <c r="EA3" s="6">
        <v>2223</v>
      </c>
      <c r="EB3" s="6">
        <v>2224</v>
      </c>
      <c r="EC3" s="6">
        <v>2225</v>
      </c>
      <c r="ED3" s="6">
        <v>2226</v>
      </c>
      <c r="EE3" s="6">
        <v>2227</v>
      </c>
      <c r="EF3" s="6">
        <v>2228</v>
      </c>
      <c r="EG3" s="6">
        <v>2229</v>
      </c>
      <c r="EH3" s="6">
        <v>2230</v>
      </c>
      <c r="EI3" s="6">
        <v>2231</v>
      </c>
      <c r="EJ3" s="6">
        <v>2232</v>
      </c>
      <c r="EK3" s="6">
        <v>2233</v>
      </c>
      <c r="EL3" s="6">
        <v>2234</v>
      </c>
      <c r="EM3" s="6">
        <v>2235</v>
      </c>
      <c r="EN3" s="6">
        <v>2236</v>
      </c>
      <c r="EO3" s="6">
        <v>2237</v>
      </c>
      <c r="EP3" s="6">
        <v>2238</v>
      </c>
      <c r="EQ3" s="6">
        <v>2239</v>
      </c>
      <c r="ER3" s="6">
        <v>2240</v>
      </c>
      <c r="ES3" s="6">
        <v>2241</v>
      </c>
      <c r="ET3" s="6">
        <v>2242</v>
      </c>
      <c r="EU3" s="6">
        <v>2243</v>
      </c>
      <c r="EV3" s="6">
        <v>2244</v>
      </c>
      <c r="EW3" s="6">
        <v>2245</v>
      </c>
      <c r="EX3" s="6">
        <v>2246</v>
      </c>
      <c r="EY3" s="6">
        <v>2247</v>
      </c>
      <c r="EZ3" s="6">
        <v>2248</v>
      </c>
      <c r="FA3" s="6">
        <v>2249</v>
      </c>
      <c r="FB3" s="6">
        <v>2250</v>
      </c>
      <c r="FC3" s="6">
        <v>2251</v>
      </c>
      <c r="FD3" s="6">
        <v>2252</v>
      </c>
      <c r="FE3" s="6">
        <v>2253</v>
      </c>
    </row>
    <row r="4" spans="2:161">
      <c r="B4" s="2" t="s">
        <v>989</v>
      </c>
      <c r="C4" s="2">
        <f>SUMIF(inputs!$I:$I,Weekly_TVPlant!C$3&amp;Weekly_TVPlant!$B$3&amp;$B$1,inputs!$D:$D)</f>
        <v>0</v>
      </c>
      <c r="D4" s="2">
        <f>SUMIF(inputs!$I:$I,Weekly_TVPlant!D$3&amp;Weekly_TVPlant!$B$3&amp;$B$1,inputs!$D:$D)</f>
        <v>0</v>
      </c>
      <c r="E4" s="2">
        <f>SUMIF(inputs!$I:$I,Weekly_TVPlant!E$3&amp;Weekly_TVPlant!$B$3&amp;$B$1,inputs!$D:$D)</f>
        <v>0</v>
      </c>
      <c r="F4" s="2">
        <f>SUMIF(inputs!$I:$I,Weekly_TVPlant!F$3&amp;Weekly_TVPlant!$B$3&amp;$B$1,inputs!$D:$D)</f>
        <v>0</v>
      </c>
      <c r="G4" s="2">
        <f>SUMIF(inputs!$I:$I,Weekly_TVPlant!G$3&amp;Weekly_TVPlant!$B$3&amp;$B$1,inputs!$D:$D)</f>
        <v>0</v>
      </c>
      <c r="H4" s="2">
        <f>SUMIF(inputs!$I:$I,Weekly_TVPlant!H$3&amp;Weekly_TVPlant!$B$3&amp;$B$1,inputs!$D:$D)</f>
        <v>0</v>
      </c>
      <c r="I4" s="2">
        <f>SUMIF(inputs!$I:$I,Weekly_TVPlant!I$3&amp;Weekly_TVPlant!$B$3&amp;$B$1,inputs!$D:$D)</f>
        <v>0</v>
      </c>
      <c r="J4" s="2">
        <f>SUMIF(inputs!$I:$I,Weekly_TVPlant!J$3&amp;Weekly_TVPlant!$B$3&amp;$B$1,inputs!$D:$D)</f>
        <v>0</v>
      </c>
      <c r="K4" s="2">
        <f>SUMIF(inputs!$I:$I,Weekly_TVPlant!K$3&amp;Weekly_TVPlant!$B$3&amp;$B$1,inputs!$D:$D)</f>
        <v>0</v>
      </c>
      <c r="L4" s="2">
        <f>SUMIF(inputs!$I:$I,Weekly_TVPlant!L$3&amp;Weekly_TVPlant!$B$3&amp;$B$1,inputs!$D:$D)</f>
        <v>0</v>
      </c>
      <c r="M4" s="2">
        <f>SUMIF(inputs!$I:$I,Weekly_TVPlant!M$3&amp;Weekly_TVPlant!$B$3&amp;$B$1,inputs!$D:$D)</f>
        <v>0</v>
      </c>
      <c r="N4" s="2">
        <f>SUMIF(inputs!$I:$I,Weekly_TVPlant!N$3&amp;Weekly_TVPlant!$B$3&amp;$B$1,inputs!$D:$D)</f>
        <v>0</v>
      </c>
      <c r="O4" s="2">
        <f>SUMIF(inputs!$I:$I,Weekly_TVPlant!O$3&amp;Weekly_TVPlant!$B$3&amp;$B$1,inputs!$D:$D)</f>
        <v>0</v>
      </c>
      <c r="P4" s="2">
        <f>SUMIF(inputs!$I:$I,Weekly_TVPlant!P$3&amp;Weekly_TVPlant!$B$3&amp;$B$1,inputs!$D:$D)</f>
        <v>0</v>
      </c>
      <c r="Q4" s="2">
        <f>SUMIF(inputs!$I:$I,Weekly_TVPlant!Q$3&amp;Weekly_TVPlant!$B$3&amp;$B$1,inputs!$D:$D)</f>
        <v>0</v>
      </c>
      <c r="R4" s="2">
        <f>SUMIF(inputs!$I:$I,Weekly_TVPlant!R$3&amp;Weekly_TVPlant!$B$3&amp;$B$1,inputs!$D:$D)</f>
        <v>0</v>
      </c>
      <c r="S4" s="2">
        <f>SUMIF(inputs!$I:$I,Weekly_TVPlant!S$3&amp;Weekly_TVPlant!$B$3&amp;$B$1,inputs!$D:$D)</f>
        <v>0</v>
      </c>
      <c r="T4" s="2">
        <f>SUMIF(inputs!$I:$I,Weekly_TVPlant!T$3&amp;Weekly_TVPlant!$B$3&amp;$B$1,inputs!$D:$D)</f>
        <v>0</v>
      </c>
      <c r="U4" s="2">
        <f>SUMIF(inputs!$I:$I,Weekly_TVPlant!U$3&amp;Weekly_TVPlant!$B$3&amp;$B$1,inputs!$D:$D)</f>
        <v>0</v>
      </c>
      <c r="V4" s="2">
        <f>SUMIF(inputs!$I:$I,Weekly_TVPlant!V$3&amp;Weekly_TVPlant!$B$3&amp;$B$1,inputs!$D:$D)</f>
        <v>0</v>
      </c>
      <c r="W4" s="2">
        <f>SUMIF(inputs!$I:$I,Weekly_TVPlant!W$3&amp;Weekly_TVPlant!$B$3&amp;$B$1,inputs!$D:$D)</f>
        <v>0</v>
      </c>
      <c r="X4" s="2">
        <f>SUMIF(inputs!$I:$I,Weekly_TVPlant!X$3&amp;Weekly_TVPlant!$B$3&amp;$B$1,inputs!$D:$D)</f>
        <v>0</v>
      </c>
      <c r="Y4" s="2">
        <f>SUMIF(inputs!$I:$I,Weekly_TVPlant!Y$3&amp;Weekly_TVPlant!$B$3&amp;$B$1,inputs!$D:$D)</f>
        <v>0</v>
      </c>
      <c r="Z4" s="2">
        <f>SUMIF(inputs!$I:$I,Weekly_TVPlant!Z$3&amp;Weekly_TVPlant!$B$3&amp;$B$1,inputs!$D:$D)</f>
        <v>0</v>
      </c>
      <c r="AA4" s="2">
        <f>SUMIF(inputs!$I:$I,Weekly_TVPlant!AA$3&amp;Weekly_TVPlant!$B$3&amp;$B$1,inputs!$D:$D)</f>
        <v>0</v>
      </c>
      <c r="AB4" s="2">
        <f>SUMIF(inputs!$I:$I,Weekly_TVPlant!AB$3&amp;Weekly_TVPlant!$B$3&amp;$B$1,inputs!$D:$D)</f>
        <v>0</v>
      </c>
      <c r="AC4" s="2">
        <f>SUMIF(inputs!$I:$I,Weekly_TVPlant!AC$3&amp;Weekly_TVPlant!$B$3&amp;$B$1,inputs!$D:$D)</f>
        <v>0</v>
      </c>
      <c r="AD4" s="2">
        <f>SUMIF(inputs!$I:$I,Weekly_TVPlant!AD$3&amp;Weekly_TVPlant!$B$3&amp;$B$1,inputs!$D:$D)</f>
        <v>0</v>
      </c>
      <c r="AE4" s="2">
        <f>SUMIF(inputs!$I:$I,Weekly_TVPlant!AE$3&amp;Weekly_TVPlant!$B$3&amp;$B$1,inputs!$D:$D)</f>
        <v>0</v>
      </c>
      <c r="AF4" s="2">
        <f>SUMIF(inputs!$I:$I,Weekly_TVPlant!AF$3&amp;Weekly_TVPlant!$B$3&amp;$B$1,inputs!$D:$D)</f>
        <v>0</v>
      </c>
      <c r="AG4" s="2">
        <f>SUMIF(inputs!$I:$I,Weekly_TVPlant!AG$3&amp;Weekly_TVPlant!$B$3&amp;$B$1,inputs!$D:$D)</f>
        <v>0</v>
      </c>
      <c r="AH4" s="2">
        <f>SUMIF(inputs!$I:$I,Weekly_TVPlant!AH$3&amp;Weekly_TVPlant!$B$3&amp;$B$1,inputs!$D:$D)</f>
        <v>0</v>
      </c>
      <c r="AI4" s="2">
        <f>SUMIF(inputs!$I:$I,Weekly_TVPlant!AI$3&amp;Weekly_TVPlant!$B$3&amp;$B$1,inputs!$D:$D)</f>
        <v>0</v>
      </c>
      <c r="AJ4" s="2">
        <f>SUMIF(inputs!$I:$I,Weekly_TVPlant!AJ$3&amp;Weekly_TVPlant!$B$3&amp;$B$1,inputs!$D:$D)</f>
        <v>0</v>
      </c>
      <c r="AK4" s="2">
        <f>SUMIF(inputs!$I:$I,Weekly_TVPlant!AK$3&amp;Weekly_TVPlant!$B$3&amp;$B$1,inputs!$D:$D)</f>
        <v>0</v>
      </c>
      <c r="AL4" s="2">
        <f>SUMIF(inputs!$I:$I,Weekly_TVPlant!AL$3&amp;Weekly_TVPlant!$B$3&amp;$B$1,inputs!$D:$D)</f>
        <v>0</v>
      </c>
      <c r="AM4" s="2">
        <f>SUMIF(inputs!$I:$I,Weekly_TVPlant!AM$3&amp;Weekly_TVPlant!$B$3&amp;$B$1,inputs!$D:$D)</f>
        <v>0</v>
      </c>
      <c r="AN4" s="2">
        <f>SUMIF(inputs!$I:$I,Weekly_TVPlant!AN$3&amp;Weekly_TVPlant!$B$3&amp;$B$1,inputs!$D:$D)</f>
        <v>0</v>
      </c>
      <c r="AO4" s="2">
        <f>SUMIF(inputs!$I:$I,Weekly_TVPlant!AO$3&amp;Weekly_TVPlant!$B$3&amp;$B$1,inputs!$D:$D)</f>
        <v>0</v>
      </c>
      <c r="AP4" s="2">
        <f>SUMIF(inputs!$I:$I,Weekly_TVPlant!AP$3&amp;Weekly_TVPlant!$B$3&amp;$B$1,inputs!$D:$D)</f>
        <v>0</v>
      </c>
      <c r="AQ4" s="2">
        <f>SUMIF(inputs!$I:$I,Weekly_TVPlant!AQ$3&amp;Weekly_TVPlant!$B$3&amp;$B$1,inputs!$D:$D)</f>
        <v>0</v>
      </c>
      <c r="AR4" s="2">
        <f>SUMIF(inputs!$I:$I,Weekly_TVPlant!AR$3&amp;Weekly_TVPlant!$B$3&amp;$B$1,inputs!$D:$D)</f>
        <v>0</v>
      </c>
      <c r="AS4" s="2">
        <f>SUMIF(inputs!$I:$I,Weekly_TVPlant!AS$3&amp;Weekly_TVPlant!$B$3&amp;$B$1,inputs!$D:$D)</f>
        <v>0</v>
      </c>
      <c r="AT4" s="2">
        <f>SUMIF(inputs!$I:$I,Weekly_TVPlant!AT$3&amp;Weekly_TVPlant!$B$3&amp;$B$1,inputs!$D:$D)</f>
        <v>0</v>
      </c>
      <c r="AU4" s="2">
        <f>SUMIF(inputs!$I:$I,Weekly_TVPlant!AU$3&amp;Weekly_TVPlant!$B$3&amp;$B$1,inputs!$D:$D)</f>
        <v>0</v>
      </c>
      <c r="AV4" s="2">
        <f>SUMIF(inputs!$I:$I,Weekly_TVPlant!AV$3&amp;Weekly_TVPlant!$B$3&amp;$B$1,inputs!$D:$D)</f>
        <v>0</v>
      </c>
      <c r="AW4" s="2">
        <f>SUMIF(inputs!$I:$I,Weekly_TVPlant!AW$3&amp;Weekly_TVPlant!$B$3&amp;$B$1,inputs!$D:$D)</f>
        <v>0</v>
      </c>
      <c r="AX4" s="2">
        <f>SUMIF(inputs!$I:$I,Weekly_TVPlant!AX$3&amp;Weekly_TVPlant!$B$3&amp;$B$1,inputs!$D:$D)</f>
        <v>0</v>
      </c>
      <c r="AY4" s="2">
        <f>SUMIF(inputs!$I:$I,Weekly_TVPlant!AY$3&amp;Weekly_TVPlant!$B$3&amp;$B$1,inputs!$D:$D)</f>
        <v>0</v>
      </c>
      <c r="AZ4" s="2">
        <f>SUMIF(inputs!$I:$I,Weekly_TVPlant!AZ$3&amp;Weekly_TVPlant!$B$3&amp;$B$1,inputs!$D:$D)</f>
        <v>0</v>
      </c>
      <c r="BA4" s="2">
        <f>SUMIF(inputs!$I:$I,Weekly_TVPlant!BA$3&amp;Weekly_TVPlant!$B$3&amp;$B$1,inputs!$D:$D)</f>
        <v>0</v>
      </c>
      <c r="BB4" s="2">
        <f>SUMIF(inputs!$I:$I,Weekly_TVPlant!BB$3&amp;Weekly_TVPlant!$B$3&amp;$B$1,inputs!$D:$D)</f>
        <v>0</v>
      </c>
      <c r="BC4" s="2">
        <f>SUMIF(inputs!$I:$I,Weekly_TVPlant!BC$3&amp;Weekly_TVPlant!$B$3&amp;$B$1,inputs!$D:$D)</f>
        <v>0</v>
      </c>
      <c r="BD4" s="2">
        <f>SUMIF(inputs!$I:$I,Weekly_TVPlant!BD$3&amp;Weekly_TVPlant!$B$3&amp;$B$1,inputs!$D:$D)</f>
        <v>0</v>
      </c>
      <c r="BE4" s="2">
        <f>SUMIF(inputs!$I:$I,Weekly_TVPlant!BE$3&amp;Weekly_TVPlant!$B$3&amp;$B$1,inputs!$D:$D)</f>
        <v>0</v>
      </c>
      <c r="BF4" s="2">
        <f>SUMIF(inputs!$I:$I,Weekly_TVPlant!BF$3&amp;Weekly_TVPlant!$B$3&amp;$B$1,inputs!$D:$D)</f>
        <v>0</v>
      </c>
      <c r="BG4" s="2">
        <f>SUMIF(inputs!$I:$I,Weekly_TVPlant!BG$3&amp;Weekly_TVPlant!$B$3&amp;$B$1,inputs!$D:$D)</f>
        <v>0</v>
      </c>
      <c r="BH4" s="2">
        <f>SUMIF(inputs!$I:$I,Weekly_TVPlant!BH$3&amp;Weekly_TVPlant!$B$3&amp;$B$1,inputs!$D:$D)</f>
        <v>0</v>
      </c>
      <c r="BI4" s="2">
        <f>SUMIF(inputs!$I:$I,Weekly_TVPlant!BI$3&amp;Weekly_TVPlant!$B$3&amp;$B$1,inputs!$D:$D)</f>
        <v>0</v>
      </c>
      <c r="BJ4" s="2">
        <f>SUMIF(inputs!$I:$I,Weekly_TVPlant!BJ$3&amp;Weekly_TVPlant!$B$3&amp;$B$1,inputs!$D:$D)</f>
        <v>0</v>
      </c>
      <c r="BK4" s="2">
        <f>SUMIF(inputs!$I:$I,Weekly_TVPlant!BK$3&amp;Weekly_TVPlant!$B$3&amp;$B$1,inputs!$D:$D)</f>
        <v>2</v>
      </c>
      <c r="BL4" s="2">
        <f>SUMIF(inputs!$I:$I,Weekly_TVPlant!BL$3&amp;Weekly_TVPlant!$B$3&amp;$B$1,inputs!$D:$D)</f>
        <v>38</v>
      </c>
      <c r="BM4" s="2">
        <f>SUMIF(inputs!$I:$I,Weekly_TVPlant!BM$3&amp;Weekly_TVPlant!$B$3&amp;$B$1,inputs!$D:$D)</f>
        <v>0</v>
      </c>
      <c r="BN4" s="2">
        <f>SUMIF(inputs!$I:$I,Weekly_TVPlant!BN$3&amp;Weekly_TVPlant!$B$3&amp;$B$1,inputs!$D:$D)</f>
        <v>506</v>
      </c>
      <c r="BO4" s="2">
        <f>SUMIF(inputs!$I:$I,Weekly_TVPlant!BO$3&amp;Weekly_TVPlant!$B$3&amp;$B$1,inputs!$D:$D)</f>
        <v>888</v>
      </c>
      <c r="BP4" s="2">
        <f>SUMIF(inputs!$I:$I,Weekly_TVPlant!BP$3&amp;Weekly_TVPlant!$B$3&amp;$B$1,inputs!$D:$D)</f>
        <v>417</v>
      </c>
      <c r="BQ4" s="2">
        <f>SUMIF(inputs!$I:$I,Weekly_TVPlant!BQ$3&amp;Weekly_TVPlant!$B$3&amp;$B$1,inputs!$D:$D)</f>
        <v>216</v>
      </c>
      <c r="BR4" s="2">
        <f>SUMIF(inputs!$I:$I,Weekly_TVPlant!BR$3&amp;Weekly_TVPlant!$B$3&amp;$B$1,inputs!$D:$D)</f>
        <v>450</v>
      </c>
      <c r="BS4" s="2">
        <f>SUMIF(inputs!$I:$I,Weekly_TVPlant!BS$3&amp;Weekly_TVPlant!$B$3&amp;$B$1,inputs!$D:$D)</f>
        <v>553</v>
      </c>
      <c r="BT4" s="2">
        <f>SUMIF(inputs!$I:$I,Weekly_TVPlant!BT$3&amp;Weekly_TVPlant!$B$3&amp;$B$1,inputs!$D:$D)</f>
        <v>1132</v>
      </c>
      <c r="BU4" s="2">
        <f>SUMIF(inputs!$I:$I,Weekly_TVPlant!BU$3&amp;Weekly_TVPlant!$B$3&amp;$B$1,inputs!$D:$D)</f>
        <v>912</v>
      </c>
      <c r="BV4" s="2">
        <f>SUMIF(inputs!$I:$I,Weekly_TVPlant!BV$3&amp;Weekly_TVPlant!$B$3&amp;$B$1,inputs!$D:$D)</f>
        <v>249</v>
      </c>
      <c r="BW4" s="2">
        <f>SUMIF(inputs!$I:$I,Weekly_TVPlant!BW$3&amp;Weekly_TVPlant!$B$3&amp;$B$1,inputs!$D:$D)</f>
        <v>1439</v>
      </c>
      <c r="BX4" s="2">
        <f>SUMIF(inputs!$I:$I,Weekly_TVPlant!BX$3&amp;Weekly_TVPlant!$B$3&amp;$B$1,inputs!$D:$D)</f>
        <v>2908</v>
      </c>
      <c r="BY4" s="2">
        <f>SUMIF(inputs!$I:$I,Weekly_TVPlant!BY$3&amp;Weekly_TVPlant!$B$3&amp;$B$1,inputs!$D:$D)</f>
        <v>1793</v>
      </c>
      <c r="BZ4" s="2">
        <f>SUMIF(inputs!$I:$I,Weekly_TVPlant!BZ$3&amp;Weekly_TVPlant!$B$3&amp;$B$1,inputs!$D:$D)</f>
        <v>4452</v>
      </c>
      <c r="CA4" s="2">
        <f>SUMIF(inputs!$I:$I,Weekly_TVPlant!CA$3&amp;Weekly_TVPlant!$B$3&amp;$B$1,inputs!$D:$D)</f>
        <v>2452</v>
      </c>
      <c r="CB4" s="2">
        <f>SUMIF(inputs!$I:$I,Weekly_TVPlant!CB$3&amp;Weekly_TVPlant!$B$3&amp;$B$1,inputs!$D:$D)</f>
        <v>2790</v>
      </c>
      <c r="CC4" s="2">
        <f>SUMIF(inputs!$I:$I,Weekly_TVPlant!CC$3&amp;Weekly_TVPlant!$B$3&amp;$B$1,inputs!$D:$D)</f>
        <v>4860</v>
      </c>
      <c r="CD4" s="2">
        <f>SUMIF(inputs!$I:$I,Weekly_TVPlant!CD$3&amp;Weekly_TVPlant!$B$3&amp;$B$1,inputs!$D:$D)</f>
        <v>3843</v>
      </c>
      <c r="CE4" s="2">
        <f>SUMIF(inputs!$I:$I,Weekly_TVPlant!CE$3&amp;Weekly_TVPlant!$B$3&amp;$B$1,inputs!$D:$D)</f>
        <v>3870</v>
      </c>
      <c r="CF4" s="2">
        <f>SUMIF(inputs!$I:$I,Weekly_TVPlant!CF$3&amp;Weekly_TVPlant!$B$3&amp;$B$1,inputs!$D:$D)</f>
        <v>5410</v>
      </c>
      <c r="CG4" s="2">
        <f>SUMIF(inputs!$I:$I,Weekly_TVPlant!CG$3&amp;Weekly_TVPlant!$B$3&amp;$B$1,inputs!$D:$D)</f>
        <v>0</v>
      </c>
      <c r="CH4" s="2">
        <f>SUMIF(inputs!$I:$I,Weekly_TVPlant!CH$3&amp;Weekly_TVPlant!$B$3&amp;$B$1,inputs!$D:$D)</f>
        <v>0</v>
      </c>
      <c r="CI4" s="2">
        <f>SUMIF(inputs!$I:$I,Weekly_TVPlant!CI$3&amp;Weekly_TVPlant!$B$3&amp;$B$1,inputs!$D:$D)</f>
        <v>4606</v>
      </c>
      <c r="CJ4" s="2">
        <f>SUMIF(inputs!$I:$I,Weekly_TVPlant!CJ$3&amp;Weekly_TVPlant!$B$3&amp;$B$1,inputs!$D:$D)</f>
        <v>7368</v>
      </c>
      <c r="CK4" s="2">
        <f>SUMIF(inputs!$I:$I,Weekly_TVPlant!CK$3&amp;Weekly_TVPlant!$B$3&amp;$B$1,inputs!$D:$D)</f>
        <v>6562</v>
      </c>
      <c r="CL4" s="2">
        <f>SUMIF(inputs!$I:$I,Weekly_TVPlant!CL$3&amp;Weekly_TVPlant!$B$3&amp;$B$1,inputs!$D:$D)</f>
        <v>5843</v>
      </c>
      <c r="CM4" s="2">
        <f>SUMIF(inputs!$I:$I,Weekly_TVPlant!CM$3&amp;Weekly_TVPlant!$B$3&amp;$B$1,inputs!$D:$D)</f>
        <v>4588</v>
      </c>
      <c r="CN4" s="2">
        <f>SUMIF(inputs!$I:$I,Weekly_TVPlant!CN$3&amp;Weekly_TVPlant!$B$3&amp;$B$1,inputs!$D:$D)</f>
        <v>3971</v>
      </c>
      <c r="CO4" s="2">
        <f>SUMIF(inputs!$I:$I,Weekly_TVPlant!CO$3&amp;Weekly_TVPlant!$B$3&amp;$B$1,inputs!$D:$D)</f>
        <v>7386</v>
      </c>
      <c r="CP4" s="2">
        <f>SUMIF(inputs!$I:$I,Weekly_TVPlant!CP$3&amp;Weekly_TVPlant!$B$3&amp;$B$1,inputs!$D:$D)</f>
        <v>6067</v>
      </c>
      <c r="CQ4" s="2">
        <f>SUMIF(inputs!$I:$I,Weekly_TVPlant!CQ$3&amp;Weekly_TVPlant!$B$3&amp;$B$1,inputs!$D:$D)</f>
        <v>2003</v>
      </c>
      <c r="CR4" s="2">
        <f>SUMIF(inputs!$I:$I,Weekly_TVPlant!CR$3&amp;Weekly_TVPlant!$B$3&amp;$B$1,inputs!$D:$D)</f>
        <v>5616</v>
      </c>
      <c r="CS4" s="2">
        <f>SUMIF(inputs!$I:$I,Weekly_TVPlant!CS$3&amp;Weekly_TVPlant!$B$3&amp;$B$1,inputs!$D:$D)</f>
        <v>6303</v>
      </c>
      <c r="CT4" s="2">
        <f>SUMIF(inputs!$I:$I,Weekly_TVPlant!CT$3&amp;Weekly_TVPlant!$B$3&amp;$B$1,inputs!$D:$D)</f>
        <v>4299</v>
      </c>
      <c r="CU4" s="2">
        <f>SUMIF(inputs!$I:$I,Weekly_TVPlant!CU$3&amp;Weekly_TVPlant!$B$3&amp;$B$1,inputs!$D:$D)</f>
        <v>3392</v>
      </c>
      <c r="CV4" s="2">
        <f>SUMIF(inputs!$I:$I,Weekly_TVPlant!CV$3&amp;Weekly_TVPlant!$B$3&amp;$B$1,inputs!$D:$D)</f>
        <v>2448</v>
      </c>
      <c r="CW4" s="2">
        <f>SUMIF(inputs!$I:$I,Weekly_TVPlant!CW$3&amp;Weekly_TVPlant!$B$3&amp;$B$1,inputs!$D:$D)</f>
        <v>1167</v>
      </c>
      <c r="CX4" s="2">
        <f>SUMIF(inputs!$I:$I,Weekly_TVPlant!CX$3&amp;Weekly_TVPlant!$B$3&amp;$B$1,inputs!$D:$D)</f>
        <v>3390</v>
      </c>
      <c r="CY4" s="2">
        <f>SUMIF(inputs!$I:$I,Weekly_TVPlant!CY$3&amp;Weekly_TVPlant!$B$3&amp;$B$1,inputs!$D:$D)</f>
        <v>5040</v>
      </c>
      <c r="CZ4" s="2">
        <f>SUMIF(inputs!$I:$I,Weekly_TVPlant!CZ$3&amp;Weekly_TVPlant!$B$3&amp;$B$1,inputs!$D:$D)</f>
        <v>1381</v>
      </c>
      <c r="DA4" s="2">
        <f>SUMIF(inputs!$I:$I,Weekly_TVPlant!DA$3&amp;Weekly_TVPlant!$B$3&amp;$B$1,inputs!$D:$D)</f>
        <v>2714</v>
      </c>
      <c r="DB4" s="2">
        <f>SUMIF(inputs!$I:$I,Weekly_TVPlant!DB$3&amp;Weekly_TVPlant!$B$3&amp;$B$1,inputs!$D:$D)</f>
        <v>0</v>
      </c>
      <c r="DC4" s="2">
        <f>SUMIF(inputs!$I:$I,Weekly_TVPlant!DC$3&amp;Weekly_TVPlant!$B$3&amp;$B$1,inputs!$D:$D)</f>
        <v>0</v>
      </c>
      <c r="DD4" s="2">
        <f>SUMIF(inputs!$I:$I,Weekly_TVPlant!DD$3&amp;Weekly_TVPlant!$B$3&amp;$B$1,inputs!$D:$D)</f>
        <v>0</v>
      </c>
      <c r="DE4" s="2">
        <f>SUMIF(inputs!$I:$I,Weekly_TVPlant!DE$3&amp;Weekly_TVPlant!$B$3&amp;$B$1,inputs!$D:$D)</f>
        <v>0</v>
      </c>
      <c r="DF4" s="2">
        <f>SUMIF(inputs!$I:$I,Weekly_TVPlant!DF$3&amp;Weekly_TVPlant!$B$3&amp;$B$1,inputs!$D:$D)</f>
        <v>0</v>
      </c>
      <c r="DG4" s="2">
        <f>SUMIF(inputs!$I:$I,Weekly_TVPlant!DG$3&amp;Weekly_TVPlant!$B$3&amp;$B$1,inputs!$D:$D)</f>
        <v>0</v>
      </c>
      <c r="DH4" s="2">
        <f>SUMIF(inputs!$I:$I,Weekly_TVPlant!DH$3&amp;Weekly_TVPlant!$B$3&amp;$B$1,inputs!$D:$D)</f>
        <v>0</v>
      </c>
      <c r="DI4" s="2">
        <f>SUMIF(inputs!$I:$I,Weekly_TVPlant!DI$3&amp;Weekly_TVPlant!$B$3&amp;$B$1,inputs!$D:$D)</f>
        <v>0</v>
      </c>
      <c r="DJ4" s="2">
        <f>SUMIF(inputs!$I:$I,Weekly_TVPlant!DJ$3&amp;Weekly_TVPlant!$B$3&amp;$B$1,inputs!$D:$D)</f>
        <v>0</v>
      </c>
      <c r="DK4" s="2">
        <f>SUMIF(inputs!$I:$I,Weekly_TVPlant!DK$3&amp;Weekly_TVPlant!$B$3&amp;$B$1,inputs!$D:$D)</f>
        <v>0</v>
      </c>
      <c r="DL4" s="2">
        <f>SUMIF(inputs!$I:$I,Weekly_TVPlant!DL$3&amp;Weekly_TVPlant!$B$3&amp;$B$1,inputs!$D:$D)</f>
        <v>0</v>
      </c>
      <c r="DM4" s="2">
        <f>SUMIF(inputs!$I:$I,Weekly_TVPlant!DM$3&amp;Weekly_TVPlant!$B$3&amp;$B$1,inputs!$D:$D)</f>
        <v>0</v>
      </c>
      <c r="DN4" s="2">
        <f>SUMIF(inputs!$I:$I,Weekly_TVPlant!DN$3&amp;Weekly_TVPlant!$B$3&amp;$B$1,inputs!$D:$D)</f>
        <v>0</v>
      </c>
      <c r="DO4" s="2">
        <f>SUMIF(inputs!$I:$I,Weekly_TVPlant!DO$3&amp;Weekly_TVPlant!$B$3&amp;$B$1,inputs!$D:$D)</f>
        <v>0</v>
      </c>
      <c r="DP4" s="2">
        <f>SUMIF(inputs!$I:$I,Weekly_TVPlant!DP$3&amp;Weekly_TVPlant!$B$3&amp;$B$1,inputs!$D:$D)</f>
        <v>0</v>
      </c>
      <c r="DQ4" s="2">
        <f>SUMIF(inputs!$I:$I,Weekly_TVPlant!DQ$3&amp;Weekly_TVPlant!$B$3&amp;$B$1,inputs!$D:$D)</f>
        <v>0</v>
      </c>
      <c r="DR4" s="2">
        <f>SUMIF(inputs!$I:$I,Weekly_TVPlant!DR$3&amp;Weekly_TVPlant!$B$3&amp;$B$1,inputs!$D:$D)</f>
        <v>0</v>
      </c>
      <c r="DS4" s="2">
        <f>SUMIF(inputs!$I:$I,Weekly_TVPlant!DS$3&amp;Weekly_TVPlant!$B$3&amp;$B$1,inputs!$D:$D)</f>
        <v>0</v>
      </c>
      <c r="DT4" s="2">
        <f>SUMIF(inputs!$I:$I,Weekly_TVPlant!DT$3&amp;Weekly_TVPlant!$B$3&amp;$B$1,inputs!$D:$D)</f>
        <v>0</v>
      </c>
      <c r="DU4" s="2">
        <f>SUMIF(inputs!$I:$I,Weekly_TVPlant!DU$3&amp;Weekly_TVPlant!$B$3&amp;$B$1,inputs!$D:$D)</f>
        <v>0</v>
      </c>
      <c r="DV4" s="2">
        <f>SUMIF(inputs!$I:$I,Weekly_TVPlant!DV$3&amp;Weekly_TVPlant!$B$3&amp;$B$1,inputs!$D:$D)</f>
        <v>0</v>
      </c>
      <c r="DW4" s="2">
        <f>SUMIF(inputs!$I:$I,Weekly_TVPlant!DW$3&amp;Weekly_TVPlant!$B$3&amp;$B$1,inputs!$D:$D)</f>
        <v>0</v>
      </c>
      <c r="DX4" s="2">
        <f>SUMIF(inputs!$I:$I,Weekly_TVPlant!DX$3&amp;Weekly_TVPlant!$B$3&amp;$B$1,inputs!$D:$D)</f>
        <v>0</v>
      </c>
      <c r="DY4" s="2">
        <f>SUMIF(inputs!$I:$I,Weekly_TVPlant!DY$3&amp;Weekly_TVPlant!$B$3&amp;$B$1,inputs!$D:$D)</f>
        <v>0</v>
      </c>
      <c r="DZ4" s="2">
        <f>SUMIF(inputs!$I:$I,Weekly_TVPlant!DZ$3&amp;Weekly_TVPlant!$B$3&amp;$B$1,inputs!$D:$D)</f>
        <v>0</v>
      </c>
      <c r="EA4" s="2">
        <f>SUMIF(inputs!$I:$I,Weekly_TVPlant!EA$3&amp;Weekly_TVPlant!$B$3&amp;$B$1,inputs!$D:$D)</f>
        <v>0</v>
      </c>
      <c r="EB4" s="2">
        <f>SUMIF(inputs!$I:$I,Weekly_TVPlant!EB$3&amp;Weekly_TVPlant!$B$3&amp;$B$1,inputs!$D:$D)</f>
        <v>0</v>
      </c>
      <c r="EC4" s="2">
        <f>SUMIF(inputs!$I:$I,Weekly_TVPlant!EC$3&amp;Weekly_TVPlant!$B$3&amp;$B$1,inputs!$D:$D)</f>
        <v>0</v>
      </c>
      <c r="ED4" s="2">
        <f>SUMIF(inputs!$I:$I,Weekly_TVPlant!ED$3&amp;Weekly_TVPlant!$B$3&amp;$B$1,inputs!$D:$D)</f>
        <v>0</v>
      </c>
      <c r="EE4" s="2">
        <f>SUMIF(inputs!$I:$I,Weekly_TVPlant!EE$3&amp;Weekly_TVPlant!$B$3&amp;$B$1,inputs!$D:$D)</f>
        <v>0</v>
      </c>
      <c r="EF4" s="2">
        <f>SUMIF(inputs!$I:$I,Weekly_TVPlant!EF$3&amp;Weekly_TVPlant!$B$3&amp;$B$1,inputs!$D:$D)</f>
        <v>0</v>
      </c>
      <c r="EG4" s="2">
        <f>SUMIF(inputs!$I:$I,Weekly_TVPlant!EG$3&amp;Weekly_TVPlant!$B$3&amp;$B$1,inputs!$D:$D)</f>
        <v>0</v>
      </c>
      <c r="EH4" s="2">
        <f>SUMIF(inputs!$I:$I,Weekly_TVPlant!EH$3&amp;Weekly_TVPlant!$B$3&amp;$B$1,inputs!$D:$D)</f>
        <v>0</v>
      </c>
      <c r="EI4" s="2">
        <f>SUMIF(inputs!$I:$I,Weekly_TVPlant!EI$3&amp;Weekly_TVPlant!$B$3&amp;$B$1,inputs!$D:$D)</f>
        <v>0</v>
      </c>
      <c r="EJ4" s="2">
        <f>SUMIF(inputs!$I:$I,Weekly_TVPlant!EJ$3&amp;Weekly_TVPlant!$B$3&amp;$B$1,inputs!$D:$D)</f>
        <v>0</v>
      </c>
      <c r="EK4" s="2">
        <f>SUMIF(inputs!$I:$I,Weekly_TVPlant!EK$3&amp;Weekly_TVPlant!$B$3&amp;$B$1,inputs!$D:$D)</f>
        <v>0</v>
      </c>
      <c r="EL4" s="2">
        <f>SUMIF(inputs!$I:$I,Weekly_TVPlant!EL$3&amp;Weekly_TVPlant!$B$3&amp;$B$1,inputs!$D:$D)</f>
        <v>0</v>
      </c>
      <c r="EM4" s="2">
        <f>SUMIF(inputs!$I:$I,Weekly_TVPlant!EM$3&amp;Weekly_TVPlant!$B$3&amp;$B$1,inputs!$D:$D)</f>
        <v>0</v>
      </c>
      <c r="EN4" s="2">
        <f>SUMIF(inputs!$I:$I,Weekly_TVPlant!EN$3&amp;Weekly_TVPlant!$B$3&amp;$B$1,inputs!$D:$D)</f>
        <v>0</v>
      </c>
      <c r="EO4" s="2">
        <f>SUMIF(inputs!$I:$I,Weekly_TVPlant!EO$3&amp;Weekly_TVPlant!$B$3&amp;$B$1,inputs!$D:$D)</f>
        <v>0</v>
      </c>
      <c r="EP4" s="2">
        <f>SUMIF(inputs!$I:$I,Weekly_TVPlant!EP$3&amp;Weekly_TVPlant!$B$3&amp;$B$1,inputs!$D:$D)</f>
        <v>0</v>
      </c>
      <c r="EQ4" s="2">
        <f>SUMIF(inputs!$I:$I,Weekly_TVPlant!EQ$3&amp;Weekly_TVPlant!$B$3&amp;$B$1,inputs!$D:$D)</f>
        <v>0</v>
      </c>
      <c r="ER4" s="2">
        <f>SUMIF(inputs!$I:$I,Weekly_TVPlant!ER$3&amp;Weekly_TVPlant!$B$3&amp;$B$1,inputs!$D:$D)</f>
        <v>0</v>
      </c>
      <c r="ES4" s="2">
        <f>SUMIF(inputs!$I:$I,Weekly_TVPlant!ES$3&amp;Weekly_TVPlant!$B$3&amp;$B$1,inputs!$D:$D)</f>
        <v>0</v>
      </c>
      <c r="ET4" s="2">
        <f>SUMIF(inputs!$I:$I,Weekly_TVPlant!ET$3&amp;Weekly_TVPlant!$B$3&amp;$B$1,inputs!$D:$D)</f>
        <v>0</v>
      </c>
      <c r="EU4" s="2">
        <f>SUMIF(inputs!$I:$I,Weekly_TVPlant!EU$3&amp;Weekly_TVPlant!$B$3&amp;$B$1,inputs!$D:$D)</f>
        <v>0</v>
      </c>
      <c r="EV4" s="2">
        <f>SUMIF(inputs!$I:$I,Weekly_TVPlant!EV$3&amp;Weekly_TVPlant!$B$3&amp;$B$1,inputs!$D:$D)</f>
        <v>0</v>
      </c>
      <c r="EW4" s="2">
        <f>SUMIF(inputs!$I:$I,Weekly_TVPlant!EW$3&amp;Weekly_TVPlant!$B$3&amp;$B$1,inputs!$D:$D)</f>
        <v>0</v>
      </c>
      <c r="EX4" s="2">
        <f>SUMIF(inputs!$I:$I,Weekly_TVPlant!EX$3&amp;Weekly_TVPlant!$B$3&amp;$B$1,inputs!$D:$D)</f>
        <v>0</v>
      </c>
      <c r="EY4" s="2">
        <f>SUMIF(inputs!$I:$I,Weekly_TVPlant!EY$3&amp;Weekly_TVPlant!$B$3&amp;$B$1,inputs!$D:$D)</f>
        <v>0</v>
      </c>
      <c r="EZ4" s="2">
        <f>SUMIF(inputs!$I:$I,Weekly_TVPlant!EZ$3&amp;Weekly_TVPlant!$B$3&amp;$B$1,inputs!$D:$D)</f>
        <v>0</v>
      </c>
      <c r="FA4" s="2">
        <f>SUMIF(inputs!$I:$I,Weekly_TVPlant!FA$3&amp;Weekly_TVPlant!$B$3&amp;$B$1,inputs!$D:$D)</f>
        <v>0</v>
      </c>
      <c r="FB4" s="2">
        <f>SUMIF(inputs!$I:$I,Weekly_TVPlant!FB$3&amp;Weekly_TVPlant!$B$3&amp;$B$1,inputs!$D:$D)</f>
        <v>0</v>
      </c>
      <c r="FC4" s="2">
        <f>SUMIF(inputs!$I:$I,Weekly_TVPlant!FC$3&amp;Weekly_TVPlant!$B$3&amp;$B$1,inputs!$D:$D)</f>
        <v>0</v>
      </c>
      <c r="FD4" s="2">
        <f>SUMIF(inputs!$I:$I,Weekly_TVPlant!FD$3&amp;Weekly_TVPlant!$B$3&amp;$B$1,inputs!$D:$D)</f>
        <v>0</v>
      </c>
      <c r="FE4" s="2">
        <f>SUMIF(inputs!$I:$I,Weekly_TVPlant!FE$3&amp;Weekly_TVPlant!$B$3&amp;$B$1,inputs!$D:$D)</f>
        <v>0</v>
      </c>
    </row>
    <row r="5" spans="2:161">
      <c r="B5" s="2" t="s">
        <v>990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2</v>
      </c>
      <c r="BP5" s="2">
        <f t="shared" ref="BP5:EA5" si="1">SUM(BP6:BP24)</f>
        <v>0</v>
      </c>
      <c r="BQ5" s="2">
        <f t="shared" si="1"/>
        <v>0</v>
      </c>
      <c r="BR5" s="2">
        <f t="shared" si="1"/>
        <v>0</v>
      </c>
      <c r="BS5" s="2">
        <f t="shared" si="1"/>
        <v>0</v>
      </c>
      <c r="BT5" s="2">
        <f t="shared" si="1"/>
        <v>0</v>
      </c>
      <c r="BU5" s="2">
        <f t="shared" si="1"/>
        <v>1</v>
      </c>
      <c r="BV5" s="2">
        <f t="shared" si="1"/>
        <v>0</v>
      </c>
      <c r="BW5" s="2">
        <f t="shared" si="1"/>
        <v>1</v>
      </c>
      <c r="BX5" s="2">
        <f t="shared" si="1"/>
        <v>4</v>
      </c>
      <c r="BY5" s="2">
        <f t="shared" si="1"/>
        <v>2</v>
      </c>
      <c r="BZ5" s="2">
        <f t="shared" si="1"/>
        <v>4</v>
      </c>
      <c r="CA5" s="2">
        <f t="shared" si="1"/>
        <v>2</v>
      </c>
      <c r="CB5" s="2">
        <f t="shared" si="1"/>
        <v>1</v>
      </c>
      <c r="CC5" s="2">
        <f t="shared" si="1"/>
        <v>7</v>
      </c>
      <c r="CD5" s="2">
        <f t="shared" si="1"/>
        <v>6</v>
      </c>
      <c r="CE5" s="2">
        <f t="shared" si="1"/>
        <v>4</v>
      </c>
      <c r="CF5" s="2">
        <f t="shared" si="1"/>
        <v>12</v>
      </c>
      <c r="CG5" s="2">
        <f t="shared" si="1"/>
        <v>0</v>
      </c>
      <c r="CH5" s="2">
        <f t="shared" si="1"/>
        <v>0</v>
      </c>
      <c r="CI5" s="2">
        <f t="shared" si="1"/>
        <v>7</v>
      </c>
      <c r="CJ5" s="2">
        <f t="shared" si="1"/>
        <v>10</v>
      </c>
      <c r="CK5" s="2">
        <f t="shared" si="1"/>
        <v>5</v>
      </c>
      <c r="CL5" s="2">
        <f t="shared" si="1"/>
        <v>7</v>
      </c>
      <c r="CM5" s="2">
        <f t="shared" si="1"/>
        <v>4</v>
      </c>
      <c r="CN5" s="2">
        <f t="shared" si="1"/>
        <v>3</v>
      </c>
      <c r="CO5" s="2">
        <f t="shared" si="1"/>
        <v>14</v>
      </c>
      <c r="CP5" s="2">
        <f t="shared" si="1"/>
        <v>17</v>
      </c>
      <c r="CQ5" s="2">
        <f t="shared" si="1"/>
        <v>5</v>
      </c>
      <c r="CR5" s="2">
        <f t="shared" si="1"/>
        <v>8</v>
      </c>
      <c r="CS5" s="2">
        <f t="shared" si="1"/>
        <v>8</v>
      </c>
      <c r="CT5" s="2">
        <f t="shared" si="1"/>
        <v>43</v>
      </c>
      <c r="CU5" s="2">
        <f t="shared" si="1"/>
        <v>16</v>
      </c>
      <c r="CV5" s="2">
        <f t="shared" si="1"/>
        <v>0</v>
      </c>
      <c r="CW5" s="2">
        <f t="shared" si="1"/>
        <v>2</v>
      </c>
      <c r="CX5" s="2">
        <f t="shared" si="1"/>
        <v>5</v>
      </c>
      <c r="CY5" s="2">
        <f t="shared" si="1"/>
        <v>8</v>
      </c>
      <c r="CZ5" s="2">
        <f t="shared" si="1"/>
        <v>1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>
      <c r="B6" s="2" t="s">
        <v>991</v>
      </c>
      <c r="C6" s="2">
        <f>COUNTIF(defects!$X:$X,Weekly_TVPlant!C$3&amp;Weekly_TVPlant!$B6&amp;Weekly_TVPlant!$B$3&amp;$B$2&amp;$B$1)</f>
        <v>0</v>
      </c>
      <c r="D6" s="2">
        <f>COUNTIF(defects!$X:$X,Weekly_TVPlant!D$3&amp;Weekly_TVPlant!$B6&amp;Weekly_TVPlant!$B$3&amp;$B$2&amp;$B$1)</f>
        <v>0</v>
      </c>
      <c r="E6" s="2">
        <f>COUNTIF(defects!$X:$X,Weekly_TVPlant!E$3&amp;Weekly_TVPlant!$B6&amp;Weekly_TVPlant!$B$3&amp;$B$2&amp;$B$1)</f>
        <v>0</v>
      </c>
      <c r="F6" s="2">
        <f>COUNTIF(defects!$X:$X,Weekly_TVPlant!F$3&amp;Weekly_TVPlant!$B6&amp;Weekly_TVPlant!$B$3&amp;$B$2&amp;$B$1)</f>
        <v>0</v>
      </c>
      <c r="G6" s="2">
        <f>COUNTIF(defects!$X:$X,Weekly_TVPlant!G$3&amp;Weekly_TVPlant!$B6&amp;Weekly_TVPlant!$B$3&amp;$B$2&amp;$B$1)</f>
        <v>0</v>
      </c>
      <c r="H6" s="2">
        <f>COUNTIF(defects!$X:$X,Weekly_TVPlant!H$3&amp;Weekly_TVPlant!$B6&amp;Weekly_TVPlant!$B$3&amp;$B$2&amp;$B$1)</f>
        <v>0</v>
      </c>
      <c r="I6" s="2">
        <f>COUNTIF(defects!$X:$X,Weekly_TVPlant!I$3&amp;Weekly_TVPlant!$B6&amp;Weekly_TVPlant!$B$3&amp;$B$2&amp;$B$1)</f>
        <v>0</v>
      </c>
      <c r="J6" s="2">
        <f>COUNTIF(defects!$X:$X,Weekly_TVPlant!J$3&amp;Weekly_TVPlant!$B6&amp;Weekly_TVPlant!$B$3&amp;$B$2&amp;$B$1)</f>
        <v>0</v>
      </c>
      <c r="K6" s="2">
        <f>COUNTIF(defects!$X:$X,Weekly_TVPlant!K$3&amp;Weekly_TVPlant!$B6&amp;Weekly_TVPlant!$B$3&amp;$B$2&amp;$B$1)</f>
        <v>0</v>
      </c>
      <c r="L6" s="2">
        <f>COUNTIF(defects!$X:$X,Weekly_TVPlant!L$3&amp;Weekly_TVPlant!$B6&amp;Weekly_TVPlant!$B$3&amp;$B$2&amp;$B$1)</f>
        <v>0</v>
      </c>
      <c r="M6" s="2">
        <f>COUNTIF(defects!$X:$X,Weekly_TVPlant!M$3&amp;Weekly_TVPlant!$B6&amp;Weekly_TVPlant!$B$3&amp;$B$2&amp;$B$1)</f>
        <v>0</v>
      </c>
      <c r="N6" s="2">
        <f>COUNTIF(defects!$X:$X,Weekly_TVPlant!N$3&amp;Weekly_TVPlant!$B6&amp;Weekly_TVPlant!$B$3&amp;$B$2&amp;$B$1)</f>
        <v>0</v>
      </c>
      <c r="O6" s="2">
        <f>COUNTIF(defects!$X:$X,Weekly_TVPlant!O$3&amp;Weekly_TVPlant!$B6&amp;Weekly_TVPlant!$B$3&amp;$B$2&amp;$B$1)</f>
        <v>0</v>
      </c>
      <c r="P6" s="2">
        <f>COUNTIF(defects!$X:$X,Weekly_TVPlant!P$3&amp;Weekly_TVPlant!$B6&amp;Weekly_TVPlant!$B$3&amp;$B$2&amp;$B$1)</f>
        <v>0</v>
      </c>
      <c r="Q6" s="2">
        <f>COUNTIF(defects!$X:$X,Weekly_TVPlant!Q$3&amp;Weekly_TVPlant!$B6&amp;Weekly_TVPlant!$B$3&amp;$B$2&amp;$B$1)</f>
        <v>0</v>
      </c>
      <c r="R6" s="2">
        <f>COUNTIF(defects!$X:$X,Weekly_TVPlant!R$3&amp;Weekly_TVPlant!$B6&amp;Weekly_TVPlant!$B$3&amp;$B$2&amp;$B$1)</f>
        <v>0</v>
      </c>
      <c r="S6" s="2">
        <f>COUNTIF(defects!$X:$X,Weekly_TVPlant!S$3&amp;Weekly_TVPlant!$B6&amp;Weekly_TVPlant!$B$3&amp;$B$2&amp;$B$1)</f>
        <v>0</v>
      </c>
      <c r="T6" s="2">
        <f>COUNTIF(defects!$X:$X,Weekly_TVPlant!T$3&amp;Weekly_TVPlant!$B6&amp;Weekly_TVPlant!$B$3&amp;$B$2&amp;$B$1)</f>
        <v>0</v>
      </c>
      <c r="U6" s="2">
        <f>COUNTIF(defects!$X:$X,Weekly_TVPlant!U$3&amp;Weekly_TVPlant!$B6&amp;Weekly_TVPlant!$B$3&amp;$B$2&amp;$B$1)</f>
        <v>0</v>
      </c>
      <c r="V6" s="2">
        <f>COUNTIF(defects!$X:$X,Weekly_TVPlant!V$3&amp;Weekly_TVPlant!$B6&amp;Weekly_TVPlant!$B$3&amp;$B$2&amp;$B$1)</f>
        <v>0</v>
      </c>
      <c r="W6" s="2">
        <f>COUNTIF(defects!$X:$X,Weekly_TVPlant!W$3&amp;Weekly_TVPlant!$B6&amp;Weekly_TVPlant!$B$3&amp;$B$2&amp;$B$1)</f>
        <v>0</v>
      </c>
      <c r="X6" s="2">
        <f>COUNTIF(defects!$X:$X,Weekly_TVPlant!X$3&amp;Weekly_TVPlant!$B6&amp;Weekly_TVPlant!$B$3&amp;$B$2&amp;$B$1)</f>
        <v>0</v>
      </c>
      <c r="Y6" s="2">
        <f>COUNTIF(defects!$X:$X,Weekly_TVPlant!Y$3&amp;Weekly_TVPlant!$B6&amp;Weekly_TVPlant!$B$3&amp;$B$2&amp;$B$1)</f>
        <v>0</v>
      </c>
      <c r="Z6" s="2">
        <f>COUNTIF(defects!$X:$X,Weekly_TVPlant!Z$3&amp;Weekly_TVPlant!$B6&amp;Weekly_TVPlant!$B$3&amp;$B$2&amp;$B$1)</f>
        <v>0</v>
      </c>
      <c r="AA6" s="2">
        <f>COUNTIF(defects!$X:$X,Weekly_TVPlant!AA$3&amp;Weekly_TVPlant!$B6&amp;Weekly_TVPlant!$B$3&amp;$B$2&amp;$B$1)</f>
        <v>0</v>
      </c>
      <c r="AB6" s="2">
        <f>COUNTIF(defects!$X:$X,Weekly_TVPlant!AB$3&amp;Weekly_TVPlant!$B6&amp;Weekly_TVPlant!$B$3&amp;$B$2&amp;$B$1)</f>
        <v>0</v>
      </c>
      <c r="AC6" s="2">
        <f>COUNTIF(defects!$X:$X,Weekly_TVPlant!AC$3&amp;Weekly_TVPlant!$B6&amp;Weekly_TVPlant!$B$3&amp;$B$2&amp;$B$1)</f>
        <v>0</v>
      </c>
      <c r="AD6" s="2">
        <f>COUNTIF(defects!$X:$X,Weekly_TVPlant!AD$3&amp;Weekly_TVPlant!$B6&amp;Weekly_TVPlant!$B$3&amp;$B$2&amp;$B$1)</f>
        <v>0</v>
      </c>
      <c r="AE6" s="2">
        <f>COUNTIF(defects!$X:$X,Weekly_TVPlant!AE$3&amp;Weekly_TVPlant!$B6&amp;Weekly_TVPlant!$B$3&amp;$B$2&amp;$B$1)</f>
        <v>0</v>
      </c>
      <c r="AF6" s="2">
        <f>COUNTIF(defects!$X:$X,Weekly_TVPlant!AF$3&amp;Weekly_TVPlant!$B6&amp;Weekly_TVPlant!$B$3&amp;$B$2&amp;$B$1)</f>
        <v>0</v>
      </c>
      <c r="AG6" s="2">
        <f>COUNTIF(defects!$X:$X,Weekly_TVPlant!AG$3&amp;Weekly_TVPlant!$B6&amp;Weekly_TVPlant!$B$3&amp;$B$2&amp;$B$1)</f>
        <v>0</v>
      </c>
      <c r="AH6" s="2">
        <f>COUNTIF(defects!$X:$X,Weekly_TVPlant!AH$3&amp;Weekly_TVPlant!$B6&amp;Weekly_TVPlant!$B$3&amp;$B$2&amp;$B$1)</f>
        <v>0</v>
      </c>
      <c r="AI6" s="2">
        <f>COUNTIF(defects!$X:$X,Weekly_TVPlant!AI$3&amp;Weekly_TVPlant!$B6&amp;Weekly_TVPlant!$B$3&amp;$B$2&amp;$B$1)</f>
        <v>0</v>
      </c>
      <c r="AJ6" s="2">
        <f>COUNTIF(defects!$X:$X,Weekly_TVPlant!AJ$3&amp;Weekly_TVPlant!$B6&amp;Weekly_TVPlant!$B$3&amp;$B$2&amp;$B$1)</f>
        <v>0</v>
      </c>
      <c r="AK6" s="2">
        <f>COUNTIF(defects!$X:$X,Weekly_TVPlant!AK$3&amp;Weekly_TVPlant!$B6&amp;Weekly_TVPlant!$B$3&amp;$B$2&amp;$B$1)</f>
        <v>0</v>
      </c>
      <c r="AL6" s="2">
        <f>COUNTIF(defects!$X:$X,Weekly_TVPlant!AL$3&amp;Weekly_TVPlant!$B6&amp;Weekly_TVPlant!$B$3&amp;$B$2&amp;$B$1)</f>
        <v>0</v>
      </c>
      <c r="AM6" s="2">
        <f>COUNTIF(defects!$X:$X,Weekly_TVPlant!AM$3&amp;Weekly_TVPlant!$B6&amp;Weekly_TVPlant!$B$3&amp;$B$2&amp;$B$1)</f>
        <v>0</v>
      </c>
      <c r="AN6" s="2">
        <f>COUNTIF(defects!$X:$X,Weekly_TVPlant!AN$3&amp;Weekly_TVPlant!$B6&amp;Weekly_TVPlant!$B$3&amp;$B$2&amp;$B$1)</f>
        <v>0</v>
      </c>
      <c r="AO6" s="2">
        <f>COUNTIF(defects!$X:$X,Weekly_TVPlant!AO$3&amp;Weekly_TVPlant!$B6&amp;Weekly_TVPlant!$B$3&amp;$B$2&amp;$B$1)</f>
        <v>0</v>
      </c>
      <c r="AP6" s="2">
        <f>COUNTIF(defects!$X:$X,Weekly_TVPlant!AP$3&amp;Weekly_TVPlant!$B6&amp;Weekly_TVPlant!$B$3&amp;$B$2&amp;$B$1)</f>
        <v>0</v>
      </c>
      <c r="AQ6" s="2">
        <f>COUNTIF(defects!$X:$X,Weekly_TVPlant!AQ$3&amp;Weekly_TVPlant!$B6&amp;Weekly_TVPlant!$B$3&amp;$B$2&amp;$B$1)</f>
        <v>0</v>
      </c>
      <c r="AR6" s="2">
        <f>COUNTIF(defects!$X:$X,Weekly_TVPlant!AR$3&amp;Weekly_TVPlant!$B6&amp;Weekly_TVPlant!$B$3&amp;$B$2&amp;$B$1)</f>
        <v>0</v>
      </c>
      <c r="AS6" s="2">
        <f>COUNTIF(defects!$X:$X,Weekly_TVPlant!AS$3&amp;Weekly_TVPlant!$B6&amp;Weekly_TVPlant!$B$3&amp;$B$2&amp;$B$1)</f>
        <v>0</v>
      </c>
      <c r="AT6" s="2">
        <f>COUNTIF(defects!$X:$X,Weekly_TVPlant!AT$3&amp;Weekly_TVPlant!$B6&amp;Weekly_TVPlant!$B$3&amp;$B$2&amp;$B$1)</f>
        <v>0</v>
      </c>
      <c r="AU6" s="2">
        <f>COUNTIF(defects!$X:$X,Weekly_TVPlant!AU$3&amp;Weekly_TVPlant!$B6&amp;Weekly_TVPlant!$B$3&amp;$B$2&amp;$B$1)</f>
        <v>0</v>
      </c>
      <c r="AV6" s="2">
        <f>COUNTIF(defects!$X:$X,Weekly_TVPlant!AV$3&amp;Weekly_TVPlant!$B6&amp;Weekly_TVPlant!$B$3&amp;$B$2&amp;$B$1)</f>
        <v>0</v>
      </c>
      <c r="AW6" s="2">
        <f>COUNTIF(defects!$X:$X,Weekly_TVPlant!AW$3&amp;Weekly_TVPlant!$B6&amp;Weekly_TVPlant!$B$3&amp;$B$2&amp;$B$1)</f>
        <v>0</v>
      </c>
      <c r="AX6" s="2">
        <f>COUNTIF(defects!$X:$X,Weekly_TVPlant!AX$3&amp;Weekly_TVPlant!$B6&amp;Weekly_TVPlant!$B$3&amp;$B$2&amp;$B$1)</f>
        <v>0</v>
      </c>
      <c r="AY6" s="2">
        <f>COUNTIF(defects!$X:$X,Weekly_TVPlant!AY$3&amp;Weekly_TVPlant!$B6&amp;Weekly_TVPlant!$B$3&amp;$B$2&amp;$B$1)</f>
        <v>0</v>
      </c>
      <c r="AZ6" s="2">
        <f>COUNTIF(defects!$X:$X,Weekly_TVPlant!AZ$3&amp;Weekly_TVPlant!$B6&amp;Weekly_TVPlant!$B$3&amp;$B$2&amp;$B$1)</f>
        <v>0</v>
      </c>
      <c r="BA6" s="2">
        <f>COUNTIF(defects!$X:$X,Weekly_TVPlant!BA$3&amp;Weekly_TVPlant!$B6&amp;Weekly_TVPlant!$B$3&amp;$B$2&amp;$B$1)</f>
        <v>0</v>
      </c>
      <c r="BB6" s="2">
        <f>COUNTIF(defects!$X:$X,Weekly_TVPlant!BB$3&amp;Weekly_TVPlant!$B6&amp;Weekly_TVPlant!$B$3&amp;$B$2&amp;$B$1)</f>
        <v>0</v>
      </c>
      <c r="BC6" s="2">
        <f>COUNTIF(defects!$X:$X,Weekly_TVPlant!BC$3&amp;Weekly_TVPlant!$B6&amp;Weekly_TVPlant!$B$3&amp;$B$2&amp;$B$1)</f>
        <v>0</v>
      </c>
      <c r="BD6" s="2">
        <f>COUNTIF(defects!$X:$X,Weekly_TVPlant!BD$3&amp;Weekly_TVPlant!$B6&amp;Weekly_TVPlant!$B$3&amp;$B$2&amp;$B$1)</f>
        <v>0</v>
      </c>
      <c r="BE6" s="2">
        <f>COUNTIF(defects!$X:$X,Weekly_TVPlant!BE$3&amp;Weekly_TVPlant!$B6&amp;Weekly_TVPlant!$B$3&amp;$B$2&amp;$B$1)</f>
        <v>0</v>
      </c>
      <c r="BF6" s="2">
        <f>COUNTIF(defects!$X:$X,Weekly_TVPlant!BF$3&amp;Weekly_TVPlant!$B6&amp;Weekly_TVPlant!$B$3&amp;$B$2&amp;$B$1)</f>
        <v>0</v>
      </c>
      <c r="BG6" s="2">
        <f>COUNTIF(defects!$X:$X,Weekly_TVPlant!BG$3&amp;Weekly_TVPlant!$B6&amp;Weekly_TVPlant!$B$3&amp;$B$2&amp;$B$1)</f>
        <v>0</v>
      </c>
      <c r="BH6" s="2">
        <f>COUNTIF(defects!$X:$X,Weekly_TVPlant!BH$3&amp;Weekly_TVPlant!$B6&amp;Weekly_TVPlant!$B$3&amp;$B$2&amp;$B$1)</f>
        <v>0</v>
      </c>
      <c r="BI6" s="2">
        <f>COUNTIF(defects!$X:$X,Weekly_TVPlant!BI$3&amp;Weekly_TVPlant!$B6&amp;Weekly_TVPlant!$B$3&amp;$B$2&amp;$B$1)</f>
        <v>0</v>
      </c>
      <c r="BJ6" s="2">
        <f>COUNTIF(defects!$X:$X,Weekly_TVPlant!BJ$3&amp;Weekly_TVPlant!$B6&amp;Weekly_TVPlant!$B$3&amp;$B$2&amp;$B$1)</f>
        <v>0</v>
      </c>
      <c r="BK6" s="2">
        <f>COUNTIF(defects!$X:$X,Weekly_TVPlant!BK$3&amp;Weekly_TVPlant!$B6&amp;Weekly_TVPlant!$B$3&amp;$B$2&amp;$B$1)</f>
        <v>0</v>
      </c>
      <c r="BL6" s="2">
        <f>COUNTIF(defects!$X:$X,Weekly_TVPlant!BL$3&amp;Weekly_TVPlant!$B6&amp;Weekly_TVPlant!$B$3&amp;$B$2&amp;$B$1)</f>
        <v>0</v>
      </c>
      <c r="BM6" s="2">
        <f>COUNTIF(defects!$X:$X,Weekly_TVPlant!BM$3&amp;Weekly_TVPlant!$B6&amp;Weekly_TVPlant!$B$3&amp;$B$2&amp;$B$1)</f>
        <v>0</v>
      </c>
      <c r="BN6" s="2">
        <f>COUNTIF(defects!$X:$X,Weekly_TVPlant!BN$3&amp;Weekly_TVPlant!$B6&amp;Weekly_TVPlant!$B$3&amp;$B$2&amp;$B$1)</f>
        <v>0</v>
      </c>
      <c r="BO6" s="2">
        <f>COUNTIF(defects!$X:$X,Weekly_TVPlant!BO$3&amp;Weekly_TVPlant!$B6&amp;Weekly_TVPlant!$B$3&amp;$B$2&amp;$B$1)</f>
        <v>0</v>
      </c>
      <c r="BP6" s="2">
        <f>COUNTIF(defects!$X:$X,Weekly_TVPlant!BP$3&amp;Weekly_TVPlant!$B6&amp;Weekly_TVPlant!$B$3&amp;$B$2&amp;$B$1)</f>
        <v>0</v>
      </c>
      <c r="BQ6" s="2">
        <f>COUNTIF(defects!$X:$X,Weekly_TVPlant!BQ$3&amp;Weekly_TVPlant!$B6&amp;Weekly_TVPlant!$B$3&amp;$B$2&amp;$B$1)</f>
        <v>0</v>
      </c>
      <c r="BR6" s="2">
        <f>COUNTIF(defects!$X:$X,Weekly_TVPlant!BR$3&amp;Weekly_TVPlant!$B6&amp;Weekly_TVPlant!$B$3&amp;$B$2&amp;$B$1)</f>
        <v>0</v>
      </c>
      <c r="BS6" s="2">
        <f>COUNTIF(defects!$X:$X,Weekly_TVPlant!BS$3&amp;Weekly_TVPlant!$B6&amp;Weekly_TVPlant!$B$3&amp;$B$2&amp;$B$1)</f>
        <v>0</v>
      </c>
      <c r="BT6" s="2">
        <f>COUNTIF(defects!$X:$X,Weekly_TVPlant!BT$3&amp;Weekly_TVPlant!$B6&amp;Weekly_TVPlant!$B$3&amp;$B$2&amp;$B$1)</f>
        <v>0</v>
      </c>
      <c r="BU6" s="2">
        <f>COUNTIF(defects!$X:$X,Weekly_TVPlant!BU$3&amp;Weekly_TVPlant!$B6&amp;Weekly_TVPlant!$B$3&amp;$B$2&amp;$B$1)</f>
        <v>0</v>
      </c>
      <c r="BV6" s="2">
        <f>COUNTIF(defects!$X:$X,Weekly_TVPlant!BV$3&amp;Weekly_TVPlant!$B6&amp;Weekly_TVPlant!$B$3&amp;$B$2&amp;$B$1)</f>
        <v>0</v>
      </c>
      <c r="BW6" s="2">
        <f>COUNTIF(defects!$X:$X,Weekly_TVPlant!BW$3&amp;Weekly_TVPlant!$B6&amp;Weekly_TVPlant!$B$3&amp;$B$2&amp;$B$1)</f>
        <v>0</v>
      </c>
      <c r="BX6" s="2">
        <f>COUNTIF(defects!$X:$X,Weekly_TVPlant!BX$3&amp;Weekly_TVPlant!$B6&amp;Weekly_TVPlant!$B$3&amp;$B$2&amp;$B$1)</f>
        <v>0</v>
      </c>
      <c r="BY6" s="2">
        <f>COUNTIF(defects!$X:$X,Weekly_TVPlant!BY$3&amp;Weekly_TVPlant!$B6&amp;Weekly_TVPlant!$B$3&amp;$B$2&amp;$B$1)</f>
        <v>0</v>
      </c>
      <c r="BZ6" s="2">
        <f>COUNTIF(defects!$X:$X,Weekly_TVPlant!BZ$3&amp;Weekly_TVPlant!$B6&amp;Weekly_TVPlant!$B$3&amp;$B$2&amp;$B$1)</f>
        <v>0</v>
      </c>
      <c r="CA6" s="2">
        <f>COUNTIF(defects!$X:$X,Weekly_TVPlant!CA$3&amp;Weekly_TVPlant!$B6&amp;Weekly_TVPlant!$B$3&amp;$B$2&amp;$B$1)</f>
        <v>0</v>
      </c>
      <c r="CB6" s="2">
        <f>COUNTIF(defects!$X:$X,Weekly_TVPlant!CB$3&amp;Weekly_TVPlant!$B6&amp;Weekly_TVPlant!$B$3&amp;$B$2&amp;$B$1)</f>
        <v>0</v>
      </c>
      <c r="CC6" s="2">
        <f>COUNTIF(defects!$X:$X,Weekly_TVPlant!CC$3&amp;Weekly_TVPlant!$B6&amp;Weekly_TVPlant!$B$3&amp;$B$2&amp;$B$1)</f>
        <v>0</v>
      </c>
      <c r="CD6" s="2">
        <f>COUNTIF(defects!$X:$X,Weekly_TVPlant!CD$3&amp;Weekly_TVPlant!$B6&amp;Weekly_TVPlant!$B$3&amp;$B$2&amp;$B$1)</f>
        <v>0</v>
      </c>
      <c r="CE6" s="2">
        <f>COUNTIF(defects!$X:$X,Weekly_TVPlant!CE$3&amp;Weekly_TVPlant!$B6&amp;Weekly_TVPlant!$B$3&amp;$B$2&amp;$B$1)</f>
        <v>0</v>
      </c>
      <c r="CF6" s="2">
        <f>COUNTIF(defects!$X:$X,Weekly_TVPlant!CF$3&amp;Weekly_TVPlant!$B6&amp;Weekly_TVPlant!$B$3&amp;$B$2&amp;$B$1)</f>
        <v>0</v>
      </c>
      <c r="CG6" s="2">
        <f>COUNTIF(defects!$X:$X,Weekly_TVPlant!CG$3&amp;Weekly_TVPlant!$B6&amp;Weekly_TVPlant!$B$3&amp;$B$2&amp;$B$1)</f>
        <v>0</v>
      </c>
      <c r="CH6" s="2">
        <f>COUNTIF(defects!$X:$X,Weekly_TVPlant!CH$3&amp;Weekly_TVPlant!$B6&amp;Weekly_TVPlant!$B$3&amp;$B$2&amp;$B$1)</f>
        <v>0</v>
      </c>
      <c r="CI6" s="2">
        <f>COUNTIF(defects!$X:$X,Weekly_TVPlant!CI$3&amp;Weekly_TVPlant!$B6&amp;Weekly_TVPlant!$B$3&amp;$B$2&amp;$B$1)</f>
        <v>0</v>
      </c>
      <c r="CJ6" s="2">
        <f>COUNTIF(defects!$X:$X,Weekly_TVPlant!CJ$3&amp;Weekly_TVPlant!$B6&amp;Weekly_TVPlant!$B$3&amp;$B$2&amp;$B$1)</f>
        <v>0</v>
      </c>
      <c r="CK6" s="2">
        <f>COUNTIF(defects!$X:$X,Weekly_TVPlant!CK$3&amp;Weekly_TVPlant!$B6&amp;Weekly_TVPlant!$B$3&amp;$B$2&amp;$B$1)</f>
        <v>0</v>
      </c>
      <c r="CL6" s="2">
        <f>COUNTIF(defects!$X:$X,Weekly_TVPlant!CL$3&amp;Weekly_TVPlant!$B6&amp;Weekly_TVPlant!$B$3&amp;$B$2&amp;$B$1)</f>
        <v>0</v>
      </c>
      <c r="CM6" s="2">
        <f>COUNTIF(defects!$X:$X,Weekly_TVPlant!CM$3&amp;Weekly_TVPlant!$B6&amp;Weekly_TVPlant!$B$3&amp;$B$2&amp;$B$1)</f>
        <v>0</v>
      </c>
      <c r="CN6" s="2">
        <f>COUNTIF(defects!$X:$X,Weekly_TVPlant!CN$3&amp;Weekly_TVPlant!$B6&amp;Weekly_TVPlant!$B$3&amp;$B$2&amp;$B$1)</f>
        <v>0</v>
      </c>
      <c r="CO6" s="2">
        <f>COUNTIF(defects!$X:$X,Weekly_TVPlant!CO$3&amp;Weekly_TVPlant!$B6&amp;Weekly_TVPlant!$B$3&amp;$B$2&amp;$B$1)</f>
        <v>0</v>
      </c>
      <c r="CP6" s="2">
        <f>COUNTIF(defects!$X:$X,Weekly_TVPlant!CP$3&amp;Weekly_TVPlant!$B6&amp;Weekly_TVPlant!$B$3&amp;$B$2&amp;$B$1)</f>
        <v>0</v>
      </c>
      <c r="CQ6" s="2">
        <f>COUNTIF(defects!$X:$X,Weekly_TVPlant!CQ$3&amp;Weekly_TVPlant!$B6&amp;Weekly_TVPlant!$B$3&amp;$B$2&amp;$B$1)</f>
        <v>0</v>
      </c>
      <c r="CR6" s="2">
        <f>COUNTIF(defects!$X:$X,Weekly_TVPlant!CR$3&amp;Weekly_TVPlant!$B6&amp;Weekly_TVPlant!$B$3&amp;$B$2&amp;$B$1)</f>
        <v>0</v>
      </c>
      <c r="CS6" s="2">
        <f>COUNTIF(defects!$X:$X,Weekly_TVPlant!CS$3&amp;Weekly_TVPlant!$B6&amp;Weekly_TVPlant!$B$3&amp;$B$2&amp;$B$1)</f>
        <v>0</v>
      </c>
      <c r="CT6" s="2">
        <f>COUNTIF(defects!$X:$X,Weekly_TVPlant!CT$3&amp;Weekly_TVPlant!$B6&amp;Weekly_TVPlant!$B$3&amp;$B$2&amp;$B$1)</f>
        <v>0</v>
      </c>
      <c r="CU6" s="2">
        <f>COUNTIF(defects!$X:$X,Weekly_TVPlant!CU$3&amp;Weekly_TVPlant!$B6&amp;Weekly_TVPlant!$B$3&amp;$B$2&amp;$B$1)</f>
        <v>0</v>
      </c>
      <c r="CV6" s="2">
        <f>COUNTIF(defects!$X:$X,Weekly_TVPlant!CV$3&amp;Weekly_TVPlant!$B6&amp;Weekly_TVPlant!$B$3&amp;$B$2&amp;$B$1)</f>
        <v>0</v>
      </c>
      <c r="CW6" s="2">
        <f>COUNTIF(defects!$X:$X,Weekly_TVPlant!CW$3&amp;Weekly_TVPlant!$B6&amp;Weekly_TVPlant!$B$3&amp;$B$2&amp;$B$1)</f>
        <v>0</v>
      </c>
      <c r="CX6" s="2">
        <f>COUNTIF(defects!$X:$X,Weekly_TVPlant!CX$3&amp;Weekly_TVPlant!$B6&amp;Weekly_TVPlant!$B$3&amp;$B$2&amp;$B$1)</f>
        <v>0</v>
      </c>
      <c r="CY6" s="2">
        <f>COUNTIF(defects!$X:$X,Weekly_TVPlant!CY$3&amp;Weekly_TVPlant!$B6&amp;Weekly_TVPlant!$B$3&amp;$B$2&amp;$B$1)</f>
        <v>0</v>
      </c>
      <c r="CZ6" s="2">
        <f>COUNTIF(defects!$X:$X,Weekly_TVPlant!CZ$3&amp;Weekly_TVPlant!$B6&amp;Weekly_TVPlant!$B$3&amp;$B$2&amp;$B$1)</f>
        <v>0</v>
      </c>
      <c r="DA6" s="2">
        <f>COUNTIF(defects!$X:$X,Weekly_TVPlant!DA$3&amp;Weekly_TVPlant!$B6&amp;Weekly_TVPlant!$B$3&amp;$B$2&amp;$B$1)</f>
        <v>0</v>
      </c>
      <c r="DB6" s="2">
        <f>COUNTIF(defects!$X:$X,Weekly_TVPlant!DB$3&amp;Weekly_TVPlant!$B6&amp;Weekly_TVPlant!$B$3&amp;$B$2&amp;$B$1)</f>
        <v>0</v>
      </c>
      <c r="DC6" s="2">
        <f>COUNTIF(defects!$X:$X,Weekly_TVPlant!DC$3&amp;Weekly_TVPlant!$B6&amp;Weekly_TVPlant!$B$3&amp;$B$2&amp;$B$1)</f>
        <v>0</v>
      </c>
      <c r="DD6" s="2">
        <f>COUNTIF(defects!$X:$X,Weekly_TVPlant!DD$3&amp;Weekly_TVPlant!$B6&amp;Weekly_TVPlant!$B$3&amp;$B$2&amp;$B$1)</f>
        <v>0</v>
      </c>
      <c r="DE6" s="2">
        <f>COUNTIF(defects!$X:$X,Weekly_TVPlant!DE$3&amp;Weekly_TVPlant!$B6&amp;Weekly_TVPlant!$B$3&amp;$B$2&amp;$B$1)</f>
        <v>0</v>
      </c>
      <c r="DF6" s="2">
        <f>COUNTIF(defects!$X:$X,Weekly_TVPlant!DF$3&amp;Weekly_TVPlant!$B6&amp;Weekly_TVPlant!$B$3&amp;$B$2&amp;$B$1)</f>
        <v>0</v>
      </c>
      <c r="DG6" s="2">
        <f>COUNTIF(defects!$X:$X,Weekly_TVPlant!DG$3&amp;Weekly_TVPlant!$B6&amp;Weekly_TVPlant!$B$3&amp;$B$2&amp;$B$1)</f>
        <v>0</v>
      </c>
      <c r="DH6" s="2">
        <f>COUNTIF(defects!$X:$X,Weekly_TVPlant!DH$3&amp;Weekly_TVPlant!$B6&amp;Weekly_TVPlant!$B$3&amp;$B$2&amp;$B$1)</f>
        <v>0</v>
      </c>
      <c r="DI6" s="2">
        <f>COUNTIF(defects!$X:$X,Weekly_TVPlant!DI$3&amp;Weekly_TVPlant!$B6&amp;Weekly_TVPlant!$B$3&amp;$B$2&amp;$B$1)</f>
        <v>0</v>
      </c>
      <c r="DJ6" s="2">
        <f>COUNTIF(defects!$X:$X,Weekly_TVPlant!DJ$3&amp;Weekly_TVPlant!$B6&amp;Weekly_TVPlant!$B$3&amp;$B$2&amp;$B$1)</f>
        <v>0</v>
      </c>
      <c r="DK6" s="2">
        <f>COUNTIF(defects!$X:$X,Weekly_TVPlant!DK$3&amp;Weekly_TVPlant!$B6&amp;Weekly_TVPlant!$B$3&amp;$B$2&amp;$B$1)</f>
        <v>0</v>
      </c>
      <c r="DL6" s="2">
        <f>COUNTIF(defects!$X:$X,Weekly_TVPlant!DL$3&amp;Weekly_TVPlant!$B6&amp;Weekly_TVPlant!$B$3&amp;$B$2&amp;$B$1)</f>
        <v>0</v>
      </c>
      <c r="DM6" s="2">
        <f>COUNTIF(defects!$X:$X,Weekly_TVPlant!DM$3&amp;Weekly_TVPlant!$B6&amp;Weekly_TVPlant!$B$3&amp;$B$2&amp;$B$1)</f>
        <v>0</v>
      </c>
      <c r="DN6" s="2">
        <f>COUNTIF(defects!$X:$X,Weekly_TVPlant!DN$3&amp;Weekly_TVPlant!$B6&amp;Weekly_TVPlant!$B$3&amp;$B$2&amp;$B$1)</f>
        <v>0</v>
      </c>
      <c r="DO6" s="2">
        <f>COUNTIF(defects!$X:$X,Weekly_TVPlant!DO$3&amp;Weekly_TVPlant!$B6&amp;Weekly_TVPlant!$B$3&amp;$B$2&amp;$B$1)</f>
        <v>0</v>
      </c>
      <c r="DP6" s="2">
        <f>COUNTIF(defects!$X:$X,Weekly_TVPlant!DP$3&amp;Weekly_TVPlant!$B6&amp;Weekly_TVPlant!$B$3&amp;$B$2&amp;$B$1)</f>
        <v>0</v>
      </c>
      <c r="DQ6" s="2">
        <f>COUNTIF(defects!$X:$X,Weekly_TVPlant!DQ$3&amp;Weekly_TVPlant!$B6&amp;Weekly_TVPlant!$B$3&amp;$B$2&amp;$B$1)</f>
        <v>0</v>
      </c>
      <c r="DR6" s="2">
        <f>COUNTIF(defects!$X:$X,Weekly_TVPlant!DR$3&amp;Weekly_TVPlant!$B6&amp;Weekly_TVPlant!$B$3&amp;$B$2&amp;$B$1)</f>
        <v>0</v>
      </c>
      <c r="DS6" s="2">
        <f>COUNTIF(defects!$X:$X,Weekly_TVPlant!DS$3&amp;Weekly_TVPlant!$B6&amp;Weekly_TVPlant!$B$3&amp;$B$2&amp;$B$1)</f>
        <v>0</v>
      </c>
      <c r="DT6" s="2">
        <f>COUNTIF(defects!$X:$X,Weekly_TVPlant!DT$3&amp;Weekly_TVPlant!$B6&amp;Weekly_TVPlant!$B$3&amp;$B$2&amp;$B$1)</f>
        <v>0</v>
      </c>
      <c r="DU6" s="2">
        <f>COUNTIF(defects!$X:$X,Weekly_TVPlant!DU$3&amp;Weekly_TVPlant!$B6&amp;Weekly_TVPlant!$B$3&amp;$B$2&amp;$B$1)</f>
        <v>0</v>
      </c>
      <c r="DV6" s="2">
        <f>COUNTIF(defects!$X:$X,Weekly_TVPlant!DV$3&amp;Weekly_TVPlant!$B6&amp;Weekly_TVPlant!$B$3&amp;$B$2&amp;$B$1)</f>
        <v>0</v>
      </c>
      <c r="DW6" s="2">
        <f>COUNTIF(defects!$X:$X,Weekly_TVPlant!DW$3&amp;Weekly_TVPlant!$B6&amp;Weekly_TVPlant!$B$3&amp;$B$2&amp;$B$1)</f>
        <v>0</v>
      </c>
      <c r="DX6" s="2">
        <f>COUNTIF(defects!$X:$X,Weekly_TVPlant!DX$3&amp;Weekly_TVPlant!$B6&amp;Weekly_TVPlant!$B$3&amp;$B$2&amp;$B$1)</f>
        <v>0</v>
      </c>
      <c r="DY6" s="2">
        <f>COUNTIF(defects!$X:$X,Weekly_TVPlant!DY$3&amp;Weekly_TVPlant!$B6&amp;Weekly_TVPlant!$B$3&amp;$B$2&amp;$B$1)</f>
        <v>0</v>
      </c>
      <c r="DZ6" s="2">
        <f>COUNTIF(defects!$X:$X,Weekly_TVPlant!DZ$3&amp;Weekly_TVPlant!$B6&amp;Weekly_TVPlant!$B$3&amp;$B$2&amp;$B$1)</f>
        <v>0</v>
      </c>
      <c r="EA6" s="2">
        <f>COUNTIF(defects!$X:$X,Weekly_TVPlant!EA$3&amp;Weekly_TVPlant!$B6&amp;Weekly_TVPlant!$B$3&amp;$B$2&amp;$B$1)</f>
        <v>0</v>
      </c>
      <c r="EB6" s="2">
        <f>COUNTIF(defects!$X:$X,Weekly_TVPlant!EB$3&amp;Weekly_TVPlant!$B6&amp;Weekly_TVPlant!$B$3&amp;$B$2&amp;$B$1)</f>
        <v>0</v>
      </c>
      <c r="EC6" s="2">
        <f>COUNTIF(defects!$X:$X,Weekly_TVPlant!EC$3&amp;Weekly_TVPlant!$B6&amp;Weekly_TVPlant!$B$3&amp;$B$2&amp;$B$1)</f>
        <v>0</v>
      </c>
      <c r="ED6" s="2">
        <f>COUNTIF(defects!$X:$X,Weekly_TVPlant!ED$3&amp;Weekly_TVPlant!$B6&amp;Weekly_TVPlant!$B$3&amp;$B$2&amp;$B$1)</f>
        <v>0</v>
      </c>
      <c r="EE6" s="2">
        <f>COUNTIF(defects!$X:$X,Weekly_TVPlant!EE$3&amp;Weekly_TVPlant!$B6&amp;Weekly_TVPlant!$B$3&amp;$B$2&amp;$B$1)</f>
        <v>0</v>
      </c>
      <c r="EF6" s="2">
        <f>COUNTIF(defects!$X:$X,Weekly_TVPlant!EF$3&amp;Weekly_TVPlant!$B6&amp;Weekly_TVPlant!$B$3&amp;$B$2&amp;$B$1)</f>
        <v>0</v>
      </c>
      <c r="EG6" s="2">
        <f>COUNTIF(defects!$X:$X,Weekly_TVPlant!EG$3&amp;Weekly_TVPlant!$B6&amp;Weekly_TVPlant!$B$3&amp;$B$2&amp;$B$1)</f>
        <v>0</v>
      </c>
      <c r="EH6" s="2">
        <f>COUNTIF(defects!$X:$X,Weekly_TVPlant!EH$3&amp;Weekly_TVPlant!$B6&amp;Weekly_TVPlant!$B$3&amp;$B$2&amp;$B$1)</f>
        <v>0</v>
      </c>
      <c r="EI6" s="2">
        <f>COUNTIF(defects!$X:$X,Weekly_TVPlant!EI$3&amp;Weekly_TVPlant!$B6&amp;Weekly_TVPlant!$B$3&amp;$B$2&amp;$B$1)</f>
        <v>0</v>
      </c>
      <c r="EJ6" s="2">
        <f>COUNTIF(defects!$X:$X,Weekly_TVPlant!EJ$3&amp;Weekly_TVPlant!$B6&amp;Weekly_TVPlant!$B$3&amp;$B$2&amp;$B$1)</f>
        <v>0</v>
      </c>
      <c r="EK6" s="2">
        <f>COUNTIF(defects!$X:$X,Weekly_TVPlant!EK$3&amp;Weekly_TVPlant!$B6&amp;Weekly_TVPlant!$B$3&amp;$B$2&amp;$B$1)</f>
        <v>0</v>
      </c>
      <c r="EL6" s="2">
        <f>COUNTIF(defects!$X:$X,Weekly_TVPlant!EL$3&amp;Weekly_TVPlant!$B6&amp;Weekly_TVPlant!$B$3&amp;$B$2&amp;$B$1)</f>
        <v>0</v>
      </c>
      <c r="EM6" s="2">
        <f>COUNTIF(defects!$X:$X,Weekly_TVPlant!EM$3&amp;Weekly_TVPlant!$B6&amp;Weekly_TVPlant!$B$3&amp;$B$2&amp;$B$1)</f>
        <v>0</v>
      </c>
      <c r="EN6" s="2">
        <f>COUNTIF(defects!$X:$X,Weekly_TVPlant!EN$3&amp;Weekly_TVPlant!$B6&amp;Weekly_TVPlant!$B$3&amp;$B$2&amp;$B$1)</f>
        <v>0</v>
      </c>
      <c r="EO6" s="2">
        <f>COUNTIF(defects!$X:$X,Weekly_TVPlant!EO$3&amp;Weekly_TVPlant!$B6&amp;Weekly_TVPlant!$B$3&amp;$B$2&amp;$B$1)</f>
        <v>0</v>
      </c>
      <c r="EP6" s="2">
        <f>COUNTIF(defects!$X:$X,Weekly_TVPlant!EP$3&amp;Weekly_TVPlant!$B6&amp;Weekly_TVPlant!$B$3&amp;$B$2&amp;$B$1)</f>
        <v>0</v>
      </c>
      <c r="EQ6" s="2">
        <f>COUNTIF(defects!$X:$X,Weekly_TVPlant!EQ$3&amp;Weekly_TVPlant!$B6&amp;Weekly_TVPlant!$B$3&amp;$B$2&amp;$B$1)</f>
        <v>0</v>
      </c>
      <c r="ER6" s="2">
        <f>COUNTIF(defects!$X:$X,Weekly_TVPlant!ER$3&amp;Weekly_TVPlant!$B6&amp;Weekly_TVPlant!$B$3&amp;$B$2&amp;$B$1)</f>
        <v>0</v>
      </c>
      <c r="ES6" s="2">
        <f>COUNTIF(defects!$X:$X,Weekly_TVPlant!ES$3&amp;Weekly_TVPlant!$B6&amp;Weekly_TVPlant!$B$3&amp;$B$2&amp;$B$1)</f>
        <v>0</v>
      </c>
      <c r="ET6" s="2">
        <f>COUNTIF(defects!$X:$X,Weekly_TVPlant!ET$3&amp;Weekly_TVPlant!$B6&amp;Weekly_TVPlant!$B$3&amp;$B$2&amp;$B$1)</f>
        <v>0</v>
      </c>
      <c r="EU6" s="2">
        <f>COUNTIF(defects!$X:$X,Weekly_TVPlant!EU$3&amp;Weekly_TVPlant!$B6&amp;Weekly_TVPlant!$B$3&amp;$B$2&amp;$B$1)</f>
        <v>0</v>
      </c>
      <c r="EV6" s="2">
        <f>COUNTIF(defects!$X:$X,Weekly_TVPlant!EV$3&amp;Weekly_TVPlant!$B6&amp;Weekly_TVPlant!$B$3&amp;$B$2&amp;$B$1)</f>
        <v>0</v>
      </c>
      <c r="EW6" s="2">
        <f>COUNTIF(defects!$X:$X,Weekly_TVPlant!EW$3&amp;Weekly_TVPlant!$B6&amp;Weekly_TVPlant!$B$3&amp;$B$2&amp;$B$1)</f>
        <v>0</v>
      </c>
      <c r="EX6" s="2">
        <f>COUNTIF(defects!$X:$X,Weekly_TVPlant!EX$3&amp;Weekly_TVPlant!$B6&amp;Weekly_TVPlant!$B$3&amp;$B$2&amp;$B$1)</f>
        <v>0</v>
      </c>
      <c r="EY6" s="2">
        <f>COUNTIF(defects!$X:$X,Weekly_TVPlant!EY$3&amp;Weekly_TVPlant!$B6&amp;Weekly_TVPlant!$B$3&amp;$B$2&amp;$B$1)</f>
        <v>0</v>
      </c>
      <c r="EZ6" s="2">
        <f>COUNTIF(defects!$X:$X,Weekly_TVPlant!EZ$3&amp;Weekly_TVPlant!$B6&amp;Weekly_TVPlant!$B$3&amp;$B$2&amp;$B$1)</f>
        <v>0</v>
      </c>
      <c r="FA6" s="2">
        <f>COUNTIF(defects!$X:$X,Weekly_TVPlant!FA$3&amp;Weekly_TVPlant!$B6&amp;Weekly_TVPlant!$B$3&amp;$B$2&amp;$B$1)</f>
        <v>0</v>
      </c>
      <c r="FB6" s="2">
        <f>COUNTIF(defects!$X:$X,Weekly_TVPlant!FB$3&amp;Weekly_TVPlant!$B6&amp;Weekly_TVPlant!$B$3&amp;$B$2&amp;$B$1)</f>
        <v>0</v>
      </c>
      <c r="FC6" s="2">
        <f>COUNTIF(defects!$X:$X,Weekly_TVPlant!FC$3&amp;Weekly_TVPlant!$B6&amp;Weekly_TVPlant!$B$3&amp;$B$2&amp;$B$1)</f>
        <v>0</v>
      </c>
      <c r="FD6" s="2">
        <f>COUNTIF(defects!$X:$X,Weekly_TVPlant!FD$3&amp;Weekly_TVPlant!$B6&amp;Weekly_TVPlant!$B$3&amp;$B$2&amp;$B$1)</f>
        <v>0</v>
      </c>
      <c r="FE6" s="2">
        <f>COUNTIF(defects!$X:$X,Weekly_TVPlant!FE$3&amp;Weekly_TVPlant!$B6&amp;Weekly_TVPlant!$B$3&amp;$B$2&amp;$B$1)</f>
        <v>0</v>
      </c>
    </row>
    <row r="7" spans="2:161">
      <c r="B7" s="2" t="s">
        <v>957</v>
      </c>
      <c r="C7" s="2">
        <f>COUNTIF(defects!$X:$X,Weekly_TVPlant!C$3&amp;Weekly_TVPlant!$B7&amp;Weekly_TVPlant!$B$3&amp;$B$2&amp;$B$1)</f>
        <v>0</v>
      </c>
      <c r="D7" s="2">
        <f>COUNTIF(defects!$X:$X,Weekly_TVPlant!D$3&amp;Weekly_TVPlant!$B7&amp;Weekly_TVPlant!$B$3&amp;$B$2&amp;$B$1)</f>
        <v>0</v>
      </c>
      <c r="E7" s="2">
        <f>COUNTIF(defects!$X:$X,Weekly_TVPlant!E$3&amp;Weekly_TVPlant!$B7&amp;Weekly_TVPlant!$B$3&amp;$B$2&amp;$B$1)</f>
        <v>0</v>
      </c>
      <c r="F7" s="2">
        <f>COUNTIF(defects!$X:$X,Weekly_TVPlant!F$3&amp;Weekly_TVPlant!$B7&amp;Weekly_TVPlant!$B$3&amp;$B$2&amp;$B$1)</f>
        <v>0</v>
      </c>
      <c r="G7" s="2">
        <f>COUNTIF(defects!$X:$X,Weekly_TVPlant!G$3&amp;Weekly_TVPlant!$B7&amp;Weekly_TVPlant!$B$3&amp;$B$2&amp;$B$1)</f>
        <v>0</v>
      </c>
      <c r="H7" s="2">
        <f>COUNTIF(defects!$X:$X,Weekly_TVPlant!H$3&amp;Weekly_TVPlant!$B7&amp;Weekly_TVPlant!$B$3&amp;$B$2&amp;$B$1)</f>
        <v>0</v>
      </c>
      <c r="I7" s="2">
        <f>COUNTIF(defects!$X:$X,Weekly_TVPlant!I$3&amp;Weekly_TVPlant!$B7&amp;Weekly_TVPlant!$B$3&amp;$B$2&amp;$B$1)</f>
        <v>0</v>
      </c>
      <c r="J7" s="2">
        <f>COUNTIF(defects!$X:$X,Weekly_TVPlant!J$3&amp;Weekly_TVPlant!$B7&amp;Weekly_TVPlant!$B$3&amp;$B$2&amp;$B$1)</f>
        <v>0</v>
      </c>
      <c r="K7" s="2">
        <f>COUNTIF(defects!$X:$X,Weekly_TVPlant!K$3&amp;Weekly_TVPlant!$B7&amp;Weekly_TVPlant!$B$3&amp;$B$2&amp;$B$1)</f>
        <v>0</v>
      </c>
      <c r="L7" s="2">
        <f>COUNTIF(defects!$X:$X,Weekly_TVPlant!L$3&amp;Weekly_TVPlant!$B7&amp;Weekly_TVPlant!$B$3&amp;$B$2&amp;$B$1)</f>
        <v>0</v>
      </c>
      <c r="M7" s="2">
        <f>COUNTIF(defects!$X:$X,Weekly_TVPlant!M$3&amp;Weekly_TVPlant!$B7&amp;Weekly_TVPlant!$B$3&amp;$B$2&amp;$B$1)</f>
        <v>0</v>
      </c>
      <c r="N7" s="2">
        <f>COUNTIF(defects!$X:$X,Weekly_TVPlant!N$3&amp;Weekly_TVPlant!$B7&amp;Weekly_TVPlant!$B$3&amp;$B$2&amp;$B$1)</f>
        <v>0</v>
      </c>
      <c r="O7" s="2">
        <f>COUNTIF(defects!$X:$X,Weekly_TVPlant!O$3&amp;Weekly_TVPlant!$B7&amp;Weekly_TVPlant!$B$3&amp;$B$2&amp;$B$1)</f>
        <v>0</v>
      </c>
      <c r="P7" s="2">
        <f>COUNTIF(defects!$X:$X,Weekly_TVPlant!P$3&amp;Weekly_TVPlant!$B7&amp;Weekly_TVPlant!$B$3&amp;$B$2&amp;$B$1)</f>
        <v>0</v>
      </c>
      <c r="Q7" s="2">
        <f>COUNTIF(defects!$X:$X,Weekly_TVPlant!Q$3&amp;Weekly_TVPlant!$B7&amp;Weekly_TVPlant!$B$3&amp;$B$2&amp;$B$1)</f>
        <v>0</v>
      </c>
      <c r="R7" s="2">
        <f>COUNTIF(defects!$X:$X,Weekly_TVPlant!R$3&amp;Weekly_TVPlant!$B7&amp;Weekly_TVPlant!$B$3&amp;$B$2&amp;$B$1)</f>
        <v>0</v>
      </c>
      <c r="S7" s="2">
        <f>COUNTIF(defects!$X:$X,Weekly_TVPlant!S$3&amp;Weekly_TVPlant!$B7&amp;Weekly_TVPlant!$B$3&amp;$B$2&amp;$B$1)</f>
        <v>0</v>
      </c>
      <c r="T7" s="2">
        <f>COUNTIF(defects!$X:$X,Weekly_TVPlant!T$3&amp;Weekly_TVPlant!$B7&amp;Weekly_TVPlant!$B$3&amp;$B$2&amp;$B$1)</f>
        <v>0</v>
      </c>
      <c r="U7" s="2">
        <f>COUNTIF(defects!$X:$X,Weekly_TVPlant!U$3&amp;Weekly_TVPlant!$B7&amp;Weekly_TVPlant!$B$3&amp;$B$2&amp;$B$1)</f>
        <v>0</v>
      </c>
      <c r="V7" s="2">
        <f>COUNTIF(defects!$X:$X,Weekly_TVPlant!V$3&amp;Weekly_TVPlant!$B7&amp;Weekly_TVPlant!$B$3&amp;$B$2&amp;$B$1)</f>
        <v>0</v>
      </c>
      <c r="W7" s="2">
        <f>COUNTIF(defects!$X:$X,Weekly_TVPlant!W$3&amp;Weekly_TVPlant!$B7&amp;Weekly_TVPlant!$B$3&amp;$B$2&amp;$B$1)</f>
        <v>0</v>
      </c>
      <c r="X7" s="2">
        <f>COUNTIF(defects!$X:$X,Weekly_TVPlant!X$3&amp;Weekly_TVPlant!$B7&amp;Weekly_TVPlant!$B$3&amp;$B$2&amp;$B$1)</f>
        <v>0</v>
      </c>
      <c r="Y7" s="2">
        <f>COUNTIF(defects!$X:$X,Weekly_TVPlant!Y$3&amp;Weekly_TVPlant!$B7&amp;Weekly_TVPlant!$B$3&amp;$B$2&amp;$B$1)</f>
        <v>0</v>
      </c>
      <c r="Z7" s="2">
        <f>COUNTIF(defects!$X:$X,Weekly_TVPlant!Z$3&amp;Weekly_TVPlant!$B7&amp;Weekly_TVPlant!$B$3&amp;$B$2&amp;$B$1)</f>
        <v>0</v>
      </c>
      <c r="AA7" s="2">
        <f>COUNTIF(defects!$X:$X,Weekly_TVPlant!AA$3&amp;Weekly_TVPlant!$B7&amp;Weekly_TVPlant!$B$3&amp;$B$2&amp;$B$1)</f>
        <v>0</v>
      </c>
      <c r="AB7" s="2">
        <f>COUNTIF(defects!$X:$X,Weekly_TVPlant!AB$3&amp;Weekly_TVPlant!$B7&amp;Weekly_TVPlant!$B$3&amp;$B$2&amp;$B$1)</f>
        <v>0</v>
      </c>
      <c r="AC7" s="2">
        <f>COUNTIF(defects!$X:$X,Weekly_TVPlant!AC$3&amp;Weekly_TVPlant!$B7&amp;Weekly_TVPlant!$B$3&amp;$B$2&amp;$B$1)</f>
        <v>0</v>
      </c>
      <c r="AD7" s="2">
        <f>COUNTIF(defects!$X:$X,Weekly_TVPlant!AD$3&amp;Weekly_TVPlant!$B7&amp;Weekly_TVPlant!$B$3&amp;$B$2&amp;$B$1)</f>
        <v>0</v>
      </c>
      <c r="AE7" s="2">
        <f>COUNTIF(defects!$X:$X,Weekly_TVPlant!AE$3&amp;Weekly_TVPlant!$B7&amp;Weekly_TVPlant!$B$3&amp;$B$2&amp;$B$1)</f>
        <v>0</v>
      </c>
      <c r="AF7" s="2">
        <f>COUNTIF(defects!$X:$X,Weekly_TVPlant!AF$3&amp;Weekly_TVPlant!$B7&amp;Weekly_TVPlant!$B$3&amp;$B$2&amp;$B$1)</f>
        <v>0</v>
      </c>
      <c r="AG7" s="2">
        <f>COUNTIF(defects!$X:$X,Weekly_TVPlant!AG$3&amp;Weekly_TVPlant!$B7&amp;Weekly_TVPlant!$B$3&amp;$B$2&amp;$B$1)</f>
        <v>0</v>
      </c>
      <c r="AH7" s="2">
        <f>COUNTIF(defects!$X:$X,Weekly_TVPlant!AH$3&amp;Weekly_TVPlant!$B7&amp;Weekly_TVPlant!$B$3&amp;$B$2&amp;$B$1)</f>
        <v>0</v>
      </c>
      <c r="AI7" s="2">
        <f>COUNTIF(defects!$X:$X,Weekly_TVPlant!AI$3&amp;Weekly_TVPlant!$B7&amp;Weekly_TVPlant!$B$3&amp;$B$2&amp;$B$1)</f>
        <v>0</v>
      </c>
      <c r="AJ7" s="2">
        <f>COUNTIF(defects!$X:$X,Weekly_TVPlant!AJ$3&amp;Weekly_TVPlant!$B7&amp;Weekly_TVPlant!$B$3&amp;$B$2&amp;$B$1)</f>
        <v>0</v>
      </c>
      <c r="AK7" s="2">
        <f>COUNTIF(defects!$X:$X,Weekly_TVPlant!AK$3&amp;Weekly_TVPlant!$B7&amp;Weekly_TVPlant!$B$3&amp;$B$2&amp;$B$1)</f>
        <v>0</v>
      </c>
      <c r="AL7" s="2">
        <f>COUNTIF(defects!$X:$X,Weekly_TVPlant!AL$3&amp;Weekly_TVPlant!$B7&amp;Weekly_TVPlant!$B$3&amp;$B$2&amp;$B$1)</f>
        <v>0</v>
      </c>
      <c r="AM7" s="2">
        <f>COUNTIF(defects!$X:$X,Weekly_TVPlant!AM$3&amp;Weekly_TVPlant!$B7&amp;Weekly_TVPlant!$B$3&amp;$B$2&amp;$B$1)</f>
        <v>0</v>
      </c>
      <c r="AN7" s="2">
        <f>COUNTIF(defects!$X:$X,Weekly_TVPlant!AN$3&amp;Weekly_TVPlant!$B7&amp;Weekly_TVPlant!$B$3&amp;$B$2&amp;$B$1)</f>
        <v>0</v>
      </c>
      <c r="AO7" s="2">
        <f>COUNTIF(defects!$X:$X,Weekly_TVPlant!AO$3&amp;Weekly_TVPlant!$B7&amp;Weekly_TVPlant!$B$3&amp;$B$2&amp;$B$1)</f>
        <v>0</v>
      </c>
      <c r="AP7" s="2">
        <f>COUNTIF(defects!$X:$X,Weekly_TVPlant!AP$3&amp;Weekly_TVPlant!$B7&amp;Weekly_TVPlant!$B$3&amp;$B$2&amp;$B$1)</f>
        <v>0</v>
      </c>
      <c r="AQ7" s="2">
        <f>COUNTIF(defects!$X:$X,Weekly_TVPlant!AQ$3&amp;Weekly_TVPlant!$B7&amp;Weekly_TVPlant!$B$3&amp;$B$2&amp;$B$1)</f>
        <v>0</v>
      </c>
      <c r="AR7" s="2">
        <f>COUNTIF(defects!$X:$X,Weekly_TVPlant!AR$3&amp;Weekly_TVPlant!$B7&amp;Weekly_TVPlant!$B$3&amp;$B$2&amp;$B$1)</f>
        <v>0</v>
      </c>
      <c r="AS7" s="2">
        <f>COUNTIF(defects!$X:$X,Weekly_TVPlant!AS$3&amp;Weekly_TVPlant!$B7&amp;Weekly_TVPlant!$B$3&amp;$B$2&amp;$B$1)</f>
        <v>0</v>
      </c>
      <c r="AT7" s="2">
        <f>COUNTIF(defects!$X:$X,Weekly_TVPlant!AT$3&amp;Weekly_TVPlant!$B7&amp;Weekly_TVPlant!$B$3&amp;$B$2&amp;$B$1)</f>
        <v>0</v>
      </c>
      <c r="AU7" s="2">
        <f>COUNTIF(defects!$X:$X,Weekly_TVPlant!AU$3&amp;Weekly_TVPlant!$B7&amp;Weekly_TVPlant!$B$3&amp;$B$2&amp;$B$1)</f>
        <v>0</v>
      </c>
      <c r="AV7" s="2">
        <f>COUNTIF(defects!$X:$X,Weekly_TVPlant!AV$3&amp;Weekly_TVPlant!$B7&amp;Weekly_TVPlant!$B$3&amp;$B$2&amp;$B$1)</f>
        <v>0</v>
      </c>
      <c r="AW7" s="2">
        <f>COUNTIF(defects!$X:$X,Weekly_TVPlant!AW$3&amp;Weekly_TVPlant!$B7&amp;Weekly_TVPlant!$B$3&amp;$B$2&amp;$B$1)</f>
        <v>0</v>
      </c>
      <c r="AX7" s="2">
        <f>COUNTIF(defects!$X:$X,Weekly_TVPlant!AX$3&amp;Weekly_TVPlant!$B7&amp;Weekly_TVPlant!$B$3&amp;$B$2&amp;$B$1)</f>
        <v>0</v>
      </c>
      <c r="AY7" s="2">
        <f>COUNTIF(defects!$X:$X,Weekly_TVPlant!AY$3&amp;Weekly_TVPlant!$B7&amp;Weekly_TVPlant!$B$3&amp;$B$2&amp;$B$1)</f>
        <v>0</v>
      </c>
      <c r="AZ7" s="2">
        <f>COUNTIF(defects!$X:$X,Weekly_TVPlant!AZ$3&amp;Weekly_TVPlant!$B7&amp;Weekly_TVPlant!$B$3&amp;$B$2&amp;$B$1)</f>
        <v>0</v>
      </c>
      <c r="BA7" s="2">
        <f>COUNTIF(defects!$X:$X,Weekly_TVPlant!BA$3&amp;Weekly_TVPlant!$B7&amp;Weekly_TVPlant!$B$3&amp;$B$2&amp;$B$1)</f>
        <v>0</v>
      </c>
      <c r="BB7" s="2">
        <f>COUNTIF(defects!$X:$X,Weekly_TVPlant!BB$3&amp;Weekly_TVPlant!$B7&amp;Weekly_TVPlant!$B$3&amp;$B$2&amp;$B$1)</f>
        <v>0</v>
      </c>
      <c r="BC7" s="2">
        <f>COUNTIF(defects!$X:$X,Weekly_TVPlant!BC$3&amp;Weekly_TVPlant!$B7&amp;Weekly_TVPlant!$B$3&amp;$B$2&amp;$B$1)</f>
        <v>0</v>
      </c>
      <c r="BD7" s="2">
        <f>COUNTIF(defects!$X:$X,Weekly_TVPlant!BD$3&amp;Weekly_TVPlant!$B7&amp;Weekly_TVPlant!$B$3&amp;$B$2&amp;$B$1)</f>
        <v>0</v>
      </c>
      <c r="BE7" s="2">
        <f>COUNTIF(defects!$X:$X,Weekly_TVPlant!BE$3&amp;Weekly_TVPlant!$B7&amp;Weekly_TVPlant!$B$3&amp;$B$2&amp;$B$1)</f>
        <v>0</v>
      </c>
      <c r="BF7" s="2">
        <f>COUNTIF(defects!$X:$X,Weekly_TVPlant!BF$3&amp;Weekly_TVPlant!$B7&amp;Weekly_TVPlant!$B$3&amp;$B$2&amp;$B$1)</f>
        <v>0</v>
      </c>
      <c r="BG7" s="2">
        <f>COUNTIF(defects!$X:$X,Weekly_TVPlant!BG$3&amp;Weekly_TVPlant!$B7&amp;Weekly_TVPlant!$B$3&amp;$B$2&amp;$B$1)</f>
        <v>0</v>
      </c>
      <c r="BH7" s="2">
        <f>COUNTIF(defects!$X:$X,Weekly_TVPlant!BH$3&amp;Weekly_TVPlant!$B7&amp;Weekly_TVPlant!$B$3&amp;$B$2&amp;$B$1)</f>
        <v>0</v>
      </c>
      <c r="BI7" s="2">
        <f>COUNTIF(defects!$X:$X,Weekly_TVPlant!BI$3&amp;Weekly_TVPlant!$B7&amp;Weekly_TVPlant!$B$3&amp;$B$2&amp;$B$1)</f>
        <v>0</v>
      </c>
      <c r="BJ7" s="2">
        <f>COUNTIF(defects!$X:$X,Weekly_TVPlant!BJ$3&amp;Weekly_TVPlant!$B7&amp;Weekly_TVPlant!$B$3&amp;$B$2&amp;$B$1)</f>
        <v>0</v>
      </c>
      <c r="BK7" s="2">
        <f>COUNTIF(defects!$X:$X,Weekly_TVPlant!BK$3&amp;Weekly_TVPlant!$B7&amp;Weekly_TVPlant!$B$3&amp;$B$2&amp;$B$1)</f>
        <v>0</v>
      </c>
      <c r="BL7" s="2">
        <f>COUNTIF(defects!$X:$X,Weekly_TVPlant!BL$3&amp;Weekly_TVPlant!$B7&amp;Weekly_TVPlant!$B$3&amp;$B$2&amp;$B$1)</f>
        <v>0</v>
      </c>
      <c r="BM7" s="2">
        <f>COUNTIF(defects!$X:$X,Weekly_TVPlant!BM$3&amp;Weekly_TVPlant!$B7&amp;Weekly_TVPlant!$B$3&amp;$B$2&amp;$B$1)</f>
        <v>0</v>
      </c>
      <c r="BN7" s="2">
        <f>COUNTIF(defects!$X:$X,Weekly_TVPlant!BN$3&amp;Weekly_TVPlant!$B7&amp;Weekly_TVPlant!$B$3&amp;$B$2&amp;$B$1)</f>
        <v>0</v>
      </c>
      <c r="BO7" s="2">
        <f>COUNTIF(defects!$X:$X,Weekly_TVPlant!BO$3&amp;Weekly_TVPlant!$B7&amp;Weekly_TVPlant!$B$3&amp;$B$2&amp;$B$1)</f>
        <v>0</v>
      </c>
      <c r="BP7" s="2">
        <f>COUNTIF(defects!$X:$X,Weekly_TVPlant!BP$3&amp;Weekly_TVPlant!$B7&amp;Weekly_TVPlant!$B$3&amp;$B$2&amp;$B$1)</f>
        <v>0</v>
      </c>
      <c r="BQ7" s="2">
        <f>COUNTIF(defects!$X:$X,Weekly_TVPlant!BQ$3&amp;Weekly_TVPlant!$B7&amp;Weekly_TVPlant!$B$3&amp;$B$2&amp;$B$1)</f>
        <v>0</v>
      </c>
      <c r="BR7" s="2">
        <f>COUNTIF(defects!$X:$X,Weekly_TVPlant!BR$3&amp;Weekly_TVPlant!$B7&amp;Weekly_TVPlant!$B$3&amp;$B$2&amp;$B$1)</f>
        <v>0</v>
      </c>
      <c r="BS7" s="2">
        <f>COUNTIF(defects!$X:$X,Weekly_TVPlant!BS$3&amp;Weekly_TVPlant!$B7&amp;Weekly_TVPlant!$B$3&amp;$B$2&amp;$B$1)</f>
        <v>0</v>
      </c>
      <c r="BT7" s="2">
        <f>COUNTIF(defects!$X:$X,Weekly_TVPlant!BT$3&amp;Weekly_TVPlant!$B7&amp;Weekly_TVPlant!$B$3&amp;$B$2&amp;$B$1)</f>
        <v>0</v>
      </c>
      <c r="BU7" s="2">
        <f>COUNTIF(defects!$X:$X,Weekly_TVPlant!BU$3&amp;Weekly_TVPlant!$B7&amp;Weekly_TVPlant!$B$3&amp;$B$2&amp;$B$1)</f>
        <v>0</v>
      </c>
      <c r="BV7" s="2">
        <f>COUNTIF(defects!$X:$X,Weekly_TVPlant!BV$3&amp;Weekly_TVPlant!$B7&amp;Weekly_TVPlant!$B$3&amp;$B$2&amp;$B$1)</f>
        <v>0</v>
      </c>
      <c r="BW7" s="2">
        <f>COUNTIF(defects!$X:$X,Weekly_TVPlant!BW$3&amp;Weekly_TVPlant!$B7&amp;Weekly_TVPlant!$B$3&amp;$B$2&amp;$B$1)</f>
        <v>0</v>
      </c>
      <c r="BX7" s="2">
        <f>COUNTIF(defects!$X:$X,Weekly_TVPlant!BX$3&amp;Weekly_TVPlant!$B7&amp;Weekly_TVPlant!$B$3&amp;$B$2&amp;$B$1)</f>
        <v>0</v>
      </c>
      <c r="BY7" s="2">
        <f>COUNTIF(defects!$X:$X,Weekly_TVPlant!BY$3&amp;Weekly_TVPlant!$B7&amp;Weekly_TVPlant!$B$3&amp;$B$2&amp;$B$1)</f>
        <v>0</v>
      </c>
      <c r="BZ7" s="2">
        <f>COUNTIF(defects!$X:$X,Weekly_TVPlant!BZ$3&amp;Weekly_TVPlant!$B7&amp;Weekly_TVPlant!$B$3&amp;$B$2&amp;$B$1)</f>
        <v>0</v>
      </c>
      <c r="CA7" s="2">
        <f>COUNTIF(defects!$X:$X,Weekly_TVPlant!CA$3&amp;Weekly_TVPlant!$B7&amp;Weekly_TVPlant!$B$3&amp;$B$2&amp;$B$1)</f>
        <v>0</v>
      </c>
      <c r="CB7" s="2">
        <f>COUNTIF(defects!$X:$X,Weekly_TVPlant!CB$3&amp;Weekly_TVPlant!$B7&amp;Weekly_TVPlant!$B$3&amp;$B$2&amp;$B$1)</f>
        <v>0</v>
      </c>
      <c r="CC7" s="2">
        <f>COUNTIF(defects!$X:$X,Weekly_TVPlant!CC$3&amp;Weekly_TVPlant!$B7&amp;Weekly_TVPlant!$B$3&amp;$B$2&amp;$B$1)</f>
        <v>1</v>
      </c>
      <c r="CD7" s="2">
        <f>COUNTIF(defects!$X:$X,Weekly_TVPlant!CD$3&amp;Weekly_TVPlant!$B7&amp;Weekly_TVPlant!$B$3&amp;$B$2&amp;$B$1)</f>
        <v>0</v>
      </c>
      <c r="CE7" s="2">
        <f>COUNTIF(defects!$X:$X,Weekly_TVPlant!CE$3&amp;Weekly_TVPlant!$B7&amp;Weekly_TVPlant!$B$3&amp;$B$2&amp;$B$1)</f>
        <v>0</v>
      </c>
      <c r="CF7" s="2">
        <f>COUNTIF(defects!$X:$X,Weekly_TVPlant!CF$3&amp;Weekly_TVPlant!$B7&amp;Weekly_TVPlant!$B$3&amp;$B$2&amp;$B$1)</f>
        <v>1</v>
      </c>
      <c r="CG7" s="2">
        <f>COUNTIF(defects!$X:$X,Weekly_TVPlant!CG$3&amp;Weekly_TVPlant!$B7&amp;Weekly_TVPlant!$B$3&amp;$B$2&amp;$B$1)</f>
        <v>0</v>
      </c>
      <c r="CH7" s="2">
        <f>COUNTIF(defects!$X:$X,Weekly_TVPlant!CH$3&amp;Weekly_TVPlant!$B7&amp;Weekly_TVPlant!$B$3&amp;$B$2&amp;$B$1)</f>
        <v>0</v>
      </c>
      <c r="CI7" s="2">
        <f>COUNTIF(defects!$X:$X,Weekly_TVPlant!CI$3&amp;Weekly_TVPlant!$B7&amp;Weekly_TVPlant!$B$3&amp;$B$2&amp;$B$1)</f>
        <v>0</v>
      </c>
      <c r="CJ7" s="2">
        <f>COUNTIF(defects!$X:$X,Weekly_TVPlant!CJ$3&amp;Weekly_TVPlant!$B7&amp;Weekly_TVPlant!$B$3&amp;$B$2&amp;$B$1)</f>
        <v>0</v>
      </c>
      <c r="CK7" s="2">
        <f>COUNTIF(defects!$X:$X,Weekly_TVPlant!CK$3&amp;Weekly_TVPlant!$B7&amp;Weekly_TVPlant!$B$3&amp;$B$2&amp;$B$1)</f>
        <v>0</v>
      </c>
      <c r="CL7" s="2">
        <f>COUNTIF(defects!$X:$X,Weekly_TVPlant!CL$3&amp;Weekly_TVPlant!$B7&amp;Weekly_TVPlant!$B$3&amp;$B$2&amp;$B$1)</f>
        <v>0</v>
      </c>
      <c r="CM7" s="2">
        <f>COUNTIF(defects!$X:$X,Weekly_TVPlant!CM$3&amp;Weekly_TVPlant!$B7&amp;Weekly_TVPlant!$B$3&amp;$B$2&amp;$B$1)</f>
        <v>0</v>
      </c>
      <c r="CN7" s="2">
        <f>COUNTIF(defects!$X:$X,Weekly_TVPlant!CN$3&amp;Weekly_TVPlant!$B7&amp;Weekly_TVPlant!$B$3&amp;$B$2&amp;$B$1)</f>
        <v>0</v>
      </c>
      <c r="CO7" s="2">
        <f>COUNTIF(defects!$X:$X,Weekly_TVPlant!CO$3&amp;Weekly_TVPlant!$B7&amp;Weekly_TVPlant!$B$3&amp;$B$2&amp;$B$1)</f>
        <v>1</v>
      </c>
      <c r="CP7" s="2">
        <f>COUNTIF(defects!$X:$X,Weekly_TVPlant!CP$3&amp;Weekly_TVPlant!$B7&amp;Weekly_TVPlant!$B$3&amp;$B$2&amp;$B$1)</f>
        <v>0</v>
      </c>
      <c r="CQ7" s="2">
        <f>COUNTIF(defects!$X:$X,Weekly_TVPlant!CQ$3&amp;Weekly_TVPlant!$B7&amp;Weekly_TVPlant!$B$3&amp;$B$2&amp;$B$1)</f>
        <v>0</v>
      </c>
      <c r="CR7" s="2">
        <f>COUNTIF(defects!$X:$X,Weekly_TVPlant!CR$3&amp;Weekly_TVPlant!$B7&amp;Weekly_TVPlant!$B$3&amp;$B$2&amp;$B$1)</f>
        <v>0</v>
      </c>
      <c r="CS7" s="2">
        <f>COUNTIF(defects!$X:$X,Weekly_TVPlant!CS$3&amp;Weekly_TVPlant!$B7&amp;Weekly_TVPlant!$B$3&amp;$B$2&amp;$B$1)</f>
        <v>0</v>
      </c>
      <c r="CT7" s="2">
        <f>COUNTIF(defects!$X:$X,Weekly_TVPlant!CT$3&amp;Weekly_TVPlant!$B7&amp;Weekly_TVPlant!$B$3&amp;$B$2&amp;$B$1)</f>
        <v>0</v>
      </c>
      <c r="CU7" s="2">
        <f>COUNTIF(defects!$X:$X,Weekly_TVPlant!CU$3&amp;Weekly_TVPlant!$B7&amp;Weekly_TVPlant!$B$3&amp;$B$2&amp;$B$1)</f>
        <v>0</v>
      </c>
      <c r="CV7" s="2">
        <f>COUNTIF(defects!$X:$X,Weekly_TVPlant!CV$3&amp;Weekly_TVPlant!$B7&amp;Weekly_TVPlant!$B$3&amp;$B$2&amp;$B$1)</f>
        <v>0</v>
      </c>
      <c r="CW7" s="2">
        <f>COUNTIF(defects!$X:$X,Weekly_TVPlant!CW$3&amp;Weekly_TVPlant!$B7&amp;Weekly_TVPlant!$B$3&amp;$B$2&amp;$B$1)</f>
        <v>0</v>
      </c>
      <c r="CX7" s="2">
        <f>COUNTIF(defects!$X:$X,Weekly_TVPlant!CX$3&amp;Weekly_TVPlant!$B7&amp;Weekly_TVPlant!$B$3&amp;$B$2&amp;$B$1)</f>
        <v>0</v>
      </c>
      <c r="CY7" s="2">
        <f>COUNTIF(defects!$X:$X,Weekly_TVPlant!CY$3&amp;Weekly_TVPlant!$B7&amp;Weekly_TVPlant!$B$3&amp;$B$2&amp;$B$1)</f>
        <v>0</v>
      </c>
      <c r="CZ7" s="2">
        <f>COUNTIF(defects!$X:$X,Weekly_TVPlant!CZ$3&amp;Weekly_TVPlant!$B7&amp;Weekly_TVPlant!$B$3&amp;$B$2&amp;$B$1)</f>
        <v>0</v>
      </c>
      <c r="DA7" s="2">
        <f>COUNTIF(defects!$X:$X,Weekly_TVPlant!DA$3&amp;Weekly_TVPlant!$B7&amp;Weekly_TVPlant!$B$3&amp;$B$2&amp;$B$1)</f>
        <v>0</v>
      </c>
      <c r="DB7" s="2">
        <f>COUNTIF(defects!$X:$X,Weekly_TVPlant!DB$3&amp;Weekly_TVPlant!$B7&amp;Weekly_TVPlant!$B$3&amp;$B$2&amp;$B$1)</f>
        <v>0</v>
      </c>
      <c r="DC7" s="2">
        <f>COUNTIF(defects!$X:$X,Weekly_TVPlant!DC$3&amp;Weekly_TVPlant!$B7&amp;Weekly_TVPlant!$B$3&amp;$B$2&amp;$B$1)</f>
        <v>0</v>
      </c>
      <c r="DD7" s="2">
        <f>COUNTIF(defects!$X:$X,Weekly_TVPlant!DD$3&amp;Weekly_TVPlant!$B7&amp;Weekly_TVPlant!$B$3&amp;$B$2&amp;$B$1)</f>
        <v>0</v>
      </c>
      <c r="DE7" s="2">
        <f>COUNTIF(defects!$X:$X,Weekly_TVPlant!DE$3&amp;Weekly_TVPlant!$B7&amp;Weekly_TVPlant!$B$3&amp;$B$2&amp;$B$1)</f>
        <v>0</v>
      </c>
      <c r="DF7" s="2">
        <f>COUNTIF(defects!$X:$X,Weekly_TVPlant!DF$3&amp;Weekly_TVPlant!$B7&amp;Weekly_TVPlant!$B$3&amp;$B$2&amp;$B$1)</f>
        <v>0</v>
      </c>
      <c r="DG7" s="2">
        <f>COUNTIF(defects!$X:$X,Weekly_TVPlant!DG$3&amp;Weekly_TVPlant!$B7&amp;Weekly_TVPlant!$B$3&amp;$B$2&amp;$B$1)</f>
        <v>0</v>
      </c>
      <c r="DH7" s="2">
        <f>COUNTIF(defects!$X:$X,Weekly_TVPlant!DH$3&amp;Weekly_TVPlant!$B7&amp;Weekly_TVPlant!$B$3&amp;$B$2&amp;$B$1)</f>
        <v>0</v>
      </c>
      <c r="DI7" s="2">
        <f>COUNTIF(defects!$X:$X,Weekly_TVPlant!DI$3&amp;Weekly_TVPlant!$B7&amp;Weekly_TVPlant!$B$3&amp;$B$2&amp;$B$1)</f>
        <v>0</v>
      </c>
      <c r="DJ7" s="2">
        <f>COUNTIF(defects!$X:$X,Weekly_TVPlant!DJ$3&amp;Weekly_TVPlant!$B7&amp;Weekly_TVPlant!$B$3&amp;$B$2&amp;$B$1)</f>
        <v>0</v>
      </c>
      <c r="DK7" s="2">
        <f>COUNTIF(defects!$X:$X,Weekly_TVPlant!DK$3&amp;Weekly_TVPlant!$B7&amp;Weekly_TVPlant!$B$3&amp;$B$2&amp;$B$1)</f>
        <v>0</v>
      </c>
      <c r="DL7" s="2">
        <f>COUNTIF(defects!$X:$X,Weekly_TVPlant!DL$3&amp;Weekly_TVPlant!$B7&amp;Weekly_TVPlant!$B$3&amp;$B$2&amp;$B$1)</f>
        <v>0</v>
      </c>
      <c r="DM7" s="2">
        <f>COUNTIF(defects!$X:$X,Weekly_TVPlant!DM$3&amp;Weekly_TVPlant!$B7&amp;Weekly_TVPlant!$B$3&amp;$B$2&amp;$B$1)</f>
        <v>0</v>
      </c>
      <c r="DN7" s="2">
        <f>COUNTIF(defects!$X:$X,Weekly_TVPlant!DN$3&amp;Weekly_TVPlant!$B7&amp;Weekly_TVPlant!$B$3&amp;$B$2&amp;$B$1)</f>
        <v>0</v>
      </c>
      <c r="DO7" s="2">
        <f>COUNTIF(defects!$X:$X,Weekly_TVPlant!DO$3&amp;Weekly_TVPlant!$B7&amp;Weekly_TVPlant!$B$3&amp;$B$2&amp;$B$1)</f>
        <v>0</v>
      </c>
      <c r="DP7" s="2">
        <f>COUNTIF(defects!$X:$X,Weekly_TVPlant!DP$3&amp;Weekly_TVPlant!$B7&amp;Weekly_TVPlant!$B$3&amp;$B$2&amp;$B$1)</f>
        <v>0</v>
      </c>
      <c r="DQ7" s="2">
        <f>COUNTIF(defects!$X:$X,Weekly_TVPlant!DQ$3&amp;Weekly_TVPlant!$B7&amp;Weekly_TVPlant!$B$3&amp;$B$2&amp;$B$1)</f>
        <v>0</v>
      </c>
      <c r="DR7" s="2">
        <f>COUNTIF(defects!$X:$X,Weekly_TVPlant!DR$3&amp;Weekly_TVPlant!$B7&amp;Weekly_TVPlant!$B$3&amp;$B$2&amp;$B$1)</f>
        <v>0</v>
      </c>
      <c r="DS7" s="2">
        <f>COUNTIF(defects!$X:$X,Weekly_TVPlant!DS$3&amp;Weekly_TVPlant!$B7&amp;Weekly_TVPlant!$B$3&amp;$B$2&amp;$B$1)</f>
        <v>0</v>
      </c>
      <c r="DT7" s="2">
        <f>COUNTIF(defects!$X:$X,Weekly_TVPlant!DT$3&amp;Weekly_TVPlant!$B7&amp;Weekly_TVPlant!$B$3&amp;$B$2&amp;$B$1)</f>
        <v>0</v>
      </c>
      <c r="DU7" s="2">
        <f>COUNTIF(defects!$X:$X,Weekly_TVPlant!DU$3&amp;Weekly_TVPlant!$B7&amp;Weekly_TVPlant!$B$3&amp;$B$2&amp;$B$1)</f>
        <v>0</v>
      </c>
      <c r="DV7" s="2">
        <f>COUNTIF(defects!$X:$X,Weekly_TVPlant!DV$3&amp;Weekly_TVPlant!$B7&amp;Weekly_TVPlant!$B$3&amp;$B$2&amp;$B$1)</f>
        <v>0</v>
      </c>
      <c r="DW7" s="2">
        <f>COUNTIF(defects!$X:$X,Weekly_TVPlant!DW$3&amp;Weekly_TVPlant!$B7&amp;Weekly_TVPlant!$B$3&amp;$B$2&amp;$B$1)</f>
        <v>0</v>
      </c>
      <c r="DX7" s="2">
        <f>COUNTIF(defects!$X:$X,Weekly_TVPlant!DX$3&amp;Weekly_TVPlant!$B7&amp;Weekly_TVPlant!$B$3&amp;$B$2&amp;$B$1)</f>
        <v>0</v>
      </c>
      <c r="DY7" s="2">
        <f>COUNTIF(defects!$X:$X,Weekly_TVPlant!DY$3&amp;Weekly_TVPlant!$B7&amp;Weekly_TVPlant!$B$3&amp;$B$2&amp;$B$1)</f>
        <v>0</v>
      </c>
      <c r="DZ7" s="2">
        <f>COUNTIF(defects!$X:$X,Weekly_TVPlant!DZ$3&amp;Weekly_TVPlant!$B7&amp;Weekly_TVPlant!$B$3&amp;$B$2&amp;$B$1)</f>
        <v>0</v>
      </c>
      <c r="EA7" s="2">
        <f>COUNTIF(defects!$X:$X,Weekly_TVPlant!EA$3&amp;Weekly_TVPlant!$B7&amp;Weekly_TVPlant!$B$3&amp;$B$2&amp;$B$1)</f>
        <v>0</v>
      </c>
      <c r="EB7" s="2">
        <f>COUNTIF(defects!$X:$X,Weekly_TVPlant!EB$3&amp;Weekly_TVPlant!$B7&amp;Weekly_TVPlant!$B$3&amp;$B$2&amp;$B$1)</f>
        <v>0</v>
      </c>
      <c r="EC7" s="2">
        <f>COUNTIF(defects!$X:$X,Weekly_TVPlant!EC$3&amp;Weekly_TVPlant!$B7&amp;Weekly_TVPlant!$B$3&amp;$B$2&amp;$B$1)</f>
        <v>0</v>
      </c>
      <c r="ED7" s="2">
        <f>COUNTIF(defects!$X:$X,Weekly_TVPlant!ED$3&amp;Weekly_TVPlant!$B7&amp;Weekly_TVPlant!$B$3&amp;$B$2&amp;$B$1)</f>
        <v>0</v>
      </c>
      <c r="EE7" s="2">
        <f>COUNTIF(defects!$X:$X,Weekly_TVPlant!EE$3&amp;Weekly_TVPlant!$B7&amp;Weekly_TVPlant!$B$3&amp;$B$2&amp;$B$1)</f>
        <v>0</v>
      </c>
      <c r="EF7" s="2">
        <f>COUNTIF(defects!$X:$X,Weekly_TVPlant!EF$3&amp;Weekly_TVPlant!$B7&amp;Weekly_TVPlant!$B$3&amp;$B$2&amp;$B$1)</f>
        <v>0</v>
      </c>
      <c r="EG7" s="2">
        <f>COUNTIF(defects!$X:$X,Weekly_TVPlant!EG$3&amp;Weekly_TVPlant!$B7&amp;Weekly_TVPlant!$B$3&amp;$B$2&amp;$B$1)</f>
        <v>0</v>
      </c>
      <c r="EH7" s="2">
        <f>COUNTIF(defects!$X:$X,Weekly_TVPlant!EH$3&amp;Weekly_TVPlant!$B7&amp;Weekly_TVPlant!$B$3&amp;$B$2&amp;$B$1)</f>
        <v>0</v>
      </c>
      <c r="EI7" s="2">
        <f>COUNTIF(defects!$X:$X,Weekly_TVPlant!EI$3&amp;Weekly_TVPlant!$B7&amp;Weekly_TVPlant!$B$3&amp;$B$2&amp;$B$1)</f>
        <v>0</v>
      </c>
      <c r="EJ7" s="2">
        <f>COUNTIF(defects!$X:$X,Weekly_TVPlant!EJ$3&amp;Weekly_TVPlant!$B7&amp;Weekly_TVPlant!$B$3&amp;$B$2&amp;$B$1)</f>
        <v>0</v>
      </c>
      <c r="EK7" s="2">
        <f>COUNTIF(defects!$X:$X,Weekly_TVPlant!EK$3&amp;Weekly_TVPlant!$B7&amp;Weekly_TVPlant!$B$3&amp;$B$2&amp;$B$1)</f>
        <v>0</v>
      </c>
      <c r="EL7" s="2">
        <f>COUNTIF(defects!$X:$X,Weekly_TVPlant!EL$3&amp;Weekly_TVPlant!$B7&amp;Weekly_TVPlant!$B$3&amp;$B$2&amp;$B$1)</f>
        <v>0</v>
      </c>
      <c r="EM7" s="2">
        <f>COUNTIF(defects!$X:$X,Weekly_TVPlant!EM$3&amp;Weekly_TVPlant!$B7&amp;Weekly_TVPlant!$B$3&amp;$B$2&amp;$B$1)</f>
        <v>0</v>
      </c>
      <c r="EN7" s="2">
        <f>COUNTIF(defects!$X:$X,Weekly_TVPlant!EN$3&amp;Weekly_TVPlant!$B7&amp;Weekly_TVPlant!$B$3&amp;$B$2&amp;$B$1)</f>
        <v>0</v>
      </c>
      <c r="EO7" s="2">
        <f>COUNTIF(defects!$X:$X,Weekly_TVPlant!EO$3&amp;Weekly_TVPlant!$B7&amp;Weekly_TVPlant!$B$3&amp;$B$2&amp;$B$1)</f>
        <v>0</v>
      </c>
      <c r="EP7" s="2">
        <f>COUNTIF(defects!$X:$X,Weekly_TVPlant!EP$3&amp;Weekly_TVPlant!$B7&amp;Weekly_TVPlant!$B$3&amp;$B$2&amp;$B$1)</f>
        <v>0</v>
      </c>
      <c r="EQ7" s="2">
        <f>COUNTIF(defects!$X:$X,Weekly_TVPlant!EQ$3&amp;Weekly_TVPlant!$B7&amp;Weekly_TVPlant!$B$3&amp;$B$2&amp;$B$1)</f>
        <v>0</v>
      </c>
      <c r="ER7" s="2">
        <f>COUNTIF(defects!$X:$X,Weekly_TVPlant!ER$3&amp;Weekly_TVPlant!$B7&amp;Weekly_TVPlant!$B$3&amp;$B$2&amp;$B$1)</f>
        <v>0</v>
      </c>
      <c r="ES7" s="2">
        <f>COUNTIF(defects!$X:$X,Weekly_TVPlant!ES$3&amp;Weekly_TVPlant!$B7&amp;Weekly_TVPlant!$B$3&amp;$B$2&amp;$B$1)</f>
        <v>0</v>
      </c>
      <c r="ET7" s="2">
        <f>COUNTIF(defects!$X:$X,Weekly_TVPlant!ET$3&amp;Weekly_TVPlant!$B7&amp;Weekly_TVPlant!$B$3&amp;$B$2&amp;$B$1)</f>
        <v>0</v>
      </c>
      <c r="EU7" s="2">
        <f>COUNTIF(defects!$X:$X,Weekly_TVPlant!EU$3&amp;Weekly_TVPlant!$B7&amp;Weekly_TVPlant!$B$3&amp;$B$2&amp;$B$1)</f>
        <v>0</v>
      </c>
      <c r="EV7" s="2">
        <f>COUNTIF(defects!$X:$X,Weekly_TVPlant!EV$3&amp;Weekly_TVPlant!$B7&amp;Weekly_TVPlant!$B$3&amp;$B$2&amp;$B$1)</f>
        <v>0</v>
      </c>
      <c r="EW7" s="2">
        <f>COUNTIF(defects!$X:$X,Weekly_TVPlant!EW$3&amp;Weekly_TVPlant!$B7&amp;Weekly_TVPlant!$B$3&amp;$B$2&amp;$B$1)</f>
        <v>0</v>
      </c>
      <c r="EX7" s="2">
        <f>COUNTIF(defects!$X:$X,Weekly_TVPlant!EX$3&amp;Weekly_TVPlant!$B7&amp;Weekly_TVPlant!$B$3&amp;$B$2&amp;$B$1)</f>
        <v>0</v>
      </c>
      <c r="EY7" s="2">
        <f>COUNTIF(defects!$X:$X,Weekly_TVPlant!EY$3&amp;Weekly_TVPlant!$B7&amp;Weekly_TVPlant!$B$3&amp;$B$2&amp;$B$1)</f>
        <v>0</v>
      </c>
      <c r="EZ7" s="2">
        <f>COUNTIF(defects!$X:$X,Weekly_TVPlant!EZ$3&amp;Weekly_TVPlant!$B7&amp;Weekly_TVPlant!$B$3&amp;$B$2&amp;$B$1)</f>
        <v>0</v>
      </c>
      <c r="FA7" s="2">
        <f>COUNTIF(defects!$X:$X,Weekly_TVPlant!FA$3&amp;Weekly_TVPlant!$B7&amp;Weekly_TVPlant!$B$3&amp;$B$2&amp;$B$1)</f>
        <v>0</v>
      </c>
      <c r="FB7" s="2">
        <f>COUNTIF(defects!$X:$X,Weekly_TVPlant!FB$3&amp;Weekly_TVPlant!$B7&amp;Weekly_TVPlant!$B$3&amp;$B$2&amp;$B$1)</f>
        <v>0</v>
      </c>
      <c r="FC7" s="2">
        <f>COUNTIF(defects!$X:$X,Weekly_TVPlant!FC$3&amp;Weekly_TVPlant!$B7&amp;Weekly_TVPlant!$B$3&amp;$B$2&amp;$B$1)</f>
        <v>0</v>
      </c>
      <c r="FD7" s="2">
        <f>COUNTIF(defects!$X:$X,Weekly_TVPlant!FD$3&amp;Weekly_TVPlant!$B7&amp;Weekly_TVPlant!$B$3&amp;$B$2&amp;$B$1)</f>
        <v>0</v>
      </c>
      <c r="FE7" s="2">
        <f>COUNTIF(defects!$X:$X,Weekly_TVPlant!FE$3&amp;Weekly_TVPlant!$B7&amp;Weekly_TVPlant!$B$3&amp;$B$2&amp;$B$1)</f>
        <v>0</v>
      </c>
    </row>
    <row r="8" spans="2:161">
      <c r="B8" s="2" t="s">
        <v>955</v>
      </c>
      <c r="C8" s="2">
        <f>COUNTIF(defects!$X:$X,Weekly_TVPlant!C$3&amp;Weekly_TVPlant!$B8&amp;Weekly_TVPlant!$B$3&amp;$B$2&amp;$B$1)</f>
        <v>0</v>
      </c>
      <c r="D8" s="2">
        <f>COUNTIF(defects!$X:$X,Weekly_TVPlant!D$3&amp;Weekly_TVPlant!$B8&amp;Weekly_TVPlant!$B$3&amp;$B$2&amp;$B$1)</f>
        <v>0</v>
      </c>
      <c r="E8" s="2">
        <f>COUNTIF(defects!$X:$X,Weekly_TVPlant!E$3&amp;Weekly_TVPlant!$B8&amp;Weekly_TVPlant!$B$3&amp;$B$2&amp;$B$1)</f>
        <v>0</v>
      </c>
      <c r="F8" s="2">
        <f>COUNTIF(defects!$X:$X,Weekly_TVPlant!F$3&amp;Weekly_TVPlant!$B8&amp;Weekly_TVPlant!$B$3&amp;$B$2&amp;$B$1)</f>
        <v>0</v>
      </c>
      <c r="G8" s="2">
        <f>COUNTIF(defects!$X:$X,Weekly_TVPlant!G$3&amp;Weekly_TVPlant!$B8&amp;Weekly_TVPlant!$B$3&amp;$B$2&amp;$B$1)</f>
        <v>0</v>
      </c>
      <c r="H8" s="2">
        <f>COUNTIF(defects!$X:$X,Weekly_TVPlant!H$3&amp;Weekly_TVPlant!$B8&amp;Weekly_TVPlant!$B$3&amp;$B$2&amp;$B$1)</f>
        <v>0</v>
      </c>
      <c r="I8" s="2">
        <f>COUNTIF(defects!$X:$X,Weekly_TVPlant!I$3&amp;Weekly_TVPlant!$B8&amp;Weekly_TVPlant!$B$3&amp;$B$2&amp;$B$1)</f>
        <v>0</v>
      </c>
      <c r="J8" s="2">
        <f>COUNTIF(defects!$X:$X,Weekly_TVPlant!J$3&amp;Weekly_TVPlant!$B8&amp;Weekly_TVPlant!$B$3&amp;$B$2&amp;$B$1)</f>
        <v>0</v>
      </c>
      <c r="K8" s="2">
        <f>COUNTIF(defects!$X:$X,Weekly_TVPlant!K$3&amp;Weekly_TVPlant!$B8&amp;Weekly_TVPlant!$B$3&amp;$B$2&amp;$B$1)</f>
        <v>0</v>
      </c>
      <c r="L8" s="2">
        <f>COUNTIF(defects!$X:$X,Weekly_TVPlant!L$3&amp;Weekly_TVPlant!$B8&amp;Weekly_TVPlant!$B$3&amp;$B$2&amp;$B$1)</f>
        <v>0</v>
      </c>
      <c r="M8" s="2">
        <f>COUNTIF(defects!$X:$X,Weekly_TVPlant!M$3&amp;Weekly_TVPlant!$B8&amp;Weekly_TVPlant!$B$3&amp;$B$2&amp;$B$1)</f>
        <v>0</v>
      </c>
      <c r="N8" s="2">
        <f>COUNTIF(defects!$X:$X,Weekly_TVPlant!N$3&amp;Weekly_TVPlant!$B8&amp;Weekly_TVPlant!$B$3&amp;$B$2&amp;$B$1)</f>
        <v>0</v>
      </c>
      <c r="O8" s="2">
        <f>COUNTIF(defects!$X:$X,Weekly_TVPlant!O$3&amp;Weekly_TVPlant!$B8&amp;Weekly_TVPlant!$B$3&amp;$B$2&amp;$B$1)</f>
        <v>0</v>
      </c>
      <c r="P8" s="2">
        <f>COUNTIF(defects!$X:$X,Weekly_TVPlant!P$3&amp;Weekly_TVPlant!$B8&amp;Weekly_TVPlant!$B$3&amp;$B$2&amp;$B$1)</f>
        <v>0</v>
      </c>
      <c r="Q8" s="2">
        <f>COUNTIF(defects!$X:$X,Weekly_TVPlant!Q$3&amp;Weekly_TVPlant!$B8&amp;Weekly_TVPlant!$B$3&amp;$B$2&amp;$B$1)</f>
        <v>0</v>
      </c>
      <c r="R8" s="2">
        <f>COUNTIF(defects!$X:$X,Weekly_TVPlant!R$3&amp;Weekly_TVPlant!$B8&amp;Weekly_TVPlant!$B$3&amp;$B$2&amp;$B$1)</f>
        <v>0</v>
      </c>
      <c r="S8" s="2">
        <f>COUNTIF(defects!$X:$X,Weekly_TVPlant!S$3&amp;Weekly_TVPlant!$B8&amp;Weekly_TVPlant!$B$3&amp;$B$2&amp;$B$1)</f>
        <v>0</v>
      </c>
      <c r="T8" s="2">
        <f>COUNTIF(defects!$X:$X,Weekly_TVPlant!T$3&amp;Weekly_TVPlant!$B8&amp;Weekly_TVPlant!$B$3&amp;$B$2&amp;$B$1)</f>
        <v>0</v>
      </c>
      <c r="U8" s="2">
        <f>COUNTIF(defects!$X:$X,Weekly_TVPlant!U$3&amp;Weekly_TVPlant!$B8&amp;Weekly_TVPlant!$B$3&amp;$B$2&amp;$B$1)</f>
        <v>0</v>
      </c>
      <c r="V8" s="2">
        <f>COUNTIF(defects!$X:$X,Weekly_TVPlant!V$3&amp;Weekly_TVPlant!$B8&amp;Weekly_TVPlant!$B$3&amp;$B$2&amp;$B$1)</f>
        <v>0</v>
      </c>
      <c r="W8" s="2">
        <f>COUNTIF(defects!$X:$X,Weekly_TVPlant!W$3&amp;Weekly_TVPlant!$B8&amp;Weekly_TVPlant!$B$3&amp;$B$2&amp;$B$1)</f>
        <v>0</v>
      </c>
      <c r="X8" s="2">
        <f>COUNTIF(defects!$X:$X,Weekly_TVPlant!X$3&amp;Weekly_TVPlant!$B8&amp;Weekly_TVPlant!$B$3&amp;$B$2&amp;$B$1)</f>
        <v>0</v>
      </c>
      <c r="Y8" s="2">
        <f>COUNTIF(defects!$X:$X,Weekly_TVPlant!Y$3&amp;Weekly_TVPlant!$B8&amp;Weekly_TVPlant!$B$3&amp;$B$2&amp;$B$1)</f>
        <v>0</v>
      </c>
      <c r="Z8" s="2">
        <f>COUNTIF(defects!$X:$X,Weekly_TVPlant!Z$3&amp;Weekly_TVPlant!$B8&amp;Weekly_TVPlant!$B$3&amp;$B$2&amp;$B$1)</f>
        <v>0</v>
      </c>
      <c r="AA8" s="2">
        <f>COUNTIF(defects!$X:$X,Weekly_TVPlant!AA$3&amp;Weekly_TVPlant!$B8&amp;Weekly_TVPlant!$B$3&amp;$B$2&amp;$B$1)</f>
        <v>0</v>
      </c>
      <c r="AB8" s="2">
        <f>COUNTIF(defects!$X:$X,Weekly_TVPlant!AB$3&amp;Weekly_TVPlant!$B8&amp;Weekly_TVPlant!$B$3&amp;$B$2&amp;$B$1)</f>
        <v>0</v>
      </c>
      <c r="AC8" s="2">
        <f>COUNTIF(defects!$X:$X,Weekly_TVPlant!AC$3&amp;Weekly_TVPlant!$B8&amp;Weekly_TVPlant!$B$3&amp;$B$2&amp;$B$1)</f>
        <v>0</v>
      </c>
      <c r="AD8" s="2">
        <f>COUNTIF(defects!$X:$X,Weekly_TVPlant!AD$3&amp;Weekly_TVPlant!$B8&amp;Weekly_TVPlant!$B$3&amp;$B$2&amp;$B$1)</f>
        <v>0</v>
      </c>
      <c r="AE8" s="2">
        <f>COUNTIF(defects!$X:$X,Weekly_TVPlant!AE$3&amp;Weekly_TVPlant!$B8&amp;Weekly_TVPlant!$B$3&amp;$B$2&amp;$B$1)</f>
        <v>0</v>
      </c>
      <c r="AF8" s="2">
        <f>COUNTIF(defects!$X:$X,Weekly_TVPlant!AF$3&amp;Weekly_TVPlant!$B8&amp;Weekly_TVPlant!$B$3&amp;$B$2&amp;$B$1)</f>
        <v>0</v>
      </c>
      <c r="AG8" s="2">
        <f>COUNTIF(defects!$X:$X,Weekly_TVPlant!AG$3&amp;Weekly_TVPlant!$B8&amp;Weekly_TVPlant!$B$3&amp;$B$2&amp;$B$1)</f>
        <v>0</v>
      </c>
      <c r="AH8" s="2">
        <f>COUNTIF(defects!$X:$X,Weekly_TVPlant!AH$3&amp;Weekly_TVPlant!$B8&amp;Weekly_TVPlant!$B$3&amp;$B$2&amp;$B$1)</f>
        <v>0</v>
      </c>
      <c r="AI8" s="2">
        <f>COUNTIF(defects!$X:$X,Weekly_TVPlant!AI$3&amp;Weekly_TVPlant!$B8&amp;Weekly_TVPlant!$B$3&amp;$B$2&amp;$B$1)</f>
        <v>0</v>
      </c>
      <c r="AJ8" s="2">
        <f>COUNTIF(defects!$X:$X,Weekly_TVPlant!AJ$3&amp;Weekly_TVPlant!$B8&amp;Weekly_TVPlant!$B$3&amp;$B$2&amp;$B$1)</f>
        <v>0</v>
      </c>
      <c r="AK8" s="2">
        <f>COUNTIF(defects!$X:$X,Weekly_TVPlant!AK$3&amp;Weekly_TVPlant!$B8&amp;Weekly_TVPlant!$B$3&amp;$B$2&amp;$B$1)</f>
        <v>0</v>
      </c>
      <c r="AL8" s="2">
        <f>COUNTIF(defects!$X:$X,Weekly_TVPlant!AL$3&amp;Weekly_TVPlant!$B8&amp;Weekly_TVPlant!$B$3&amp;$B$2&amp;$B$1)</f>
        <v>0</v>
      </c>
      <c r="AM8" s="2">
        <f>COUNTIF(defects!$X:$X,Weekly_TVPlant!AM$3&amp;Weekly_TVPlant!$B8&amp;Weekly_TVPlant!$B$3&amp;$B$2&amp;$B$1)</f>
        <v>0</v>
      </c>
      <c r="AN8" s="2">
        <f>COUNTIF(defects!$X:$X,Weekly_TVPlant!AN$3&amp;Weekly_TVPlant!$B8&amp;Weekly_TVPlant!$B$3&amp;$B$2&amp;$B$1)</f>
        <v>0</v>
      </c>
      <c r="AO8" s="2">
        <f>COUNTIF(defects!$X:$X,Weekly_TVPlant!AO$3&amp;Weekly_TVPlant!$B8&amp;Weekly_TVPlant!$B$3&amp;$B$2&amp;$B$1)</f>
        <v>0</v>
      </c>
      <c r="AP8" s="2">
        <f>COUNTIF(defects!$X:$X,Weekly_TVPlant!AP$3&amp;Weekly_TVPlant!$B8&amp;Weekly_TVPlant!$B$3&amp;$B$2&amp;$B$1)</f>
        <v>0</v>
      </c>
      <c r="AQ8" s="2">
        <f>COUNTIF(defects!$X:$X,Weekly_TVPlant!AQ$3&amp;Weekly_TVPlant!$B8&amp;Weekly_TVPlant!$B$3&amp;$B$2&amp;$B$1)</f>
        <v>0</v>
      </c>
      <c r="AR8" s="2">
        <f>COUNTIF(defects!$X:$X,Weekly_TVPlant!AR$3&amp;Weekly_TVPlant!$B8&amp;Weekly_TVPlant!$B$3&amp;$B$2&amp;$B$1)</f>
        <v>0</v>
      </c>
      <c r="AS8" s="2">
        <f>COUNTIF(defects!$X:$X,Weekly_TVPlant!AS$3&amp;Weekly_TVPlant!$B8&amp;Weekly_TVPlant!$B$3&amp;$B$2&amp;$B$1)</f>
        <v>0</v>
      </c>
      <c r="AT8" s="2">
        <f>COUNTIF(defects!$X:$X,Weekly_TVPlant!AT$3&amp;Weekly_TVPlant!$B8&amp;Weekly_TVPlant!$B$3&amp;$B$2&amp;$B$1)</f>
        <v>0</v>
      </c>
      <c r="AU8" s="2">
        <f>COUNTIF(defects!$X:$X,Weekly_TVPlant!AU$3&amp;Weekly_TVPlant!$B8&amp;Weekly_TVPlant!$B$3&amp;$B$2&amp;$B$1)</f>
        <v>0</v>
      </c>
      <c r="AV8" s="2">
        <f>COUNTIF(defects!$X:$X,Weekly_TVPlant!AV$3&amp;Weekly_TVPlant!$B8&amp;Weekly_TVPlant!$B$3&amp;$B$2&amp;$B$1)</f>
        <v>0</v>
      </c>
      <c r="AW8" s="2">
        <f>COUNTIF(defects!$X:$X,Weekly_TVPlant!AW$3&amp;Weekly_TVPlant!$B8&amp;Weekly_TVPlant!$B$3&amp;$B$2&amp;$B$1)</f>
        <v>0</v>
      </c>
      <c r="AX8" s="2">
        <f>COUNTIF(defects!$X:$X,Weekly_TVPlant!AX$3&amp;Weekly_TVPlant!$B8&amp;Weekly_TVPlant!$B$3&amp;$B$2&amp;$B$1)</f>
        <v>0</v>
      </c>
      <c r="AY8" s="2">
        <f>COUNTIF(defects!$X:$X,Weekly_TVPlant!AY$3&amp;Weekly_TVPlant!$B8&amp;Weekly_TVPlant!$B$3&amp;$B$2&amp;$B$1)</f>
        <v>0</v>
      </c>
      <c r="AZ8" s="2">
        <f>COUNTIF(defects!$X:$X,Weekly_TVPlant!AZ$3&amp;Weekly_TVPlant!$B8&amp;Weekly_TVPlant!$B$3&amp;$B$2&amp;$B$1)</f>
        <v>0</v>
      </c>
      <c r="BA8" s="2">
        <f>COUNTIF(defects!$X:$X,Weekly_TVPlant!BA$3&amp;Weekly_TVPlant!$B8&amp;Weekly_TVPlant!$B$3&amp;$B$2&amp;$B$1)</f>
        <v>0</v>
      </c>
      <c r="BB8" s="2">
        <f>COUNTIF(defects!$X:$X,Weekly_TVPlant!BB$3&amp;Weekly_TVPlant!$B8&amp;Weekly_TVPlant!$B$3&amp;$B$2&amp;$B$1)</f>
        <v>0</v>
      </c>
      <c r="BC8" s="2">
        <f>COUNTIF(defects!$X:$X,Weekly_TVPlant!BC$3&amp;Weekly_TVPlant!$B8&amp;Weekly_TVPlant!$B$3&amp;$B$2&amp;$B$1)</f>
        <v>0</v>
      </c>
      <c r="BD8" s="2">
        <f>COUNTIF(defects!$X:$X,Weekly_TVPlant!BD$3&amp;Weekly_TVPlant!$B8&amp;Weekly_TVPlant!$B$3&amp;$B$2&amp;$B$1)</f>
        <v>0</v>
      </c>
      <c r="BE8" s="2">
        <f>COUNTIF(defects!$X:$X,Weekly_TVPlant!BE$3&amp;Weekly_TVPlant!$B8&amp;Weekly_TVPlant!$B$3&amp;$B$2&amp;$B$1)</f>
        <v>0</v>
      </c>
      <c r="BF8" s="2">
        <f>COUNTIF(defects!$X:$X,Weekly_TVPlant!BF$3&amp;Weekly_TVPlant!$B8&amp;Weekly_TVPlant!$B$3&amp;$B$2&amp;$B$1)</f>
        <v>0</v>
      </c>
      <c r="BG8" s="2">
        <f>COUNTIF(defects!$X:$X,Weekly_TVPlant!BG$3&amp;Weekly_TVPlant!$B8&amp;Weekly_TVPlant!$B$3&amp;$B$2&amp;$B$1)</f>
        <v>0</v>
      </c>
      <c r="BH8" s="2">
        <f>COUNTIF(defects!$X:$X,Weekly_TVPlant!BH$3&amp;Weekly_TVPlant!$B8&amp;Weekly_TVPlant!$B$3&amp;$B$2&amp;$B$1)</f>
        <v>0</v>
      </c>
      <c r="BI8" s="2">
        <f>COUNTIF(defects!$X:$X,Weekly_TVPlant!BI$3&amp;Weekly_TVPlant!$B8&amp;Weekly_TVPlant!$B$3&amp;$B$2&amp;$B$1)</f>
        <v>0</v>
      </c>
      <c r="BJ8" s="2">
        <f>COUNTIF(defects!$X:$X,Weekly_TVPlant!BJ$3&amp;Weekly_TVPlant!$B8&amp;Weekly_TVPlant!$B$3&amp;$B$2&amp;$B$1)</f>
        <v>0</v>
      </c>
      <c r="BK8" s="2">
        <f>COUNTIF(defects!$X:$X,Weekly_TVPlant!BK$3&amp;Weekly_TVPlant!$B8&amp;Weekly_TVPlant!$B$3&amp;$B$2&amp;$B$1)</f>
        <v>0</v>
      </c>
      <c r="BL8" s="2">
        <f>COUNTIF(defects!$X:$X,Weekly_TVPlant!BL$3&amp;Weekly_TVPlant!$B8&amp;Weekly_TVPlant!$B$3&amp;$B$2&amp;$B$1)</f>
        <v>0</v>
      </c>
      <c r="BM8" s="2">
        <f>COUNTIF(defects!$X:$X,Weekly_TVPlant!BM$3&amp;Weekly_TVPlant!$B8&amp;Weekly_TVPlant!$B$3&amp;$B$2&amp;$B$1)</f>
        <v>0</v>
      </c>
      <c r="BN8" s="2">
        <f>COUNTIF(defects!$X:$X,Weekly_TVPlant!BN$3&amp;Weekly_TVPlant!$B8&amp;Weekly_TVPlant!$B$3&amp;$B$2&amp;$B$1)</f>
        <v>0</v>
      </c>
      <c r="BO8" s="2">
        <f>COUNTIF(defects!$X:$X,Weekly_TVPlant!BO$3&amp;Weekly_TVPlant!$B8&amp;Weekly_TVPlant!$B$3&amp;$B$2&amp;$B$1)</f>
        <v>1</v>
      </c>
      <c r="BP8" s="2">
        <f>COUNTIF(defects!$X:$X,Weekly_TVPlant!BP$3&amp;Weekly_TVPlant!$B8&amp;Weekly_TVPlant!$B$3&amp;$B$2&amp;$B$1)</f>
        <v>0</v>
      </c>
      <c r="BQ8" s="2">
        <f>COUNTIF(defects!$X:$X,Weekly_TVPlant!BQ$3&amp;Weekly_TVPlant!$B8&amp;Weekly_TVPlant!$B$3&amp;$B$2&amp;$B$1)</f>
        <v>0</v>
      </c>
      <c r="BR8" s="2">
        <f>COUNTIF(defects!$X:$X,Weekly_TVPlant!BR$3&amp;Weekly_TVPlant!$B8&amp;Weekly_TVPlant!$B$3&amp;$B$2&amp;$B$1)</f>
        <v>0</v>
      </c>
      <c r="BS8" s="2">
        <f>COUNTIF(defects!$X:$X,Weekly_TVPlant!BS$3&amp;Weekly_TVPlant!$B8&amp;Weekly_TVPlant!$B$3&amp;$B$2&amp;$B$1)</f>
        <v>0</v>
      </c>
      <c r="BT8" s="2">
        <f>COUNTIF(defects!$X:$X,Weekly_TVPlant!BT$3&amp;Weekly_TVPlant!$B8&amp;Weekly_TVPlant!$B$3&amp;$B$2&amp;$B$1)</f>
        <v>0</v>
      </c>
      <c r="BU8" s="2">
        <f>COUNTIF(defects!$X:$X,Weekly_TVPlant!BU$3&amp;Weekly_TVPlant!$B8&amp;Weekly_TVPlant!$B$3&amp;$B$2&amp;$B$1)</f>
        <v>0</v>
      </c>
      <c r="BV8" s="2">
        <f>COUNTIF(defects!$X:$X,Weekly_TVPlant!BV$3&amp;Weekly_TVPlant!$B8&amp;Weekly_TVPlant!$B$3&amp;$B$2&amp;$B$1)</f>
        <v>0</v>
      </c>
      <c r="BW8" s="2">
        <f>COUNTIF(defects!$X:$X,Weekly_TVPlant!BW$3&amp;Weekly_TVPlant!$B8&amp;Weekly_TVPlant!$B$3&amp;$B$2&amp;$B$1)</f>
        <v>0</v>
      </c>
      <c r="BX8" s="2">
        <f>COUNTIF(defects!$X:$X,Weekly_TVPlant!BX$3&amp;Weekly_TVPlant!$B8&amp;Weekly_TVPlant!$B$3&amp;$B$2&amp;$B$1)</f>
        <v>0</v>
      </c>
      <c r="BY8" s="2">
        <f>COUNTIF(defects!$X:$X,Weekly_TVPlant!BY$3&amp;Weekly_TVPlant!$B8&amp;Weekly_TVPlant!$B$3&amp;$B$2&amp;$B$1)</f>
        <v>0</v>
      </c>
      <c r="BZ8" s="2">
        <f>COUNTIF(defects!$X:$X,Weekly_TVPlant!BZ$3&amp;Weekly_TVPlant!$B8&amp;Weekly_TVPlant!$B$3&amp;$B$2&amp;$B$1)</f>
        <v>3</v>
      </c>
      <c r="CA8" s="2">
        <f>COUNTIF(defects!$X:$X,Weekly_TVPlant!CA$3&amp;Weekly_TVPlant!$B8&amp;Weekly_TVPlant!$B$3&amp;$B$2&amp;$B$1)</f>
        <v>0</v>
      </c>
      <c r="CB8" s="2">
        <f>COUNTIF(defects!$X:$X,Weekly_TVPlant!CB$3&amp;Weekly_TVPlant!$B8&amp;Weekly_TVPlant!$B$3&amp;$B$2&amp;$B$1)</f>
        <v>0</v>
      </c>
      <c r="CC8" s="2">
        <f>COUNTIF(defects!$X:$X,Weekly_TVPlant!CC$3&amp;Weekly_TVPlant!$B8&amp;Weekly_TVPlant!$B$3&amp;$B$2&amp;$B$1)</f>
        <v>0</v>
      </c>
      <c r="CD8" s="2">
        <f>COUNTIF(defects!$X:$X,Weekly_TVPlant!CD$3&amp;Weekly_TVPlant!$B8&amp;Weekly_TVPlant!$B$3&amp;$B$2&amp;$B$1)</f>
        <v>0</v>
      </c>
      <c r="CE8" s="2">
        <f>COUNTIF(defects!$X:$X,Weekly_TVPlant!CE$3&amp;Weekly_TVPlant!$B8&amp;Weekly_TVPlant!$B$3&amp;$B$2&amp;$B$1)</f>
        <v>0</v>
      </c>
      <c r="CF8" s="2">
        <f>COUNTIF(defects!$X:$X,Weekly_TVPlant!CF$3&amp;Weekly_TVPlant!$B8&amp;Weekly_TVPlant!$B$3&amp;$B$2&amp;$B$1)</f>
        <v>3</v>
      </c>
      <c r="CG8" s="2">
        <f>COUNTIF(defects!$X:$X,Weekly_TVPlant!CG$3&amp;Weekly_TVPlant!$B8&amp;Weekly_TVPlant!$B$3&amp;$B$2&amp;$B$1)</f>
        <v>0</v>
      </c>
      <c r="CH8" s="2">
        <f>COUNTIF(defects!$X:$X,Weekly_TVPlant!CH$3&amp;Weekly_TVPlant!$B8&amp;Weekly_TVPlant!$B$3&amp;$B$2&amp;$B$1)</f>
        <v>0</v>
      </c>
      <c r="CI8" s="2">
        <f>COUNTIF(defects!$X:$X,Weekly_TVPlant!CI$3&amp;Weekly_TVPlant!$B8&amp;Weekly_TVPlant!$B$3&amp;$B$2&amp;$B$1)</f>
        <v>1</v>
      </c>
      <c r="CJ8" s="2">
        <f>COUNTIF(defects!$X:$X,Weekly_TVPlant!CJ$3&amp;Weekly_TVPlant!$B8&amp;Weekly_TVPlant!$B$3&amp;$B$2&amp;$B$1)</f>
        <v>0</v>
      </c>
      <c r="CK8" s="2">
        <f>COUNTIF(defects!$X:$X,Weekly_TVPlant!CK$3&amp;Weekly_TVPlant!$B8&amp;Weekly_TVPlant!$B$3&amp;$B$2&amp;$B$1)</f>
        <v>0</v>
      </c>
      <c r="CL8" s="2">
        <f>COUNTIF(defects!$X:$X,Weekly_TVPlant!CL$3&amp;Weekly_TVPlant!$B8&amp;Weekly_TVPlant!$B$3&amp;$B$2&amp;$B$1)</f>
        <v>0</v>
      </c>
      <c r="CM8" s="2">
        <f>COUNTIF(defects!$X:$X,Weekly_TVPlant!CM$3&amp;Weekly_TVPlant!$B8&amp;Weekly_TVPlant!$B$3&amp;$B$2&amp;$B$1)</f>
        <v>0</v>
      </c>
      <c r="CN8" s="2">
        <f>COUNTIF(defects!$X:$X,Weekly_TVPlant!CN$3&amp;Weekly_TVPlant!$B8&amp;Weekly_TVPlant!$B$3&amp;$B$2&amp;$B$1)</f>
        <v>0</v>
      </c>
      <c r="CO8" s="2">
        <f>COUNTIF(defects!$X:$X,Weekly_TVPlant!CO$3&amp;Weekly_TVPlant!$B8&amp;Weekly_TVPlant!$B$3&amp;$B$2&amp;$B$1)</f>
        <v>1</v>
      </c>
      <c r="CP8" s="2">
        <f>COUNTIF(defects!$X:$X,Weekly_TVPlant!CP$3&amp;Weekly_TVPlant!$B8&amp;Weekly_TVPlant!$B$3&amp;$B$2&amp;$B$1)</f>
        <v>1</v>
      </c>
      <c r="CQ8" s="2">
        <f>COUNTIF(defects!$X:$X,Weekly_TVPlant!CQ$3&amp;Weekly_TVPlant!$B8&amp;Weekly_TVPlant!$B$3&amp;$B$2&amp;$B$1)</f>
        <v>0</v>
      </c>
      <c r="CR8" s="2">
        <f>COUNTIF(defects!$X:$X,Weekly_TVPlant!CR$3&amp;Weekly_TVPlant!$B8&amp;Weekly_TVPlant!$B$3&amp;$B$2&amp;$B$1)</f>
        <v>0</v>
      </c>
      <c r="CS8" s="2">
        <f>COUNTIF(defects!$X:$X,Weekly_TVPlant!CS$3&amp;Weekly_TVPlant!$B8&amp;Weekly_TVPlant!$B$3&amp;$B$2&amp;$B$1)</f>
        <v>1</v>
      </c>
      <c r="CT8" s="2">
        <f>COUNTIF(defects!$X:$X,Weekly_TVPlant!CT$3&amp;Weekly_TVPlant!$B8&amp;Weekly_TVPlant!$B$3&amp;$B$2&amp;$B$1)</f>
        <v>0</v>
      </c>
      <c r="CU8" s="2">
        <f>COUNTIF(defects!$X:$X,Weekly_TVPlant!CU$3&amp;Weekly_TVPlant!$B8&amp;Weekly_TVPlant!$B$3&amp;$B$2&amp;$B$1)</f>
        <v>0</v>
      </c>
      <c r="CV8" s="2">
        <f>COUNTIF(defects!$X:$X,Weekly_TVPlant!CV$3&amp;Weekly_TVPlant!$B8&amp;Weekly_TVPlant!$B$3&amp;$B$2&amp;$B$1)</f>
        <v>0</v>
      </c>
      <c r="CW8" s="2">
        <f>COUNTIF(defects!$X:$X,Weekly_TVPlant!CW$3&amp;Weekly_TVPlant!$B8&amp;Weekly_TVPlant!$B$3&amp;$B$2&amp;$B$1)</f>
        <v>0</v>
      </c>
      <c r="CX8" s="2">
        <f>COUNTIF(defects!$X:$X,Weekly_TVPlant!CX$3&amp;Weekly_TVPlant!$B8&amp;Weekly_TVPlant!$B$3&amp;$B$2&amp;$B$1)</f>
        <v>0</v>
      </c>
      <c r="CY8" s="2">
        <f>COUNTIF(defects!$X:$X,Weekly_TVPlant!CY$3&amp;Weekly_TVPlant!$B8&amp;Weekly_TVPlant!$B$3&amp;$B$2&amp;$B$1)</f>
        <v>0</v>
      </c>
      <c r="CZ8" s="2">
        <f>COUNTIF(defects!$X:$X,Weekly_TVPlant!CZ$3&amp;Weekly_TVPlant!$B8&amp;Weekly_TVPlant!$B$3&amp;$B$2&amp;$B$1)</f>
        <v>0</v>
      </c>
      <c r="DA8" s="2">
        <f>COUNTIF(defects!$X:$X,Weekly_TVPlant!DA$3&amp;Weekly_TVPlant!$B8&amp;Weekly_TVPlant!$B$3&amp;$B$2&amp;$B$1)</f>
        <v>0</v>
      </c>
      <c r="DB8" s="2">
        <f>COUNTIF(defects!$X:$X,Weekly_TVPlant!DB$3&amp;Weekly_TVPlant!$B8&amp;Weekly_TVPlant!$B$3&amp;$B$2&amp;$B$1)</f>
        <v>0</v>
      </c>
      <c r="DC8" s="2">
        <f>COUNTIF(defects!$X:$X,Weekly_TVPlant!DC$3&amp;Weekly_TVPlant!$B8&amp;Weekly_TVPlant!$B$3&amp;$B$2&amp;$B$1)</f>
        <v>0</v>
      </c>
      <c r="DD8" s="2">
        <f>COUNTIF(defects!$X:$X,Weekly_TVPlant!DD$3&amp;Weekly_TVPlant!$B8&amp;Weekly_TVPlant!$B$3&amp;$B$2&amp;$B$1)</f>
        <v>0</v>
      </c>
      <c r="DE8" s="2">
        <f>COUNTIF(defects!$X:$X,Weekly_TVPlant!DE$3&amp;Weekly_TVPlant!$B8&amp;Weekly_TVPlant!$B$3&amp;$B$2&amp;$B$1)</f>
        <v>0</v>
      </c>
      <c r="DF8" s="2">
        <f>COUNTIF(defects!$X:$X,Weekly_TVPlant!DF$3&amp;Weekly_TVPlant!$B8&amp;Weekly_TVPlant!$B$3&amp;$B$2&amp;$B$1)</f>
        <v>0</v>
      </c>
      <c r="DG8" s="2">
        <f>COUNTIF(defects!$X:$X,Weekly_TVPlant!DG$3&amp;Weekly_TVPlant!$B8&amp;Weekly_TVPlant!$B$3&amp;$B$2&amp;$B$1)</f>
        <v>0</v>
      </c>
      <c r="DH8" s="2">
        <f>COUNTIF(defects!$X:$X,Weekly_TVPlant!DH$3&amp;Weekly_TVPlant!$B8&amp;Weekly_TVPlant!$B$3&amp;$B$2&amp;$B$1)</f>
        <v>0</v>
      </c>
      <c r="DI8" s="2">
        <f>COUNTIF(defects!$X:$X,Weekly_TVPlant!DI$3&amp;Weekly_TVPlant!$B8&amp;Weekly_TVPlant!$B$3&amp;$B$2&amp;$B$1)</f>
        <v>0</v>
      </c>
      <c r="DJ8" s="2">
        <f>COUNTIF(defects!$X:$X,Weekly_TVPlant!DJ$3&amp;Weekly_TVPlant!$B8&amp;Weekly_TVPlant!$B$3&amp;$B$2&amp;$B$1)</f>
        <v>0</v>
      </c>
      <c r="DK8" s="2">
        <f>COUNTIF(defects!$X:$X,Weekly_TVPlant!DK$3&amp;Weekly_TVPlant!$B8&amp;Weekly_TVPlant!$B$3&amp;$B$2&amp;$B$1)</f>
        <v>0</v>
      </c>
      <c r="DL8" s="2">
        <f>COUNTIF(defects!$X:$X,Weekly_TVPlant!DL$3&amp;Weekly_TVPlant!$B8&amp;Weekly_TVPlant!$B$3&amp;$B$2&amp;$B$1)</f>
        <v>0</v>
      </c>
      <c r="DM8" s="2">
        <f>COUNTIF(defects!$X:$X,Weekly_TVPlant!DM$3&amp;Weekly_TVPlant!$B8&amp;Weekly_TVPlant!$B$3&amp;$B$2&amp;$B$1)</f>
        <v>0</v>
      </c>
      <c r="DN8" s="2">
        <f>COUNTIF(defects!$X:$X,Weekly_TVPlant!DN$3&amp;Weekly_TVPlant!$B8&amp;Weekly_TVPlant!$B$3&amp;$B$2&amp;$B$1)</f>
        <v>0</v>
      </c>
      <c r="DO8" s="2">
        <f>COUNTIF(defects!$X:$X,Weekly_TVPlant!DO$3&amp;Weekly_TVPlant!$B8&amp;Weekly_TVPlant!$B$3&amp;$B$2&amp;$B$1)</f>
        <v>0</v>
      </c>
      <c r="DP8" s="2">
        <f>COUNTIF(defects!$X:$X,Weekly_TVPlant!DP$3&amp;Weekly_TVPlant!$B8&amp;Weekly_TVPlant!$B$3&amp;$B$2&amp;$B$1)</f>
        <v>0</v>
      </c>
      <c r="DQ8" s="2">
        <f>COUNTIF(defects!$X:$X,Weekly_TVPlant!DQ$3&amp;Weekly_TVPlant!$B8&amp;Weekly_TVPlant!$B$3&amp;$B$2&amp;$B$1)</f>
        <v>0</v>
      </c>
      <c r="DR8" s="2">
        <f>COUNTIF(defects!$X:$X,Weekly_TVPlant!DR$3&amp;Weekly_TVPlant!$B8&amp;Weekly_TVPlant!$B$3&amp;$B$2&amp;$B$1)</f>
        <v>0</v>
      </c>
      <c r="DS8" s="2">
        <f>COUNTIF(defects!$X:$X,Weekly_TVPlant!DS$3&amp;Weekly_TVPlant!$B8&amp;Weekly_TVPlant!$B$3&amp;$B$2&amp;$B$1)</f>
        <v>0</v>
      </c>
      <c r="DT8" s="2">
        <f>COUNTIF(defects!$X:$X,Weekly_TVPlant!DT$3&amp;Weekly_TVPlant!$B8&amp;Weekly_TVPlant!$B$3&amp;$B$2&amp;$B$1)</f>
        <v>0</v>
      </c>
      <c r="DU8" s="2">
        <f>COUNTIF(defects!$X:$X,Weekly_TVPlant!DU$3&amp;Weekly_TVPlant!$B8&amp;Weekly_TVPlant!$B$3&amp;$B$2&amp;$B$1)</f>
        <v>0</v>
      </c>
      <c r="DV8" s="2">
        <f>COUNTIF(defects!$X:$X,Weekly_TVPlant!DV$3&amp;Weekly_TVPlant!$B8&amp;Weekly_TVPlant!$B$3&amp;$B$2&amp;$B$1)</f>
        <v>0</v>
      </c>
      <c r="DW8" s="2">
        <f>COUNTIF(defects!$X:$X,Weekly_TVPlant!DW$3&amp;Weekly_TVPlant!$B8&amp;Weekly_TVPlant!$B$3&amp;$B$2&amp;$B$1)</f>
        <v>0</v>
      </c>
      <c r="DX8" s="2">
        <f>COUNTIF(defects!$X:$X,Weekly_TVPlant!DX$3&amp;Weekly_TVPlant!$B8&amp;Weekly_TVPlant!$B$3&amp;$B$2&amp;$B$1)</f>
        <v>0</v>
      </c>
      <c r="DY8" s="2">
        <f>COUNTIF(defects!$X:$X,Weekly_TVPlant!DY$3&amp;Weekly_TVPlant!$B8&amp;Weekly_TVPlant!$B$3&amp;$B$2&amp;$B$1)</f>
        <v>0</v>
      </c>
      <c r="DZ8" s="2">
        <f>COUNTIF(defects!$X:$X,Weekly_TVPlant!DZ$3&amp;Weekly_TVPlant!$B8&amp;Weekly_TVPlant!$B$3&amp;$B$2&amp;$B$1)</f>
        <v>0</v>
      </c>
      <c r="EA8" s="2">
        <f>COUNTIF(defects!$X:$X,Weekly_TVPlant!EA$3&amp;Weekly_TVPlant!$B8&amp;Weekly_TVPlant!$B$3&amp;$B$2&amp;$B$1)</f>
        <v>0</v>
      </c>
      <c r="EB8" s="2">
        <f>COUNTIF(defects!$X:$X,Weekly_TVPlant!EB$3&amp;Weekly_TVPlant!$B8&amp;Weekly_TVPlant!$B$3&amp;$B$2&amp;$B$1)</f>
        <v>0</v>
      </c>
      <c r="EC8" s="2">
        <f>COUNTIF(defects!$X:$X,Weekly_TVPlant!EC$3&amp;Weekly_TVPlant!$B8&amp;Weekly_TVPlant!$B$3&amp;$B$2&amp;$B$1)</f>
        <v>0</v>
      </c>
      <c r="ED8" s="2">
        <f>COUNTIF(defects!$X:$X,Weekly_TVPlant!ED$3&amp;Weekly_TVPlant!$B8&amp;Weekly_TVPlant!$B$3&amp;$B$2&amp;$B$1)</f>
        <v>0</v>
      </c>
      <c r="EE8" s="2">
        <f>COUNTIF(defects!$X:$X,Weekly_TVPlant!EE$3&amp;Weekly_TVPlant!$B8&amp;Weekly_TVPlant!$B$3&amp;$B$2&amp;$B$1)</f>
        <v>0</v>
      </c>
      <c r="EF8" s="2">
        <f>COUNTIF(defects!$X:$X,Weekly_TVPlant!EF$3&amp;Weekly_TVPlant!$B8&amp;Weekly_TVPlant!$B$3&amp;$B$2&amp;$B$1)</f>
        <v>0</v>
      </c>
      <c r="EG8" s="2">
        <f>COUNTIF(defects!$X:$X,Weekly_TVPlant!EG$3&amp;Weekly_TVPlant!$B8&amp;Weekly_TVPlant!$B$3&amp;$B$2&amp;$B$1)</f>
        <v>0</v>
      </c>
      <c r="EH8" s="2">
        <f>COUNTIF(defects!$X:$X,Weekly_TVPlant!EH$3&amp;Weekly_TVPlant!$B8&amp;Weekly_TVPlant!$B$3&amp;$B$2&amp;$B$1)</f>
        <v>0</v>
      </c>
      <c r="EI8" s="2">
        <f>COUNTIF(defects!$X:$X,Weekly_TVPlant!EI$3&amp;Weekly_TVPlant!$B8&amp;Weekly_TVPlant!$B$3&amp;$B$2&amp;$B$1)</f>
        <v>0</v>
      </c>
      <c r="EJ8" s="2">
        <f>COUNTIF(defects!$X:$X,Weekly_TVPlant!EJ$3&amp;Weekly_TVPlant!$B8&amp;Weekly_TVPlant!$B$3&amp;$B$2&amp;$B$1)</f>
        <v>0</v>
      </c>
      <c r="EK8" s="2">
        <f>COUNTIF(defects!$X:$X,Weekly_TVPlant!EK$3&amp;Weekly_TVPlant!$B8&amp;Weekly_TVPlant!$B$3&amp;$B$2&amp;$B$1)</f>
        <v>0</v>
      </c>
      <c r="EL8" s="2">
        <f>COUNTIF(defects!$X:$X,Weekly_TVPlant!EL$3&amp;Weekly_TVPlant!$B8&amp;Weekly_TVPlant!$B$3&amp;$B$2&amp;$B$1)</f>
        <v>0</v>
      </c>
      <c r="EM8" s="2">
        <f>COUNTIF(defects!$X:$X,Weekly_TVPlant!EM$3&amp;Weekly_TVPlant!$B8&amp;Weekly_TVPlant!$B$3&amp;$B$2&amp;$B$1)</f>
        <v>0</v>
      </c>
      <c r="EN8" s="2">
        <f>COUNTIF(defects!$X:$X,Weekly_TVPlant!EN$3&amp;Weekly_TVPlant!$B8&amp;Weekly_TVPlant!$B$3&amp;$B$2&amp;$B$1)</f>
        <v>0</v>
      </c>
      <c r="EO8" s="2">
        <f>COUNTIF(defects!$X:$X,Weekly_TVPlant!EO$3&amp;Weekly_TVPlant!$B8&amp;Weekly_TVPlant!$B$3&amp;$B$2&amp;$B$1)</f>
        <v>0</v>
      </c>
      <c r="EP8" s="2">
        <f>COUNTIF(defects!$X:$X,Weekly_TVPlant!EP$3&amp;Weekly_TVPlant!$B8&amp;Weekly_TVPlant!$B$3&amp;$B$2&amp;$B$1)</f>
        <v>0</v>
      </c>
      <c r="EQ8" s="2">
        <f>COUNTIF(defects!$X:$X,Weekly_TVPlant!EQ$3&amp;Weekly_TVPlant!$B8&amp;Weekly_TVPlant!$B$3&amp;$B$2&amp;$B$1)</f>
        <v>0</v>
      </c>
      <c r="ER8" s="2">
        <f>COUNTIF(defects!$X:$X,Weekly_TVPlant!ER$3&amp;Weekly_TVPlant!$B8&amp;Weekly_TVPlant!$B$3&amp;$B$2&amp;$B$1)</f>
        <v>0</v>
      </c>
      <c r="ES8" s="2">
        <f>COUNTIF(defects!$X:$X,Weekly_TVPlant!ES$3&amp;Weekly_TVPlant!$B8&amp;Weekly_TVPlant!$B$3&amp;$B$2&amp;$B$1)</f>
        <v>0</v>
      </c>
      <c r="ET8" s="2">
        <f>COUNTIF(defects!$X:$X,Weekly_TVPlant!ET$3&amp;Weekly_TVPlant!$B8&amp;Weekly_TVPlant!$B$3&amp;$B$2&amp;$B$1)</f>
        <v>0</v>
      </c>
      <c r="EU8" s="2">
        <f>COUNTIF(defects!$X:$X,Weekly_TVPlant!EU$3&amp;Weekly_TVPlant!$B8&amp;Weekly_TVPlant!$B$3&amp;$B$2&amp;$B$1)</f>
        <v>0</v>
      </c>
      <c r="EV8" s="2">
        <f>COUNTIF(defects!$X:$X,Weekly_TVPlant!EV$3&amp;Weekly_TVPlant!$B8&amp;Weekly_TVPlant!$B$3&amp;$B$2&amp;$B$1)</f>
        <v>0</v>
      </c>
      <c r="EW8" s="2">
        <f>COUNTIF(defects!$X:$X,Weekly_TVPlant!EW$3&amp;Weekly_TVPlant!$B8&amp;Weekly_TVPlant!$B$3&amp;$B$2&amp;$B$1)</f>
        <v>0</v>
      </c>
      <c r="EX8" s="2">
        <f>COUNTIF(defects!$X:$X,Weekly_TVPlant!EX$3&amp;Weekly_TVPlant!$B8&amp;Weekly_TVPlant!$B$3&amp;$B$2&amp;$B$1)</f>
        <v>0</v>
      </c>
      <c r="EY8" s="2">
        <f>COUNTIF(defects!$X:$X,Weekly_TVPlant!EY$3&amp;Weekly_TVPlant!$B8&amp;Weekly_TVPlant!$B$3&amp;$B$2&amp;$B$1)</f>
        <v>0</v>
      </c>
      <c r="EZ8" s="2">
        <f>COUNTIF(defects!$X:$X,Weekly_TVPlant!EZ$3&amp;Weekly_TVPlant!$B8&amp;Weekly_TVPlant!$B$3&amp;$B$2&amp;$B$1)</f>
        <v>0</v>
      </c>
      <c r="FA8" s="2">
        <f>COUNTIF(defects!$X:$X,Weekly_TVPlant!FA$3&amp;Weekly_TVPlant!$B8&amp;Weekly_TVPlant!$B$3&amp;$B$2&amp;$B$1)</f>
        <v>0</v>
      </c>
      <c r="FB8" s="2">
        <f>COUNTIF(defects!$X:$X,Weekly_TVPlant!FB$3&amp;Weekly_TVPlant!$B8&amp;Weekly_TVPlant!$B$3&amp;$B$2&amp;$B$1)</f>
        <v>0</v>
      </c>
      <c r="FC8" s="2">
        <f>COUNTIF(defects!$X:$X,Weekly_TVPlant!FC$3&amp;Weekly_TVPlant!$B8&amp;Weekly_TVPlant!$B$3&amp;$B$2&amp;$B$1)</f>
        <v>0</v>
      </c>
      <c r="FD8" s="2">
        <f>COUNTIF(defects!$X:$X,Weekly_TVPlant!FD$3&amp;Weekly_TVPlant!$B8&amp;Weekly_TVPlant!$B$3&amp;$B$2&amp;$B$1)</f>
        <v>0</v>
      </c>
      <c r="FE8" s="2">
        <f>COUNTIF(defects!$X:$X,Weekly_TVPlant!FE$3&amp;Weekly_TVPlant!$B8&amp;Weekly_TVPlant!$B$3&amp;$B$2&amp;$B$1)</f>
        <v>0</v>
      </c>
    </row>
    <row r="9" spans="2:161">
      <c r="B9" s="2" t="s">
        <v>953</v>
      </c>
      <c r="C9" s="2">
        <f>COUNTIF(defects!$X:$X,Weekly_TVPlant!C$3&amp;Weekly_TVPlant!$B9&amp;Weekly_TVPlant!$B$3&amp;$B$2&amp;$B$1)</f>
        <v>0</v>
      </c>
      <c r="D9" s="2">
        <f>COUNTIF(defects!$X:$X,Weekly_TVPlant!D$3&amp;Weekly_TVPlant!$B9&amp;Weekly_TVPlant!$B$3&amp;$B$2&amp;$B$1)</f>
        <v>0</v>
      </c>
      <c r="E9" s="2">
        <f>COUNTIF(defects!$X:$X,Weekly_TVPlant!E$3&amp;Weekly_TVPlant!$B9&amp;Weekly_TVPlant!$B$3&amp;$B$2&amp;$B$1)</f>
        <v>0</v>
      </c>
      <c r="F9" s="2">
        <f>COUNTIF(defects!$X:$X,Weekly_TVPlant!F$3&amp;Weekly_TVPlant!$B9&amp;Weekly_TVPlant!$B$3&amp;$B$2&amp;$B$1)</f>
        <v>0</v>
      </c>
      <c r="G9" s="2">
        <f>COUNTIF(defects!$X:$X,Weekly_TVPlant!G$3&amp;Weekly_TVPlant!$B9&amp;Weekly_TVPlant!$B$3&amp;$B$2&amp;$B$1)</f>
        <v>0</v>
      </c>
      <c r="H9" s="2">
        <f>COUNTIF(defects!$X:$X,Weekly_TVPlant!H$3&amp;Weekly_TVPlant!$B9&amp;Weekly_TVPlant!$B$3&amp;$B$2&amp;$B$1)</f>
        <v>0</v>
      </c>
      <c r="I9" s="2">
        <f>COUNTIF(defects!$X:$X,Weekly_TVPlant!I$3&amp;Weekly_TVPlant!$B9&amp;Weekly_TVPlant!$B$3&amp;$B$2&amp;$B$1)</f>
        <v>0</v>
      </c>
      <c r="J9" s="2">
        <f>COUNTIF(defects!$X:$X,Weekly_TVPlant!J$3&amp;Weekly_TVPlant!$B9&amp;Weekly_TVPlant!$B$3&amp;$B$2&amp;$B$1)</f>
        <v>0</v>
      </c>
      <c r="K9" s="2">
        <f>COUNTIF(defects!$X:$X,Weekly_TVPlant!K$3&amp;Weekly_TVPlant!$B9&amp;Weekly_TVPlant!$B$3&amp;$B$2&amp;$B$1)</f>
        <v>0</v>
      </c>
      <c r="L9" s="2">
        <f>COUNTIF(defects!$X:$X,Weekly_TVPlant!L$3&amp;Weekly_TVPlant!$B9&amp;Weekly_TVPlant!$B$3&amp;$B$2&amp;$B$1)</f>
        <v>0</v>
      </c>
      <c r="M9" s="2">
        <f>COUNTIF(defects!$X:$X,Weekly_TVPlant!M$3&amp;Weekly_TVPlant!$B9&amp;Weekly_TVPlant!$B$3&amp;$B$2&amp;$B$1)</f>
        <v>0</v>
      </c>
      <c r="N9" s="2">
        <f>COUNTIF(defects!$X:$X,Weekly_TVPlant!N$3&amp;Weekly_TVPlant!$B9&amp;Weekly_TVPlant!$B$3&amp;$B$2&amp;$B$1)</f>
        <v>0</v>
      </c>
      <c r="O9" s="2">
        <f>COUNTIF(defects!$X:$X,Weekly_TVPlant!O$3&amp;Weekly_TVPlant!$B9&amp;Weekly_TVPlant!$B$3&amp;$B$2&amp;$B$1)</f>
        <v>0</v>
      </c>
      <c r="P9" s="2">
        <f>COUNTIF(defects!$X:$X,Weekly_TVPlant!P$3&amp;Weekly_TVPlant!$B9&amp;Weekly_TVPlant!$B$3&amp;$B$2&amp;$B$1)</f>
        <v>0</v>
      </c>
      <c r="Q9" s="2">
        <f>COUNTIF(defects!$X:$X,Weekly_TVPlant!Q$3&amp;Weekly_TVPlant!$B9&amp;Weekly_TVPlant!$B$3&amp;$B$2&amp;$B$1)</f>
        <v>0</v>
      </c>
      <c r="R9" s="2">
        <f>COUNTIF(defects!$X:$X,Weekly_TVPlant!R$3&amp;Weekly_TVPlant!$B9&amp;Weekly_TVPlant!$B$3&amp;$B$2&amp;$B$1)</f>
        <v>0</v>
      </c>
      <c r="S9" s="2">
        <f>COUNTIF(defects!$X:$X,Weekly_TVPlant!S$3&amp;Weekly_TVPlant!$B9&amp;Weekly_TVPlant!$B$3&amp;$B$2&amp;$B$1)</f>
        <v>0</v>
      </c>
      <c r="T9" s="2">
        <f>COUNTIF(defects!$X:$X,Weekly_TVPlant!T$3&amp;Weekly_TVPlant!$B9&amp;Weekly_TVPlant!$B$3&amp;$B$2&amp;$B$1)</f>
        <v>0</v>
      </c>
      <c r="U9" s="2">
        <f>COUNTIF(defects!$X:$X,Weekly_TVPlant!U$3&amp;Weekly_TVPlant!$B9&amp;Weekly_TVPlant!$B$3&amp;$B$2&amp;$B$1)</f>
        <v>0</v>
      </c>
      <c r="V9" s="2">
        <f>COUNTIF(defects!$X:$X,Weekly_TVPlant!V$3&amp;Weekly_TVPlant!$B9&amp;Weekly_TVPlant!$B$3&amp;$B$2&amp;$B$1)</f>
        <v>0</v>
      </c>
      <c r="W9" s="2">
        <f>COUNTIF(defects!$X:$X,Weekly_TVPlant!W$3&amp;Weekly_TVPlant!$B9&amp;Weekly_TVPlant!$B$3&amp;$B$2&amp;$B$1)</f>
        <v>0</v>
      </c>
      <c r="X9" s="2">
        <f>COUNTIF(defects!$X:$X,Weekly_TVPlant!X$3&amp;Weekly_TVPlant!$B9&amp;Weekly_TVPlant!$B$3&amp;$B$2&amp;$B$1)</f>
        <v>0</v>
      </c>
      <c r="Y9" s="2">
        <f>COUNTIF(defects!$X:$X,Weekly_TVPlant!Y$3&amp;Weekly_TVPlant!$B9&amp;Weekly_TVPlant!$B$3&amp;$B$2&amp;$B$1)</f>
        <v>0</v>
      </c>
      <c r="Z9" s="2">
        <f>COUNTIF(defects!$X:$X,Weekly_TVPlant!Z$3&amp;Weekly_TVPlant!$B9&amp;Weekly_TVPlant!$B$3&amp;$B$2&amp;$B$1)</f>
        <v>0</v>
      </c>
      <c r="AA9" s="2">
        <f>COUNTIF(defects!$X:$X,Weekly_TVPlant!AA$3&amp;Weekly_TVPlant!$B9&amp;Weekly_TVPlant!$B$3&amp;$B$2&amp;$B$1)</f>
        <v>0</v>
      </c>
      <c r="AB9" s="2">
        <f>COUNTIF(defects!$X:$X,Weekly_TVPlant!AB$3&amp;Weekly_TVPlant!$B9&amp;Weekly_TVPlant!$B$3&amp;$B$2&amp;$B$1)</f>
        <v>0</v>
      </c>
      <c r="AC9" s="2">
        <f>COUNTIF(defects!$X:$X,Weekly_TVPlant!AC$3&amp;Weekly_TVPlant!$B9&amp;Weekly_TVPlant!$B$3&amp;$B$2&amp;$B$1)</f>
        <v>0</v>
      </c>
      <c r="AD9" s="2">
        <f>COUNTIF(defects!$X:$X,Weekly_TVPlant!AD$3&amp;Weekly_TVPlant!$B9&amp;Weekly_TVPlant!$B$3&amp;$B$2&amp;$B$1)</f>
        <v>0</v>
      </c>
      <c r="AE9" s="2">
        <f>COUNTIF(defects!$X:$X,Weekly_TVPlant!AE$3&amp;Weekly_TVPlant!$B9&amp;Weekly_TVPlant!$B$3&amp;$B$2&amp;$B$1)</f>
        <v>0</v>
      </c>
      <c r="AF9" s="2">
        <f>COUNTIF(defects!$X:$X,Weekly_TVPlant!AF$3&amp;Weekly_TVPlant!$B9&amp;Weekly_TVPlant!$B$3&amp;$B$2&amp;$B$1)</f>
        <v>0</v>
      </c>
      <c r="AG9" s="2">
        <f>COUNTIF(defects!$X:$X,Weekly_TVPlant!AG$3&amp;Weekly_TVPlant!$B9&amp;Weekly_TVPlant!$B$3&amp;$B$2&amp;$B$1)</f>
        <v>0</v>
      </c>
      <c r="AH9" s="2">
        <f>COUNTIF(defects!$X:$X,Weekly_TVPlant!AH$3&amp;Weekly_TVPlant!$B9&amp;Weekly_TVPlant!$B$3&amp;$B$2&amp;$B$1)</f>
        <v>0</v>
      </c>
      <c r="AI9" s="2">
        <f>COUNTIF(defects!$X:$X,Weekly_TVPlant!AI$3&amp;Weekly_TVPlant!$B9&amp;Weekly_TVPlant!$B$3&amp;$B$2&amp;$B$1)</f>
        <v>0</v>
      </c>
      <c r="AJ9" s="2">
        <f>COUNTIF(defects!$X:$X,Weekly_TVPlant!AJ$3&amp;Weekly_TVPlant!$B9&amp;Weekly_TVPlant!$B$3&amp;$B$2&amp;$B$1)</f>
        <v>0</v>
      </c>
      <c r="AK9" s="2">
        <f>COUNTIF(defects!$X:$X,Weekly_TVPlant!AK$3&amp;Weekly_TVPlant!$B9&amp;Weekly_TVPlant!$B$3&amp;$B$2&amp;$B$1)</f>
        <v>0</v>
      </c>
      <c r="AL9" s="2">
        <f>COUNTIF(defects!$X:$X,Weekly_TVPlant!AL$3&amp;Weekly_TVPlant!$B9&amp;Weekly_TVPlant!$B$3&amp;$B$2&amp;$B$1)</f>
        <v>0</v>
      </c>
      <c r="AM9" s="2">
        <f>COUNTIF(defects!$X:$X,Weekly_TVPlant!AM$3&amp;Weekly_TVPlant!$B9&amp;Weekly_TVPlant!$B$3&amp;$B$2&amp;$B$1)</f>
        <v>0</v>
      </c>
      <c r="AN9" s="2">
        <f>COUNTIF(defects!$X:$X,Weekly_TVPlant!AN$3&amp;Weekly_TVPlant!$B9&amp;Weekly_TVPlant!$B$3&amp;$B$2&amp;$B$1)</f>
        <v>0</v>
      </c>
      <c r="AO9" s="2">
        <f>COUNTIF(defects!$X:$X,Weekly_TVPlant!AO$3&amp;Weekly_TVPlant!$B9&amp;Weekly_TVPlant!$B$3&amp;$B$2&amp;$B$1)</f>
        <v>0</v>
      </c>
      <c r="AP9" s="2">
        <f>COUNTIF(defects!$X:$X,Weekly_TVPlant!AP$3&amp;Weekly_TVPlant!$B9&amp;Weekly_TVPlant!$B$3&amp;$B$2&amp;$B$1)</f>
        <v>0</v>
      </c>
      <c r="AQ9" s="2">
        <f>COUNTIF(defects!$X:$X,Weekly_TVPlant!AQ$3&amp;Weekly_TVPlant!$B9&amp;Weekly_TVPlant!$B$3&amp;$B$2&amp;$B$1)</f>
        <v>0</v>
      </c>
      <c r="AR9" s="2">
        <f>COUNTIF(defects!$X:$X,Weekly_TVPlant!AR$3&amp;Weekly_TVPlant!$B9&amp;Weekly_TVPlant!$B$3&amp;$B$2&amp;$B$1)</f>
        <v>0</v>
      </c>
      <c r="AS9" s="2">
        <f>COUNTIF(defects!$X:$X,Weekly_TVPlant!AS$3&amp;Weekly_TVPlant!$B9&amp;Weekly_TVPlant!$B$3&amp;$B$2&amp;$B$1)</f>
        <v>0</v>
      </c>
      <c r="AT9" s="2">
        <f>COUNTIF(defects!$X:$X,Weekly_TVPlant!AT$3&amp;Weekly_TVPlant!$B9&amp;Weekly_TVPlant!$B$3&amp;$B$2&amp;$B$1)</f>
        <v>0</v>
      </c>
      <c r="AU9" s="2">
        <f>COUNTIF(defects!$X:$X,Weekly_TVPlant!AU$3&amp;Weekly_TVPlant!$B9&amp;Weekly_TVPlant!$B$3&amp;$B$2&amp;$B$1)</f>
        <v>0</v>
      </c>
      <c r="AV9" s="2">
        <f>COUNTIF(defects!$X:$X,Weekly_TVPlant!AV$3&amp;Weekly_TVPlant!$B9&amp;Weekly_TVPlant!$B$3&amp;$B$2&amp;$B$1)</f>
        <v>0</v>
      </c>
      <c r="AW9" s="2">
        <f>COUNTIF(defects!$X:$X,Weekly_TVPlant!AW$3&amp;Weekly_TVPlant!$B9&amp;Weekly_TVPlant!$B$3&amp;$B$2&amp;$B$1)</f>
        <v>0</v>
      </c>
      <c r="AX9" s="2">
        <f>COUNTIF(defects!$X:$X,Weekly_TVPlant!AX$3&amp;Weekly_TVPlant!$B9&amp;Weekly_TVPlant!$B$3&amp;$B$2&amp;$B$1)</f>
        <v>0</v>
      </c>
      <c r="AY9" s="2">
        <f>COUNTIF(defects!$X:$X,Weekly_TVPlant!AY$3&amp;Weekly_TVPlant!$B9&amp;Weekly_TVPlant!$B$3&amp;$B$2&amp;$B$1)</f>
        <v>0</v>
      </c>
      <c r="AZ9" s="2">
        <f>COUNTIF(defects!$X:$X,Weekly_TVPlant!AZ$3&amp;Weekly_TVPlant!$B9&amp;Weekly_TVPlant!$B$3&amp;$B$2&amp;$B$1)</f>
        <v>0</v>
      </c>
      <c r="BA9" s="2">
        <f>COUNTIF(defects!$X:$X,Weekly_TVPlant!BA$3&amp;Weekly_TVPlant!$B9&amp;Weekly_TVPlant!$B$3&amp;$B$2&amp;$B$1)</f>
        <v>0</v>
      </c>
      <c r="BB9" s="2">
        <f>COUNTIF(defects!$X:$X,Weekly_TVPlant!BB$3&amp;Weekly_TVPlant!$B9&amp;Weekly_TVPlant!$B$3&amp;$B$2&amp;$B$1)</f>
        <v>0</v>
      </c>
      <c r="BC9" s="2">
        <f>COUNTIF(defects!$X:$X,Weekly_TVPlant!BC$3&amp;Weekly_TVPlant!$B9&amp;Weekly_TVPlant!$B$3&amp;$B$2&amp;$B$1)</f>
        <v>0</v>
      </c>
      <c r="BD9" s="2">
        <f>COUNTIF(defects!$X:$X,Weekly_TVPlant!BD$3&amp;Weekly_TVPlant!$B9&amp;Weekly_TVPlant!$B$3&amp;$B$2&amp;$B$1)</f>
        <v>0</v>
      </c>
      <c r="BE9" s="2">
        <f>COUNTIF(defects!$X:$X,Weekly_TVPlant!BE$3&amp;Weekly_TVPlant!$B9&amp;Weekly_TVPlant!$B$3&amp;$B$2&amp;$B$1)</f>
        <v>0</v>
      </c>
      <c r="BF9" s="2">
        <f>COUNTIF(defects!$X:$X,Weekly_TVPlant!BF$3&amp;Weekly_TVPlant!$B9&amp;Weekly_TVPlant!$B$3&amp;$B$2&amp;$B$1)</f>
        <v>0</v>
      </c>
      <c r="BG9" s="2">
        <f>COUNTIF(defects!$X:$X,Weekly_TVPlant!BG$3&amp;Weekly_TVPlant!$B9&amp;Weekly_TVPlant!$B$3&amp;$B$2&amp;$B$1)</f>
        <v>0</v>
      </c>
      <c r="BH9" s="2">
        <f>COUNTIF(defects!$X:$X,Weekly_TVPlant!BH$3&amp;Weekly_TVPlant!$B9&amp;Weekly_TVPlant!$B$3&amp;$B$2&amp;$B$1)</f>
        <v>0</v>
      </c>
      <c r="BI9" s="2">
        <f>COUNTIF(defects!$X:$X,Weekly_TVPlant!BI$3&amp;Weekly_TVPlant!$B9&amp;Weekly_TVPlant!$B$3&amp;$B$2&amp;$B$1)</f>
        <v>0</v>
      </c>
      <c r="BJ9" s="2">
        <f>COUNTIF(defects!$X:$X,Weekly_TVPlant!BJ$3&amp;Weekly_TVPlant!$B9&amp;Weekly_TVPlant!$B$3&amp;$B$2&amp;$B$1)</f>
        <v>0</v>
      </c>
      <c r="BK9" s="2">
        <f>COUNTIF(defects!$X:$X,Weekly_TVPlant!BK$3&amp;Weekly_TVPlant!$B9&amp;Weekly_TVPlant!$B$3&amp;$B$2&amp;$B$1)</f>
        <v>0</v>
      </c>
      <c r="BL9" s="2">
        <f>COUNTIF(defects!$X:$X,Weekly_TVPlant!BL$3&amp;Weekly_TVPlant!$B9&amp;Weekly_TVPlant!$B$3&amp;$B$2&amp;$B$1)</f>
        <v>0</v>
      </c>
      <c r="BM9" s="2">
        <f>COUNTIF(defects!$X:$X,Weekly_TVPlant!BM$3&amp;Weekly_TVPlant!$B9&amp;Weekly_TVPlant!$B$3&amp;$B$2&amp;$B$1)</f>
        <v>0</v>
      </c>
      <c r="BN9" s="2">
        <f>COUNTIF(defects!$X:$X,Weekly_TVPlant!BN$3&amp;Weekly_TVPlant!$B9&amp;Weekly_TVPlant!$B$3&amp;$B$2&amp;$B$1)</f>
        <v>0</v>
      </c>
      <c r="BO9" s="2">
        <f>COUNTIF(defects!$X:$X,Weekly_TVPlant!BO$3&amp;Weekly_TVPlant!$B9&amp;Weekly_TVPlant!$B$3&amp;$B$2&amp;$B$1)</f>
        <v>0</v>
      </c>
      <c r="BP9" s="2">
        <f>COUNTIF(defects!$X:$X,Weekly_TVPlant!BP$3&amp;Weekly_TVPlant!$B9&amp;Weekly_TVPlant!$B$3&amp;$B$2&amp;$B$1)</f>
        <v>0</v>
      </c>
      <c r="BQ9" s="2">
        <f>COUNTIF(defects!$X:$X,Weekly_TVPlant!BQ$3&amp;Weekly_TVPlant!$B9&amp;Weekly_TVPlant!$B$3&amp;$B$2&amp;$B$1)</f>
        <v>0</v>
      </c>
      <c r="BR9" s="2">
        <f>COUNTIF(defects!$X:$X,Weekly_TVPlant!BR$3&amp;Weekly_TVPlant!$B9&amp;Weekly_TVPlant!$B$3&amp;$B$2&amp;$B$1)</f>
        <v>0</v>
      </c>
      <c r="BS9" s="2">
        <f>COUNTIF(defects!$X:$X,Weekly_TVPlant!BS$3&amp;Weekly_TVPlant!$B9&amp;Weekly_TVPlant!$B$3&amp;$B$2&amp;$B$1)</f>
        <v>0</v>
      </c>
      <c r="BT9" s="2">
        <f>COUNTIF(defects!$X:$X,Weekly_TVPlant!BT$3&amp;Weekly_TVPlant!$B9&amp;Weekly_TVPlant!$B$3&amp;$B$2&amp;$B$1)</f>
        <v>0</v>
      </c>
      <c r="BU9" s="2">
        <f>COUNTIF(defects!$X:$X,Weekly_TVPlant!BU$3&amp;Weekly_TVPlant!$B9&amp;Weekly_TVPlant!$B$3&amp;$B$2&amp;$B$1)</f>
        <v>0</v>
      </c>
      <c r="BV9" s="2">
        <f>COUNTIF(defects!$X:$X,Weekly_TVPlant!BV$3&amp;Weekly_TVPlant!$B9&amp;Weekly_TVPlant!$B$3&amp;$B$2&amp;$B$1)</f>
        <v>0</v>
      </c>
      <c r="BW9" s="2">
        <f>COUNTIF(defects!$X:$X,Weekly_TVPlant!BW$3&amp;Weekly_TVPlant!$B9&amp;Weekly_TVPlant!$B$3&amp;$B$2&amp;$B$1)</f>
        <v>0</v>
      </c>
      <c r="BX9" s="2">
        <f>COUNTIF(defects!$X:$X,Weekly_TVPlant!BX$3&amp;Weekly_TVPlant!$B9&amp;Weekly_TVPlant!$B$3&amp;$B$2&amp;$B$1)</f>
        <v>0</v>
      </c>
      <c r="BY9" s="2">
        <f>COUNTIF(defects!$X:$X,Weekly_TVPlant!BY$3&amp;Weekly_TVPlant!$B9&amp;Weekly_TVPlant!$B$3&amp;$B$2&amp;$B$1)</f>
        <v>0</v>
      </c>
      <c r="BZ9" s="2">
        <f>COUNTIF(defects!$X:$X,Weekly_TVPlant!BZ$3&amp;Weekly_TVPlant!$B9&amp;Weekly_TVPlant!$B$3&amp;$B$2&amp;$B$1)</f>
        <v>0</v>
      </c>
      <c r="CA9" s="2">
        <f>COUNTIF(defects!$X:$X,Weekly_TVPlant!CA$3&amp;Weekly_TVPlant!$B9&amp;Weekly_TVPlant!$B$3&amp;$B$2&amp;$B$1)</f>
        <v>0</v>
      </c>
      <c r="CB9" s="2">
        <f>COUNTIF(defects!$X:$X,Weekly_TVPlant!CB$3&amp;Weekly_TVPlant!$B9&amp;Weekly_TVPlant!$B$3&amp;$B$2&amp;$B$1)</f>
        <v>0</v>
      </c>
      <c r="CC9" s="2">
        <f>COUNTIF(defects!$X:$X,Weekly_TVPlant!CC$3&amp;Weekly_TVPlant!$B9&amp;Weekly_TVPlant!$B$3&amp;$B$2&amp;$B$1)</f>
        <v>0</v>
      </c>
      <c r="CD9" s="2">
        <f>COUNTIF(defects!$X:$X,Weekly_TVPlant!CD$3&amp;Weekly_TVPlant!$B9&amp;Weekly_TVPlant!$B$3&amp;$B$2&amp;$B$1)</f>
        <v>0</v>
      </c>
      <c r="CE9" s="2">
        <f>COUNTIF(defects!$X:$X,Weekly_TVPlant!CE$3&amp;Weekly_TVPlant!$B9&amp;Weekly_TVPlant!$B$3&amp;$B$2&amp;$B$1)</f>
        <v>0</v>
      </c>
      <c r="CF9" s="2">
        <f>COUNTIF(defects!$X:$X,Weekly_TVPlant!CF$3&amp;Weekly_TVPlant!$B9&amp;Weekly_TVPlant!$B$3&amp;$B$2&amp;$B$1)</f>
        <v>0</v>
      </c>
      <c r="CG9" s="2">
        <f>COUNTIF(defects!$X:$X,Weekly_TVPlant!CG$3&amp;Weekly_TVPlant!$B9&amp;Weekly_TVPlant!$B$3&amp;$B$2&amp;$B$1)</f>
        <v>0</v>
      </c>
      <c r="CH9" s="2">
        <f>COUNTIF(defects!$X:$X,Weekly_TVPlant!CH$3&amp;Weekly_TVPlant!$B9&amp;Weekly_TVPlant!$B$3&amp;$B$2&amp;$B$1)</f>
        <v>0</v>
      </c>
      <c r="CI9" s="2">
        <f>COUNTIF(defects!$X:$X,Weekly_TVPlant!CI$3&amp;Weekly_TVPlant!$B9&amp;Weekly_TVPlant!$B$3&amp;$B$2&amp;$B$1)</f>
        <v>0</v>
      </c>
      <c r="CJ9" s="2">
        <f>COUNTIF(defects!$X:$X,Weekly_TVPlant!CJ$3&amp;Weekly_TVPlant!$B9&amp;Weekly_TVPlant!$B$3&amp;$B$2&amp;$B$1)</f>
        <v>0</v>
      </c>
      <c r="CK9" s="2">
        <f>COUNTIF(defects!$X:$X,Weekly_TVPlant!CK$3&amp;Weekly_TVPlant!$B9&amp;Weekly_TVPlant!$B$3&amp;$B$2&amp;$B$1)</f>
        <v>1</v>
      </c>
      <c r="CL9" s="2">
        <f>COUNTIF(defects!$X:$X,Weekly_TVPlant!CL$3&amp;Weekly_TVPlant!$B9&amp;Weekly_TVPlant!$B$3&amp;$B$2&amp;$B$1)</f>
        <v>0</v>
      </c>
      <c r="CM9" s="2">
        <f>COUNTIF(defects!$X:$X,Weekly_TVPlant!CM$3&amp;Weekly_TVPlant!$B9&amp;Weekly_TVPlant!$B$3&amp;$B$2&amp;$B$1)</f>
        <v>0</v>
      </c>
      <c r="CN9" s="2">
        <f>COUNTIF(defects!$X:$X,Weekly_TVPlant!CN$3&amp;Weekly_TVPlant!$B9&amp;Weekly_TVPlant!$B$3&amp;$B$2&amp;$B$1)</f>
        <v>0</v>
      </c>
      <c r="CO9" s="2">
        <f>COUNTIF(defects!$X:$X,Weekly_TVPlant!CO$3&amp;Weekly_TVPlant!$B9&amp;Weekly_TVPlant!$B$3&amp;$B$2&amp;$B$1)</f>
        <v>0</v>
      </c>
      <c r="CP9" s="2">
        <f>COUNTIF(defects!$X:$X,Weekly_TVPlant!CP$3&amp;Weekly_TVPlant!$B9&amp;Weekly_TVPlant!$B$3&amp;$B$2&amp;$B$1)</f>
        <v>0</v>
      </c>
      <c r="CQ9" s="2">
        <f>COUNTIF(defects!$X:$X,Weekly_TVPlant!CQ$3&amp;Weekly_TVPlant!$B9&amp;Weekly_TVPlant!$B$3&amp;$B$2&amp;$B$1)</f>
        <v>0</v>
      </c>
      <c r="CR9" s="2">
        <f>COUNTIF(defects!$X:$X,Weekly_TVPlant!CR$3&amp;Weekly_TVPlant!$B9&amp;Weekly_TVPlant!$B$3&amp;$B$2&amp;$B$1)</f>
        <v>0</v>
      </c>
      <c r="CS9" s="2">
        <f>COUNTIF(defects!$X:$X,Weekly_TVPlant!CS$3&amp;Weekly_TVPlant!$B9&amp;Weekly_TVPlant!$B$3&amp;$B$2&amp;$B$1)</f>
        <v>0</v>
      </c>
      <c r="CT9" s="2">
        <f>COUNTIF(defects!$X:$X,Weekly_TVPlant!CT$3&amp;Weekly_TVPlant!$B9&amp;Weekly_TVPlant!$B$3&amp;$B$2&amp;$B$1)</f>
        <v>0</v>
      </c>
      <c r="CU9" s="2">
        <f>COUNTIF(defects!$X:$X,Weekly_TVPlant!CU$3&amp;Weekly_TVPlant!$B9&amp;Weekly_TVPlant!$B$3&amp;$B$2&amp;$B$1)</f>
        <v>0</v>
      </c>
      <c r="CV9" s="2">
        <f>COUNTIF(defects!$X:$X,Weekly_TVPlant!CV$3&amp;Weekly_TVPlant!$B9&amp;Weekly_TVPlant!$B$3&amp;$B$2&amp;$B$1)</f>
        <v>0</v>
      </c>
      <c r="CW9" s="2">
        <f>COUNTIF(defects!$X:$X,Weekly_TVPlant!CW$3&amp;Weekly_TVPlant!$B9&amp;Weekly_TVPlant!$B$3&amp;$B$2&amp;$B$1)</f>
        <v>0</v>
      </c>
      <c r="CX9" s="2">
        <f>COUNTIF(defects!$X:$X,Weekly_TVPlant!CX$3&amp;Weekly_TVPlant!$B9&amp;Weekly_TVPlant!$B$3&amp;$B$2&amp;$B$1)</f>
        <v>0</v>
      </c>
      <c r="CY9" s="2">
        <f>COUNTIF(defects!$X:$X,Weekly_TVPlant!CY$3&amp;Weekly_TVPlant!$B9&amp;Weekly_TVPlant!$B$3&amp;$B$2&amp;$B$1)</f>
        <v>0</v>
      </c>
      <c r="CZ9" s="2">
        <f>COUNTIF(defects!$X:$X,Weekly_TVPlant!CZ$3&amp;Weekly_TVPlant!$B9&amp;Weekly_TVPlant!$B$3&amp;$B$2&amp;$B$1)</f>
        <v>0</v>
      </c>
      <c r="DA9" s="2">
        <f>COUNTIF(defects!$X:$X,Weekly_TVPlant!DA$3&amp;Weekly_TVPlant!$B9&amp;Weekly_TVPlant!$B$3&amp;$B$2&amp;$B$1)</f>
        <v>0</v>
      </c>
      <c r="DB9" s="2">
        <f>COUNTIF(defects!$X:$X,Weekly_TVPlant!DB$3&amp;Weekly_TVPlant!$B9&amp;Weekly_TVPlant!$B$3&amp;$B$2&amp;$B$1)</f>
        <v>0</v>
      </c>
      <c r="DC9" s="2">
        <f>COUNTIF(defects!$X:$X,Weekly_TVPlant!DC$3&amp;Weekly_TVPlant!$B9&amp;Weekly_TVPlant!$B$3&amp;$B$2&amp;$B$1)</f>
        <v>0</v>
      </c>
      <c r="DD9" s="2">
        <f>COUNTIF(defects!$X:$X,Weekly_TVPlant!DD$3&amp;Weekly_TVPlant!$B9&amp;Weekly_TVPlant!$B$3&amp;$B$2&amp;$B$1)</f>
        <v>0</v>
      </c>
      <c r="DE9" s="2">
        <f>COUNTIF(defects!$X:$X,Weekly_TVPlant!DE$3&amp;Weekly_TVPlant!$B9&amp;Weekly_TVPlant!$B$3&amp;$B$2&amp;$B$1)</f>
        <v>0</v>
      </c>
      <c r="DF9" s="2">
        <f>COUNTIF(defects!$X:$X,Weekly_TVPlant!DF$3&amp;Weekly_TVPlant!$B9&amp;Weekly_TVPlant!$B$3&amp;$B$2&amp;$B$1)</f>
        <v>0</v>
      </c>
      <c r="DG9" s="2">
        <f>COUNTIF(defects!$X:$X,Weekly_TVPlant!DG$3&amp;Weekly_TVPlant!$B9&amp;Weekly_TVPlant!$B$3&amp;$B$2&amp;$B$1)</f>
        <v>0</v>
      </c>
      <c r="DH9" s="2">
        <f>COUNTIF(defects!$X:$X,Weekly_TVPlant!DH$3&amp;Weekly_TVPlant!$B9&amp;Weekly_TVPlant!$B$3&amp;$B$2&amp;$B$1)</f>
        <v>0</v>
      </c>
      <c r="DI9" s="2">
        <f>COUNTIF(defects!$X:$X,Weekly_TVPlant!DI$3&amp;Weekly_TVPlant!$B9&amp;Weekly_TVPlant!$B$3&amp;$B$2&amp;$B$1)</f>
        <v>0</v>
      </c>
      <c r="DJ9" s="2">
        <f>COUNTIF(defects!$X:$X,Weekly_TVPlant!DJ$3&amp;Weekly_TVPlant!$B9&amp;Weekly_TVPlant!$B$3&amp;$B$2&amp;$B$1)</f>
        <v>0</v>
      </c>
      <c r="DK9" s="2">
        <f>COUNTIF(defects!$X:$X,Weekly_TVPlant!DK$3&amp;Weekly_TVPlant!$B9&amp;Weekly_TVPlant!$B$3&amp;$B$2&amp;$B$1)</f>
        <v>0</v>
      </c>
      <c r="DL9" s="2">
        <f>COUNTIF(defects!$X:$X,Weekly_TVPlant!DL$3&amp;Weekly_TVPlant!$B9&amp;Weekly_TVPlant!$B$3&amp;$B$2&amp;$B$1)</f>
        <v>0</v>
      </c>
      <c r="DM9" s="2">
        <f>COUNTIF(defects!$X:$X,Weekly_TVPlant!DM$3&amp;Weekly_TVPlant!$B9&amp;Weekly_TVPlant!$B$3&amp;$B$2&amp;$B$1)</f>
        <v>0</v>
      </c>
      <c r="DN9" s="2">
        <f>COUNTIF(defects!$X:$X,Weekly_TVPlant!DN$3&amp;Weekly_TVPlant!$B9&amp;Weekly_TVPlant!$B$3&amp;$B$2&amp;$B$1)</f>
        <v>0</v>
      </c>
      <c r="DO9" s="2">
        <f>COUNTIF(defects!$X:$X,Weekly_TVPlant!DO$3&amp;Weekly_TVPlant!$B9&amp;Weekly_TVPlant!$B$3&amp;$B$2&amp;$B$1)</f>
        <v>0</v>
      </c>
      <c r="DP9" s="2">
        <f>COUNTIF(defects!$X:$X,Weekly_TVPlant!DP$3&amp;Weekly_TVPlant!$B9&amp;Weekly_TVPlant!$B$3&amp;$B$2&amp;$B$1)</f>
        <v>0</v>
      </c>
      <c r="DQ9" s="2">
        <f>COUNTIF(defects!$X:$X,Weekly_TVPlant!DQ$3&amp;Weekly_TVPlant!$B9&amp;Weekly_TVPlant!$B$3&amp;$B$2&amp;$B$1)</f>
        <v>0</v>
      </c>
      <c r="DR9" s="2">
        <f>COUNTIF(defects!$X:$X,Weekly_TVPlant!DR$3&amp;Weekly_TVPlant!$B9&amp;Weekly_TVPlant!$B$3&amp;$B$2&amp;$B$1)</f>
        <v>0</v>
      </c>
      <c r="DS9" s="2">
        <f>COUNTIF(defects!$X:$X,Weekly_TVPlant!DS$3&amp;Weekly_TVPlant!$B9&amp;Weekly_TVPlant!$B$3&amp;$B$2&amp;$B$1)</f>
        <v>0</v>
      </c>
      <c r="DT9" s="2">
        <f>COUNTIF(defects!$X:$X,Weekly_TVPlant!DT$3&amp;Weekly_TVPlant!$B9&amp;Weekly_TVPlant!$B$3&amp;$B$2&amp;$B$1)</f>
        <v>0</v>
      </c>
      <c r="DU9" s="2">
        <f>COUNTIF(defects!$X:$X,Weekly_TVPlant!DU$3&amp;Weekly_TVPlant!$B9&amp;Weekly_TVPlant!$B$3&amp;$B$2&amp;$B$1)</f>
        <v>0</v>
      </c>
      <c r="DV9" s="2">
        <f>COUNTIF(defects!$X:$X,Weekly_TVPlant!DV$3&amp;Weekly_TVPlant!$B9&amp;Weekly_TVPlant!$B$3&amp;$B$2&amp;$B$1)</f>
        <v>0</v>
      </c>
      <c r="DW9" s="2">
        <f>COUNTIF(defects!$X:$X,Weekly_TVPlant!DW$3&amp;Weekly_TVPlant!$B9&amp;Weekly_TVPlant!$B$3&amp;$B$2&amp;$B$1)</f>
        <v>0</v>
      </c>
      <c r="DX9" s="2">
        <f>COUNTIF(defects!$X:$X,Weekly_TVPlant!DX$3&amp;Weekly_TVPlant!$B9&amp;Weekly_TVPlant!$B$3&amp;$B$2&amp;$B$1)</f>
        <v>0</v>
      </c>
      <c r="DY9" s="2">
        <f>COUNTIF(defects!$X:$X,Weekly_TVPlant!DY$3&amp;Weekly_TVPlant!$B9&amp;Weekly_TVPlant!$B$3&amp;$B$2&amp;$B$1)</f>
        <v>0</v>
      </c>
      <c r="DZ9" s="2">
        <f>COUNTIF(defects!$X:$X,Weekly_TVPlant!DZ$3&amp;Weekly_TVPlant!$B9&amp;Weekly_TVPlant!$B$3&amp;$B$2&amp;$B$1)</f>
        <v>0</v>
      </c>
      <c r="EA9" s="2">
        <f>COUNTIF(defects!$X:$X,Weekly_TVPlant!EA$3&amp;Weekly_TVPlant!$B9&amp;Weekly_TVPlant!$B$3&amp;$B$2&amp;$B$1)</f>
        <v>0</v>
      </c>
      <c r="EB9" s="2">
        <f>COUNTIF(defects!$X:$X,Weekly_TVPlant!EB$3&amp;Weekly_TVPlant!$B9&amp;Weekly_TVPlant!$B$3&amp;$B$2&amp;$B$1)</f>
        <v>0</v>
      </c>
      <c r="EC9" s="2">
        <f>COUNTIF(defects!$X:$X,Weekly_TVPlant!EC$3&amp;Weekly_TVPlant!$B9&amp;Weekly_TVPlant!$B$3&amp;$B$2&amp;$B$1)</f>
        <v>0</v>
      </c>
      <c r="ED9" s="2">
        <f>COUNTIF(defects!$X:$X,Weekly_TVPlant!ED$3&amp;Weekly_TVPlant!$B9&amp;Weekly_TVPlant!$B$3&amp;$B$2&amp;$B$1)</f>
        <v>0</v>
      </c>
      <c r="EE9" s="2">
        <f>COUNTIF(defects!$X:$X,Weekly_TVPlant!EE$3&amp;Weekly_TVPlant!$B9&amp;Weekly_TVPlant!$B$3&amp;$B$2&amp;$B$1)</f>
        <v>0</v>
      </c>
      <c r="EF9" s="2">
        <f>COUNTIF(defects!$X:$X,Weekly_TVPlant!EF$3&amp;Weekly_TVPlant!$B9&amp;Weekly_TVPlant!$B$3&amp;$B$2&amp;$B$1)</f>
        <v>0</v>
      </c>
      <c r="EG9" s="2">
        <f>COUNTIF(defects!$X:$X,Weekly_TVPlant!EG$3&amp;Weekly_TVPlant!$B9&amp;Weekly_TVPlant!$B$3&amp;$B$2&amp;$B$1)</f>
        <v>0</v>
      </c>
      <c r="EH9" s="2">
        <f>COUNTIF(defects!$X:$X,Weekly_TVPlant!EH$3&amp;Weekly_TVPlant!$B9&amp;Weekly_TVPlant!$B$3&amp;$B$2&amp;$B$1)</f>
        <v>0</v>
      </c>
      <c r="EI9" s="2">
        <f>COUNTIF(defects!$X:$X,Weekly_TVPlant!EI$3&amp;Weekly_TVPlant!$B9&amp;Weekly_TVPlant!$B$3&amp;$B$2&amp;$B$1)</f>
        <v>0</v>
      </c>
      <c r="EJ9" s="2">
        <f>COUNTIF(defects!$X:$X,Weekly_TVPlant!EJ$3&amp;Weekly_TVPlant!$B9&amp;Weekly_TVPlant!$B$3&amp;$B$2&amp;$B$1)</f>
        <v>0</v>
      </c>
      <c r="EK9" s="2">
        <f>COUNTIF(defects!$X:$X,Weekly_TVPlant!EK$3&amp;Weekly_TVPlant!$B9&amp;Weekly_TVPlant!$B$3&amp;$B$2&amp;$B$1)</f>
        <v>0</v>
      </c>
      <c r="EL9" s="2">
        <f>COUNTIF(defects!$X:$X,Weekly_TVPlant!EL$3&amp;Weekly_TVPlant!$B9&amp;Weekly_TVPlant!$B$3&amp;$B$2&amp;$B$1)</f>
        <v>0</v>
      </c>
      <c r="EM9" s="2">
        <f>COUNTIF(defects!$X:$X,Weekly_TVPlant!EM$3&amp;Weekly_TVPlant!$B9&amp;Weekly_TVPlant!$B$3&amp;$B$2&amp;$B$1)</f>
        <v>0</v>
      </c>
      <c r="EN9" s="2">
        <f>COUNTIF(defects!$X:$X,Weekly_TVPlant!EN$3&amp;Weekly_TVPlant!$B9&amp;Weekly_TVPlant!$B$3&amp;$B$2&amp;$B$1)</f>
        <v>0</v>
      </c>
      <c r="EO9" s="2">
        <f>COUNTIF(defects!$X:$X,Weekly_TVPlant!EO$3&amp;Weekly_TVPlant!$B9&amp;Weekly_TVPlant!$B$3&amp;$B$2&amp;$B$1)</f>
        <v>0</v>
      </c>
      <c r="EP9" s="2">
        <f>COUNTIF(defects!$X:$X,Weekly_TVPlant!EP$3&amp;Weekly_TVPlant!$B9&amp;Weekly_TVPlant!$B$3&amp;$B$2&amp;$B$1)</f>
        <v>0</v>
      </c>
      <c r="EQ9" s="2">
        <f>COUNTIF(defects!$X:$X,Weekly_TVPlant!EQ$3&amp;Weekly_TVPlant!$B9&amp;Weekly_TVPlant!$B$3&amp;$B$2&amp;$B$1)</f>
        <v>0</v>
      </c>
      <c r="ER9" s="2">
        <f>COUNTIF(defects!$X:$X,Weekly_TVPlant!ER$3&amp;Weekly_TVPlant!$B9&amp;Weekly_TVPlant!$B$3&amp;$B$2&amp;$B$1)</f>
        <v>0</v>
      </c>
      <c r="ES9" s="2">
        <f>COUNTIF(defects!$X:$X,Weekly_TVPlant!ES$3&amp;Weekly_TVPlant!$B9&amp;Weekly_TVPlant!$B$3&amp;$B$2&amp;$B$1)</f>
        <v>0</v>
      </c>
      <c r="ET9" s="2">
        <f>COUNTIF(defects!$X:$X,Weekly_TVPlant!ET$3&amp;Weekly_TVPlant!$B9&amp;Weekly_TVPlant!$B$3&amp;$B$2&amp;$B$1)</f>
        <v>0</v>
      </c>
      <c r="EU9" s="2">
        <f>COUNTIF(defects!$X:$X,Weekly_TVPlant!EU$3&amp;Weekly_TVPlant!$B9&amp;Weekly_TVPlant!$B$3&amp;$B$2&amp;$B$1)</f>
        <v>0</v>
      </c>
      <c r="EV9" s="2">
        <f>COUNTIF(defects!$X:$X,Weekly_TVPlant!EV$3&amp;Weekly_TVPlant!$B9&amp;Weekly_TVPlant!$B$3&amp;$B$2&amp;$B$1)</f>
        <v>0</v>
      </c>
      <c r="EW9" s="2">
        <f>COUNTIF(defects!$X:$X,Weekly_TVPlant!EW$3&amp;Weekly_TVPlant!$B9&amp;Weekly_TVPlant!$B$3&amp;$B$2&amp;$B$1)</f>
        <v>0</v>
      </c>
      <c r="EX9" s="2">
        <f>COUNTIF(defects!$X:$X,Weekly_TVPlant!EX$3&amp;Weekly_TVPlant!$B9&amp;Weekly_TVPlant!$B$3&amp;$B$2&amp;$B$1)</f>
        <v>0</v>
      </c>
      <c r="EY9" s="2">
        <f>COUNTIF(defects!$X:$X,Weekly_TVPlant!EY$3&amp;Weekly_TVPlant!$B9&amp;Weekly_TVPlant!$B$3&amp;$B$2&amp;$B$1)</f>
        <v>0</v>
      </c>
      <c r="EZ9" s="2">
        <f>COUNTIF(defects!$X:$X,Weekly_TVPlant!EZ$3&amp;Weekly_TVPlant!$B9&amp;Weekly_TVPlant!$B$3&amp;$B$2&amp;$B$1)</f>
        <v>0</v>
      </c>
      <c r="FA9" s="2">
        <f>COUNTIF(defects!$X:$X,Weekly_TVPlant!FA$3&amp;Weekly_TVPlant!$B9&amp;Weekly_TVPlant!$B$3&amp;$B$2&amp;$B$1)</f>
        <v>0</v>
      </c>
      <c r="FB9" s="2">
        <f>COUNTIF(defects!$X:$X,Weekly_TVPlant!FB$3&amp;Weekly_TVPlant!$B9&amp;Weekly_TVPlant!$B$3&amp;$B$2&amp;$B$1)</f>
        <v>0</v>
      </c>
      <c r="FC9" s="2">
        <f>COUNTIF(defects!$X:$X,Weekly_TVPlant!FC$3&amp;Weekly_TVPlant!$B9&amp;Weekly_TVPlant!$B$3&amp;$B$2&amp;$B$1)</f>
        <v>0</v>
      </c>
      <c r="FD9" s="2">
        <f>COUNTIF(defects!$X:$X,Weekly_TVPlant!FD$3&amp;Weekly_TVPlant!$B9&amp;Weekly_TVPlant!$B$3&amp;$B$2&amp;$B$1)</f>
        <v>0</v>
      </c>
      <c r="FE9" s="2">
        <f>COUNTIF(defects!$X:$X,Weekly_TVPlant!FE$3&amp;Weekly_TVPlant!$B9&amp;Weekly_TVPlant!$B$3&amp;$B$2&amp;$B$1)</f>
        <v>0</v>
      </c>
    </row>
    <row r="10" spans="2:161">
      <c r="B10" s="2" t="s">
        <v>954</v>
      </c>
      <c r="C10" s="2">
        <f>COUNTIF(defects!$X:$X,Weekly_TVPlant!C$3&amp;Weekly_TVPlant!$B10&amp;Weekly_TVPlant!$B$3&amp;$B$2&amp;$B$1)</f>
        <v>0</v>
      </c>
      <c r="D10" s="2">
        <f>COUNTIF(defects!$X:$X,Weekly_TVPlant!D$3&amp;Weekly_TVPlant!$B10&amp;Weekly_TVPlant!$B$3&amp;$B$2&amp;$B$1)</f>
        <v>0</v>
      </c>
      <c r="E10" s="2">
        <f>COUNTIF(defects!$X:$X,Weekly_TVPlant!E$3&amp;Weekly_TVPlant!$B10&amp;Weekly_TVPlant!$B$3&amp;$B$2&amp;$B$1)</f>
        <v>0</v>
      </c>
      <c r="F10" s="2">
        <f>COUNTIF(defects!$X:$X,Weekly_TVPlant!F$3&amp;Weekly_TVPlant!$B10&amp;Weekly_TVPlant!$B$3&amp;$B$2&amp;$B$1)</f>
        <v>0</v>
      </c>
      <c r="G10" s="2">
        <f>COUNTIF(defects!$X:$X,Weekly_TVPlant!G$3&amp;Weekly_TVPlant!$B10&amp;Weekly_TVPlant!$B$3&amp;$B$2&amp;$B$1)</f>
        <v>0</v>
      </c>
      <c r="H10" s="2">
        <f>COUNTIF(defects!$X:$X,Weekly_TVPlant!H$3&amp;Weekly_TVPlant!$B10&amp;Weekly_TVPlant!$B$3&amp;$B$2&amp;$B$1)</f>
        <v>0</v>
      </c>
      <c r="I10" s="2">
        <f>COUNTIF(defects!$X:$X,Weekly_TVPlant!I$3&amp;Weekly_TVPlant!$B10&amp;Weekly_TVPlant!$B$3&amp;$B$2&amp;$B$1)</f>
        <v>0</v>
      </c>
      <c r="J10" s="2">
        <f>COUNTIF(defects!$X:$X,Weekly_TVPlant!J$3&amp;Weekly_TVPlant!$B10&amp;Weekly_TVPlant!$B$3&amp;$B$2&amp;$B$1)</f>
        <v>0</v>
      </c>
      <c r="K10" s="2">
        <f>COUNTIF(defects!$X:$X,Weekly_TVPlant!K$3&amp;Weekly_TVPlant!$B10&amp;Weekly_TVPlant!$B$3&amp;$B$2&amp;$B$1)</f>
        <v>0</v>
      </c>
      <c r="L10" s="2">
        <f>COUNTIF(defects!$X:$X,Weekly_TVPlant!L$3&amp;Weekly_TVPlant!$B10&amp;Weekly_TVPlant!$B$3&amp;$B$2&amp;$B$1)</f>
        <v>0</v>
      </c>
      <c r="M10" s="2">
        <f>COUNTIF(defects!$X:$X,Weekly_TVPlant!M$3&amp;Weekly_TVPlant!$B10&amp;Weekly_TVPlant!$B$3&amp;$B$2&amp;$B$1)</f>
        <v>0</v>
      </c>
      <c r="N10" s="2">
        <f>COUNTIF(defects!$X:$X,Weekly_TVPlant!N$3&amp;Weekly_TVPlant!$B10&amp;Weekly_TVPlant!$B$3&amp;$B$2&amp;$B$1)</f>
        <v>0</v>
      </c>
      <c r="O10" s="2">
        <f>COUNTIF(defects!$X:$X,Weekly_TVPlant!O$3&amp;Weekly_TVPlant!$B10&amp;Weekly_TVPlant!$B$3&amp;$B$2&amp;$B$1)</f>
        <v>0</v>
      </c>
      <c r="P10" s="2">
        <f>COUNTIF(defects!$X:$X,Weekly_TVPlant!P$3&amp;Weekly_TVPlant!$B10&amp;Weekly_TVPlant!$B$3&amp;$B$2&amp;$B$1)</f>
        <v>0</v>
      </c>
      <c r="Q10" s="2">
        <f>COUNTIF(defects!$X:$X,Weekly_TVPlant!Q$3&amp;Weekly_TVPlant!$B10&amp;Weekly_TVPlant!$B$3&amp;$B$2&amp;$B$1)</f>
        <v>0</v>
      </c>
      <c r="R10" s="2">
        <f>COUNTIF(defects!$X:$X,Weekly_TVPlant!R$3&amp;Weekly_TVPlant!$B10&amp;Weekly_TVPlant!$B$3&amp;$B$2&amp;$B$1)</f>
        <v>0</v>
      </c>
      <c r="S10" s="2">
        <f>COUNTIF(defects!$X:$X,Weekly_TVPlant!S$3&amp;Weekly_TVPlant!$B10&amp;Weekly_TVPlant!$B$3&amp;$B$2&amp;$B$1)</f>
        <v>0</v>
      </c>
      <c r="T10" s="2">
        <f>COUNTIF(defects!$X:$X,Weekly_TVPlant!T$3&amp;Weekly_TVPlant!$B10&amp;Weekly_TVPlant!$B$3&amp;$B$2&amp;$B$1)</f>
        <v>0</v>
      </c>
      <c r="U10" s="2">
        <f>COUNTIF(defects!$X:$X,Weekly_TVPlant!U$3&amp;Weekly_TVPlant!$B10&amp;Weekly_TVPlant!$B$3&amp;$B$2&amp;$B$1)</f>
        <v>0</v>
      </c>
      <c r="V10" s="2">
        <f>COUNTIF(defects!$X:$X,Weekly_TVPlant!V$3&amp;Weekly_TVPlant!$B10&amp;Weekly_TVPlant!$B$3&amp;$B$2&amp;$B$1)</f>
        <v>0</v>
      </c>
      <c r="W10" s="2">
        <f>COUNTIF(defects!$X:$X,Weekly_TVPlant!W$3&amp;Weekly_TVPlant!$B10&amp;Weekly_TVPlant!$B$3&amp;$B$2&amp;$B$1)</f>
        <v>0</v>
      </c>
      <c r="X10" s="2">
        <f>COUNTIF(defects!$X:$X,Weekly_TVPlant!X$3&amp;Weekly_TVPlant!$B10&amp;Weekly_TVPlant!$B$3&amp;$B$2&amp;$B$1)</f>
        <v>0</v>
      </c>
      <c r="Y10" s="2">
        <f>COUNTIF(defects!$X:$X,Weekly_TVPlant!Y$3&amp;Weekly_TVPlant!$B10&amp;Weekly_TVPlant!$B$3&amp;$B$2&amp;$B$1)</f>
        <v>0</v>
      </c>
      <c r="Z10" s="2">
        <f>COUNTIF(defects!$X:$X,Weekly_TVPlant!Z$3&amp;Weekly_TVPlant!$B10&amp;Weekly_TVPlant!$B$3&amp;$B$2&amp;$B$1)</f>
        <v>0</v>
      </c>
      <c r="AA10" s="2">
        <f>COUNTIF(defects!$X:$X,Weekly_TVPlant!AA$3&amp;Weekly_TVPlant!$B10&amp;Weekly_TVPlant!$B$3&amp;$B$2&amp;$B$1)</f>
        <v>0</v>
      </c>
      <c r="AB10" s="2">
        <f>COUNTIF(defects!$X:$X,Weekly_TVPlant!AB$3&amp;Weekly_TVPlant!$B10&amp;Weekly_TVPlant!$B$3&amp;$B$2&amp;$B$1)</f>
        <v>0</v>
      </c>
      <c r="AC10" s="2">
        <f>COUNTIF(defects!$X:$X,Weekly_TVPlant!AC$3&amp;Weekly_TVPlant!$B10&amp;Weekly_TVPlant!$B$3&amp;$B$2&amp;$B$1)</f>
        <v>0</v>
      </c>
      <c r="AD10" s="2">
        <f>COUNTIF(defects!$X:$X,Weekly_TVPlant!AD$3&amp;Weekly_TVPlant!$B10&amp;Weekly_TVPlant!$B$3&amp;$B$2&amp;$B$1)</f>
        <v>0</v>
      </c>
      <c r="AE10" s="2">
        <f>COUNTIF(defects!$X:$X,Weekly_TVPlant!AE$3&amp;Weekly_TVPlant!$B10&amp;Weekly_TVPlant!$B$3&amp;$B$2&amp;$B$1)</f>
        <v>0</v>
      </c>
      <c r="AF10" s="2">
        <f>COUNTIF(defects!$X:$X,Weekly_TVPlant!AF$3&amp;Weekly_TVPlant!$B10&amp;Weekly_TVPlant!$B$3&amp;$B$2&amp;$B$1)</f>
        <v>0</v>
      </c>
      <c r="AG10" s="2">
        <f>COUNTIF(defects!$X:$X,Weekly_TVPlant!AG$3&amp;Weekly_TVPlant!$B10&amp;Weekly_TVPlant!$B$3&amp;$B$2&amp;$B$1)</f>
        <v>0</v>
      </c>
      <c r="AH10" s="2">
        <f>COUNTIF(defects!$X:$X,Weekly_TVPlant!AH$3&amp;Weekly_TVPlant!$B10&amp;Weekly_TVPlant!$B$3&amp;$B$2&amp;$B$1)</f>
        <v>0</v>
      </c>
      <c r="AI10" s="2">
        <f>COUNTIF(defects!$X:$X,Weekly_TVPlant!AI$3&amp;Weekly_TVPlant!$B10&amp;Weekly_TVPlant!$B$3&amp;$B$2&amp;$B$1)</f>
        <v>0</v>
      </c>
      <c r="AJ10" s="2">
        <f>COUNTIF(defects!$X:$X,Weekly_TVPlant!AJ$3&amp;Weekly_TVPlant!$B10&amp;Weekly_TVPlant!$B$3&amp;$B$2&amp;$B$1)</f>
        <v>0</v>
      </c>
      <c r="AK10" s="2">
        <f>COUNTIF(defects!$X:$X,Weekly_TVPlant!AK$3&amp;Weekly_TVPlant!$B10&amp;Weekly_TVPlant!$B$3&amp;$B$2&amp;$B$1)</f>
        <v>0</v>
      </c>
      <c r="AL10" s="2">
        <f>COUNTIF(defects!$X:$X,Weekly_TVPlant!AL$3&amp;Weekly_TVPlant!$B10&amp;Weekly_TVPlant!$B$3&amp;$B$2&amp;$B$1)</f>
        <v>0</v>
      </c>
      <c r="AM10" s="2">
        <f>COUNTIF(defects!$X:$X,Weekly_TVPlant!AM$3&amp;Weekly_TVPlant!$B10&amp;Weekly_TVPlant!$B$3&amp;$B$2&amp;$B$1)</f>
        <v>0</v>
      </c>
      <c r="AN10" s="2">
        <f>COUNTIF(defects!$X:$X,Weekly_TVPlant!AN$3&amp;Weekly_TVPlant!$B10&amp;Weekly_TVPlant!$B$3&amp;$B$2&amp;$B$1)</f>
        <v>0</v>
      </c>
      <c r="AO10" s="2">
        <f>COUNTIF(defects!$X:$X,Weekly_TVPlant!AO$3&amp;Weekly_TVPlant!$B10&amp;Weekly_TVPlant!$B$3&amp;$B$2&amp;$B$1)</f>
        <v>0</v>
      </c>
      <c r="AP10" s="2">
        <f>COUNTIF(defects!$X:$X,Weekly_TVPlant!AP$3&amp;Weekly_TVPlant!$B10&amp;Weekly_TVPlant!$B$3&amp;$B$2&amp;$B$1)</f>
        <v>0</v>
      </c>
      <c r="AQ10" s="2">
        <f>COUNTIF(defects!$X:$X,Weekly_TVPlant!AQ$3&amp;Weekly_TVPlant!$B10&amp;Weekly_TVPlant!$B$3&amp;$B$2&amp;$B$1)</f>
        <v>0</v>
      </c>
      <c r="AR10" s="2">
        <f>COUNTIF(defects!$X:$X,Weekly_TVPlant!AR$3&amp;Weekly_TVPlant!$B10&amp;Weekly_TVPlant!$B$3&amp;$B$2&amp;$B$1)</f>
        <v>0</v>
      </c>
      <c r="AS10" s="2">
        <f>COUNTIF(defects!$X:$X,Weekly_TVPlant!AS$3&amp;Weekly_TVPlant!$B10&amp;Weekly_TVPlant!$B$3&amp;$B$2&amp;$B$1)</f>
        <v>0</v>
      </c>
      <c r="AT10" s="2">
        <f>COUNTIF(defects!$X:$X,Weekly_TVPlant!AT$3&amp;Weekly_TVPlant!$B10&amp;Weekly_TVPlant!$B$3&amp;$B$2&amp;$B$1)</f>
        <v>0</v>
      </c>
      <c r="AU10" s="2">
        <f>COUNTIF(defects!$X:$X,Weekly_TVPlant!AU$3&amp;Weekly_TVPlant!$B10&amp;Weekly_TVPlant!$B$3&amp;$B$2&amp;$B$1)</f>
        <v>0</v>
      </c>
      <c r="AV10" s="2">
        <f>COUNTIF(defects!$X:$X,Weekly_TVPlant!AV$3&amp;Weekly_TVPlant!$B10&amp;Weekly_TVPlant!$B$3&amp;$B$2&amp;$B$1)</f>
        <v>0</v>
      </c>
      <c r="AW10" s="2">
        <f>COUNTIF(defects!$X:$X,Weekly_TVPlant!AW$3&amp;Weekly_TVPlant!$B10&amp;Weekly_TVPlant!$B$3&amp;$B$2&amp;$B$1)</f>
        <v>0</v>
      </c>
      <c r="AX10" s="2">
        <f>COUNTIF(defects!$X:$X,Weekly_TVPlant!AX$3&amp;Weekly_TVPlant!$B10&amp;Weekly_TVPlant!$B$3&amp;$B$2&amp;$B$1)</f>
        <v>0</v>
      </c>
      <c r="AY10" s="2">
        <f>COUNTIF(defects!$X:$X,Weekly_TVPlant!AY$3&amp;Weekly_TVPlant!$B10&amp;Weekly_TVPlant!$B$3&amp;$B$2&amp;$B$1)</f>
        <v>0</v>
      </c>
      <c r="AZ10" s="2">
        <f>COUNTIF(defects!$X:$X,Weekly_TVPlant!AZ$3&amp;Weekly_TVPlant!$B10&amp;Weekly_TVPlant!$B$3&amp;$B$2&amp;$B$1)</f>
        <v>0</v>
      </c>
      <c r="BA10" s="2">
        <f>COUNTIF(defects!$X:$X,Weekly_TVPlant!BA$3&amp;Weekly_TVPlant!$B10&amp;Weekly_TVPlant!$B$3&amp;$B$2&amp;$B$1)</f>
        <v>0</v>
      </c>
      <c r="BB10" s="2">
        <f>COUNTIF(defects!$X:$X,Weekly_TVPlant!BB$3&amp;Weekly_TVPlant!$B10&amp;Weekly_TVPlant!$B$3&amp;$B$2&amp;$B$1)</f>
        <v>0</v>
      </c>
      <c r="BC10" s="2">
        <f>COUNTIF(defects!$X:$X,Weekly_TVPlant!BC$3&amp;Weekly_TVPlant!$B10&amp;Weekly_TVPlant!$B$3&amp;$B$2&amp;$B$1)</f>
        <v>0</v>
      </c>
      <c r="BD10" s="2">
        <f>COUNTIF(defects!$X:$X,Weekly_TVPlant!BD$3&amp;Weekly_TVPlant!$B10&amp;Weekly_TVPlant!$B$3&amp;$B$2&amp;$B$1)</f>
        <v>0</v>
      </c>
      <c r="BE10" s="2">
        <f>COUNTIF(defects!$X:$X,Weekly_TVPlant!BE$3&amp;Weekly_TVPlant!$B10&amp;Weekly_TVPlant!$B$3&amp;$B$2&amp;$B$1)</f>
        <v>0</v>
      </c>
      <c r="BF10" s="2">
        <f>COUNTIF(defects!$X:$X,Weekly_TVPlant!BF$3&amp;Weekly_TVPlant!$B10&amp;Weekly_TVPlant!$B$3&amp;$B$2&amp;$B$1)</f>
        <v>0</v>
      </c>
      <c r="BG10" s="2">
        <f>COUNTIF(defects!$X:$X,Weekly_TVPlant!BG$3&amp;Weekly_TVPlant!$B10&amp;Weekly_TVPlant!$B$3&amp;$B$2&amp;$B$1)</f>
        <v>0</v>
      </c>
      <c r="BH10" s="2">
        <f>COUNTIF(defects!$X:$X,Weekly_TVPlant!BH$3&amp;Weekly_TVPlant!$B10&amp;Weekly_TVPlant!$B$3&amp;$B$2&amp;$B$1)</f>
        <v>0</v>
      </c>
      <c r="BI10" s="2">
        <f>COUNTIF(defects!$X:$X,Weekly_TVPlant!BI$3&amp;Weekly_TVPlant!$B10&amp;Weekly_TVPlant!$B$3&amp;$B$2&amp;$B$1)</f>
        <v>0</v>
      </c>
      <c r="BJ10" s="2">
        <f>COUNTIF(defects!$X:$X,Weekly_TVPlant!BJ$3&amp;Weekly_TVPlant!$B10&amp;Weekly_TVPlant!$B$3&amp;$B$2&amp;$B$1)</f>
        <v>0</v>
      </c>
      <c r="BK10" s="2">
        <f>COUNTIF(defects!$X:$X,Weekly_TVPlant!BK$3&amp;Weekly_TVPlant!$B10&amp;Weekly_TVPlant!$B$3&amp;$B$2&amp;$B$1)</f>
        <v>0</v>
      </c>
      <c r="BL10" s="2">
        <f>COUNTIF(defects!$X:$X,Weekly_TVPlant!BL$3&amp;Weekly_TVPlant!$B10&amp;Weekly_TVPlant!$B$3&amp;$B$2&amp;$B$1)</f>
        <v>0</v>
      </c>
      <c r="BM10" s="2">
        <f>COUNTIF(defects!$X:$X,Weekly_TVPlant!BM$3&amp;Weekly_TVPlant!$B10&amp;Weekly_TVPlant!$B$3&amp;$B$2&amp;$B$1)</f>
        <v>0</v>
      </c>
      <c r="BN10" s="2">
        <f>COUNTIF(defects!$X:$X,Weekly_TVPlant!BN$3&amp;Weekly_TVPlant!$B10&amp;Weekly_TVPlant!$B$3&amp;$B$2&amp;$B$1)</f>
        <v>0</v>
      </c>
      <c r="BO10" s="2">
        <f>COUNTIF(defects!$X:$X,Weekly_TVPlant!BO$3&amp;Weekly_TVPlant!$B10&amp;Weekly_TVPlant!$B$3&amp;$B$2&amp;$B$1)</f>
        <v>0</v>
      </c>
      <c r="BP10" s="2">
        <f>COUNTIF(defects!$X:$X,Weekly_TVPlant!BP$3&amp;Weekly_TVPlant!$B10&amp;Weekly_TVPlant!$B$3&amp;$B$2&amp;$B$1)</f>
        <v>0</v>
      </c>
      <c r="BQ10" s="2">
        <f>COUNTIF(defects!$X:$X,Weekly_TVPlant!BQ$3&amp;Weekly_TVPlant!$B10&amp;Weekly_TVPlant!$B$3&amp;$B$2&amp;$B$1)</f>
        <v>0</v>
      </c>
      <c r="BR10" s="2">
        <f>COUNTIF(defects!$X:$X,Weekly_TVPlant!BR$3&amp;Weekly_TVPlant!$B10&amp;Weekly_TVPlant!$B$3&amp;$B$2&amp;$B$1)</f>
        <v>0</v>
      </c>
      <c r="BS10" s="2">
        <f>COUNTIF(defects!$X:$X,Weekly_TVPlant!BS$3&amp;Weekly_TVPlant!$B10&amp;Weekly_TVPlant!$B$3&amp;$B$2&amp;$B$1)</f>
        <v>0</v>
      </c>
      <c r="BT10" s="2">
        <f>COUNTIF(defects!$X:$X,Weekly_TVPlant!BT$3&amp;Weekly_TVPlant!$B10&amp;Weekly_TVPlant!$B$3&amp;$B$2&amp;$B$1)</f>
        <v>0</v>
      </c>
      <c r="BU10" s="2">
        <f>COUNTIF(defects!$X:$X,Weekly_TVPlant!BU$3&amp;Weekly_TVPlant!$B10&amp;Weekly_TVPlant!$B$3&amp;$B$2&amp;$B$1)</f>
        <v>0</v>
      </c>
      <c r="BV10" s="2">
        <f>COUNTIF(defects!$X:$X,Weekly_TVPlant!BV$3&amp;Weekly_TVPlant!$B10&amp;Weekly_TVPlant!$B$3&amp;$B$2&amp;$B$1)</f>
        <v>0</v>
      </c>
      <c r="BW10" s="2">
        <f>COUNTIF(defects!$X:$X,Weekly_TVPlant!BW$3&amp;Weekly_TVPlant!$B10&amp;Weekly_TVPlant!$B$3&amp;$B$2&amp;$B$1)</f>
        <v>0</v>
      </c>
      <c r="BX10" s="2">
        <f>COUNTIF(defects!$X:$X,Weekly_TVPlant!BX$3&amp;Weekly_TVPlant!$B10&amp;Weekly_TVPlant!$B$3&amp;$B$2&amp;$B$1)</f>
        <v>3</v>
      </c>
      <c r="BY10" s="2">
        <f>COUNTIF(defects!$X:$X,Weekly_TVPlant!BY$3&amp;Weekly_TVPlant!$B10&amp;Weekly_TVPlant!$B$3&amp;$B$2&amp;$B$1)</f>
        <v>0</v>
      </c>
      <c r="BZ10" s="2">
        <f>COUNTIF(defects!$X:$X,Weekly_TVPlant!BZ$3&amp;Weekly_TVPlant!$B10&amp;Weekly_TVPlant!$B$3&amp;$B$2&amp;$B$1)</f>
        <v>0</v>
      </c>
      <c r="CA10" s="2">
        <f>COUNTIF(defects!$X:$X,Weekly_TVPlant!CA$3&amp;Weekly_TVPlant!$B10&amp;Weekly_TVPlant!$B$3&amp;$B$2&amp;$B$1)</f>
        <v>0</v>
      </c>
      <c r="CB10" s="2">
        <f>COUNTIF(defects!$X:$X,Weekly_TVPlant!CB$3&amp;Weekly_TVPlant!$B10&amp;Weekly_TVPlant!$B$3&amp;$B$2&amp;$B$1)</f>
        <v>0</v>
      </c>
      <c r="CC10" s="2">
        <f>COUNTIF(defects!$X:$X,Weekly_TVPlant!CC$3&amp;Weekly_TVPlant!$B10&amp;Weekly_TVPlant!$B$3&amp;$B$2&amp;$B$1)</f>
        <v>0</v>
      </c>
      <c r="CD10" s="2">
        <f>COUNTIF(defects!$X:$X,Weekly_TVPlant!CD$3&amp;Weekly_TVPlant!$B10&amp;Weekly_TVPlant!$B$3&amp;$B$2&amp;$B$1)</f>
        <v>0</v>
      </c>
      <c r="CE10" s="2">
        <f>COUNTIF(defects!$X:$X,Weekly_TVPlant!CE$3&amp;Weekly_TVPlant!$B10&amp;Weekly_TVPlant!$B$3&amp;$B$2&amp;$B$1)</f>
        <v>0</v>
      </c>
      <c r="CF10" s="2">
        <f>COUNTIF(defects!$X:$X,Weekly_TVPlant!CF$3&amp;Weekly_TVPlant!$B10&amp;Weekly_TVPlant!$B$3&amp;$B$2&amp;$B$1)</f>
        <v>0</v>
      </c>
      <c r="CG10" s="2">
        <f>COUNTIF(defects!$X:$X,Weekly_TVPlant!CG$3&amp;Weekly_TVPlant!$B10&amp;Weekly_TVPlant!$B$3&amp;$B$2&amp;$B$1)</f>
        <v>0</v>
      </c>
      <c r="CH10" s="2">
        <f>COUNTIF(defects!$X:$X,Weekly_TVPlant!CH$3&amp;Weekly_TVPlant!$B10&amp;Weekly_TVPlant!$B$3&amp;$B$2&amp;$B$1)</f>
        <v>0</v>
      </c>
      <c r="CI10" s="2">
        <f>COUNTIF(defects!$X:$X,Weekly_TVPlant!CI$3&amp;Weekly_TVPlant!$B10&amp;Weekly_TVPlant!$B$3&amp;$B$2&amp;$B$1)</f>
        <v>0</v>
      </c>
      <c r="CJ10" s="2">
        <f>COUNTIF(defects!$X:$X,Weekly_TVPlant!CJ$3&amp;Weekly_TVPlant!$B10&amp;Weekly_TVPlant!$B$3&amp;$B$2&amp;$B$1)</f>
        <v>0</v>
      </c>
      <c r="CK10" s="2">
        <f>COUNTIF(defects!$X:$X,Weekly_TVPlant!CK$3&amp;Weekly_TVPlant!$B10&amp;Weekly_TVPlant!$B$3&amp;$B$2&amp;$B$1)</f>
        <v>0</v>
      </c>
      <c r="CL10" s="2">
        <f>COUNTIF(defects!$X:$X,Weekly_TVPlant!CL$3&amp;Weekly_TVPlant!$B10&amp;Weekly_TVPlant!$B$3&amp;$B$2&amp;$B$1)</f>
        <v>1</v>
      </c>
      <c r="CM10" s="2">
        <f>COUNTIF(defects!$X:$X,Weekly_TVPlant!CM$3&amp;Weekly_TVPlant!$B10&amp;Weekly_TVPlant!$B$3&amp;$B$2&amp;$B$1)</f>
        <v>0</v>
      </c>
      <c r="CN10" s="2">
        <f>COUNTIF(defects!$X:$X,Weekly_TVPlant!CN$3&amp;Weekly_TVPlant!$B10&amp;Weekly_TVPlant!$B$3&amp;$B$2&amp;$B$1)</f>
        <v>0</v>
      </c>
      <c r="CO10" s="2">
        <f>COUNTIF(defects!$X:$X,Weekly_TVPlant!CO$3&amp;Weekly_TVPlant!$B10&amp;Weekly_TVPlant!$B$3&amp;$B$2&amp;$B$1)</f>
        <v>0</v>
      </c>
      <c r="CP10" s="2">
        <f>COUNTIF(defects!$X:$X,Weekly_TVPlant!CP$3&amp;Weekly_TVPlant!$B10&amp;Weekly_TVPlant!$B$3&amp;$B$2&amp;$B$1)</f>
        <v>0</v>
      </c>
      <c r="CQ10" s="2">
        <f>COUNTIF(defects!$X:$X,Weekly_TVPlant!CQ$3&amp;Weekly_TVPlant!$B10&amp;Weekly_TVPlant!$B$3&amp;$B$2&amp;$B$1)</f>
        <v>0</v>
      </c>
      <c r="CR10" s="2">
        <f>COUNTIF(defects!$X:$X,Weekly_TVPlant!CR$3&amp;Weekly_TVPlant!$B10&amp;Weekly_TVPlant!$B$3&amp;$B$2&amp;$B$1)</f>
        <v>0</v>
      </c>
      <c r="CS10" s="2">
        <f>COUNTIF(defects!$X:$X,Weekly_TVPlant!CS$3&amp;Weekly_TVPlant!$B10&amp;Weekly_TVPlant!$B$3&amp;$B$2&amp;$B$1)</f>
        <v>1</v>
      </c>
      <c r="CT10" s="2">
        <f>COUNTIF(defects!$X:$X,Weekly_TVPlant!CT$3&amp;Weekly_TVPlant!$B10&amp;Weekly_TVPlant!$B$3&amp;$B$2&amp;$B$1)</f>
        <v>0</v>
      </c>
      <c r="CU10" s="2">
        <f>COUNTIF(defects!$X:$X,Weekly_TVPlant!CU$3&amp;Weekly_TVPlant!$B10&amp;Weekly_TVPlant!$B$3&amp;$B$2&amp;$B$1)</f>
        <v>0</v>
      </c>
      <c r="CV10" s="2">
        <f>COUNTIF(defects!$X:$X,Weekly_TVPlant!CV$3&amp;Weekly_TVPlant!$B10&amp;Weekly_TVPlant!$B$3&amp;$B$2&amp;$B$1)</f>
        <v>0</v>
      </c>
      <c r="CW10" s="2">
        <f>COUNTIF(defects!$X:$X,Weekly_TVPlant!CW$3&amp;Weekly_TVPlant!$B10&amp;Weekly_TVPlant!$B$3&amp;$B$2&amp;$B$1)</f>
        <v>0</v>
      </c>
      <c r="CX10" s="2">
        <f>COUNTIF(defects!$X:$X,Weekly_TVPlant!CX$3&amp;Weekly_TVPlant!$B10&amp;Weekly_TVPlant!$B$3&amp;$B$2&amp;$B$1)</f>
        <v>0</v>
      </c>
      <c r="CY10" s="2">
        <f>COUNTIF(defects!$X:$X,Weekly_TVPlant!CY$3&amp;Weekly_TVPlant!$B10&amp;Weekly_TVPlant!$B$3&amp;$B$2&amp;$B$1)</f>
        <v>0</v>
      </c>
      <c r="CZ10" s="2">
        <f>COUNTIF(defects!$X:$X,Weekly_TVPlant!CZ$3&amp;Weekly_TVPlant!$B10&amp;Weekly_TVPlant!$B$3&amp;$B$2&amp;$B$1)</f>
        <v>0</v>
      </c>
      <c r="DA10" s="2">
        <f>COUNTIF(defects!$X:$X,Weekly_TVPlant!DA$3&amp;Weekly_TVPlant!$B10&amp;Weekly_TVPlant!$B$3&amp;$B$2&amp;$B$1)</f>
        <v>0</v>
      </c>
      <c r="DB10" s="2">
        <f>COUNTIF(defects!$X:$X,Weekly_TVPlant!DB$3&amp;Weekly_TVPlant!$B10&amp;Weekly_TVPlant!$B$3&amp;$B$2&amp;$B$1)</f>
        <v>0</v>
      </c>
      <c r="DC10" s="2">
        <f>COUNTIF(defects!$X:$X,Weekly_TVPlant!DC$3&amp;Weekly_TVPlant!$B10&amp;Weekly_TVPlant!$B$3&amp;$B$2&amp;$B$1)</f>
        <v>0</v>
      </c>
      <c r="DD10" s="2">
        <f>COUNTIF(defects!$X:$X,Weekly_TVPlant!DD$3&amp;Weekly_TVPlant!$B10&amp;Weekly_TVPlant!$B$3&amp;$B$2&amp;$B$1)</f>
        <v>0</v>
      </c>
      <c r="DE10" s="2">
        <f>COUNTIF(defects!$X:$X,Weekly_TVPlant!DE$3&amp;Weekly_TVPlant!$B10&amp;Weekly_TVPlant!$B$3&amp;$B$2&amp;$B$1)</f>
        <v>0</v>
      </c>
      <c r="DF10" s="2">
        <f>COUNTIF(defects!$X:$X,Weekly_TVPlant!DF$3&amp;Weekly_TVPlant!$B10&amp;Weekly_TVPlant!$B$3&amp;$B$2&amp;$B$1)</f>
        <v>0</v>
      </c>
      <c r="DG10" s="2">
        <f>COUNTIF(defects!$X:$X,Weekly_TVPlant!DG$3&amp;Weekly_TVPlant!$B10&amp;Weekly_TVPlant!$B$3&amp;$B$2&amp;$B$1)</f>
        <v>0</v>
      </c>
      <c r="DH10" s="2">
        <f>COUNTIF(defects!$X:$X,Weekly_TVPlant!DH$3&amp;Weekly_TVPlant!$B10&amp;Weekly_TVPlant!$B$3&amp;$B$2&amp;$B$1)</f>
        <v>0</v>
      </c>
      <c r="DI10" s="2">
        <f>COUNTIF(defects!$X:$X,Weekly_TVPlant!DI$3&amp;Weekly_TVPlant!$B10&amp;Weekly_TVPlant!$B$3&amp;$B$2&amp;$B$1)</f>
        <v>0</v>
      </c>
      <c r="DJ10" s="2">
        <f>COUNTIF(defects!$X:$X,Weekly_TVPlant!DJ$3&amp;Weekly_TVPlant!$B10&amp;Weekly_TVPlant!$B$3&amp;$B$2&amp;$B$1)</f>
        <v>0</v>
      </c>
      <c r="DK10" s="2">
        <f>COUNTIF(defects!$X:$X,Weekly_TVPlant!DK$3&amp;Weekly_TVPlant!$B10&amp;Weekly_TVPlant!$B$3&amp;$B$2&amp;$B$1)</f>
        <v>0</v>
      </c>
      <c r="DL10" s="2">
        <f>COUNTIF(defects!$X:$X,Weekly_TVPlant!DL$3&amp;Weekly_TVPlant!$B10&amp;Weekly_TVPlant!$B$3&amp;$B$2&amp;$B$1)</f>
        <v>0</v>
      </c>
      <c r="DM10" s="2">
        <f>COUNTIF(defects!$X:$X,Weekly_TVPlant!DM$3&amp;Weekly_TVPlant!$B10&amp;Weekly_TVPlant!$B$3&amp;$B$2&amp;$B$1)</f>
        <v>0</v>
      </c>
      <c r="DN10" s="2">
        <f>COUNTIF(defects!$X:$X,Weekly_TVPlant!DN$3&amp;Weekly_TVPlant!$B10&amp;Weekly_TVPlant!$B$3&amp;$B$2&amp;$B$1)</f>
        <v>0</v>
      </c>
      <c r="DO10" s="2">
        <f>COUNTIF(defects!$X:$X,Weekly_TVPlant!DO$3&amp;Weekly_TVPlant!$B10&amp;Weekly_TVPlant!$B$3&amp;$B$2&amp;$B$1)</f>
        <v>0</v>
      </c>
      <c r="DP10" s="2">
        <f>COUNTIF(defects!$X:$X,Weekly_TVPlant!DP$3&amp;Weekly_TVPlant!$B10&amp;Weekly_TVPlant!$B$3&amp;$B$2&amp;$B$1)</f>
        <v>0</v>
      </c>
      <c r="DQ10" s="2">
        <f>COUNTIF(defects!$X:$X,Weekly_TVPlant!DQ$3&amp;Weekly_TVPlant!$B10&amp;Weekly_TVPlant!$B$3&amp;$B$2&amp;$B$1)</f>
        <v>0</v>
      </c>
      <c r="DR10" s="2">
        <f>COUNTIF(defects!$X:$X,Weekly_TVPlant!DR$3&amp;Weekly_TVPlant!$B10&amp;Weekly_TVPlant!$B$3&amp;$B$2&amp;$B$1)</f>
        <v>0</v>
      </c>
      <c r="DS10" s="2">
        <f>COUNTIF(defects!$X:$X,Weekly_TVPlant!DS$3&amp;Weekly_TVPlant!$B10&amp;Weekly_TVPlant!$B$3&amp;$B$2&amp;$B$1)</f>
        <v>0</v>
      </c>
      <c r="DT10" s="2">
        <f>COUNTIF(defects!$X:$X,Weekly_TVPlant!DT$3&amp;Weekly_TVPlant!$B10&amp;Weekly_TVPlant!$B$3&amp;$B$2&amp;$B$1)</f>
        <v>0</v>
      </c>
      <c r="DU10" s="2">
        <f>COUNTIF(defects!$X:$X,Weekly_TVPlant!DU$3&amp;Weekly_TVPlant!$B10&amp;Weekly_TVPlant!$B$3&amp;$B$2&amp;$B$1)</f>
        <v>0</v>
      </c>
      <c r="DV10" s="2">
        <f>COUNTIF(defects!$X:$X,Weekly_TVPlant!DV$3&amp;Weekly_TVPlant!$B10&amp;Weekly_TVPlant!$B$3&amp;$B$2&amp;$B$1)</f>
        <v>0</v>
      </c>
      <c r="DW10" s="2">
        <f>COUNTIF(defects!$X:$X,Weekly_TVPlant!DW$3&amp;Weekly_TVPlant!$B10&amp;Weekly_TVPlant!$B$3&amp;$B$2&amp;$B$1)</f>
        <v>0</v>
      </c>
      <c r="DX10" s="2">
        <f>COUNTIF(defects!$X:$X,Weekly_TVPlant!DX$3&amp;Weekly_TVPlant!$B10&amp;Weekly_TVPlant!$B$3&amp;$B$2&amp;$B$1)</f>
        <v>0</v>
      </c>
      <c r="DY10" s="2">
        <f>COUNTIF(defects!$X:$X,Weekly_TVPlant!DY$3&amp;Weekly_TVPlant!$B10&amp;Weekly_TVPlant!$B$3&amp;$B$2&amp;$B$1)</f>
        <v>0</v>
      </c>
      <c r="DZ10" s="2">
        <f>COUNTIF(defects!$X:$X,Weekly_TVPlant!DZ$3&amp;Weekly_TVPlant!$B10&amp;Weekly_TVPlant!$B$3&amp;$B$2&amp;$B$1)</f>
        <v>0</v>
      </c>
      <c r="EA10" s="2">
        <f>COUNTIF(defects!$X:$X,Weekly_TVPlant!EA$3&amp;Weekly_TVPlant!$B10&amp;Weekly_TVPlant!$B$3&amp;$B$2&amp;$B$1)</f>
        <v>0</v>
      </c>
      <c r="EB10" s="2">
        <f>COUNTIF(defects!$X:$X,Weekly_TVPlant!EB$3&amp;Weekly_TVPlant!$B10&amp;Weekly_TVPlant!$B$3&amp;$B$2&amp;$B$1)</f>
        <v>0</v>
      </c>
      <c r="EC10" s="2">
        <f>COUNTIF(defects!$X:$X,Weekly_TVPlant!EC$3&amp;Weekly_TVPlant!$B10&amp;Weekly_TVPlant!$B$3&amp;$B$2&amp;$B$1)</f>
        <v>0</v>
      </c>
      <c r="ED10" s="2">
        <f>COUNTIF(defects!$X:$X,Weekly_TVPlant!ED$3&amp;Weekly_TVPlant!$B10&amp;Weekly_TVPlant!$B$3&amp;$B$2&amp;$B$1)</f>
        <v>0</v>
      </c>
      <c r="EE10" s="2">
        <f>COUNTIF(defects!$X:$X,Weekly_TVPlant!EE$3&amp;Weekly_TVPlant!$B10&amp;Weekly_TVPlant!$B$3&amp;$B$2&amp;$B$1)</f>
        <v>0</v>
      </c>
      <c r="EF10" s="2">
        <f>COUNTIF(defects!$X:$X,Weekly_TVPlant!EF$3&amp;Weekly_TVPlant!$B10&amp;Weekly_TVPlant!$B$3&amp;$B$2&amp;$B$1)</f>
        <v>0</v>
      </c>
      <c r="EG10" s="2">
        <f>COUNTIF(defects!$X:$X,Weekly_TVPlant!EG$3&amp;Weekly_TVPlant!$B10&amp;Weekly_TVPlant!$B$3&amp;$B$2&amp;$B$1)</f>
        <v>0</v>
      </c>
      <c r="EH10" s="2">
        <f>COUNTIF(defects!$X:$X,Weekly_TVPlant!EH$3&amp;Weekly_TVPlant!$B10&amp;Weekly_TVPlant!$B$3&amp;$B$2&amp;$B$1)</f>
        <v>0</v>
      </c>
      <c r="EI10" s="2">
        <f>COUNTIF(defects!$X:$X,Weekly_TVPlant!EI$3&amp;Weekly_TVPlant!$B10&amp;Weekly_TVPlant!$B$3&amp;$B$2&amp;$B$1)</f>
        <v>0</v>
      </c>
      <c r="EJ10" s="2">
        <f>COUNTIF(defects!$X:$X,Weekly_TVPlant!EJ$3&amp;Weekly_TVPlant!$B10&amp;Weekly_TVPlant!$B$3&amp;$B$2&amp;$B$1)</f>
        <v>0</v>
      </c>
      <c r="EK10" s="2">
        <f>COUNTIF(defects!$X:$X,Weekly_TVPlant!EK$3&amp;Weekly_TVPlant!$B10&amp;Weekly_TVPlant!$B$3&amp;$B$2&amp;$B$1)</f>
        <v>0</v>
      </c>
      <c r="EL10" s="2">
        <f>COUNTIF(defects!$X:$X,Weekly_TVPlant!EL$3&amp;Weekly_TVPlant!$B10&amp;Weekly_TVPlant!$B$3&amp;$B$2&amp;$B$1)</f>
        <v>0</v>
      </c>
      <c r="EM10" s="2">
        <f>COUNTIF(defects!$X:$X,Weekly_TVPlant!EM$3&amp;Weekly_TVPlant!$B10&amp;Weekly_TVPlant!$B$3&amp;$B$2&amp;$B$1)</f>
        <v>0</v>
      </c>
      <c r="EN10" s="2">
        <f>COUNTIF(defects!$X:$X,Weekly_TVPlant!EN$3&amp;Weekly_TVPlant!$B10&amp;Weekly_TVPlant!$B$3&amp;$B$2&amp;$B$1)</f>
        <v>0</v>
      </c>
      <c r="EO10" s="2">
        <f>COUNTIF(defects!$X:$X,Weekly_TVPlant!EO$3&amp;Weekly_TVPlant!$B10&amp;Weekly_TVPlant!$B$3&amp;$B$2&amp;$B$1)</f>
        <v>0</v>
      </c>
      <c r="EP10" s="2">
        <f>COUNTIF(defects!$X:$X,Weekly_TVPlant!EP$3&amp;Weekly_TVPlant!$B10&amp;Weekly_TVPlant!$B$3&amp;$B$2&amp;$B$1)</f>
        <v>0</v>
      </c>
      <c r="EQ10" s="2">
        <f>COUNTIF(defects!$X:$X,Weekly_TVPlant!EQ$3&amp;Weekly_TVPlant!$B10&amp;Weekly_TVPlant!$B$3&amp;$B$2&amp;$B$1)</f>
        <v>0</v>
      </c>
      <c r="ER10" s="2">
        <f>COUNTIF(defects!$X:$X,Weekly_TVPlant!ER$3&amp;Weekly_TVPlant!$B10&amp;Weekly_TVPlant!$B$3&amp;$B$2&amp;$B$1)</f>
        <v>0</v>
      </c>
      <c r="ES10" s="2">
        <f>COUNTIF(defects!$X:$X,Weekly_TVPlant!ES$3&amp;Weekly_TVPlant!$B10&amp;Weekly_TVPlant!$B$3&amp;$B$2&amp;$B$1)</f>
        <v>0</v>
      </c>
      <c r="ET10" s="2">
        <f>COUNTIF(defects!$X:$X,Weekly_TVPlant!ET$3&amp;Weekly_TVPlant!$B10&amp;Weekly_TVPlant!$B$3&amp;$B$2&amp;$B$1)</f>
        <v>0</v>
      </c>
      <c r="EU10" s="2">
        <f>COUNTIF(defects!$X:$X,Weekly_TVPlant!EU$3&amp;Weekly_TVPlant!$B10&amp;Weekly_TVPlant!$B$3&amp;$B$2&amp;$B$1)</f>
        <v>0</v>
      </c>
      <c r="EV10" s="2">
        <f>COUNTIF(defects!$X:$X,Weekly_TVPlant!EV$3&amp;Weekly_TVPlant!$B10&amp;Weekly_TVPlant!$B$3&amp;$B$2&amp;$B$1)</f>
        <v>0</v>
      </c>
      <c r="EW10" s="2">
        <f>COUNTIF(defects!$X:$X,Weekly_TVPlant!EW$3&amp;Weekly_TVPlant!$B10&amp;Weekly_TVPlant!$B$3&amp;$B$2&amp;$B$1)</f>
        <v>0</v>
      </c>
      <c r="EX10" s="2">
        <f>COUNTIF(defects!$X:$X,Weekly_TVPlant!EX$3&amp;Weekly_TVPlant!$B10&amp;Weekly_TVPlant!$B$3&amp;$B$2&amp;$B$1)</f>
        <v>0</v>
      </c>
      <c r="EY10" s="2">
        <f>COUNTIF(defects!$X:$X,Weekly_TVPlant!EY$3&amp;Weekly_TVPlant!$B10&amp;Weekly_TVPlant!$B$3&amp;$B$2&amp;$B$1)</f>
        <v>0</v>
      </c>
      <c r="EZ10" s="2">
        <f>COUNTIF(defects!$X:$X,Weekly_TVPlant!EZ$3&amp;Weekly_TVPlant!$B10&amp;Weekly_TVPlant!$B$3&amp;$B$2&amp;$B$1)</f>
        <v>0</v>
      </c>
      <c r="FA10" s="2">
        <f>COUNTIF(defects!$X:$X,Weekly_TVPlant!FA$3&amp;Weekly_TVPlant!$B10&amp;Weekly_TVPlant!$B$3&amp;$B$2&amp;$B$1)</f>
        <v>0</v>
      </c>
      <c r="FB10" s="2">
        <f>COUNTIF(defects!$X:$X,Weekly_TVPlant!FB$3&amp;Weekly_TVPlant!$B10&amp;Weekly_TVPlant!$B$3&amp;$B$2&amp;$B$1)</f>
        <v>0</v>
      </c>
      <c r="FC10" s="2">
        <f>COUNTIF(defects!$X:$X,Weekly_TVPlant!FC$3&amp;Weekly_TVPlant!$B10&amp;Weekly_TVPlant!$B$3&amp;$B$2&amp;$B$1)</f>
        <v>0</v>
      </c>
      <c r="FD10" s="2">
        <f>COUNTIF(defects!$X:$X,Weekly_TVPlant!FD$3&amp;Weekly_TVPlant!$B10&amp;Weekly_TVPlant!$B$3&amp;$B$2&amp;$B$1)</f>
        <v>0</v>
      </c>
      <c r="FE10" s="2">
        <f>COUNTIF(defects!$X:$X,Weekly_TVPlant!FE$3&amp;Weekly_TVPlant!$B10&amp;Weekly_TVPlant!$B$3&amp;$B$2&amp;$B$1)</f>
        <v>0</v>
      </c>
    </row>
    <row r="11" spans="2:161">
      <c r="B11" s="2" t="s">
        <v>956</v>
      </c>
      <c r="C11" s="2">
        <f>COUNTIF(defects!$X:$X,Weekly_TVPlant!C$3&amp;Weekly_TVPlant!$B11&amp;Weekly_TVPlant!$B$3&amp;$B$2&amp;$B$1)</f>
        <v>0</v>
      </c>
      <c r="D11" s="2">
        <f>COUNTIF(defects!$X:$X,Weekly_TVPlant!D$3&amp;Weekly_TVPlant!$B11&amp;Weekly_TVPlant!$B$3&amp;$B$2&amp;$B$1)</f>
        <v>0</v>
      </c>
      <c r="E11" s="2">
        <f>COUNTIF(defects!$X:$X,Weekly_TVPlant!E$3&amp;Weekly_TVPlant!$B11&amp;Weekly_TVPlant!$B$3&amp;$B$2&amp;$B$1)</f>
        <v>0</v>
      </c>
      <c r="F11" s="2">
        <f>COUNTIF(defects!$X:$X,Weekly_TVPlant!F$3&amp;Weekly_TVPlant!$B11&amp;Weekly_TVPlant!$B$3&amp;$B$2&amp;$B$1)</f>
        <v>0</v>
      </c>
      <c r="G11" s="2">
        <f>COUNTIF(defects!$X:$X,Weekly_TVPlant!G$3&amp;Weekly_TVPlant!$B11&amp;Weekly_TVPlant!$B$3&amp;$B$2&amp;$B$1)</f>
        <v>0</v>
      </c>
      <c r="H11" s="2">
        <f>COUNTIF(defects!$X:$X,Weekly_TVPlant!H$3&amp;Weekly_TVPlant!$B11&amp;Weekly_TVPlant!$B$3&amp;$B$2&amp;$B$1)</f>
        <v>0</v>
      </c>
      <c r="I11" s="2">
        <f>COUNTIF(defects!$X:$X,Weekly_TVPlant!I$3&amp;Weekly_TVPlant!$B11&amp;Weekly_TVPlant!$B$3&amp;$B$2&amp;$B$1)</f>
        <v>0</v>
      </c>
      <c r="J11" s="2">
        <f>COUNTIF(defects!$X:$X,Weekly_TVPlant!J$3&amp;Weekly_TVPlant!$B11&amp;Weekly_TVPlant!$B$3&amp;$B$2&amp;$B$1)</f>
        <v>0</v>
      </c>
      <c r="K11" s="2">
        <f>COUNTIF(defects!$X:$X,Weekly_TVPlant!K$3&amp;Weekly_TVPlant!$B11&amp;Weekly_TVPlant!$B$3&amp;$B$2&amp;$B$1)</f>
        <v>0</v>
      </c>
      <c r="L11" s="2">
        <f>COUNTIF(defects!$X:$X,Weekly_TVPlant!L$3&amp;Weekly_TVPlant!$B11&amp;Weekly_TVPlant!$B$3&amp;$B$2&amp;$B$1)</f>
        <v>0</v>
      </c>
      <c r="M11" s="2">
        <f>COUNTIF(defects!$X:$X,Weekly_TVPlant!M$3&amp;Weekly_TVPlant!$B11&amp;Weekly_TVPlant!$B$3&amp;$B$2&amp;$B$1)</f>
        <v>0</v>
      </c>
      <c r="N11" s="2">
        <f>COUNTIF(defects!$X:$X,Weekly_TVPlant!N$3&amp;Weekly_TVPlant!$B11&amp;Weekly_TVPlant!$B$3&amp;$B$2&amp;$B$1)</f>
        <v>0</v>
      </c>
      <c r="O11" s="2">
        <f>COUNTIF(defects!$X:$X,Weekly_TVPlant!O$3&amp;Weekly_TVPlant!$B11&amp;Weekly_TVPlant!$B$3&amp;$B$2&amp;$B$1)</f>
        <v>0</v>
      </c>
      <c r="P11" s="2">
        <f>COUNTIF(defects!$X:$X,Weekly_TVPlant!P$3&amp;Weekly_TVPlant!$B11&amp;Weekly_TVPlant!$B$3&amp;$B$2&amp;$B$1)</f>
        <v>0</v>
      </c>
      <c r="Q11" s="2">
        <f>COUNTIF(defects!$X:$X,Weekly_TVPlant!Q$3&amp;Weekly_TVPlant!$B11&amp;Weekly_TVPlant!$B$3&amp;$B$2&amp;$B$1)</f>
        <v>0</v>
      </c>
      <c r="R11" s="2">
        <f>COUNTIF(defects!$X:$X,Weekly_TVPlant!R$3&amp;Weekly_TVPlant!$B11&amp;Weekly_TVPlant!$B$3&amp;$B$2&amp;$B$1)</f>
        <v>0</v>
      </c>
      <c r="S11" s="2">
        <f>COUNTIF(defects!$X:$X,Weekly_TVPlant!S$3&amp;Weekly_TVPlant!$B11&amp;Weekly_TVPlant!$B$3&amp;$B$2&amp;$B$1)</f>
        <v>0</v>
      </c>
      <c r="T11" s="2">
        <f>COUNTIF(defects!$X:$X,Weekly_TVPlant!T$3&amp;Weekly_TVPlant!$B11&amp;Weekly_TVPlant!$B$3&amp;$B$2&amp;$B$1)</f>
        <v>0</v>
      </c>
      <c r="U11" s="2">
        <f>COUNTIF(defects!$X:$X,Weekly_TVPlant!U$3&amp;Weekly_TVPlant!$B11&amp;Weekly_TVPlant!$B$3&amp;$B$2&amp;$B$1)</f>
        <v>0</v>
      </c>
      <c r="V11" s="2">
        <f>COUNTIF(defects!$X:$X,Weekly_TVPlant!V$3&amp;Weekly_TVPlant!$B11&amp;Weekly_TVPlant!$B$3&amp;$B$2&amp;$B$1)</f>
        <v>0</v>
      </c>
      <c r="W11" s="2">
        <f>COUNTIF(defects!$X:$X,Weekly_TVPlant!W$3&amp;Weekly_TVPlant!$B11&amp;Weekly_TVPlant!$B$3&amp;$B$2&amp;$B$1)</f>
        <v>0</v>
      </c>
      <c r="X11" s="2">
        <f>COUNTIF(defects!$X:$X,Weekly_TVPlant!X$3&amp;Weekly_TVPlant!$B11&amp;Weekly_TVPlant!$B$3&amp;$B$2&amp;$B$1)</f>
        <v>0</v>
      </c>
      <c r="Y11" s="2">
        <f>COUNTIF(defects!$X:$X,Weekly_TVPlant!Y$3&amp;Weekly_TVPlant!$B11&amp;Weekly_TVPlant!$B$3&amp;$B$2&amp;$B$1)</f>
        <v>0</v>
      </c>
      <c r="Z11" s="2">
        <f>COUNTIF(defects!$X:$X,Weekly_TVPlant!Z$3&amp;Weekly_TVPlant!$B11&amp;Weekly_TVPlant!$B$3&amp;$B$2&amp;$B$1)</f>
        <v>0</v>
      </c>
      <c r="AA11" s="2">
        <f>COUNTIF(defects!$X:$X,Weekly_TVPlant!AA$3&amp;Weekly_TVPlant!$B11&amp;Weekly_TVPlant!$B$3&amp;$B$2&amp;$B$1)</f>
        <v>0</v>
      </c>
      <c r="AB11" s="2">
        <f>COUNTIF(defects!$X:$X,Weekly_TVPlant!AB$3&amp;Weekly_TVPlant!$B11&amp;Weekly_TVPlant!$B$3&amp;$B$2&amp;$B$1)</f>
        <v>0</v>
      </c>
      <c r="AC11" s="2">
        <f>COUNTIF(defects!$X:$X,Weekly_TVPlant!AC$3&amp;Weekly_TVPlant!$B11&amp;Weekly_TVPlant!$B$3&amp;$B$2&amp;$B$1)</f>
        <v>0</v>
      </c>
      <c r="AD11" s="2">
        <f>COUNTIF(defects!$X:$X,Weekly_TVPlant!AD$3&amp;Weekly_TVPlant!$B11&amp;Weekly_TVPlant!$B$3&amp;$B$2&amp;$B$1)</f>
        <v>0</v>
      </c>
      <c r="AE11" s="2">
        <f>COUNTIF(defects!$X:$X,Weekly_TVPlant!AE$3&amp;Weekly_TVPlant!$B11&amp;Weekly_TVPlant!$B$3&amp;$B$2&amp;$B$1)</f>
        <v>0</v>
      </c>
      <c r="AF11" s="2">
        <f>COUNTIF(defects!$X:$X,Weekly_TVPlant!AF$3&amp;Weekly_TVPlant!$B11&amp;Weekly_TVPlant!$B$3&amp;$B$2&amp;$B$1)</f>
        <v>0</v>
      </c>
      <c r="AG11" s="2">
        <f>COUNTIF(defects!$X:$X,Weekly_TVPlant!AG$3&amp;Weekly_TVPlant!$B11&amp;Weekly_TVPlant!$B$3&amp;$B$2&amp;$B$1)</f>
        <v>0</v>
      </c>
      <c r="AH11" s="2">
        <f>COUNTIF(defects!$X:$X,Weekly_TVPlant!AH$3&amp;Weekly_TVPlant!$B11&amp;Weekly_TVPlant!$B$3&amp;$B$2&amp;$B$1)</f>
        <v>0</v>
      </c>
      <c r="AI11" s="2">
        <f>COUNTIF(defects!$X:$X,Weekly_TVPlant!AI$3&amp;Weekly_TVPlant!$B11&amp;Weekly_TVPlant!$B$3&amp;$B$2&amp;$B$1)</f>
        <v>0</v>
      </c>
      <c r="AJ11" s="2">
        <f>COUNTIF(defects!$X:$X,Weekly_TVPlant!AJ$3&amp;Weekly_TVPlant!$B11&amp;Weekly_TVPlant!$B$3&amp;$B$2&amp;$B$1)</f>
        <v>0</v>
      </c>
      <c r="AK11" s="2">
        <f>COUNTIF(defects!$X:$X,Weekly_TVPlant!AK$3&amp;Weekly_TVPlant!$B11&amp;Weekly_TVPlant!$B$3&amp;$B$2&amp;$B$1)</f>
        <v>0</v>
      </c>
      <c r="AL11" s="2">
        <f>COUNTIF(defects!$X:$X,Weekly_TVPlant!AL$3&amp;Weekly_TVPlant!$B11&amp;Weekly_TVPlant!$B$3&amp;$B$2&amp;$B$1)</f>
        <v>0</v>
      </c>
      <c r="AM11" s="2">
        <f>COUNTIF(defects!$X:$X,Weekly_TVPlant!AM$3&amp;Weekly_TVPlant!$B11&amp;Weekly_TVPlant!$B$3&amp;$B$2&amp;$B$1)</f>
        <v>0</v>
      </c>
      <c r="AN11" s="2">
        <f>COUNTIF(defects!$X:$X,Weekly_TVPlant!AN$3&amp;Weekly_TVPlant!$B11&amp;Weekly_TVPlant!$B$3&amp;$B$2&amp;$B$1)</f>
        <v>0</v>
      </c>
      <c r="AO11" s="2">
        <f>COUNTIF(defects!$X:$X,Weekly_TVPlant!AO$3&amp;Weekly_TVPlant!$B11&amp;Weekly_TVPlant!$B$3&amp;$B$2&amp;$B$1)</f>
        <v>0</v>
      </c>
      <c r="AP11" s="2">
        <f>COUNTIF(defects!$X:$X,Weekly_TVPlant!AP$3&amp;Weekly_TVPlant!$B11&amp;Weekly_TVPlant!$B$3&amp;$B$2&amp;$B$1)</f>
        <v>0</v>
      </c>
      <c r="AQ11" s="2">
        <f>COUNTIF(defects!$X:$X,Weekly_TVPlant!AQ$3&amp;Weekly_TVPlant!$B11&amp;Weekly_TVPlant!$B$3&amp;$B$2&amp;$B$1)</f>
        <v>0</v>
      </c>
      <c r="AR11" s="2">
        <f>COUNTIF(defects!$X:$X,Weekly_TVPlant!AR$3&amp;Weekly_TVPlant!$B11&amp;Weekly_TVPlant!$B$3&amp;$B$2&amp;$B$1)</f>
        <v>0</v>
      </c>
      <c r="AS11" s="2">
        <f>COUNTIF(defects!$X:$X,Weekly_TVPlant!AS$3&amp;Weekly_TVPlant!$B11&amp;Weekly_TVPlant!$B$3&amp;$B$2&amp;$B$1)</f>
        <v>0</v>
      </c>
      <c r="AT11" s="2">
        <f>COUNTIF(defects!$X:$X,Weekly_TVPlant!AT$3&amp;Weekly_TVPlant!$B11&amp;Weekly_TVPlant!$B$3&amp;$B$2&amp;$B$1)</f>
        <v>0</v>
      </c>
      <c r="AU11" s="2">
        <f>COUNTIF(defects!$X:$X,Weekly_TVPlant!AU$3&amp;Weekly_TVPlant!$B11&amp;Weekly_TVPlant!$B$3&amp;$B$2&amp;$B$1)</f>
        <v>0</v>
      </c>
      <c r="AV11" s="2">
        <f>COUNTIF(defects!$X:$X,Weekly_TVPlant!AV$3&amp;Weekly_TVPlant!$B11&amp;Weekly_TVPlant!$B$3&amp;$B$2&amp;$B$1)</f>
        <v>0</v>
      </c>
      <c r="AW11" s="2">
        <f>COUNTIF(defects!$X:$X,Weekly_TVPlant!AW$3&amp;Weekly_TVPlant!$B11&amp;Weekly_TVPlant!$B$3&amp;$B$2&amp;$B$1)</f>
        <v>0</v>
      </c>
      <c r="AX11" s="2">
        <f>COUNTIF(defects!$X:$X,Weekly_TVPlant!AX$3&amp;Weekly_TVPlant!$B11&amp;Weekly_TVPlant!$B$3&amp;$B$2&amp;$B$1)</f>
        <v>0</v>
      </c>
      <c r="AY11" s="2">
        <f>COUNTIF(defects!$X:$X,Weekly_TVPlant!AY$3&amp;Weekly_TVPlant!$B11&amp;Weekly_TVPlant!$B$3&amp;$B$2&amp;$B$1)</f>
        <v>0</v>
      </c>
      <c r="AZ11" s="2">
        <f>COUNTIF(defects!$X:$X,Weekly_TVPlant!AZ$3&amp;Weekly_TVPlant!$B11&amp;Weekly_TVPlant!$B$3&amp;$B$2&amp;$B$1)</f>
        <v>0</v>
      </c>
      <c r="BA11" s="2">
        <f>COUNTIF(defects!$X:$X,Weekly_TVPlant!BA$3&amp;Weekly_TVPlant!$B11&amp;Weekly_TVPlant!$B$3&amp;$B$2&amp;$B$1)</f>
        <v>0</v>
      </c>
      <c r="BB11" s="2">
        <f>COUNTIF(defects!$X:$X,Weekly_TVPlant!BB$3&amp;Weekly_TVPlant!$B11&amp;Weekly_TVPlant!$B$3&amp;$B$2&amp;$B$1)</f>
        <v>0</v>
      </c>
      <c r="BC11" s="2">
        <f>COUNTIF(defects!$X:$X,Weekly_TVPlant!BC$3&amp;Weekly_TVPlant!$B11&amp;Weekly_TVPlant!$B$3&amp;$B$2&amp;$B$1)</f>
        <v>0</v>
      </c>
      <c r="BD11" s="2">
        <f>COUNTIF(defects!$X:$X,Weekly_TVPlant!BD$3&amp;Weekly_TVPlant!$B11&amp;Weekly_TVPlant!$B$3&amp;$B$2&amp;$B$1)</f>
        <v>0</v>
      </c>
      <c r="BE11" s="2">
        <f>COUNTIF(defects!$X:$X,Weekly_TVPlant!BE$3&amp;Weekly_TVPlant!$B11&amp;Weekly_TVPlant!$B$3&amp;$B$2&amp;$B$1)</f>
        <v>0</v>
      </c>
      <c r="BF11" s="2">
        <f>COUNTIF(defects!$X:$X,Weekly_TVPlant!BF$3&amp;Weekly_TVPlant!$B11&amp;Weekly_TVPlant!$B$3&amp;$B$2&amp;$B$1)</f>
        <v>0</v>
      </c>
      <c r="BG11" s="2">
        <f>COUNTIF(defects!$X:$X,Weekly_TVPlant!BG$3&amp;Weekly_TVPlant!$B11&amp;Weekly_TVPlant!$B$3&amp;$B$2&amp;$B$1)</f>
        <v>0</v>
      </c>
      <c r="BH11" s="2">
        <f>COUNTIF(defects!$X:$X,Weekly_TVPlant!BH$3&amp;Weekly_TVPlant!$B11&amp;Weekly_TVPlant!$B$3&amp;$B$2&amp;$B$1)</f>
        <v>0</v>
      </c>
      <c r="BI11" s="2">
        <f>COUNTIF(defects!$X:$X,Weekly_TVPlant!BI$3&amp;Weekly_TVPlant!$B11&amp;Weekly_TVPlant!$B$3&amp;$B$2&amp;$B$1)</f>
        <v>0</v>
      </c>
      <c r="BJ11" s="2">
        <f>COUNTIF(defects!$X:$X,Weekly_TVPlant!BJ$3&amp;Weekly_TVPlant!$B11&amp;Weekly_TVPlant!$B$3&amp;$B$2&amp;$B$1)</f>
        <v>0</v>
      </c>
      <c r="BK11" s="2">
        <f>COUNTIF(defects!$X:$X,Weekly_TVPlant!BK$3&amp;Weekly_TVPlant!$B11&amp;Weekly_TVPlant!$B$3&amp;$B$2&amp;$B$1)</f>
        <v>0</v>
      </c>
      <c r="BL11" s="2">
        <f>COUNTIF(defects!$X:$X,Weekly_TVPlant!BL$3&amp;Weekly_TVPlant!$B11&amp;Weekly_TVPlant!$B$3&amp;$B$2&amp;$B$1)</f>
        <v>0</v>
      </c>
      <c r="BM11" s="2">
        <f>COUNTIF(defects!$X:$X,Weekly_TVPlant!BM$3&amp;Weekly_TVPlant!$B11&amp;Weekly_TVPlant!$B$3&amp;$B$2&amp;$B$1)</f>
        <v>0</v>
      </c>
      <c r="BN11" s="2">
        <f>COUNTIF(defects!$X:$X,Weekly_TVPlant!BN$3&amp;Weekly_TVPlant!$B11&amp;Weekly_TVPlant!$B$3&amp;$B$2&amp;$B$1)</f>
        <v>0</v>
      </c>
      <c r="BO11" s="2">
        <f>COUNTIF(defects!$X:$X,Weekly_TVPlant!BO$3&amp;Weekly_TVPlant!$B11&amp;Weekly_TVPlant!$B$3&amp;$B$2&amp;$B$1)</f>
        <v>0</v>
      </c>
      <c r="BP11" s="2">
        <f>COUNTIF(defects!$X:$X,Weekly_TVPlant!BP$3&amp;Weekly_TVPlant!$B11&amp;Weekly_TVPlant!$B$3&amp;$B$2&amp;$B$1)</f>
        <v>0</v>
      </c>
      <c r="BQ11" s="2">
        <f>COUNTIF(defects!$X:$X,Weekly_TVPlant!BQ$3&amp;Weekly_TVPlant!$B11&amp;Weekly_TVPlant!$B$3&amp;$B$2&amp;$B$1)</f>
        <v>0</v>
      </c>
      <c r="BR11" s="2">
        <f>COUNTIF(defects!$X:$X,Weekly_TVPlant!BR$3&amp;Weekly_TVPlant!$B11&amp;Weekly_TVPlant!$B$3&amp;$B$2&amp;$B$1)</f>
        <v>0</v>
      </c>
      <c r="BS11" s="2">
        <f>COUNTIF(defects!$X:$X,Weekly_TVPlant!BS$3&amp;Weekly_TVPlant!$B11&amp;Weekly_TVPlant!$B$3&amp;$B$2&amp;$B$1)</f>
        <v>0</v>
      </c>
      <c r="BT11" s="2">
        <f>COUNTIF(defects!$X:$X,Weekly_TVPlant!BT$3&amp;Weekly_TVPlant!$B11&amp;Weekly_TVPlant!$B$3&amp;$B$2&amp;$B$1)</f>
        <v>0</v>
      </c>
      <c r="BU11" s="2">
        <f>COUNTIF(defects!$X:$X,Weekly_TVPlant!BU$3&amp;Weekly_TVPlant!$B11&amp;Weekly_TVPlant!$B$3&amp;$B$2&amp;$B$1)</f>
        <v>0</v>
      </c>
      <c r="BV11" s="2">
        <f>COUNTIF(defects!$X:$X,Weekly_TVPlant!BV$3&amp;Weekly_TVPlant!$B11&amp;Weekly_TVPlant!$B$3&amp;$B$2&amp;$B$1)</f>
        <v>0</v>
      </c>
      <c r="BW11" s="2">
        <f>COUNTIF(defects!$X:$X,Weekly_TVPlant!BW$3&amp;Weekly_TVPlant!$B11&amp;Weekly_TVPlant!$B$3&amp;$B$2&amp;$B$1)</f>
        <v>0</v>
      </c>
      <c r="BX11" s="2">
        <f>COUNTIF(defects!$X:$X,Weekly_TVPlant!BX$3&amp;Weekly_TVPlant!$B11&amp;Weekly_TVPlant!$B$3&amp;$B$2&amp;$B$1)</f>
        <v>0</v>
      </c>
      <c r="BY11" s="2">
        <f>COUNTIF(defects!$X:$X,Weekly_TVPlant!BY$3&amp;Weekly_TVPlant!$B11&amp;Weekly_TVPlant!$B$3&amp;$B$2&amp;$B$1)</f>
        <v>0</v>
      </c>
      <c r="BZ11" s="2">
        <f>COUNTIF(defects!$X:$X,Weekly_TVPlant!BZ$3&amp;Weekly_TVPlant!$B11&amp;Weekly_TVPlant!$B$3&amp;$B$2&amp;$B$1)</f>
        <v>0</v>
      </c>
      <c r="CA11" s="2">
        <f>COUNTIF(defects!$X:$X,Weekly_TVPlant!CA$3&amp;Weekly_TVPlant!$B11&amp;Weekly_TVPlant!$B$3&amp;$B$2&amp;$B$1)</f>
        <v>1</v>
      </c>
      <c r="CB11" s="2">
        <f>COUNTIF(defects!$X:$X,Weekly_TVPlant!CB$3&amp;Weekly_TVPlant!$B11&amp;Weekly_TVPlant!$B$3&amp;$B$2&amp;$B$1)</f>
        <v>0</v>
      </c>
      <c r="CC11" s="2">
        <f>COUNTIF(defects!$X:$X,Weekly_TVPlant!CC$3&amp;Weekly_TVPlant!$B11&amp;Weekly_TVPlant!$B$3&amp;$B$2&amp;$B$1)</f>
        <v>0</v>
      </c>
      <c r="CD11" s="2">
        <f>COUNTIF(defects!$X:$X,Weekly_TVPlant!CD$3&amp;Weekly_TVPlant!$B11&amp;Weekly_TVPlant!$B$3&amp;$B$2&amp;$B$1)</f>
        <v>0</v>
      </c>
      <c r="CE11" s="2">
        <f>COUNTIF(defects!$X:$X,Weekly_TVPlant!CE$3&amp;Weekly_TVPlant!$B11&amp;Weekly_TVPlant!$B$3&amp;$B$2&amp;$B$1)</f>
        <v>0</v>
      </c>
      <c r="CF11" s="2">
        <f>COUNTIF(defects!$X:$X,Weekly_TVPlant!CF$3&amp;Weekly_TVPlant!$B11&amp;Weekly_TVPlant!$B$3&amp;$B$2&amp;$B$1)</f>
        <v>0</v>
      </c>
      <c r="CG11" s="2">
        <f>COUNTIF(defects!$X:$X,Weekly_TVPlant!CG$3&amp;Weekly_TVPlant!$B11&amp;Weekly_TVPlant!$B$3&amp;$B$2&amp;$B$1)</f>
        <v>0</v>
      </c>
      <c r="CH11" s="2">
        <f>COUNTIF(defects!$X:$X,Weekly_TVPlant!CH$3&amp;Weekly_TVPlant!$B11&amp;Weekly_TVPlant!$B$3&amp;$B$2&amp;$B$1)</f>
        <v>0</v>
      </c>
      <c r="CI11" s="2">
        <f>COUNTIF(defects!$X:$X,Weekly_TVPlant!CI$3&amp;Weekly_TVPlant!$B11&amp;Weekly_TVPlant!$B$3&amp;$B$2&amp;$B$1)</f>
        <v>0</v>
      </c>
      <c r="CJ11" s="2">
        <f>COUNTIF(defects!$X:$X,Weekly_TVPlant!CJ$3&amp;Weekly_TVPlant!$B11&amp;Weekly_TVPlant!$B$3&amp;$B$2&amp;$B$1)</f>
        <v>1</v>
      </c>
      <c r="CK11" s="2">
        <f>COUNTIF(defects!$X:$X,Weekly_TVPlant!CK$3&amp;Weekly_TVPlant!$B11&amp;Weekly_TVPlant!$B$3&amp;$B$2&amp;$B$1)</f>
        <v>0</v>
      </c>
      <c r="CL11" s="2">
        <f>COUNTIF(defects!$X:$X,Weekly_TVPlant!CL$3&amp;Weekly_TVPlant!$B11&amp;Weekly_TVPlant!$B$3&amp;$B$2&amp;$B$1)</f>
        <v>0</v>
      </c>
      <c r="CM11" s="2">
        <f>COUNTIF(defects!$X:$X,Weekly_TVPlant!CM$3&amp;Weekly_TVPlant!$B11&amp;Weekly_TVPlant!$B$3&amp;$B$2&amp;$B$1)</f>
        <v>0</v>
      </c>
      <c r="CN11" s="2">
        <f>COUNTIF(defects!$X:$X,Weekly_TVPlant!CN$3&amp;Weekly_TVPlant!$B11&amp;Weekly_TVPlant!$B$3&amp;$B$2&amp;$B$1)</f>
        <v>0</v>
      </c>
      <c r="CO11" s="2">
        <f>COUNTIF(defects!$X:$X,Weekly_TVPlant!CO$3&amp;Weekly_TVPlant!$B11&amp;Weekly_TVPlant!$B$3&amp;$B$2&amp;$B$1)</f>
        <v>2</v>
      </c>
      <c r="CP11" s="2">
        <f>COUNTIF(defects!$X:$X,Weekly_TVPlant!CP$3&amp;Weekly_TVPlant!$B11&amp;Weekly_TVPlant!$B$3&amp;$B$2&amp;$B$1)</f>
        <v>0</v>
      </c>
      <c r="CQ11" s="2">
        <f>COUNTIF(defects!$X:$X,Weekly_TVPlant!CQ$3&amp;Weekly_TVPlant!$B11&amp;Weekly_TVPlant!$B$3&amp;$B$2&amp;$B$1)</f>
        <v>0</v>
      </c>
      <c r="CR11" s="2">
        <f>COUNTIF(defects!$X:$X,Weekly_TVPlant!CR$3&amp;Weekly_TVPlant!$B11&amp;Weekly_TVPlant!$B$3&amp;$B$2&amp;$B$1)</f>
        <v>0</v>
      </c>
      <c r="CS11" s="2">
        <f>COUNTIF(defects!$X:$X,Weekly_TVPlant!CS$3&amp;Weekly_TVPlant!$B11&amp;Weekly_TVPlant!$B$3&amp;$B$2&amp;$B$1)</f>
        <v>0</v>
      </c>
      <c r="CT11" s="2">
        <f>COUNTIF(defects!$X:$X,Weekly_TVPlant!CT$3&amp;Weekly_TVPlant!$B11&amp;Weekly_TVPlant!$B$3&amp;$B$2&amp;$B$1)</f>
        <v>0</v>
      </c>
      <c r="CU11" s="2">
        <f>COUNTIF(defects!$X:$X,Weekly_TVPlant!CU$3&amp;Weekly_TVPlant!$B11&amp;Weekly_TVPlant!$B$3&amp;$B$2&amp;$B$1)</f>
        <v>0</v>
      </c>
      <c r="CV11" s="2">
        <f>COUNTIF(defects!$X:$X,Weekly_TVPlant!CV$3&amp;Weekly_TVPlant!$B11&amp;Weekly_TVPlant!$B$3&amp;$B$2&amp;$B$1)</f>
        <v>0</v>
      </c>
      <c r="CW11" s="2">
        <f>COUNTIF(defects!$X:$X,Weekly_TVPlant!CW$3&amp;Weekly_TVPlant!$B11&amp;Weekly_TVPlant!$B$3&amp;$B$2&amp;$B$1)</f>
        <v>0</v>
      </c>
      <c r="CX11" s="2">
        <f>COUNTIF(defects!$X:$X,Weekly_TVPlant!CX$3&amp;Weekly_TVPlant!$B11&amp;Weekly_TVPlant!$B$3&amp;$B$2&amp;$B$1)</f>
        <v>0</v>
      </c>
      <c r="CY11" s="2">
        <f>COUNTIF(defects!$X:$X,Weekly_TVPlant!CY$3&amp;Weekly_TVPlant!$B11&amp;Weekly_TVPlant!$B$3&amp;$B$2&amp;$B$1)</f>
        <v>0</v>
      </c>
      <c r="CZ11" s="2">
        <f>COUNTIF(defects!$X:$X,Weekly_TVPlant!CZ$3&amp;Weekly_TVPlant!$B11&amp;Weekly_TVPlant!$B$3&amp;$B$2&amp;$B$1)</f>
        <v>0</v>
      </c>
      <c r="DA11" s="2">
        <f>COUNTIF(defects!$X:$X,Weekly_TVPlant!DA$3&amp;Weekly_TVPlant!$B11&amp;Weekly_TVPlant!$B$3&amp;$B$2&amp;$B$1)</f>
        <v>0</v>
      </c>
      <c r="DB11" s="2">
        <f>COUNTIF(defects!$X:$X,Weekly_TVPlant!DB$3&amp;Weekly_TVPlant!$B11&amp;Weekly_TVPlant!$B$3&amp;$B$2&amp;$B$1)</f>
        <v>0</v>
      </c>
      <c r="DC11" s="2">
        <f>COUNTIF(defects!$X:$X,Weekly_TVPlant!DC$3&amp;Weekly_TVPlant!$B11&amp;Weekly_TVPlant!$B$3&amp;$B$2&amp;$B$1)</f>
        <v>0</v>
      </c>
      <c r="DD11" s="2">
        <f>COUNTIF(defects!$X:$X,Weekly_TVPlant!DD$3&amp;Weekly_TVPlant!$B11&amp;Weekly_TVPlant!$B$3&amp;$B$2&amp;$B$1)</f>
        <v>0</v>
      </c>
      <c r="DE11" s="2">
        <f>COUNTIF(defects!$X:$X,Weekly_TVPlant!DE$3&amp;Weekly_TVPlant!$B11&amp;Weekly_TVPlant!$B$3&amp;$B$2&amp;$B$1)</f>
        <v>0</v>
      </c>
      <c r="DF11" s="2">
        <f>COUNTIF(defects!$X:$X,Weekly_TVPlant!DF$3&amp;Weekly_TVPlant!$B11&amp;Weekly_TVPlant!$B$3&amp;$B$2&amp;$B$1)</f>
        <v>0</v>
      </c>
      <c r="DG11" s="2">
        <f>COUNTIF(defects!$X:$X,Weekly_TVPlant!DG$3&amp;Weekly_TVPlant!$B11&amp;Weekly_TVPlant!$B$3&amp;$B$2&amp;$B$1)</f>
        <v>0</v>
      </c>
      <c r="DH11" s="2">
        <f>COUNTIF(defects!$X:$X,Weekly_TVPlant!DH$3&amp;Weekly_TVPlant!$B11&amp;Weekly_TVPlant!$B$3&amp;$B$2&amp;$B$1)</f>
        <v>0</v>
      </c>
      <c r="DI11" s="2">
        <f>COUNTIF(defects!$X:$X,Weekly_TVPlant!DI$3&amp;Weekly_TVPlant!$B11&amp;Weekly_TVPlant!$B$3&amp;$B$2&amp;$B$1)</f>
        <v>0</v>
      </c>
      <c r="DJ11" s="2">
        <f>COUNTIF(defects!$X:$X,Weekly_TVPlant!DJ$3&amp;Weekly_TVPlant!$B11&amp;Weekly_TVPlant!$B$3&amp;$B$2&amp;$B$1)</f>
        <v>0</v>
      </c>
      <c r="DK11" s="2">
        <f>COUNTIF(defects!$X:$X,Weekly_TVPlant!DK$3&amp;Weekly_TVPlant!$B11&amp;Weekly_TVPlant!$B$3&amp;$B$2&amp;$B$1)</f>
        <v>0</v>
      </c>
      <c r="DL11" s="2">
        <f>COUNTIF(defects!$X:$X,Weekly_TVPlant!DL$3&amp;Weekly_TVPlant!$B11&amp;Weekly_TVPlant!$B$3&amp;$B$2&amp;$B$1)</f>
        <v>0</v>
      </c>
      <c r="DM11" s="2">
        <f>COUNTIF(defects!$X:$X,Weekly_TVPlant!DM$3&amp;Weekly_TVPlant!$B11&amp;Weekly_TVPlant!$B$3&amp;$B$2&amp;$B$1)</f>
        <v>0</v>
      </c>
      <c r="DN11" s="2">
        <f>COUNTIF(defects!$X:$X,Weekly_TVPlant!DN$3&amp;Weekly_TVPlant!$B11&amp;Weekly_TVPlant!$B$3&amp;$B$2&amp;$B$1)</f>
        <v>0</v>
      </c>
      <c r="DO11" s="2">
        <f>COUNTIF(defects!$X:$X,Weekly_TVPlant!DO$3&amp;Weekly_TVPlant!$B11&amp;Weekly_TVPlant!$B$3&amp;$B$2&amp;$B$1)</f>
        <v>0</v>
      </c>
      <c r="DP11" s="2">
        <f>COUNTIF(defects!$X:$X,Weekly_TVPlant!DP$3&amp;Weekly_TVPlant!$B11&amp;Weekly_TVPlant!$B$3&amp;$B$2&amp;$B$1)</f>
        <v>0</v>
      </c>
      <c r="DQ11" s="2">
        <f>COUNTIF(defects!$X:$X,Weekly_TVPlant!DQ$3&amp;Weekly_TVPlant!$B11&amp;Weekly_TVPlant!$B$3&amp;$B$2&amp;$B$1)</f>
        <v>0</v>
      </c>
      <c r="DR11" s="2">
        <f>COUNTIF(defects!$X:$X,Weekly_TVPlant!DR$3&amp;Weekly_TVPlant!$B11&amp;Weekly_TVPlant!$B$3&amp;$B$2&amp;$B$1)</f>
        <v>0</v>
      </c>
      <c r="DS11" s="2">
        <f>COUNTIF(defects!$X:$X,Weekly_TVPlant!DS$3&amp;Weekly_TVPlant!$B11&amp;Weekly_TVPlant!$B$3&amp;$B$2&amp;$B$1)</f>
        <v>0</v>
      </c>
      <c r="DT11" s="2">
        <f>COUNTIF(defects!$X:$X,Weekly_TVPlant!DT$3&amp;Weekly_TVPlant!$B11&amp;Weekly_TVPlant!$B$3&amp;$B$2&amp;$B$1)</f>
        <v>0</v>
      </c>
      <c r="DU11" s="2">
        <f>COUNTIF(defects!$X:$X,Weekly_TVPlant!DU$3&amp;Weekly_TVPlant!$B11&amp;Weekly_TVPlant!$B$3&amp;$B$2&amp;$B$1)</f>
        <v>0</v>
      </c>
      <c r="DV11" s="2">
        <f>COUNTIF(defects!$X:$X,Weekly_TVPlant!DV$3&amp;Weekly_TVPlant!$B11&amp;Weekly_TVPlant!$B$3&amp;$B$2&amp;$B$1)</f>
        <v>0</v>
      </c>
      <c r="DW11" s="2">
        <f>COUNTIF(defects!$X:$X,Weekly_TVPlant!DW$3&amp;Weekly_TVPlant!$B11&amp;Weekly_TVPlant!$B$3&amp;$B$2&amp;$B$1)</f>
        <v>0</v>
      </c>
      <c r="DX11" s="2">
        <f>COUNTIF(defects!$X:$X,Weekly_TVPlant!DX$3&amp;Weekly_TVPlant!$B11&amp;Weekly_TVPlant!$B$3&amp;$B$2&amp;$B$1)</f>
        <v>0</v>
      </c>
      <c r="DY11" s="2">
        <f>COUNTIF(defects!$X:$X,Weekly_TVPlant!DY$3&amp;Weekly_TVPlant!$B11&amp;Weekly_TVPlant!$B$3&amp;$B$2&amp;$B$1)</f>
        <v>0</v>
      </c>
      <c r="DZ11" s="2">
        <f>COUNTIF(defects!$X:$X,Weekly_TVPlant!DZ$3&amp;Weekly_TVPlant!$B11&amp;Weekly_TVPlant!$B$3&amp;$B$2&amp;$B$1)</f>
        <v>0</v>
      </c>
      <c r="EA11" s="2">
        <f>COUNTIF(defects!$X:$X,Weekly_TVPlant!EA$3&amp;Weekly_TVPlant!$B11&amp;Weekly_TVPlant!$B$3&amp;$B$2&amp;$B$1)</f>
        <v>0</v>
      </c>
      <c r="EB11" s="2">
        <f>COUNTIF(defects!$X:$X,Weekly_TVPlant!EB$3&amp;Weekly_TVPlant!$B11&amp;Weekly_TVPlant!$B$3&amp;$B$2&amp;$B$1)</f>
        <v>0</v>
      </c>
      <c r="EC11" s="2">
        <f>COUNTIF(defects!$X:$X,Weekly_TVPlant!EC$3&amp;Weekly_TVPlant!$B11&amp;Weekly_TVPlant!$B$3&amp;$B$2&amp;$B$1)</f>
        <v>0</v>
      </c>
      <c r="ED11" s="2">
        <f>COUNTIF(defects!$X:$X,Weekly_TVPlant!ED$3&amp;Weekly_TVPlant!$B11&amp;Weekly_TVPlant!$B$3&amp;$B$2&amp;$B$1)</f>
        <v>0</v>
      </c>
      <c r="EE11" s="2">
        <f>COUNTIF(defects!$X:$X,Weekly_TVPlant!EE$3&amp;Weekly_TVPlant!$B11&amp;Weekly_TVPlant!$B$3&amp;$B$2&amp;$B$1)</f>
        <v>0</v>
      </c>
      <c r="EF11" s="2">
        <f>COUNTIF(defects!$X:$X,Weekly_TVPlant!EF$3&amp;Weekly_TVPlant!$B11&amp;Weekly_TVPlant!$B$3&amp;$B$2&amp;$B$1)</f>
        <v>0</v>
      </c>
      <c r="EG11" s="2">
        <f>COUNTIF(defects!$X:$X,Weekly_TVPlant!EG$3&amp;Weekly_TVPlant!$B11&amp;Weekly_TVPlant!$B$3&amp;$B$2&amp;$B$1)</f>
        <v>0</v>
      </c>
      <c r="EH11" s="2">
        <f>COUNTIF(defects!$X:$X,Weekly_TVPlant!EH$3&amp;Weekly_TVPlant!$B11&amp;Weekly_TVPlant!$B$3&amp;$B$2&amp;$B$1)</f>
        <v>0</v>
      </c>
      <c r="EI11" s="2">
        <f>COUNTIF(defects!$X:$X,Weekly_TVPlant!EI$3&amp;Weekly_TVPlant!$B11&amp;Weekly_TVPlant!$B$3&amp;$B$2&amp;$B$1)</f>
        <v>0</v>
      </c>
      <c r="EJ11" s="2">
        <f>COUNTIF(defects!$X:$X,Weekly_TVPlant!EJ$3&amp;Weekly_TVPlant!$B11&amp;Weekly_TVPlant!$B$3&amp;$B$2&amp;$B$1)</f>
        <v>0</v>
      </c>
      <c r="EK11" s="2">
        <f>COUNTIF(defects!$X:$X,Weekly_TVPlant!EK$3&amp;Weekly_TVPlant!$B11&amp;Weekly_TVPlant!$B$3&amp;$B$2&amp;$B$1)</f>
        <v>0</v>
      </c>
      <c r="EL11" s="2">
        <f>COUNTIF(defects!$X:$X,Weekly_TVPlant!EL$3&amp;Weekly_TVPlant!$B11&amp;Weekly_TVPlant!$B$3&amp;$B$2&amp;$B$1)</f>
        <v>0</v>
      </c>
      <c r="EM11" s="2">
        <f>COUNTIF(defects!$X:$X,Weekly_TVPlant!EM$3&amp;Weekly_TVPlant!$B11&amp;Weekly_TVPlant!$B$3&amp;$B$2&amp;$B$1)</f>
        <v>0</v>
      </c>
      <c r="EN11" s="2">
        <f>COUNTIF(defects!$X:$X,Weekly_TVPlant!EN$3&amp;Weekly_TVPlant!$B11&amp;Weekly_TVPlant!$B$3&amp;$B$2&amp;$B$1)</f>
        <v>0</v>
      </c>
      <c r="EO11" s="2">
        <f>COUNTIF(defects!$X:$X,Weekly_TVPlant!EO$3&amp;Weekly_TVPlant!$B11&amp;Weekly_TVPlant!$B$3&amp;$B$2&amp;$B$1)</f>
        <v>0</v>
      </c>
      <c r="EP11" s="2">
        <f>COUNTIF(defects!$X:$X,Weekly_TVPlant!EP$3&amp;Weekly_TVPlant!$B11&amp;Weekly_TVPlant!$B$3&amp;$B$2&amp;$B$1)</f>
        <v>0</v>
      </c>
      <c r="EQ11" s="2">
        <f>COUNTIF(defects!$X:$X,Weekly_TVPlant!EQ$3&amp;Weekly_TVPlant!$B11&amp;Weekly_TVPlant!$B$3&amp;$B$2&amp;$B$1)</f>
        <v>0</v>
      </c>
      <c r="ER11" s="2">
        <f>COUNTIF(defects!$X:$X,Weekly_TVPlant!ER$3&amp;Weekly_TVPlant!$B11&amp;Weekly_TVPlant!$B$3&amp;$B$2&amp;$B$1)</f>
        <v>0</v>
      </c>
      <c r="ES11" s="2">
        <f>COUNTIF(defects!$X:$X,Weekly_TVPlant!ES$3&amp;Weekly_TVPlant!$B11&amp;Weekly_TVPlant!$B$3&amp;$B$2&amp;$B$1)</f>
        <v>0</v>
      </c>
      <c r="ET11" s="2">
        <f>COUNTIF(defects!$X:$X,Weekly_TVPlant!ET$3&amp;Weekly_TVPlant!$B11&amp;Weekly_TVPlant!$B$3&amp;$B$2&amp;$B$1)</f>
        <v>0</v>
      </c>
      <c r="EU11" s="2">
        <f>COUNTIF(defects!$X:$X,Weekly_TVPlant!EU$3&amp;Weekly_TVPlant!$B11&amp;Weekly_TVPlant!$B$3&amp;$B$2&amp;$B$1)</f>
        <v>0</v>
      </c>
      <c r="EV11" s="2">
        <f>COUNTIF(defects!$X:$X,Weekly_TVPlant!EV$3&amp;Weekly_TVPlant!$B11&amp;Weekly_TVPlant!$B$3&amp;$B$2&amp;$B$1)</f>
        <v>0</v>
      </c>
      <c r="EW11" s="2">
        <f>COUNTIF(defects!$X:$X,Weekly_TVPlant!EW$3&amp;Weekly_TVPlant!$B11&amp;Weekly_TVPlant!$B$3&amp;$B$2&amp;$B$1)</f>
        <v>0</v>
      </c>
      <c r="EX11" s="2">
        <f>COUNTIF(defects!$X:$X,Weekly_TVPlant!EX$3&amp;Weekly_TVPlant!$B11&amp;Weekly_TVPlant!$B$3&amp;$B$2&amp;$B$1)</f>
        <v>0</v>
      </c>
      <c r="EY11" s="2">
        <f>COUNTIF(defects!$X:$X,Weekly_TVPlant!EY$3&amp;Weekly_TVPlant!$B11&amp;Weekly_TVPlant!$B$3&amp;$B$2&amp;$B$1)</f>
        <v>0</v>
      </c>
      <c r="EZ11" s="2">
        <f>COUNTIF(defects!$X:$X,Weekly_TVPlant!EZ$3&amp;Weekly_TVPlant!$B11&amp;Weekly_TVPlant!$B$3&amp;$B$2&amp;$B$1)</f>
        <v>0</v>
      </c>
      <c r="FA11" s="2">
        <f>COUNTIF(defects!$X:$X,Weekly_TVPlant!FA$3&amp;Weekly_TVPlant!$B11&amp;Weekly_TVPlant!$B$3&amp;$B$2&amp;$B$1)</f>
        <v>0</v>
      </c>
      <c r="FB11" s="2">
        <f>COUNTIF(defects!$X:$X,Weekly_TVPlant!FB$3&amp;Weekly_TVPlant!$B11&amp;Weekly_TVPlant!$B$3&amp;$B$2&amp;$B$1)</f>
        <v>0</v>
      </c>
      <c r="FC11" s="2">
        <f>COUNTIF(defects!$X:$X,Weekly_TVPlant!FC$3&amp;Weekly_TVPlant!$B11&amp;Weekly_TVPlant!$B$3&amp;$B$2&amp;$B$1)</f>
        <v>0</v>
      </c>
      <c r="FD11" s="2">
        <f>COUNTIF(defects!$X:$X,Weekly_TVPlant!FD$3&amp;Weekly_TVPlant!$B11&amp;Weekly_TVPlant!$B$3&amp;$B$2&amp;$B$1)</f>
        <v>0</v>
      </c>
      <c r="FE11" s="2">
        <f>COUNTIF(defects!$X:$X,Weekly_TVPlant!FE$3&amp;Weekly_TVPlant!$B11&amp;Weekly_TVPlant!$B$3&amp;$B$2&amp;$B$1)</f>
        <v>0</v>
      </c>
    </row>
    <row r="12" spans="2:161">
      <c r="B12" s="2" t="s">
        <v>992</v>
      </c>
      <c r="C12" s="2">
        <f>COUNTIF(defects!$X:$X,Weekly_TVPlant!C$3&amp;Weekly_TVPlant!$B12&amp;Weekly_TVPlant!$B$3&amp;$B$2&amp;$B$1)</f>
        <v>0</v>
      </c>
      <c r="D12" s="2">
        <f>COUNTIF(defects!$X:$X,Weekly_TVPlant!D$3&amp;Weekly_TVPlant!$B12&amp;Weekly_TVPlant!$B$3&amp;$B$2&amp;$B$1)</f>
        <v>0</v>
      </c>
      <c r="E12" s="2">
        <f>COUNTIF(defects!$X:$X,Weekly_TVPlant!E$3&amp;Weekly_TVPlant!$B12&amp;Weekly_TVPlant!$B$3&amp;$B$2&amp;$B$1)</f>
        <v>0</v>
      </c>
      <c r="F12" s="2">
        <f>COUNTIF(defects!$X:$X,Weekly_TVPlant!F$3&amp;Weekly_TVPlant!$B12&amp;Weekly_TVPlant!$B$3&amp;$B$2&amp;$B$1)</f>
        <v>0</v>
      </c>
      <c r="G12" s="2">
        <f>COUNTIF(defects!$X:$X,Weekly_TVPlant!G$3&amp;Weekly_TVPlant!$B12&amp;Weekly_TVPlant!$B$3&amp;$B$2&amp;$B$1)</f>
        <v>0</v>
      </c>
      <c r="H12" s="2">
        <f>COUNTIF(defects!$X:$X,Weekly_TVPlant!H$3&amp;Weekly_TVPlant!$B12&amp;Weekly_TVPlant!$B$3&amp;$B$2&amp;$B$1)</f>
        <v>0</v>
      </c>
      <c r="I12" s="2">
        <f>COUNTIF(defects!$X:$X,Weekly_TVPlant!I$3&amp;Weekly_TVPlant!$B12&amp;Weekly_TVPlant!$B$3&amp;$B$2&amp;$B$1)</f>
        <v>0</v>
      </c>
      <c r="J12" s="2">
        <f>COUNTIF(defects!$X:$X,Weekly_TVPlant!J$3&amp;Weekly_TVPlant!$B12&amp;Weekly_TVPlant!$B$3&amp;$B$2&amp;$B$1)</f>
        <v>0</v>
      </c>
      <c r="K12" s="2">
        <f>COUNTIF(defects!$X:$X,Weekly_TVPlant!K$3&amp;Weekly_TVPlant!$B12&amp;Weekly_TVPlant!$B$3&amp;$B$2&amp;$B$1)</f>
        <v>0</v>
      </c>
      <c r="L12" s="2">
        <f>COUNTIF(defects!$X:$X,Weekly_TVPlant!L$3&amp;Weekly_TVPlant!$B12&amp;Weekly_TVPlant!$B$3&amp;$B$2&amp;$B$1)</f>
        <v>0</v>
      </c>
      <c r="M12" s="2">
        <f>COUNTIF(defects!$X:$X,Weekly_TVPlant!M$3&amp;Weekly_TVPlant!$B12&amp;Weekly_TVPlant!$B$3&amp;$B$2&amp;$B$1)</f>
        <v>0</v>
      </c>
      <c r="N12" s="2">
        <f>COUNTIF(defects!$X:$X,Weekly_TVPlant!N$3&amp;Weekly_TVPlant!$B12&amp;Weekly_TVPlant!$B$3&amp;$B$2&amp;$B$1)</f>
        <v>0</v>
      </c>
      <c r="O12" s="2">
        <f>COUNTIF(defects!$X:$X,Weekly_TVPlant!O$3&amp;Weekly_TVPlant!$B12&amp;Weekly_TVPlant!$B$3&amp;$B$2&amp;$B$1)</f>
        <v>0</v>
      </c>
      <c r="P12" s="2">
        <f>COUNTIF(defects!$X:$X,Weekly_TVPlant!P$3&amp;Weekly_TVPlant!$B12&amp;Weekly_TVPlant!$B$3&amp;$B$2&amp;$B$1)</f>
        <v>0</v>
      </c>
      <c r="Q12" s="2">
        <f>COUNTIF(defects!$X:$X,Weekly_TVPlant!Q$3&amp;Weekly_TVPlant!$B12&amp;Weekly_TVPlant!$B$3&amp;$B$2&amp;$B$1)</f>
        <v>0</v>
      </c>
      <c r="R12" s="2">
        <f>COUNTIF(defects!$X:$X,Weekly_TVPlant!R$3&amp;Weekly_TVPlant!$B12&amp;Weekly_TVPlant!$B$3&amp;$B$2&amp;$B$1)</f>
        <v>0</v>
      </c>
      <c r="S12" s="2">
        <f>COUNTIF(defects!$X:$X,Weekly_TVPlant!S$3&amp;Weekly_TVPlant!$B12&amp;Weekly_TVPlant!$B$3&amp;$B$2&amp;$B$1)</f>
        <v>0</v>
      </c>
      <c r="T12" s="2">
        <f>COUNTIF(defects!$X:$X,Weekly_TVPlant!T$3&amp;Weekly_TVPlant!$B12&amp;Weekly_TVPlant!$B$3&amp;$B$2&amp;$B$1)</f>
        <v>0</v>
      </c>
      <c r="U12" s="2">
        <f>COUNTIF(defects!$X:$X,Weekly_TVPlant!U$3&amp;Weekly_TVPlant!$B12&amp;Weekly_TVPlant!$B$3&amp;$B$2&amp;$B$1)</f>
        <v>0</v>
      </c>
      <c r="V12" s="2">
        <f>COUNTIF(defects!$X:$X,Weekly_TVPlant!V$3&amp;Weekly_TVPlant!$B12&amp;Weekly_TVPlant!$B$3&amp;$B$2&amp;$B$1)</f>
        <v>0</v>
      </c>
      <c r="W12" s="2">
        <f>COUNTIF(defects!$X:$X,Weekly_TVPlant!W$3&amp;Weekly_TVPlant!$B12&amp;Weekly_TVPlant!$B$3&amp;$B$2&amp;$B$1)</f>
        <v>0</v>
      </c>
      <c r="X12" s="2">
        <f>COUNTIF(defects!$X:$X,Weekly_TVPlant!X$3&amp;Weekly_TVPlant!$B12&amp;Weekly_TVPlant!$B$3&amp;$B$2&amp;$B$1)</f>
        <v>0</v>
      </c>
      <c r="Y12" s="2">
        <f>COUNTIF(defects!$X:$X,Weekly_TVPlant!Y$3&amp;Weekly_TVPlant!$B12&amp;Weekly_TVPlant!$B$3&amp;$B$2&amp;$B$1)</f>
        <v>0</v>
      </c>
      <c r="Z12" s="2">
        <f>COUNTIF(defects!$X:$X,Weekly_TVPlant!Z$3&amp;Weekly_TVPlant!$B12&amp;Weekly_TVPlant!$B$3&amp;$B$2&amp;$B$1)</f>
        <v>0</v>
      </c>
      <c r="AA12" s="2">
        <f>COUNTIF(defects!$X:$X,Weekly_TVPlant!AA$3&amp;Weekly_TVPlant!$B12&amp;Weekly_TVPlant!$B$3&amp;$B$2&amp;$B$1)</f>
        <v>0</v>
      </c>
      <c r="AB12" s="2">
        <f>COUNTIF(defects!$X:$X,Weekly_TVPlant!AB$3&amp;Weekly_TVPlant!$B12&amp;Weekly_TVPlant!$B$3&amp;$B$2&amp;$B$1)</f>
        <v>0</v>
      </c>
      <c r="AC12" s="2">
        <f>COUNTIF(defects!$X:$X,Weekly_TVPlant!AC$3&amp;Weekly_TVPlant!$B12&amp;Weekly_TVPlant!$B$3&amp;$B$2&amp;$B$1)</f>
        <v>0</v>
      </c>
      <c r="AD12" s="2">
        <f>COUNTIF(defects!$X:$X,Weekly_TVPlant!AD$3&amp;Weekly_TVPlant!$B12&amp;Weekly_TVPlant!$B$3&amp;$B$2&amp;$B$1)</f>
        <v>0</v>
      </c>
      <c r="AE12" s="2">
        <f>COUNTIF(defects!$X:$X,Weekly_TVPlant!AE$3&amp;Weekly_TVPlant!$B12&amp;Weekly_TVPlant!$B$3&amp;$B$2&amp;$B$1)</f>
        <v>0</v>
      </c>
      <c r="AF12" s="2">
        <f>COUNTIF(defects!$X:$X,Weekly_TVPlant!AF$3&amp;Weekly_TVPlant!$B12&amp;Weekly_TVPlant!$B$3&amp;$B$2&amp;$B$1)</f>
        <v>0</v>
      </c>
      <c r="AG12" s="2">
        <f>COUNTIF(defects!$X:$X,Weekly_TVPlant!AG$3&amp;Weekly_TVPlant!$B12&amp;Weekly_TVPlant!$B$3&amp;$B$2&amp;$B$1)</f>
        <v>0</v>
      </c>
      <c r="AH12" s="2">
        <f>COUNTIF(defects!$X:$X,Weekly_TVPlant!AH$3&amp;Weekly_TVPlant!$B12&amp;Weekly_TVPlant!$B$3&amp;$B$2&amp;$B$1)</f>
        <v>0</v>
      </c>
      <c r="AI12" s="2">
        <f>COUNTIF(defects!$X:$X,Weekly_TVPlant!AI$3&amp;Weekly_TVPlant!$B12&amp;Weekly_TVPlant!$B$3&amp;$B$2&amp;$B$1)</f>
        <v>0</v>
      </c>
      <c r="AJ12" s="2">
        <f>COUNTIF(defects!$X:$X,Weekly_TVPlant!AJ$3&amp;Weekly_TVPlant!$B12&amp;Weekly_TVPlant!$B$3&amp;$B$2&amp;$B$1)</f>
        <v>0</v>
      </c>
      <c r="AK12" s="2">
        <f>COUNTIF(defects!$X:$X,Weekly_TVPlant!AK$3&amp;Weekly_TVPlant!$B12&amp;Weekly_TVPlant!$B$3&amp;$B$2&amp;$B$1)</f>
        <v>0</v>
      </c>
      <c r="AL12" s="2">
        <f>COUNTIF(defects!$X:$X,Weekly_TVPlant!AL$3&amp;Weekly_TVPlant!$B12&amp;Weekly_TVPlant!$B$3&amp;$B$2&amp;$B$1)</f>
        <v>0</v>
      </c>
      <c r="AM12" s="2">
        <f>COUNTIF(defects!$X:$X,Weekly_TVPlant!AM$3&amp;Weekly_TVPlant!$B12&amp;Weekly_TVPlant!$B$3&amp;$B$2&amp;$B$1)</f>
        <v>0</v>
      </c>
      <c r="AN12" s="2">
        <f>COUNTIF(defects!$X:$X,Weekly_TVPlant!AN$3&amp;Weekly_TVPlant!$B12&amp;Weekly_TVPlant!$B$3&amp;$B$2&amp;$B$1)</f>
        <v>0</v>
      </c>
      <c r="AO12" s="2">
        <f>COUNTIF(defects!$X:$X,Weekly_TVPlant!AO$3&amp;Weekly_TVPlant!$B12&amp;Weekly_TVPlant!$B$3&amp;$B$2&amp;$B$1)</f>
        <v>0</v>
      </c>
      <c r="AP12" s="2">
        <f>COUNTIF(defects!$X:$X,Weekly_TVPlant!AP$3&amp;Weekly_TVPlant!$B12&amp;Weekly_TVPlant!$B$3&amp;$B$2&amp;$B$1)</f>
        <v>0</v>
      </c>
      <c r="AQ12" s="2">
        <f>COUNTIF(defects!$X:$X,Weekly_TVPlant!AQ$3&amp;Weekly_TVPlant!$B12&amp;Weekly_TVPlant!$B$3&amp;$B$2&amp;$B$1)</f>
        <v>0</v>
      </c>
      <c r="AR12" s="2">
        <f>COUNTIF(defects!$X:$X,Weekly_TVPlant!AR$3&amp;Weekly_TVPlant!$B12&amp;Weekly_TVPlant!$B$3&amp;$B$2&amp;$B$1)</f>
        <v>0</v>
      </c>
      <c r="AS12" s="2">
        <f>COUNTIF(defects!$X:$X,Weekly_TVPlant!AS$3&amp;Weekly_TVPlant!$B12&amp;Weekly_TVPlant!$B$3&amp;$B$2&amp;$B$1)</f>
        <v>0</v>
      </c>
      <c r="AT12" s="2">
        <f>COUNTIF(defects!$X:$X,Weekly_TVPlant!AT$3&amp;Weekly_TVPlant!$B12&amp;Weekly_TVPlant!$B$3&amp;$B$2&amp;$B$1)</f>
        <v>0</v>
      </c>
      <c r="AU12" s="2">
        <f>COUNTIF(defects!$X:$X,Weekly_TVPlant!AU$3&amp;Weekly_TVPlant!$B12&amp;Weekly_TVPlant!$B$3&amp;$B$2&amp;$B$1)</f>
        <v>0</v>
      </c>
      <c r="AV12" s="2">
        <f>COUNTIF(defects!$X:$X,Weekly_TVPlant!AV$3&amp;Weekly_TVPlant!$B12&amp;Weekly_TVPlant!$B$3&amp;$B$2&amp;$B$1)</f>
        <v>0</v>
      </c>
      <c r="AW12" s="2">
        <f>COUNTIF(defects!$X:$X,Weekly_TVPlant!AW$3&amp;Weekly_TVPlant!$B12&amp;Weekly_TVPlant!$B$3&amp;$B$2&amp;$B$1)</f>
        <v>0</v>
      </c>
      <c r="AX12" s="2">
        <f>COUNTIF(defects!$X:$X,Weekly_TVPlant!AX$3&amp;Weekly_TVPlant!$B12&amp;Weekly_TVPlant!$B$3&amp;$B$2&amp;$B$1)</f>
        <v>0</v>
      </c>
      <c r="AY12" s="2">
        <f>COUNTIF(defects!$X:$X,Weekly_TVPlant!AY$3&amp;Weekly_TVPlant!$B12&amp;Weekly_TVPlant!$B$3&amp;$B$2&amp;$B$1)</f>
        <v>0</v>
      </c>
      <c r="AZ12" s="2">
        <f>COUNTIF(defects!$X:$X,Weekly_TVPlant!AZ$3&amp;Weekly_TVPlant!$B12&amp;Weekly_TVPlant!$B$3&amp;$B$2&amp;$B$1)</f>
        <v>0</v>
      </c>
      <c r="BA12" s="2">
        <f>COUNTIF(defects!$X:$X,Weekly_TVPlant!BA$3&amp;Weekly_TVPlant!$B12&amp;Weekly_TVPlant!$B$3&amp;$B$2&amp;$B$1)</f>
        <v>0</v>
      </c>
      <c r="BB12" s="2">
        <f>COUNTIF(defects!$X:$X,Weekly_TVPlant!BB$3&amp;Weekly_TVPlant!$B12&amp;Weekly_TVPlant!$B$3&amp;$B$2&amp;$B$1)</f>
        <v>0</v>
      </c>
      <c r="BC12" s="2">
        <f>COUNTIF(defects!$X:$X,Weekly_TVPlant!BC$3&amp;Weekly_TVPlant!$B12&amp;Weekly_TVPlant!$B$3&amp;$B$2&amp;$B$1)</f>
        <v>0</v>
      </c>
      <c r="BD12" s="2">
        <f>COUNTIF(defects!$X:$X,Weekly_TVPlant!BD$3&amp;Weekly_TVPlant!$B12&amp;Weekly_TVPlant!$B$3&amp;$B$2&amp;$B$1)</f>
        <v>0</v>
      </c>
      <c r="BE12" s="2">
        <f>COUNTIF(defects!$X:$X,Weekly_TVPlant!BE$3&amp;Weekly_TVPlant!$B12&amp;Weekly_TVPlant!$B$3&amp;$B$2&amp;$B$1)</f>
        <v>0</v>
      </c>
      <c r="BF12" s="2">
        <f>COUNTIF(defects!$X:$X,Weekly_TVPlant!BF$3&amp;Weekly_TVPlant!$B12&amp;Weekly_TVPlant!$B$3&amp;$B$2&amp;$B$1)</f>
        <v>0</v>
      </c>
      <c r="BG12" s="2">
        <f>COUNTIF(defects!$X:$X,Weekly_TVPlant!BG$3&amp;Weekly_TVPlant!$B12&amp;Weekly_TVPlant!$B$3&amp;$B$2&amp;$B$1)</f>
        <v>0</v>
      </c>
      <c r="BH12" s="2">
        <f>COUNTIF(defects!$X:$X,Weekly_TVPlant!BH$3&amp;Weekly_TVPlant!$B12&amp;Weekly_TVPlant!$B$3&amp;$B$2&amp;$B$1)</f>
        <v>0</v>
      </c>
      <c r="BI12" s="2">
        <f>COUNTIF(defects!$X:$X,Weekly_TVPlant!BI$3&amp;Weekly_TVPlant!$B12&amp;Weekly_TVPlant!$B$3&amp;$B$2&amp;$B$1)</f>
        <v>0</v>
      </c>
      <c r="BJ12" s="2">
        <f>COUNTIF(defects!$X:$X,Weekly_TVPlant!BJ$3&amp;Weekly_TVPlant!$B12&amp;Weekly_TVPlant!$B$3&amp;$B$2&amp;$B$1)</f>
        <v>0</v>
      </c>
      <c r="BK12" s="2">
        <f>COUNTIF(defects!$X:$X,Weekly_TVPlant!BK$3&amp;Weekly_TVPlant!$B12&amp;Weekly_TVPlant!$B$3&amp;$B$2&amp;$B$1)</f>
        <v>0</v>
      </c>
      <c r="BL12" s="2">
        <f>COUNTIF(defects!$X:$X,Weekly_TVPlant!BL$3&amp;Weekly_TVPlant!$B12&amp;Weekly_TVPlant!$B$3&amp;$B$2&amp;$B$1)</f>
        <v>0</v>
      </c>
      <c r="BM12" s="2">
        <f>COUNTIF(defects!$X:$X,Weekly_TVPlant!BM$3&amp;Weekly_TVPlant!$B12&amp;Weekly_TVPlant!$B$3&amp;$B$2&amp;$B$1)</f>
        <v>0</v>
      </c>
      <c r="BN12" s="2">
        <f>COUNTIF(defects!$X:$X,Weekly_TVPlant!BN$3&amp;Weekly_TVPlant!$B12&amp;Weekly_TVPlant!$B$3&amp;$B$2&amp;$B$1)</f>
        <v>0</v>
      </c>
      <c r="BO12" s="2">
        <f>COUNTIF(defects!$X:$X,Weekly_TVPlant!BO$3&amp;Weekly_TVPlant!$B12&amp;Weekly_TVPlant!$B$3&amp;$B$2&amp;$B$1)</f>
        <v>0</v>
      </c>
      <c r="BP12" s="2">
        <f>COUNTIF(defects!$X:$X,Weekly_TVPlant!BP$3&amp;Weekly_TVPlant!$B12&amp;Weekly_TVPlant!$B$3&amp;$B$2&amp;$B$1)</f>
        <v>0</v>
      </c>
      <c r="BQ12" s="2">
        <f>COUNTIF(defects!$X:$X,Weekly_TVPlant!BQ$3&amp;Weekly_TVPlant!$B12&amp;Weekly_TVPlant!$B$3&amp;$B$2&amp;$B$1)</f>
        <v>0</v>
      </c>
      <c r="BR12" s="2">
        <f>COUNTIF(defects!$X:$X,Weekly_TVPlant!BR$3&amp;Weekly_TVPlant!$B12&amp;Weekly_TVPlant!$B$3&amp;$B$2&amp;$B$1)</f>
        <v>0</v>
      </c>
      <c r="BS12" s="2">
        <f>COUNTIF(defects!$X:$X,Weekly_TVPlant!BS$3&amp;Weekly_TVPlant!$B12&amp;Weekly_TVPlant!$B$3&amp;$B$2&amp;$B$1)</f>
        <v>0</v>
      </c>
      <c r="BT12" s="2">
        <f>COUNTIF(defects!$X:$X,Weekly_TVPlant!BT$3&amp;Weekly_TVPlant!$B12&amp;Weekly_TVPlant!$B$3&amp;$B$2&amp;$B$1)</f>
        <v>0</v>
      </c>
      <c r="BU12" s="2">
        <f>COUNTIF(defects!$X:$X,Weekly_TVPlant!BU$3&amp;Weekly_TVPlant!$B12&amp;Weekly_TVPlant!$B$3&amp;$B$2&amp;$B$1)</f>
        <v>0</v>
      </c>
      <c r="BV12" s="2">
        <f>COUNTIF(defects!$X:$X,Weekly_TVPlant!BV$3&amp;Weekly_TVPlant!$B12&amp;Weekly_TVPlant!$B$3&amp;$B$2&amp;$B$1)</f>
        <v>0</v>
      </c>
      <c r="BW12" s="2">
        <f>COUNTIF(defects!$X:$X,Weekly_TVPlant!BW$3&amp;Weekly_TVPlant!$B12&amp;Weekly_TVPlant!$B$3&amp;$B$2&amp;$B$1)</f>
        <v>0</v>
      </c>
      <c r="BX12" s="2">
        <f>COUNTIF(defects!$X:$X,Weekly_TVPlant!BX$3&amp;Weekly_TVPlant!$B12&amp;Weekly_TVPlant!$B$3&amp;$B$2&amp;$B$1)</f>
        <v>0</v>
      </c>
      <c r="BY12" s="2">
        <f>COUNTIF(defects!$X:$X,Weekly_TVPlant!BY$3&amp;Weekly_TVPlant!$B12&amp;Weekly_TVPlant!$B$3&amp;$B$2&amp;$B$1)</f>
        <v>0</v>
      </c>
      <c r="BZ12" s="2">
        <f>COUNTIF(defects!$X:$X,Weekly_TVPlant!BZ$3&amp;Weekly_TVPlant!$B12&amp;Weekly_TVPlant!$B$3&amp;$B$2&amp;$B$1)</f>
        <v>0</v>
      </c>
      <c r="CA12" s="2">
        <f>COUNTIF(defects!$X:$X,Weekly_TVPlant!CA$3&amp;Weekly_TVPlant!$B12&amp;Weekly_TVPlant!$B$3&amp;$B$2&amp;$B$1)</f>
        <v>0</v>
      </c>
      <c r="CB12" s="2">
        <f>COUNTIF(defects!$X:$X,Weekly_TVPlant!CB$3&amp;Weekly_TVPlant!$B12&amp;Weekly_TVPlant!$B$3&amp;$B$2&amp;$B$1)</f>
        <v>0</v>
      </c>
      <c r="CC12" s="2">
        <f>COUNTIF(defects!$X:$X,Weekly_TVPlant!CC$3&amp;Weekly_TVPlant!$B12&amp;Weekly_TVPlant!$B$3&amp;$B$2&amp;$B$1)</f>
        <v>0</v>
      </c>
      <c r="CD12" s="2">
        <f>COUNTIF(defects!$X:$X,Weekly_TVPlant!CD$3&amp;Weekly_TVPlant!$B12&amp;Weekly_TVPlant!$B$3&amp;$B$2&amp;$B$1)</f>
        <v>0</v>
      </c>
      <c r="CE12" s="2">
        <f>COUNTIF(defects!$X:$X,Weekly_TVPlant!CE$3&amp;Weekly_TVPlant!$B12&amp;Weekly_TVPlant!$B$3&amp;$B$2&amp;$B$1)</f>
        <v>0</v>
      </c>
      <c r="CF12" s="2">
        <f>COUNTIF(defects!$X:$X,Weekly_TVPlant!CF$3&amp;Weekly_TVPlant!$B12&amp;Weekly_TVPlant!$B$3&amp;$B$2&amp;$B$1)</f>
        <v>0</v>
      </c>
      <c r="CG12" s="2">
        <f>COUNTIF(defects!$X:$X,Weekly_TVPlant!CG$3&amp;Weekly_TVPlant!$B12&amp;Weekly_TVPlant!$B$3&amp;$B$2&amp;$B$1)</f>
        <v>0</v>
      </c>
      <c r="CH12" s="2">
        <f>COUNTIF(defects!$X:$X,Weekly_TVPlant!CH$3&amp;Weekly_TVPlant!$B12&amp;Weekly_TVPlant!$B$3&amp;$B$2&amp;$B$1)</f>
        <v>0</v>
      </c>
      <c r="CI12" s="2">
        <f>COUNTIF(defects!$X:$X,Weekly_TVPlant!CI$3&amp;Weekly_TVPlant!$B12&amp;Weekly_TVPlant!$B$3&amp;$B$2&amp;$B$1)</f>
        <v>0</v>
      </c>
      <c r="CJ12" s="2">
        <f>COUNTIF(defects!$X:$X,Weekly_TVPlant!CJ$3&amp;Weekly_TVPlant!$B12&amp;Weekly_TVPlant!$B$3&amp;$B$2&amp;$B$1)</f>
        <v>0</v>
      </c>
      <c r="CK12" s="2">
        <f>COUNTIF(defects!$X:$X,Weekly_TVPlant!CK$3&amp;Weekly_TVPlant!$B12&amp;Weekly_TVPlant!$B$3&amp;$B$2&amp;$B$1)</f>
        <v>0</v>
      </c>
      <c r="CL12" s="2">
        <f>COUNTIF(defects!$X:$X,Weekly_TVPlant!CL$3&amp;Weekly_TVPlant!$B12&amp;Weekly_TVPlant!$B$3&amp;$B$2&amp;$B$1)</f>
        <v>0</v>
      </c>
      <c r="CM12" s="2">
        <f>COUNTIF(defects!$X:$X,Weekly_TVPlant!CM$3&amp;Weekly_TVPlant!$B12&amp;Weekly_TVPlant!$B$3&amp;$B$2&amp;$B$1)</f>
        <v>0</v>
      </c>
      <c r="CN12" s="2">
        <f>COUNTIF(defects!$X:$X,Weekly_TVPlant!CN$3&amp;Weekly_TVPlant!$B12&amp;Weekly_TVPlant!$B$3&amp;$B$2&amp;$B$1)</f>
        <v>0</v>
      </c>
      <c r="CO12" s="2">
        <f>COUNTIF(defects!$X:$X,Weekly_TVPlant!CO$3&amp;Weekly_TVPlant!$B12&amp;Weekly_TVPlant!$B$3&amp;$B$2&amp;$B$1)</f>
        <v>0</v>
      </c>
      <c r="CP12" s="2">
        <f>COUNTIF(defects!$X:$X,Weekly_TVPlant!CP$3&amp;Weekly_TVPlant!$B12&amp;Weekly_TVPlant!$B$3&amp;$B$2&amp;$B$1)</f>
        <v>0</v>
      </c>
      <c r="CQ12" s="2">
        <f>COUNTIF(defects!$X:$X,Weekly_TVPlant!CQ$3&amp;Weekly_TVPlant!$B12&amp;Weekly_TVPlant!$B$3&amp;$B$2&amp;$B$1)</f>
        <v>0</v>
      </c>
      <c r="CR12" s="2">
        <f>COUNTIF(defects!$X:$X,Weekly_TVPlant!CR$3&amp;Weekly_TVPlant!$B12&amp;Weekly_TVPlant!$B$3&amp;$B$2&amp;$B$1)</f>
        <v>0</v>
      </c>
      <c r="CS12" s="2">
        <f>COUNTIF(defects!$X:$X,Weekly_TVPlant!CS$3&amp;Weekly_TVPlant!$B12&amp;Weekly_TVPlant!$B$3&amp;$B$2&amp;$B$1)</f>
        <v>0</v>
      </c>
      <c r="CT12" s="2">
        <f>COUNTIF(defects!$X:$X,Weekly_TVPlant!CT$3&amp;Weekly_TVPlant!$B12&amp;Weekly_TVPlant!$B$3&amp;$B$2&amp;$B$1)</f>
        <v>0</v>
      </c>
      <c r="CU12" s="2">
        <f>COUNTIF(defects!$X:$X,Weekly_TVPlant!CU$3&amp;Weekly_TVPlant!$B12&amp;Weekly_TVPlant!$B$3&amp;$B$2&amp;$B$1)</f>
        <v>0</v>
      </c>
      <c r="CV12" s="2">
        <f>COUNTIF(defects!$X:$X,Weekly_TVPlant!CV$3&amp;Weekly_TVPlant!$B12&amp;Weekly_TVPlant!$B$3&amp;$B$2&amp;$B$1)</f>
        <v>0</v>
      </c>
      <c r="CW12" s="2">
        <f>COUNTIF(defects!$X:$X,Weekly_TVPlant!CW$3&amp;Weekly_TVPlant!$B12&amp;Weekly_TVPlant!$B$3&amp;$B$2&amp;$B$1)</f>
        <v>0</v>
      </c>
      <c r="CX12" s="2">
        <f>COUNTIF(defects!$X:$X,Weekly_TVPlant!CX$3&amp;Weekly_TVPlant!$B12&amp;Weekly_TVPlant!$B$3&amp;$B$2&amp;$B$1)</f>
        <v>0</v>
      </c>
      <c r="CY12" s="2">
        <f>COUNTIF(defects!$X:$X,Weekly_TVPlant!CY$3&amp;Weekly_TVPlant!$B12&amp;Weekly_TVPlant!$B$3&amp;$B$2&amp;$B$1)</f>
        <v>0</v>
      </c>
      <c r="CZ12" s="2">
        <f>COUNTIF(defects!$X:$X,Weekly_TVPlant!CZ$3&amp;Weekly_TVPlant!$B12&amp;Weekly_TVPlant!$B$3&amp;$B$2&amp;$B$1)</f>
        <v>0</v>
      </c>
      <c r="DA12" s="2">
        <f>COUNTIF(defects!$X:$X,Weekly_TVPlant!DA$3&amp;Weekly_TVPlant!$B12&amp;Weekly_TVPlant!$B$3&amp;$B$2&amp;$B$1)</f>
        <v>0</v>
      </c>
      <c r="DB12" s="2">
        <f>COUNTIF(defects!$X:$X,Weekly_TVPlant!DB$3&amp;Weekly_TVPlant!$B12&amp;Weekly_TVPlant!$B$3&amp;$B$2&amp;$B$1)</f>
        <v>0</v>
      </c>
      <c r="DC12" s="2">
        <f>COUNTIF(defects!$X:$X,Weekly_TVPlant!DC$3&amp;Weekly_TVPlant!$B12&amp;Weekly_TVPlant!$B$3&amp;$B$2&amp;$B$1)</f>
        <v>0</v>
      </c>
      <c r="DD12" s="2">
        <f>COUNTIF(defects!$X:$X,Weekly_TVPlant!DD$3&amp;Weekly_TVPlant!$B12&amp;Weekly_TVPlant!$B$3&amp;$B$2&amp;$B$1)</f>
        <v>0</v>
      </c>
      <c r="DE12" s="2">
        <f>COUNTIF(defects!$X:$X,Weekly_TVPlant!DE$3&amp;Weekly_TVPlant!$B12&amp;Weekly_TVPlant!$B$3&amp;$B$2&amp;$B$1)</f>
        <v>0</v>
      </c>
      <c r="DF12" s="2">
        <f>COUNTIF(defects!$X:$X,Weekly_TVPlant!DF$3&amp;Weekly_TVPlant!$B12&amp;Weekly_TVPlant!$B$3&amp;$B$2&amp;$B$1)</f>
        <v>0</v>
      </c>
      <c r="DG12" s="2">
        <f>COUNTIF(defects!$X:$X,Weekly_TVPlant!DG$3&amp;Weekly_TVPlant!$B12&amp;Weekly_TVPlant!$B$3&amp;$B$2&amp;$B$1)</f>
        <v>0</v>
      </c>
      <c r="DH12" s="2">
        <f>COUNTIF(defects!$X:$X,Weekly_TVPlant!DH$3&amp;Weekly_TVPlant!$B12&amp;Weekly_TVPlant!$B$3&amp;$B$2&amp;$B$1)</f>
        <v>0</v>
      </c>
      <c r="DI12" s="2">
        <f>COUNTIF(defects!$X:$X,Weekly_TVPlant!DI$3&amp;Weekly_TVPlant!$B12&amp;Weekly_TVPlant!$B$3&amp;$B$2&amp;$B$1)</f>
        <v>0</v>
      </c>
      <c r="DJ12" s="2">
        <f>COUNTIF(defects!$X:$X,Weekly_TVPlant!DJ$3&amp;Weekly_TVPlant!$B12&amp;Weekly_TVPlant!$B$3&amp;$B$2&amp;$B$1)</f>
        <v>0</v>
      </c>
      <c r="DK12" s="2">
        <f>COUNTIF(defects!$X:$X,Weekly_TVPlant!DK$3&amp;Weekly_TVPlant!$B12&amp;Weekly_TVPlant!$B$3&amp;$B$2&amp;$B$1)</f>
        <v>0</v>
      </c>
      <c r="DL12" s="2">
        <f>COUNTIF(defects!$X:$X,Weekly_TVPlant!DL$3&amp;Weekly_TVPlant!$B12&amp;Weekly_TVPlant!$B$3&amp;$B$2&amp;$B$1)</f>
        <v>0</v>
      </c>
      <c r="DM12" s="2">
        <f>COUNTIF(defects!$X:$X,Weekly_TVPlant!DM$3&amp;Weekly_TVPlant!$B12&amp;Weekly_TVPlant!$B$3&amp;$B$2&amp;$B$1)</f>
        <v>0</v>
      </c>
      <c r="DN12" s="2">
        <f>COUNTIF(defects!$X:$X,Weekly_TVPlant!DN$3&amp;Weekly_TVPlant!$B12&amp;Weekly_TVPlant!$B$3&amp;$B$2&amp;$B$1)</f>
        <v>0</v>
      </c>
      <c r="DO12" s="2">
        <f>COUNTIF(defects!$X:$X,Weekly_TVPlant!DO$3&amp;Weekly_TVPlant!$B12&amp;Weekly_TVPlant!$B$3&amp;$B$2&amp;$B$1)</f>
        <v>0</v>
      </c>
      <c r="DP12" s="2">
        <f>COUNTIF(defects!$X:$X,Weekly_TVPlant!DP$3&amp;Weekly_TVPlant!$B12&amp;Weekly_TVPlant!$B$3&amp;$B$2&amp;$B$1)</f>
        <v>0</v>
      </c>
      <c r="DQ12" s="2">
        <f>COUNTIF(defects!$X:$X,Weekly_TVPlant!DQ$3&amp;Weekly_TVPlant!$B12&amp;Weekly_TVPlant!$B$3&amp;$B$2&amp;$B$1)</f>
        <v>0</v>
      </c>
      <c r="DR12" s="2">
        <f>COUNTIF(defects!$X:$X,Weekly_TVPlant!DR$3&amp;Weekly_TVPlant!$B12&amp;Weekly_TVPlant!$B$3&amp;$B$2&amp;$B$1)</f>
        <v>0</v>
      </c>
      <c r="DS12" s="2">
        <f>COUNTIF(defects!$X:$X,Weekly_TVPlant!DS$3&amp;Weekly_TVPlant!$B12&amp;Weekly_TVPlant!$B$3&amp;$B$2&amp;$B$1)</f>
        <v>0</v>
      </c>
      <c r="DT12" s="2">
        <f>COUNTIF(defects!$X:$X,Weekly_TVPlant!DT$3&amp;Weekly_TVPlant!$B12&amp;Weekly_TVPlant!$B$3&amp;$B$2&amp;$B$1)</f>
        <v>0</v>
      </c>
      <c r="DU12" s="2">
        <f>COUNTIF(defects!$X:$X,Weekly_TVPlant!DU$3&amp;Weekly_TVPlant!$B12&amp;Weekly_TVPlant!$B$3&amp;$B$2&amp;$B$1)</f>
        <v>0</v>
      </c>
      <c r="DV12" s="2">
        <f>COUNTIF(defects!$X:$X,Weekly_TVPlant!DV$3&amp;Weekly_TVPlant!$B12&amp;Weekly_TVPlant!$B$3&amp;$B$2&amp;$B$1)</f>
        <v>0</v>
      </c>
      <c r="DW12" s="2">
        <f>COUNTIF(defects!$X:$X,Weekly_TVPlant!DW$3&amp;Weekly_TVPlant!$B12&amp;Weekly_TVPlant!$B$3&amp;$B$2&amp;$B$1)</f>
        <v>0</v>
      </c>
      <c r="DX12" s="2">
        <f>COUNTIF(defects!$X:$X,Weekly_TVPlant!DX$3&amp;Weekly_TVPlant!$B12&amp;Weekly_TVPlant!$B$3&amp;$B$2&amp;$B$1)</f>
        <v>0</v>
      </c>
      <c r="DY12" s="2">
        <f>COUNTIF(defects!$X:$X,Weekly_TVPlant!DY$3&amp;Weekly_TVPlant!$B12&amp;Weekly_TVPlant!$B$3&amp;$B$2&amp;$B$1)</f>
        <v>0</v>
      </c>
      <c r="DZ12" s="2">
        <f>COUNTIF(defects!$X:$X,Weekly_TVPlant!DZ$3&amp;Weekly_TVPlant!$B12&amp;Weekly_TVPlant!$B$3&amp;$B$2&amp;$B$1)</f>
        <v>0</v>
      </c>
      <c r="EA12" s="2">
        <f>COUNTIF(defects!$X:$X,Weekly_TVPlant!EA$3&amp;Weekly_TVPlant!$B12&amp;Weekly_TVPlant!$B$3&amp;$B$2&amp;$B$1)</f>
        <v>0</v>
      </c>
      <c r="EB12" s="2">
        <f>COUNTIF(defects!$X:$X,Weekly_TVPlant!EB$3&amp;Weekly_TVPlant!$B12&amp;Weekly_TVPlant!$B$3&amp;$B$2&amp;$B$1)</f>
        <v>0</v>
      </c>
      <c r="EC12" s="2">
        <f>COUNTIF(defects!$X:$X,Weekly_TVPlant!EC$3&amp;Weekly_TVPlant!$B12&amp;Weekly_TVPlant!$B$3&amp;$B$2&amp;$B$1)</f>
        <v>0</v>
      </c>
      <c r="ED12" s="2">
        <f>COUNTIF(defects!$X:$X,Weekly_TVPlant!ED$3&amp;Weekly_TVPlant!$B12&amp;Weekly_TVPlant!$B$3&amp;$B$2&amp;$B$1)</f>
        <v>0</v>
      </c>
      <c r="EE12" s="2">
        <f>COUNTIF(defects!$X:$X,Weekly_TVPlant!EE$3&amp;Weekly_TVPlant!$B12&amp;Weekly_TVPlant!$B$3&amp;$B$2&amp;$B$1)</f>
        <v>0</v>
      </c>
      <c r="EF12" s="2">
        <f>COUNTIF(defects!$X:$X,Weekly_TVPlant!EF$3&amp;Weekly_TVPlant!$B12&amp;Weekly_TVPlant!$B$3&amp;$B$2&amp;$B$1)</f>
        <v>0</v>
      </c>
      <c r="EG12" s="2">
        <f>COUNTIF(defects!$X:$X,Weekly_TVPlant!EG$3&amp;Weekly_TVPlant!$B12&amp;Weekly_TVPlant!$B$3&amp;$B$2&amp;$B$1)</f>
        <v>0</v>
      </c>
      <c r="EH12" s="2">
        <f>COUNTIF(defects!$X:$X,Weekly_TVPlant!EH$3&amp;Weekly_TVPlant!$B12&amp;Weekly_TVPlant!$B$3&amp;$B$2&amp;$B$1)</f>
        <v>0</v>
      </c>
      <c r="EI12" s="2">
        <f>COUNTIF(defects!$X:$X,Weekly_TVPlant!EI$3&amp;Weekly_TVPlant!$B12&amp;Weekly_TVPlant!$B$3&amp;$B$2&amp;$B$1)</f>
        <v>0</v>
      </c>
      <c r="EJ12" s="2">
        <f>COUNTIF(defects!$X:$X,Weekly_TVPlant!EJ$3&amp;Weekly_TVPlant!$B12&amp;Weekly_TVPlant!$B$3&amp;$B$2&amp;$B$1)</f>
        <v>0</v>
      </c>
      <c r="EK12" s="2">
        <f>COUNTIF(defects!$X:$X,Weekly_TVPlant!EK$3&amp;Weekly_TVPlant!$B12&amp;Weekly_TVPlant!$B$3&amp;$B$2&amp;$B$1)</f>
        <v>0</v>
      </c>
      <c r="EL12" s="2">
        <f>COUNTIF(defects!$X:$X,Weekly_TVPlant!EL$3&amp;Weekly_TVPlant!$B12&amp;Weekly_TVPlant!$B$3&amp;$B$2&amp;$B$1)</f>
        <v>0</v>
      </c>
      <c r="EM12" s="2">
        <f>COUNTIF(defects!$X:$X,Weekly_TVPlant!EM$3&amp;Weekly_TVPlant!$B12&amp;Weekly_TVPlant!$B$3&amp;$B$2&amp;$B$1)</f>
        <v>0</v>
      </c>
      <c r="EN12" s="2">
        <f>COUNTIF(defects!$X:$X,Weekly_TVPlant!EN$3&amp;Weekly_TVPlant!$B12&amp;Weekly_TVPlant!$B$3&amp;$B$2&amp;$B$1)</f>
        <v>0</v>
      </c>
      <c r="EO12" s="2">
        <f>COUNTIF(defects!$X:$X,Weekly_TVPlant!EO$3&amp;Weekly_TVPlant!$B12&amp;Weekly_TVPlant!$B$3&amp;$B$2&amp;$B$1)</f>
        <v>0</v>
      </c>
      <c r="EP12" s="2">
        <f>COUNTIF(defects!$X:$X,Weekly_TVPlant!EP$3&amp;Weekly_TVPlant!$B12&amp;Weekly_TVPlant!$B$3&amp;$B$2&amp;$B$1)</f>
        <v>0</v>
      </c>
      <c r="EQ12" s="2">
        <f>COUNTIF(defects!$X:$X,Weekly_TVPlant!EQ$3&amp;Weekly_TVPlant!$B12&amp;Weekly_TVPlant!$B$3&amp;$B$2&amp;$B$1)</f>
        <v>0</v>
      </c>
      <c r="ER12" s="2">
        <f>COUNTIF(defects!$X:$X,Weekly_TVPlant!ER$3&amp;Weekly_TVPlant!$B12&amp;Weekly_TVPlant!$B$3&amp;$B$2&amp;$B$1)</f>
        <v>0</v>
      </c>
      <c r="ES12" s="2">
        <f>COUNTIF(defects!$X:$X,Weekly_TVPlant!ES$3&amp;Weekly_TVPlant!$B12&amp;Weekly_TVPlant!$B$3&amp;$B$2&amp;$B$1)</f>
        <v>0</v>
      </c>
      <c r="ET12" s="2">
        <f>COUNTIF(defects!$X:$X,Weekly_TVPlant!ET$3&amp;Weekly_TVPlant!$B12&amp;Weekly_TVPlant!$B$3&amp;$B$2&amp;$B$1)</f>
        <v>0</v>
      </c>
      <c r="EU12" s="2">
        <f>COUNTIF(defects!$X:$X,Weekly_TVPlant!EU$3&amp;Weekly_TVPlant!$B12&amp;Weekly_TVPlant!$B$3&amp;$B$2&amp;$B$1)</f>
        <v>0</v>
      </c>
      <c r="EV12" s="2">
        <f>COUNTIF(defects!$X:$X,Weekly_TVPlant!EV$3&amp;Weekly_TVPlant!$B12&amp;Weekly_TVPlant!$B$3&amp;$B$2&amp;$B$1)</f>
        <v>0</v>
      </c>
      <c r="EW12" s="2">
        <f>COUNTIF(defects!$X:$X,Weekly_TVPlant!EW$3&amp;Weekly_TVPlant!$B12&amp;Weekly_TVPlant!$B$3&amp;$B$2&amp;$B$1)</f>
        <v>0</v>
      </c>
      <c r="EX12" s="2">
        <f>COUNTIF(defects!$X:$X,Weekly_TVPlant!EX$3&amp;Weekly_TVPlant!$B12&amp;Weekly_TVPlant!$B$3&amp;$B$2&amp;$B$1)</f>
        <v>0</v>
      </c>
      <c r="EY12" s="2">
        <f>COUNTIF(defects!$X:$X,Weekly_TVPlant!EY$3&amp;Weekly_TVPlant!$B12&amp;Weekly_TVPlant!$B$3&amp;$B$2&amp;$B$1)</f>
        <v>0</v>
      </c>
      <c r="EZ12" s="2">
        <f>COUNTIF(defects!$X:$X,Weekly_TVPlant!EZ$3&amp;Weekly_TVPlant!$B12&amp;Weekly_TVPlant!$B$3&amp;$B$2&amp;$B$1)</f>
        <v>0</v>
      </c>
      <c r="FA12" s="2">
        <f>COUNTIF(defects!$X:$X,Weekly_TVPlant!FA$3&amp;Weekly_TVPlant!$B12&amp;Weekly_TVPlant!$B$3&amp;$B$2&amp;$B$1)</f>
        <v>0</v>
      </c>
      <c r="FB12" s="2">
        <f>COUNTIF(defects!$X:$X,Weekly_TVPlant!FB$3&amp;Weekly_TVPlant!$B12&amp;Weekly_TVPlant!$B$3&amp;$B$2&amp;$B$1)</f>
        <v>0</v>
      </c>
      <c r="FC12" s="2">
        <f>COUNTIF(defects!$X:$X,Weekly_TVPlant!FC$3&amp;Weekly_TVPlant!$B12&amp;Weekly_TVPlant!$B$3&amp;$B$2&amp;$B$1)</f>
        <v>0</v>
      </c>
      <c r="FD12" s="2">
        <f>COUNTIF(defects!$X:$X,Weekly_TVPlant!FD$3&amp;Weekly_TVPlant!$B12&amp;Weekly_TVPlant!$B$3&amp;$B$2&amp;$B$1)</f>
        <v>0</v>
      </c>
      <c r="FE12" s="2">
        <f>COUNTIF(defects!$X:$X,Weekly_TVPlant!FE$3&amp;Weekly_TVPlant!$B12&amp;Weekly_TVPlant!$B$3&amp;$B$2&amp;$B$1)</f>
        <v>0</v>
      </c>
    </row>
    <row r="13" spans="2:161">
      <c r="B13" s="2" t="s">
        <v>950</v>
      </c>
      <c r="C13" s="2">
        <f>COUNTIF(defects!$X:$X,Weekly_TVPlant!C$3&amp;Weekly_TVPlant!$B13&amp;Weekly_TVPlant!$B$3&amp;$B$2&amp;$B$1)</f>
        <v>0</v>
      </c>
      <c r="D13" s="2">
        <f>COUNTIF(defects!$X:$X,Weekly_TVPlant!D$3&amp;Weekly_TVPlant!$B13&amp;Weekly_TVPlant!$B$3&amp;$B$2&amp;$B$1)</f>
        <v>0</v>
      </c>
      <c r="E13" s="2">
        <f>COUNTIF(defects!$X:$X,Weekly_TVPlant!E$3&amp;Weekly_TVPlant!$B13&amp;Weekly_TVPlant!$B$3&amp;$B$2&amp;$B$1)</f>
        <v>0</v>
      </c>
      <c r="F13" s="2">
        <f>COUNTIF(defects!$X:$X,Weekly_TVPlant!F$3&amp;Weekly_TVPlant!$B13&amp;Weekly_TVPlant!$B$3&amp;$B$2&amp;$B$1)</f>
        <v>0</v>
      </c>
      <c r="G13" s="2">
        <f>COUNTIF(defects!$X:$X,Weekly_TVPlant!G$3&amp;Weekly_TVPlant!$B13&amp;Weekly_TVPlant!$B$3&amp;$B$2&amp;$B$1)</f>
        <v>0</v>
      </c>
      <c r="H13" s="2">
        <f>COUNTIF(defects!$X:$X,Weekly_TVPlant!H$3&amp;Weekly_TVPlant!$B13&amp;Weekly_TVPlant!$B$3&amp;$B$2&amp;$B$1)</f>
        <v>0</v>
      </c>
      <c r="I13" s="2">
        <f>COUNTIF(defects!$X:$X,Weekly_TVPlant!I$3&amp;Weekly_TVPlant!$B13&amp;Weekly_TVPlant!$B$3&amp;$B$2&amp;$B$1)</f>
        <v>0</v>
      </c>
      <c r="J13" s="2">
        <f>COUNTIF(defects!$X:$X,Weekly_TVPlant!J$3&amp;Weekly_TVPlant!$B13&amp;Weekly_TVPlant!$B$3&amp;$B$2&amp;$B$1)</f>
        <v>0</v>
      </c>
      <c r="K13" s="2">
        <f>COUNTIF(defects!$X:$X,Weekly_TVPlant!K$3&amp;Weekly_TVPlant!$B13&amp;Weekly_TVPlant!$B$3&amp;$B$2&amp;$B$1)</f>
        <v>0</v>
      </c>
      <c r="L13" s="2">
        <f>COUNTIF(defects!$X:$X,Weekly_TVPlant!L$3&amp;Weekly_TVPlant!$B13&amp;Weekly_TVPlant!$B$3&amp;$B$2&amp;$B$1)</f>
        <v>0</v>
      </c>
      <c r="M13" s="2">
        <f>COUNTIF(defects!$X:$X,Weekly_TVPlant!M$3&amp;Weekly_TVPlant!$B13&amp;Weekly_TVPlant!$B$3&amp;$B$2&amp;$B$1)</f>
        <v>0</v>
      </c>
      <c r="N13" s="2">
        <f>COUNTIF(defects!$X:$X,Weekly_TVPlant!N$3&amp;Weekly_TVPlant!$B13&amp;Weekly_TVPlant!$B$3&amp;$B$2&amp;$B$1)</f>
        <v>0</v>
      </c>
      <c r="O13" s="2">
        <f>COUNTIF(defects!$X:$X,Weekly_TVPlant!O$3&amp;Weekly_TVPlant!$B13&amp;Weekly_TVPlant!$B$3&amp;$B$2&amp;$B$1)</f>
        <v>0</v>
      </c>
      <c r="P13" s="2">
        <f>COUNTIF(defects!$X:$X,Weekly_TVPlant!P$3&amp;Weekly_TVPlant!$B13&amp;Weekly_TVPlant!$B$3&amp;$B$2&amp;$B$1)</f>
        <v>0</v>
      </c>
      <c r="Q13" s="2">
        <f>COUNTIF(defects!$X:$X,Weekly_TVPlant!Q$3&amp;Weekly_TVPlant!$B13&amp;Weekly_TVPlant!$B$3&amp;$B$2&amp;$B$1)</f>
        <v>0</v>
      </c>
      <c r="R13" s="2">
        <f>COUNTIF(defects!$X:$X,Weekly_TVPlant!R$3&amp;Weekly_TVPlant!$B13&amp;Weekly_TVPlant!$B$3&amp;$B$2&amp;$B$1)</f>
        <v>0</v>
      </c>
      <c r="S13" s="2">
        <f>COUNTIF(defects!$X:$X,Weekly_TVPlant!S$3&amp;Weekly_TVPlant!$B13&amp;Weekly_TVPlant!$B$3&amp;$B$2&amp;$B$1)</f>
        <v>0</v>
      </c>
      <c r="T13" s="2">
        <f>COUNTIF(defects!$X:$X,Weekly_TVPlant!T$3&amp;Weekly_TVPlant!$B13&amp;Weekly_TVPlant!$B$3&amp;$B$2&amp;$B$1)</f>
        <v>0</v>
      </c>
      <c r="U13" s="2">
        <f>COUNTIF(defects!$X:$X,Weekly_TVPlant!U$3&amp;Weekly_TVPlant!$B13&amp;Weekly_TVPlant!$B$3&amp;$B$2&amp;$B$1)</f>
        <v>0</v>
      </c>
      <c r="V13" s="2">
        <f>COUNTIF(defects!$X:$X,Weekly_TVPlant!V$3&amp;Weekly_TVPlant!$B13&amp;Weekly_TVPlant!$B$3&amp;$B$2&amp;$B$1)</f>
        <v>0</v>
      </c>
      <c r="W13" s="2">
        <f>COUNTIF(defects!$X:$X,Weekly_TVPlant!W$3&amp;Weekly_TVPlant!$B13&amp;Weekly_TVPlant!$B$3&amp;$B$2&amp;$B$1)</f>
        <v>0</v>
      </c>
      <c r="X13" s="2">
        <f>COUNTIF(defects!$X:$X,Weekly_TVPlant!X$3&amp;Weekly_TVPlant!$B13&amp;Weekly_TVPlant!$B$3&amp;$B$2&amp;$B$1)</f>
        <v>0</v>
      </c>
      <c r="Y13" s="2">
        <f>COUNTIF(defects!$X:$X,Weekly_TVPlant!Y$3&amp;Weekly_TVPlant!$B13&amp;Weekly_TVPlant!$B$3&amp;$B$2&amp;$B$1)</f>
        <v>0</v>
      </c>
      <c r="Z13" s="2">
        <f>COUNTIF(defects!$X:$X,Weekly_TVPlant!Z$3&amp;Weekly_TVPlant!$B13&amp;Weekly_TVPlant!$B$3&amp;$B$2&amp;$B$1)</f>
        <v>0</v>
      </c>
      <c r="AA13" s="2">
        <f>COUNTIF(defects!$X:$X,Weekly_TVPlant!AA$3&amp;Weekly_TVPlant!$B13&amp;Weekly_TVPlant!$B$3&amp;$B$2&amp;$B$1)</f>
        <v>0</v>
      </c>
      <c r="AB13" s="2">
        <f>COUNTIF(defects!$X:$X,Weekly_TVPlant!AB$3&amp;Weekly_TVPlant!$B13&amp;Weekly_TVPlant!$B$3&amp;$B$2&amp;$B$1)</f>
        <v>0</v>
      </c>
      <c r="AC13" s="2">
        <f>COUNTIF(defects!$X:$X,Weekly_TVPlant!AC$3&amp;Weekly_TVPlant!$B13&amp;Weekly_TVPlant!$B$3&amp;$B$2&amp;$B$1)</f>
        <v>0</v>
      </c>
      <c r="AD13" s="2">
        <f>COUNTIF(defects!$X:$X,Weekly_TVPlant!AD$3&amp;Weekly_TVPlant!$B13&amp;Weekly_TVPlant!$B$3&amp;$B$2&amp;$B$1)</f>
        <v>0</v>
      </c>
      <c r="AE13" s="2">
        <f>COUNTIF(defects!$X:$X,Weekly_TVPlant!AE$3&amp;Weekly_TVPlant!$B13&amp;Weekly_TVPlant!$B$3&amp;$B$2&amp;$B$1)</f>
        <v>0</v>
      </c>
      <c r="AF13" s="2">
        <f>COUNTIF(defects!$X:$X,Weekly_TVPlant!AF$3&amp;Weekly_TVPlant!$B13&amp;Weekly_TVPlant!$B$3&amp;$B$2&amp;$B$1)</f>
        <v>0</v>
      </c>
      <c r="AG13" s="2">
        <f>COUNTIF(defects!$X:$X,Weekly_TVPlant!AG$3&amp;Weekly_TVPlant!$B13&amp;Weekly_TVPlant!$B$3&amp;$B$2&amp;$B$1)</f>
        <v>0</v>
      </c>
      <c r="AH13" s="2">
        <f>COUNTIF(defects!$X:$X,Weekly_TVPlant!AH$3&amp;Weekly_TVPlant!$B13&amp;Weekly_TVPlant!$B$3&amp;$B$2&amp;$B$1)</f>
        <v>0</v>
      </c>
      <c r="AI13" s="2">
        <f>COUNTIF(defects!$X:$X,Weekly_TVPlant!AI$3&amp;Weekly_TVPlant!$B13&amp;Weekly_TVPlant!$B$3&amp;$B$2&amp;$B$1)</f>
        <v>0</v>
      </c>
      <c r="AJ13" s="2">
        <f>COUNTIF(defects!$X:$X,Weekly_TVPlant!AJ$3&amp;Weekly_TVPlant!$B13&amp;Weekly_TVPlant!$B$3&amp;$B$2&amp;$B$1)</f>
        <v>0</v>
      </c>
      <c r="AK13" s="2">
        <f>COUNTIF(defects!$X:$X,Weekly_TVPlant!AK$3&amp;Weekly_TVPlant!$B13&amp;Weekly_TVPlant!$B$3&amp;$B$2&amp;$B$1)</f>
        <v>0</v>
      </c>
      <c r="AL13" s="2">
        <f>COUNTIF(defects!$X:$X,Weekly_TVPlant!AL$3&amp;Weekly_TVPlant!$B13&amp;Weekly_TVPlant!$B$3&amp;$B$2&amp;$B$1)</f>
        <v>0</v>
      </c>
      <c r="AM13" s="2">
        <f>COUNTIF(defects!$X:$X,Weekly_TVPlant!AM$3&amp;Weekly_TVPlant!$B13&amp;Weekly_TVPlant!$B$3&amp;$B$2&amp;$B$1)</f>
        <v>0</v>
      </c>
      <c r="AN13" s="2">
        <f>COUNTIF(defects!$X:$X,Weekly_TVPlant!AN$3&amp;Weekly_TVPlant!$B13&amp;Weekly_TVPlant!$B$3&amp;$B$2&amp;$B$1)</f>
        <v>0</v>
      </c>
      <c r="AO13" s="2">
        <f>COUNTIF(defects!$X:$X,Weekly_TVPlant!AO$3&amp;Weekly_TVPlant!$B13&amp;Weekly_TVPlant!$B$3&amp;$B$2&amp;$B$1)</f>
        <v>0</v>
      </c>
      <c r="AP13" s="2">
        <f>COUNTIF(defects!$X:$X,Weekly_TVPlant!AP$3&amp;Weekly_TVPlant!$B13&amp;Weekly_TVPlant!$B$3&amp;$B$2&amp;$B$1)</f>
        <v>0</v>
      </c>
      <c r="AQ13" s="2">
        <f>COUNTIF(defects!$X:$X,Weekly_TVPlant!AQ$3&amp;Weekly_TVPlant!$B13&amp;Weekly_TVPlant!$B$3&amp;$B$2&amp;$B$1)</f>
        <v>0</v>
      </c>
      <c r="AR13" s="2">
        <f>COUNTIF(defects!$X:$X,Weekly_TVPlant!AR$3&amp;Weekly_TVPlant!$B13&amp;Weekly_TVPlant!$B$3&amp;$B$2&amp;$B$1)</f>
        <v>0</v>
      </c>
      <c r="AS13" s="2">
        <f>COUNTIF(defects!$X:$X,Weekly_TVPlant!AS$3&amp;Weekly_TVPlant!$B13&amp;Weekly_TVPlant!$B$3&amp;$B$2&amp;$B$1)</f>
        <v>0</v>
      </c>
      <c r="AT13" s="2">
        <f>COUNTIF(defects!$X:$X,Weekly_TVPlant!AT$3&amp;Weekly_TVPlant!$B13&amp;Weekly_TVPlant!$B$3&amp;$B$2&amp;$B$1)</f>
        <v>0</v>
      </c>
      <c r="AU13" s="2">
        <f>COUNTIF(defects!$X:$X,Weekly_TVPlant!AU$3&amp;Weekly_TVPlant!$B13&amp;Weekly_TVPlant!$B$3&amp;$B$2&amp;$B$1)</f>
        <v>0</v>
      </c>
      <c r="AV13" s="2">
        <f>COUNTIF(defects!$X:$X,Weekly_TVPlant!AV$3&amp;Weekly_TVPlant!$B13&amp;Weekly_TVPlant!$B$3&amp;$B$2&amp;$B$1)</f>
        <v>0</v>
      </c>
      <c r="AW13" s="2">
        <f>COUNTIF(defects!$X:$X,Weekly_TVPlant!AW$3&amp;Weekly_TVPlant!$B13&amp;Weekly_TVPlant!$B$3&amp;$B$2&amp;$B$1)</f>
        <v>0</v>
      </c>
      <c r="AX13" s="2">
        <f>COUNTIF(defects!$X:$X,Weekly_TVPlant!AX$3&amp;Weekly_TVPlant!$B13&amp;Weekly_TVPlant!$B$3&amp;$B$2&amp;$B$1)</f>
        <v>0</v>
      </c>
      <c r="AY13" s="2">
        <f>COUNTIF(defects!$X:$X,Weekly_TVPlant!AY$3&amp;Weekly_TVPlant!$B13&amp;Weekly_TVPlant!$B$3&amp;$B$2&amp;$B$1)</f>
        <v>0</v>
      </c>
      <c r="AZ13" s="2">
        <f>COUNTIF(defects!$X:$X,Weekly_TVPlant!AZ$3&amp;Weekly_TVPlant!$B13&amp;Weekly_TVPlant!$B$3&amp;$B$2&amp;$B$1)</f>
        <v>0</v>
      </c>
      <c r="BA13" s="2">
        <f>COUNTIF(defects!$X:$X,Weekly_TVPlant!BA$3&amp;Weekly_TVPlant!$B13&amp;Weekly_TVPlant!$B$3&amp;$B$2&amp;$B$1)</f>
        <v>0</v>
      </c>
      <c r="BB13" s="2">
        <f>COUNTIF(defects!$X:$X,Weekly_TVPlant!BB$3&amp;Weekly_TVPlant!$B13&amp;Weekly_TVPlant!$B$3&amp;$B$2&amp;$B$1)</f>
        <v>0</v>
      </c>
      <c r="BC13" s="2">
        <f>COUNTIF(defects!$X:$X,Weekly_TVPlant!BC$3&amp;Weekly_TVPlant!$B13&amp;Weekly_TVPlant!$B$3&amp;$B$2&amp;$B$1)</f>
        <v>0</v>
      </c>
      <c r="BD13" s="2">
        <f>COUNTIF(defects!$X:$X,Weekly_TVPlant!BD$3&amp;Weekly_TVPlant!$B13&amp;Weekly_TVPlant!$B$3&amp;$B$2&amp;$B$1)</f>
        <v>0</v>
      </c>
      <c r="BE13" s="2">
        <f>COUNTIF(defects!$X:$X,Weekly_TVPlant!BE$3&amp;Weekly_TVPlant!$B13&amp;Weekly_TVPlant!$B$3&amp;$B$2&amp;$B$1)</f>
        <v>0</v>
      </c>
      <c r="BF13" s="2">
        <f>COUNTIF(defects!$X:$X,Weekly_TVPlant!BF$3&amp;Weekly_TVPlant!$B13&amp;Weekly_TVPlant!$B$3&amp;$B$2&amp;$B$1)</f>
        <v>0</v>
      </c>
      <c r="BG13" s="2">
        <f>COUNTIF(defects!$X:$X,Weekly_TVPlant!BG$3&amp;Weekly_TVPlant!$B13&amp;Weekly_TVPlant!$B$3&amp;$B$2&amp;$B$1)</f>
        <v>0</v>
      </c>
      <c r="BH13" s="2">
        <f>COUNTIF(defects!$X:$X,Weekly_TVPlant!BH$3&amp;Weekly_TVPlant!$B13&amp;Weekly_TVPlant!$B$3&amp;$B$2&amp;$B$1)</f>
        <v>0</v>
      </c>
      <c r="BI13" s="2">
        <f>COUNTIF(defects!$X:$X,Weekly_TVPlant!BI$3&amp;Weekly_TVPlant!$B13&amp;Weekly_TVPlant!$B$3&amp;$B$2&amp;$B$1)</f>
        <v>0</v>
      </c>
      <c r="BJ13" s="2">
        <f>COUNTIF(defects!$X:$X,Weekly_TVPlant!BJ$3&amp;Weekly_TVPlant!$B13&amp;Weekly_TVPlant!$B$3&amp;$B$2&amp;$B$1)</f>
        <v>0</v>
      </c>
      <c r="BK13" s="2">
        <f>COUNTIF(defects!$X:$X,Weekly_TVPlant!BK$3&amp;Weekly_TVPlant!$B13&amp;Weekly_TVPlant!$B$3&amp;$B$2&amp;$B$1)</f>
        <v>0</v>
      </c>
      <c r="BL13" s="2">
        <f>COUNTIF(defects!$X:$X,Weekly_TVPlant!BL$3&amp;Weekly_TVPlant!$B13&amp;Weekly_TVPlant!$B$3&amp;$B$2&amp;$B$1)</f>
        <v>0</v>
      </c>
      <c r="BM13" s="2">
        <f>COUNTIF(defects!$X:$X,Weekly_TVPlant!BM$3&amp;Weekly_TVPlant!$B13&amp;Weekly_TVPlant!$B$3&amp;$B$2&amp;$B$1)</f>
        <v>0</v>
      </c>
      <c r="BN13" s="2">
        <f>COUNTIF(defects!$X:$X,Weekly_TVPlant!BN$3&amp;Weekly_TVPlant!$B13&amp;Weekly_TVPlant!$B$3&amp;$B$2&amp;$B$1)</f>
        <v>0</v>
      </c>
      <c r="BO13" s="2">
        <f>COUNTIF(defects!$X:$X,Weekly_TVPlant!BO$3&amp;Weekly_TVPlant!$B13&amp;Weekly_TVPlant!$B$3&amp;$B$2&amp;$B$1)</f>
        <v>0</v>
      </c>
      <c r="BP13" s="2">
        <f>COUNTIF(defects!$X:$X,Weekly_TVPlant!BP$3&amp;Weekly_TVPlant!$B13&amp;Weekly_TVPlant!$B$3&amp;$B$2&amp;$B$1)</f>
        <v>0</v>
      </c>
      <c r="BQ13" s="2">
        <f>COUNTIF(defects!$X:$X,Weekly_TVPlant!BQ$3&amp;Weekly_TVPlant!$B13&amp;Weekly_TVPlant!$B$3&amp;$B$2&amp;$B$1)</f>
        <v>0</v>
      </c>
      <c r="BR13" s="2">
        <f>COUNTIF(defects!$X:$X,Weekly_TVPlant!BR$3&amp;Weekly_TVPlant!$B13&amp;Weekly_TVPlant!$B$3&amp;$B$2&amp;$B$1)</f>
        <v>0</v>
      </c>
      <c r="BS13" s="2">
        <f>COUNTIF(defects!$X:$X,Weekly_TVPlant!BS$3&amp;Weekly_TVPlant!$B13&amp;Weekly_TVPlant!$B$3&amp;$B$2&amp;$B$1)</f>
        <v>0</v>
      </c>
      <c r="BT13" s="2">
        <f>COUNTIF(defects!$X:$X,Weekly_TVPlant!BT$3&amp;Weekly_TVPlant!$B13&amp;Weekly_TVPlant!$B$3&amp;$B$2&amp;$B$1)</f>
        <v>0</v>
      </c>
      <c r="BU13" s="2">
        <f>COUNTIF(defects!$X:$X,Weekly_TVPlant!BU$3&amp;Weekly_TVPlant!$B13&amp;Weekly_TVPlant!$B$3&amp;$B$2&amp;$B$1)</f>
        <v>0</v>
      </c>
      <c r="BV13" s="2">
        <f>COUNTIF(defects!$X:$X,Weekly_TVPlant!BV$3&amp;Weekly_TVPlant!$B13&amp;Weekly_TVPlant!$B$3&amp;$B$2&amp;$B$1)</f>
        <v>0</v>
      </c>
      <c r="BW13" s="2">
        <f>COUNTIF(defects!$X:$X,Weekly_TVPlant!BW$3&amp;Weekly_TVPlant!$B13&amp;Weekly_TVPlant!$B$3&amp;$B$2&amp;$B$1)</f>
        <v>1</v>
      </c>
      <c r="BX13" s="2">
        <f>COUNTIF(defects!$X:$X,Weekly_TVPlant!BX$3&amp;Weekly_TVPlant!$B13&amp;Weekly_TVPlant!$B$3&amp;$B$2&amp;$B$1)</f>
        <v>0</v>
      </c>
      <c r="BY13" s="2">
        <f>COUNTIF(defects!$X:$X,Weekly_TVPlant!BY$3&amp;Weekly_TVPlant!$B13&amp;Weekly_TVPlant!$B$3&amp;$B$2&amp;$B$1)</f>
        <v>1</v>
      </c>
      <c r="BZ13" s="2">
        <f>COUNTIF(defects!$X:$X,Weekly_TVPlant!BZ$3&amp;Weekly_TVPlant!$B13&amp;Weekly_TVPlant!$B$3&amp;$B$2&amp;$B$1)</f>
        <v>0</v>
      </c>
      <c r="CA13" s="2">
        <f>COUNTIF(defects!$X:$X,Weekly_TVPlant!CA$3&amp;Weekly_TVPlant!$B13&amp;Weekly_TVPlant!$B$3&amp;$B$2&amp;$B$1)</f>
        <v>0</v>
      </c>
      <c r="CB13" s="2">
        <f>COUNTIF(defects!$X:$X,Weekly_TVPlant!CB$3&amp;Weekly_TVPlant!$B13&amp;Weekly_TVPlant!$B$3&amp;$B$2&amp;$B$1)</f>
        <v>0</v>
      </c>
      <c r="CC13" s="2">
        <f>COUNTIF(defects!$X:$X,Weekly_TVPlant!CC$3&amp;Weekly_TVPlant!$B13&amp;Weekly_TVPlant!$B$3&amp;$B$2&amp;$B$1)</f>
        <v>1</v>
      </c>
      <c r="CD13" s="2">
        <f>COUNTIF(defects!$X:$X,Weekly_TVPlant!CD$3&amp;Weekly_TVPlant!$B13&amp;Weekly_TVPlant!$B$3&amp;$B$2&amp;$B$1)</f>
        <v>1</v>
      </c>
      <c r="CE13" s="2">
        <f>COUNTIF(defects!$X:$X,Weekly_TVPlant!CE$3&amp;Weekly_TVPlant!$B13&amp;Weekly_TVPlant!$B$3&amp;$B$2&amp;$B$1)</f>
        <v>0</v>
      </c>
      <c r="CF13" s="2">
        <f>COUNTIF(defects!$X:$X,Weekly_TVPlant!CF$3&amp;Weekly_TVPlant!$B13&amp;Weekly_TVPlant!$B$3&amp;$B$2&amp;$B$1)</f>
        <v>1</v>
      </c>
      <c r="CG13" s="2">
        <f>COUNTIF(defects!$X:$X,Weekly_TVPlant!CG$3&amp;Weekly_TVPlant!$B13&amp;Weekly_TVPlant!$B$3&amp;$B$2&amp;$B$1)</f>
        <v>0</v>
      </c>
      <c r="CH13" s="2">
        <f>COUNTIF(defects!$X:$X,Weekly_TVPlant!CH$3&amp;Weekly_TVPlant!$B13&amp;Weekly_TVPlant!$B$3&amp;$B$2&amp;$B$1)</f>
        <v>0</v>
      </c>
      <c r="CI13" s="2">
        <f>COUNTIF(defects!$X:$X,Weekly_TVPlant!CI$3&amp;Weekly_TVPlant!$B13&amp;Weekly_TVPlant!$B$3&amp;$B$2&amp;$B$1)</f>
        <v>0</v>
      </c>
      <c r="CJ13" s="2">
        <f>COUNTIF(defects!$X:$X,Weekly_TVPlant!CJ$3&amp;Weekly_TVPlant!$B13&amp;Weekly_TVPlant!$B$3&amp;$B$2&amp;$B$1)</f>
        <v>2</v>
      </c>
      <c r="CK13" s="2">
        <f>COUNTIF(defects!$X:$X,Weekly_TVPlant!CK$3&amp;Weekly_TVPlant!$B13&amp;Weekly_TVPlant!$B$3&amp;$B$2&amp;$B$1)</f>
        <v>2</v>
      </c>
      <c r="CL13" s="2">
        <f>COUNTIF(defects!$X:$X,Weekly_TVPlant!CL$3&amp;Weekly_TVPlant!$B13&amp;Weekly_TVPlant!$B$3&amp;$B$2&amp;$B$1)</f>
        <v>1</v>
      </c>
      <c r="CM13" s="2">
        <f>COUNTIF(defects!$X:$X,Weekly_TVPlant!CM$3&amp;Weekly_TVPlant!$B13&amp;Weekly_TVPlant!$B$3&amp;$B$2&amp;$B$1)</f>
        <v>2</v>
      </c>
      <c r="CN13" s="2">
        <f>COUNTIF(defects!$X:$X,Weekly_TVPlant!CN$3&amp;Weekly_TVPlant!$B13&amp;Weekly_TVPlant!$B$3&amp;$B$2&amp;$B$1)</f>
        <v>0</v>
      </c>
      <c r="CO13" s="2">
        <f>COUNTIF(defects!$X:$X,Weekly_TVPlant!CO$3&amp;Weekly_TVPlant!$B13&amp;Weekly_TVPlant!$B$3&amp;$B$2&amp;$B$1)</f>
        <v>0</v>
      </c>
      <c r="CP13" s="2">
        <f>COUNTIF(defects!$X:$X,Weekly_TVPlant!CP$3&amp;Weekly_TVPlant!$B13&amp;Weekly_TVPlant!$B$3&amp;$B$2&amp;$B$1)</f>
        <v>0</v>
      </c>
      <c r="CQ13" s="2">
        <f>COUNTIF(defects!$X:$X,Weekly_TVPlant!CQ$3&amp;Weekly_TVPlant!$B13&amp;Weekly_TVPlant!$B$3&amp;$B$2&amp;$B$1)</f>
        <v>0</v>
      </c>
      <c r="CR13" s="2">
        <f>COUNTIF(defects!$X:$X,Weekly_TVPlant!CR$3&amp;Weekly_TVPlant!$B13&amp;Weekly_TVPlant!$B$3&amp;$B$2&amp;$B$1)</f>
        <v>0</v>
      </c>
      <c r="CS13" s="2">
        <f>COUNTIF(defects!$X:$X,Weekly_TVPlant!CS$3&amp;Weekly_TVPlant!$B13&amp;Weekly_TVPlant!$B$3&amp;$B$2&amp;$B$1)</f>
        <v>0</v>
      </c>
      <c r="CT13" s="2">
        <f>COUNTIF(defects!$X:$X,Weekly_TVPlant!CT$3&amp;Weekly_TVPlant!$B13&amp;Weekly_TVPlant!$B$3&amp;$B$2&amp;$B$1)</f>
        <v>0</v>
      </c>
      <c r="CU13" s="2">
        <f>COUNTIF(defects!$X:$X,Weekly_TVPlant!CU$3&amp;Weekly_TVPlant!$B13&amp;Weekly_TVPlant!$B$3&amp;$B$2&amp;$B$1)</f>
        <v>0</v>
      </c>
      <c r="CV13" s="2">
        <f>COUNTIF(defects!$X:$X,Weekly_TVPlant!CV$3&amp;Weekly_TVPlant!$B13&amp;Weekly_TVPlant!$B$3&amp;$B$2&amp;$B$1)</f>
        <v>0</v>
      </c>
      <c r="CW13" s="2">
        <f>COUNTIF(defects!$X:$X,Weekly_TVPlant!CW$3&amp;Weekly_TVPlant!$B13&amp;Weekly_TVPlant!$B$3&amp;$B$2&amp;$B$1)</f>
        <v>1</v>
      </c>
      <c r="CX13" s="2">
        <f>COUNTIF(defects!$X:$X,Weekly_TVPlant!CX$3&amp;Weekly_TVPlant!$B13&amp;Weekly_TVPlant!$B$3&amp;$B$2&amp;$B$1)</f>
        <v>1</v>
      </c>
      <c r="CY13" s="2">
        <f>COUNTIF(defects!$X:$X,Weekly_TVPlant!CY$3&amp;Weekly_TVPlant!$B13&amp;Weekly_TVPlant!$B$3&amp;$B$2&amp;$B$1)</f>
        <v>2</v>
      </c>
      <c r="CZ13" s="2">
        <f>COUNTIF(defects!$X:$X,Weekly_TVPlant!CZ$3&amp;Weekly_TVPlant!$B13&amp;Weekly_TVPlant!$B$3&amp;$B$2&amp;$B$1)</f>
        <v>0</v>
      </c>
      <c r="DA13" s="2">
        <f>COUNTIF(defects!$X:$X,Weekly_TVPlant!DA$3&amp;Weekly_TVPlant!$B13&amp;Weekly_TVPlant!$B$3&amp;$B$2&amp;$B$1)</f>
        <v>0</v>
      </c>
      <c r="DB13" s="2">
        <f>COUNTIF(defects!$X:$X,Weekly_TVPlant!DB$3&amp;Weekly_TVPlant!$B13&amp;Weekly_TVPlant!$B$3&amp;$B$2&amp;$B$1)</f>
        <v>0</v>
      </c>
      <c r="DC13" s="2">
        <f>COUNTIF(defects!$X:$X,Weekly_TVPlant!DC$3&amp;Weekly_TVPlant!$B13&amp;Weekly_TVPlant!$B$3&amp;$B$2&amp;$B$1)</f>
        <v>0</v>
      </c>
      <c r="DD13" s="2">
        <f>COUNTIF(defects!$X:$X,Weekly_TVPlant!DD$3&amp;Weekly_TVPlant!$B13&amp;Weekly_TVPlant!$B$3&amp;$B$2&amp;$B$1)</f>
        <v>0</v>
      </c>
      <c r="DE13" s="2">
        <f>COUNTIF(defects!$X:$X,Weekly_TVPlant!DE$3&amp;Weekly_TVPlant!$B13&amp;Weekly_TVPlant!$B$3&amp;$B$2&amp;$B$1)</f>
        <v>0</v>
      </c>
      <c r="DF13" s="2">
        <f>COUNTIF(defects!$X:$X,Weekly_TVPlant!DF$3&amp;Weekly_TVPlant!$B13&amp;Weekly_TVPlant!$B$3&amp;$B$2&amp;$B$1)</f>
        <v>0</v>
      </c>
      <c r="DG13" s="2">
        <f>COUNTIF(defects!$X:$X,Weekly_TVPlant!DG$3&amp;Weekly_TVPlant!$B13&amp;Weekly_TVPlant!$B$3&amp;$B$2&amp;$B$1)</f>
        <v>0</v>
      </c>
      <c r="DH13" s="2">
        <f>COUNTIF(defects!$X:$X,Weekly_TVPlant!DH$3&amp;Weekly_TVPlant!$B13&amp;Weekly_TVPlant!$B$3&amp;$B$2&amp;$B$1)</f>
        <v>0</v>
      </c>
      <c r="DI13" s="2">
        <f>COUNTIF(defects!$X:$X,Weekly_TVPlant!DI$3&amp;Weekly_TVPlant!$B13&amp;Weekly_TVPlant!$B$3&amp;$B$2&amp;$B$1)</f>
        <v>0</v>
      </c>
      <c r="DJ13" s="2">
        <f>COUNTIF(defects!$X:$X,Weekly_TVPlant!DJ$3&amp;Weekly_TVPlant!$B13&amp;Weekly_TVPlant!$B$3&amp;$B$2&amp;$B$1)</f>
        <v>0</v>
      </c>
      <c r="DK13" s="2">
        <f>COUNTIF(defects!$X:$X,Weekly_TVPlant!DK$3&amp;Weekly_TVPlant!$B13&amp;Weekly_TVPlant!$B$3&amp;$B$2&amp;$B$1)</f>
        <v>0</v>
      </c>
      <c r="DL13" s="2">
        <f>COUNTIF(defects!$X:$X,Weekly_TVPlant!DL$3&amp;Weekly_TVPlant!$B13&amp;Weekly_TVPlant!$B$3&amp;$B$2&amp;$B$1)</f>
        <v>0</v>
      </c>
      <c r="DM13" s="2">
        <f>COUNTIF(defects!$X:$X,Weekly_TVPlant!DM$3&amp;Weekly_TVPlant!$B13&amp;Weekly_TVPlant!$B$3&amp;$B$2&amp;$B$1)</f>
        <v>0</v>
      </c>
      <c r="DN13" s="2">
        <f>COUNTIF(defects!$X:$X,Weekly_TVPlant!DN$3&amp;Weekly_TVPlant!$B13&amp;Weekly_TVPlant!$B$3&amp;$B$2&amp;$B$1)</f>
        <v>0</v>
      </c>
      <c r="DO13" s="2">
        <f>COUNTIF(defects!$X:$X,Weekly_TVPlant!DO$3&amp;Weekly_TVPlant!$B13&amp;Weekly_TVPlant!$B$3&amp;$B$2&amp;$B$1)</f>
        <v>0</v>
      </c>
      <c r="DP13" s="2">
        <f>COUNTIF(defects!$X:$X,Weekly_TVPlant!DP$3&amp;Weekly_TVPlant!$B13&amp;Weekly_TVPlant!$B$3&amp;$B$2&amp;$B$1)</f>
        <v>0</v>
      </c>
      <c r="DQ13" s="2">
        <f>COUNTIF(defects!$X:$X,Weekly_TVPlant!DQ$3&amp;Weekly_TVPlant!$B13&amp;Weekly_TVPlant!$B$3&amp;$B$2&amp;$B$1)</f>
        <v>0</v>
      </c>
      <c r="DR13" s="2">
        <f>COUNTIF(defects!$X:$X,Weekly_TVPlant!DR$3&amp;Weekly_TVPlant!$B13&amp;Weekly_TVPlant!$B$3&amp;$B$2&amp;$B$1)</f>
        <v>0</v>
      </c>
      <c r="DS13" s="2">
        <f>COUNTIF(defects!$X:$X,Weekly_TVPlant!DS$3&amp;Weekly_TVPlant!$B13&amp;Weekly_TVPlant!$B$3&amp;$B$2&amp;$B$1)</f>
        <v>0</v>
      </c>
      <c r="DT13" s="2">
        <f>COUNTIF(defects!$X:$X,Weekly_TVPlant!DT$3&amp;Weekly_TVPlant!$B13&amp;Weekly_TVPlant!$B$3&amp;$B$2&amp;$B$1)</f>
        <v>0</v>
      </c>
      <c r="DU13" s="2">
        <f>COUNTIF(defects!$X:$X,Weekly_TVPlant!DU$3&amp;Weekly_TVPlant!$B13&amp;Weekly_TVPlant!$B$3&amp;$B$2&amp;$B$1)</f>
        <v>0</v>
      </c>
      <c r="DV13" s="2">
        <f>COUNTIF(defects!$X:$X,Weekly_TVPlant!DV$3&amp;Weekly_TVPlant!$B13&amp;Weekly_TVPlant!$B$3&amp;$B$2&amp;$B$1)</f>
        <v>0</v>
      </c>
      <c r="DW13" s="2">
        <f>COUNTIF(defects!$X:$X,Weekly_TVPlant!DW$3&amp;Weekly_TVPlant!$B13&amp;Weekly_TVPlant!$B$3&amp;$B$2&amp;$B$1)</f>
        <v>0</v>
      </c>
      <c r="DX13" s="2">
        <f>COUNTIF(defects!$X:$X,Weekly_TVPlant!DX$3&amp;Weekly_TVPlant!$B13&amp;Weekly_TVPlant!$B$3&amp;$B$2&amp;$B$1)</f>
        <v>0</v>
      </c>
      <c r="DY13" s="2">
        <f>COUNTIF(defects!$X:$X,Weekly_TVPlant!DY$3&amp;Weekly_TVPlant!$B13&amp;Weekly_TVPlant!$B$3&amp;$B$2&amp;$B$1)</f>
        <v>0</v>
      </c>
      <c r="DZ13" s="2">
        <f>COUNTIF(defects!$X:$X,Weekly_TVPlant!DZ$3&amp;Weekly_TVPlant!$B13&amp;Weekly_TVPlant!$B$3&amp;$B$2&amp;$B$1)</f>
        <v>0</v>
      </c>
      <c r="EA13" s="2">
        <f>COUNTIF(defects!$X:$X,Weekly_TVPlant!EA$3&amp;Weekly_TVPlant!$B13&amp;Weekly_TVPlant!$B$3&amp;$B$2&amp;$B$1)</f>
        <v>0</v>
      </c>
      <c r="EB13" s="2">
        <f>COUNTIF(defects!$X:$X,Weekly_TVPlant!EB$3&amp;Weekly_TVPlant!$B13&amp;Weekly_TVPlant!$B$3&amp;$B$2&amp;$B$1)</f>
        <v>0</v>
      </c>
      <c r="EC13" s="2">
        <f>COUNTIF(defects!$X:$X,Weekly_TVPlant!EC$3&amp;Weekly_TVPlant!$B13&amp;Weekly_TVPlant!$B$3&amp;$B$2&amp;$B$1)</f>
        <v>0</v>
      </c>
      <c r="ED13" s="2">
        <f>COUNTIF(defects!$X:$X,Weekly_TVPlant!ED$3&amp;Weekly_TVPlant!$B13&amp;Weekly_TVPlant!$B$3&amp;$B$2&amp;$B$1)</f>
        <v>0</v>
      </c>
      <c r="EE13" s="2">
        <f>COUNTIF(defects!$X:$X,Weekly_TVPlant!EE$3&amp;Weekly_TVPlant!$B13&amp;Weekly_TVPlant!$B$3&amp;$B$2&amp;$B$1)</f>
        <v>0</v>
      </c>
      <c r="EF13" s="2">
        <f>COUNTIF(defects!$X:$X,Weekly_TVPlant!EF$3&amp;Weekly_TVPlant!$B13&amp;Weekly_TVPlant!$B$3&amp;$B$2&amp;$B$1)</f>
        <v>0</v>
      </c>
      <c r="EG13" s="2">
        <f>COUNTIF(defects!$X:$X,Weekly_TVPlant!EG$3&amp;Weekly_TVPlant!$B13&amp;Weekly_TVPlant!$B$3&amp;$B$2&amp;$B$1)</f>
        <v>0</v>
      </c>
      <c r="EH13" s="2">
        <f>COUNTIF(defects!$X:$X,Weekly_TVPlant!EH$3&amp;Weekly_TVPlant!$B13&amp;Weekly_TVPlant!$B$3&amp;$B$2&amp;$B$1)</f>
        <v>0</v>
      </c>
      <c r="EI13" s="2">
        <f>COUNTIF(defects!$X:$X,Weekly_TVPlant!EI$3&amp;Weekly_TVPlant!$B13&amp;Weekly_TVPlant!$B$3&amp;$B$2&amp;$B$1)</f>
        <v>0</v>
      </c>
      <c r="EJ13" s="2">
        <f>COUNTIF(defects!$X:$X,Weekly_TVPlant!EJ$3&amp;Weekly_TVPlant!$B13&amp;Weekly_TVPlant!$B$3&amp;$B$2&amp;$B$1)</f>
        <v>0</v>
      </c>
      <c r="EK13" s="2">
        <f>COUNTIF(defects!$X:$X,Weekly_TVPlant!EK$3&amp;Weekly_TVPlant!$B13&amp;Weekly_TVPlant!$B$3&amp;$B$2&amp;$B$1)</f>
        <v>0</v>
      </c>
      <c r="EL13" s="2">
        <f>COUNTIF(defects!$X:$X,Weekly_TVPlant!EL$3&amp;Weekly_TVPlant!$B13&amp;Weekly_TVPlant!$B$3&amp;$B$2&amp;$B$1)</f>
        <v>0</v>
      </c>
      <c r="EM13" s="2">
        <f>COUNTIF(defects!$X:$X,Weekly_TVPlant!EM$3&amp;Weekly_TVPlant!$B13&amp;Weekly_TVPlant!$B$3&amp;$B$2&amp;$B$1)</f>
        <v>0</v>
      </c>
      <c r="EN13" s="2">
        <f>COUNTIF(defects!$X:$X,Weekly_TVPlant!EN$3&amp;Weekly_TVPlant!$B13&amp;Weekly_TVPlant!$B$3&amp;$B$2&amp;$B$1)</f>
        <v>0</v>
      </c>
      <c r="EO13" s="2">
        <f>COUNTIF(defects!$X:$X,Weekly_TVPlant!EO$3&amp;Weekly_TVPlant!$B13&amp;Weekly_TVPlant!$B$3&amp;$B$2&amp;$B$1)</f>
        <v>0</v>
      </c>
      <c r="EP13" s="2">
        <f>COUNTIF(defects!$X:$X,Weekly_TVPlant!EP$3&amp;Weekly_TVPlant!$B13&amp;Weekly_TVPlant!$B$3&amp;$B$2&amp;$B$1)</f>
        <v>0</v>
      </c>
      <c r="EQ13" s="2">
        <f>COUNTIF(defects!$X:$X,Weekly_TVPlant!EQ$3&amp;Weekly_TVPlant!$B13&amp;Weekly_TVPlant!$B$3&amp;$B$2&amp;$B$1)</f>
        <v>0</v>
      </c>
      <c r="ER13" s="2">
        <f>COUNTIF(defects!$X:$X,Weekly_TVPlant!ER$3&amp;Weekly_TVPlant!$B13&amp;Weekly_TVPlant!$B$3&amp;$B$2&amp;$B$1)</f>
        <v>0</v>
      </c>
      <c r="ES13" s="2">
        <f>COUNTIF(defects!$X:$X,Weekly_TVPlant!ES$3&amp;Weekly_TVPlant!$B13&amp;Weekly_TVPlant!$B$3&amp;$B$2&amp;$B$1)</f>
        <v>0</v>
      </c>
      <c r="ET13" s="2">
        <f>COUNTIF(defects!$X:$X,Weekly_TVPlant!ET$3&amp;Weekly_TVPlant!$B13&amp;Weekly_TVPlant!$B$3&amp;$B$2&amp;$B$1)</f>
        <v>0</v>
      </c>
      <c r="EU13" s="2">
        <f>COUNTIF(defects!$X:$X,Weekly_TVPlant!EU$3&amp;Weekly_TVPlant!$B13&amp;Weekly_TVPlant!$B$3&amp;$B$2&amp;$B$1)</f>
        <v>0</v>
      </c>
      <c r="EV13" s="2">
        <f>COUNTIF(defects!$X:$X,Weekly_TVPlant!EV$3&amp;Weekly_TVPlant!$B13&amp;Weekly_TVPlant!$B$3&amp;$B$2&amp;$B$1)</f>
        <v>0</v>
      </c>
      <c r="EW13" s="2">
        <f>COUNTIF(defects!$X:$X,Weekly_TVPlant!EW$3&amp;Weekly_TVPlant!$B13&amp;Weekly_TVPlant!$B$3&amp;$B$2&amp;$B$1)</f>
        <v>0</v>
      </c>
      <c r="EX13" s="2">
        <f>COUNTIF(defects!$X:$X,Weekly_TVPlant!EX$3&amp;Weekly_TVPlant!$B13&amp;Weekly_TVPlant!$B$3&amp;$B$2&amp;$B$1)</f>
        <v>0</v>
      </c>
      <c r="EY13" s="2">
        <f>COUNTIF(defects!$X:$X,Weekly_TVPlant!EY$3&amp;Weekly_TVPlant!$B13&amp;Weekly_TVPlant!$B$3&amp;$B$2&amp;$B$1)</f>
        <v>0</v>
      </c>
      <c r="EZ13" s="2">
        <f>COUNTIF(defects!$X:$X,Weekly_TVPlant!EZ$3&amp;Weekly_TVPlant!$B13&amp;Weekly_TVPlant!$B$3&amp;$B$2&amp;$B$1)</f>
        <v>0</v>
      </c>
      <c r="FA13" s="2">
        <f>COUNTIF(defects!$X:$X,Weekly_TVPlant!FA$3&amp;Weekly_TVPlant!$B13&amp;Weekly_TVPlant!$B$3&amp;$B$2&amp;$B$1)</f>
        <v>0</v>
      </c>
      <c r="FB13" s="2">
        <f>COUNTIF(defects!$X:$X,Weekly_TVPlant!FB$3&amp;Weekly_TVPlant!$B13&amp;Weekly_TVPlant!$B$3&amp;$B$2&amp;$B$1)</f>
        <v>0</v>
      </c>
      <c r="FC13" s="2">
        <f>COUNTIF(defects!$X:$X,Weekly_TVPlant!FC$3&amp;Weekly_TVPlant!$B13&amp;Weekly_TVPlant!$B$3&amp;$B$2&amp;$B$1)</f>
        <v>0</v>
      </c>
      <c r="FD13" s="2">
        <f>COUNTIF(defects!$X:$X,Weekly_TVPlant!FD$3&amp;Weekly_TVPlant!$B13&amp;Weekly_TVPlant!$B$3&amp;$B$2&amp;$B$1)</f>
        <v>0</v>
      </c>
      <c r="FE13" s="2">
        <f>COUNTIF(defects!$X:$X,Weekly_TVPlant!FE$3&amp;Weekly_TVPlant!$B13&amp;Weekly_TVPlant!$B$3&amp;$B$2&amp;$B$1)</f>
        <v>0</v>
      </c>
    </row>
    <row r="14" spans="2:161">
      <c r="B14" s="2" t="s">
        <v>993</v>
      </c>
      <c r="C14" s="2">
        <f>COUNTIF(defects!$X:$X,Weekly_TVPlant!C$3&amp;Weekly_TVPlant!$B14&amp;Weekly_TVPlant!$B$3&amp;$B$2&amp;$B$1)</f>
        <v>0</v>
      </c>
      <c r="D14" s="2">
        <f>COUNTIF(defects!$X:$X,Weekly_TVPlant!D$3&amp;Weekly_TVPlant!$B14&amp;Weekly_TVPlant!$B$3&amp;$B$2&amp;$B$1)</f>
        <v>0</v>
      </c>
      <c r="E14" s="2">
        <f>COUNTIF(defects!$X:$X,Weekly_TVPlant!E$3&amp;Weekly_TVPlant!$B14&amp;Weekly_TVPlant!$B$3&amp;$B$2&amp;$B$1)</f>
        <v>0</v>
      </c>
      <c r="F14" s="2">
        <f>COUNTIF(defects!$X:$X,Weekly_TVPlant!F$3&amp;Weekly_TVPlant!$B14&amp;Weekly_TVPlant!$B$3&amp;$B$2&amp;$B$1)</f>
        <v>0</v>
      </c>
      <c r="G14" s="2">
        <f>COUNTIF(defects!$X:$X,Weekly_TVPlant!G$3&amp;Weekly_TVPlant!$B14&amp;Weekly_TVPlant!$B$3&amp;$B$2&amp;$B$1)</f>
        <v>0</v>
      </c>
      <c r="H14" s="2">
        <f>COUNTIF(defects!$X:$X,Weekly_TVPlant!H$3&amp;Weekly_TVPlant!$B14&amp;Weekly_TVPlant!$B$3&amp;$B$2&amp;$B$1)</f>
        <v>0</v>
      </c>
      <c r="I14" s="2">
        <f>COUNTIF(defects!$X:$X,Weekly_TVPlant!I$3&amp;Weekly_TVPlant!$B14&amp;Weekly_TVPlant!$B$3&amp;$B$2&amp;$B$1)</f>
        <v>0</v>
      </c>
      <c r="J14" s="2">
        <f>COUNTIF(defects!$X:$X,Weekly_TVPlant!J$3&amp;Weekly_TVPlant!$B14&amp;Weekly_TVPlant!$B$3&amp;$B$2&amp;$B$1)</f>
        <v>0</v>
      </c>
      <c r="K14" s="2">
        <f>COUNTIF(defects!$X:$X,Weekly_TVPlant!K$3&amp;Weekly_TVPlant!$B14&amp;Weekly_TVPlant!$B$3&amp;$B$2&amp;$B$1)</f>
        <v>0</v>
      </c>
      <c r="L14" s="2">
        <f>COUNTIF(defects!$X:$X,Weekly_TVPlant!L$3&amp;Weekly_TVPlant!$B14&amp;Weekly_TVPlant!$B$3&amp;$B$2&amp;$B$1)</f>
        <v>0</v>
      </c>
      <c r="M14" s="2">
        <f>COUNTIF(defects!$X:$X,Weekly_TVPlant!M$3&amp;Weekly_TVPlant!$B14&amp;Weekly_TVPlant!$B$3&amp;$B$2&amp;$B$1)</f>
        <v>0</v>
      </c>
      <c r="N14" s="2">
        <f>COUNTIF(defects!$X:$X,Weekly_TVPlant!N$3&amp;Weekly_TVPlant!$B14&amp;Weekly_TVPlant!$B$3&amp;$B$2&amp;$B$1)</f>
        <v>0</v>
      </c>
      <c r="O14" s="2">
        <f>COUNTIF(defects!$X:$X,Weekly_TVPlant!O$3&amp;Weekly_TVPlant!$B14&amp;Weekly_TVPlant!$B$3&amp;$B$2&amp;$B$1)</f>
        <v>0</v>
      </c>
      <c r="P14" s="2">
        <f>COUNTIF(defects!$X:$X,Weekly_TVPlant!P$3&amp;Weekly_TVPlant!$B14&amp;Weekly_TVPlant!$B$3&amp;$B$2&amp;$B$1)</f>
        <v>0</v>
      </c>
      <c r="Q14" s="2">
        <f>COUNTIF(defects!$X:$X,Weekly_TVPlant!Q$3&amp;Weekly_TVPlant!$B14&amp;Weekly_TVPlant!$B$3&amp;$B$2&amp;$B$1)</f>
        <v>0</v>
      </c>
      <c r="R14" s="2">
        <f>COUNTIF(defects!$X:$X,Weekly_TVPlant!R$3&amp;Weekly_TVPlant!$B14&amp;Weekly_TVPlant!$B$3&amp;$B$2&amp;$B$1)</f>
        <v>0</v>
      </c>
      <c r="S14" s="2">
        <f>COUNTIF(defects!$X:$X,Weekly_TVPlant!S$3&amp;Weekly_TVPlant!$B14&amp;Weekly_TVPlant!$B$3&amp;$B$2&amp;$B$1)</f>
        <v>0</v>
      </c>
      <c r="T14" s="2">
        <f>COUNTIF(defects!$X:$X,Weekly_TVPlant!T$3&amp;Weekly_TVPlant!$B14&amp;Weekly_TVPlant!$B$3&amp;$B$2&amp;$B$1)</f>
        <v>0</v>
      </c>
      <c r="U14" s="2">
        <f>COUNTIF(defects!$X:$X,Weekly_TVPlant!U$3&amp;Weekly_TVPlant!$B14&amp;Weekly_TVPlant!$B$3&amp;$B$2&amp;$B$1)</f>
        <v>0</v>
      </c>
      <c r="V14" s="2">
        <f>COUNTIF(defects!$X:$X,Weekly_TVPlant!V$3&amp;Weekly_TVPlant!$B14&amp;Weekly_TVPlant!$B$3&amp;$B$2&amp;$B$1)</f>
        <v>0</v>
      </c>
      <c r="W14" s="2">
        <f>COUNTIF(defects!$X:$X,Weekly_TVPlant!W$3&amp;Weekly_TVPlant!$B14&amp;Weekly_TVPlant!$B$3&amp;$B$2&amp;$B$1)</f>
        <v>0</v>
      </c>
      <c r="X14" s="2">
        <f>COUNTIF(defects!$X:$X,Weekly_TVPlant!X$3&amp;Weekly_TVPlant!$B14&amp;Weekly_TVPlant!$B$3&amp;$B$2&amp;$B$1)</f>
        <v>0</v>
      </c>
      <c r="Y14" s="2">
        <f>COUNTIF(defects!$X:$X,Weekly_TVPlant!Y$3&amp;Weekly_TVPlant!$B14&amp;Weekly_TVPlant!$B$3&amp;$B$2&amp;$B$1)</f>
        <v>0</v>
      </c>
      <c r="Z14" s="2">
        <f>COUNTIF(defects!$X:$X,Weekly_TVPlant!Z$3&amp;Weekly_TVPlant!$B14&amp;Weekly_TVPlant!$B$3&amp;$B$2&amp;$B$1)</f>
        <v>0</v>
      </c>
      <c r="AA14" s="2">
        <f>COUNTIF(defects!$X:$X,Weekly_TVPlant!AA$3&amp;Weekly_TVPlant!$B14&amp;Weekly_TVPlant!$B$3&amp;$B$2&amp;$B$1)</f>
        <v>0</v>
      </c>
      <c r="AB14" s="2">
        <f>COUNTIF(defects!$X:$X,Weekly_TVPlant!AB$3&amp;Weekly_TVPlant!$B14&amp;Weekly_TVPlant!$B$3&amp;$B$2&amp;$B$1)</f>
        <v>0</v>
      </c>
      <c r="AC14" s="2">
        <f>COUNTIF(defects!$X:$X,Weekly_TVPlant!AC$3&amp;Weekly_TVPlant!$B14&amp;Weekly_TVPlant!$B$3&amp;$B$2&amp;$B$1)</f>
        <v>0</v>
      </c>
      <c r="AD14" s="2">
        <f>COUNTIF(defects!$X:$X,Weekly_TVPlant!AD$3&amp;Weekly_TVPlant!$B14&amp;Weekly_TVPlant!$B$3&amp;$B$2&amp;$B$1)</f>
        <v>0</v>
      </c>
      <c r="AE14" s="2">
        <f>COUNTIF(defects!$X:$X,Weekly_TVPlant!AE$3&amp;Weekly_TVPlant!$B14&amp;Weekly_TVPlant!$B$3&amp;$B$2&amp;$B$1)</f>
        <v>0</v>
      </c>
      <c r="AF14" s="2">
        <f>COUNTIF(defects!$X:$X,Weekly_TVPlant!AF$3&amp;Weekly_TVPlant!$B14&amp;Weekly_TVPlant!$B$3&amp;$B$2&amp;$B$1)</f>
        <v>0</v>
      </c>
      <c r="AG14" s="2">
        <f>COUNTIF(defects!$X:$X,Weekly_TVPlant!AG$3&amp;Weekly_TVPlant!$B14&amp;Weekly_TVPlant!$B$3&amp;$B$2&amp;$B$1)</f>
        <v>0</v>
      </c>
      <c r="AH14" s="2">
        <f>COUNTIF(defects!$X:$X,Weekly_TVPlant!AH$3&amp;Weekly_TVPlant!$B14&amp;Weekly_TVPlant!$B$3&amp;$B$2&amp;$B$1)</f>
        <v>0</v>
      </c>
      <c r="AI14" s="2">
        <f>COUNTIF(defects!$X:$X,Weekly_TVPlant!AI$3&amp;Weekly_TVPlant!$B14&amp;Weekly_TVPlant!$B$3&amp;$B$2&amp;$B$1)</f>
        <v>0</v>
      </c>
      <c r="AJ14" s="2">
        <f>COUNTIF(defects!$X:$X,Weekly_TVPlant!AJ$3&amp;Weekly_TVPlant!$B14&amp;Weekly_TVPlant!$B$3&amp;$B$2&amp;$B$1)</f>
        <v>0</v>
      </c>
      <c r="AK14" s="2">
        <f>COUNTIF(defects!$X:$X,Weekly_TVPlant!AK$3&amp;Weekly_TVPlant!$B14&amp;Weekly_TVPlant!$B$3&amp;$B$2&amp;$B$1)</f>
        <v>0</v>
      </c>
      <c r="AL14" s="2">
        <f>COUNTIF(defects!$X:$X,Weekly_TVPlant!AL$3&amp;Weekly_TVPlant!$B14&amp;Weekly_TVPlant!$B$3&amp;$B$2&amp;$B$1)</f>
        <v>0</v>
      </c>
      <c r="AM14" s="2">
        <f>COUNTIF(defects!$X:$X,Weekly_TVPlant!AM$3&amp;Weekly_TVPlant!$B14&amp;Weekly_TVPlant!$B$3&amp;$B$2&amp;$B$1)</f>
        <v>0</v>
      </c>
      <c r="AN14" s="2">
        <f>COUNTIF(defects!$X:$X,Weekly_TVPlant!AN$3&amp;Weekly_TVPlant!$B14&amp;Weekly_TVPlant!$B$3&amp;$B$2&amp;$B$1)</f>
        <v>0</v>
      </c>
      <c r="AO14" s="2">
        <f>COUNTIF(defects!$X:$X,Weekly_TVPlant!AO$3&amp;Weekly_TVPlant!$B14&amp;Weekly_TVPlant!$B$3&amp;$B$2&amp;$B$1)</f>
        <v>0</v>
      </c>
      <c r="AP14" s="2">
        <f>COUNTIF(defects!$X:$X,Weekly_TVPlant!AP$3&amp;Weekly_TVPlant!$B14&amp;Weekly_TVPlant!$B$3&amp;$B$2&amp;$B$1)</f>
        <v>0</v>
      </c>
      <c r="AQ14" s="2">
        <f>COUNTIF(defects!$X:$X,Weekly_TVPlant!AQ$3&amp;Weekly_TVPlant!$B14&amp;Weekly_TVPlant!$B$3&amp;$B$2&amp;$B$1)</f>
        <v>0</v>
      </c>
      <c r="AR14" s="2">
        <f>COUNTIF(defects!$X:$X,Weekly_TVPlant!AR$3&amp;Weekly_TVPlant!$B14&amp;Weekly_TVPlant!$B$3&amp;$B$2&amp;$B$1)</f>
        <v>0</v>
      </c>
      <c r="AS14" s="2">
        <f>COUNTIF(defects!$X:$X,Weekly_TVPlant!AS$3&amp;Weekly_TVPlant!$B14&amp;Weekly_TVPlant!$B$3&amp;$B$2&amp;$B$1)</f>
        <v>0</v>
      </c>
      <c r="AT14" s="2">
        <f>COUNTIF(defects!$X:$X,Weekly_TVPlant!AT$3&amp;Weekly_TVPlant!$B14&amp;Weekly_TVPlant!$B$3&amp;$B$2&amp;$B$1)</f>
        <v>0</v>
      </c>
      <c r="AU14" s="2">
        <f>COUNTIF(defects!$X:$X,Weekly_TVPlant!AU$3&amp;Weekly_TVPlant!$B14&amp;Weekly_TVPlant!$B$3&amp;$B$2&amp;$B$1)</f>
        <v>0</v>
      </c>
      <c r="AV14" s="2">
        <f>COUNTIF(defects!$X:$X,Weekly_TVPlant!AV$3&amp;Weekly_TVPlant!$B14&amp;Weekly_TVPlant!$B$3&amp;$B$2&amp;$B$1)</f>
        <v>0</v>
      </c>
      <c r="AW14" s="2">
        <f>COUNTIF(defects!$X:$X,Weekly_TVPlant!AW$3&amp;Weekly_TVPlant!$B14&amp;Weekly_TVPlant!$B$3&amp;$B$2&amp;$B$1)</f>
        <v>0</v>
      </c>
      <c r="AX14" s="2">
        <f>COUNTIF(defects!$X:$X,Weekly_TVPlant!AX$3&amp;Weekly_TVPlant!$B14&amp;Weekly_TVPlant!$B$3&amp;$B$2&amp;$B$1)</f>
        <v>0</v>
      </c>
      <c r="AY14" s="2">
        <f>COUNTIF(defects!$X:$X,Weekly_TVPlant!AY$3&amp;Weekly_TVPlant!$B14&amp;Weekly_TVPlant!$B$3&amp;$B$2&amp;$B$1)</f>
        <v>0</v>
      </c>
      <c r="AZ14" s="2">
        <f>COUNTIF(defects!$X:$X,Weekly_TVPlant!AZ$3&amp;Weekly_TVPlant!$B14&amp;Weekly_TVPlant!$B$3&amp;$B$2&amp;$B$1)</f>
        <v>0</v>
      </c>
      <c r="BA14" s="2">
        <f>COUNTIF(defects!$X:$X,Weekly_TVPlant!BA$3&amp;Weekly_TVPlant!$B14&amp;Weekly_TVPlant!$B$3&amp;$B$2&amp;$B$1)</f>
        <v>0</v>
      </c>
      <c r="BB14" s="2">
        <f>COUNTIF(defects!$X:$X,Weekly_TVPlant!BB$3&amp;Weekly_TVPlant!$B14&amp;Weekly_TVPlant!$B$3&amp;$B$2&amp;$B$1)</f>
        <v>0</v>
      </c>
      <c r="BC14" s="2">
        <f>COUNTIF(defects!$X:$X,Weekly_TVPlant!BC$3&amp;Weekly_TVPlant!$B14&amp;Weekly_TVPlant!$B$3&amp;$B$2&amp;$B$1)</f>
        <v>0</v>
      </c>
      <c r="BD14" s="2">
        <f>COUNTIF(defects!$X:$X,Weekly_TVPlant!BD$3&amp;Weekly_TVPlant!$B14&amp;Weekly_TVPlant!$B$3&amp;$B$2&amp;$B$1)</f>
        <v>0</v>
      </c>
      <c r="BE14" s="2">
        <f>COUNTIF(defects!$X:$X,Weekly_TVPlant!BE$3&amp;Weekly_TVPlant!$B14&amp;Weekly_TVPlant!$B$3&amp;$B$2&amp;$B$1)</f>
        <v>0</v>
      </c>
      <c r="BF14" s="2">
        <f>COUNTIF(defects!$X:$X,Weekly_TVPlant!BF$3&amp;Weekly_TVPlant!$B14&amp;Weekly_TVPlant!$B$3&amp;$B$2&amp;$B$1)</f>
        <v>0</v>
      </c>
      <c r="BG14" s="2">
        <f>COUNTIF(defects!$X:$X,Weekly_TVPlant!BG$3&amp;Weekly_TVPlant!$B14&amp;Weekly_TVPlant!$B$3&amp;$B$2&amp;$B$1)</f>
        <v>0</v>
      </c>
      <c r="BH14" s="2">
        <f>COUNTIF(defects!$X:$X,Weekly_TVPlant!BH$3&amp;Weekly_TVPlant!$B14&amp;Weekly_TVPlant!$B$3&amp;$B$2&amp;$B$1)</f>
        <v>0</v>
      </c>
      <c r="BI14" s="2">
        <f>COUNTIF(defects!$X:$X,Weekly_TVPlant!BI$3&amp;Weekly_TVPlant!$B14&amp;Weekly_TVPlant!$B$3&amp;$B$2&amp;$B$1)</f>
        <v>0</v>
      </c>
      <c r="BJ14" s="2">
        <f>COUNTIF(defects!$X:$X,Weekly_TVPlant!BJ$3&amp;Weekly_TVPlant!$B14&amp;Weekly_TVPlant!$B$3&amp;$B$2&amp;$B$1)</f>
        <v>0</v>
      </c>
      <c r="BK14" s="2">
        <f>COUNTIF(defects!$X:$X,Weekly_TVPlant!BK$3&amp;Weekly_TVPlant!$B14&amp;Weekly_TVPlant!$B$3&amp;$B$2&amp;$B$1)</f>
        <v>0</v>
      </c>
      <c r="BL14" s="2">
        <f>COUNTIF(defects!$X:$X,Weekly_TVPlant!BL$3&amp;Weekly_TVPlant!$B14&amp;Weekly_TVPlant!$B$3&amp;$B$2&amp;$B$1)</f>
        <v>0</v>
      </c>
      <c r="BM14" s="2">
        <f>COUNTIF(defects!$X:$X,Weekly_TVPlant!BM$3&amp;Weekly_TVPlant!$B14&amp;Weekly_TVPlant!$B$3&amp;$B$2&amp;$B$1)</f>
        <v>0</v>
      </c>
      <c r="BN14" s="2">
        <f>COUNTIF(defects!$X:$X,Weekly_TVPlant!BN$3&amp;Weekly_TVPlant!$B14&amp;Weekly_TVPlant!$B$3&amp;$B$2&amp;$B$1)</f>
        <v>0</v>
      </c>
      <c r="BO14" s="2">
        <f>COUNTIF(defects!$X:$X,Weekly_TVPlant!BO$3&amp;Weekly_TVPlant!$B14&amp;Weekly_TVPlant!$B$3&amp;$B$2&amp;$B$1)</f>
        <v>0</v>
      </c>
      <c r="BP14" s="2">
        <f>COUNTIF(defects!$X:$X,Weekly_TVPlant!BP$3&amp;Weekly_TVPlant!$B14&amp;Weekly_TVPlant!$B$3&amp;$B$2&amp;$B$1)</f>
        <v>0</v>
      </c>
      <c r="BQ14" s="2">
        <f>COUNTIF(defects!$X:$X,Weekly_TVPlant!BQ$3&amp;Weekly_TVPlant!$B14&amp;Weekly_TVPlant!$B$3&amp;$B$2&amp;$B$1)</f>
        <v>0</v>
      </c>
      <c r="BR14" s="2">
        <f>COUNTIF(defects!$X:$X,Weekly_TVPlant!BR$3&amp;Weekly_TVPlant!$B14&amp;Weekly_TVPlant!$B$3&amp;$B$2&amp;$B$1)</f>
        <v>0</v>
      </c>
      <c r="BS14" s="2">
        <f>COUNTIF(defects!$X:$X,Weekly_TVPlant!BS$3&amp;Weekly_TVPlant!$B14&amp;Weekly_TVPlant!$B$3&amp;$B$2&amp;$B$1)</f>
        <v>0</v>
      </c>
      <c r="BT14" s="2">
        <f>COUNTIF(defects!$X:$X,Weekly_TVPlant!BT$3&amp;Weekly_TVPlant!$B14&amp;Weekly_TVPlant!$B$3&amp;$B$2&amp;$B$1)</f>
        <v>0</v>
      </c>
      <c r="BU14" s="2">
        <f>COUNTIF(defects!$X:$X,Weekly_TVPlant!BU$3&amp;Weekly_TVPlant!$B14&amp;Weekly_TVPlant!$B$3&amp;$B$2&amp;$B$1)</f>
        <v>0</v>
      </c>
      <c r="BV14" s="2">
        <f>COUNTIF(defects!$X:$X,Weekly_TVPlant!BV$3&amp;Weekly_TVPlant!$B14&amp;Weekly_TVPlant!$B$3&amp;$B$2&amp;$B$1)</f>
        <v>0</v>
      </c>
      <c r="BW14" s="2">
        <f>COUNTIF(defects!$X:$X,Weekly_TVPlant!BW$3&amp;Weekly_TVPlant!$B14&amp;Weekly_TVPlant!$B$3&amp;$B$2&amp;$B$1)</f>
        <v>0</v>
      </c>
      <c r="BX14" s="2">
        <f>COUNTIF(defects!$X:$X,Weekly_TVPlant!BX$3&amp;Weekly_TVPlant!$B14&amp;Weekly_TVPlant!$B$3&amp;$B$2&amp;$B$1)</f>
        <v>0</v>
      </c>
      <c r="BY14" s="2">
        <f>COUNTIF(defects!$X:$X,Weekly_TVPlant!BY$3&amp;Weekly_TVPlant!$B14&amp;Weekly_TVPlant!$B$3&amp;$B$2&amp;$B$1)</f>
        <v>0</v>
      </c>
      <c r="BZ14" s="2">
        <f>COUNTIF(defects!$X:$X,Weekly_TVPlant!BZ$3&amp;Weekly_TVPlant!$B14&amp;Weekly_TVPlant!$B$3&amp;$B$2&amp;$B$1)</f>
        <v>0</v>
      </c>
      <c r="CA14" s="2">
        <f>COUNTIF(defects!$X:$X,Weekly_TVPlant!CA$3&amp;Weekly_TVPlant!$B14&amp;Weekly_TVPlant!$B$3&amp;$B$2&amp;$B$1)</f>
        <v>0</v>
      </c>
      <c r="CB14" s="2">
        <f>COUNTIF(defects!$X:$X,Weekly_TVPlant!CB$3&amp;Weekly_TVPlant!$B14&amp;Weekly_TVPlant!$B$3&amp;$B$2&amp;$B$1)</f>
        <v>0</v>
      </c>
      <c r="CC14" s="2">
        <f>COUNTIF(defects!$X:$X,Weekly_TVPlant!CC$3&amp;Weekly_TVPlant!$B14&amp;Weekly_TVPlant!$B$3&amp;$B$2&amp;$B$1)</f>
        <v>0</v>
      </c>
      <c r="CD14" s="2">
        <f>COUNTIF(defects!$X:$X,Weekly_TVPlant!CD$3&amp;Weekly_TVPlant!$B14&amp;Weekly_TVPlant!$B$3&amp;$B$2&amp;$B$1)</f>
        <v>0</v>
      </c>
      <c r="CE14" s="2">
        <f>COUNTIF(defects!$X:$X,Weekly_TVPlant!CE$3&amp;Weekly_TVPlant!$B14&amp;Weekly_TVPlant!$B$3&amp;$B$2&amp;$B$1)</f>
        <v>0</v>
      </c>
      <c r="CF14" s="2">
        <f>COUNTIF(defects!$X:$X,Weekly_TVPlant!CF$3&amp;Weekly_TVPlant!$B14&amp;Weekly_TVPlant!$B$3&amp;$B$2&amp;$B$1)</f>
        <v>0</v>
      </c>
      <c r="CG14" s="2">
        <f>COUNTIF(defects!$X:$X,Weekly_TVPlant!CG$3&amp;Weekly_TVPlant!$B14&amp;Weekly_TVPlant!$B$3&amp;$B$2&amp;$B$1)</f>
        <v>0</v>
      </c>
      <c r="CH14" s="2">
        <f>COUNTIF(defects!$X:$X,Weekly_TVPlant!CH$3&amp;Weekly_TVPlant!$B14&amp;Weekly_TVPlant!$B$3&amp;$B$2&amp;$B$1)</f>
        <v>0</v>
      </c>
      <c r="CI14" s="2">
        <f>COUNTIF(defects!$X:$X,Weekly_TVPlant!CI$3&amp;Weekly_TVPlant!$B14&amp;Weekly_TVPlant!$B$3&amp;$B$2&amp;$B$1)</f>
        <v>0</v>
      </c>
      <c r="CJ14" s="2">
        <f>COUNTIF(defects!$X:$X,Weekly_TVPlant!CJ$3&amp;Weekly_TVPlant!$B14&amp;Weekly_TVPlant!$B$3&amp;$B$2&amp;$B$1)</f>
        <v>0</v>
      </c>
      <c r="CK14" s="2">
        <f>COUNTIF(defects!$X:$X,Weekly_TVPlant!CK$3&amp;Weekly_TVPlant!$B14&amp;Weekly_TVPlant!$B$3&amp;$B$2&amp;$B$1)</f>
        <v>0</v>
      </c>
      <c r="CL14" s="2">
        <f>COUNTIF(defects!$X:$X,Weekly_TVPlant!CL$3&amp;Weekly_TVPlant!$B14&amp;Weekly_TVPlant!$B$3&amp;$B$2&amp;$B$1)</f>
        <v>0</v>
      </c>
      <c r="CM14" s="2">
        <f>COUNTIF(defects!$X:$X,Weekly_TVPlant!CM$3&amp;Weekly_TVPlant!$B14&amp;Weekly_TVPlant!$B$3&amp;$B$2&amp;$B$1)</f>
        <v>0</v>
      </c>
      <c r="CN14" s="2">
        <f>COUNTIF(defects!$X:$X,Weekly_TVPlant!CN$3&amp;Weekly_TVPlant!$B14&amp;Weekly_TVPlant!$B$3&amp;$B$2&amp;$B$1)</f>
        <v>0</v>
      </c>
      <c r="CO14" s="2">
        <f>COUNTIF(defects!$X:$X,Weekly_TVPlant!CO$3&amp;Weekly_TVPlant!$B14&amp;Weekly_TVPlant!$B$3&amp;$B$2&amp;$B$1)</f>
        <v>0</v>
      </c>
      <c r="CP14" s="2">
        <f>COUNTIF(defects!$X:$X,Weekly_TVPlant!CP$3&amp;Weekly_TVPlant!$B14&amp;Weekly_TVPlant!$B$3&amp;$B$2&amp;$B$1)</f>
        <v>0</v>
      </c>
      <c r="CQ14" s="2">
        <f>COUNTIF(defects!$X:$X,Weekly_TVPlant!CQ$3&amp;Weekly_TVPlant!$B14&amp;Weekly_TVPlant!$B$3&amp;$B$2&amp;$B$1)</f>
        <v>0</v>
      </c>
      <c r="CR14" s="2">
        <f>COUNTIF(defects!$X:$X,Weekly_TVPlant!CR$3&amp;Weekly_TVPlant!$B14&amp;Weekly_TVPlant!$B$3&amp;$B$2&amp;$B$1)</f>
        <v>0</v>
      </c>
      <c r="CS14" s="2">
        <f>COUNTIF(defects!$X:$X,Weekly_TVPlant!CS$3&amp;Weekly_TVPlant!$B14&amp;Weekly_TVPlant!$B$3&amp;$B$2&amp;$B$1)</f>
        <v>0</v>
      </c>
      <c r="CT14" s="2">
        <f>COUNTIF(defects!$X:$X,Weekly_TVPlant!CT$3&amp;Weekly_TVPlant!$B14&amp;Weekly_TVPlant!$B$3&amp;$B$2&amp;$B$1)</f>
        <v>0</v>
      </c>
      <c r="CU14" s="2">
        <f>COUNTIF(defects!$X:$X,Weekly_TVPlant!CU$3&amp;Weekly_TVPlant!$B14&amp;Weekly_TVPlant!$B$3&amp;$B$2&amp;$B$1)</f>
        <v>0</v>
      </c>
      <c r="CV14" s="2">
        <f>COUNTIF(defects!$X:$X,Weekly_TVPlant!CV$3&amp;Weekly_TVPlant!$B14&amp;Weekly_TVPlant!$B$3&amp;$B$2&amp;$B$1)</f>
        <v>0</v>
      </c>
      <c r="CW14" s="2">
        <f>COUNTIF(defects!$X:$X,Weekly_TVPlant!CW$3&amp;Weekly_TVPlant!$B14&amp;Weekly_TVPlant!$B$3&amp;$B$2&amp;$B$1)</f>
        <v>0</v>
      </c>
      <c r="CX14" s="2">
        <f>COUNTIF(defects!$X:$X,Weekly_TVPlant!CX$3&amp;Weekly_TVPlant!$B14&amp;Weekly_TVPlant!$B$3&amp;$B$2&amp;$B$1)</f>
        <v>0</v>
      </c>
      <c r="CY14" s="2">
        <f>COUNTIF(defects!$X:$X,Weekly_TVPlant!CY$3&amp;Weekly_TVPlant!$B14&amp;Weekly_TVPlant!$B$3&amp;$B$2&amp;$B$1)</f>
        <v>0</v>
      </c>
      <c r="CZ14" s="2">
        <f>COUNTIF(defects!$X:$X,Weekly_TVPlant!CZ$3&amp;Weekly_TVPlant!$B14&amp;Weekly_TVPlant!$B$3&amp;$B$2&amp;$B$1)</f>
        <v>0</v>
      </c>
      <c r="DA14" s="2">
        <f>COUNTIF(defects!$X:$X,Weekly_TVPlant!DA$3&amp;Weekly_TVPlant!$B14&amp;Weekly_TVPlant!$B$3&amp;$B$2&amp;$B$1)</f>
        <v>0</v>
      </c>
      <c r="DB14" s="2">
        <f>COUNTIF(defects!$X:$X,Weekly_TVPlant!DB$3&amp;Weekly_TVPlant!$B14&amp;Weekly_TVPlant!$B$3&amp;$B$2&amp;$B$1)</f>
        <v>0</v>
      </c>
      <c r="DC14" s="2">
        <f>COUNTIF(defects!$X:$X,Weekly_TVPlant!DC$3&amp;Weekly_TVPlant!$B14&amp;Weekly_TVPlant!$B$3&amp;$B$2&amp;$B$1)</f>
        <v>0</v>
      </c>
      <c r="DD14" s="2">
        <f>COUNTIF(defects!$X:$X,Weekly_TVPlant!DD$3&amp;Weekly_TVPlant!$B14&amp;Weekly_TVPlant!$B$3&amp;$B$2&amp;$B$1)</f>
        <v>0</v>
      </c>
      <c r="DE14" s="2">
        <f>COUNTIF(defects!$X:$X,Weekly_TVPlant!DE$3&amp;Weekly_TVPlant!$B14&amp;Weekly_TVPlant!$B$3&amp;$B$2&amp;$B$1)</f>
        <v>0</v>
      </c>
      <c r="DF14" s="2">
        <f>COUNTIF(defects!$X:$X,Weekly_TVPlant!DF$3&amp;Weekly_TVPlant!$B14&amp;Weekly_TVPlant!$B$3&amp;$B$2&amp;$B$1)</f>
        <v>0</v>
      </c>
      <c r="DG14" s="2">
        <f>COUNTIF(defects!$X:$X,Weekly_TVPlant!DG$3&amp;Weekly_TVPlant!$B14&amp;Weekly_TVPlant!$B$3&amp;$B$2&amp;$B$1)</f>
        <v>0</v>
      </c>
      <c r="DH14" s="2">
        <f>COUNTIF(defects!$X:$X,Weekly_TVPlant!DH$3&amp;Weekly_TVPlant!$B14&amp;Weekly_TVPlant!$B$3&amp;$B$2&amp;$B$1)</f>
        <v>0</v>
      </c>
      <c r="DI14" s="2">
        <f>COUNTIF(defects!$X:$X,Weekly_TVPlant!DI$3&amp;Weekly_TVPlant!$B14&amp;Weekly_TVPlant!$B$3&amp;$B$2&amp;$B$1)</f>
        <v>0</v>
      </c>
      <c r="DJ14" s="2">
        <f>COUNTIF(defects!$X:$X,Weekly_TVPlant!DJ$3&amp;Weekly_TVPlant!$B14&amp;Weekly_TVPlant!$B$3&amp;$B$2&amp;$B$1)</f>
        <v>0</v>
      </c>
      <c r="DK14" s="2">
        <f>COUNTIF(defects!$X:$X,Weekly_TVPlant!DK$3&amp;Weekly_TVPlant!$B14&amp;Weekly_TVPlant!$B$3&amp;$B$2&amp;$B$1)</f>
        <v>0</v>
      </c>
      <c r="DL14" s="2">
        <f>COUNTIF(defects!$X:$X,Weekly_TVPlant!DL$3&amp;Weekly_TVPlant!$B14&amp;Weekly_TVPlant!$B$3&amp;$B$2&amp;$B$1)</f>
        <v>0</v>
      </c>
      <c r="DM14" s="2">
        <f>COUNTIF(defects!$X:$X,Weekly_TVPlant!DM$3&amp;Weekly_TVPlant!$B14&amp;Weekly_TVPlant!$B$3&amp;$B$2&amp;$B$1)</f>
        <v>0</v>
      </c>
      <c r="DN14" s="2">
        <f>COUNTIF(defects!$X:$X,Weekly_TVPlant!DN$3&amp;Weekly_TVPlant!$B14&amp;Weekly_TVPlant!$B$3&amp;$B$2&amp;$B$1)</f>
        <v>0</v>
      </c>
      <c r="DO14" s="2">
        <f>COUNTIF(defects!$X:$X,Weekly_TVPlant!DO$3&amp;Weekly_TVPlant!$B14&amp;Weekly_TVPlant!$B$3&amp;$B$2&amp;$B$1)</f>
        <v>0</v>
      </c>
      <c r="DP14" s="2">
        <f>COUNTIF(defects!$X:$X,Weekly_TVPlant!DP$3&amp;Weekly_TVPlant!$B14&amp;Weekly_TVPlant!$B$3&amp;$B$2&amp;$B$1)</f>
        <v>0</v>
      </c>
      <c r="DQ14" s="2">
        <f>COUNTIF(defects!$X:$X,Weekly_TVPlant!DQ$3&amp;Weekly_TVPlant!$B14&amp;Weekly_TVPlant!$B$3&amp;$B$2&amp;$B$1)</f>
        <v>0</v>
      </c>
      <c r="DR14" s="2">
        <f>COUNTIF(defects!$X:$X,Weekly_TVPlant!DR$3&amp;Weekly_TVPlant!$B14&amp;Weekly_TVPlant!$B$3&amp;$B$2&amp;$B$1)</f>
        <v>0</v>
      </c>
      <c r="DS14" s="2">
        <f>COUNTIF(defects!$X:$X,Weekly_TVPlant!DS$3&amp;Weekly_TVPlant!$B14&amp;Weekly_TVPlant!$B$3&amp;$B$2&amp;$B$1)</f>
        <v>0</v>
      </c>
      <c r="DT14" s="2">
        <f>COUNTIF(defects!$X:$X,Weekly_TVPlant!DT$3&amp;Weekly_TVPlant!$B14&amp;Weekly_TVPlant!$B$3&amp;$B$2&amp;$B$1)</f>
        <v>0</v>
      </c>
      <c r="DU14" s="2">
        <f>COUNTIF(defects!$X:$X,Weekly_TVPlant!DU$3&amp;Weekly_TVPlant!$B14&amp;Weekly_TVPlant!$B$3&amp;$B$2&amp;$B$1)</f>
        <v>0</v>
      </c>
      <c r="DV14" s="2">
        <f>COUNTIF(defects!$X:$X,Weekly_TVPlant!DV$3&amp;Weekly_TVPlant!$B14&amp;Weekly_TVPlant!$B$3&amp;$B$2&amp;$B$1)</f>
        <v>0</v>
      </c>
      <c r="DW14" s="2">
        <f>COUNTIF(defects!$X:$X,Weekly_TVPlant!DW$3&amp;Weekly_TVPlant!$B14&amp;Weekly_TVPlant!$B$3&amp;$B$2&amp;$B$1)</f>
        <v>0</v>
      </c>
      <c r="DX14" s="2">
        <f>COUNTIF(defects!$X:$X,Weekly_TVPlant!DX$3&amp;Weekly_TVPlant!$B14&amp;Weekly_TVPlant!$B$3&amp;$B$2&amp;$B$1)</f>
        <v>0</v>
      </c>
      <c r="DY14" s="2">
        <f>COUNTIF(defects!$X:$X,Weekly_TVPlant!DY$3&amp;Weekly_TVPlant!$B14&amp;Weekly_TVPlant!$B$3&amp;$B$2&amp;$B$1)</f>
        <v>0</v>
      </c>
      <c r="DZ14" s="2">
        <f>COUNTIF(defects!$X:$X,Weekly_TVPlant!DZ$3&amp;Weekly_TVPlant!$B14&amp;Weekly_TVPlant!$B$3&amp;$B$2&amp;$B$1)</f>
        <v>0</v>
      </c>
      <c r="EA14" s="2">
        <f>COUNTIF(defects!$X:$X,Weekly_TVPlant!EA$3&amp;Weekly_TVPlant!$B14&amp;Weekly_TVPlant!$B$3&amp;$B$2&amp;$B$1)</f>
        <v>0</v>
      </c>
      <c r="EB14" s="2">
        <f>COUNTIF(defects!$X:$X,Weekly_TVPlant!EB$3&amp;Weekly_TVPlant!$B14&amp;Weekly_TVPlant!$B$3&amp;$B$2&amp;$B$1)</f>
        <v>0</v>
      </c>
      <c r="EC14" s="2">
        <f>COUNTIF(defects!$X:$X,Weekly_TVPlant!EC$3&amp;Weekly_TVPlant!$B14&amp;Weekly_TVPlant!$B$3&amp;$B$2&amp;$B$1)</f>
        <v>0</v>
      </c>
      <c r="ED14" s="2">
        <f>COUNTIF(defects!$X:$X,Weekly_TVPlant!ED$3&amp;Weekly_TVPlant!$B14&amp;Weekly_TVPlant!$B$3&amp;$B$2&amp;$B$1)</f>
        <v>0</v>
      </c>
      <c r="EE14" s="2">
        <f>COUNTIF(defects!$X:$X,Weekly_TVPlant!EE$3&amp;Weekly_TVPlant!$B14&amp;Weekly_TVPlant!$B$3&amp;$B$2&amp;$B$1)</f>
        <v>0</v>
      </c>
      <c r="EF14" s="2">
        <f>COUNTIF(defects!$X:$X,Weekly_TVPlant!EF$3&amp;Weekly_TVPlant!$B14&amp;Weekly_TVPlant!$B$3&amp;$B$2&amp;$B$1)</f>
        <v>0</v>
      </c>
      <c r="EG14" s="2">
        <f>COUNTIF(defects!$X:$X,Weekly_TVPlant!EG$3&amp;Weekly_TVPlant!$B14&amp;Weekly_TVPlant!$B$3&amp;$B$2&amp;$B$1)</f>
        <v>0</v>
      </c>
      <c r="EH14" s="2">
        <f>COUNTIF(defects!$X:$X,Weekly_TVPlant!EH$3&amp;Weekly_TVPlant!$B14&amp;Weekly_TVPlant!$B$3&amp;$B$2&amp;$B$1)</f>
        <v>0</v>
      </c>
      <c r="EI14" s="2">
        <f>COUNTIF(defects!$X:$X,Weekly_TVPlant!EI$3&amp;Weekly_TVPlant!$B14&amp;Weekly_TVPlant!$B$3&amp;$B$2&amp;$B$1)</f>
        <v>0</v>
      </c>
      <c r="EJ14" s="2">
        <f>COUNTIF(defects!$X:$X,Weekly_TVPlant!EJ$3&amp;Weekly_TVPlant!$B14&amp;Weekly_TVPlant!$B$3&amp;$B$2&amp;$B$1)</f>
        <v>0</v>
      </c>
      <c r="EK14" s="2">
        <f>COUNTIF(defects!$X:$X,Weekly_TVPlant!EK$3&amp;Weekly_TVPlant!$B14&amp;Weekly_TVPlant!$B$3&amp;$B$2&amp;$B$1)</f>
        <v>0</v>
      </c>
      <c r="EL14" s="2">
        <f>COUNTIF(defects!$X:$X,Weekly_TVPlant!EL$3&amp;Weekly_TVPlant!$B14&amp;Weekly_TVPlant!$B$3&amp;$B$2&amp;$B$1)</f>
        <v>0</v>
      </c>
      <c r="EM14" s="2">
        <f>COUNTIF(defects!$X:$X,Weekly_TVPlant!EM$3&amp;Weekly_TVPlant!$B14&amp;Weekly_TVPlant!$B$3&amp;$B$2&amp;$B$1)</f>
        <v>0</v>
      </c>
      <c r="EN14" s="2">
        <f>COUNTIF(defects!$X:$X,Weekly_TVPlant!EN$3&amp;Weekly_TVPlant!$B14&amp;Weekly_TVPlant!$B$3&amp;$B$2&amp;$B$1)</f>
        <v>0</v>
      </c>
      <c r="EO14" s="2">
        <f>COUNTIF(defects!$X:$X,Weekly_TVPlant!EO$3&amp;Weekly_TVPlant!$B14&amp;Weekly_TVPlant!$B$3&amp;$B$2&amp;$B$1)</f>
        <v>0</v>
      </c>
      <c r="EP14" s="2">
        <f>COUNTIF(defects!$X:$X,Weekly_TVPlant!EP$3&amp;Weekly_TVPlant!$B14&amp;Weekly_TVPlant!$B$3&amp;$B$2&amp;$B$1)</f>
        <v>0</v>
      </c>
      <c r="EQ14" s="2">
        <f>COUNTIF(defects!$X:$X,Weekly_TVPlant!EQ$3&amp;Weekly_TVPlant!$B14&amp;Weekly_TVPlant!$B$3&amp;$B$2&amp;$B$1)</f>
        <v>0</v>
      </c>
      <c r="ER14" s="2">
        <f>COUNTIF(defects!$X:$X,Weekly_TVPlant!ER$3&amp;Weekly_TVPlant!$B14&amp;Weekly_TVPlant!$B$3&amp;$B$2&amp;$B$1)</f>
        <v>0</v>
      </c>
      <c r="ES14" s="2">
        <f>COUNTIF(defects!$X:$X,Weekly_TVPlant!ES$3&amp;Weekly_TVPlant!$B14&amp;Weekly_TVPlant!$B$3&amp;$B$2&amp;$B$1)</f>
        <v>0</v>
      </c>
      <c r="ET14" s="2">
        <f>COUNTIF(defects!$X:$X,Weekly_TVPlant!ET$3&amp;Weekly_TVPlant!$B14&amp;Weekly_TVPlant!$B$3&amp;$B$2&amp;$B$1)</f>
        <v>0</v>
      </c>
      <c r="EU14" s="2">
        <f>COUNTIF(defects!$X:$X,Weekly_TVPlant!EU$3&amp;Weekly_TVPlant!$B14&amp;Weekly_TVPlant!$B$3&amp;$B$2&amp;$B$1)</f>
        <v>0</v>
      </c>
      <c r="EV14" s="2">
        <f>COUNTIF(defects!$X:$X,Weekly_TVPlant!EV$3&amp;Weekly_TVPlant!$B14&amp;Weekly_TVPlant!$B$3&amp;$B$2&amp;$B$1)</f>
        <v>0</v>
      </c>
      <c r="EW14" s="2">
        <f>COUNTIF(defects!$X:$X,Weekly_TVPlant!EW$3&amp;Weekly_TVPlant!$B14&amp;Weekly_TVPlant!$B$3&amp;$B$2&amp;$B$1)</f>
        <v>0</v>
      </c>
      <c r="EX14" s="2">
        <f>COUNTIF(defects!$X:$X,Weekly_TVPlant!EX$3&amp;Weekly_TVPlant!$B14&amp;Weekly_TVPlant!$B$3&amp;$B$2&amp;$B$1)</f>
        <v>0</v>
      </c>
      <c r="EY14" s="2">
        <f>COUNTIF(defects!$X:$X,Weekly_TVPlant!EY$3&amp;Weekly_TVPlant!$B14&amp;Weekly_TVPlant!$B$3&amp;$B$2&amp;$B$1)</f>
        <v>0</v>
      </c>
      <c r="EZ14" s="2">
        <f>COUNTIF(defects!$X:$X,Weekly_TVPlant!EZ$3&amp;Weekly_TVPlant!$B14&amp;Weekly_TVPlant!$B$3&amp;$B$2&amp;$B$1)</f>
        <v>0</v>
      </c>
      <c r="FA14" s="2">
        <f>COUNTIF(defects!$X:$X,Weekly_TVPlant!FA$3&amp;Weekly_TVPlant!$B14&amp;Weekly_TVPlant!$B$3&amp;$B$2&amp;$B$1)</f>
        <v>0</v>
      </c>
      <c r="FB14" s="2">
        <f>COUNTIF(defects!$X:$X,Weekly_TVPlant!FB$3&amp;Weekly_TVPlant!$B14&amp;Weekly_TVPlant!$B$3&amp;$B$2&amp;$B$1)</f>
        <v>0</v>
      </c>
      <c r="FC14" s="2">
        <f>COUNTIF(defects!$X:$X,Weekly_TVPlant!FC$3&amp;Weekly_TVPlant!$B14&amp;Weekly_TVPlant!$B$3&amp;$B$2&amp;$B$1)</f>
        <v>0</v>
      </c>
      <c r="FD14" s="2">
        <f>COUNTIF(defects!$X:$X,Weekly_TVPlant!FD$3&amp;Weekly_TVPlant!$B14&amp;Weekly_TVPlant!$B$3&amp;$B$2&amp;$B$1)</f>
        <v>0</v>
      </c>
      <c r="FE14" s="2">
        <f>COUNTIF(defects!$X:$X,Weekly_TVPlant!FE$3&amp;Weekly_TVPlant!$B14&amp;Weekly_TVPlant!$B$3&amp;$B$2&amp;$B$1)</f>
        <v>0</v>
      </c>
    </row>
    <row r="15" spans="2:161">
      <c r="B15" s="2" t="s">
        <v>949</v>
      </c>
      <c r="C15" s="2">
        <f>COUNTIF(defects!$X:$X,Weekly_TVPlant!C$3&amp;Weekly_TVPlant!$B15&amp;Weekly_TVPlant!$B$3&amp;$B$2&amp;$B$1)</f>
        <v>0</v>
      </c>
      <c r="D15" s="2">
        <f>COUNTIF(defects!$X:$X,Weekly_TVPlant!D$3&amp;Weekly_TVPlant!$B15&amp;Weekly_TVPlant!$B$3&amp;$B$2&amp;$B$1)</f>
        <v>0</v>
      </c>
      <c r="E15" s="2">
        <f>COUNTIF(defects!$X:$X,Weekly_TVPlant!E$3&amp;Weekly_TVPlant!$B15&amp;Weekly_TVPlant!$B$3&amp;$B$2&amp;$B$1)</f>
        <v>0</v>
      </c>
      <c r="F15" s="2">
        <f>COUNTIF(defects!$X:$X,Weekly_TVPlant!F$3&amp;Weekly_TVPlant!$B15&amp;Weekly_TVPlant!$B$3&amp;$B$2&amp;$B$1)</f>
        <v>0</v>
      </c>
      <c r="G15" s="2">
        <f>COUNTIF(defects!$X:$X,Weekly_TVPlant!G$3&amp;Weekly_TVPlant!$B15&amp;Weekly_TVPlant!$B$3&amp;$B$2&amp;$B$1)</f>
        <v>0</v>
      </c>
      <c r="H15" s="2">
        <f>COUNTIF(defects!$X:$X,Weekly_TVPlant!H$3&amp;Weekly_TVPlant!$B15&amp;Weekly_TVPlant!$B$3&amp;$B$2&amp;$B$1)</f>
        <v>0</v>
      </c>
      <c r="I15" s="2">
        <f>COUNTIF(defects!$X:$X,Weekly_TVPlant!I$3&amp;Weekly_TVPlant!$B15&amp;Weekly_TVPlant!$B$3&amp;$B$2&amp;$B$1)</f>
        <v>0</v>
      </c>
      <c r="J15" s="2">
        <f>COUNTIF(defects!$X:$X,Weekly_TVPlant!J$3&amp;Weekly_TVPlant!$B15&amp;Weekly_TVPlant!$B$3&amp;$B$2&amp;$B$1)</f>
        <v>0</v>
      </c>
      <c r="K15" s="2">
        <f>COUNTIF(defects!$X:$X,Weekly_TVPlant!K$3&amp;Weekly_TVPlant!$B15&amp;Weekly_TVPlant!$B$3&amp;$B$2&amp;$B$1)</f>
        <v>0</v>
      </c>
      <c r="L15" s="2">
        <f>COUNTIF(defects!$X:$X,Weekly_TVPlant!L$3&amp;Weekly_TVPlant!$B15&amp;Weekly_TVPlant!$B$3&amp;$B$2&amp;$B$1)</f>
        <v>0</v>
      </c>
      <c r="M15" s="2">
        <f>COUNTIF(defects!$X:$X,Weekly_TVPlant!M$3&amp;Weekly_TVPlant!$B15&amp;Weekly_TVPlant!$B$3&amp;$B$2&amp;$B$1)</f>
        <v>0</v>
      </c>
      <c r="N15" s="2">
        <f>COUNTIF(defects!$X:$X,Weekly_TVPlant!N$3&amp;Weekly_TVPlant!$B15&amp;Weekly_TVPlant!$B$3&amp;$B$2&amp;$B$1)</f>
        <v>0</v>
      </c>
      <c r="O15" s="2">
        <f>COUNTIF(defects!$X:$X,Weekly_TVPlant!O$3&amp;Weekly_TVPlant!$B15&amp;Weekly_TVPlant!$B$3&amp;$B$2&amp;$B$1)</f>
        <v>0</v>
      </c>
      <c r="P15" s="2">
        <f>COUNTIF(defects!$X:$X,Weekly_TVPlant!P$3&amp;Weekly_TVPlant!$B15&amp;Weekly_TVPlant!$B$3&amp;$B$2&amp;$B$1)</f>
        <v>0</v>
      </c>
      <c r="Q15" s="2">
        <f>COUNTIF(defects!$X:$X,Weekly_TVPlant!Q$3&amp;Weekly_TVPlant!$B15&amp;Weekly_TVPlant!$B$3&amp;$B$2&amp;$B$1)</f>
        <v>0</v>
      </c>
      <c r="R15" s="2">
        <f>COUNTIF(defects!$X:$X,Weekly_TVPlant!R$3&amp;Weekly_TVPlant!$B15&amp;Weekly_TVPlant!$B$3&amp;$B$2&amp;$B$1)</f>
        <v>0</v>
      </c>
      <c r="S15" s="2">
        <f>COUNTIF(defects!$X:$X,Weekly_TVPlant!S$3&amp;Weekly_TVPlant!$B15&amp;Weekly_TVPlant!$B$3&amp;$B$2&amp;$B$1)</f>
        <v>0</v>
      </c>
      <c r="T15" s="2">
        <f>COUNTIF(defects!$X:$X,Weekly_TVPlant!T$3&amp;Weekly_TVPlant!$B15&amp;Weekly_TVPlant!$B$3&amp;$B$2&amp;$B$1)</f>
        <v>0</v>
      </c>
      <c r="U15" s="2">
        <f>COUNTIF(defects!$X:$X,Weekly_TVPlant!U$3&amp;Weekly_TVPlant!$B15&amp;Weekly_TVPlant!$B$3&amp;$B$2&amp;$B$1)</f>
        <v>0</v>
      </c>
      <c r="V15" s="2">
        <f>COUNTIF(defects!$X:$X,Weekly_TVPlant!V$3&amp;Weekly_TVPlant!$B15&amp;Weekly_TVPlant!$B$3&amp;$B$2&amp;$B$1)</f>
        <v>0</v>
      </c>
      <c r="W15" s="2">
        <f>COUNTIF(defects!$X:$X,Weekly_TVPlant!W$3&amp;Weekly_TVPlant!$B15&amp;Weekly_TVPlant!$B$3&amp;$B$2&amp;$B$1)</f>
        <v>0</v>
      </c>
      <c r="X15" s="2">
        <f>COUNTIF(defects!$X:$X,Weekly_TVPlant!X$3&amp;Weekly_TVPlant!$B15&amp;Weekly_TVPlant!$B$3&amp;$B$2&amp;$B$1)</f>
        <v>0</v>
      </c>
      <c r="Y15" s="2">
        <f>COUNTIF(defects!$X:$X,Weekly_TVPlant!Y$3&amp;Weekly_TVPlant!$B15&amp;Weekly_TVPlant!$B$3&amp;$B$2&amp;$B$1)</f>
        <v>0</v>
      </c>
      <c r="Z15" s="2">
        <f>COUNTIF(defects!$X:$X,Weekly_TVPlant!Z$3&amp;Weekly_TVPlant!$B15&amp;Weekly_TVPlant!$B$3&amp;$B$2&amp;$B$1)</f>
        <v>0</v>
      </c>
      <c r="AA15" s="2">
        <f>COUNTIF(defects!$X:$X,Weekly_TVPlant!AA$3&amp;Weekly_TVPlant!$B15&amp;Weekly_TVPlant!$B$3&amp;$B$2&amp;$B$1)</f>
        <v>0</v>
      </c>
      <c r="AB15" s="2">
        <f>COUNTIF(defects!$X:$X,Weekly_TVPlant!AB$3&amp;Weekly_TVPlant!$B15&amp;Weekly_TVPlant!$B$3&amp;$B$2&amp;$B$1)</f>
        <v>0</v>
      </c>
      <c r="AC15" s="2">
        <f>COUNTIF(defects!$X:$X,Weekly_TVPlant!AC$3&amp;Weekly_TVPlant!$B15&amp;Weekly_TVPlant!$B$3&amp;$B$2&amp;$B$1)</f>
        <v>0</v>
      </c>
      <c r="AD15" s="2">
        <f>COUNTIF(defects!$X:$X,Weekly_TVPlant!AD$3&amp;Weekly_TVPlant!$B15&amp;Weekly_TVPlant!$B$3&amp;$B$2&amp;$B$1)</f>
        <v>0</v>
      </c>
      <c r="AE15" s="2">
        <f>COUNTIF(defects!$X:$X,Weekly_TVPlant!AE$3&amp;Weekly_TVPlant!$B15&amp;Weekly_TVPlant!$B$3&amp;$B$2&amp;$B$1)</f>
        <v>0</v>
      </c>
      <c r="AF15" s="2">
        <f>COUNTIF(defects!$X:$X,Weekly_TVPlant!AF$3&amp;Weekly_TVPlant!$B15&amp;Weekly_TVPlant!$B$3&amp;$B$2&amp;$B$1)</f>
        <v>0</v>
      </c>
      <c r="AG15" s="2">
        <f>COUNTIF(defects!$X:$X,Weekly_TVPlant!AG$3&amp;Weekly_TVPlant!$B15&amp;Weekly_TVPlant!$B$3&amp;$B$2&amp;$B$1)</f>
        <v>0</v>
      </c>
      <c r="AH15" s="2">
        <f>COUNTIF(defects!$X:$X,Weekly_TVPlant!AH$3&amp;Weekly_TVPlant!$B15&amp;Weekly_TVPlant!$B$3&amp;$B$2&amp;$B$1)</f>
        <v>0</v>
      </c>
      <c r="AI15" s="2">
        <f>COUNTIF(defects!$X:$X,Weekly_TVPlant!AI$3&amp;Weekly_TVPlant!$B15&amp;Weekly_TVPlant!$B$3&amp;$B$2&amp;$B$1)</f>
        <v>0</v>
      </c>
      <c r="AJ15" s="2">
        <f>COUNTIF(defects!$X:$X,Weekly_TVPlant!AJ$3&amp;Weekly_TVPlant!$B15&amp;Weekly_TVPlant!$B$3&amp;$B$2&amp;$B$1)</f>
        <v>0</v>
      </c>
      <c r="AK15" s="2">
        <f>COUNTIF(defects!$X:$X,Weekly_TVPlant!AK$3&amp;Weekly_TVPlant!$B15&amp;Weekly_TVPlant!$B$3&amp;$B$2&amp;$B$1)</f>
        <v>0</v>
      </c>
      <c r="AL15" s="2">
        <f>COUNTIF(defects!$X:$X,Weekly_TVPlant!AL$3&amp;Weekly_TVPlant!$B15&amp;Weekly_TVPlant!$B$3&amp;$B$2&amp;$B$1)</f>
        <v>0</v>
      </c>
      <c r="AM15" s="2">
        <f>COUNTIF(defects!$X:$X,Weekly_TVPlant!AM$3&amp;Weekly_TVPlant!$B15&amp;Weekly_TVPlant!$B$3&amp;$B$2&amp;$B$1)</f>
        <v>0</v>
      </c>
      <c r="AN15" s="2">
        <f>COUNTIF(defects!$X:$X,Weekly_TVPlant!AN$3&amp;Weekly_TVPlant!$B15&amp;Weekly_TVPlant!$B$3&amp;$B$2&amp;$B$1)</f>
        <v>0</v>
      </c>
      <c r="AO15" s="2">
        <f>COUNTIF(defects!$X:$X,Weekly_TVPlant!AO$3&amp;Weekly_TVPlant!$B15&amp;Weekly_TVPlant!$B$3&amp;$B$2&amp;$B$1)</f>
        <v>0</v>
      </c>
      <c r="AP15" s="2">
        <f>COUNTIF(defects!$X:$X,Weekly_TVPlant!AP$3&amp;Weekly_TVPlant!$B15&amp;Weekly_TVPlant!$B$3&amp;$B$2&amp;$B$1)</f>
        <v>0</v>
      </c>
      <c r="AQ15" s="2">
        <f>COUNTIF(defects!$X:$X,Weekly_TVPlant!AQ$3&amp;Weekly_TVPlant!$B15&amp;Weekly_TVPlant!$B$3&amp;$B$2&amp;$B$1)</f>
        <v>0</v>
      </c>
      <c r="AR15" s="2">
        <f>COUNTIF(defects!$X:$X,Weekly_TVPlant!AR$3&amp;Weekly_TVPlant!$B15&amp;Weekly_TVPlant!$B$3&amp;$B$2&amp;$B$1)</f>
        <v>0</v>
      </c>
      <c r="AS15" s="2">
        <f>COUNTIF(defects!$X:$X,Weekly_TVPlant!AS$3&amp;Weekly_TVPlant!$B15&amp;Weekly_TVPlant!$B$3&amp;$B$2&amp;$B$1)</f>
        <v>0</v>
      </c>
      <c r="AT15" s="2">
        <f>COUNTIF(defects!$X:$X,Weekly_TVPlant!AT$3&amp;Weekly_TVPlant!$B15&amp;Weekly_TVPlant!$B$3&amp;$B$2&amp;$B$1)</f>
        <v>0</v>
      </c>
      <c r="AU15" s="2">
        <f>COUNTIF(defects!$X:$X,Weekly_TVPlant!AU$3&amp;Weekly_TVPlant!$B15&amp;Weekly_TVPlant!$B$3&amp;$B$2&amp;$B$1)</f>
        <v>0</v>
      </c>
      <c r="AV15" s="2">
        <f>COUNTIF(defects!$X:$X,Weekly_TVPlant!AV$3&amp;Weekly_TVPlant!$B15&amp;Weekly_TVPlant!$B$3&amp;$B$2&amp;$B$1)</f>
        <v>0</v>
      </c>
      <c r="AW15" s="2">
        <f>COUNTIF(defects!$X:$X,Weekly_TVPlant!AW$3&amp;Weekly_TVPlant!$B15&amp;Weekly_TVPlant!$B$3&amp;$B$2&amp;$B$1)</f>
        <v>0</v>
      </c>
      <c r="AX15" s="2">
        <f>COUNTIF(defects!$X:$X,Weekly_TVPlant!AX$3&amp;Weekly_TVPlant!$B15&amp;Weekly_TVPlant!$B$3&amp;$B$2&amp;$B$1)</f>
        <v>0</v>
      </c>
      <c r="AY15" s="2">
        <f>COUNTIF(defects!$X:$X,Weekly_TVPlant!AY$3&amp;Weekly_TVPlant!$B15&amp;Weekly_TVPlant!$B$3&amp;$B$2&amp;$B$1)</f>
        <v>0</v>
      </c>
      <c r="AZ15" s="2">
        <f>COUNTIF(defects!$X:$X,Weekly_TVPlant!AZ$3&amp;Weekly_TVPlant!$B15&amp;Weekly_TVPlant!$B$3&amp;$B$2&amp;$B$1)</f>
        <v>0</v>
      </c>
      <c r="BA15" s="2">
        <f>COUNTIF(defects!$X:$X,Weekly_TVPlant!BA$3&amp;Weekly_TVPlant!$B15&amp;Weekly_TVPlant!$B$3&amp;$B$2&amp;$B$1)</f>
        <v>0</v>
      </c>
      <c r="BB15" s="2">
        <f>COUNTIF(defects!$X:$X,Weekly_TVPlant!BB$3&amp;Weekly_TVPlant!$B15&amp;Weekly_TVPlant!$B$3&amp;$B$2&amp;$B$1)</f>
        <v>0</v>
      </c>
      <c r="BC15" s="2">
        <f>COUNTIF(defects!$X:$X,Weekly_TVPlant!BC$3&amp;Weekly_TVPlant!$B15&amp;Weekly_TVPlant!$B$3&amp;$B$2&amp;$B$1)</f>
        <v>0</v>
      </c>
      <c r="BD15" s="2">
        <f>COUNTIF(defects!$X:$X,Weekly_TVPlant!BD$3&amp;Weekly_TVPlant!$B15&amp;Weekly_TVPlant!$B$3&amp;$B$2&amp;$B$1)</f>
        <v>0</v>
      </c>
      <c r="BE15" s="2">
        <f>COUNTIF(defects!$X:$X,Weekly_TVPlant!BE$3&amp;Weekly_TVPlant!$B15&amp;Weekly_TVPlant!$B$3&amp;$B$2&amp;$B$1)</f>
        <v>0</v>
      </c>
      <c r="BF15" s="2">
        <f>COUNTIF(defects!$X:$X,Weekly_TVPlant!BF$3&amp;Weekly_TVPlant!$B15&amp;Weekly_TVPlant!$B$3&amp;$B$2&amp;$B$1)</f>
        <v>0</v>
      </c>
      <c r="BG15" s="2">
        <f>COUNTIF(defects!$X:$X,Weekly_TVPlant!BG$3&amp;Weekly_TVPlant!$B15&amp;Weekly_TVPlant!$B$3&amp;$B$2&amp;$B$1)</f>
        <v>0</v>
      </c>
      <c r="BH15" s="2">
        <f>COUNTIF(defects!$X:$X,Weekly_TVPlant!BH$3&amp;Weekly_TVPlant!$B15&amp;Weekly_TVPlant!$B$3&amp;$B$2&amp;$B$1)</f>
        <v>0</v>
      </c>
      <c r="BI15" s="2">
        <f>COUNTIF(defects!$X:$X,Weekly_TVPlant!BI$3&amp;Weekly_TVPlant!$B15&amp;Weekly_TVPlant!$B$3&amp;$B$2&amp;$B$1)</f>
        <v>0</v>
      </c>
      <c r="BJ15" s="2">
        <f>COUNTIF(defects!$X:$X,Weekly_TVPlant!BJ$3&amp;Weekly_TVPlant!$B15&amp;Weekly_TVPlant!$B$3&amp;$B$2&amp;$B$1)</f>
        <v>0</v>
      </c>
      <c r="BK15" s="2">
        <f>COUNTIF(defects!$X:$X,Weekly_TVPlant!BK$3&amp;Weekly_TVPlant!$B15&amp;Weekly_TVPlant!$B$3&amp;$B$2&amp;$B$1)</f>
        <v>0</v>
      </c>
      <c r="BL15" s="2">
        <f>COUNTIF(defects!$X:$X,Weekly_TVPlant!BL$3&amp;Weekly_TVPlant!$B15&amp;Weekly_TVPlant!$B$3&amp;$B$2&amp;$B$1)</f>
        <v>0</v>
      </c>
      <c r="BM15" s="2">
        <f>COUNTIF(defects!$X:$X,Weekly_TVPlant!BM$3&amp;Weekly_TVPlant!$B15&amp;Weekly_TVPlant!$B$3&amp;$B$2&amp;$B$1)</f>
        <v>0</v>
      </c>
      <c r="BN15" s="2">
        <f>COUNTIF(defects!$X:$X,Weekly_TVPlant!BN$3&amp;Weekly_TVPlant!$B15&amp;Weekly_TVPlant!$B$3&amp;$B$2&amp;$B$1)</f>
        <v>0</v>
      </c>
      <c r="BO15" s="2">
        <f>COUNTIF(defects!$X:$X,Weekly_TVPlant!BO$3&amp;Weekly_TVPlant!$B15&amp;Weekly_TVPlant!$B$3&amp;$B$2&amp;$B$1)</f>
        <v>0</v>
      </c>
      <c r="BP15" s="2">
        <f>COUNTIF(defects!$X:$X,Weekly_TVPlant!BP$3&amp;Weekly_TVPlant!$B15&amp;Weekly_TVPlant!$B$3&amp;$B$2&amp;$B$1)</f>
        <v>0</v>
      </c>
      <c r="BQ15" s="2">
        <f>COUNTIF(defects!$X:$X,Weekly_TVPlant!BQ$3&amp;Weekly_TVPlant!$B15&amp;Weekly_TVPlant!$B$3&amp;$B$2&amp;$B$1)</f>
        <v>0</v>
      </c>
      <c r="BR15" s="2">
        <f>COUNTIF(defects!$X:$X,Weekly_TVPlant!BR$3&amp;Weekly_TVPlant!$B15&amp;Weekly_TVPlant!$B$3&amp;$B$2&amp;$B$1)</f>
        <v>0</v>
      </c>
      <c r="BS15" s="2">
        <f>COUNTIF(defects!$X:$X,Weekly_TVPlant!BS$3&amp;Weekly_TVPlant!$B15&amp;Weekly_TVPlant!$B$3&amp;$B$2&amp;$B$1)</f>
        <v>0</v>
      </c>
      <c r="BT15" s="2">
        <f>COUNTIF(defects!$X:$X,Weekly_TVPlant!BT$3&amp;Weekly_TVPlant!$B15&amp;Weekly_TVPlant!$B$3&amp;$B$2&amp;$B$1)</f>
        <v>0</v>
      </c>
      <c r="BU15" s="2">
        <f>COUNTIF(defects!$X:$X,Weekly_TVPlant!BU$3&amp;Weekly_TVPlant!$B15&amp;Weekly_TVPlant!$B$3&amp;$B$2&amp;$B$1)</f>
        <v>0</v>
      </c>
      <c r="BV15" s="2">
        <f>COUNTIF(defects!$X:$X,Weekly_TVPlant!BV$3&amp;Weekly_TVPlant!$B15&amp;Weekly_TVPlant!$B$3&amp;$B$2&amp;$B$1)</f>
        <v>0</v>
      </c>
      <c r="BW15" s="2">
        <f>COUNTIF(defects!$X:$X,Weekly_TVPlant!BW$3&amp;Weekly_TVPlant!$B15&amp;Weekly_TVPlant!$B$3&amp;$B$2&amp;$B$1)</f>
        <v>0</v>
      </c>
      <c r="BX15" s="2">
        <f>COUNTIF(defects!$X:$X,Weekly_TVPlant!BX$3&amp;Weekly_TVPlant!$B15&amp;Weekly_TVPlant!$B$3&amp;$B$2&amp;$B$1)</f>
        <v>0</v>
      </c>
      <c r="BY15" s="2">
        <f>COUNTIF(defects!$X:$X,Weekly_TVPlant!BY$3&amp;Weekly_TVPlant!$B15&amp;Weekly_TVPlant!$B$3&amp;$B$2&amp;$B$1)</f>
        <v>1</v>
      </c>
      <c r="BZ15" s="2">
        <f>COUNTIF(defects!$X:$X,Weekly_TVPlant!BZ$3&amp;Weekly_TVPlant!$B15&amp;Weekly_TVPlant!$B$3&amp;$B$2&amp;$B$1)</f>
        <v>1</v>
      </c>
      <c r="CA15" s="2">
        <f>COUNTIF(defects!$X:$X,Weekly_TVPlant!CA$3&amp;Weekly_TVPlant!$B15&amp;Weekly_TVPlant!$B$3&amp;$B$2&amp;$B$1)</f>
        <v>0</v>
      </c>
      <c r="CB15" s="2">
        <f>COUNTIF(defects!$X:$X,Weekly_TVPlant!CB$3&amp;Weekly_TVPlant!$B15&amp;Weekly_TVPlant!$B$3&amp;$B$2&amp;$B$1)</f>
        <v>0</v>
      </c>
      <c r="CC15" s="2">
        <f>COUNTIF(defects!$X:$X,Weekly_TVPlant!CC$3&amp;Weekly_TVPlant!$B15&amp;Weekly_TVPlant!$B$3&amp;$B$2&amp;$B$1)</f>
        <v>2</v>
      </c>
      <c r="CD15" s="2">
        <f>COUNTIF(defects!$X:$X,Weekly_TVPlant!CD$3&amp;Weekly_TVPlant!$B15&amp;Weekly_TVPlant!$B$3&amp;$B$2&amp;$B$1)</f>
        <v>2</v>
      </c>
      <c r="CE15" s="2">
        <f>COUNTIF(defects!$X:$X,Weekly_TVPlant!CE$3&amp;Weekly_TVPlant!$B15&amp;Weekly_TVPlant!$B$3&amp;$B$2&amp;$B$1)</f>
        <v>2</v>
      </c>
      <c r="CF15" s="2">
        <f>COUNTIF(defects!$X:$X,Weekly_TVPlant!CF$3&amp;Weekly_TVPlant!$B15&amp;Weekly_TVPlant!$B$3&amp;$B$2&amp;$B$1)</f>
        <v>3</v>
      </c>
      <c r="CG15" s="2">
        <f>COUNTIF(defects!$X:$X,Weekly_TVPlant!CG$3&amp;Weekly_TVPlant!$B15&amp;Weekly_TVPlant!$B$3&amp;$B$2&amp;$B$1)</f>
        <v>0</v>
      </c>
      <c r="CH15" s="2">
        <f>COUNTIF(defects!$X:$X,Weekly_TVPlant!CH$3&amp;Weekly_TVPlant!$B15&amp;Weekly_TVPlant!$B$3&amp;$B$2&amp;$B$1)</f>
        <v>0</v>
      </c>
      <c r="CI15" s="2">
        <f>COUNTIF(defects!$X:$X,Weekly_TVPlant!CI$3&amp;Weekly_TVPlant!$B15&amp;Weekly_TVPlant!$B$3&amp;$B$2&amp;$B$1)</f>
        <v>2</v>
      </c>
      <c r="CJ15" s="2">
        <f>COUNTIF(defects!$X:$X,Weekly_TVPlant!CJ$3&amp;Weekly_TVPlant!$B15&amp;Weekly_TVPlant!$B$3&amp;$B$2&amp;$B$1)</f>
        <v>0</v>
      </c>
      <c r="CK15" s="2">
        <f>COUNTIF(defects!$X:$X,Weekly_TVPlant!CK$3&amp;Weekly_TVPlant!$B15&amp;Weekly_TVPlant!$B$3&amp;$B$2&amp;$B$1)</f>
        <v>0</v>
      </c>
      <c r="CL15" s="2">
        <f>COUNTIF(defects!$X:$X,Weekly_TVPlant!CL$3&amp;Weekly_TVPlant!$B15&amp;Weekly_TVPlant!$B$3&amp;$B$2&amp;$B$1)</f>
        <v>0</v>
      </c>
      <c r="CM15" s="2">
        <f>COUNTIF(defects!$X:$X,Weekly_TVPlant!CM$3&amp;Weekly_TVPlant!$B15&amp;Weekly_TVPlant!$B$3&amp;$B$2&amp;$B$1)</f>
        <v>1</v>
      </c>
      <c r="CN15" s="2">
        <f>COUNTIF(defects!$X:$X,Weekly_TVPlant!CN$3&amp;Weekly_TVPlant!$B15&amp;Weekly_TVPlant!$B$3&amp;$B$2&amp;$B$1)</f>
        <v>0</v>
      </c>
      <c r="CO15" s="2">
        <f>COUNTIF(defects!$X:$X,Weekly_TVPlant!CO$3&amp;Weekly_TVPlant!$B15&amp;Weekly_TVPlant!$B$3&amp;$B$2&amp;$B$1)</f>
        <v>2</v>
      </c>
      <c r="CP15" s="2">
        <f>COUNTIF(defects!$X:$X,Weekly_TVPlant!CP$3&amp;Weekly_TVPlant!$B15&amp;Weekly_TVPlant!$B$3&amp;$B$2&amp;$B$1)</f>
        <v>1</v>
      </c>
      <c r="CQ15" s="2">
        <f>COUNTIF(defects!$X:$X,Weekly_TVPlant!CQ$3&amp;Weekly_TVPlant!$B15&amp;Weekly_TVPlant!$B$3&amp;$B$2&amp;$B$1)</f>
        <v>0</v>
      </c>
      <c r="CR15" s="2">
        <f>COUNTIF(defects!$X:$X,Weekly_TVPlant!CR$3&amp;Weekly_TVPlant!$B15&amp;Weekly_TVPlant!$B$3&amp;$B$2&amp;$B$1)</f>
        <v>1</v>
      </c>
      <c r="CS15" s="2">
        <f>COUNTIF(defects!$X:$X,Weekly_TVPlant!CS$3&amp;Weekly_TVPlant!$B15&amp;Weekly_TVPlant!$B$3&amp;$B$2&amp;$B$1)</f>
        <v>1</v>
      </c>
      <c r="CT15" s="2">
        <f>COUNTIF(defects!$X:$X,Weekly_TVPlant!CT$3&amp;Weekly_TVPlant!$B15&amp;Weekly_TVPlant!$B$3&amp;$B$2&amp;$B$1)</f>
        <v>0</v>
      </c>
      <c r="CU15" s="2">
        <f>COUNTIF(defects!$X:$X,Weekly_TVPlant!CU$3&amp;Weekly_TVPlant!$B15&amp;Weekly_TVPlant!$B$3&amp;$B$2&amp;$B$1)</f>
        <v>0</v>
      </c>
      <c r="CV15" s="2">
        <f>COUNTIF(defects!$X:$X,Weekly_TVPlant!CV$3&amp;Weekly_TVPlant!$B15&amp;Weekly_TVPlant!$B$3&amp;$B$2&amp;$B$1)</f>
        <v>0</v>
      </c>
      <c r="CW15" s="2">
        <f>COUNTIF(defects!$X:$X,Weekly_TVPlant!CW$3&amp;Weekly_TVPlant!$B15&amp;Weekly_TVPlant!$B$3&amp;$B$2&amp;$B$1)</f>
        <v>0</v>
      </c>
      <c r="CX15" s="2">
        <f>COUNTIF(defects!$X:$X,Weekly_TVPlant!CX$3&amp;Weekly_TVPlant!$B15&amp;Weekly_TVPlant!$B$3&amp;$B$2&amp;$B$1)</f>
        <v>0</v>
      </c>
      <c r="CY15" s="2">
        <f>COUNTIF(defects!$X:$X,Weekly_TVPlant!CY$3&amp;Weekly_TVPlant!$B15&amp;Weekly_TVPlant!$B$3&amp;$B$2&amp;$B$1)</f>
        <v>4</v>
      </c>
      <c r="CZ15" s="2">
        <f>COUNTIF(defects!$X:$X,Weekly_TVPlant!CZ$3&amp;Weekly_TVPlant!$B15&amp;Weekly_TVPlant!$B$3&amp;$B$2&amp;$B$1)</f>
        <v>0</v>
      </c>
      <c r="DA15" s="2">
        <f>COUNTIF(defects!$X:$X,Weekly_TVPlant!DA$3&amp;Weekly_TVPlant!$B15&amp;Weekly_TVPlant!$B$3&amp;$B$2&amp;$B$1)</f>
        <v>0</v>
      </c>
      <c r="DB15" s="2">
        <f>COUNTIF(defects!$X:$X,Weekly_TVPlant!DB$3&amp;Weekly_TVPlant!$B15&amp;Weekly_TVPlant!$B$3&amp;$B$2&amp;$B$1)</f>
        <v>0</v>
      </c>
      <c r="DC15" s="2">
        <f>COUNTIF(defects!$X:$X,Weekly_TVPlant!DC$3&amp;Weekly_TVPlant!$B15&amp;Weekly_TVPlant!$B$3&amp;$B$2&amp;$B$1)</f>
        <v>0</v>
      </c>
      <c r="DD15" s="2">
        <f>COUNTIF(defects!$X:$X,Weekly_TVPlant!DD$3&amp;Weekly_TVPlant!$B15&amp;Weekly_TVPlant!$B$3&amp;$B$2&amp;$B$1)</f>
        <v>0</v>
      </c>
      <c r="DE15" s="2">
        <f>COUNTIF(defects!$X:$X,Weekly_TVPlant!DE$3&amp;Weekly_TVPlant!$B15&amp;Weekly_TVPlant!$B$3&amp;$B$2&amp;$B$1)</f>
        <v>0</v>
      </c>
      <c r="DF15" s="2">
        <f>COUNTIF(defects!$X:$X,Weekly_TVPlant!DF$3&amp;Weekly_TVPlant!$B15&amp;Weekly_TVPlant!$B$3&amp;$B$2&amp;$B$1)</f>
        <v>0</v>
      </c>
      <c r="DG15" s="2">
        <f>COUNTIF(defects!$X:$X,Weekly_TVPlant!DG$3&amp;Weekly_TVPlant!$B15&amp;Weekly_TVPlant!$B$3&amp;$B$2&amp;$B$1)</f>
        <v>0</v>
      </c>
      <c r="DH15" s="2">
        <f>COUNTIF(defects!$X:$X,Weekly_TVPlant!DH$3&amp;Weekly_TVPlant!$B15&amp;Weekly_TVPlant!$B$3&amp;$B$2&amp;$B$1)</f>
        <v>0</v>
      </c>
      <c r="DI15" s="2">
        <f>COUNTIF(defects!$X:$X,Weekly_TVPlant!DI$3&amp;Weekly_TVPlant!$B15&amp;Weekly_TVPlant!$B$3&amp;$B$2&amp;$B$1)</f>
        <v>0</v>
      </c>
      <c r="DJ15" s="2">
        <f>COUNTIF(defects!$X:$X,Weekly_TVPlant!DJ$3&amp;Weekly_TVPlant!$B15&amp;Weekly_TVPlant!$B$3&amp;$B$2&amp;$B$1)</f>
        <v>0</v>
      </c>
      <c r="DK15" s="2">
        <f>COUNTIF(defects!$X:$X,Weekly_TVPlant!DK$3&amp;Weekly_TVPlant!$B15&amp;Weekly_TVPlant!$B$3&amp;$B$2&amp;$B$1)</f>
        <v>0</v>
      </c>
      <c r="DL15" s="2">
        <f>COUNTIF(defects!$X:$X,Weekly_TVPlant!DL$3&amp;Weekly_TVPlant!$B15&amp;Weekly_TVPlant!$B$3&amp;$B$2&amp;$B$1)</f>
        <v>0</v>
      </c>
      <c r="DM15" s="2">
        <f>COUNTIF(defects!$X:$X,Weekly_TVPlant!DM$3&amp;Weekly_TVPlant!$B15&amp;Weekly_TVPlant!$B$3&amp;$B$2&amp;$B$1)</f>
        <v>0</v>
      </c>
      <c r="DN15" s="2">
        <f>COUNTIF(defects!$X:$X,Weekly_TVPlant!DN$3&amp;Weekly_TVPlant!$B15&amp;Weekly_TVPlant!$B$3&amp;$B$2&amp;$B$1)</f>
        <v>0</v>
      </c>
      <c r="DO15" s="2">
        <f>COUNTIF(defects!$X:$X,Weekly_TVPlant!DO$3&amp;Weekly_TVPlant!$B15&amp;Weekly_TVPlant!$B$3&amp;$B$2&amp;$B$1)</f>
        <v>0</v>
      </c>
      <c r="DP15" s="2">
        <f>COUNTIF(defects!$X:$X,Weekly_TVPlant!DP$3&amp;Weekly_TVPlant!$B15&amp;Weekly_TVPlant!$B$3&amp;$B$2&amp;$B$1)</f>
        <v>0</v>
      </c>
      <c r="DQ15" s="2">
        <f>COUNTIF(defects!$X:$X,Weekly_TVPlant!DQ$3&amp;Weekly_TVPlant!$B15&amp;Weekly_TVPlant!$B$3&amp;$B$2&amp;$B$1)</f>
        <v>0</v>
      </c>
      <c r="DR15" s="2">
        <f>COUNTIF(defects!$X:$X,Weekly_TVPlant!DR$3&amp;Weekly_TVPlant!$B15&amp;Weekly_TVPlant!$B$3&amp;$B$2&amp;$B$1)</f>
        <v>0</v>
      </c>
      <c r="DS15" s="2">
        <f>COUNTIF(defects!$X:$X,Weekly_TVPlant!DS$3&amp;Weekly_TVPlant!$B15&amp;Weekly_TVPlant!$B$3&amp;$B$2&amp;$B$1)</f>
        <v>0</v>
      </c>
      <c r="DT15" s="2">
        <f>COUNTIF(defects!$X:$X,Weekly_TVPlant!DT$3&amp;Weekly_TVPlant!$B15&amp;Weekly_TVPlant!$B$3&amp;$B$2&amp;$B$1)</f>
        <v>0</v>
      </c>
      <c r="DU15" s="2">
        <f>COUNTIF(defects!$X:$X,Weekly_TVPlant!DU$3&amp;Weekly_TVPlant!$B15&amp;Weekly_TVPlant!$B$3&amp;$B$2&amp;$B$1)</f>
        <v>0</v>
      </c>
      <c r="DV15" s="2">
        <f>COUNTIF(defects!$X:$X,Weekly_TVPlant!DV$3&amp;Weekly_TVPlant!$B15&amp;Weekly_TVPlant!$B$3&amp;$B$2&amp;$B$1)</f>
        <v>0</v>
      </c>
      <c r="DW15" s="2">
        <f>COUNTIF(defects!$X:$X,Weekly_TVPlant!DW$3&amp;Weekly_TVPlant!$B15&amp;Weekly_TVPlant!$B$3&amp;$B$2&amp;$B$1)</f>
        <v>0</v>
      </c>
      <c r="DX15" s="2">
        <f>COUNTIF(defects!$X:$X,Weekly_TVPlant!DX$3&amp;Weekly_TVPlant!$B15&amp;Weekly_TVPlant!$B$3&amp;$B$2&amp;$B$1)</f>
        <v>0</v>
      </c>
      <c r="DY15" s="2">
        <f>COUNTIF(defects!$X:$X,Weekly_TVPlant!DY$3&amp;Weekly_TVPlant!$B15&amp;Weekly_TVPlant!$B$3&amp;$B$2&amp;$B$1)</f>
        <v>0</v>
      </c>
      <c r="DZ15" s="2">
        <f>COUNTIF(defects!$X:$X,Weekly_TVPlant!DZ$3&amp;Weekly_TVPlant!$B15&amp;Weekly_TVPlant!$B$3&amp;$B$2&amp;$B$1)</f>
        <v>0</v>
      </c>
      <c r="EA15" s="2">
        <f>COUNTIF(defects!$X:$X,Weekly_TVPlant!EA$3&amp;Weekly_TVPlant!$B15&amp;Weekly_TVPlant!$B$3&amp;$B$2&amp;$B$1)</f>
        <v>0</v>
      </c>
      <c r="EB15" s="2">
        <f>COUNTIF(defects!$X:$X,Weekly_TVPlant!EB$3&amp;Weekly_TVPlant!$B15&amp;Weekly_TVPlant!$B$3&amp;$B$2&amp;$B$1)</f>
        <v>0</v>
      </c>
      <c r="EC15" s="2">
        <f>COUNTIF(defects!$X:$X,Weekly_TVPlant!EC$3&amp;Weekly_TVPlant!$B15&amp;Weekly_TVPlant!$B$3&amp;$B$2&amp;$B$1)</f>
        <v>0</v>
      </c>
      <c r="ED15" s="2">
        <f>COUNTIF(defects!$X:$X,Weekly_TVPlant!ED$3&amp;Weekly_TVPlant!$B15&amp;Weekly_TVPlant!$B$3&amp;$B$2&amp;$B$1)</f>
        <v>0</v>
      </c>
      <c r="EE15" s="2">
        <f>COUNTIF(defects!$X:$X,Weekly_TVPlant!EE$3&amp;Weekly_TVPlant!$B15&amp;Weekly_TVPlant!$B$3&amp;$B$2&amp;$B$1)</f>
        <v>0</v>
      </c>
      <c r="EF15" s="2">
        <f>COUNTIF(defects!$X:$X,Weekly_TVPlant!EF$3&amp;Weekly_TVPlant!$B15&amp;Weekly_TVPlant!$B$3&amp;$B$2&amp;$B$1)</f>
        <v>0</v>
      </c>
      <c r="EG15" s="2">
        <f>COUNTIF(defects!$X:$X,Weekly_TVPlant!EG$3&amp;Weekly_TVPlant!$B15&amp;Weekly_TVPlant!$B$3&amp;$B$2&amp;$B$1)</f>
        <v>0</v>
      </c>
      <c r="EH15" s="2">
        <f>COUNTIF(defects!$X:$X,Weekly_TVPlant!EH$3&amp;Weekly_TVPlant!$B15&amp;Weekly_TVPlant!$B$3&amp;$B$2&amp;$B$1)</f>
        <v>0</v>
      </c>
      <c r="EI15" s="2">
        <f>COUNTIF(defects!$X:$X,Weekly_TVPlant!EI$3&amp;Weekly_TVPlant!$B15&amp;Weekly_TVPlant!$B$3&amp;$B$2&amp;$B$1)</f>
        <v>0</v>
      </c>
      <c r="EJ15" s="2">
        <f>COUNTIF(defects!$X:$X,Weekly_TVPlant!EJ$3&amp;Weekly_TVPlant!$B15&amp;Weekly_TVPlant!$B$3&amp;$B$2&amp;$B$1)</f>
        <v>0</v>
      </c>
      <c r="EK15" s="2">
        <f>COUNTIF(defects!$X:$X,Weekly_TVPlant!EK$3&amp;Weekly_TVPlant!$B15&amp;Weekly_TVPlant!$B$3&amp;$B$2&amp;$B$1)</f>
        <v>0</v>
      </c>
      <c r="EL15" s="2">
        <f>COUNTIF(defects!$X:$X,Weekly_TVPlant!EL$3&amp;Weekly_TVPlant!$B15&amp;Weekly_TVPlant!$B$3&amp;$B$2&amp;$B$1)</f>
        <v>0</v>
      </c>
      <c r="EM15" s="2">
        <f>COUNTIF(defects!$X:$X,Weekly_TVPlant!EM$3&amp;Weekly_TVPlant!$B15&amp;Weekly_TVPlant!$B$3&amp;$B$2&amp;$B$1)</f>
        <v>0</v>
      </c>
      <c r="EN15" s="2">
        <f>COUNTIF(defects!$X:$X,Weekly_TVPlant!EN$3&amp;Weekly_TVPlant!$B15&amp;Weekly_TVPlant!$B$3&amp;$B$2&amp;$B$1)</f>
        <v>0</v>
      </c>
      <c r="EO15" s="2">
        <f>COUNTIF(defects!$X:$X,Weekly_TVPlant!EO$3&amp;Weekly_TVPlant!$B15&amp;Weekly_TVPlant!$B$3&amp;$B$2&amp;$B$1)</f>
        <v>0</v>
      </c>
      <c r="EP15" s="2">
        <f>COUNTIF(defects!$X:$X,Weekly_TVPlant!EP$3&amp;Weekly_TVPlant!$B15&amp;Weekly_TVPlant!$B$3&amp;$B$2&amp;$B$1)</f>
        <v>0</v>
      </c>
      <c r="EQ15" s="2">
        <f>COUNTIF(defects!$X:$X,Weekly_TVPlant!EQ$3&amp;Weekly_TVPlant!$B15&amp;Weekly_TVPlant!$B$3&amp;$B$2&amp;$B$1)</f>
        <v>0</v>
      </c>
      <c r="ER15" s="2">
        <f>COUNTIF(defects!$X:$X,Weekly_TVPlant!ER$3&amp;Weekly_TVPlant!$B15&amp;Weekly_TVPlant!$B$3&amp;$B$2&amp;$B$1)</f>
        <v>0</v>
      </c>
      <c r="ES15" s="2">
        <f>COUNTIF(defects!$X:$X,Weekly_TVPlant!ES$3&amp;Weekly_TVPlant!$B15&amp;Weekly_TVPlant!$B$3&amp;$B$2&amp;$B$1)</f>
        <v>0</v>
      </c>
      <c r="ET15" s="2">
        <f>COUNTIF(defects!$X:$X,Weekly_TVPlant!ET$3&amp;Weekly_TVPlant!$B15&amp;Weekly_TVPlant!$B$3&amp;$B$2&amp;$B$1)</f>
        <v>0</v>
      </c>
      <c r="EU15" s="2">
        <f>COUNTIF(defects!$X:$X,Weekly_TVPlant!EU$3&amp;Weekly_TVPlant!$B15&amp;Weekly_TVPlant!$B$3&amp;$B$2&amp;$B$1)</f>
        <v>0</v>
      </c>
      <c r="EV15" s="2">
        <f>COUNTIF(defects!$X:$X,Weekly_TVPlant!EV$3&amp;Weekly_TVPlant!$B15&amp;Weekly_TVPlant!$B$3&amp;$B$2&amp;$B$1)</f>
        <v>0</v>
      </c>
      <c r="EW15" s="2">
        <f>COUNTIF(defects!$X:$X,Weekly_TVPlant!EW$3&amp;Weekly_TVPlant!$B15&amp;Weekly_TVPlant!$B$3&amp;$B$2&amp;$B$1)</f>
        <v>0</v>
      </c>
      <c r="EX15" s="2">
        <f>COUNTIF(defects!$X:$X,Weekly_TVPlant!EX$3&amp;Weekly_TVPlant!$B15&amp;Weekly_TVPlant!$B$3&amp;$B$2&amp;$B$1)</f>
        <v>0</v>
      </c>
      <c r="EY15" s="2">
        <f>COUNTIF(defects!$X:$X,Weekly_TVPlant!EY$3&amp;Weekly_TVPlant!$B15&amp;Weekly_TVPlant!$B$3&amp;$B$2&amp;$B$1)</f>
        <v>0</v>
      </c>
      <c r="EZ15" s="2">
        <f>COUNTIF(defects!$X:$X,Weekly_TVPlant!EZ$3&amp;Weekly_TVPlant!$B15&amp;Weekly_TVPlant!$B$3&amp;$B$2&amp;$B$1)</f>
        <v>0</v>
      </c>
      <c r="FA15" s="2">
        <f>COUNTIF(defects!$X:$X,Weekly_TVPlant!FA$3&amp;Weekly_TVPlant!$B15&amp;Weekly_TVPlant!$B$3&amp;$B$2&amp;$B$1)</f>
        <v>0</v>
      </c>
      <c r="FB15" s="2">
        <f>COUNTIF(defects!$X:$X,Weekly_TVPlant!FB$3&amp;Weekly_TVPlant!$B15&amp;Weekly_TVPlant!$B$3&amp;$B$2&amp;$B$1)</f>
        <v>0</v>
      </c>
      <c r="FC15" s="2">
        <f>COUNTIF(defects!$X:$X,Weekly_TVPlant!FC$3&amp;Weekly_TVPlant!$B15&amp;Weekly_TVPlant!$B$3&amp;$B$2&amp;$B$1)</f>
        <v>0</v>
      </c>
      <c r="FD15" s="2">
        <f>COUNTIF(defects!$X:$X,Weekly_TVPlant!FD$3&amp;Weekly_TVPlant!$B15&amp;Weekly_TVPlant!$B$3&amp;$B$2&amp;$B$1)</f>
        <v>0</v>
      </c>
      <c r="FE15" s="2">
        <f>COUNTIF(defects!$X:$X,Weekly_TVPlant!FE$3&amp;Weekly_TVPlant!$B15&amp;Weekly_TVPlant!$B$3&amp;$B$2&amp;$B$1)</f>
        <v>0</v>
      </c>
    </row>
    <row r="16" spans="2:161">
      <c r="B16" s="2" t="s">
        <v>28</v>
      </c>
      <c r="C16" s="2">
        <f>COUNTIF(defects!$X:$X,Weekly_TVPlant!C$3&amp;Weekly_TVPlant!$B16&amp;Weekly_TVPlant!$B$3&amp;$B$2&amp;$B$1)</f>
        <v>0</v>
      </c>
      <c r="D16" s="2">
        <f>COUNTIF(defects!$X:$X,Weekly_TVPlant!D$3&amp;Weekly_TVPlant!$B16&amp;Weekly_TVPlant!$B$3&amp;$B$2&amp;$B$1)</f>
        <v>0</v>
      </c>
      <c r="E16" s="2">
        <f>COUNTIF(defects!$X:$X,Weekly_TVPlant!E$3&amp;Weekly_TVPlant!$B16&amp;Weekly_TVPlant!$B$3&amp;$B$2&amp;$B$1)</f>
        <v>0</v>
      </c>
      <c r="F16" s="2">
        <f>COUNTIF(defects!$X:$X,Weekly_TVPlant!F$3&amp;Weekly_TVPlant!$B16&amp;Weekly_TVPlant!$B$3&amp;$B$2&amp;$B$1)</f>
        <v>0</v>
      </c>
      <c r="G16" s="2">
        <f>COUNTIF(defects!$X:$X,Weekly_TVPlant!G$3&amp;Weekly_TVPlant!$B16&amp;Weekly_TVPlant!$B$3&amp;$B$2&amp;$B$1)</f>
        <v>0</v>
      </c>
      <c r="H16" s="2">
        <f>COUNTIF(defects!$X:$X,Weekly_TVPlant!H$3&amp;Weekly_TVPlant!$B16&amp;Weekly_TVPlant!$B$3&amp;$B$2&amp;$B$1)</f>
        <v>0</v>
      </c>
      <c r="I16" s="2">
        <f>COUNTIF(defects!$X:$X,Weekly_TVPlant!I$3&amp;Weekly_TVPlant!$B16&amp;Weekly_TVPlant!$B$3&amp;$B$2&amp;$B$1)</f>
        <v>0</v>
      </c>
      <c r="J16" s="2">
        <f>COUNTIF(defects!$X:$X,Weekly_TVPlant!J$3&amp;Weekly_TVPlant!$B16&amp;Weekly_TVPlant!$B$3&amp;$B$2&amp;$B$1)</f>
        <v>0</v>
      </c>
      <c r="K16" s="2">
        <f>COUNTIF(defects!$X:$X,Weekly_TVPlant!K$3&amp;Weekly_TVPlant!$B16&amp;Weekly_TVPlant!$B$3&amp;$B$2&amp;$B$1)</f>
        <v>0</v>
      </c>
      <c r="L16" s="2">
        <f>COUNTIF(defects!$X:$X,Weekly_TVPlant!L$3&amp;Weekly_TVPlant!$B16&amp;Weekly_TVPlant!$B$3&amp;$B$2&amp;$B$1)</f>
        <v>0</v>
      </c>
      <c r="M16" s="2">
        <f>COUNTIF(defects!$X:$X,Weekly_TVPlant!M$3&amp;Weekly_TVPlant!$B16&amp;Weekly_TVPlant!$B$3&amp;$B$2&amp;$B$1)</f>
        <v>0</v>
      </c>
      <c r="N16" s="2">
        <f>COUNTIF(defects!$X:$X,Weekly_TVPlant!N$3&amp;Weekly_TVPlant!$B16&amp;Weekly_TVPlant!$B$3&amp;$B$2&amp;$B$1)</f>
        <v>0</v>
      </c>
      <c r="O16" s="2">
        <f>COUNTIF(defects!$X:$X,Weekly_TVPlant!O$3&amp;Weekly_TVPlant!$B16&amp;Weekly_TVPlant!$B$3&amp;$B$2&amp;$B$1)</f>
        <v>0</v>
      </c>
      <c r="P16" s="2">
        <f>COUNTIF(defects!$X:$X,Weekly_TVPlant!P$3&amp;Weekly_TVPlant!$B16&amp;Weekly_TVPlant!$B$3&amp;$B$2&amp;$B$1)</f>
        <v>0</v>
      </c>
      <c r="Q16" s="2">
        <f>COUNTIF(defects!$X:$X,Weekly_TVPlant!Q$3&amp;Weekly_TVPlant!$B16&amp;Weekly_TVPlant!$B$3&amp;$B$2&amp;$B$1)</f>
        <v>0</v>
      </c>
      <c r="R16" s="2">
        <f>COUNTIF(defects!$X:$X,Weekly_TVPlant!R$3&amp;Weekly_TVPlant!$B16&amp;Weekly_TVPlant!$B$3&amp;$B$2&amp;$B$1)</f>
        <v>0</v>
      </c>
      <c r="S16" s="2">
        <f>COUNTIF(defects!$X:$X,Weekly_TVPlant!S$3&amp;Weekly_TVPlant!$B16&amp;Weekly_TVPlant!$B$3&amp;$B$2&amp;$B$1)</f>
        <v>0</v>
      </c>
      <c r="T16" s="2">
        <f>COUNTIF(defects!$X:$X,Weekly_TVPlant!T$3&amp;Weekly_TVPlant!$B16&amp;Weekly_TVPlant!$B$3&amp;$B$2&amp;$B$1)</f>
        <v>0</v>
      </c>
      <c r="U16" s="2">
        <f>COUNTIF(defects!$X:$X,Weekly_TVPlant!U$3&amp;Weekly_TVPlant!$B16&amp;Weekly_TVPlant!$B$3&amp;$B$2&amp;$B$1)</f>
        <v>0</v>
      </c>
      <c r="V16" s="2">
        <f>COUNTIF(defects!$X:$X,Weekly_TVPlant!V$3&amp;Weekly_TVPlant!$B16&amp;Weekly_TVPlant!$B$3&amp;$B$2&amp;$B$1)</f>
        <v>0</v>
      </c>
      <c r="W16" s="2">
        <f>COUNTIF(defects!$X:$X,Weekly_TVPlant!W$3&amp;Weekly_TVPlant!$B16&amp;Weekly_TVPlant!$B$3&amp;$B$2&amp;$B$1)</f>
        <v>0</v>
      </c>
      <c r="X16" s="2">
        <f>COUNTIF(defects!$X:$X,Weekly_TVPlant!X$3&amp;Weekly_TVPlant!$B16&amp;Weekly_TVPlant!$B$3&amp;$B$2&amp;$B$1)</f>
        <v>0</v>
      </c>
      <c r="Y16" s="2">
        <f>COUNTIF(defects!$X:$X,Weekly_TVPlant!Y$3&amp;Weekly_TVPlant!$B16&amp;Weekly_TVPlant!$B$3&amp;$B$2&amp;$B$1)</f>
        <v>0</v>
      </c>
      <c r="Z16" s="2">
        <f>COUNTIF(defects!$X:$X,Weekly_TVPlant!Z$3&amp;Weekly_TVPlant!$B16&amp;Weekly_TVPlant!$B$3&amp;$B$2&amp;$B$1)</f>
        <v>0</v>
      </c>
      <c r="AA16" s="2">
        <f>COUNTIF(defects!$X:$X,Weekly_TVPlant!AA$3&amp;Weekly_TVPlant!$B16&amp;Weekly_TVPlant!$B$3&amp;$B$2&amp;$B$1)</f>
        <v>0</v>
      </c>
      <c r="AB16" s="2">
        <f>COUNTIF(defects!$X:$X,Weekly_TVPlant!AB$3&amp;Weekly_TVPlant!$B16&amp;Weekly_TVPlant!$B$3&amp;$B$2&amp;$B$1)</f>
        <v>0</v>
      </c>
      <c r="AC16" s="2">
        <f>COUNTIF(defects!$X:$X,Weekly_TVPlant!AC$3&amp;Weekly_TVPlant!$B16&amp;Weekly_TVPlant!$B$3&amp;$B$2&amp;$B$1)</f>
        <v>0</v>
      </c>
      <c r="AD16" s="2">
        <f>COUNTIF(defects!$X:$X,Weekly_TVPlant!AD$3&amp;Weekly_TVPlant!$B16&amp;Weekly_TVPlant!$B$3&amp;$B$2&amp;$B$1)</f>
        <v>0</v>
      </c>
      <c r="AE16" s="2">
        <f>COUNTIF(defects!$X:$X,Weekly_TVPlant!AE$3&amp;Weekly_TVPlant!$B16&amp;Weekly_TVPlant!$B$3&amp;$B$2&amp;$B$1)</f>
        <v>0</v>
      </c>
      <c r="AF16" s="2">
        <f>COUNTIF(defects!$X:$X,Weekly_TVPlant!AF$3&amp;Weekly_TVPlant!$B16&amp;Weekly_TVPlant!$B$3&amp;$B$2&amp;$B$1)</f>
        <v>0</v>
      </c>
      <c r="AG16" s="2">
        <f>COUNTIF(defects!$X:$X,Weekly_TVPlant!AG$3&amp;Weekly_TVPlant!$B16&amp;Weekly_TVPlant!$B$3&amp;$B$2&amp;$B$1)</f>
        <v>0</v>
      </c>
      <c r="AH16" s="2">
        <f>COUNTIF(defects!$X:$X,Weekly_TVPlant!AH$3&amp;Weekly_TVPlant!$B16&amp;Weekly_TVPlant!$B$3&amp;$B$2&amp;$B$1)</f>
        <v>0</v>
      </c>
      <c r="AI16" s="2">
        <f>COUNTIF(defects!$X:$X,Weekly_TVPlant!AI$3&amp;Weekly_TVPlant!$B16&amp;Weekly_TVPlant!$B$3&amp;$B$2&amp;$B$1)</f>
        <v>0</v>
      </c>
      <c r="AJ16" s="2">
        <f>COUNTIF(defects!$X:$X,Weekly_TVPlant!AJ$3&amp;Weekly_TVPlant!$B16&amp;Weekly_TVPlant!$B$3&amp;$B$2&amp;$B$1)</f>
        <v>0</v>
      </c>
      <c r="AK16" s="2">
        <f>COUNTIF(defects!$X:$X,Weekly_TVPlant!AK$3&amp;Weekly_TVPlant!$B16&amp;Weekly_TVPlant!$B$3&amp;$B$2&amp;$B$1)</f>
        <v>0</v>
      </c>
      <c r="AL16" s="2">
        <f>COUNTIF(defects!$X:$X,Weekly_TVPlant!AL$3&amp;Weekly_TVPlant!$B16&amp;Weekly_TVPlant!$B$3&amp;$B$2&amp;$B$1)</f>
        <v>0</v>
      </c>
      <c r="AM16" s="2">
        <f>COUNTIF(defects!$X:$X,Weekly_TVPlant!AM$3&amp;Weekly_TVPlant!$B16&amp;Weekly_TVPlant!$B$3&amp;$B$2&amp;$B$1)</f>
        <v>0</v>
      </c>
      <c r="AN16" s="2">
        <f>COUNTIF(defects!$X:$X,Weekly_TVPlant!AN$3&amp;Weekly_TVPlant!$B16&amp;Weekly_TVPlant!$B$3&amp;$B$2&amp;$B$1)</f>
        <v>0</v>
      </c>
      <c r="AO16" s="2">
        <f>COUNTIF(defects!$X:$X,Weekly_TVPlant!AO$3&amp;Weekly_TVPlant!$B16&amp;Weekly_TVPlant!$B$3&amp;$B$2&amp;$B$1)</f>
        <v>0</v>
      </c>
      <c r="AP16" s="2">
        <f>COUNTIF(defects!$X:$X,Weekly_TVPlant!AP$3&amp;Weekly_TVPlant!$B16&amp;Weekly_TVPlant!$B$3&amp;$B$2&amp;$B$1)</f>
        <v>0</v>
      </c>
      <c r="AQ16" s="2">
        <f>COUNTIF(defects!$X:$X,Weekly_TVPlant!AQ$3&amp;Weekly_TVPlant!$B16&amp;Weekly_TVPlant!$B$3&amp;$B$2&amp;$B$1)</f>
        <v>0</v>
      </c>
      <c r="AR16" s="2">
        <f>COUNTIF(defects!$X:$X,Weekly_TVPlant!AR$3&amp;Weekly_TVPlant!$B16&amp;Weekly_TVPlant!$B$3&amp;$B$2&amp;$B$1)</f>
        <v>0</v>
      </c>
      <c r="AS16" s="2">
        <f>COUNTIF(defects!$X:$X,Weekly_TVPlant!AS$3&amp;Weekly_TVPlant!$B16&amp;Weekly_TVPlant!$B$3&amp;$B$2&amp;$B$1)</f>
        <v>0</v>
      </c>
      <c r="AT16" s="2">
        <f>COUNTIF(defects!$X:$X,Weekly_TVPlant!AT$3&amp;Weekly_TVPlant!$B16&amp;Weekly_TVPlant!$B$3&amp;$B$2&amp;$B$1)</f>
        <v>0</v>
      </c>
      <c r="AU16" s="2">
        <f>COUNTIF(defects!$X:$X,Weekly_TVPlant!AU$3&amp;Weekly_TVPlant!$B16&amp;Weekly_TVPlant!$B$3&amp;$B$2&amp;$B$1)</f>
        <v>0</v>
      </c>
      <c r="AV16" s="2">
        <f>COUNTIF(defects!$X:$X,Weekly_TVPlant!AV$3&amp;Weekly_TVPlant!$B16&amp;Weekly_TVPlant!$B$3&amp;$B$2&amp;$B$1)</f>
        <v>0</v>
      </c>
      <c r="AW16" s="2">
        <f>COUNTIF(defects!$X:$X,Weekly_TVPlant!AW$3&amp;Weekly_TVPlant!$B16&amp;Weekly_TVPlant!$B$3&amp;$B$2&amp;$B$1)</f>
        <v>0</v>
      </c>
      <c r="AX16" s="2">
        <f>COUNTIF(defects!$X:$X,Weekly_TVPlant!AX$3&amp;Weekly_TVPlant!$B16&amp;Weekly_TVPlant!$B$3&amp;$B$2&amp;$B$1)</f>
        <v>0</v>
      </c>
      <c r="AY16" s="2">
        <f>COUNTIF(defects!$X:$X,Weekly_TVPlant!AY$3&amp;Weekly_TVPlant!$B16&amp;Weekly_TVPlant!$B$3&amp;$B$2&amp;$B$1)</f>
        <v>0</v>
      </c>
      <c r="AZ16" s="2">
        <f>COUNTIF(defects!$X:$X,Weekly_TVPlant!AZ$3&amp;Weekly_TVPlant!$B16&amp;Weekly_TVPlant!$B$3&amp;$B$2&amp;$B$1)</f>
        <v>0</v>
      </c>
      <c r="BA16" s="2">
        <f>COUNTIF(defects!$X:$X,Weekly_TVPlant!BA$3&amp;Weekly_TVPlant!$B16&amp;Weekly_TVPlant!$B$3&amp;$B$2&amp;$B$1)</f>
        <v>0</v>
      </c>
      <c r="BB16" s="2">
        <f>COUNTIF(defects!$X:$X,Weekly_TVPlant!BB$3&amp;Weekly_TVPlant!$B16&amp;Weekly_TVPlant!$B$3&amp;$B$2&amp;$B$1)</f>
        <v>0</v>
      </c>
      <c r="BC16" s="2">
        <f>COUNTIF(defects!$X:$X,Weekly_TVPlant!BC$3&amp;Weekly_TVPlant!$B16&amp;Weekly_TVPlant!$B$3&amp;$B$2&amp;$B$1)</f>
        <v>0</v>
      </c>
      <c r="BD16" s="2">
        <f>COUNTIF(defects!$X:$X,Weekly_TVPlant!BD$3&amp;Weekly_TVPlant!$B16&amp;Weekly_TVPlant!$B$3&amp;$B$2&amp;$B$1)</f>
        <v>0</v>
      </c>
      <c r="BE16" s="2">
        <f>COUNTIF(defects!$X:$X,Weekly_TVPlant!BE$3&amp;Weekly_TVPlant!$B16&amp;Weekly_TVPlant!$B$3&amp;$B$2&amp;$B$1)</f>
        <v>0</v>
      </c>
      <c r="BF16" s="2">
        <f>COUNTIF(defects!$X:$X,Weekly_TVPlant!BF$3&amp;Weekly_TVPlant!$B16&amp;Weekly_TVPlant!$B$3&amp;$B$2&amp;$B$1)</f>
        <v>0</v>
      </c>
      <c r="BG16" s="2">
        <f>COUNTIF(defects!$X:$X,Weekly_TVPlant!BG$3&amp;Weekly_TVPlant!$B16&amp;Weekly_TVPlant!$B$3&amp;$B$2&amp;$B$1)</f>
        <v>0</v>
      </c>
      <c r="BH16" s="2">
        <f>COUNTIF(defects!$X:$X,Weekly_TVPlant!BH$3&amp;Weekly_TVPlant!$B16&amp;Weekly_TVPlant!$B$3&amp;$B$2&amp;$B$1)</f>
        <v>0</v>
      </c>
      <c r="BI16" s="2">
        <f>COUNTIF(defects!$X:$X,Weekly_TVPlant!BI$3&amp;Weekly_TVPlant!$B16&amp;Weekly_TVPlant!$B$3&amp;$B$2&amp;$B$1)</f>
        <v>0</v>
      </c>
      <c r="BJ16" s="2">
        <f>COUNTIF(defects!$X:$X,Weekly_TVPlant!BJ$3&amp;Weekly_TVPlant!$B16&amp;Weekly_TVPlant!$B$3&amp;$B$2&amp;$B$1)</f>
        <v>0</v>
      </c>
      <c r="BK16" s="2">
        <f>COUNTIF(defects!$X:$X,Weekly_TVPlant!BK$3&amp;Weekly_TVPlant!$B16&amp;Weekly_TVPlant!$B$3&amp;$B$2&amp;$B$1)</f>
        <v>0</v>
      </c>
      <c r="BL16" s="2">
        <f>COUNTIF(defects!$X:$X,Weekly_TVPlant!BL$3&amp;Weekly_TVPlant!$B16&amp;Weekly_TVPlant!$B$3&amp;$B$2&amp;$B$1)</f>
        <v>0</v>
      </c>
      <c r="BM16" s="2">
        <f>COUNTIF(defects!$X:$X,Weekly_TVPlant!BM$3&amp;Weekly_TVPlant!$B16&amp;Weekly_TVPlant!$B$3&amp;$B$2&amp;$B$1)</f>
        <v>0</v>
      </c>
      <c r="BN16" s="2">
        <f>COUNTIF(defects!$X:$X,Weekly_TVPlant!BN$3&amp;Weekly_TVPlant!$B16&amp;Weekly_TVPlant!$B$3&amp;$B$2&amp;$B$1)</f>
        <v>0</v>
      </c>
      <c r="BO16" s="2">
        <f>COUNTIF(defects!$X:$X,Weekly_TVPlant!BO$3&amp;Weekly_TVPlant!$B16&amp;Weekly_TVPlant!$B$3&amp;$B$2&amp;$B$1)</f>
        <v>0</v>
      </c>
      <c r="BP16" s="2">
        <f>COUNTIF(defects!$X:$X,Weekly_TVPlant!BP$3&amp;Weekly_TVPlant!$B16&amp;Weekly_TVPlant!$B$3&amp;$B$2&amp;$B$1)</f>
        <v>0</v>
      </c>
      <c r="BQ16" s="2">
        <f>COUNTIF(defects!$X:$X,Weekly_TVPlant!BQ$3&amp;Weekly_TVPlant!$B16&amp;Weekly_TVPlant!$B$3&amp;$B$2&amp;$B$1)</f>
        <v>0</v>
      </c>
      <c r="BR16" s="2">
        <f>COUNTIF(defects!$X:$X,Weekly_TVPlant!BR$3&amp;Weekly_TVPlant!$B16&amp;Weekly_TVPlant!$B$3&amp;$B$2&amp;$B$1)</f>
        <v>0</v>
      </c>
      <c r="BS16" s="2">
        <f>COUNTIF(defects!$X:$X,Weekly_TVPlant!BS$3&amp;Weekly_TVPlant!$B16&amp;Weekly_TVPlant!$B$3&amp;$B$2&amp;$B$1)</f>
        <v>0</v>
      </c>
      <c r="BT16" s="2">
        <f>COUNTIF(defects!$X:$X,Weekly_TVPlant!BT$3&amp;Weekly_TVPlant!$B16&amp;Weekly_TVPlant!$B$3&amp;$B$2&amp;$B$1)</f>
        <v>0</v>
      </c>
      <c r="BU16" s="2">
        <f>COUNTIF(defects!$X:$X,Weekly_TVPlant!BU$3&amp;Weekly_TVPlant!$B16&amp;Weekly_TVPlant!$B$3&amp;$B$2&amp;$B$1)</f>
        <v>1</v>
      </c>
      <c r="BV16" s="2">
        <f>COUNTIF(defects!$X:$X,Weekly_TVPlant!BV$3&amp;Weekly_TVPlant!$B16&amp;Weekly_TVPlant!$B$3&amp;$B$2&amp;$B$1)</f>
        <v>0</v>
      </c>
      <c r="BW16" s="2">
        <f>COUNTIF(defects!$X:$X,Weekly_TVPlant!BW$3&amp;Weekly_TVPlant!$B16&amp;Weekly_TVPlant!$B$3&amp;$B$2&amp;$B$1)</f>
        <v>0</v>
      </c>
      <c r="BX16" s="2">
        <f>COUNTIF(defects!$X:$X,Weekly_TVPlant!BX$3&amp;Weekly_TVPlant!$B16&amp;Weekly_TVPlant!$B$3&amp;$B$2&amp;$B$1)</f>
        <v>0</v>
      </c>
      <c r="BY16" s="2">
        <f>COUNTIF(defects!$X:$X,Weekly_TVPlant!BY$3&amp;Weekly_TVPlant!$B16&amp;Weekly_TVPlant!$B$3&amp;$B$2&amp;$B$1)</f>
        <v>0</v>
      </c>
      <c r="BZ16" s="2">
        <f>COUNTIF(defects!$X:$X,Weekly_TVPlant!BZ$3&amp;Weekly_TVPlant!$B16&amp;Weekly_TVPlant!$B$3&amp;$B$2&amp;$B$1)</f>
        <v>0</v>
      </c>
      <c r="CA16" s="2">
        <f>COUNTIF(defects!$X:$X,Weekly_TVPlant!CA$3&amp;Weekly_TVPlant!$B16&amp;Weekly_TVPlant!$B$3&amp;$B$2&amp;$B$1)</f>
        <v>0</v>
      </c>
      <c r="CB16" s="2">
        <f>COUNTIF(defects!$X:$X,Weekly_TVPlant!CB$3&amp;Weekly_TVPlant!$B16&amp;Weekly_TVPlant!$B$3&amp;$B$2&amp;$B$1)</f>
        <v>0</v>
      </c>
      <c r="CC16" s="2">
        <f>COUNTIF(defects!$X:$X,Weekly_TVPlant!CC$3&amp;Weekly_TVPlant!$B16&amp;Weekly_TVPlant!$B$3&amp;$B$2&amp;$B$1)</f>
        <v>1</v>
      </c>
      <c r="CD16" s="2">
        <f>COUNTIF(defects!$X:$X,Weekly_TVPlant!CD$3&amp;Weekly_TVPlant!$B16&amp;Weekly_TVPlant!$B$3&amp;$B$2&amp;$B$1)</f>
        <v>1</v>
      </c>
      <c r="CE16" s="2">
        <f>COUNTIF(defects!$X:$X,Weekly_TVPlant!CE$3&amp;Weekly_TVPlant!$B16&amp;Weekly_TVPlant!$B$3&amp;$B$2&amp;$B$1)</f>
        <v>2</v>
      </c>
      <c r="CF16" s="2">
        <f>COUNTIF(defects!$X:$X,Weekly_TVPlant!CF$3&amp;Weekly_TVPlant!$B16&amp;Weekly_TVPlant!$B$3&amp;$B$2&amp;$B$1)</f>
        <v>2</v>
      </c>
      <c r="CG16" s="2">
        <f>COUNTIF(defects!$X:$X,Weekly_TVPlant!CG$3&amp;Weekly_TVPlant!$B16&amp;Weekly_TVPlant!$B$3&amp;$B$2&amp;$B$1)</f>
        <v>0</v>
      </c>
      <c r="CH16" s="2">
        <f>COUNTIF(defects!$X:$X,Weekly_TVPlant!CH$3&amp;Weekly_TVPlant!$B16&amp;Weekly_TVPlant!$B$3&amp;$B$2&amp;$B$1)</f>
        <v>0</v>
      </c>
      <c r="CI16" s="2">
        <f>COUNTIF(defects!$X:$X,Weekly_TVPlant!CI$3&amp;Weekly_TVPlant!$B16&amp;Weekly_TVPlant!$B$3&amp;$B$2&amp;$B$1)</f>
        <v>2</v>
      </c>
      <c r="CJ16" s="2">
        <f>COUNTIF(defects!$X:$X,Weekly_TVPlant!CJ$3&amp;Weekly_TVPlant!$B16&amp;Weekly_TVPlant!$B$3&amp;$B$2&amp;$B$1)</f>
        <v>3</v>
      </c>
      <c r="CK16" s="2">
        <f>COUNTIF(defects!$X:$X,Weekly_TVPlant!CK$3&amp;Weekly_TVPlant!$B16&amp;Weekly_TVPlant!$B$3&amp;$B$2&amp;$B$1)</f>
        <v>2</v>
      </c>
      <c r="CL16" s="2">
        <f>COUNTIF(defects!$X:$X,Weekly_TVPlant!CL$3&amp;Weekly_TVPlant!$B16&amp;Weekly_TVPlant!$B$3&amp;$B$2&amp;$B$1)</f>
        <v>1</v>
      </c>
      <c r="CM16" s="2">
        <f>COUNTIF(defects!$X:$X,Weekly_TVPlant!CM$3&amp;Weekly_TVPlant!$B16&amp;Weekly_TVPlant!$B$3&amp;$B$2&amp;$B$1)</f>
        <v>0</v>
      </c>
      <c r="CN16" s="2">
        <f>COUNTIF(defects!$X:$X,Weekly_TVPlant!CN$3&amp;Weekly_TVPlant!$B16&amp;Weekly_TVPlant!$B$3&amp;$B$2&amp;$B$1)</f>
        <v>1</v>
      </c>
      <c r="CO16" s="2">
        <f>COUNTIF(defects!$X:$X,Weekly_TVPlant!CO$3&amp;Weekly_TVPlant!$B16&amp;Weekly_TVPlant!$B$3&amp;$B$2&amp;$B$1)</f>
        <v>5</v>
      </c>
      <c r="CP16" s="2">
        <f>COUNTIF(defects!$X:$X,Weekly_TVPlant!CP$3&amp;Weekly_TVPlant!$B16&amp;Weekly_TVPlant!$B$3&amp;$B$2&amp;$B$1)</f>
        <v>7</v>
      </c>
      <c r="CQ16" s="2">
        <f>COUNTIF(defects!$X:$X,Weekly_TVPlant!CQ$3&amp;Weekly_TVPlant!$B16&amp;Weekly_TVPlant!$B$3&amp;$B$2&amp;$B$1)</f>
        <v>5</v>
      </c>
      <c r="CR16" s="2">
        <f>COUNTIF(defects!$X:$X,Weekly_TVPlant!CR$3&amp;Weekly_TVPlant!$B16&amp;Weekly_TVPlant!$B$3&amp;$B$2&amp;$B$1)</f>
        <v>5</v>
      </c>
      <c r="CS16" s="2">
        <f>COUNTIF(defects!$X:$X,Weekly_TVPlant!CS$3&amp;Weekly_TVPlant!$B16&amp;Weekly_TVPlant!$B$3&amp;$B$2&amp;$B$1)</f>
        <v>3</v>
      </c>
      <c r="CT16" s="2">
        <f>COUNTIF(defects!$X:$X,Weekly_TVPlant!CT$3&amp;Weekly_TVPlant!$B16&amp;Weekly_TVPlant!$B$3&amp;$B$2&amp;$B$1)</f>
        <v>1</v>
      </c>
      <c r="CU16" s="2">
        <f>COUNTIF(defects!$X:$X,Weekly_TVPlant!CU$3&amp;Weekly_TVPlant!$B16&amp;Weekly_TVPlant!$B$3&amp;$B$2&amp;$B$1)</f>
        <v>1</v>
      </c>
      <c r="CV16" s="2">
        <f>COUNTIF(defects!$X:$X,Weekly_TVPlant!CV$3&amp;Weekly_TVPlant!$B16&amp;Weekly_TVPlant!$B$3&amp;$B$2&amp;$B$1)</f>
        <v>0</v>
      </c>
      <c r="CW16" s="2">
        <f>COUNTIF(defects!$X:$X,Weekly_TVPlant!CW$3&amp;Weekly_TVPlant!$B16&amp;Weekly_TVPlant!$B$3&amp;$B$2&amp;$B$1)</f>
        <v>0</v>
      </c>
      <c r="CX16" s="2">
        <f>COUNTIF(defects!$X:$X,Weekly_TVPlant!CX$3&amp;Weekly_TVPlant!$B16&amp;Weekly_TVPlant!$B$3&amp;$B$2&amp;$B$1)</f>
        <v>0</v>
      </c>
      <c r="CY16" s="2">
        <f>COUNTIF(defects!$X:$X,Weekly_TVPlant!CY$3&amp;Weekly_TVPlant!$B16&amp;Weekly_TVPlant!$B$3&amp;$B$2&amp;$B$1)</f>
        <v>0</v>
      </c>
      <c r="CZ16" s="2">
        <f>COUNTIF(defects!$X:$X,Weekly_TVPlant!CZ$3&amp;Weekly_TVPlant!$B16&amp;Weekly_TVPlant!$B$3&amp;$B$2&amp;$B$1)</f>
        <v>0</v>
      </c>
      <c r="DA16" s="2">
        <f>COUNTIF(defects!$X:$X,Weekly_TVPlant!DA$3&amp;Weekly_TVPlant!$B16&amp;Weekly_TVPlant!$B$3&amp;$B$2&amp;$B$1)</f>
        <v>0</v>
      </c>
      <c r="DB16" s="2">
        <f>COUNTIF(defects!$X:$X,Weekly_TVPlant!DB$3&amp;Weekly_TVPlant!$B16&amp;Weekly_TVPlant!$B$3&amp;$B$2&amp;$B$1)</f>
        <v>0</v>
      </c>
      <c r="DC16" s="2">
        <f>COUNTIF(defects!$X:$X,Weekly_TVPlant!DC$3&amp;Weekly_TVPlant!$B16&amp;Weekly_TVPlant!$B$3&amp;$B$2&amp;$B$1)</f>
        <v>0</v>
      </c>
      <c r="DD16" s="2">
        <f>COUNTIF(defects!$X:$X,Weekly_TVPlant!DD$3&amp;Weekly_TVPlant!$B16&amp;Weekly_TVPlant!$B$3&amp;$B$2&amp;$B$1)</f>
        <v>0</v>
      </c>
      <c r="DE16" s="2">
        <f>COUNTIF(defects!$X:$X,Weekly_TVPlant!DE$3&amp;Weekly_TVPlant!$B16&amp;Weekly_TVPlant!$B$3&amp;$B$2&amp;$B$1)</f>
        <v>0</v>
      </c>
      <c r="DF16" s="2">
        <f>COUNTIF(defects!$X:$X,Weekly_TVPlant!DF$3&amp;Weekly_TVPlant!$B16&amp;Weekly_TVPlant!$B$3&amp;$B$2&amp;$B$1)</f>
        <v>0</v>
      </c>
      <c r="DG16" s="2">
        <f>COUNTIF(defects!$X:$X,Weekly_TVPlant!DG$3&amp;Weekly_TVPlant!$B16&amp;Weekly_TVPlant!$B$3&amp;$B$2&amp;$B$1)</f>
        <v>0</v>
      </c>
      <c r="DH16" s="2">
        <f>COUNTIF(defects!$X:$X,Weekly_TVPlant!DH$3&amp;Weekly_TVPlant!$B16&amp;Weekly_TVPlant!$B$3&amp;$B$2&amp;$B$1)</f>
        <v>0</v>
      </c>
      <c r="DI16" s="2">
        <f>COUNTIF(defects!$X:$X,Weekly_TVPlant!DI$3&amp;Weekly_TVPlant!$B16&amp;Weekly_TVPlant!$B$3&amp;$B$2&amp;$B$1)</f>
        <v>0</v>
      </c>
      <c r="DJ16" s="2">
        <f>COUNTIF(defects!$X:$X,Weekly_TVPlant!DJ$3&amp;Weekly_TVPlant!$B16&amp;Weekly_TVPlant!$B$3&amp;$B$2&amp;$B$1)</f>
        <v>0</v>
      </c>
      <c r="DK16" s="2">
        <f>COUNTIF(defects!$X:$X,Weekly_TVPlant!DK$3&amp;Weekly_TVPlant!$B16&amp;Weekly_TVPlant!$B$3&amp;$B$2&amp;$B$1)</f>
        <v>0</v>
      </c>
      <c r="DL16" s="2">
        <f>COUNTIF(defects!$X:$X,Weekly_TVPlant!DL$3&amp;Weekly_TVPlant!$B16&amp;Weekly_TVPlant!$B$3&amp;$B$2&amp;$B$1)</f>
        <v>0</v>
      </c>
      <c r="DM16" s="2">
        <f>COUNTIF(defects!$X:$X,Weekly_TVPlant!DM$3&amp;Weekly_TVPlant!$B16&amp;Weekly_TVPlant!$B$3&amp;$B$2&amp;$B$1)</f>
        <v>0</v>
      </c>
      <c r="DN16" s="2">
        <f>COUNTIF(defects!$X:$X,Weekly_TVPlant!DN$3&amp;Weekly_TVPlant!$B16&amp;Weekly_TVPlant!$B$3&amp;$B$2&amp;$B$1)</f>
        <v>0</v>
      </c>
      <c r="DO16" s="2">
        <f>COUNTIF(defects!$X:$X,Weekly_TVPlant!DO$3&amp;Weekly_TVPlant!$B16&amp;Weekly_TVPlant!$B$3&amp;$B$2&amp;$B$1)</f>
        <v>0</v>
      </c>
      <c r="DP16" s="2">
        <f>COUNTIF(defects!$X:$X,Weekly_TVPlant!DP$3&amp;Weekly_TVPlant!$B16&amp;Weekly_TVPlant!$B$3&amp;$B$2&amp;$B$1)</f>
        <v>0</v>
      </c>
      <c r="DQ16" s="2">
        <f>COUNTIF(defects!$X:$X,Weekly_TVPlant!DQ$3&amp;Weekly_TVPlant!$B16&amp;Weekly_TVPlant!$B$3&amp;$B$2&amp;$B$1)</f>
        <v>0</v>
      </c>
      <c r="DR16" s="2">
        <f>COUNTIF(defects!$X:$X,Weekly_TVPlant!DR$3&amp;Weekly_TVPlant!$B16&amp;Weekly_TVPlant!$B$3&amp;$B$2&amp;$B$1)</f>
        <v>0</v>
      </c>
      <c r="DS16" s="2">
        <f>COUNTIF(defects!$X:$X,Weekly_TVPlant!DS$3&amp;Weekly_TVPlant!$B16&amp;Weekly_TVPlant!$B$3&amp;$B$2&amp;$B$1)</f>
        <v>0</v>
      </c>
      <c r="DT16" s="2">
        <f>COUNTIF(defects!$X:$X,Weekly_TVPlant!DT$3&amp;Weekly_TVPlant!$B16&amp;Weekly_TVPlant!$B$3&amp;$B$2&amp;$B$1)</f>
        <v>0</v>
      </c>
      <c r="DU16" s="2">
        <f>COUNTIF(defects!$X:$X,Weekly_TVPlant!DU$3&amp;Weekly_TVPlant!$B16&amp;Weekly_TVPlant!$B$3&amp;$B$2&amp;$B$1)</f>
        <v>0</v>
      </c>
      <c r="DV16" s="2">
        <f>COUNTIF(defects!$X:$X,Weekly_TVPlant!DV$3&amp;Weekly_TVPlant!$B16&amp;Weekly_TVPlant!$B$3&amp;$B$2&amp;$B$1)</f>
        <v>0</v>
      </c>
      <c r="DW16" s="2">
        <f>COUNTIF(defects!$X:$X,Weekly_TVPlant!DW$3&amp;Weekly_TVPlant!$B16&amp;Weekly_TVPlant!$B$3&amp;$B$2&amp;$B$1)</f>
        <v>0</v>
      </c>
      <c r="DX16" s="2">
        <f>COUNTIF(defects!$X:$X,Weekly_TVPlant!DX$3&amp;Weekly_TVPlant!$B16&amp;Weekly_TVPlant!$B$3&amp;$B$2&amp;$B$1)</f>
        <v>0</v>
      </c>
      <c r="DY16" s="2">
        <f>COUNTIF(defects!$X:$X,Weekly_TVPlant!DY$3&amp;Weekly_TVPlant!$B16&amp;Weekly_TVPlant!$B$3&amp;$B$2&amp;$B$1)</f>
        <v>0</v>
      </c>
      <c r="DZ16" s="2">
        <f>COUNTIF(defects!$X:$X,Weekly_TVPlant!DZ$3&amp;Weekly_TVPlant!$B16&amp;Weekly_TVPlant!$B$3&amp;$B$2&amp;$B$1)</f>
        <v>0</v>
      </c>
      <c r="EA16" s="2">
        <f>COUNTIF(defects!$X:$X,Weekly_TVPlant!EA$3&amp;Weekly_TVPlant!$B16&amp;Weekly_TVPlant!$B$3&amp;$B$2&amp;$B$1)</f>
        <v>0</v>
      </c>
      <c r="EB16" s="2">
        <f>COUNTIF(defects!$X:$X,Weekly_TVPlant!EB$3&amp;Weekly_TVPlant!$B16&amp;Weekly_TVPlant!$B$3&amp;$B$2&amp;$B$1)</f>
        <v>0</v>
      </c>
      <c r="EC16" s="2">
        <f>COUNTIF(defects!$X:$X,Weekly_TVPlant!EC$3&amp;Weekly_TVPlant!$B16&amp;Weekly_TVPlant!$B$3&amp;$B$2&amp;$B$1)</f>
        <v>0</v>
      </c>
      <c r="ED16" s="2">
        <f>COUNTIF(defects!$X:$X,Weekly_TVPlant!ED$3&amp;Weekly_TVPlant!$B16&amp;Weekly_TVPlant!$B$3&amp;$B$2&amp;$B$1)</f>
        <v>0</v>
      </c>
      <c r="EE16" s="2">
        <f>COUNTIF(defects!$X:$X,Weekly_TVPlant!EE$3&amp;Weekly_TVPlant!$B16&amp;Weekly_TVPlant!$B$3&amp;$B$2&amp;$B$1)</f>
        <v>0</v>
      </c>
      <c r="EF16" s="2">
        <f>COUNTIF(defects!$X:$X,Weekly_TVPlant!EF$3&amp;Weekly_TVPlant!$B16&amp;Weekly_TVPlant!$B$3&amp;$B$2&amp;$B$1)</f>
        <v>0</v>
      </c>
      <c r="EG16" s="2">
        <f>COUNTIF(defects!$X:$X,Weekly_TVPlant!EG$3&amp;Weekly_TVPlant!$B16&amp;Weekly_TVPlant!$B$3&amp;$B$2&amp;$B$1)</f>
        <v>0</v>
      </c>
      <c r="EH16" s="2">
        <f>COUNTIF(defects!$X:$X,Weekly_TVPlant!EH$3&amp;Weekly_TVPlant!$B16&amp;Weekly_TVPlant!$B$3&amp;$B$2&amp;$B$1)</f>
        <v>0</v>
      </c>
      <c r="EI16" s="2">
        <f>COUNTIF(defects!$X:$X,Weekly_TVPlant!EI$3&amp;Weekly_TVPlant!$B16&amp;Weekly_TVPlant!$B$3&amp;$B$2&amp;$B$1)</f>
        <v>0</v>
      </c>
      <c r="EJ16" s="2">
        <f>COUNTIF(defects!$X:$X,Weekly_TVPlant!EJ$3&amp;Weekly_TVPlant!$B16&amp;Weekly_TVPlant!$B$3&amp;$B$2&amp;$B$1)</f>
        <v>0</v>
      </c>
      <c r="EK16" s="2">
        <f>COUNTIF(defects!$X:$X,Weekly_TVPlant!EK$3&amp;Weekly_TVPlant!$B16&amp;Weekly_TVPlant!$B$3&amp;$B$2&amp;$B$1)</f>
        <v>0</v>
      </c>
      <c r="EL16" s="2">
        <f>COUNTIF(defects!$X:$X,Weekly_TVPlant!EL$3&amp;Weekly_TVPlant!$B16&amp;Weekly_TVPlant!$B$3&amp;$B$2&amp;$B$1)</f>
        <v>0</v>
      </c>
      <c r="EM16" s="2">
        <f>COUNTIF(defects!$X:$X,Weekly_TVPlant!EM$3&amp;Weekly_TVPlant!$B16&amp;Weekly_TVPlant!$B$3&amp;$B$2&amp;$B$1)</f>
        <v>0</v>
      </c>
      <c r="EN16" s="2">
        <f>COUNTIF(defects!$X:$X,Weekly_TVPlant!EN$3&amp;Weekly_TVPlant!$B16&amp;Weekly_TVPlant!$B$3&amp;$B$2&amp;$B$1)</f>
        <v>0</v>
      </c>
      <c r="EO16" s="2">
        <f>COUNTIF(defects!$X:$X,Weekly_TVPlant!EO$3&amp;Weekly_TVPlant!$B16&amp;Weekly_TVPlant!$B$3&amp;$B$2&amp;$B$1)</f>
        <v>0</v>
      </c>
      <c r="EP16" s="2">
        <f>COUNTIF(defects!$X:$X,Weekly_TVPlant!EP$3&amp;Weekly_TVPlant!$B16&amp;Weekly_TVPlant!$B$3&amp;$B$2&amp;$B$1)</f>
        <v>0</v>
      </c>
      <c r="EQ16" s="2">
        <f>COUNTIF(defects!$X:$X,Weekly_TVPlant!EQ$3&amp;Weekly_TVPlant!$B16&amp;Weekly_TVPlant!$B$3&amp;$B$2&amp;$B$1)</f>
        <v>0</v>
      </c>
      <c r="ER16" s="2">
        <f>COUNTIF(defects!$X:$X,Weekly_TVPlant!ER$3&amp;Weekly_TVPlant!$B16&amp;Weekly_TVPlant!$B$3&amp;$B$2&amp;$B$1)</f>
        <v>0</v>
      </c>
      <c r="ES16" s="2">
        <f>COUNTIF(defects!$X:$X,Weekly_TVPlant!ES$3&amp;Weekly_TVPlant!$B16&amp;Weekly_TVPlant!$B$3&amp;$B$2&amp;$B$1)</f>
        <v>0</v>
      </c>
      <c r="ET16" s="2">
        <f>COUNTIF(defects!$X:$X,Weekly_TVPlant!ET$3&amp;Weekly_TVPlant!$B16&amp;Weekly_TVPlant!$B$3&amp;$B$2&amp;$B$1)</f>
        <v>0</v>
      </c>
      <c r="EU16" s="2">
        <f>COUNTIF(defects!$X:$X,Weekly_TVPlant!EU$3&amp;Weekly_TVPlant!$B16&amp;Weekly_TVPlant!$B$3&amp;$B$2&amp;$B$1)</f>
        <v>0</v>
      </c>
      <c r="EV16" s="2">
        <f>COUNTIF(defects!$X:$X,Weekly_TVPlant!EV$3&amp;Weekly_TVPlant!$B16&amp;Weekly_TVPlant!$B$3&amp;$B$2&amp;$B$1)</f>
        <v>0</v>
      </c>
      <c r="EW16" s="2">
        <f>COUNTIF(defects!$X:$X,Weekly_TVPlant!EW$3&amp;Weekly_TVPlant!$B16&amp;Weekly_TVPlant!$B$3&amp;$B$2&amp;$B$1)</f>
        <v>0</v>
      </c>
      <c r="EX16" s="2">
        <f>COUNTIF(defects!$X:$X,Weekly_TVPlant!EX$3&amp;Weekly_TVPlant!$B16&amp;Weekly_TVPlant!$B$3&amp;$B$2&amp;$B$1)</f>
        <v>0</v>
      </c>
      <c r="EY16" s="2">
        <f>COUNTIF(defects!$X:$X,Weekly_TVPlant!EY$3&amp;Weekly_TVPlant!$B16&amp;Weekly_TVPlant!$B$3&amp;$B$2&amp;$B$1)</f>
        <v>0</v>
      </c>
      <c r="EZ16" s="2">
        <f>COUNTIF(defects!$X:$X,Weekly_TVPlant!EZ$3&amp;Weekly_TVPlant!$B16&amp;Weekly_TVPlant!$B$3&amp;$B$2&amp;$B$1)</f>
        <v>0</v>
      </c>
      <c r="FA16" s="2">
        <f>COUNTIF(defects!$X:$X,Weekly_TVPlant!FA$3&amp;Weekly_TVPlant!$B16&amp;Weekly_TVPlant!$B$3&amp;$B$2&amp;$B$1)</f>
        <v>0</v>
      </c>
      <c r="FB16" s="2">
        <f>COUNTIF(defects!$X:$X,Weekly_TVPlant!FB$3&amp;Weekly_TVPlant!$B16&amp;Weekly_TVPlant!$B$3&amp;$B$2&amp;$B$1)</f>
        <v>0</v>
      </c>
      <c r="FC16" s="2">
        <f>COUNTIF(defects!$X:$X,Weekly_TVPlant!FC$3&amp;Weekly_TVPlant!$B16&amp;Weekly_TVPlant!$B$3&amp;$B$2&amp;$B$1)</f>
        <v>0</v>
      </c>
      <c r="FD16" s="2">
        <f>COUNTIF(defects!$X:$X,Weekly_TVPlant!FD$3&amp;Weekly_TVPlant!$B16&amp;Weekly_TVPlant!$B$3&amp;$B$2&amp;$B$1)</f>
        <v>0</v>
      </c>
      <c r="FE16" s="2">
        <f>COUNTIF(defects!$X:$X,Weekly_TVPlant!FE$3&amp;Weekly_TVPlant!$B16&amp;Weekly_TVPlant!$B$3&amp;$B$2&amp;$B$1)</f>
        <v>0</v>
      </c>
    </row>
    <row r="17" spans="2:161">
      <c r="B17" s="2" t="s">
        <v>994</v>
      </c>
      <c r="C17" s="2">
        <f>COUNTIF(defects!$X:$X,Weekly_TVPlant!C$3&amp;Weekly_TVPlant!$B17&amp;Weekly_TVPlant!$B$3&amp;$B$2&amp;$B$1)</f>
        <v>0</v>
      </c>
      <c r="D17" s="2">
        <f>COUNTIF(defects!$X:$X,Weekly_TVPlant!D$3&amp;Weekly_TVPlant!$B17&amp;Weekly_TVPlant!$B$3&amp;$B$2&amp;$B$1)</f>
        <v>0</v>
      </c>
      <c r="E17" s="2">
        <f>COUNTIF(defects!$X:$X,Weekly_TVPlant!E$3&amp;Weekly_TVPlant!$B17&amp;Weekly_TVPlant!$B$3&amp;$B$2&amp;$B$1)</f>
        <v>0</v>
      </c>
      <c r="F17" s="2">
        <f>COUNTIF(defects!$X:$X,Weekly_TVPlant!F$3&amp;Weekly_TVPlant!$B17&amp;Weekly_TVPlant!$B$3&amp;$B$2&amp;$B$1)</f>
        <v>0</v>
      </c>
      <c r="G17" s="2">
        <f>COUNTIF(defects!$X:$X,Weekly_TVPlant!G$3&amp;Weekly_TVPlant!$B17&amp;Weekly_TVPlant!$B$3&amp;$B$2&amp;$B$1)</f>
        <v>0</v>
      </c>
      <c r="H17" s="2">
        <f>COUNTIF(defects!$X:$X,Weekly_TVPlant!H$3&amp;Weekly_TVPlant!$B17&amp;Weekly_TVPlant!$B$3&amp;$B$2&amp;$B$1)</f>
        <v>0</v>
      </c>
      <c r="I17" s="2">
        <f>COUNTIF(defects!$X:$X,Weekly_TVPlant!I$3&amp;Weekly_TVPlant!$B17&amp;Weekly_TVPlant!$B$3&amp;$B$2&amp;$B$1)</f>
        <v>0</v>
      </c>
      <c r="J17" s="2">
        <f>COUNTIF(defects!$X:$X,Weekly_TVPlant!J$3&amp;Weekly_TVPlant!$B17&amp;Weekly_TVPlant!$B$3&amp;$B$2&amp;$B$1)</f>
        <v>0</v>
      </c>
      <c r="K17" s="2">
        <f>COUNTIF(defects!$X:$X,Weekly_TVPlant!K$3&amp;Weekly_TVPlant!$B17&amp;Weekly_TVPlant!$B$3&amp;$B$2&amp;$B$1)</f>
        <v>0</v>
      </c>
      <c r="L17" s="2">
        <f>COUNTIF(defects!$X:$X,Weekly_TVPlant!L$3&amp;Weekly_TVPlant!$B17&amp;Weekly_TVPlant!$B$3&amp;$B$2&amp;$B$1)</f>
        <v>0</v>
      </c>
      <c r="M17" s="2">
        <f>COUNTIF(defects!$X:$X,Weekly_TVPlant!M$3&amp;Weekly_TVPlant!$B17&amp;Weekly_TVPlant!$B$3&amp;$B$2&amp;$B$1)</f>
        <v>0</v>
      </c>
      <c r="N17" s="2">
        <f>COUNTIF(defects!$X:$X,Weekly_TVPlant!N$3&amp;Weekly_TVPlant!$B17&amp;Weekly_TVPlant!$B$3&amp;$B$2&amp;$B$1)</f>
        <v>0</v>
      </c>
      <c r="O17" s="2">
        <f>COUNTIF(defects!$X:$X,Weekly_TVPlant!O$3&amp;Weekly_TVPlant!$B17&amp;Weekly_TVPlant!$B$3&amp;$B$2&amp;$B$1)</f>
        <v>0</v>
      </c>
      <c r="P17" s="2">
        <f>COUNTIF(defects!$X:$X,Weekly_TVPlant!P$3&amp;Weekly_TVPlant!$B17&amp;Weekly_TVPlant!$B$3&amp;$B$2&amp;$B$1)</f>
        <v>0</v>
      </c>
      <c r="Q17" s="2">
        <f>COUNTIF(defects!$X:$X,Weekly_TVPlant!Q$3&amp;Weekly_TVPlant!$B17&amp;Weekly_TVPlant!$B$3&amp;$B$2&amp;$B$1)</f>
        <v>0</v>
      </c>
      <c r="R17" s="2">
        <f>COUNTIF(defects!$X:$X,Weekly_TVPlant!R$3&amp;Weekly_TVPlant!$B17&amp;Weekly_TVPlant!$B$3&amp;$B$2&amp;$B$1)</f>
        <v>0</v>
      </c>
      <c r="S17" s="2">
        <f>COUNTIF(defects!$X:$X,Weekly_TVPlant!S$3&amp;Weekly_TVPlant!$B17&amp;Weekly_TVPlant!$B$3&amp;$B$2&amp;$B$1)</f>
        <v>0</v>
      </c>
      <c r="T17" s="2">
        <f>COUNTIF(defects!$X:$X,Weekly_TVPlant!T$3&amp;Weekly_TVPlant!$B17&amp;Weekly_TVPlant!$B$3&amp;$B$2&amp;$B$1)</f>
        <v>0</v>
      </c>
      <c r="U17" s="2">
        <f>COUNTIF(defects!$X:$X,Weekly_TVPlant!U$3&amp;Weekly_TVPlant!$B17&amp;Weekly_TVPlant!$B$3&amp;$B$2&amp;$B$1)</f>
        <v>0</v>
      </c>
      <c r="V17" s="2">
        <f>COUNTIF(defects!$X:$X,Weekly_TVPlant!V$3&amp;Weekly_TVPlant!$B17&amp;Weekly_TVPlant!$B$3&amp;$B$2&amp;$B$1)</f>
        <v>0</v>
      </c>
      <c r="W17" s="2">
        <f>COUNTIF(defects!$X:$X,Weekly_TVPlant!W$3&amp;Weekly_TVPlant!$B17&amp;Weekly_TVPlant!$B$3&amp;$B$2&amp;$B$1)</f>
        <v>0</v>
      </c>
      <c r="X17" s="2">
        <f>COUNTIF(defects!$X:$X,Weekly_TVPlant!X$3&amp;Weekly_TVPlant!$B17&amp;Weekly_TVPlant!$B$3&amp;$B$2&amp;$B$1)</f>
        <v>0</v>
      </c>
      <c r="Y17" s="2">
        <f>COUNTIF(defects!$X:$X,Weekly_TVPlant!Y$3&amp;Weekly_TVPlant!$B17&amp;Weekly_TVPlant!$B$3&amp;$B$2&amp;$B$1)</f>
        <v>0</v>
      </c>
      <c r="Z17" s="2">
        <f>COUNTIF(defects!$X:$X,Weekly_TVPlant!Z$3&amp;Weekly_TVPlant!$B17&amp;Weekly_TVPlant!$B$3&amp;$B$2&amp;$B$1)</f>
        <v>0</v>
      </c>
      <c r="AA17" s="2">
        <f>COUNTIF(defects!$X:$X,Weekly_TVPlant!AA$3&amp;Weekly_TVPlant!$B17&amp;Weekly_TVPlant!$B$3&amp;$B$2&amp;$B$1)</f>
        <v>0</v>
      </c>
      <c r="AB17" s="2">
        <f>COUNTIF(defects!$X:$X,Weekly_TVPlant!AB$3&amp;Weekly_TVPlant!$B17&amp;Weekly_TVPlant!$B$3&amp;$B$2&amp;$B$1)</f>
        <v>0</v>
      </c>
      <c r="AC17" s="2">
        <f>COUNTIF(defects!$X:$X,Weekly_TVPlant!AC$3&amp;Weekly_TVPlant!$B17&amp;Weekly_TVPlant!$B$3&amp;$B$2&amp;$B$1)</f>
        <v>0</v>
      </c>
      <c r="AD17" s="2">
        <f>COUNTIF(defects!$X:$X,Weekly_TVPlant!AD$3&amp;Weekly_TVPlant!$B17&amp;Weekly_TVPlant!$B$3&amp;$B$2&amp;$B$1)</f>
        <v>0</v>
      </c>
      <c r="AE17" s="2">
        <f>COUNTIF(defects!$X:$X,Weekly_TVPlant!AE$3&amp;Weekly_TVPlant!$B17&amp;Weekly_TVPlant!$B$3&amp;$B$2&amp;$B$1)</f>
        <v>0</v>
      </c>
      <c r="AF17" s="2">
        <f>COUNTIF(defects!$X:$X,Weekly_TVPlant!AF$3&amp;Weekly_TVPlant!$B17&amp;Weekly_TVPlant!$B$3&amp;$B$2&amp;$B$1)</f>
        <v>0</v>
      </c>
      <c r="AG17" s="2">
        <f>COUNTIF(defects!$X:$X,Weekly_TVPlant!AG$3&amp;Weekly_TVPlant!$B17&amp;Weekly_TVPlant!$B$3&amp;$B$2&amp;$B$1)</f>
        <v>0</v>
      </c>
      <c r="AH17" s="2">
        <f>COUNTIF(defects!$X:$X,Weekly_TVPlant!AH$3&amp;Weekly_TVPlant!$B17&amp;Weekly_TVPlant!$B$3&amp;$B$2&amp;$B$1)</f>
        <v>0</v>
      </c>
      <c r="AI17" s="2">
        <f>COUNTIF(defects!$X:$X,Weekly_TVPlant!AI$3&amp;Weekly_TVPlant!$B17&amp;Weekly_TVPlant!$B$3&amp;$B$2&amp;$B$1)</f>
        <v>0</v>
      </c>
      <c r="AJ17" s="2">
        <f>COUNTIF(defects!$X:$X,Weekly_TVPlant!AJ$3&amp;Weekly_TVPlant!$B17&amp;Weekly_TVPlant!$B$3&amp;$B$2&amp;$B$1)</f>
        <v>0</v>
      </c>
      <c r="AK17" s="2">
        <f>COUNTIF(defects!$X:$X,Weekly_TVPlant!AK$3&amp;Weekly_TVPlant!$B17&amp;Weekly_TVPlant!$B$3&amp;$B$2&amp;$B$1)</f>
        <v>0</v>
      </c>
      <c r="AL17" s="2">
        <f>COUNTIF(defects!$X:$X,Weekly_TVPlant!AL$3&amp;Weekly_TVPlant!$B17&amp;Weekly_TVPlant!$B$3&amp;$B$2&amp;$B$1)</f>
        <v>0</v>
      </c>
      <c r="AM17" s="2">
        <f>COUNTIF(defects!$X:$X,Weekly_TVPlant!AM$3&amp;Weekly_TVPlant!$B17&amp;Weekly_TVPlant!$B$3&amp;$B$2&amp;$B$1)</f>
        <v>0</v>
      </c>
      <c r="AN17" s="2">
        <f>COUNTIF(defects!$X:$X,Weekly_TVPlant!AN$3&amp;Weekly_TVPlant!$B17&amp;Weekly_TVPlant!$B$3&amp;$B$2&amp;$B$1)</f>
        <v>0</v>
      </c>
      <c r="AO17" s="2">
        <f>COUNTIF(defects!$X:$X,Weekly_TVPlant!AO$3&amp;Weekly_TVPlant!$B17&amp;Weekly_TVPlant!$B$3&amp;$B$2&amp;$B$1)</f>
        <v>0</v>
      </c>
      <c r="AP17" s="2">
        <f>COUNTIF(defects!$X:$X,Weekly_TVPlant!AP$3&amp;Weekly_TVPlant!$B17&amp;Weekly_TVPlant!$B$3&amp;$B$2&amp;$B$1)</f>
        <v>0</v>
      </c>
      <c r="AQ17" s="2">
        <f>COUNTIF(defects!$X:$X,Weekly_TVPlant!AQ$3&amp;Weekly_TVPlant!$B17&amp;Weekly_TVPlant!$B$3&amp;$B$2&amp;$B$1)</f>
        <v>0</v>
      </c>
      <c r="AR17" s="2">
        <f>COUNTIF(defects!$X:$X,Weekly_TVPlant!AR$3&amp;Weekly_TVPlant!$B17&amp;Weekly_TVPlant!$B$3&amp;$B$2&amp;$B$1)</f>
        <v>0</v>
      </c>
      <c r="AS17" s="2">
        <f>COUNTIF(defects!$X:$X,Weekly_TVPlant!AS$3&amp;Weekly_TVPlant!$B17&amp;Weekly_TVPlant!$B$3&amp;$B$2&amp;$B$1)</f>
        <v>0</v>
      </c>
      <c r="AT17" s="2">
        <f>COUNTIF(defects!$X:$X,Weekly_TVPlant!AT$3&amp;Weekly_TVPlant!$B17&amp;Weekly_TVPlant!$B$3&amp;$B$2&amp;$B$1)</f>
        <v>0</v>
      </c>
      <c r="AU17" s="2">
        <f>COUNTIF(defects!$X:$X,Weekly_TVPlant!AU$3&amp;Weekly_TVPlant!$B17&amp;Weekly_TVPlant!$B$3&amp;$B$2&amp;$B$1)</f>
        <v>0</v>
      </c>
      <c r="AV17" s="2">
        <f>COUNTIF(defects!$X:$X,Weekly_TVPlant!AV$3&amp;Weekly_TVPlant!$B17&amp;Weekly_TVPlant!$B$3&amp;$B$2&amp;$B$1)</f>
        <v>0</v>
      </c>
      <c r="AW17" s="2">
        <f>COUNTIF(defects!$X:$X,Weekly_TVPlant!AW$3&amp;Weekly_TVPlant!$B17&amp;Weekly_TVPlant!$B$3&amp;$B$2&amp;$B$1)</f>
        <v>0</v>
      </c>
      <c r="AX17" s="2">
        <f>COUNTIF(defects!$X:$X,Weekly_TVPlant!AX$3&amp;Weekly_TVPlant!$B17&amp;Weekly_TVPlant!$B$3&amp;$B$2&amp;$B$1)</f>
        <v>0</v>
      </c>
      <c r="AY17" s="2">
        <f>COUNTIF(defects!$X:$X,Weekly_TVPlant!AY$3&amp;Weekly_TVPlant!$B17&amp;Weekly_TVPlant!$B$3&amp;$B$2&amp;$B$1)</f>
        <v>0</v>
      </c>
      <c r="AZ17" s="2">
        <f>COUNTIF(defects!$X:$X,Weekly_TVPlant!AZ$3&amp;Weekly_TVPlant!$B17&amp;Weekly_TVPlant!$B$3&amp;$B$2&amp;$B$1)</f>
        <v>0</v>
      </c>
      <c r="BA17" s="2">
        <f>COUNTIF(defects!$X:$X,Weekly_TVPlant!BA$3&amp;Weekly_TVPlant!$B17&amp;Weekly_TVPlant!$B$3&amp;$B$2&amp;$B$1)</f>
        <v>0</v>
      </c>
      <c r="BB17" s="2">
        <f>COUNTIF(defects!$X:$X,Weekly_TVPlant!BB$3&amp;Weekly_TVPlant!$B17&amp;Weekly_TVPlant!$B$3&amp;$B$2&amp;$B$1)</f>
        <v>0</v>
      </c>
      <c r="BC17" s="2">
        <f>COUNTIF(defects!$X:$X,Weekly_TVPlant!BC$3&amp;Weekly_TVPlant!$B17&amp;Weekly_TVPlant!$B$3&amp;$B$2&amp;$B$1)</f>
        <v>0</v>
      </c>
      <c r="BD17" s="2">
        <f>COUNTIF(defects!$X:$X,Weekly_TVPlant!BD$3&amp;Weekly_TVPlant!$B17&amp;Weekly_TVPlant!$B$3&amp;$B$2&amp;$B$1)</f>
        <v>0</v>
      </c>
      <c r="BE17" s="2">
        <f>COUNTIF(defects!$X:$X,Weekly_TVPlant!BE$3&amp;Weekly_TVPlant!$B17&amp;Weekly_TVPlant!$B$3&amp;$B$2&amp;$B$1)</f>
        <v>0</v>
      </c>
      <c r="BF17" s="2">
        <f>COUNTIF(defects!$X:$X,Weekly_TVPlant!BF$3&amp;Weekly_TVPlant!$B17&amp;Weekly_TVPlant!$B$3&amp;$B$2&amp;$B$1)</f>
        <v>0</v>
      </c>
      <c r="BG17" s="2">
        <f>COUNTIF(defects!$X:$X,Weekly_TVPlant!BG$3&amp;Weekly_TVPlant!$B17&amp;Weekly_TVPlant!$B$3&amp;$B$2&amp;$B$1)</f>
        <v>0</v>
      </c>
      <c r="BH17" s="2">
        <f>COUNTIF(defects!$X:$X,Weekly_TVPlant!BH$3&amp;Weekly_TVPlant!$B17&amp;Weekly_TVPlant!$B$3&amp;$B$2&amp;$B$1)</f>
        <v>0</v>
      </c>
      <c r="BI17" s="2">
        <f>COUNTIF(defects!$X:$X,Weekly_TVPlant!BI$3&amp;Weekly_TVPlant!$B17&amp;Weekly_TVPlant!$B$3&amp;$B$2&amp;$B$1)</f>
        <v>0</v>
      </c>
      <c r="BJ17" s="2">
        <f>COUNTIF(defects!$X:$X,Weekly_TVPlant!BJ$3&amp;Weekly_TVPlant!$B17&amp;Weekly_TVPlant!$B$3&amp;$B$2&amp;$B$1)</f>
        <v>0</v>
      </c>
      <c r="BK17" s="2">
        <f>COUNTIF(defects!$X:$X,Weekly_TVPlant!BK$3&amp;Weekly_TVPlant!$B17&amp;Weekly_TVPlant!$B$3&amp;$B$2&amp;$B$1)</f>
        <v>0</v>
      </c>
      <c r="BL17" s="2">
        <f>COUNTIF(defects!$X:$X,Weekly_TVPlant!BL$3&amp;Weekly_TVPlant!$B17&amp;Weekly_TVPlant!$B$3&amp;$B$2&amp;$B$1)</f>
        <v>0</v>
      </c>
      <c r="BM17" s="2">
        <f>COUNTIF(defects!$X:$X,Weekly_TVPlant!BM$3&amp;Weekly_TVPlant!$B17&amp;Weekly_TVPlant!$B$3&amp;$B$2&amp;$B$1)</f>
        <v>0</v>
      </c>
      <c r="BN17" s="2">
        <f>COUNTIF(defects!$X:$X,Weekly_TVPlant!BN$3&amp;Weekly_TVPlant!$B17&amp;Weekly_TVPlant!$B$3&amp;$B$2&amp;$B$1)</f>
        <v>0</v>
      </c>
      <c r="BO17" s="2">
        <f>COUNTIF(defects!$X:$X,Weekly_TVPlant!BO$3&amp;Weekly_TVPlant!$B17&amp;Weekly_TVPlant!$B$3&amp;$B$2&amp;$B$1)</f>
        <v>0</v>
      </c>
      <c r="BP17" s="2">
        <f>COUNTIF(defects!$X:$X,Weekly_TVPlant!BP$3&amp;Weekly_TVPlant!$B17&amp;Weekly_TVPlant!$B$3&amp;$B$2&amp;$B$1)</f>
        <v>0</v>
      </c>
      <c r="BQ17" s="2">
        <f>COUNTIF(defects!$X:$X,Weekly_TVPlant!BQ$3&amp;Weekly_TVPlant!$B17&amp;Weekly_TVPlant!$B$3&amp;$B$2&amp;$B$1)</f>
        <v>0</v>
      </c>
      <c r="BR17" s="2">
        <f>COUNTIF(defects!$X:$X,Weekly_TVPlant!BR$3&amp;Weekly_TVPlant!$B17&amp;Weekly_TVPlant!$B$3&amp;$B$2&amp;$B$1)</f>
        <v>0</v>
      </c>
      <c r="BS17" s="2">
        <f>COUNTIF(defects!$X:$X,Weekly_TVPlant!BS$3&amp;Weekly_TVPlant!$B17&amp;Weekly_TVPlant!$B$3&amp;$B$2&amp;$B$1)</f>
        <v>0</v>
      </c>
      <c r="BT17" s="2">
        <f>COUNTIF(defects!$X:$X,Weekly_TVPlant!BT$3&amp;Weekly_TVPlant!$B17&amp;Weekly_TVPlant!$B$3&amp;$B$2&amp;$B$1)</f>
        <v>0</v>
      </c>
      <c r="BU17" s="2">
        <f>COUNTIF(defects!$X:$X,Weekly_TVPlant!BU$3&amp;Weekly_TVPlant!$B17&amp;Weekly_TVPlant!$B$3&amp;$B$2&amp;$B$1)</f>
        <v>0</v>
      </c>
      <c r="BV17" s="2">
        <f>COUNTIF(defects!$X:$X,Weekly_TVPlant!BV$3&amp;Weekly_TVPlant!$B17&amp;Weekly_TVPlant!$B$3&amp;$B$2&amp;$B$1)</f>
        <v>0</v>
      </c>
      <c r="BW17" s="2">
        <f>COUNTIF(defects!$X:$X,Weekly_TVPlant!BW$3&amp;Weekly_TVPlant!$B17&amp;Weekly_TVPlant!$B$3&amp;$B$2&amp;$B$1)</f>
        <v>0</v>
      </c>
      <c r="BX17" s="2">
        <f>COUNTIF(defects!$X:$X,Weekly_TVPlant!BX$3&amp;Weekly_TVPlant!$B17&amp;Weekly_TVPlant!$B$3&amp;$B$2&amp;$B$1)</f>
        <v>0</v>
      </c>
      <c r="BY17" s="2">
        <f>COUNTIF(defects!$X:$X,Weekly_TVPlant!BY$3&amp;Weekly_TVPlant!$B17&amp;Weekly_TVPlant!$B$3&amp;$B$2&amp;$B$1)</f>
        <v>0</v>
      </c>
      <c r="BZ17" s="2">
        <f>COUNTIF(defects!$X:$X,Weekly_TVPlant!BZ$3&amp;Weekly_TVPlant!$B17&amp;Weekly_TVPlant!$B$3&amp;$B$2&amp;$B$1)</f>
        <v>0</v>
      </c>
      <c r="CA17" s="2">
        <f>COUNTIF(defects!$X:$X,Weekly_TVPlant!CA$3&amp;Weekly_TVPlant!$B17&amp;Weekly_TVPlant!$B$3&amp;$B$2&amp;$B$1)</f>
        <v>0</v>
      </c>
      <c r="CB17" s="2">
        <f>COUNTIF(defects!$X:$X,Weekly_TVPlant!CB$3&amp;Weekly_TVPlant!$B17&amp;Weekly_TVPlant!$B$3&amp;$B$2&amp;$B$1)</f>
        <v>0</v>
      </c>
      <c r="CC17" s="2">
        <f>COUNTIF(defects!$X:$X,Weekly_TVPlant!CC$3&amp;Weekly_TVPlant!$B17&amp;Weekly_TVPlant!$B$3&amp;$B$2&amp;$B$1)</f>
        <v>0</v>
      </c>
      <c r="CD17" s="2">
        <f>COUNTIF(defects!$X:$X,Weekly_TVPlant!CD$3&amp;Weekly_TVPlant!$B17&amp;Weekly_TVPlant!$B$3&amp;$B$2&amp;$B$1)</f>
        <v>0</v>
      </c>
      <c r="CE17" s="2">
        <f>COUNTIF(defects!$X:$X,Weekly_TVPlant!CE$3&amp;Weekly_TVPlant!$B17&amp;Weekly_TVPlant!$B$3&amp;$B$2&amp;$B$1)</f>
        <v>0</v>
      </c>
      <c r="CF17" s="2">
        <f>COUNTIF(defects!$X:$X,Weekly_TVPlant!CF$3&amp;Weekly_TVPlant!$B17&amp;Weekly_TVPlant!$B$3&amp;$B$2&amp;$B$1)</f>
        <v>0</v>
      </c>
      <c r="CG17" s="2">
        <f>COUNTIF(defects!$X:$X,Weekly_TVPlant!CG$3&amp;Weekly_TVPlant!$B17&amp;Weekly_TVPlant!$B$3&amp;$B$2&amp;$B$1)</f>
        <v>0</v>
      </c>
      <c r="CH17" s="2">
        <f>COUNTIF(defects!$X:$X,Weekly_TVPlant!CH$3&amp;Weekly_TVPlant!$B17&amp;Weekly_TVPlant!$B$3&amp;$B$2&amp;$B$1)</f>
        <v>0</v>
      </c>
      <c r="CI17" s="2">
        <f>COUNTIF(defects!$X:$X,Weekly_TVPlant!CI$3&amp;Weekly_TVPlant!$B17&amp;Weekly_TVPlant!$B$3&amp;$B$2&amp;$B$1)</f>
        <v>0</v>
      </c>
      <c r="CJ17" s="2">
        <f>COUNTIF(defects!$X:$X,Weekly_TVPlant!CJ$3&amp;Weekly_TVPlant!$B17&amp;Weekly_TVPlant!$B$3&amp;$B$2&amp;$B$1)</f>
        <v>0</v>
      </c>
      <c r="CK17" s="2">
        <f>COUNTIF(defects!$X:$X,Weekly_TVPlant!CK$3&amp;Weekly_TVPlant!$B17&amp;Weekly_TVPlant!$B$3&amp;$B$2&amp;$B$1)</f>
        <v>0</v>
      </c>
      <c r="CL17" s="2">
        <f>COUNTIF(defects!$X:$X,Weekly_TVPlant!CL$3&amp;Weekly_TVPlant!$B17&amp;Weekly_TVPlant!$B$3&amp;$B$2&amp;$B$1)</f>
        <v>0</v>
      </c>
      <c r="CM17" s="2">
        <f>COUNTIF(defects!$X:$X,Weekly_TVPlant!CM$3&amp;Weekly_TVPlant!$B17&amp;Weekly_TVPlant!$B$3&amp;$B$2&amp;$B$1)</f>
        <v>0</v>
      </c>
      <c r="CN17" s="2">
        <f>COUNTIF(defects!$X:$X,Weekly_TVPlant!CN$3&amp;Weekly_TVPlant!$B17&amp;Weekly_TVPlant!$B$3&amp;$B$2&amp;$B$1)</f>
        <v>0</v>
      </c>
      <c r="CO17" s="2">
        <f>COUNTIF(defects!$X:$X,Weekly_TVPlant!CO$3&amp;Weekly_TVPlant!$B17&amp;Weekly_TVPlant!$B$3&amp;$B$2&amp;$B$1)</f>
        <v>0</v>
      </c>
      <c r="CP17" s="2">
        <f>COUNTIF(defects!$X:$X,Weekly_TVPlant!CP$3&amp;Weekly_TVPlant!$B17&amp;Weekly_TVPlant!$B$3&amp;$B$2&amp;$B$1)</f>
        <v>0</v>
      </c>
      <c r="CQ17" s="2">
        <f>COUNTIF(defects!$X:$X,Weekly_TVPlant!CQ$3&amp;Weekly_TVPlant!$B17&amp;Weekly_TVPlant!$B$3&amp;$B$2&amp;$B$1)</f>
        <v>0</v>
      </c>
      <c r="CR17" s="2">
        <f>COUNTIF(defects!$X:$X,Weekly_TVPlant!CR$3&amp;Weekly_TVPlant!$B17&amp;Weekly_TVPlant!$B$3&amp;$B$2&amp;$B$1)</f>
        <v>0</v>
      </c>
      <c r="CS17" s="2">
        <f>COUNTIF(defects!$X:$X,Weekly_TVPlant!CS$3&amp;Weekly_TVPlant!$B17&amp;Weekly_TVPlant!$B$3&amp;$B$2&amp;$B$1)</f>
        <v>0</v>
      </c>
      <c r="CT17" s="2">
        <f>COUNTIF(defects!$X:$X,Weekly_TVPlant!CT$3&amp;Weekly_TVPlant!$B17&amp;Weekly_TVPlant!$B$3&amp;$B$2&amp;$B$1)</f>
        <v>0</v>
      </c>
      <c r="CU17" s="2">
        <f>COUNTIF(defects!$X:$X,Weekly_TVPlant!CU$3&amp;Weekly_TVPlant!$B17&amp;Weekly_TVPlant!$B$3&amp;$B$2&amp;$B$1)</f>
        <v>0</v>
      </c>
      <c r="CV17" s="2">
        <f>COUNTIF(defects!$X:$X,Weekly_TVPlant!CV$3&amp;Weekly_TVPlant!$B17&amp;Weekly_TVPlant!$B$3&amp;$B$2&amp;$B$1)</f>
        <v>0</v>
      </c>
      <c r="CW17" s="2">
        <f>COUNTIF(defects!$X:$X,Weekly_TVPlant!CW$3&amp;Weekly_TVPlant!$B17&amp;Weekly_TVPlant!$B$3&amp;$B$2&amp;$B$1)</f>
        <v>0</v>
      </c>
      <c r="CX17" s="2">
        <f>COUNTIF(defects!$X:$X,Weekly_TVPlant!CX$3&amp;Weekly_TVPlant!$B17&amp;Weekly_TVPlant!$B$3&amp;$B$2&amp;$B$1)</f>
        <v>0</v>
      </c>
      <c r="CY17" s="2">
        <f>COUNTIF(defects!$X:$X,Weekly_TVPlant!CY$3&amp;Weekly_TVPlant!$B17&amp;Weekly_TVPlant!$B$3&amp;$B$2&amp;$B$1)</f>
        <v>0</v>
      </c>
      <c r="CZ17" s="2">
        <f>COUNTIF(defects!$X:$X,Weekly_TVPlant!CZ$3&amp;Weekly_TVPlant!$B17&amp;Weekly_TVPlant!$B$3&amp;$B$2&amp;$B$1)</f>
        <v>0</v>
      </c>
      <c r="DA17" s="2">
        <f>COUNTIF(defects!$X:$X,Weekly_TVPlant!DA$3&amp;Weekly_TVPlant!$B17&amp;Weekly_TVPlant!$B$3&amp;$B$2&amp;$B$1)</f>
        <v>0</v>
      </c>
      <c r="DB17" s="2">
        <f>COUNTIF(defects!$X:$X,Weekly_TVPlant!DB$3&amp;Weekly_TVPlant!$B17&amp;Weekly_TVPlant!$B$3&amp;$B$2&amp;$B$1)</f>
        <v>0</v>
      </c>
      <c r="DC17" s="2">
        <f>COUNTIF(defects!$X:$X,Weekly_TVPlant!DC$3&amp;Weekly_TVPlant!$B17&amp;Weekly_TVPlant!$B$3&amp;$B$2&amp;$B$1)</f>
        <v>0</v>
      </c>
      <c r="DD17" s="2">
        <f>COUNTIF(defects!$X:$X,Weekly_TVPlant!DD$3&amp;Weekly_TVPlant!$B17&amp;Weekly_TVPlant!$B$3&amp;$B$2&amp;$B$1)</f>
        <v>0</v>
      </c>
      <c r="DE17" s="2">
        <f>COUNTIF(defects!$X:$X,Weekly_TVPlant!DE$3&amp;Weekly_TVPlant!$B17&amp;Weekly_TVPlant!$B$3&amp;$B$2&amp;$B$1)</f>
        <v>0</v>
      </c>
      <c r="DF17" s="2">
        <f>COUNTIF(defects!$X:$X,Weekly_TVPlant!DF$3&amp;Weekly_TVPlant!$B17&amp;Weekly_TVPlant!$B$3&amp;$B$2&amp;$B$1)</f>
        <v>0</v>
      </c>
      <c r="DG17" s="2">
        <f>COUNTIF(defects!$X:$X,Weekly_TVPlant!DG$3&amp;Weekly_TVPlant!$B17&amp;Weekly_TVPlant!$B$3&amp;$B$2&amp;$B$1)</f>
        <v>0</v>
      </c>
      <c r="DH17" s="2">
        <f>COUNTIF(defects!$X:$X,Weekly_TVPlant!DH$3&amp;Weekly_TVPlant!$B17&amp;Weekly_TVPlant!$B$3&amp;$B$2&amp;$B$1)</f>
        <v>0</v>
      </c>
      <c r="DI17" s="2">
        <f>COUNTIF(defects!$X:$X,Weekly_TVPlant!DI$3&amp;Weekly_TVPlant!$B17&amp;Weekly_TVPlant!$B$3&amp;$B$2&amp;$B$1)</f>
        <v>0</v>
      </c>
      <c r="DJ17" s="2">
        <f>COUNTIF(defects!$X:$X,Weekly_TVPlant!DJ$3&amp;Weekly_TVPlant!$B17&amp;Weekly_TVPlant!$B$3&amp;$B$2&amp;$B$1)</f>
        <v>0</v>
      </c>
      <c r="DK17" s="2">
        <f>COUNTIF(defects!$X:$X,Weekly_TVPlant!DK$3&amp;Weekly_TVPlant!$B17&amp;Weekly_TVPlant!$B$3&amp;$B$2&amp;$B$1)</f>
        <v>0</v>
      </c>
      <c r="DL17" s="2">
        <f>COUNTIF(defects!$X:$X,Weekly_TVPlant!DL$3&amp;Weekly_TVPlant!$B17&amp;Weekly_TVPlant!$B$3&amp;$B$2&amp;$B$1)</f>
        <v>0</v>
      </c>
      <c r="DM17" s="2">
        <f>COUNTIF(defects!$X:$X,Weekly_TVPlant!DM$3&amp;Weekly_TVPlant!$B17&amp;Weekly_TVPlant!$B$3&amp;$B$2&amp;$B$1)</f>
        <v>0</v>
      </c>
      <c r="DN17" s="2">
        <f>COUNTIF(defects!$X:$X,Weekly_TVPlant!DN$3&amp;Weekly_TVPlant!$B17&amp;Weekly_TVPlant!$B$3&amp;$B$2&amp;$B$1)</f>
        <v>0</v>
      </c>
      <c r="DO17" s="2">
        <f>COUNTIF(defects!$X:$X,Weekly_TVPlant!DO$3&amp;Weekly_TVPlant!$B17&amp;Weekly_TVPlant!$B$3&amp;$B$2&amp;$B$1)</f>
        <v>0</v>
      </c>
      <c r="DP17" s="2">
        <f>COUNTIF(defects!$X:$X,Weekly_TVPlant!DP$3&amp;Weekly_TVPlant!$B17&amp;Weekly_TVPlant!$B$3&amp;$B$2&amp;$B$1)</f>
        <v>0</v>
      </c>
      <c r="DQ17" s="2">
        <f>COUNTIF(defects!$X:$X,Weekly_TVPlant!DQ$3&amp;Weekly_TVPlant!$B17&amp;Weekly_TVPlant!$B$3&amp;$B$2&amp;$B$1)</f>
        <v>0</v>
      </c>
      <c r="DR17" s="2">
        <f>COUNTIF(defects!$X:$X,Weekly_TVPlant!DR$3&amp;Weekly_TVPlant!$B17&amp;Weekly_TVPlant!$B$3&amp;$B$2&amp;$B$1)</f>
        <v>0</v>
      </c>
      <c r="DS17" s="2">
        <f>COUNTIF(defects!$X:$X,Weekly_TVPlant!DS$3&amp;Weekly_TVPlant!$B17&amp;Weekly_TVPlant!$B$3&amp;$B$2&amp;$B$1)</f>
        <v>0</v>
      </c>
      <c r="DT17" s="2">
        <f>COUNTIF(defects!$X:$X,Weekly_TVPlant!DT$3&amp;Weekly_TVPlant!$B17&amp;Weekly_TVPlant!$B$3&amp;$B$2&amp;$B$1)</f>
        <v>0</v>
      </c>
      <c r="DU17" s="2">
        <f>COUNTIF(defects!$X:$X,Weekly_TVPlant!DU$3&amp;Weekly_TVPlant!$B17&amp;Weekly_TVPlant!$B$3&amp;$B$2&amp;$B$1)</f>
        <v>0</v>
      </c>
      <c r="DV17" s="2">
        <f>COUNTIF(defects!$X:$X,Weekly_TVPlant!DV$3&amp;Weekly_TVPlant!$B17&amp;Weekly_TVPlant!$B$3&amp;$B$2&amp;$B$1)</f>
        <v>0</v>
      </c>
      <c r="DW17" s="2">
        <f>COUNTIF(defects!$X:$X,Weekly_TVPlant!DW$3&amp;Weekly_TVPlant!$B17&amp;Weekly_TVPlant!$B$3&amp;$B$2&amp;$B$1)</f>
        <v>0</v>
      </c>
      <c r="DX17" s="2">
        <f>COUNTIF(defects!$X:$X,Weekly_TVPlant!DX$3&amp;Weekly_TVPlant!$B17&amp;Weekly_TVPlant!$B$3&amp;$B$2&amp;$B$1)</f>
        <v>0</v>
      </c>
      <c r="DY17" s="2">
        <f>COUNTIF(defects!$X:$X,Weekly_TVPlant!DY$3&amp;Weekly_TVPlant!$B17&amp;Weekly_TVPlant!$B$3&amp;$B$2&amp;$B$1)</f>
        <v>0</v>
      </c>
      <c r="DZ17" s="2">
        <f>COUNTIF(defects!$X:$X,Weekly_TVPlant!DZ$3&amp;Weekly_TVPlant!$B17&amp;Weekly_TVPlant!$B$3&amp;$B$2&amp;$B$1)</f>
        <v>0</v>
      </c>
      <c r="EA17" s="2">
        <f>COUNTIF(defects!$X:$X,Weekly_TVPlant!EA$3&amp;Weekly_TVPlant!$B17&amp;Weekly_TVPlant!$B$3&amp;$B$2&amp;$B$1)</f>
        <v>0</v>
      </c>
      <c r="EB17" s="2">
        <f>COUNTIF(defects!$X:$X,Weekly_TVPlant!EB$3&amp;Weekly_TVPlant!$B17&amp;Weekly_TVPlant!$B$3&amp;$B$2&amp;$B$1)</f>
        <v>0</v>
      </c>
      <c r="EC17" s="2">
        <f>COUNTIF(defects!$X:$X,Weekly_TVPlant!EC$3&amp;Weekly_TVPlant!$B17&amp;Weekly_TVPlant!$B$3&amp;$B$2&amp;$B$1)</f>
        <v>0</v>
      </c>
      <c r="ED17" s="2">
        <f>COUNTIF(defects!$X:$X,Weekly_TVPlant!ED$3&amp;Weekly_TVPlant!$B17&amp;Weekly_TVPlant!$B$3&amp;$B$2&amp;$B$1)</f>
        <v>0</v>
      </c>
      <c r="EE17" s="2">
        <f>COUNTIF(defects!$X:$X,Weekly_TVPlant!EE$3&amp;Weekly_TVPlant!$B17&amp;Weekly_TVPlant!$B$3&amp;$B$2&amp;$B$1)</f>
        <v>0</v>
      </c>
      <c r="EF17" s="2">
        <f>COUNTIF(defects!$X:$X,Weekly_TVPlant!EF$3&amp;Weekly_TVPlant!$B17&amp;Weekly_TVPlant!$B$3&amp;$B$2&amp;$B$1)</f>
        <v>0</v>
      </c>
      <c r="EG17" s="2">
        <f>COUNTIF(defects!$X:$X,Weekly_TVPlant!EG$3&amp;Weekly_TVPlant!$B17&amp;Weekly_TVPlant!$B$3&amp;$B$2&amp;$B$1)</f>
        <v>0</v>
      </c>
      <c r="EH17" s="2">
        <f>COUNTIF(defects!$X:$X,Weekly_TVPlant!EH$3&amp;Weekly_TVPlant!$B17&amp;Weekly_TVPlant!$B$3&amp;$B$2&amp;$B$1)</f>
        <v>0</v>
      </c>
      <c r="EI17" s="2">
        <f>COUNTIF(defects!$X:$X,Weekly_TVPlant!EI$3&amp;Weekly_TVPlant!$B17&amp;Weekly_TVPlant!$B$3&amp;$B$2&amp;$B$1)</f>
        <v>0</v>
      </c>
      <c r="EJ17" s="2">
        <f>COUNTIF(defects!$X:$X,Weekly_TVPlant!EJ$3&amp;Weekly_TVPlant!$B17&amp;Weekly_TVPlant!$B$3&amp;$B$2&amp;$B$1)</f>
        <v>0</v>
      </c>
      <c r="EK17" s="2">
        <f>COUNTIF(defects!$X:$X,Weekly_TVPlant!EK$3&amp;Weekly_TVPlant!$B17&amp;Weekly_TVPlant!$B$3&amp;$B$2&amp;$B$1)</f>
        <v>0</v>
      </c>
      <c r="EL17" s="2">
        <f>COUNTIF(defects!$X:$X,Weekly_TVPlant!EL$3&amp;Weekly_TVPlant!$B17&amp;Weekly_TVPlant!$B$3&amp;$B$2&amp;$B$1)</f>
        <v>0</v>
      </c>
      <c r="EM17" s="2">
        <f>COUNTIF(defects!$X:$X,Weekly_TVPlant!EM$3&amp;Weekly_TVPlant!$B17&amp;Weekly_TVPlant!$B$3&amp;$B$2&amp;$B$1)</f>
        <v>0</v>
      </c>
      <c r="EN17" s="2">
        <f>COUNTIF(defects!$X:$X,Weekly_TVPlant!EN$3&amp;Weekly_TVPlant!$B17&amp;Weekly_TVPlant!$B$3&amp;$B$2&amp;$B$1)</f>
        <v>0</v>
      </c>
      <c r="EO17" s="2">
        <f>COUNTIF(defects!$X:$X,Weekly_TVPlant!EO$3&amp;Weekly_TVPlant!$B17&amp;Weekly_TVPlant!$B$3&amp;$B$2&amp;$B$1)</f>
        <v>0</v>
      </c>
      <c r="EP17" s="2">
        <f>COUNTIF(defects!$X:$X,Weekly_TVPlant!EP$3&amp;Weekly_TVPlant!$B17&amp;Weekly_TVPlant!$B$3&amp;$B$2&amp;$B$1)</f>
        <v>0</v>
      </c>
      <c r="EQ17" s="2">
        <f>COUNTIF(defects!$X:$X,Weekly_TVPlant!EQ$3&amp;Weekly_TVPlant!$B17&amp;Weekly_TVPlant!$B$3&amp;$B$2&amp;$B$1)</f>
        <v>0</v>
      </c>
      <c r="ER17" s="2">
        <f>COUNTIF(defects!$X:$X,Weekly_TVPlant!ER$3&amp;Weekly_TVPlant!$B17&amp;Weekly_TVPlant!$B$3&amp;$B$2&amp;$B$1)</f>
        <v>0</v>
      </c>
      <c r="ES17" s="2">
        <f>COUNTIF(defects!$X:$X,Weekly_TVPlant!ES$3&amp;Weekly_TVPlant!$B17&amp;Weekly_TVPlant!$B$3&amp;$B$2&amp;$B$1)</f>
        <v>0</v>
      </c>
      <c r="ET17" s="2">
        <f>COUNTIF(defects!$X:$X,Weekly_TVPlant!ET$3&amp;Weekly_TVPlant!$B17&amp;Weekly_TVPlant!$B$3&amp;$B$2&amp;$B$1)</f>
        <v>0</v>
      </c>
      <c r="EU17" s="2">
        <f>COUNTIF(defects!$X:$X,Weekly_TVPlant!EU$3&amp;Weekly_TVPlant!$B17&amp;Weekly_TVPlant!$B$3&amp;$B$2&amp;$B$1)</f>
        <v>0</v>
      </c>
      <c r="EV17" s="2">
        <f>COUNTIF(defects!$X:$X,Weekly_TVPlant!EV$3&amp;Weekly_TVPlant!$B17&amp;Weekly_TVPlant!$B$3&amp;$B$2&amp;$B$1)</f>
        <v>0</v>
      </c>
      <c r="EW17" s="2">
        <f>COUNTIF(defects!$X:$X,Weekly_TVPlant!EW$3&amp;Weekly_TVPlant!$B17&amp;Weekly_TVPlant!$B$3&amp;$B$2&amp;$B$1)</f>
        <v>0</v>
      </c>
      <c r="EX17" s="2">
        <f>COUNTIF(defects!$X:$X,Weekly_TVPlant!EX$3&amp;Weekly_TVPlant!$B17&amp;Weekly_TVPlant!$B$3&amp;$B$2&amp;$B$1)</f>
        <v>0</v>
      </c>
      <c r="EY17" s="2">
        <f>COUNTIF(defects!$X:$X,Weekly_TVPlant!EY$3&amp;Weekly_TVPlant!$B17&amp;Weekly_TVPlant!$B$3&amp;$B$2&amp;$B$1)</f>
        <v>0</v>
      </c>
      <c r="EZ17" s="2">
        <f>COUNTIF(defects!$X:$X,Weekly_TVPlant!EZ$3&amp;Weekly_TVPlant!$B17&amp;Weekly_TVPlant!$B$3&amp;$B$2&amp;$B$1)</f>
        <v>0</v>
      </c>
      <c r="FA17" s="2">
        <f>COUNTIF(defects!$X:$X,Weekly_TVPlant!FA$3&amp;Weekly_TVPlant!$B17&amp;Weekly_TVPlant!$B$3&amp;$B$2&amp;$B$1)</f>
        <v>0</v>
      </c>
      <c r="FB17" s="2">
        <f>COUNTIF(defects!$X:$X,Weekly_TVPlant!FB$3&amp;Weekly_TVPlant!$B17&amp;Weekly_TVPlant!$B$3&amp;$B$2&amp;$B$1)</f>
        <v>0</v>
      </c>
      <c r="FC17" s="2">
        <f>COUNTIF(defects!$X:$X,Weekly_TVPlant!FC$3&amp;Weekly_TVPlant!$B17&amp;Weekly_TVPlant!$B$3&amp;$B$2&amp;$B$1)</f>
        <v>0</v>
      </c>
      <c r="FD17" s="2">
        <f>COUNTIF(defects!$X:$X,Weekly_TVPlant!FD$3&amp;Weekly_TVPlant!$B17&amp;Weekly_TVPlant!$B$3&amp;$B$2&amp;$B$1)</f>
        <v>0</v>
      </c>
      <c r="FE17" s="2">
        <f>COUNTIF(defects!$X:$X,Weekly_TVPlant!FE$3&amp;Weekly_TVPlant!$B17&amp;Weekly_TVPlant!$B$3&amp;$B$2&amp;$B$1)</f>
        <v>0</v>
      </c>
    </row>
    <row r="18" spans="2:161">
      <c r="B18" s="2" t="s">
        <v>891</v>
      </c>
      <c r="C18" s="2">
        <f>COUNTIF(defects!$X:$X,Weekly_TVPlant!C$3&amp;Weekly_TVPlant!$B18&amp;Weekly_TVPlant!$B$3&amp;$B$2&amp;$B$1)</f>
        <v>0</v>
      </c>
      <c r="D18" s="2">
        <f>COUNTIF(defects!$X:$X,Weekly_TVPlant!D$3&amp;Weekly_TVPlant!$B18&amp;Weekly_TVPlant!$B$3&amp;$B$2&amp;$B$1)</f>
        <v>0</v>
      </c>
      <c r="E18" s="2">
        <f>COUNTIF(defects!$X:$X,Weekly_TVPlant!E$3&amp;Weekly_TVPlant!$B18&amp;Weekly_TVPlant!$B$3&amp;$B$2&amp;$B$1)</f>
        <v>0</v>
      </c>
      <c r="F18" s="2">
        <f>COUNTIF(defects!$X:$X,Weekly_TVPlant!F$3&amp;Weekly_TVPlant!$B18&amp;Weekly_TVPlant!$B$3&amp;$B$2&amp;$B$1)</f>
        <v>0</v>
      </c>
      <c r="G18" s="2">
        <f>COUNTIF(defects!$X:$X,Weekly_TVPlant!G$3&amp;Weekly_TVPlant!$B18&amp;Weekly_TVPlant!$B$3&amp;$B$2&amp;$B$1)</f>
        <v>0</v>
      </c>
      <c r="H18" s="2">
        <f>COUNTIF(defects!$X:$X,Weekly_TVPlant!H$3&amp;Weekly_TVPlant!$B18&amp;Weekly_TVPlant!$B$3&amp;$B$2&amp;$B$1)</f>
        <v>0</v>
      </c>
      <c r="I18" s="2">
        <f>COUNTIF(defects!$X:$X,Weekly_TVPlant!I$3&amp;Weekly_TVPlant!$B18&amp;Weekly_TVPlant!$B$3&amp;$B$2&amp;$B$1)</f>
        <v>0</v>
      </c>
      <c r="J18" s="2">
        <f>COUNTIF(defects!$X:$X,Weekly_TVPlant!J$3&amp;Weekly_TVPlant!$B18&amp;Weekly_TVPlant!$B$3&amp;$B$2&amp;$B$1)</f>
        <v>0</v>
      </c>
      <c r="K18" s="2">
        <f>COUNTIF(defects!$X:$X,Weekly_TVPlant!K$3&amp;Weekly_TVPlant!$B18&amp;Weekly_TVPlant!$B$3&amp;$B$2&amp;$B$1)</f>
        <v>0</v>
      </c>
      <c r="L18" s="2">
        <f>COUNTIF(defects!$X:$X,Weekly_TVPlant!L$3&amp;Weekly_TVPlant!$B18&amp;Weekly_TVPlant!$B$3&amp;$B$2&amp;$B$1)</f>
        <v>0</v>
      </c>
      <c r="M18" s="2">
        <f>COUNTIF(defects!$X:$X,Weekly_TVPlant!M$3&amp;Weekly_TVPlant!$B18&amp;Weekly_TVPlant!$B$3&amp;$B$2&amp;$B$1)</f>
        <v>0</v>
      </c>
      <c r="N18" s="2">
        <f>COUNTIF(defects!$X:$X,Weekly_TVPlant!N$3&amp;Weekly_TVPlant!$B18&amp;Weekly_TVPlant!$B$3&amp;$B$2&amp;$B$1)</f>
        <v>0</v>
      </c>
      <c r="O18" s="2">
        <f>COUNTIF(defects!$X:$X,Weekly_TVPlant!O$3&amp;Weekly_TVPlant!$B18&amp;Weekly_TVPlant!$B$3&amp;$B$2&amp;$B$1)</f>
        <v>0</v>
      </c>
      <c r="P18" s="2">
        <f>COUNTIF(defects!$X:$X,Weekly_TVPlant!P$3&amp;Weekly_TVPlant!$B18&amp;Weekly_TVPlant!$B$3&amp;$B$2&amp;$B$1)</f>
        <v>0</v>
      </c>
      <c r="Q18" s="2">
        <f>COUNTIF(defects!$X:$X,Weekly_TVPlant!Q$3&amp;Weekly_TVPlant!$B18&amp;Weekly_TVPlant!$B$3&amp;$B$2&amp;$B$1)</f>
        <v>0</v>
      </c>
      <c r="R18" s="2">
        <f>COUNTIF(defects!$X:$X,Weekly_TVPlant!R$3&amp;Weekly_TVPlant!$B18&amp;Weekly_TVPlant!$B$3&amp;$B$2&amp;$B$1)</f>
        <v>0</v>
      </c>
      <c r="S18" s="2">
        <f>COUNTIF(defects!$X:$X,Weekly_TVPlant!S$3&amp;Weekly_TVPlant!$B18&amp;Weekly_TVPlant!$B$3&amp;$B$2&amp;$B$1)</f>
        <v>0</v>
      </c>
      <c r="T18" s="2">
        <f>COUNTIF(defects!$X:$X,Weekly_TVPlant!T$3&amp;Weekly_TVPlant!$B18&amp;Weekly_TVPlant!$B$3&amp;$B$2&amp;$B$1)</f>
        <v>0</v>
      </c>
      <c r="U18" s="2">
        <f>COUNTIF(defects!$X:$X,Weekly_TVPlant!U$3&amp;Weekly_TVPlant!$B18&amp;Weekly_TVPlant!$B$3&amp;$B$2&amp;$B$1)</f>
        <v>0</v>
      </c>
      <c r="V18" s="2">
        <f>COUNTIF(defects!$X:$X,Weekly_TVPlant!V$3&amp;Weekly_TVPlant!$B18&amp;Weekly_TVPlant!$B$3&amp;$B$2&amp;$B$1)</f>
        <v>0</v>
      </c>
      <c r="W18" s="2">
        <f>COUNTIF(defects!$X:$X,Weekly_TVPlant!W$3&amp;Weekly_TVPlant!$B18&amp;Weekly_TVPlant!$B$3&amp;$B$2&amp;$B$1)</f>
        <v>0</v>
      </c>
      <c r="X18" s="2">
        <f>COUNTIF(defects!$X:$X,Weekly_TVPlant!X$3&amp;Weekly_TVPlant!$B18&amp;Weekly_TVPlant!$B$3&amp;$B$2&amp;$B$1)</f>
        <v>0</v>
      </c>
      <c r="Y18" s="2">
        <f>COUNTIF(defects!$X:$X,Weekly_TVPlant!Y$3&amp;Weekly_TVPlant!$B18&amp;Weekly_TVPlant!$B$3&amp;$B$2&amp;$B$1)</f>
        <v>0</v>
      </c>
      <c r="Z18" s="2">
        <f>COUNTIF(defects!$X:$X,Weekly_TVPlant!Z$3&amp;Weekly_TVPlant!$B18&amp;Weekly_TVPlant!$B$3&amp;$B$2&amp;$B$1)</f>
        <v>0</v>
      </c>
      <c r="AA18" s="2">
        <f>COUNTIF(defects!$X:$X,Weekly_TVPlant!AA$3&amp;Weekly_TVPlant!$B18&amp;Weekly_TVPlant!$B$3&amp;$B$2&amp;$B$1)</f>
        <v>0</v>
      </c>
      <c r="AB18" s="2">
        <f>COUNTIF(defects!$X:$X,Weekly_TVPlant!AB$3&amp;Weekly_TVPlant!$B18&amp;Weekly_TVPlant!$B$3&amp;$B$2&amp;$B$1)</f>
        <v>0</v>
      </c>
      <c r="AC18" s="2">
        <f>COUNTIF(defects!$X:$X,Weekly_TVPlant!AC$3&amp;Weekly_TVPlant!$B18&amp;Weekly_TVPlant!$B$3&amp;$B$2&amp;$B$1)</f>
        <v>0</v>
      </c>
      <c r="AD18" s="2">
        <f>COUNTIF(defects!$X:$X,Weekly_TVPlant!AD$3&amp;Weekly_TVPlant!$B18&amp;Weekly_TVPlant!$B$3&amp;$B$2&amp;$B$1)</f>
        <v>0</v>
      </c>
      <c r="AE18" s="2">
        <f>COUNTIF(defects!$X:$X,Weekly_TVPlant!AE$3&amp;Weekly_TVPlant!$B18&amp;Weekly_TVPlant!$B$3&amp;$B$2&amp;$B$1)</f>
        <v>0</v>
      </c>
      <c r="AF18" s="2">
        <f>COUNTIF(defects!$X:$X,Weekly_TVPlant!AF$3&amp;Weekly_TVPlant!$B18&amp;Weekly_TVPlant!$B$3&amp;$B$2&amp;$B$1)</f>
        <v>0</v>
      </c>
      <c r="AG18" s="2">
        <f>COUNTIF(defects!$X:$X,Weekly_TVPlant!AG$3&amp;Weekly_TVPlant!$B18&amp;Weekly_TVPlant!$B$3&amp;$B$2&amp;$B$1)</f>
        <v>0</v>
      </c>
      <c r="AH18" s="2">
        <f>COUNTIF(defects!$X:$X,Weekly_TVPlant!AH$3&amp;Weekly_TVPlant!$B18&amp;Weekly_TVPlant!$B$3&amp;$B$2&amp;$B$1)</f>
        <v>0</v>
      </c>
      <c r="AI18" s="2">
        <f>COUNTIF(defects!$X:$X,Weekly_TVPlant!AI$3&amp;Weekly_TVPlant!$B18&amp;Weekly_TVPlant!$B$3&amp;$B$2&amp;$B$1)</f>
        <v>0</v>
      </c>
      <c r="AJ18" s="2">
        <f>COUNTIF(defects!$X:$X,Weekly_TVPlant!AJ$3&amp;Weekly_TVPlant!$B18&amp;Weekly_TVPlant!$B$3&amp;$B$2&amp;$B$1)</f>
        <v>0</v>
      </c>
      <c r="AK18" s="2">
        <f>COUNTIF(defects!$X:$X,Weekly_TVPlant!AK$3&amp;Weekly_TVPlant!$B18&amp;Weekly_TVPlant!$B$3&amp;$B$2&amp;$B$1)</f>
        <v>0</v>
      </c>
      <c r="AL18" s="2">
        <f>COUNTIF(defects!$X:$X,Weekly_TVPlant!AL$3&amp;Weekly_TVPlant!$B18&amp;Weekly_TVPlant!$B$3&amp;$B$2&amp;$B$1)</f>
        <v>0</v>
      </c>
      <c r="AM18" s="2">
        <f>COUNTIF(defects!$X:$X,Weekly_TVPlant!AM$3&amp;Weekly_TVPlant!$B18&amp;Weekly_TVPlant!$B$3&amp;$B$2&amp;$B$1)</f>
        <v>0</v>
      </c>
      <c r="AN18" s="2">
        <f>COUNTIF(defects!$X:$X,Weekly_TVPlant!AN$3&amp;Weekly_TVPlant!$B18&amp;Weekly_TVPlant!$B$3&amp;$B$2&amp;$B$1)</f>
        <v>0</v>
      </c>
      <c r="AO18" s="2">
        <f>COUNTIF(defects!$X:$X,Weekly_TVPlant!AO$3&amp;Weekly_TVPlant!$B18&amp;Weekly_TVPlant!$B$3&amp;$B$2&amp;$B$1)</f>
        <v>0</v>
      </c>
      <c r="AP18" s="2">
        <f>COUNTIF(defects!$X:$X,Weekly_TVPlant!AP$3&amp;Weekly_TVPlant!$B18&amp;Weekly_TVPlant!$B$3&amp;$B$2&amp;$B$1)</f>
        <v>0</v>
      </c>
      <c r="AQ18" s="2">
        <f>COUNTIF(defects!$X:$X,Weekly_TVPlant!AQ$3&amp;Weekly_TVPlant!$B18&amp;Weekly_TVPlant!$B$3&amp;$B$2&amp;$B$1)</f>
        <v>0</v>
      </c>
      <c r="AR18" s="2">
        <f>COUNTIF(defects!$X:$X,Weekly_TVPlant!AR$3&amp;Weekly_TVPlant!$B18&amp;Weekly_TVPlant!$B$3&amp;$B$2&amp;$B$1)</f>
        <v>0</v>
      </c>
      <c r="AS18" s="2">
        <f>COUNTIF(defects!$X:$X,Weekly_TVPlant!AS$3&amp;Weekly_TVPlant!$B18&amp;Weekly_TVPlant!$B$3&amp;$B$2&amp;$B$1)</f>
        <v>0</v>
      </c>
      <c r="AT18" s="2">
        <f>COUNTIF(defects!$X:$X,Weekly_TVPlant!AT$3&amp;Weekly_TVPlant!$B18&amp;Weekly_TVPlant!$B$3&amp;$B$2&amp;$B$1)</f>
        <v>0</v>
      </c>
      <c r="AU18" s="2">
        <f>COUNTIF(defects!$X:$X,Weekly_TVPlant!AU$3&amp;Weekly_TVPlant!$B18&amp;Weekly_TVPlant!$B$3&amp;$B$2&amp;$B$1)</f>
        <v>0</v>
      </c>
      <c r="AV18" s="2">
        <f>COUNTIF(defects!$X:$X,Weekly_TVPlant!AV$3&amp;Weekly_TVPlant!$B18&amp;Weekly_TVPlant!$B$3&amp;$B$2&amp;$B$1)</f>
        <v>0</v>
      </c>
      <c r="AW18" s="2">
        <f>COUNTIF(defects!$X:$X,Weekly_TVPlant!AW$3&amp;Weekly_TVPlant!$B18&amp;Weekly_TVPlant!$B$3&amp;$B$2&amp;$B$1)</f>
        <v>0</v>
      </c>
      <c r="AX18" s="2">
        <f>COUNTIF(defects!$X:$X,Weekly_TVPlant!AX$3&amp;Weekly_TVPlant!$B18&amp;Weekly_TVPlant!$B$3&amp;$B$2&amp;$B$1)</f>
        <v>0</v>
      </c>
      <c r="AY18" s="2">
        <f>COUNTIF(defects!$X:$X,Weekly_TVPlant!AY$3&amp;Weekly_TVPlant!$B18&amp;Weekly_TVPlant!$B$3&amp;$B$2&amp;$B$1)</f>
        <v>0</v>
      </c>
      <c r="AZ18" s="2">
        <f>COUNTIF(defects!$X:$X,Weekly_TVPlant!AZ$3&amp;Weekly_TVPlant!$B18&amp;Weekly_TVPlant!$B$3&amp;$B$2&amp;$B$1)</f>
        <v>0</v>
      </c>
      <c r="BA18" s="2">
        <f>COUNTIF(defects!$X:$X,Weekly_TVPlant!BA$3&amp;Weekly_TVPlant!$B18&amp;Weekly_TVPlant!$B$3&amp;$B$2&amp;$B$1)</f>
        <v>0</v>
      </c>
      <c r="BB18" s="2">
        <f>COUNTIF(defects!$X:$X,Weekly_TVPlant!BB$3&amp;Weekly_TVPlant!$B18&amp;Weekly_TVPlant!$B$3&amp;$B$2&amp;$B$1)</f>
        <v>0</v>
      </c>
      <c r="BC18" s="2">
        <f>COUNTIF(defects!$X:$X,Weekly_TVPlant!BC$3&amp;Weekly_TVPlant!$B18&amp;Weekly_TVPlant!$B$3&amp;$B$2&amp;$B$1)</f>
        <v>0</v>
      </c>
      <c r="BD18" s="2">
        <f>COUNTIF(defects!$X:$X,Weekly_TVPlant!BD$3&amp;Weekly_TVPlant!$B18&amp;Weekly_TVPlant!$B$3&amp;$B$2&amp;$B$1)</f>
        <v>0</v>
      </c>
      <c r="BE18" s="2">
        <f>COUNTIF(defects!$X:$X,Weekly_TVPlant!BE$3&amp;Weekly_TVPlant!$B18&amp;Weekly_TVPlant!$B$3&amp;$B$2&amp;$B$1)</f>
        <v>0</v>
      </c>
      <c r="BF18" s="2">
        <f>COUNTIF(defects!$X:$X,Weekly_TVPlant!BF$3&amp;Weekly_TVPlant!$B18&amp;Weekly_TVPlant!$B$3&amp;$B$2&amp;$B$1)</f>
        <v>0</v>
      </c>
      <c r="BG18" s="2">
        <f>COUNTIF(defects!$X:$X,Weekly_TVPlant!BG$3&amp;Weekly_TVPlant!$B18&amp;Weekly_TVPlant!$B$3&amp;$B$2&amp;$B$1)</f>
        <v>0</v>
      </c>
      <c r="BH18" s="2">
        <f>COUNTIF(defects!$X:$X,Weekly_TVPlant!BH$3&amp;Weekly_TVPlant!$B18&amp;Weekly_TVPlant!$B$3&amp;$B$2&amp;$B$1)</f>
        <v>0</v>
      </c>
      <c r="BI18" s="2">
        <f>COUNTIF(defects!$X:$X,Weekly_TVPlant!BI$3&amp;Weekly_TVPlant!$B18&amp;Weekly_TVPlant!$B$3&amp;$B$2&amp;$B$1)</f>
        <v>0</v>
      </c>
      <c r="BJ18" s="2">
        <f>COUNTIF(defects!$X:$X,Weekly_TVPlant!BJ$3&amp;Weekly_TVPlant!$B18&amp;Weekly_TVPlant!$B$3&amp;$B$2&amp;$B$1)</f>
        <v>0</v>
      </c>
      <c r="BK18" s="2">
        <f>COUNTIF(defects!$X:$X,Weekly_TVPlant!BK$3&amp;Weekly_TVPlant!$B18&amp;Weekly_TVPlant!$B$3&amp;$B$2&amp;$B$1)</f>
        <v>0</v>
      </c>
      <c r="BL18" s="2">
        <f>COUNTIF(defects!$X:$X,Weekly_TVPlant!BL$3&amp;Weekly_TVPlant!$B18&amp;Weekly_TVPlant!$B$3&amp;$B$2&amp;$B$1)</f>
        <v>0</v>
      </c>
      <c r="BM18" s="2">
        <f>COUNTIF(defects!$X:$X,Weekly_TVPlant!BM$3&amp;Weekly_TVPlant!$B18&amp;Weekly_TVPlant!$B$3&amp;$B$2&amp;$B$1)</f>
        <v>0</v>
      </c>
      <c r="BN18" s="2">
        <f>COUNTIF(defects!$X:$X,Weekly_TVPlant!BN$3&amp;Weekly_TVPlant!$B18&amp;Weekly_TVPlant!$B$3&amp;$B$2&amp;$B$1)</f>
        <v>0</v>
      </c>
      <c r="BO18" s="2">
        <f>COUNTIF(defects!$X:$X,Weekly_TVPlant!BO$3&amp;Weekly_TVPlant!$B18&amp;Weekly_TVPlant!$B$3&amp;$B$2&amp;$B$1)</f>
        <v>0</v>
      </c>
      <c r="BP18" s="2">
        <f>COUNTIF(defects!$X:$X,Weekly_TVPlant!BP$3&amp;Weekly_TVPlant!$B18&amp;Weekly_TVPlant!$B$3&amp;$B$2&amp;$B$1)</f>
        <v>0</v>
      </c>
      <c r="BQ18" s="2">
        <f>COUNTIF(defects!$X:$X,Weekly_TVPlant!BQ$3&amp;Weekly_TVPlant!$B18&amp;Weekly_TVPlant!$B$3&amp;$B$2&amp;$B$1)</f>
        <v>0</v>
      </c>
      <c r="BR18" s="2">
        <f>COUNTIF(defects!$X:$X,Weekly_TVPlant!BR$3&amp;Weekly_TVPlant!$B18&amp;Weekly_TVPlant!$B$3&amp;$B$2&amp;$B$1)</f>
        <v>0</v>
      </c>
      <c r="BS18" s="2">
        <f>COUNTIF(defects!$X:$X,Weekly_TVPlant!BS$3&amp;Weekly_TVPlant!$B18&amp;Weekly_TVPlant!$B$3&amp;$B$2&amp;$B$1)</f>
        <v>0</v>
      </c>
      <c r="BT18" s="2">
        <f>COUNTIF(defects!$X:$X,Weekly_TVPlant!BT$3&amp;Weekly_TVPlant!$B18&amp;Weekly_TVPlant!$B$3&amp;$B$2&amp;$B$1)</f>
        <v>0</v>
      </c>
      <c r="BU18" s="2">
        <f>COUNTIF(defects!$X:$X,Weekly_TVPlant!BU$3&amp;Weekly_TVPlant!$B18&amp;Weekly_TVPlant!$B$3&amp;$B$2&amp;$B$1)</f>
        <v>0</v>
      </c>
      <c r="BV18" s="2">
        <f>COUNTIF(defects!$X:$X,Weekly_TVPlant!BV$3&amp;Weekly_TVPlant!$B18&amp;Weekly_TVPlant!$B$3&amp;$B$2&amp;$B$1)</f>
        <v>0</v>
      </c>
      <c r="BW18" s="2">
        <f>COUNTIF(defects!$X:$X,Weekly_TVPlant!BW$3&amp;Weekly_TVPlant!$B18&amp;Weekly_TVPlant!$B$3&amp;$B$2&amp;$B$1)</f>
        <v>0</v>
      </c>
      <c r="BX18" s="2">
        <f>COUNTIF(defects!$X:$X,Weekly_TVPlant!BX$3&amp;Weekly_TVPlant!$B18&amp;Weekly_TVPlant!$B$3&amp;$B$2&amp;$B$1)</f>
        <v>0</v>
      </c>
      <c r="BY18" s="2">
        <f>COUNTIF(defects!$X:$X,Weekly_TVPlant!BY$3&amp;Weekly_TVPlant!$B18&amp;Weekly_TVPlant!$B$3&amp;$B$2&amp;$B$1)</f>
        <v>0</v>
      </c>
      <c r="BZ18" s="2">
        <f>COUNTIF(defects!$X:$X,Weekly_TVPlant!BZ$3&amp;Weekly_TVPlant!$B18&amp;Weekly_TVPlant!$B$3&amp;$B$2&amp;$B$1)</f>
        <v>0</v>
      </c>
      <c r="CA18" s="2">
        <f>COUNTIF(defects!$X:$X,Weekly_TVPlant!CA$3&amp;Weekly_TVPlant!$B18&amp;Weekly_TVPlant!$B$3&amp;$B$2&amp;$B$1)</f>
        <v>0</v>
      </c>
      <c r="CB18" s="2">
        <f>COUNTIF(defects!$X:$X,Weekly_TVPlant!CB$3&amp;Weekly_TVPlant!$B18&amp;Weekly_TVPlant!$B$3&amp;$B$2&amp;$B$1)</f>
        <v>0</v>
      </c>
      <c r="CC18" s="2">
        <f>COUNTIF(defects!$X:$X,Weekly_TVPlant!CC$3&amp;Weekly_TVPlant!$B18&amp;Weekly_TVPlant!$B$3&amp;$B$2&amp;$B$1)</f>
        <v>1</v>
      </c>
      <c r="CD18" s="2">
        <f>COUNTIF(defects!$X:$X,Weekly_TVPlant!CD$3&amp;Weekly_TVPlant!$B18&amp;Weekly_TVPlant!$B$3&amp;$B$2&amp;$B$1)</f>
        <v>0</v>
      </c>
      <c r="CE18" s="2">
        <f>COUNTIF(defects!$X:$X,Weekly_TVPlant!CE$3&amp;Weekly_TVPlant!$B18&amp;Weekly_TVPlant!$B$3&amp;$B$2&amp;$B$1)</f>
        <v>0</v>
      </c>
      <c r="CF18" s="2">
        <f>COUNTIF(defects!$X:$X,Weekly_TVPlant!CF$3&amp;Weekly_TVPlant!$B18&amp;Weekly_TVPlant!$B$3&amp;$B$2&amp;$B$1)</f>
        <v>0</v>
      </c>
      <c r="CG18" s="2">
        <f>COUNTIF(defects!$X:$X,Weekly_TVPlant!CG$3&amp;Weekly_TVPlant!$B18&amp;Weekly_TVPlant!$B$3&amp;$B$2&amp;$B$1)</f>
        <v>0</v>
      </c>
      <c r="CH18" s="2">
        <f>COUNTIF(defects!$X:$X,Weekly_TVPlant!CH$3&amp;Weekly_TVPlant!$B18&amp;Weekly_TVPlant!$B$3&amp;$B$2&amp;$B$1)</f>
        <v>0</v>
      </c>
      <c r="CI18" s="2">
        <f>COUNTIF(defects!$X:$X,Weekly_TVPlant!CI$3&amp;Weekly_TVPlant!$B18&amp;Weekly_TVPlant!$B$3&amp;$B$2&amp;$B$1)</f>
        <v>0</v>
      </c>
      <c r="CJ18" s="2">
        <f>COUNTIF(defects!$X:$X,Weekly_TVPlant!CJ$3&amp;Weekly_TVPlant!$B18&amp;Weekly_TVPlant!$B$3&amp;$B$2&amp;$B$1)</f>
        <v>1</v>
      </c>
      <c r="CK18" s="2">
        <f>COUNTIF(defects!$X:$X,Weekly_TVPlant!CK$3&amp;Weekly_TVPlant!$B18&amp;Weekly_TVPlant!$B$3&amp;$B$2&amp;$B$1)</f>
        <v>0</v>
      </c>
      <c r="CL18" s="2">
        <f>COUNTIF(defects!$X:$X,Weekly_TVPlant!CL$3&amp;Weekly_TVPlant!$B18&amp;Weekly_TVPlant!$B$3&amp;$B$2&amp;$B$1)</f>
        <v>1</v>
      </c>
      <c r="CM18" s="2">
        <f>COUNTIF(defects!$X:$X,Weekly_TVPlant!CM$3&amp;Weekly_TVPlant!$B18&amp;Weekly_TVPlant!$B$3&amp;$B$2&amp;$B$1)</f>
        <v>0</v>
      </c>
      <c r="CN18" s="2">
        <f>COUNTIF(defects!$X:$X,Weekly_TVPlant!CN$3&amp;Weekly_TVPlant!$B18&amp;Weekly_TVPlant!$B$3&amp;$B$2&amp;$B$1)</f>
        <v>0</v>
      </c>
      <c r="CO18" s="2">
        <f>COUNTIF(defects!$X:$X,Weekly_TVPlant!CO$3&amp;Weekly_TVPlant!$B18&amp;Weekly_TVPlant!$B$3&amp;$B$2&amp;$B$1)</f>
        <v>0</v>
      </c>
      <c r="CP18" s="2">
        <f>COUNTIF(defects!$X:$X,Weekly_TVPlant!CP$3&amp;Weekly_TVPlant!$B18&amp;Weekly_TVPlant!$B$3&amp;$B$2&amp;$B$1)</f>
        <v>0</v>
      </c>
      <c r="CQ18" s="2">
        <f>COUNTIF(defects!$X:$X,Weekly_TVPlant!CQ$3&amp;Weekly_TVPlant!$B18&amp;Weekly_TVPlant!$B$3&amp;$B$2&amp;$B$1)</f>
        <v>0</v>
      </c>
      <c r="CR18" s="2">
        <f>COUNTIF(defects!$X:$X,Weekly_TVPlant!CR$3&amp;Weekly_TVPlant!$B18&amp;Weekly_TVPlant!$B$3&amp;$B$2&amp;$B$1)</f>
        <v>1</v>
      </c>
      <c r="CS18" s="2">
        <f>COUNTIF(defects!$X:$X,Weekly_TVPlant!CS$3&amp;Weekly_TVPlant!$B18&amp;Weekly_TVPlant!$B$3&amp;$B$2&amp;$B$1)</f>
        <v>0</v>
      </c>
      <c r="CT18" s="2">
        <f>COUNTIF(defects!$X:$X,Weekly_TVPlant!CT$3&amp;Weekly_TVPlant!$B18&amp;Weekly_TVPlant!$B$3&amp;$B$2&amp;$B$1)</f>
        <v>1</v>
      </c>
      <c r="CU18" s="2">
        <f>COUNTIF(defects!$X:$X,Weekly_TVPlant!CU$3&amp;Weekly_TVPlant!$B18&amp;Weekly_TVPlant!$B$3&amp;$B$2&amp;$B$1)</f>
        <v>0</v>
      </c>
      <c r="CV18" s="2">
        <f>COUNTIF(defects!$X:$X,Weekly_TVPlant!CV$3&amp;Weekly_TVPlant!$B18&amp;Weekly_TVPlant!$B$3&amp;$B$2&amp;$B$1)</f>
        <v>0</v>
      </c>
      <c r="CW18" s="2">
        <f>COUNTIF(defects!$X:$X,Weekly_TVPlant!CW$3&amp;Weekly_TVPlant!$B18&amp;Weekly_TVPlant!$B$3&amp;$B$2&amp;$B$1)</f>
        <v>1</v>
      </c>
      <c r="CX18" s="2">
        <f>COUNTIF(defects!$X:$X,Weekly_TVPlant!CX$3&amp;Weekly_TVPlant!$B18&amp;Weekly_TVPlant!$B$3&amp;$B$2&amp;$B$1)</f>
        <v>0</v>
      </c>
      <c r="CY18" s="2">
        <f>COUNTIF(defects!$X:$X,Weekly_TVPlant!CY$3&amp;Weekly_TVPlant!$B18&amp;Weekly_TVPlant!$B$3&amp;$B$2&amp;$B$1)</f>
        <v>0</v>
      </c>
      <c r="CZ18" s="2">
        <f>COUNTIF(defects!$X:$X,Weekly_TVPlant!CZ$3&amp;Weekly_TVPlant!$B18&amp;Weekly_TVPlant!$B$3&amp;$B$2&amp;$B$1)</f>
        <v>0</v>
      </c>
      <c r="DA18" s="2">
        <f>COUNTIF(defects!$X:$X,Weekly_TVPlant!DA$3&amp;Weekly_TVPlant!$B18&amp;Weekly_TVPlant!$B$3&amp;$B$2&amp;$B$1)</f>
        <v>0</v>
      </c>
      <c r="DB18" s="2">
        <f>COUNTIF(defects!$X:$X,Weekly_TVPlant!DB$3&amp;Weekly_TVPlant!$B18&amp;Weekly_TVPlant!$B$3&amp;$B$2&amp;$B$1)</f>
        <v>0</v>
      </c>
      <c r="DC18" s="2">
        <f>COUNTIF(defects!$X:$X,Weekly_TVPlant!DC$3&amp;Weekly_TVPlant!$B18&amp;Weekly_TVPlant!$B$3&amp;$B$2&amp;$B$1)</f>
        <v>0</v>
      </c>
      <c r="DD18" s="2">
        <f>COUNTIF(defects!$X:$X,Weekly_TVPlant!DD$3&amp;Weekly_TVPlant!$B18&amp;Weekly_TVPlant!$B$3&amp;$B$2&amp;$B$1)</f>
        <v>0</v>
      </c>
      <c r="DE18" s="2">
        <f>COUNTIF(defects!$X:$X,Weekly_TVPlant!DE$3&amp;Weekly_TVPlant!$B18&amp;Weekly_TVPlant!$B$3&amp;$B$2&amp;$B$1)</f>
        <v>0</v>
      </c>
      <c r="DF18" s="2">
        <f>COUNTIF(defects!$X:$X,Weekly_TVPlant!DF$3&amp;Weekly_TVPlant!$B18&amp;Weekly_TVPlant!$B$3&amp;$B$2&amp;$B$1)</f>
        <v>0</v>
      </c>
      <c r="DG18" s="2">
        <f>COUNTIF(defects!$X:$X,Weekly_TVPlant!DG$3&amp;Weekly_TVPlant!$B18&amp;Weekly_TVPlant!$B$3&amp;$B$2&amp;$B$1)</f>
        <v>0</v>
      </c>
      <c r="DH18" s="2">
        <f>COUNTIF(defects!$X:$X,Weekly_TVPlant!DH$3&amp;Weekly_TVPlant!$B18&amp;Weekly_TVPlant!$B$3&amp;$B$2&amp;$B$1)</f>
        <v>0</v>
      </c>
      <c r="DI18" s="2">
        <f>COUNTIF(defects!$X:$X,Weekly_TVPlant!DI$3&amp;Weekly_TVPlant!$B18&amp;Weekly_TVPlant!$B$3&amp;$B$2&amp;$B$1)</f>
        <v>0</v>
      </c>
      <c r="DJ18" s="2">
        <f>COUNTIF(defects!$X:$X,Weekly_TVPlant!DJ$3&amp;Weekly_TVPlant!$B18&amp;Weekly_TVPlant!$B$3&amp;$B$2&amp;$B$1)</f>
        <v>0</v>
      </c>
      <c r="DK18" s="2">
        <f>COUNTIF(defects!$X:$X,Weekly_TVPlant!DK$3&amp;Weekly_TVPlant!$B18&amp;Weekly_TVPlant!$B$3&amp;$B$2&amp;$B$1)</f>
        <v>0</v>
      </c>
      <c r="DL18" s="2">
        <f>COUNTIF(defects!$X:$X,Weekly_TVPlant!DL$3&amp;Weekly_TVPlant!$B18&amp;Weekly_TVPlant!$B$3&amp;$B$2&amp;$B$1)</f>
        <v>0</v>
      </c>
      <c r="DM18" s="2">
        <f>COUNTIF(defects!$X:$X,Weekly_TVPlant!DM$3&amp;Weekly_TVPlant!$B18&amp;Weekly_TVPlant!$B$3&amp;$B$2&amp;$B$1)</f>
        <v>0</v>
      </c>
      <c r="DN18" s="2">
        <f>COUNTIF(defects!$X:$X,Weekly_TVPlant!DN$3&amp;Weekly_TVPlant!$B18&amp;Weekly_TVPlant!$B$3&amp;$B$2&amp;$B$1)</f>
        <v>0</v>
      </c>
      <c r="DO18" s="2">
        <f>COUNTIF(defects!$X:$X,Weekly_TVPlant!DO$3&amp;Weekly_TVPlant!$B18&amp;Weekly_TVPlant!$B$3&amp;$B$2&amp;$B$1)</f>
        <v>0</v>
      </c>
      <c r="DP18" s="2">
        <f>COUNTIF(defects!$X:$X,Weekly_TVPlant!DP$3&amp;Weekly_TVPlant!$B18&amp;Weekly_TVPlant!$B$3&amp;$B$2&amp;$B$1)</f>
        <v>0</v>
      </c>
      <c r="DQ18" s="2">
        <f>COUNTIF(defects!$X:$X,Weekly_TVPlant!DQ$3&amp;Weekly_TVPlant!$B18&amp;Weekly_TVPlant!$B$3&amp;$B$2&amp;$B$1)</f>
        <v>0</v>
      </c>
      <c r="DR18" s="2">
        <f>COUNTIF(defects!$X:$X,Weekly_TVPlant!DR$3&amp;Weekly_TVPlant!$B18&amp;Weekly_TVPlant!$B$3&amp;$B$2&amp;$B$1)</f>
        <v>0</v>
      </c>
      <c r="DS18" s="2">
        <f>COUNTIF(defects!$X:$X,Weekly_TVPlant!DS$3&amp;Weekly_TVPlant!$B18&amp;Weekly_TVPlant!$B$3&amp;$B$2&amp;$B$1)</f>
        <v>0</v>
      </c>
      <c r="DT18" s="2">
        <f>COUNTIF(defects!$X:$X,Weekly_TVPlant!DT$3&amp;Weekly_TVPlant!$B18&amp;Weekly_TVPlant!$B$3&amp;$B$2&amp;$B$1)</f>
        <v>0</v>
      </c>
      <c r="DU18" s="2">
        <f>COUNTIF(defects!$X:$X,Weekly_TVPlant!DU$3&amp;Weekly_TVPlant!$B18&amp;Weekly_TVPlant!$B$3&amp;$B$2&amp;$B$1)</f>
        <v>0</v>
      </c>
      <c r="DV18" s="2">
        <f>COUNTIF(defects!$X:$X,Weekly_TVPlant!DV$3&amp;Weekly_TVPlant!$B18&amp;Weekly_TVPlant!$B$3&amp;$B$2&amp;$B$1)</f>
        <v>0</v>
      </c>
      <c r="DW18" s="2">
        <f>COUNTIF(defects!$X:$X,Weekly_TVPlant!DW$3&amp;Weekly_TVPlant!$B18&amp;Weekly_TVPlant!$B$3&amp;$B$2&amp;$B$1)</f>
        <v>0</v>
      </c>
      <c r="DX18" s="2">
        <f>COUNTIF(defects!$X:$X,Weekly_TVPlant!DX$3&amp;Weekly_TVPlant!$B18&amp;Weekly_TVPlant!$B$3&amp;$B$2&amp;$B$1)</f>
        <v>0</v>
      </c>
      <c r="DY18" s="2">
        <f>COUNTIF(defects!$X:$X,Weekly_TVPlant!DY$3&amp;Weekly_TVPlant!$B18&amp;Weekly_TVPlant!$B$3&amp;$B$2&amp;$B$1)</f>
        <v>0</v>
      </c>
      <c r="DZ18" s="2">
        <f>COUNTIF(defects!$X:$X,Weekly_TVPlant!DZ$3&amp;Weekly_TVPlant!$B18&amp;Weekly_TVPlant!$B$3&amp;$B$2&amp;$B$1)</f>
        <v>0</v>
      </c>
      <c r="EA18" s="2">
        <f>COUNTIF(defects!$X:$X,Weekly_TVPlant!EA$3&amp;Weekly_TVPlant!$B18&amp;Weekly_TVPlant!$B$3&amp;$B$2&amp;$B$1)</f>
        <v>0</v>
      </c>
      <c r="EB18" s="2">
        <f>COUNTIF(defects!$X:$X,Weekly_TVPlant!EB$3&amp;Weekly_TVPlant!$B18&amp;Weekly_TVPlant!$B$3&amp;$B$2&amp;$B$1)</f>
        <v>0</v>
      </c>
      <c r="EC18" s="2">
        <f>COUNTIF(defects!$X:$X,Weekly_TVPlant!EC$3&amp;Weekly_TVPlant!$B18&amp;Weekly_TVPlant!$B$3&amp;$B$2&amp;$B$1)</f>
        <v>0</v>
      </c>
      <c r="ED18" s="2">
        <f>COUNTIF(defects!$X:$X,Weekly_TVPlant!ED$3&amp;Weekly_TVPlant!$B18&amp;Weekly_TVPlant!$B$3&amp;$B$2&amp;$B$1)</f>
        <v>0</v>
      </c>
      <c r="EE18" s="2">
        <f>COUNTIF(defects!$X:$X,Weekly_TVPlant!EE$3&amp;Weekly_TVPlant!$B18&amp;Weekly_TVPlant!$B$3&amp;$B$2&amp;$B$1)</f>
        <v>0</v>
      </c>
      <c r="EF18" s="2">
        <f>COUNTIF(defects!$X:$X,Weekly_TVPlant!EF$3&amp;Weekly_TVPlant!$B18&amp;Weekly_TVPlant!$B$3&amp;$B$2&amp;$B$1)</f>
        <v>0</v>
      </c>
      <c r="EG18" s="2">
        <f>COUNTIF(defects!$X:$X,Weekly_TVPlant!EG$3&amp;Weekly_TVPlant!$B18&amp;Weekly_TVPlant!$B$3&amp;$B$2&amp;$B$1)</f>
        <v>0</v>
      </c>
      <c r="EH18" s="2">
        <f>COUNTIF(defects!$X:$X,Weekly_TVPlant!EH$3&amp;Weekly_TVPlant!$B18&amp;Weekly_TVPlant!$B$3&amp;$B$2&amp;$B$1)</f>
        <v>0</v>
      </c>
      <c r="EI18" s="2">
        <f>COUNTIF(defects!$X:$X,Weekly_TVPlant!EI$3&amp;Weekly_TVPlant!$B18&amp;Weekly_TVPlant!$B$3&amp;$B$2&amp;$B$1)</f>
        <v>0</v>
      </c>
      <c r="EJ18" s="2">
        <f>COUNTIF(defects!$X:$X,Weekly_TVPlant!EJ$3&amp;Weekly_TVPlant!$B18&amp;Weekly_TVPlant!$B$3&amp;$B$2&amp;$B$1)</f>
        <v>0</v>
      </c>
      <c r="EK18" s="2">
        <f>COUNTIF(defects!$X:$X,Weekly_TVPlant!EK$3&amp;Weekly_TVPlant!$B18&amp;Weekly_TVPlant!$B$3&amp;$B$2&amp;$B$1)</f>
        <v>0</v>
      </c>
      <c r="EL18" s="2">
        <f>COUNTIF(defects!$X:$X,Weekly_TVPlant!EL$3&amp;Weekly_TVPlant!$B18&amp;Weekly_TVPlant!$B$3&amp;$B$2&amp;$B$1)</f>
        <v>0</v>
      </c>
      <c r="EM18" s="2">
        <f>COUNTIF(defects!$X:$X,Weekly_TVPlant!EM$3&amp;Weekly_TVPlant!$B18&amp;Weekly_TVPlant!$B$3&amp;$B$2&amp;$B$1)</f>
        <v>0</v>
      </c>
      <c r="EN18" s="2">
        <f>COUNTIF(defects!$X:$X,Weekly_TVPlant!EN$3&amp;Weekly_TVPlant!$B18&amp;Weekly_TVPlant!$B$3&amp;$B$2&amp;$B$1)</f>
        <v>0</v>
      </c>
      <c r="EO18" s="2">
        <f>COUNTIF(defects!$X:$X,Weekly_TVPlant!EO$3&amp;Weekly_TVPlant!$B18&amp;Weekly_TVPlant!$B$3&amp;$B$2&amp;$B$1)</f>
        <v>0</v>
      </c>
      <c r="EP18" s="2">
        <f>COUNTIF(defects!$X:$X,Weekly_TVPlant!EP$3&amp;Weekly_TVPlant!$B18&amp;Weekly_TVPlant!$B$3&amp;$B$2&amp;$B$1)</f>
        <v>0</v>
      </c>
      <c r="EQ18" s="2">
        <f>COUNTIF(defects!$X:$X,Weekly_TVPlant!EQ$3&amp;Weekly_TVPlant!$B18&amp;Weekly_TVPlant!$B$3&amp;$B$2&amp;$B$1)</f>
        <v>0</v>
      </c>
      <c r="ER18" s="2">
        <f>COUNTIF(defects!$X:$X,Weekly_TVPlant!ER$3&amp;Weekly_TVPlant!$B18&amp;Weekly_TVPlant!$B$3&amp;$B$2&amp;$B$1)</f>
        <v>0</v>
      </c>
      <c r="ES18" s="2">
        <f>COUNTIF(defects!$X:$X,Weekly_TVPlant!ES$3&amp;Weekly_TVPlant!$B18&amp;Weekly_TVPlant!$B$3&amp;$B$2&amp;$B$1)</f>
        <v>0</v>
      </c>
      <c r="ET18" s="2">
        <f>COUNTIF(defects!$X:$X,Weekly_TVPlant!ET$3&amp;Weekly_TVPlant!$B18&amp;Weekly_TVPlant!$B$3&amp;$B$2&amp;$B$1)</f>
        <v>0</v>
      </c>
      <c r="EU18" s="2">
        <f>COUNTIF(defects!$X:$X,Weekly_TVPlant!EU$3&amp;Weekly_TVPlant!$B18&amp;Weekly_TVPlant!$B$3&amp;$B$2&amp;$B$1)</f>
        <v>0</v>
      </c>
      <c r="EV18" s="2">
        <f>COUNTIF(defects!$X:$X,Weekly_TVPlant!EV$3&amp;Weekly_TVPlant!$B18&amp;Weekly_TVPlant!$B$3&amp;$B$2&amp;$B$1)</f>
        <v>0</v>
      </c>
      <c r="EW18" s="2">
        <f>COUNTIF(defects!$X:$X,Weekly_TVPlant!EW$3&amp;Weekly_TVPlant!$B18&amp;Weekly_TVPlant!$B$3&amp;$B$2&amp;$B$1)</f>
        <v>0</v>
      </c>
      <c r="EX18" s="2">
        <f>COUNTIF(defects!$X:$X,Weekly_TVPlant!EX$3&amp;Weekly_TVPlant!$B18&amp;Weekly_TVPlant!$B$3&amp;$B$2&amp;$B$1)</f>
        <v>0</v>
      </c>
      <c r="EY18" s="2">
        <f>COUNTIF(defects!$X:$X,Weekly_TVPlant!EY$3&amp;Weekly_TVPlant!$B18&amp;Weekly_TVPlant!$B$3&amp;$B$2&amp;$B$1)</f>
        <v>0</v>
      </c>
      <c r="EZ18" s="2">
        <f>COUNTIF(defects!$X:$X,Weekly_TVPlant!EZ$3&amp;Weekly_TVPlant!$B18&amp;Weekly_TVPlant!$B$3&amp;$B$2&amp;$B$1)</f>
        <v>0</v>
      </c>
      <c r="FA18" s="2">
        <f>COUNTIF(defects!$X:$X,Weekly_TVPlant!FA$3&amp;Weekly_TVPlant!$B18&amp;Weekly_TVPlant!$B$3&amp;$B$2&amp;$B$1)</f>
        <v>0</v>
      </c>
      <c r="FB18" s="2">
        <f>COUNTIF(defects!$X:$X,Weekly_TVPlant!FB$3&amp;Weekly_TVPlant!$B18&amp;Weekly_TVPlant!$B$3&amp;$B$2&amp;$B$1)</f>
        <v>0</v>
      </c>
      <c r="FC18" s="2">
        <f>COUNTIF(defects!$X:$X,Weekly_TVPlant!FC$3&amp;Weekly_TVPlant!$B18&amp;Weekly_TVPlant!$B$3&amp;$B$2&amp;$B$1)</f>
        <v>0</v>
      </c>
      <c r="FD18" s="2">
        <f>COUNTIF(defects!$X:$X,Weekly_TVPlant!FD$3&amp;Weekly_TVPlant!$B18&amp;Weekly_TVPlant!$B$3&amp;$B$2&amp;$B$1)</f>
        <v>0</v>
      </c>
      <c r="FE18" s="2">
        <f>COUNTIF(defects!$X:$X,Weekly_TVPlant!FE$3&amp;Weekly_TVPlant!$B18&amp;Weekly_TVPlant!$B$3&amp;$B$2&amp;$B$1)</f>
        <v>0</v>
      </c>
    </row>
    <row r="19" spans="2:161">
      <c r="B19" s="3" t="s">
        <v>995</v>
      </c>
      <c r="C19" s="2">
        <f>COUNTIF(defects!$X:$X,Weekly_TVPlant!C$3&amp;Weekly_TVPlant!$B19&amp;Weekly_TVPlant!$B$3&amp;$B$2&amp;$B$1)</f>
        <v>0</v>
      </c>
      <c r="D19" s="2">
        <f>COUNTIF(defects!$X:$X,Weekly_TVPlant!D$3&amp;Weekly_TVPlant!$B19&amp;Weekly_TVPlant!$B$3&amp;$B$2&amp;$B$1)</f>
        <v>0</v>
      </c>
      <c r="E19" s="2">
        <f>COUNTIF(defects!$X:$X,Weekly_TVPlant!E$3&amp;Weekly_TVPlant!$B19&amp;Weekly_TVPlant!$B$3&amp;$B$2&amp;$B$1)</f>
        <v>0</v>
      </c>
      <c r="F19" s="2">
        <f>COUNTIF(defects!$X:$X,Weekly_TVPlant!F$3&amp;Weekly_TVPlant!$B19&amp;Weekly_TVPlant!$B$3&amp;$B$2&amp;$B$1)</f>
        <v>0</v>
      </c>
      <c r="G19" s="2">
        <f>COUNTIF(defects!$X:$X,Weekly_TVPlant!G$3&amp;Weekly_TVPlant!$B19&amp;Weekly_TVPlant!$B$3&amp;$B$2&amp;$B$1)</f>
        <v>0</v>
      </c>
      <c r="H19" s="2">
        <f>COUNTIF(defects!$X:$X,Weekly_TVPlant!H$3&amp;Weekly_TVPlant!$B19&amp;Weekly_TVPlant!$B$3&amp;$B$2&amp;$B$1)</f>
        <v>0</v>
      </c>
      <c r="I19" s="2">
        <f>COUNTIF(defects!$X:$X,Weekly_TVPlant!I$3&amp;Weekly_TVPlant!$B19&amp;Weekly_TVPlant!$B$3&amp;$B$2&amp;$B$1)</f>
        <v>0</v>
      </c>
      <c r="J19" s="2">
        <f>COUNTIF(defects!$X:$X,Weekly_TVPlant!J$3&amp;Weekly_TVPlant!$B19&amp;Weekly_TVPlant!$B$3&amp;$B$2&amp;$B$1)</f>
        <v>0</v>
      </c>
      <c r="K19" s="2">
        <f>COUNTIF(defects!$X:$X,Weekly_TVPlant!K$3&amp;Weekly_TVPlant!$B19&amp;Weekly_TVPlant!$B$3&amp;$B$2&amp;$B$1)</f>
        <v>0</v>
      </c>
      <c r="L19" s="2">
        <f>COUNTIF(defects!$X:$X,Weekly_TVPlant!L$3&amp;Weekly_TVPlant!$B19&amp;Weekly_TVPlant!$B$3&amp;$B$2&amp;$B$1)</f>
        <v>0</v>
      </c>
      <c r="M19" s="2">
        <f>COUNTIF(defects!$X:$X,Weekly_TVPlant!M$3&amp;Weekly_TVPlant!$B19&amp;Weekly_TVPlant!$B$3&amp;$B$2&amp;$B$1)</f>
        <v>0</v>
      </c>
      <c r="N19" s="2">
        <f>COUNTIF(defects!$X:$X,Weekly_TVPlant!N$3&amp;Weekly_TVPlant!$B19&amp;Weekly_TVPlant!$B$3&amp;$B$2&amp;$B$1)</f>
        <v>0</v>
      </c>
      <c r="O19" s="2">
        <f>COUNTIF(defects!$X:$X,Weekly_TVPlant!O$3&amp;Weekly_TVPlant!$B19&amp;Weekly_TVPlant!$B$3&amp;$B$2&amp;$B$1)</f>
        <v>0</v>
      </c>
      <c r="P19" s="2">
        <f>COUNTIF(defects!$X:$X,Weekly_TVPlant!P$3&amp;Weekly_TVPlant!$B19&amp;Weekly_TVPlant!$B$3&amp;$B$2&amp;$B$1)</f>
        <v>0</v>
      </c>
      <c r="Q19" s="2">
        <f>COUNTIF(defects!$X:$X,Weekly_TVPlant!Q$3&amp;Weekly_TVPlant!$B19&amp;Weekly_TVPlant!$B$3&amp;$B$2&amp;$B$1)</f>
        <v>0</v>
      </c>
      <c r="R19" s="2">
        <f>COUNTIF(defects!$X:$X,Weekly_TVPlant!R$3&amp;Weekly_TVPlant!$B19&amp;Weekly_TVPlant!$B$3&amp;$B$2&amp;$B$1)</f>
        <v>0</v>
      </c>
      <c r="S19" s="2">
        <f>COUNTIF(defects!$X:$X,Weekly_TVPlant!S$3&amp;Weekly_TVPlant!$B19&amp;Weekly_TVPlant!$B$3&amp;$B$2&amp;$B$1)</f>
        <v>0</v>
      </c>
      <c r="T19" s="2">
        <f>COUNTIF(defects!$X:$X,Weekly_TVPlant!T$3&amp;Weekly_TVPlant!$B19&amp;Weekly_TVPlant!$B$3&amp;$B$2&amp;$B$1)</f>
        <v>0</v>
      </c>
      <c r="U19" s="2">
        <f>COUNTIF(defects!$X:$X,Weekly_TVPlant!U$3&amp;Weekly_TVPlant!$B19&amp;Weekly_TVPlant!$B$3&amp;$B$2&amp;$B$1)</f>
        <v>0</v>
      </c>
      <c r="V19" s="2">
        <f>COUNTIF(defects!$X:$X,Weekly_TVPlant!V$3&amp;Weekly_TVPlant!$B19&amp;Weekly_TVPlant!$B$3&amp;$B$2&amp;$B$1)</f>
        <v>0</v>
      </c>
      <c r="W19" s="2">
        <f>COUNTIF(defects!$X:$X,Weekly_TVPlant!W$3&amp;Weekly_TVPlant!$B19&amp;Weekly_TVPlant!$B$3&amp;$B$2&amp;$B$1)</f>
        <v>0</v>
      </c>
      <c r="X19" s="2">
        <f>COUNTIF(defects!$X:$X,Weekly_TVPlant!X$3&amp;Weekly_TVPlant!$B19&amp;Weekly_TVPlant!$B$3&amp;$B$2&amp;$B$1)</f>
        <v>0</v>
      </c>
      <c r="Y19" s="2">
        <f>COUNTIF(defects!$X:$X,Weekly_TVPlant!Y$3&amp;Weekly_TVPlant!$B19&amp;Weekly_TVPlant!$B$3&amp;$B$2&amp;$B$1)</f>
        <v>0</v>
      </c>
      <c r="Z19" s="2">
        <f>COUNTIF(defects!$X:$X,Weekly_TVPlant!Z$3&amp;Weekly_TVPlant!$B19&amp;Weekly_TVPlant!$B$3&amp;$B$2&amp;$B$1)</f>
        <v>0</v>
      </c>
      <c r="AA19" s="2">
        <f>COUNTIF(defects!$X:$X,Weekly_TVPlant!AA$3&amp;Weekly_TVPlant!$B19&amp;Weekly_TVPlant!$B$3&amp;$B$2&amp;$B$1)</f>
        <v>0</v>
      </c>
      <c r="AB19" s="2">
        <f>COUNTIF(defects!$X:$X,Weekly_TVPlant!AB$3&amp;Weekly_TVPlant!$B19&amp;Weekly_TVPlant!$B$3&amp;$B$2&amp;$B$1)</f>
        <v>0</v>
      </c>
      <c r="AC19" s="2">
        <f>COUNTIF(defects!$X:$X,Weekly_TVPlant!AC$3&amp;Weekly_TVPlant!$B19&amp;Weekly_TVPlant!$B$3&amp;$B$2&amp;$B$1)</f>
        <v>0</v>
      </c>
      <c r="AD19" s="2">
        <f>COUNTIF(defects!$X:$X,Weekly_TVPlant!AD$3&amp;Weekly_TVPlant!$B19&amp;Weekly_TVPlant!$B$3&amp;$B$2&amp;$B$1)</f>
        <v>0</v>
      </c>
      <c r="AE19" s="2">
        <f>COUNTIF(defects!$X:$X,Weekly_TVPlant!AE$3&amp;Weekly_TVPlant!$B19&amp;Weekly_TVPlant!$B$3&amp;$B$2&amp;$B$1)</f>
        <v>0</v>
      </c>
      <c r="AF19" s="2">
        <f>COUNTIF(defects!$X:$X,Weekly_TVPlant!AF$3&amp;Weekly_TVPlant!$B19&amp;Weekly_TVPlant!$B$3&amp;$B$2&amp;$B$1)</f>
        <v>0</v>
      </c>
      <c r="AG19" s="2">
        <f>COUNTIF(defects!$X:$X,Weekly_TVPlant!AG$3&amp;Weekly_TVPlant!$B19&amp;Weekly_TVPlant!$B$3&amp;$B$2&amp;$B$1)</f>
        <v>0</v>
      </c>
      <c r="AH19" s="2">
        <f>COUNTIF(defects!$X:$X,Weekly_TVPlant!AH$3&amp;Weekly_TVPlant!$B19&amp;Weekly_TVPlant!$B$3&amp;$B$2&amp;$B$1)</f>
        <v>0</v>
      </c>
      <c r="AI19" s="2">
        <f>COUNTIF(defects!$X:$X,Weekly_TVPlant!AI$3&amp;Weekly_TVPlant!$B19&amp;Weekly_TVPlant!$B$3&amp;$B$2&amp;$B$1)</f>
        <v>0</v>
      </c>
      <c r="AJ19" s="2">
        <f>COUNTIF(defects!$X:$X,Weekly_TVPlant!AJ$3&amp;Weekly_TVPlant!$B19&amp;Weekly_TVPlant!$B$3&amp;$B$2&amp;$B$1)</f>
        <v>0</v>
      </c>
      <c r="AK19" s="2">
        <f>COUNTIF(defects!$X:$X,Weekly_TVPlant!AK$3&amp;Weekly_TVPlant!$B19&amp;Weekly_TVPlant!$B$3&amp;$B$2&amp;$B$1)</f>
        <v>0</v>
      </c>
      <c r="AL19" s="2">
        <f>COUNTIF(defects!$X:$X,Weekly_TVPlant!AL$3&amp;Weekly_TVPlant!$B19&amp;Weekly_TVPlant!$B$3&amp;$B$2&amp;$B$1)</f>
        <v>0</v>
      </c>
      <c r="AM19" s="2">
        <f>COUNTIF(defects!$X:$X,Weekly_TVPlant!AM$3&amp;Weekly_TVPlant!$B19&amp;Weekly_TVPlant!$B$3&amp;$B$2&amp;$B$1)</f>
        <v>0</v>
      </c>
      <c r="AN19" s="2">
        <f>COUNTIF(defects!$X:$X,Weekly_TVPlant!AN$3&amp;Weekly_TVPlant!$B19&amp;Weekly_TVPlant!$B$3&amp;$B$2&amp;$B$1)</f>
        <v>0</v>
      </c>
      <c r="AO19" s="2">
        <f>COUNTIF(defects!$X:$X,Weekly_TVPlant!AO$3&amp;Weekly_TVPlant!$B19&amp;Weekly_TVPlant!$B$3&amp;$B$2&amp;$B$1)</f>
        <v>0</v>
      </c>
      <c r="AP19" s="2">
        <f>COUNTIF(defects!$X:$X,Weekly_TVPlant!AP$3&amp;Weekly_TVPlant!$B19&amp;Weekly_TVPlant!$B$3&amp;$B$2&amp;$B$1)</f>
        <v>0</v>
      </c>
      <c r="AQ19" s="2">
        <f>COUNTIF(defects!$X:$X,Weekly_TVPlant!AQ$3&amp;Weekly_TVPlant!$B19&amp;Weekly_TVPlant!$B$3&amp;$B$2&amp;$B$1)</f>
        <v>0</v>
      </c>
      <c r="AR19" s="2">
        <f>COUNTIF(defects!$X:$X,Weekly_TVPlant!AR$3&amp;Weekly_TVPlant!$B19&amp;Weekly_TVPlant!$B$3&amp;$B$2&amp;$B$1)</f>
        <v>0</v>
      </c>
      <c r="AS19" s="2">
        <f>COUNTIF(defects!$X:$X,Weekly_TVPlant!AS$3&amp;Weekly_TVPlant!$B19&amp;Weekly_TVPlant!$B$3&amp;$B$2&amp;$B$1)</f>
        <v>0</v>
      </c>
      <c r="AT19" s="2">
        <f>COUNTIF(defects!$X:$X,Weekly_TVPlant!AT$3&amp;Weekly_TVPlant!$B19&amp;Weekly_TVPlant!$B$3&amp;$B$2&amp;$B$1)</f>
        <v>0</v>
      </c>
      <c r="AU19" s="2">
        <f>COUNTIF(defects!$X:$X,Weekly_TVPlant!AU$3&amp;Weekly_TVPlant!$B19&amp;Weekly_TVPlant!$B$3&amp;$B$2&amp;$B$1)</f>
        <v>0</v>
      </c>
      <c r="AV19" s="2">
        <f>COUNTIF(defects!$X:$X,Weekly_TVPlant!AV$3&amp;Weekly_TVPlant!$B19&amp;Weekly_TVPlant!$B$3&amp;$B$2&amp;$B$1)</f>
        <v>0</v>
      </c>
      <c r="AW19" s="2">
        <f>COUNTIF(defects!$X:$X,Weekly_TVPlant!AW$3&amp;Weekly_TVPlant!$B19&amp;Weekly_TVPlant!$B$3&amp;$B$2&amp;$B$1)</f>
        <v>0</v>
      </c>
      <c r="AX19" s="2">
        <f>COUNTIF(defects!$X:$X,Weekly_TVPlant!AX$3&amp;Weekly_TVPlant!$B19&amp;Weekly_TVPlant!$B$3&amp;$B$2&amp;$B$1)</f>
        <v>0</v>
      </c>
      <c r="AY19" s="2">
        <f>COUNTIF(defects!$X:$X,Weekly_TVPlant!AY$3&amp;Weekly_TVPlant!$B19&amp;Weekly_TVPlant!$B$3&amp;$B$2&amp;$B$1)</f>
        <v>0</v>
      </c>
      <c r="AZ19" s="2">
        <f>COUNTIF(defects!$X:$X,Weekly_TVPlant!AZ$3&amp;Weekly_TVPlant!$B19&amp;Weekly_TVPlant!$B$3&amp;$B$2&amp;$B$1)</f>
        <v>0</v>
      </c>
      <c r="BA19" s="2">
        <f>COUNTIF(defects!$X:$X,Weekly_TVPlant!BA$3&amp;Weekly_TVPlant!$B19&amp;Weekly_TVPlant!$B$3&amp;$B$2&amp;$B$1)</f>
        <v>0</v>
      </c>
      <c r="BB19" s="2">
        <f>COUNTIF(defects!$X:$X,Weekly_TVPlant!BB$3&amp;Weekly_TVPlant!$B19&amp;Weekly_TVPlant!$B$3&amp;$B$2&amp;$B$1)</f>
        <v>0</v>
      </c>
      <c r="BC19" s="2">
        <f>COUNTIF(defects!$X:$X,Weekly_TVPlant!BC$3&amp;Weekly_TVPlant!$B19&amp;Weekly_TVPlant!$B$3&amp;$B$2&amp;$B$1)</f>
        <v>0</v>
      </c>
      <c r="BD19" s="2">
        <f>COUNTIF(defects!$X:$X,Weekly_TVPlant!BD$3&amp;Weekly_TVPlant!$B19&amp;Weekly_TVPlant!$B$3&amp;$B$2&amp;$B$1)</f>
        <v>0</v>
      </c>
      <c r="BE19" s="2">
        <f>COUNTIF(defects!$X:$X,Weekly_TVPlant!BE$3&amp;Weekly_TVPlant!$B19&amp;Weekly_TVPlant!$B$3&amp;$B$2&amp;$B$1)</f>
        <v>0</v>
      </c>
      <c r="BF19" s="2">
        <f>COUNTIF(defects!$X:$X,Weekly_TVPlant!BF$3&amp;Weekly_TVPlant!$B19&amp;Weekly_TVPlant!$B$3&amp;$B$2&amp;$B$1)</f>
        <v>0</v>
      </c>
      <c r="BG19" s="2">
        <f>COUNTIF(defects!$X:$X,Weekly_TVPlant!BG$3&amp;Weekly_TVPlant!$B19&amp;Weekly_TVPlant!$B$3&amp;$B$2&amp;$B$1)</f>
        <v>0</v>
      </c>
      <c r="BH19" s="2">
        <f>COUNTIF(defects!$X:$X,Weekly_TVPlant!BH$3&amp;Weekly_TVPlant!$B19&amp;Weekly_TVPlant!$B$3&amp;$B$2&amp;$B$1)</f>
        <v>0</v>
      </c>
      <c r="BI19" s="2">
        <f>COUNTIF(defects!$X:$X,Weekly_TVPlant!BI$3&amp;Weekly_TVPlant!$B19&amp;Weekly_TVPlant!$B$3&amp;$B$2&amp;$B$1)</f>
        <v>0</v>
      </c>
      <c r="BJ19" s="2">
        <f>COUNTIF(defects!$X:$X,Weekly_TVPlant!BJ$3&amp;Weekly_TVPlant!$B19&amp;Weekly_TVPlant!$B$3&amp;$B$2&amp;$B$1)</f>
        <v>0</v>
      </c>
      <c r="BK19" s="2">
        <f>COUNTIF(defects!$X:$X,Weekly_TVPlant!BK$3&amp;Weekly_TVPlant!$B19&amp;Weekly_TVPlant!$B$3&amp;$B$2&amp;$B$1)</f>
        <v>0</v>
      </c>
      <c r="BL19" s="2">
        <f>COUNTIF(defects!$X:$X,Weekly_TVPlant!BL$3&amp;Weekly_TVPlant!$B19&amp;Weekly_TVPlant!$B$3&amp;$B$2&amp;$B$1)</f>
        <v>0</v>
      </c>
      <c r="BM19" s="2">
        <f>COUNTIF(defects!$X:$X,Weekly_TVPlant!BM$3&amp;Weekly_TVPlant!$B19&amp;Weekly_TVPlant!$B$3&amp;$B$2&amp;$B$1)</f>
        <v>0</v>
      </c>
      <c r="BN19" s="2">
        <f>COUNTIF(defects!$X:$X,Weekly_TVPlant!BN$3&amp;Weekly_TVPlant!$B19&amp;Weekly_TVPlant!$B$3&amp;$B$2&amp;$B$1)</f>
        <v>0</v>
      </c>
      <c r="BO19" s="2">
        <f>COUNTIF(defects!$X:$X,Weekly_TVPlant!BO$3&amp;Weekly_TVPlant!$B19&amp;Weekly_TVPlant!$B$3&amp;$B$2&amp;$B$1)</f>
        <v>0</v>
      </c>
      <c r="BP19" s="2">
        <f>COUNTIF(defects!$X:$X,Weekly_TVPlant!BP$3&amp;Weekly_TVPlant!$B19&amp;Weekly_TVPlant!$B$3&amp;$B$2&amp;$B$1)</f>
        <v>0</v>
      </c>
      <c r="BQ19" s="2">
        <f>COUNTIF(defects!$X:$X,Weekly_TVPlant!BQ$3&amp;Weekly_TVPlant!$B19&amp;Weekly_TVPlant!$B$3&amp;$B$2&amp;$B$1)</f>
        <v>0</v>
      </c>
      <c r="BR19" s="2">
        <f>COUNTIF(defects!$X:$X,Weekly_TVPlant!BR$3&amp;Weekly_TVPlant!$B19&amp;Weekly_TVPlant!$B$3&amp;$B$2&amp;$B$1)</f>
        <v>0</v>
      </c>
      <c r="BS19" s="2">
        <f>COUNTIF(defects!$X:$X,Weekly_TVPlant!BS$3&amp;Weekly_TVPlant!$B19&amp;Weekly_TVPlant!$B$3&amp;$B$2&amp;$B$1)</f>
        <v>0</v>
      </c>
      <c r="BT19" s="2">
        <f>COUNTIF(defects!$X:$X,Weekly_TVPlant!BT$3&amp;Weekly_TVPlant!$B19&amp;Weekly_TVPlant!$B$3&amp;$B$2&amp;$B$1)</f>
        <v>0</v>
      </c>
      <c r="BU19" s="2">
        <f>COUNTIF(defects!$X:$X,Weekly_TVPlant!BU$3&amp;Weekly_TVPlant!$B19&amp;Weekly_TVPlant!$B$3&amp;$B$2&amp;$B$1)</f>
        <v>0</v>
      </c>
      <c r="BV19" s="2">
        <f>COUNTIF(defects!$X:$X,Weekly_TVPlant!BV$3&amp;Weekly_TVPlant!$B19&amp;Weekly_TVPlant!$B$3&amp;$B$2&amp;$B$1)</f>
        <v>0</v>
      </c>
      <c r="BW19" s="2">
        <f>COUNTIF(defects!$X:$X,Weekly_TVPlant!BW$3&amp;Weekly_TVPlant!$B19&amp;Weekly_TVPlant!$B$3&amp;$B$2&amp;$B$1)</f>
        <v>0</v>
      </c>
      <c r="BX19" s="2">
        <f>COUNTIF(defects!$X:$X,Weekly_TVPlant!BX$3&amp;Weekly_TVPlant!$B19&amp;Weekly_TVPlant!$B$3&amp;$B$2&amp;$B$1)</f>
        <v>0</v>
      </c>
      <c r="BY19" s="2">
        <f>COUNTIF(defects!$X:$X,Weekly_TVPlant!BY$3&amp;Weekly_TVPlant!$B19&amp;Weekly_TVPlant!$B$3&amp;$B$2&amp;$B$1)</f>
        <v>0</v>
      </c>
      <c r="BZ19" s="2">
        <f>COUNTIF(defects!$X:$X,Weekly_TVPlant!BZ$3&amp;Weekly_TVPlant!$B19&amp;Weekly_TVPlant!$B$3&amp;$B$2&amp;$B$1)</f>
        <v>0</v>
      </c>
      <c r="CA19" s="2">
        <f>COUNTIF(defects!$X:$X,Weekly_TVPlant!CA$3&amp;Weekly_TVPlant!$B19&amp;Weekly_TVPlant!$B$3&amp;$B$2&amp;$B$1)</f>
        <v>0</v>
      </c>
      <c r="CB19" s="2">
        <f>COUNTIF(defects!$X:$X,Weekly_TVPlant!CB$3&amp;Weekly_TVPlant!$B19&amp;Weekly_TVPlant!$B$3&amp;$B$2&amp;$B$1)</f>
        <v>0</v>
      </c>
      <c r="CC19" s="2">
        <f>COUNTIF(defects!$X:$X,Weekly_TVPlant!CC$3&amp;Weekly_TVPlant!$B19&amp;Weekly_TVPlant!$B$3&amp;$B$2&amp;$B$1)</f>
        <v>0</v>
      </c>
      <c r="CD19" s="2">
        <f>COUNTIF(defects!$X:$X,Weekly_TVPlant!CD$3&amp;Weekly_TVPlant!$B19&amp;Weekly_TVPlant!$B$3&amp;$B$2&amp;$B$1)</f>
        <v>0</v>
      </c>
      <c r="CE19" s="2">
        <f>COUNTIF(defects!$X:$X,Weekly_TVPlant!CE$3&amp;Weekly_TVPlant!$B19&amp;Weekly_TVPlant!$B$3&amp;$B$2&amp;$B$1)</f>
        <v>0</v>
      </c>
      <c r="CF19" s="2">
        <f>COUNTIF(defects!$X:$X,Weekly_TVPlant!CF$3&amp;Weekly_TVPlant!$B19&amp;Weekly_TVPlant!$B$3&amp;$B$2&amp;$B$1)</f>
        <v>0</v>
      </c>
      <c r="CG19" s="2">
        <f>COUNTIF(defects!$X:$X,Weekly_TVPlant!CG$3&amp;Weekly_TVPlant!$B19&amp;Weekly_TVPlant!$B$3&amp;$B$2&amp;$B$1)</f>
        <v>0</v>
      </c>
      <c r="CH19" s="2">
        <f>COUNTIF(defects!$X:$X,Weekly_TVPlant!CH$3&amp;Weekly_TVPlant!$B19&amp;Weekly_TVPlant!$B$3&amp;$B$2&amp;$B$1)</f>
        <v>0</v>
      </c>
      <c r="CI19" s="2">
        <f>COUNTIF(defects!$X:$X,Weekly_TVPlant!CI$3&amp;Weekly_TVPlant!$B19&amp;Weekly_TVPlant!$B$3&amp;$B$2&amp;$B$1)</f>
        <v>0</v>
      </c>
      <c r="CJ19" s="2">
        <f>COUNTIF(defects!$X:$X,Weekly_TVPlant!CJ$3&amp;Weekly_TVPlant!$B19&amp;Weekly_TVPlant!$B$3&amp;$B$2&amp;$B$1)</f>
        <v>0</v>
      </c>
      <c r="CK19" s="2">
        <f>COUNTIF(defects!$X:$X,Weekly_TVPlant!CK$3&amp;Weekly_TVPlant!$B19&amp;Weekly_TVPlant!$B$3&amp;$B$2&amp;$B$1)</f>
        <v>0</v>
      </c>
      <c r="CL19" s="2">
        <f>COUNTIF(defects!$X:$X,Weekly_TVPlant!CL$3&amp;Weekly_TVPlant!$B19&amp;Weekly_TVPlant!$B$3&amp;$B$2&amp;$B$1)</f>
        <v>0</v>
      </c>
      <c r="CM19" s="2">
        <f>COUNTIF(defects!$X:$X,Weekly_TVPlant!CM$3&amp;Weekly_TVPlant!$B19&amp;Weekly_TVPlant!$B$3&amp;$B$2&amp;$B$1)</f>
        <v>0</v>
      </c>
      <c r="CN19" s="2">
        <f>COUNTIF(defects!$X:$X,Weekly_TVPlant!CN$3&amp;Weekly_TVPlant!$B19&amp;Weekly_TVPlant!$B$3&amp;$B$2&amp;$B$1)</f>
        <v>0</v>
      </c>
      <c r="CO19" s="2">
        <f>COUNTIF(defects!$X:$X,Weekly_TVPlant!CO$3&amp;Weekly_TVPlant!$B19&amp;Weekly_TVPlant!$B$3&amp;$B$2&amp;$B$1)</f>
        <v>0</v>
      </c>
      <c r="CP19" s="2">
        <f>COUNTIF(defects!$X:$X,Weekly_TVPlant!CP$3&amp;Weekly_TVPlant!$B19&amp;Weekly_TVPlant!$B$3&amp;$B$2&amp;$B$1)</f>
        <v>5</v>
      </c>
      <c r="CQ19" s="2">
        <f>COUNTIF(defects!$X:$X,Weekly_TVPlant!CQ$3&amp;Weekly_TVPlant!$B19&amp;Weekly_TVPlant!$B$3&amp;$B$2&amp;$B$1)</f>
        <v>0</v>
      </c>
      <c r="CR19" s="2">
        <f>COUNTIF(defects!$X:$X,Weekly_TVPlant!CR$3&amp;Weekly_TVPlant!$B19&amp;Weekly_TVPlant!$B$3&amp;$B$2&amp;$B$1)</f>
        <v>0</v>
      </c>
      <c r="CS19" s="2">
        <f>COUNTIF(defects!$X:$X,Weekly_TVPlant!CS$3&amp;Weekly_TVPlant!$B19&amp;Weekly_TVPlant!$B$3&amp;$B$2&amp;$B$1)</f>
        <v>0</v>
      </c>
      <c r="CT19" s="2">
        <f>COUNTIF(defects!$X:$X,Weekly_TVPlant!CT$3&amp;Weekly_TVPlant!$B19&amp;Weekly_TVPlant!$B$3&amp;$B$2&amp;$B$1)</f>
        <v>0</v>
      </c>
      <c r="CU19" s="2">
        <f>COUNTIF(defects!$X:$X,Weekly_TVPlant!CU$3&amp;Weekly_TVPlant!$B19&amp;Weekly_TVPlant!$B$3&amp;$B$2&amp;$B$1)</f>
        <v>0</v>
      </c>
      <c r="CV19" s="2">
        <f>COUNTIF(defects!$X:$X,Weekly_TVPlant!CV$3&amp;Weekly_TVPlant!$B19&amp;Weekly_TVPlant!$B$3&amp;$B$2&amp;$B$1)</f>
        <v>0</v>
      </c>
      <c r="CW19" s="2">
        <f>COUNTIF(defects!$X:$X,Weekly_TVPlant!CW$3&amp;Weekly_TVPlant!$B19&amp;Weekly_TVPlant!$B$3&amp;$B$2&amp;$B$1)</f>
        <v>0</v>
      </c>
      <c r="CX19" s="2">
        <f>COUNTIF(defects!$X:$X,Weekly_TVPlant!CX$3&amp;Weekly_TVPlant!$B19&amp;Weekly_TVPlant!$B$3&amp;$B$2&amp;$B$1)</f>
        <v>0</v>
      </c>
      <c r="CY19" s="2">
        <f>COUNTIF(defects!$X:$X,Weekly_TVPlant!CY$3&amp;Weekly_TVPlant!$B19&amp;Weekly_TVPlant!$B$3&amp;$B$2&amp;$B$1)</f>
        <v>0</v>
      </c>
      <c r="CZ19" s="2">
        <f>COUNTIF(defects!$X:$X,Weekly_TVPlant!CZ$3&amp;Weekly_TVPlant!$B19&amp;Weekly_TVPlant!$B$3&amp;$B$2&amp;$B$1)</f>
        <v>0</v>
      </c>
      <c r="DA19" s="2">
        <f>COUNTIF(defects!$X:$X,Weekly_TVPlant!DA$3&amp;Weekly_TVPlant!$B19&amp;Weekly_TVPlant!$B$3&amp;$B$2&amp;$B$1)</f>
        <v>0</v>
      </c>
      <c r="DB19" s="2">
        <f>COUNTIF(defects!$X:$X,Weekly_TVPlant!DB$3&amp;Weekly_TVPlant!$B19&amp;Weekly_TVPlant!$B$3&amp;$B$2&amp;$B$1)</f>
        <v>0</v>
      </c>
      <c r="DC19" s="2">
        <f>COUNTIF(defects!$X:$X,Weekly_TVPlant!DC$3&amp;Weekly_TVPlant!$B19&amp;Weekly_TVPlant!$B$3&amp;$B$2&amp;$B$1)</f>
        <v>0</v>
      </c>
      <c r="DD19" s="2">
        <f>COUNTIF(defects!$X:$X,Weekly_TVPlant!DD$3&amp;Weekly_TVPlant!$B19&amp;Weekly_TVPlant!$B$3&amp;$B$2&amp;$B$1)</f>
        <v>0</v>
      </c>
      <c r="DE19" s="2">
        <f>COUNTIF(defects!$X:$X,Weekly_TVPlant!DE$3&amp;Weekly_TVPlant!$B19&amp;Weekly_TVPlant!$B$3&amp;$B$2&amp;$B$1)</f>
        <v>0</v>
      </c>
      <c r="DF19" s="2">
        <f>COUNTIF(defects!$X:$X,Weekly_TVPlant!DF$3&amp;Weekly_TVPlant!$B19&amp;Weekly_TVPlant!$B$3&amp;$B$2&amp;$B$1)</f>
        <v>0</v>
      </c>
      <c r="DG19" s="2">
        <f>COUNTIF(defects!$X:$X,Weekly_TVPlant!DG$3&amp;Weekly_TVPlant!$B19&amp;Weekly_TVPlant!$B$3&amp;$B$2&amp;$B$1)</f>
        <v>0</v>
      </c>
      <c r="DH19" s="2">
        <f>COUNTIF(defects!$X:$X,Weekly_TVPlant!DH$3&amp;Weekly_TVPlant!$B19&amp;Weekly_TVPlant!$B$3&amp;$B$2&amp;$B$1)</f>
        <v>0</v>
      </c>
      <c r="DI19" s="2">
        <f>COUNTIF(defects!$X:$X,Weekly_TVPlant!DI$3&amp;Weekly_TVPlant!$B19&amp;Weekly_TVPlant!$B$3&amp;$B$2&amp;$B$1)</f>
        <v>0</v>
      </c>
      <c r="DJ19" s="2">
        <f>COUNTIF(defects!$X:$X,Weekly_TVPlant!DJ$3&amp;Weekly_TVPlant!$B19&amp;Weekly_TVPlant!$B$3&amp;$B$2&amp;$B$1)</f>
        <v>0</v>
      </c>
      <c r="DK19" s="2">
        <f>COUNTIF(defects!$X:$X,Weekly_TVPlant!DK$3&amp;Weekly_TVPlant!$B19&amp;Weekly_TVPlant!$B$3&amp;$B$2&amp;$B$1)</f>
        <v>0</v>
      </c>
      <c r="DL19" s="2">
        <f>COUNTIF(defects!$X:$X,Weekly_TVPlant!DL$3&amp;Weekly_TVPlant!$B19&amp;Weekly_TVPlant!$B$3&amp;$B$2&amp;$B$1)</f>
        <v>0</v>
      </c>
      <c r="DM19" s="2">
        <f>COUNTIF(defects!$X:$X,Weekly_TVPlant!DM$3&amp;Weekly_TVPlant!$B19&amp;Weekly_TVPlant!$B$3&amp;$B$2&amp;$B$1)</f>
        <v>0</v>
      </c>
      <c r="DN19" s="2">
        <f>COUNTIF(defects!$X:$X,Weekly_TVPlant!DN$3&amp;Weekly_TVPlant!$B19&amp;Weekly_TVPlant!$B$3&amp;$B$2&amp;$B$1)</f>
        <v>0</v>
      </c>
      <c r="DO19" s="2">
        <f>COUNTIF(defects!$X:$X,Weekly_TVPlant!DO$3&amp;Weekly_TVPlant!$B19&amp;Weekly_TVPlant!$B$3&amp;$B$2&amp;$B$1)</f>
        <v>0</v>
      </c>
      <c r="DP19" s="2">
        <f>COUNTIF(defects!$X:$X,Weekly_TVPlant!DP$3&amp;Weekly_TVPlant!$B19&amp;Weekly_TVPlant!$B$3&amp;$B$2&amp;$B$1)</f>
        <v>0</v>
      </c>
      <c r="DQ19" s="2">
        <f>COUNTIF(defects!$X:$X,Weekly_TVPlant!DQ$3&amp;Weekly_TVPlant!$B19&amp;Weekly_TVPlant!$B$3&amp;$B$2&amp;$B$1)</f>
        <v>0</v>
      </c>
      <c r="DR19" s="2">
        <f>COUNTIF(defects!$X:$X,Weekly_TVPlant!DR$3&amp;Weekly_TVPlant!$B19&amp;Weekly_TVPlant!$B$3&amp;$B$2&amp;$B$1)</f>
        <v>0</v>
      </c>
      <c r="DS19" s="2">
        <f>COUNTIF(defects!$X:$X,Weekly_TVPlant!DS$3&amp;Weekly_TVPlant!$B19&amp;Weekly_TVPlant!$B$3&amp;$B$2&amp;$B$1)</f>
        <v>0</v>
      </c>
      <c r="DT19" s="2">
        <f>COUNTIF(defects!$X:$X,Weekly_TVPlant!DT$3&amp;Weekly_TVPlant!$B19&amp;Weekly_TVPlant!$B$3&amp;$B$2&amp;$B$1)</f>
        <v>0</v>
      </c>
      <c r="DU19" s="2">
        <f>COUNTIF(defects!$X:$X,Weekly_TVPlant!DU$3&amp;Weekly_TVPlant!$B19&amp;Weekly_TVPlant!$B$3&amp;$B$2&amp;$B$1)</f>
        <v>0</v>
      </c>
      <c r="DV19" s="2">
        <f>COUNTIF(defects!$X:$X,Weekly_TVPlant!DV$3&amp;Weekly_TVPlant!$B19&amp;Weekly_TVPlant!$B$3&amp;$B$2&amp;$B$1)</f>
        <v>0</v>
      </c>
      <c r="DW19" s="2">
        <f>COUNTIF(defects!$X:$X,Weekly_TVPlant!DW$3&amp;Weekly_TVPlant!$B19&amp;Weekly_TVPlant!$B$3&amp;$B$2&amp;$B$1)</f>
        <v>0</v>
      </c>
      <c r="DX19" s="2">
        <f>COUNTIF(defects!$X:$X,Weekly_TVPlant!DX$3&amp;Weekly_TVPlant!$B19&amp;Weekly_TVPlant!$B$3&amp;$B$2&amp;$B$1)</f>
        <v>0</v>
      </c>
      <c r="DY19" s="2">
        <f>COUNTIF(defects!$X:$X,Weekly_TVPlant!DY$3&amp;Weekly_TVPlant!$B19&amp;Weekly_TVPlant!$B$3&amp;$B$2&amp;$B$1)</f>
        <v>0</v>
      </c>
      <c r="DZ19" s="2">
        <f>COUNTIF(defects!$X:$X,Weekly_TVPlant!DZ$3&amp;Weekly_TVPlant!$B19&amp;Weekly_TVPlant!$B$3&amp;$B$2&amp;$B$1)</f>
        <v>0</v>
      </c>
      <c r="EA19" s="2">
        <f>COUNTIF(defects!$X:$X,Weekly_TVPlant!EA$3&amp;Weekly_TVPlant!$B19&amp;Weekly_TVPlant!$B$3&amp;$B$2&amp;$B$1)</f>
        <v>0</v>
      </c>
      <c r="EB19" s="2">
        <f>COUNTIF(defects!$X:$X,Weekly_TVPlant!EB$3&amp;Weekly_TVPlant!$B19&amp;Weekly_TVPlant!$B$3&amp;$B$2&amp;$B$1)</f>
        <v>0</v>
      </c>
      <c r="EC19" s="2">
        <f>COUNTIF(defects!$X:$X,Weekly_TVPlant!EC$3&amp;Weekly_TVPlant!$B19&amp;Weekly_TVPlant!$B$3&amp;$B$2&amp;$B$1)</f>
        <v>0</v>
      </c>
      <c r="ED19" s="2">
        <f>COUNTIF(defects!$X:$X,Weekly_TVPlant!ED$3&amp;Weekly_TVPlant!$B19&amp;Weekly_TVPlant!$B$3&amp;$B$2&amp;$B$1)</f>
        <v>0</v>
      </c>
      <c r="EE19" s="2">
        <f>COUNTIF(defects!$X:$X,Weekly_TVPlant!EE$3&amp;Weekly_TVPlant!$B19&amp;Weekly_TVPlant!$B$3&amp;$B$2&amp;$B$1)</f>
        <v>0</v>
      </c>
      <c r="EF19" s="2">
        <f>COUNTIF(defects!$X:$X,Weekly_TVPlant!EF$3&amp;Weekly_TVPlant!$B19&amp;Weekly_TVPlant!$B$3&amp;$B$2&amp;$B$1)</f>
        <v>0</v>
      </c>
      <c r="EG19" s="2">
        <f>COUNTIF(defects!$X:$X,Weekly_TVPlant!EG$3&amp;Weekly_TVPlant!$B19&amp;Weekly_TVPlant!$B$3&amp;$B$2&amp;$B$1)</f>
        <v>0</v>
      </c>
      <c r="EH19" s="2">
        <f>COUNTIF(defects!$X:$X,Weekly_TVPlant!EH$3&amp;Weekly_TVPlant!$B19&amp;Weekly_TVPlant!$B$3&amp;$B$2&amp;$B$1)</f>
        <v>0</v>
      </c>
      <c r="EI19" s="2">
        <f>COUNTIF(defects!$X:$X,Weekly_TVPlant!EI$3&amp;Weekly_TVPlant!$B19&amp;Weekly_TVPlant!$B$3&amp;$B$2&amp;$B$1)</f>
        <v>0</v>
      </c>
      <c r="EJ19" s="2">
        <f>COUNTIF(defects!$X:$X,Weekly_TVPlant!EJ$3&amp;Weekly_TVPlant!$B19&amp;Weekly_TVPlant!$B$3&amp;$B$2&amp;$B$1)</f>
        <v>0</v>
      </c>
      <c r="EK19" s="2">
        <f>COUNTIF(defects!$X:$X,Weekly_TVPlant!EK$3&amp;Weekly_TVPlant!$B19&amp;Weekly_TVPlant!$B$3&amp;$B$2&amp;$B$1)</f>
        <v>0</v>
      </c>
      <c r="EL19" s="2">
        <f>COUNTIF(defects!$X:$X,Weekly_TVPlant!EL$3&amp;Weekly_TVPlant!$B19&amp;Weekly_TVPlant!$B$3&amp;$B$2&amp;$B$1)</f>
        <v>0</v>
      </c>
      <c r="EM19" s="2">
        <f>COUNTIF(defects!$X:$X,Weekly_TVPlant!EM$3&amp;Weekly_TVPlant!$B19&amp;Weekly_TVPlant!$B$3&amp;$B$2&amp;$B$1)</f>
        <v>0</v>
      </c>
      <c r="EN19" s="2">
        <f>COUNTIF(defects!$X:$X,Weekly_TVPlant!EN$3&amp;Weekly_TVPlant!$B19&amp;Weekly_TVPlant!$B$3&amp;$B$2&amp;$B$1)</f>
        <v>0</v>
      </c>
      <c r="EO19" s="2">
        <f>COUNTIF(defects!$X:$X,Weekly_TVPlant!EO$3&amp;Weekly_TVPlant!$B19&amp;Weekly_TVPlant!$B$3&amp;$B$2&amp;$B$1)</f>
        <v>0</v>
      </c>
      <c r="EP19" s="2">
        <f>COUNTIF(defects!$X:$X,Weekly_TVPlant!EP$3&amp;Weekly_TVPlant!$B19&amp;Weekly_TVPlant!$B$3&amp;$B$2&amp;$B$1)</f>
        <v>0</v>
      </c>
      <c r="EQ19" s="2">
        <f>COUNTIF(defects!$X:$X,Weekly_TVPlant!EQ$3&amp;Weekly_TVPlant!$B19&amp;Weekly_TVPlant!$B$3&amp;$B$2&amp;$B$1)</f>
        <v>0</v>
      </c>
      <c r="ER19" s="2">
        <f>COUNTIF(defects!$X:$X,Weekly_TVPlant!ER$3&amp;Weekly_TVPlant!$B19&amp;Weekly_TVPlant!$B$3&amp;$B$2&amp;$B$1)</f>
        <v>0</v>
      </c>
      <c r="ES19" s="2">
        <f>COUNTIF(defects!$X:$X,Weekly_TVPlant!ES$3&amp;Weekly_TVPlant!$B19&amp;Weekly_TVPlant!$B$3&amp;$B$2&amp;$B$1)</f>
        <v>0</v>
      </c>
      <c r="ET19" s="2">
        <f>COUNTIF(defects!$X:$X,Weekly_TVPlant!ET$3&amp;Weekly_TVPlant!$B19&amp;Weekly_TVPlant!$B$3&amp;$B$2&amp;$B$1)</f>
        <v>0</v>
      </c>
      <c r="EU19" s="2">
        <f>COUNTIF(defects!$X:$X,Weekly_TVPlant!EU$3&amp;Weekly_TVPlant!$B19&amp;Weekly_TVPlant!$B$3&amp;$B$2&amp;$B$1)</f>
        <v>0</v>
      </c>
      <c r="EV19" s="2">
        <f>COUNTIF(defects!$X:$X,Weekly_TVPlant!EV$3&amp;Weekly_TVPlant!$B19&amp;Weekly_TVPlant!$B$3&amp;$B$2&amp;$B$1)</f>
        <v>0</v>
      </c>
      <c r="EW19" s="2">
        <f>COUNTIF(defects!$X:$X,Weekly_TVPlant!EW$3&amp;Weekly_TVPlant!$B19&amp;Weekly_TVPlant!$B$3&amp;$B$2&amp;$B$1)</f>
        <v>0</v>
      </c>
      <c r="EX19" s="2">
        <f>COUNTIF(defects!$X:$X,Weekly_TVPlant!EX$3&amp;Weekly_TVPlant!$B19&amp;Weekly_TVPlant!$B$3&amp;$B$2&amp;$B$1)</f>
        <v>0</v>
      </c>
      <c r="EY19" s="2">
        <f>COUNTIF(defects!$X:$X,Weekly_TVPlant!EY$3&amp;Weekly_TVPlant!$B19&amp;Weekly_TVPlant!$B$3&amp;$B$2&amp;$B$1)</f>
        <v>0</v>
      </c>
      <c r="EZ19" s="2">
        <f>COUNTIF(defects!$X:$X,Weekly_TVPlant!EZ$3&amp;Weekly_TVPlant!$B19&amp;Weekly_TVPlant!$B$3&amp;$B$2&amp;$B$1)</f>
        <v>0</v>
      </c>
      <c r="FA19" s="2">
        <f>COUNTIF(defects!$X:$X,Weekly_TVPlant!FA$3&amp;Weekly_TVPlant!$B19&amp;Weekly_TVPlant!$B$3&amp;$B$2&amp;$B$1)</f>
        <v>0</v>
      </c>
      <c r="FB19" s="2">
        <f>COUNTIF(defects!$X:$X,Weekly_TVPlant!FB$3&amp;Weekly_TVPlant!$B19&amp;Weekly_TVPlant!$B$3&amp;$B$2&amp;$B$1)</f>
        <v>0</v>
      </c>
      <c r="FC19" s="2">
        <f>COUNTIF(defects!$X:$X,Weekly_TVPlant!FC$3&amp;Weekly_TVPlant!$B19&amp;Weekly_TVPlant!$B$3&amp;$B$2&amp;$B$1)</f>
        <v>0</v>
      </c>
      <c r="FD19" s="2">
        <f>COUNTIF(defects!$X:$X,Weekly_TVPlant!FD$3&amp;Weekly_TVPlant!$B19&amp;Weekly_TVPlant!$B$3&amp;$B$2&amp;$B$1)</f>
        <v>0</v>
      </c>
      <c r="FE19" s="2">
        <f>COUNTIF(defects!$X:$X,Weekly_TVPlant!FE$3&amp;Weekly_TVPlant!$B19&amp;Weekly_TVPlant!$B$3&amp;$B$2&amp;$B$1)</f>
        <v>0</v>
      </c>
    </row>
    <row r="20" spans="2:161">
      <c r="B20" s="3" t="s">
        <v>952</v>
      </c>
      <c r="C20" s="2">
        <f>COUNTIF(defects!$X:$X,Weekly_TVPlant!C$3&amp;Weekly_TVPlant!$B20&amp;Weekly_TVPlant!$B$3&amp;$B$2&amp;$B$1)</f>
        <v>0</v>
      </c>
      <c r="D20" s="2">
        <f>COUNTIF(defects!$X:$X,Weekly_TVPlant!D$3&amp;Weekly_TVPlant!$B20&amp;Weekly_TVPlant!$B$3&amp;$B$2&amp;$B$1)</f>
        <v>0</v>
      </c>
      <c r="E20" s="2">
        <f>COUNTIF(defects!$X:$X,Weekly_TVPlant!E$3&amp;Weekly_TVPlant!$B20&amp;Weekly_TVPlant!$B$3&amp;$B$2&amp;$B$1)</f>
        <v>0</v>
      </c>
      <c r="F20" s="2">
        <f>COUNTIF(defects!$X:$X,Weekly_TVPlant!F$3&amp;Weekly_TVPlant!$B20&amp;Weekly_TVPlant!$B$3&amp;$B$2&amp;$B$1)</f>
        <v>0</v>
      </c>
      <c r="G20" s="2">
        <f>COUNTIF(defects!$X:$X,Weekly_TVPlant!G$3&amp;Weekly_TVPlant!$B20&amp;Weekly_TVPlant!$B$3&amp;$B$2&amp;$B$1)</f>
        <v>0</v>
      </c>
      <c r="H20" s="2">
        <f>COUNTIF(defects!$X:$X,Weekly_TVPlant!H$3&amp;Weekly_TVPlant!$B20&amp;Weekly_TVPlant!$B$3&amp;$B$2&amp;$B$1)</f>
        <v>0</v>
      </c>
      <c r="I20" s="2">
        <f>COUNTIF(defects!$X:$X,Weekly_TVPlant!I$3&amp;Weekly_TVPlant!$B20&amp;Weekly_TVPlant!$B$3&amp;$B$2&amp;$B$1)</f>
        <v>0</v>
      </c>
      <c r="J20" s="2">
        <f>COUNTIF(defects!$X:$X,Weekly_TVPlant!J$3&amp;Weekly_TVPlant!$B20&amp;Weekly_TVPlant!$B$3&amp;$B$2&amp;$B$1)</f>
        <v>0</v>
      </c>
      <c r="K20" s="2">
        <f>COUNTIF(defects!$X:$X,Weekly_TVPlant!K$3&amp;Weekly_TVPlant!$B20&amp;Weekly_TVPlant!$B$3&amp;$B$2&amp;$B$1)</f>
        <v>0</v>
      </c>
      <c r="L20" s="2">
        <f>COUNTIF(defects!$X:$X,Weekly_TVPlant!L$3&amp;Weekly_TVPlant!$B20&amp;Weekly_TVPlant!$B$3&amp;$B$2&amp;$B$1)</f>
        <v>0</v>
      </c>
      <c r="M20" s="2">
        <f>COUNTIF(defects!$X:$X,Weekly_TVPlant!M$3&amp;Weekly_TVPlant!$B20&amp;Weekly_TVPlant!$B$3&amp;$B$2&amp;$B$1)</f>
        <v>0</v>
      </c>
      <c r="N20" s="2">
        <f>COUNTIF(defects!$X:$X,Weekly_TVPlant!N$3&amp;Weekly_TVPlant!$B20&amp;Weekly_TVPlant!$B$3&amp;$B$2&amp;$B$1)</f>
        <v>0</v>
      </c>
      <c r="O20" s="2">
        <f>COUNTIF(defects!$X:$X,Weekly_TVPlant!O$3&amp;Weekly_TVPlant!$B20&amp;Weekly_TVPlant!$B$3&amp;$B$2&amp;$B$1)</f>
        <v>0</v>
      </c>
      <c r="P20" s="2">
        <f>COUNTIF(defects!$X:$X,Weekly_TVPlant!P$3&amp;Weekly_TVPlant!$B20&amp;Weekly_TVPlant!$B$3&amp;$B$2&amp;$B$1)</f>
        <v>0</v>
      </c>
      <c r="Q20" s="2">
        <f>COUNTIF(defects!$X:$X,Weekly_TVPlant!Q$3&amp;Weekly_TVPlant!$B20&amp;Weekly_TVPlant!$B$3&amp;$B$2&amp;$B$1)</f>
        <v>0</v>
      </c>
      <c r="R20" s="2">
        <f>COUNTIF(defects!$X:$X,Weekly_TVPlant!R$3&amp;Weekly_TVPlant!$B20&amp;Weekly_TVPlant!$B$3&amp;$B$2&amp;$B$1)</f>
        <v>0</v>
      </c>
      <c r="S20" s="2">
        <f>COUNTIF(defects!$X:$X,Weekly_TVPlant!S$3&amp;Weekly_TVPlant!$B20&amp;Weekly_TVPlant!$B$3&amp;$B$2&amp;$B$1)</f>
        <v>0</v>
      </c>
      <c r="T20" s="2">
        <f>COUNTIF(defects!$X:$X,Weekly_TVPlant!T$3&amp;Weekly_TVPlant!$B20&amp;Weekly_TVPlant!$B$3&amp;$B$2&amp;$B$1)</f>
        <v>0</v>
      </c>
      <c r="U20" s="2">
        <f>COUNTIF(defects!$X:$X,Weekly_TVPlant!U$3&amp;Weekly_TVPlant!$B20&amp;Weekly_TVPlant!$B$3&amp;$B$2&amp;$B$1)</f>
        <v>0</v>
      </c>
      <c r="V20" s="2">
        <f>COUNTIF(defects!$X:$X,Weekly_TVPlant!V$3&amp;Weekly_TVPlant!$B20&amp;Weekly_TVPlant!$B$3&amp;$B$2&amp;$B$1)</f>
        <v>0</v>
      </c>
      <c r="W20" s="2">
        <f>COUNTIF(defects!$X:$X,Weekly_TVPlant!W$3&amp;Weekly_TVPlant!$B20&amp;Weekly_TVPlant!$B$3&amp;$B$2&amp;$B$1)</f>
        <v>0</v>
      </c>
      <c r="X20" s="2">
        <f>COUNTIF(defects!$X:$X,Weekly_TVPlant!X$3&amp;Weekly_TVPlant!$B20&amp;Weekly_TVPlant!$B$3&amp;$B$2&amp;$B$1)</f>
        <v>0</v>
      </c>
      <c r="Y20" s="2">
        <f>COUNTIF(defects!$X:$X,Weekly_TVPlant!Y$3&amp;Weekly_TVPlant!$B20&amp;Weekly_TVPlant!$B$3&amp;$B$2&amp;$B$1)</f>
        <v>0</v>
      </c>
      <c r="Z20" s="2">
        <f>COUNTIF(defects!$X:$X,Weekly_TVPlant!Z$3&amp;Weekly_TVPlant!$B20&amp;Weekly_TVPlant!$B$3&amp;$B$2&amp;$B$1)</f>
        <v>0</v>
      </c>
      <c r="AA20" s="2">
        <f>COUNTIF(defects!$X:$X,Weekly_TVPlant!AA$3&amp;Weekly_TVPlant!$B20&amp;Weekly_TVPlant!$B$3&amp;$B$2&amp;$B$1)</f>
        <v>0</v>
      </c>
      <c r="AB20" s="2">
        <f>COUNTIF(defects!$X:$X,Weekly_TVPlant!AB$3&amp;Weekly_TVPlant!$B20&amp;Weekly_TVPlant!$B$3&amp;$B$2&amp;$B$1)</f>
        <v>0</v>
      </c>
      <c r="AC20" s="2">
        <f>COUNTIF(defects!$X:$X,Weekly_TVPlant!AC$3&amp;Weekly_TVPlant!$B20&amp;Weekly_TVPlant!$B$3&amp;$B$2&amp;$B$1)</f>
        <v>0</v>
      </c>
      <c r="AD20" s="2">
        <f>COUNTIF(defects!$X:$X,Weekly_TVPlant!AD$3&amp;Weekly_TVPlant!$B20&amp;Weekly_TVPlant!$B$3&amp;$B$2&amp;$B$1)</f>
        <v>0</v>
      </c>
      <c r="AE20" s="2">
        <f>COUNTIF(defects!$X:$X,Weekly_TVPlant!AE$3&amp;Weekly_TVPlant!$B20&amp;Weekly_TVPlant!$B$3&amp;$B$2&amp;$B$1)</f>
        <v>0</v>
      </c>
      <c r="AF20" s="2">
        <f>COUNTIF(defects!$X:$X,Weekly_TVPlant!AF$3&amp;Weekly_TVPlant!$B20&amp;Weekly_TVPlant!$B$3&amp;$B$2&amp;$B$1)</f>
        <v>0</v>
      </c>
      <c r="AG20" s="2">
        <f>COUNTIF(defects!$X:$X,Weekly_TVPlant!AG$3&amp;Weekly_TVPlant!$B20&amp;Weekly_TVPlant!$B$3&amp;$B$2&amp;$B$1)</f>
        <v>0</v>
      </c>
      <c r="AH20" s="2">
        <f>COUNTIF(defects!$X:$X,Weekly_TVPlant!AH$3&amp;Weekly_TVPlant!$B20&amp;Weekly_TVPlant!$B$3&amp;$B$2&amp;$B$1)</f>
        <v>0</v>
      </c>
      <c r="AI20" s="2">
        <f>COUNTIF(defects!$X:$X,Weekly_TVPlant!AI$3&amp;Weekly_TVPlant!$B20&amp;Weekly_TVPlant!$B$3&amp;$B$2&amp;$B$1)</f>
        <v>0</v>
      </c>
      <c r="AJ20" s="2">
        <f>COUNTIF(defects!$X:$X,Weekly_TVPlant!AJ$3&amp;Weekly_TVPlant!$B20&amp;Weekly_TVPlant!$B$3&amp;$B$2&amp;$B$1)</f>
        <v>0</v>
      </c>
      <c r="AK20" s="2">
        <f>COUNTIF(defects!$X:$X,Weekly_TVPlant!AK$3&amp;Weekly_TVPlant!$B20&amp;Weekly_TVPlant!$B$3&amp;$B$2&amp;$B$1)</f>
        <v>0</v>
      </c>
      <c r="AL20" s="2">
        <f>COUNTIF(defects!$X:$X,Weekly_TVPlant!AL$3&amp;Weekly_TVPlant!$B20&amp;Weekly_TVPlant!$B$3&amp;$B$2&amp;$B$1)</f>
        <v>0</v>
      </c>
      <c r="AM20" s="2">
        <f>COUNTIF(defects!$X:$X,Weekly_TVPlant!AM$3&amp;Weekly_TVPlant!$B20&amp;Weekly_TVPlant!$B$3&amp;$B$2&amp;$B$1)</f>
        <v>0</v>
      </c>
      <c r="AN20" s="2">
        <f>COUNTIF(defects!$X:$X,Weekly_TVPlant!AN$3&amp;Weekly_TVPlant!$B20&amp;Weekly_TVPlant!$B$3&amp;$B$2&amp;$B$1)</f>
        <v>0</v>
      </c>
      <c r="AO20" s="2">
        <f>COUNTIF(defects!$X:$X,Weekly_TVPlant!AO$3&amp;Weekly_TVPlant!$B20&amp;Weekly_TVPlant!$B$3&amp;$B$2&amp;$B$1)</f>
        <v>0</v>
      </c>
      <c r="AP20" s="2">
        <f>COUNTIF(defects!$X:$X,Weekly_TVPlant!AP$3&amp;Weekly_TVPlant!$B20&amp;Weekly_TVPlant!$B$3&amp;$B$2&amp;$B$1)</f>
        <v>0</v>
      </c>
      <c r="AQ20" s="2">
        <f>COUNTIF(defects!$X:$X,Weekly_TVPlant!AQ$3&amp;Weekly_TVPlant!$B20&amp;Weekly_TVPlant!$B$3&amp;$B$2&amp;$B$1)</f>
        <v>0</v>
      </c>
      <c r="AR20" s="2">
        <f>COUNTIF(defects!$X:$X,Weekly_TVPlant!AR$3&amp;Weekly_TVPlant!$B20&amp;Weekly_TVPlant!$B$3&amp;$B$2&amp;$B$1)</f>
        <v>0</v>
      </c>
      <c r="AS20" s="2">
        <f>COUNTIF(defects!$X:$X,Weekly_TVPlant!AS$3&amp;Weekly_TVPlant!$B20&amp;Weekly_TVPlant!$B$3&amp;$B$2&amp;$B$1)</f>
        <v>0</v>
      </c>
      <c r="AT20" s="2">
        <f>COUNTIF(defects!$X:$X,Weekly_TVPlant!AT$3&amp;Weekly_TVPlant!$B20&amp;Weekly_TVPlant!$B$3&amp;$B$2&amp;$B$1)</f>
        <v>0</v>
      </c>
      <c r="AU20" s="2">
        <f>COUNTIF(defects!$X:$X,Weekly_TVPlant!AU$3&amp;Weekly_TVPlant!$B20&amp;Weekly_TVPlant!$B$3&amp;$B$2&amp;$B$1)</f>
        <v>0</v>
      </c>
      <c r="AV20" s="2">
        <f>COUNTIF(defects!$X:$X,Weekly_TVPlant!AV$3&amp;Weekly_TVPlant!$B20&amp;Weekly_TVPlant!$B$3&amp;$B$2&amp;$B$1)</f>
        <v>0</v>
      </c>
      <c r="AW20" s="2">
        <f>COUNTIF(defects!$X:$X,Weekly_TVPlant!AW$3&amp;Weekly_TVPlant!$B20&amp;Weekly_TVPlant!$B$3&amp;$B$2&amp;$B$1)</f>
        <v>0</v>
      </c>
      <c r="AX20" s="2">
        <f>COUNTIF(defects!$X:$X,Weekly_TVPlant!AX$3&amp;Weekly_TVPlant!$B20&amp;Weekly_TVPlant!$B$3&amp;$B$2&amp;$B$1)</f>
        <v>0</v>
      </c>
      <c r="AY20" s="2">
        <f>COUNTIF(defects!$X:$X,Weekly_TVPlant!AY$3&amp;Weekly_TVPlant!$B20&amp;Weekly_TVPlant!$B$3&amp;$B$2&amp;$B$1)</f>
        <v>0</v>
      </c>
      <c r="AZ20" s="2">
        <f>COUNTIF(defects!$X:$X,Weekly_TVPlant!AZ$3&amp;Weekly_TVPlant!$B20&amp;Weekly_TVPlant!$B$3&amp;$B$2&amp;$B$1)</f>
        <v>0</v>
      </c>
      <c r="BA20" s="2">
        <f>COUNTIF(defects!$X:$X,Weekly_TVPlant!BA$3&amp;Weekly_TVPlant!$B20&amp;Weekly_TVPlant!$B$3&amp;$B$2&amp;$B$1)</f>
        <v>0</v>
      </c>
      <c r="BB20" s="2">
        <f>COUNTIF(defects!$X:$X,Weekly_TVPlant!BB$3&amp;Weekly_TVPlant!$B20&amp;Weekly_TVPlant!$B$3&amp;$B$2&amp;$B$1)</f>
        <v>0</v>
      </c>
      <c r="BC20" s="2">
        <f>COUNTIF(defects!$X:$X,Weekly_TVPlant!BC$3&amp;Weekly_TVPlant!$B20&amp;Weekly_TVPlant!$B$3&amp;$B$2&amp;$B$1)</f>
        <v>0</v>
      </c>
      <c r="BD20" s="2">
        <f>COUNTIF(defects!$X:$X,Weekly_TVPlant!BD$3&amp;Weekly_TVPlant!$B20&amp;Weekly_TVPlant!$B$3&amp;$B$2&amp;$B$1)</f>
        <v>0</v>
      </c>
      <c r="BE20" s="2">
        <f>COUNTIF(defects!$X:$X,Weekly_TVPlant!BE$3&amp;Weekly_TVPlant!$B20&amp;Weekly_TVPlant!$B$3&amp;$B$2&amp;$B$1)</f>
        <v>0</v>
      </c>
      <c r="BF20" s="2">
        <f>COUNTIF(defects!$X:$X,Weekly_TVPlant!BF$3&amp;Weekly_TVPlant!$B20&amp;Weekly_TVPlant!$B$3&amp;$B$2&amp;$B$1)</f>
        <v>0</v>
      </c>
      <c r="BG20" s="2">
        <f>COUNTIF(defects!$X:$X,Weekly_TVPlant!BG$3&amp;Weekly_TVPlant!$B20&amp;Weekly_TVPlant!$B$3&amp;$B$2&amp;$B$1)</f>
        <v>0</v>
      </c>
      <c r="BH20" s="2">
        <f>COUNTIF(defects!$X:$X,Weekly_TVPlant!BH$3&amp;Weekly_TVPlant!$B20&amp;Weekly_TVPlant!$B$3&amp;$B$2&amp;$B$1)</f>
        <v>0</v>
      </c>
      <c r="BI20" s="2">
        <f>COUNTIF(defects!$X:$X,Weekly_TVPlant!BI$3&amp;Weekly_TVPlant!$B20&amp;Weekly_TVPlant!$B$3&amp;$B$2&amp;$B$1)</f>
        <v>0</v>
      </c>
      <c r="BJ20" s="2">
        <f>COUNTIF(defects!$X:$X,Weekly_TVPlant!BJ$3&amp;Weekly_TVPlant!$B20&amp;Weekly_TVPlant!$B$3&amp;$B$2&amp;$B$1)</f>
        <v>0</v>
      </c>
      <c r="BK20" s="2">
        <f>COUNTIF(defects!$X:$X,Weekly_TVPlant!BK$3&amp;Weekly_TVPlant!$B20&amp;Weekly_TVPlant!$B$3&amp;$B$2&amp;$B$1)</f>
        <v>0</v>
      </c>
      <c r="BL20" s="2">
        <f>COUNTIF(defects!$X:$X,Weekly_TVPlant!BL$3&amp;Weekly_TVPlant!$B20&amp;Weekly_TVPlant!$B$3&amp;$B$2&amp;$B$1)</f>
        <v>0</v>
      </c>
      <c r="BM20" s="2">
        <f>COUNTIF(defects!$X:$X,Weekly_TVPlant!BM$3&amp;Weekly_TVPlant!$B20&amp;Weekly_TVPlant!$B$3&amp;$B$2&amp;$B$1)</f>
        <v>0</v>
      </c>
      <c r="BN20" s="2">
        <f>COUNTIF(defects!$X:$X,Weekly_TVPlant!BN$3&amp;Weekly_TVPlant!$B20&amp;Weekly_TVPlant!$B$3&amp;$B$2&amp;$B$1)</f>
        <v>0</v>
      </c>
      <c r="BO20" s="2">
        <f>COUNTIF(defects!$X:$X,Weekly_TVPlant!BO$3&amp;Weekly_TVPlant!$B20&amp;Weekly_TVPlant!$B$3&amp;$B$2&amp;$B$1)</f>
        <v>0</v>
      </c>
      <c r="BP20" s="2">
        <f>COUNTIF(defects!$X:$X,Weekly_TVPlant!BP$3&amp;Weekly_TVPlant!$B20&amp;Weekly_TVPlant!$B$3&amp;$B$2&amp;$B$1)</f>
        <v>0</v>
      </c>
      <c r="BQ20" s="2">
        <f>COUNTIF(defects!$X:$X,Weekly_TVPlant!BQ$3&amp;Weekly_TVPlant!$B20&amp;Weekly_TVPlant!$B$3&amp;$B$2&amp;$B$1)</f>
        <v>0</v>
      </c>
      <c r="BR20" s="2">
        <f>COUNTIF(defects!$X:$X,Weekly_TVPlant!BR$3&amp;Weekly_TVPlant!$B20&amp;Weekly_TVPlant!$B$3&amp;$B$2&amp;$B$1)</f>
        <v>0</v>
      </c>
      <c r="BS20" s="2">
        <f>COUNTIF(defects!$X:$X,Weekly_TVPlant!BS$3&amp;Weekly_TVPlant!$B20&amp;Weekly_TVPlant!$B$3&amp;$B$2&amp;$B$1)</f>
        <v>0</v>
      </c>
      <c r="BT20" s="2">
        <f>COUNTIF(defects!$X:$X,Weekly_TVPlant!BT$3&amp;Weekly_TVPlant!$B20&amp;Weekly_TVPlant!$B$3&amp;$B$2&amp;$B$1)</f>
        <v>0</v>
      </c>
      <c r="BU20" s="2">
        <f>COUNTIF(defects!$X:$X,Weekly_TVPlant!BU$3&amp;Weekly_TVPlant!$B20&amp;Weekly_TVPlant!$B$3&amp;$B$2&amp;$B$1)</f>
        <v>0</v>
      </c>
      <c r="BV20" s="2">
        <f>COUNTIF(defects!$X:$X,Weekly_TVPlant!BV$3&amp;Weekly_TVPlant!$B20&amp;Weekly_TVPlant!$B$3&amp;$B$2&amp;$B$1)</f>
        <v>0</v>
      </c>
      <c r="BW20" s="2">
        <f>COUNTIF(defects!$X:$X,Weekly_TVPlant!BW$3&amp;Weekly_TVPlant!$B20&amp;Weekly_TVPlant!$B$3&amp;$B$2&amp;$B$1)</f>
        <v>0</v>
      </c>
      <c r="BX20" s="2">
        <f>COUNTIF(defects!$X:$X,Weekly_TVPlant!BX$3&amp;Weekly_TVPlant!$B20&amp;Weekly_TVPlant!$B$3&amp;$B$2&amp;$B$1)</f>
        <v>0</v>
      </c>
      <c r="BY20" s="2">
        <f>COUNTIF(defects!$X:$X,Weekly_TVPlant!BY$3&amp;Weekly_TVPlant!$B20&amp;Weekly_TVPlant!$B$3&amp;$B$2&amp;$B$1)</f>
        <v>0</v>
      </c>
      <c r="BZ20" s="2">
        <f>COUNTIF(defects!$X:$X,Weekly_TVPlant!BZ$3&amp;Weekly_TVPlant!$B20&amp;Weekly_TVPlant!$B$3&amp;$B$2&amp;$B$1)</f>
        <v>0</v>
      </c>
      <c r="CA20" s="2">
        <f>COUNTIF(defects!$X:$X,Weekly_TVPlant!CA$3&amp;Weekly_TVPlant!$B20&amp;Weekly_TVPlant!$B$3&amp;$B$2&amp;$B$1)</f>
        <v>0</v>
      </c>
      <c r="CB20" s="2">
        <f>COUNTIF(defects!$X:$X,Weekly_TVPlant!CB$3&amp;Weekly_TVPlant!$B20&amp;Weekly_TVPlant!$B$3&amp;$B$2&amp;$B$1)</f>
        <v>0</v>
      </c>
      <c r="CC20" s="2">
        <f>COUNTIF(defects!$X:$X,Weekly_TVPlant!CC$3&amp;Weekly_TVPlant!$B20&amp;Weekly_TVPlant!$B$3&amp;$B$2&amp;$B$1)</f>
        <v>0</v>
      </c>
      <c r="CD20" s="2">
        <f>COUNTIF(defects!$X:$X,Weekly_TVPlant!CD$3&amp;Weekly_TVPlant!$B20&amp;Weekly_TVPlant!$B$3&amp;$B$2&amp;$B$1)</f>
        <v>0</v>
      </c>
      <c r="CE20" s="2">
        <f>COUNTIF(defects!$X:$X,Weekly_TVPlant!CE$3&amp;Weekly_TVPlant!$B20&amp;Weekly_TVPlant!$B$3&amp;$B$2&amp;$B$1)</f>
        <v>0</v>
      </c>
      <c r="CF20" s="2">
        <f>COUNTIF(defects!$X:$X,Weekly_TVPlant!CF$3&amp;Weekly_TVPlant!$B20&amp;Weekly_TVPlant!$B$3&amp;$B$2&amp;$B$1)</f>
        <v>0</v>
      </c>
      <c r="CG20" s="2">
        <f>COUNTIF(defects!$X:$X,Weekly_TVPlant!CG$3&amp;Weekly_TVPlant!$B20&amp;Weekly_TVPlant!$B$3&amp;$B$2&amp;$B$1)</f>
        <v>0</v>
      </c>
      <c r="CH20" s="2">
        <f>COUNTIF(defects!$X:$X,Weekly_TVPlant!CH$3&amp;Weekly_TVPlant!$B20&amp;Weekly_TVPlant!$B$3&amp;$B$2&amp;$B$1)</f>
        <v>0</v>
      </c>
      <c r="CI20" s="2">
        <f>COUNTIF(defects!$X:$X,Weekly_TVPlant!CI$3&amp;Weekly_TVPlant!$B20&amp;Weekly_TVPlant!$B$3&amp;$B$2&amp;$B$1)</f>
        <v>0</v>
      </c>
      <c r="CJ20" s="2">
        <f>COUNTIF(defects!$X:$X,Weekly_TVPlant!CJ$3&amp;Weekly_TVPlant!$B20&amp;Weekly_TVPlant!$B$3&amp;$B$2&amp;$B$1)</f>
        <v>1</v>
      </c>
      <c r="CK20" s="2">
        <f>COUNTIF(defects!$X:$X,Weekly_TVPlant!CK$3&amp;Weekly_TVPlant!$B20&amp;Weekly_TVPlant!$B$3&amp;$B$2&amp;$B$1)</f>
        <v>0</v>
      </c>
      <c r="CL20" s="2">
        <f>COUNTIF(defects!$X:$X,Weekly_TVPlant!CL$3&amp;Weekly_TVPlant!$B20&amp;Weekly_TVPlant!$B$3&amp;$B$2&amp;$B$1)</f>
        <v>0</v>
      </c>
      <c r="CM20" s="2">
        <f>COUNTIF(defects!$X:$X,Weekly_TVPlant!CM$3&amp;Weekly_TVPlant!$B20&amp;Weekly_TVPlant!$B$3&amp;$B$2&amp;$B$1)</f>
        <v>0</v>
      </c>
      <c r="CN20" s="2">
        <f>COUNTIF(defects!$X:$X,Weekly_TVPlant!CN$3&amp;Weekly_TVPlant!$B20&amp;Weekly_TVPlant!$B$3&amp;$B$2&amp;$B$1)</f>
        <v>0</v>
      </c>
      <c r="CO20" s="2">
        <f>COUNTIF(defects!$X:$X,Weekly_TVPlant!CO$3&amp;Weekly_TVPlant!$B20&amp;Weekly_TVPlant!$B$3&amp;$B$2&amp;$B$1)</f>
        <v>0</v>
      </c>
      <c r="CP20" s="2">
        <f>COUNTIF(defects!$X:$X,Weekly_TVPlant!CP$3&amp;Weekly_TVPlant!$B20&amp;Weekly_TVPlant!$B$3&amp;$B$2&amp;$B$1)</f>
        <v>0</v>
      </c>
      <c r="CQ20" s="2">
        <f>COUNTIF(defects!$X:$X,Weekly_TVPlant!CQ$3&amp;Weekly_TVPlant!$B20&amp;Weekly_TVPlant!$B$3&amp;$B$2&amp;$B$1)</f>
        <v>0</v>
      </c>
      <c r="CR20" s="2">
        <f>COUNTIF(defects!$X:$X,Weekly_TVPlant!CR$3&amp;Weekly_TVPlant!$B20&amp;Weekly_TVPlant!$B$3&amp;$B$2&amp;$B$1)</f>
        <v>0</v>
      </c>
      <c r="CS20" s="2">
        <f>COUNTIF(defects!$X:$X,Weekly_TVPlant!CS$3&amp;Weekly_TVPlant!$B20&amp;Weekly_TVPlant!$B$3&amp;$B$2&amp;$B$1)</f>
        <v>0</v>
      </c>
      <c r="CT20" s="2">
        <f>COUNTIF(defects!$X:$X,Weekly_TVPlant!CT$3&amp;Weekly_TVPlant!$B20&amp;Weekly_TVPlant!$B$3&amp;$B$2&amp;$B$1)</f>
        <v>0</v>
      </c>
      <c r="CU20" s="2">
        <f>COUNTIF(defects!$X:$X,Weekly_TVPlant!CU$3&amp;Weekly_TVPlant!$B20&amp;Weekly_TVPlant!$B$3&amp;$B$2&amp;$B$1)</f>
        <v>0</v>
      </c>
      <c r="CV20" s="2">
        <f>COUNTIF(defects!$X:$X,Weekly_TVPlant!CV$3&amp;Weekly_TVPlant!$B20&amp;Weekly_TVPlant!$B$3&amp;$B$2&amp;$B$1)</f>
        <v>0</v>
      </c>
      <c r="CW20" s="2">
        <f>COUNTIF(defects!$X:$X,Weekly_TVPlant!CW$3&amp;Weekly_TVPlant!$B20&amp;Weekly_TVPlant!$B$3&amp;$B$2&amp;$B$1)</f>
        <v>0</v>
      </c>
      <c r="CX20" s="2">
        <f>COUNTIF(defects!$X:$X,Weekly_TVPlant!CX$3&amp;Weekly_TVPlant!$B20&amp;Weekly_TVPlant!$B$3&amp;$B$2&amp;$B$1)</f>
        <v>0</v>
      </c>
      <c r="CY20" s="2">
        <f>COUNTIF(defects!$X:$X,Weekly_TVPlant!CY$3&amp;Weekly_TVPlant!$B20&amp;Weekly_TVPlant!$B$3&amp;$B$2&amp;$B$1)</f>
        <v>0</v>
      </c>
      <c r="CZ20" s="2">
        <f>COUNTIF(defects!$X:$X,Weekly_TVPlant!CZ$3&amp;Weekly_TVPlant!$B20&amp;Weekly_TVPlant!$B$3&amp;$B$2&amp;$B$1)</f>
        <v>1</v>
      </c>
      <c r="DA20" s="2">
        <f>COUNTIF(defects!$X:$X,Weekly_TVPlant!DA$3&amp;Weekly_TVPlant!$B20&amp;Weekly_TVPlant!$B$3&amp;$B$2&amp;$B$1)</f>
        <v>0</v>
      </c>
      <c r="DB20" s="2">
        <f>COUNTIF(defects!$X:$X,Weekly_TVPlant!DB$3&amp;Weekly_TVPlant!$B20&amp;Weekly_TVPlant!$B$3&amp;$B$2&amp;$B$1)</f>
        <v>0</v>
      </c>
      <c r="DC20" s="2">
        <f>COUNTIF(defects!$X:$X,Weekly_TVPlant!DC$3&amp;Weekly_TVPlant!$B20&amp;Weekly_TVPlant!$B$3&amp;$B$2&amp;$B$1)</f>
        <v>0</v>
      </c>
      <c r="DD20" s="2">
        <f>COUNTIF(defects!$X:$X,Weekly_TVPlant!DD$3&amp;Weekly_TVPlant!$B20&amp;Weekly_TVPlant!$B$3&amp;$B$2&amp;$B$1)</f>
        <v>0</v>
      </c>
      <c r="DE20" s="2">
        <f>COUNTIF(defects!$X:$X,Weekly_TVPlant!DE$3&amp;Weekly_TVPlant!$B20&amp;Weekly_TVPlant!$B$3&amp;$B$2&amp;$B$1)</f>
        <v>0</v>
      </c>
      <c r="DF20" s="2">
        <f>COUNTIF(defects!$X:$X,Weekly_TVPlant!DF$3&amp;Weekly_TVPlant!$B20&amp;Weekly_TVPlant!$B$3&amp;$B$2&amp;$B$1)</f>
        <v>0</v>
      </c>
      <c r="DG20" s="2">
        <f>COUNTIF(defects!$X:$X,Weekly_TVPlant!DG$3&amp;Weekly_TVPlant!$B20&amp;Weekly_TVPlant!$B$3&amp;$B$2&amp;$B$1)</f>
        <v>0</v>
      </c>
      <c r="DH20" s="2">
        <f>COUNTIF(defects!$X:$X,Weekly_TVPlant!DH$3&amp;Weekly_TVPlant!$B20&amp;Weekly_TVPlant!$B$3&amp;$B$2&amp;$B$1)</f>
        <v>0</v>
      </c>
      <c r="DI20" s="2">
        <f>COUNTIF(defects!$X:$X,Weekly_TVPlant!DI$3&amp;Weekly_TVPlant!$B20&amp;Weekly_TVPlant!$B$3&amp;$B$2&amp;$B$1)</f>
        <v>0</v>
      </c>
      <c r="DJ20" s="2">
        <f>COUNTIF(defects!$X:$X,Weekly_TVPlant!DJ$3&amp;Weekly_TVPlant!$B20&amp;Weekly_TVPlant!$B$3&amp;$B$2&amp;$B$1)</f>
        <v>0</v>
      </c>
      <c r="DK20" s="2">
        <f>COUNTIF(defects!$X:$X,Weekly_TVPlant!DK$3&amp;Weekly_TVPlant!$B20&amp;Weekly_TVPlant!$B$3&amp;$B$2&amp;$B$1)</f>
        <v>0</v>
      </c>
      <c r="DL20" s="2">
        <f>COUNTIF(defects!$X:$X,Weekly_TVPlant!DL$3&amp;Weekly_TVPlant!$B20&amp;Weekly_TVPlant!$B$3&amp;$B$2&amp;$B$1)</f>
        <v>0</v>
      </c>
      <c r="DM20" s="2">
        <f>COUNTIF(defects!$X:$X,Weekly_TVPlant!DM$3&amp;Weekly_TVPlant!$B20&amp;Weekly_TVPlant!$B$3&amp;$B$2&amp;$B$1)</f>
        <v>0</v>
      </c>
      <c r="DN20" s="2">
        <f>COUNTIF(defects!$X:$X,Weekly_TVPlant!DN$3&amp;Weekly_TVPlant!$B20&amp;Weekly_TVPlant!$B$3&amp;$B$2&amp;$B$1)</f>
        <v>0</v>
      </c>
      <c r="DO20" s="2">
        <f>COUNTIF(defects!$X:$X,Weekly_TVPlant!DO$3&amp;Weekly_TVPlant!$B20&amp;Weekly_TVPlant!$B$3&amp;$B$2&amp;$B$1)</f>
        <v>0</v>
      </c>
      <c r="DP20" s="2">
        <f>COUNTIF(defects!$X:$X,Weekly_TVPlant!DP$3&amp;Weekly_TVPlant!$B20&amp;Weekly_TVPlant!$B$3&amp;$B$2&amp;$B$1)</f>
        <v>0</v>
      </c>
      <c r="DQ20" s="2">
        <f>COUNTIF(defects!$X:$X,Weekly_TVPlant!DQ$3&amp;Weekly_TVPlant!$B20&amp;Weekly_TVPlant!$B$3&amp;$B$2&amp;$B$1)</f>
        <v>0</v>
      </c>
      <c r="DR20" s="2">
        <f>COUNTIF(defects!$X:$X,Weekly_TVPlant!DR$3&amp;Weekly_TVPlant!$B20&amp;Weekly_TVPlant!$B$3&amp;$B$2&amp;$B$1)</f>
        <v>0</v>
      </c>
      <c r="DS20" s="2">
        <f>COUNTIF(defects!$X:$X,Weekly_TVPlant!DS$3&amp;Weekly_TVPlant!$B20&amp;Weekly_TVPlant!$B$3&amp;$B$2&amp;$B$1)</f>
        <v>0</v>
      </c>
      <c r="DT20" s="2">
        <f>COUNTIF(defects!$X:$X,Weekly_TVPlant!DT$3&amp;Weekly_TVPlant!$B20&amp;Weekly_TVPlant!$B$3&amp;$B$2&amp;$B$1)</f>
        <v>0</v>
      </c>
      <c r="DU20" s="2">
        <f>COUNTIF(defects!$X:$X,Weekly_TVPlant!DU$3&amp;Weekly_TVPlant!$B20&amp;Weekly_TVPlant!$B$3&amp;$B$2&amp;$B$1)</f>
        <v>0</v>
      </c>
      <c r="DV20" s="2">
        <f>COUNTIF(defects!$X:$X,Weekly_TVPlant!DV$3&amp;Weekly_TVPlant!$B20&amp;Weekly_TVPlant!$B$3&amp;$B$2&amp;$B$1)</f>
        <v>0</v>
      </c>
      <c r="DW20" s="2">
        <f>COUNTIF(defects!$X:$X,Weekly_TVPlant!DW$3&amp;Weekly_TVPlant!$B20&amp;Weekly_TVPlant!$B$3&amp;$B$2&amp;$B$1)</f>
        <v>0</v>
      </c>
      <c r="DX20" s="2">
        <f>COUNTIF(defects!$X:$X,Weekly_TVPlant!DX$3&amp;Weekly_TVPlant!$B20&amp;Weekly_TVPlant!$B$3&amp;$B$2&amp;$B$1)</f>
        <v>0</v>
      </c>
      <c r="DY20" s="2">
        <f>COUNTIF(defects!$X:$X,Weekly_TVPlant!DY$3&amp;Weekly_TVPlant!$B20&amp;Weekly_TVPlant!$B$3&amp;$B$2&amp;$B$1)</f>
        <v>0</v>
      </c>
      <c r="DZ20" s="2">
        <f>COUNTIF(defects!$X:$X,Weekly_TVPlant!DZ$3&amp;Weekly_TVPlant!$B20&amp;Weekly_TVPlant!$B$3&amp;$B$2&amp;$B$1)</f>
        <v>0</v>
      </c>
      <c r="EA20" s="2">
        <f>COUNTIF(defects!$X:$X,Weekly_TVPlant!EA$3&amp;Weekly_TVPlant!$B20&amp;Weekly_TVPlant!$B$3&amp;$B$2&amp;$B$1)</f>
        <v>0</v>
      </c>
      <c r="EB20" s="2">
        <f>COUNTIF(defects!$X:$X,Weekly_TVPlant!EB$3&amp;Weekly_TVPlant!$B20&amp;Weekly_TVPlant!$B$3&amp;$B$2&amp;$B$1)</f>
        <v>0</v>
      </c>
      <c r="EC20" s="2">
        <f>COUNTIF(defects!$X:$X,Weekly_TVPlant!EC$3&amp;Weekly_TVPlant!$B20&amp;Weekly_TVPlant!$B$3&amp;$B$2&amp;$B$1)</f>
        <v>0</v>
      </c>
      <c r="ED20" s="2">
        <f>COUNTIF(defects!$X:$X,Weekly_TVPlant!ED$3&amp;Weekly_TVPlant!$B20&amp;Weekly_TVPlant!$B$3&amp;$B$2&amp;$B$1)</f>
        <v>0</v>
      </c>
      <c r="EE20" s="2">
        <f>COUNTIF(defects!$X:$X,Weekly_TVPlant!EE$3&amp;Weekly_TVPlant!$B20&amp;Weekly_TVPlant!$B$3&amp;$B$2&amp;$B$1)</f>
        <v>0</v>
      </c>
      <c r="EF20" s="2">
        <f>COUNTIF(defects!$X:$X,Weekly_TVPlant!EF$3&amp;Weekly_TVPlant!$B20&amp;Weekly_TVPlant!$B$3&amp;$B$2&amp;$B$1)</f>
        <v>0</v>
      </c>
      <c r="EG20" s="2">
        <f>COUNTIF(defects!$X:$X,Weekly_TVPlant!EG$3&amp;Weekly_TVPlant!$B20&amp;Weekly_TVPlant!$B$3&amp;$B$2&amp;$B$1)</f>
        <v>0</v>
      </c>
      <c r="EH20" s="2">
        <f>COUNTIF(defects!$X:$X,Weekly_TVPlant!EH$3&amp;Weekly_TVPlant!$B20&amp;Weekly_TVPlant!$B$3&amp;$B$2&amp;$B$1)</f>
        <v>0</v>
      </c>
      <c r="EI20" s="2">
        <f>COUNTIF(defects!$X:$X,Weekly_TVPlant!EI$3&amp;Weekly_TVPlant!$B20&amp;Weekly_TVPlant!$B$3&amp;$B$2&amp;$B$1)</f>
        <v>0</v>
      </c>
      <c r="EJ20" s="2">
        <f>COUNTIF(defects!$X:$X,Weekly_TVPlant!EJ$3&amp;Weekly_TVPlant!$B20&amp;Weekly_TVPlant!$B$3&amp;$B$2&amp;$B$1)</f>
        <v>0</v>
      </c>
      <c r="EK20" s="2">
        <f>COUNTIF(defects!$X:$X,Weekly_TVPlant!EK$3&amp;Weekly_TVPlant!$B20&amp;Weekly_TVPlant!$B$3&amp;$B$2&amp;$B$1)</f>
        <v>0</v>
      </c>
      <c r="EL20" s="2">
        <f>COUNTIF(defects!$X:$X,Weekly_TVPlant!EL$3&amp;Weekly_TVPlant!$B20&amp;Weekly_TVPlant!$B$3&amp;$B$2&amp;$B$1)</f>
        <v>0</v>
      </c>
      <c r="EM20" s="2">
        <f>COUNTIF(defects!$X:$X,Weekly_TVPlant!EM$3&amp;Weekly_TVPlant!$B20&amp;Weekly_TVPlant!$B$3&amp;$B$2&amp;$B$1)</f>
        <v>0</v>
      </c>
      <c r="EN20" s="2">
        <f>COUNTIF(defects!$X:$X,Weekly_TVPlant!EN$3&amp;Weekly_TVPlant!$B20&amp;Weekly_TVPlant!$B$3&amp;$B$2&amp;$B$1)</f>
        <v>0</v>
      </c>
      <c r="EO20" s="2">
        <f>COUNTIF(defects!$X:$X,Weekly_TVPlant!EO$3&amp;Weekly_TVPlant!$B20&amp;Weekly_TVPlant!$B$3&amp;$B$2&amp;$B$1)</f>
        <v>0</v>
      </c>
      <c r="EP20" s="2">
        <f>COUNTIF(defects!$X:$X,Weekly_TVPlant!EP$3&amp;Weekly_TVPlant!$B20&amp;Weekly_TVPlant!$B$3&amp;$B$2&amp;$B$1)</f>
        <v>0</v>
      </c>
      <c r="EQ20" s="2">
        <f>COUNTIF(defects!$X:$X,Weekly_TVPlant!EQ$3&amp;Weekly_TVPlant!$B20&amp;Weekly_TVPlant!$B$3&amp;$B$2&amp;$B$1)</f>
        <v>0</v>
      </c>
      <c r="ER20" s="2">
        <f>COUNTIF(defects!$X:$X,Weekly_TVPlant!ER$3&amp;Weekly_TVPlant!$B20&amp;Weekly_TVPlant!$B$3&amp;$B$2&amp;$B$1)</f>
        <v>0</v>
      </c>
      <c r="ES20" s="2">
        <f>COUNTIF(defects!$X:$X,Weekly_TVPlant!ES$3&amp;Weekly_TVPlant!$B20&amp;Weekly_TVPlant!$B$3&amp;$B$2&amp;$B$1)</f>
        <v>0</v>
      </c>
      <c r="ET20" s="2">
        <f>COUNTIF(defects!$X:$X,Weekly_TVPlant!ET$3&amp;Weekly_TVPlant!$B20&amp;Weekly_TVPlant!$B$3&amp;$B$2&amp;$B$1)</f>
        <v>0</v>
      </c>
      <c r="EU20" s="2">
        <f>COUNTIF(defects!$X:$X,Weekly_TVPlant!EU$3&amp;Weekly_TVPlant!$B20&amp;Weekly_TVPlant!$B$3&amp;$B$2&amp;$B$1)</f>
        <v>0</v>
      </c>
      <c r="EV20" s="2">
        <f>COUNTIF(defects!$X:$X,Weekly_TVPlant!EV$3&amp;Weekly_TVPlant!$B20&amp;Weekly_TVPlant!$B$3&amp;$B$2&amp;$B$1)</f>
        <v>0</v>
      </c>
      <c r="EW20" s="2">
        <f>COUNTIF(defects!$X:$X,Weekly_TVPlant!EW$3&amp;Weekly_TVPlant!$B20&amp;Weekly_TVPlant!$B$3&amp;$B$2&amp;$B$1)</f>
        <v>0</v>
      </c>
      <c r="EX20" s="2">
        <f>COUNTIF(defects!$X:$X,Weekly_TVPlant!EX$3&amp;Weekly_TVPlant!$B20&amp;Weekly_TVPlant!$B$3&amp;$B$2&amp;$B$1)</f>
        <v>0</v>
      </c>
      <c r="EY20" s="2">
        <f>COUNTIF(defects!$X:$X,Weekly_TVPlant!EY$3&amp;Weekly_TVPlant!$B20&amp;Weekly_TVPlant!$B$3&amp;$B$2&amp;$B$1)</f>
        <v>0</v>
      </c>
      <c r="EZ20" s="2">
        <f>COUNTIF(defects!$X:$X,Weekly_TVPlant!EZ$3&amp;Weekly_TVPlant!$B20&amp;Weekly_TVPlant!$B$3&amp;$B$2&amp;$B$1)</f>
        <v>0</v>
      </c>
      <c r="FA20" s="2">
        <f>COUNTIF(defects!$X:$X,Weekly_TVPlant!FA$3&amp;Weekly_TVPlant!$B20&amp;Weekly_TVPlant!$B$3&amp;$B$2&amp;$B$1)</f>
        <v>0</v>
      </c>
      <c r="FB20" s="2">
        <f>COUNTIF(defects!$X:$X,Weekly_TVPlant!FB$3&amp;Weekly_TVPlant!$B20&amp;Weekly_TVPlant!$B$3&amp;$B$2&amp;$B$1)</f>
        <v>0</v>
      </c>
      <c r="FC20" s="2">
        <f>COUNTIF(defects!$X:$X,Weekly_TVPlant!FC$3&amp;Weekly_TVPlant!$B20&amp;Weekly_TVPlant!$B$3&amp;$B$2&amp;$B$1)</f>
        <v>0</v>
      </c>
      <c r="FD20" s="2">
        <f>COUNTIF(defects!$X:$X,Weekly_TVPlant!FD$3&amp;Weekly_TVPlant!$B20&amp;Weekly_TVPlant!$B$3&amp;$B$2&amp;$B$1)</f>
        <v>0</v>
      </c>
      <c r="FE20" s="2">
        <f>COUNTIF(defects!$X:$X,Weekly_TVPlant!FE$3&amp;Weekly_TVPlant!$B20&amp;Weekly_TVPlant!$B$3&amp;$B$2&amp;$B$1)</f>
        <v>0</v>
      </c>
    </row>
    <row r="21" spans="2:161">
      <c r="B21" s="3" t="s">
        <v>948</v>
      </c>
      <c r="C21" s="2">
        <f>COUNTIF(defects!$X:$X,Weekly_TVPlant!C$3&amp;Weekly_TVPlant!$B21&amp;Weekly_TVPlant!$B$3&amp;$B$2&amp;$B$1)</f>
        <v>0</v>
      </c>
      <c r="D21" s="2">
        <f>COUNTIF(defects!$X:$X,Weekly_TVPlant!D$3&amp;Weekly_TVPlant!$B21&amp;Weekly_TVPlant!$B$3&amp;$B$2&amp;$B$1)</f>
        <v>0</v>
      </c>
      <c r="E21" s="2">
        <f>COUNTIF(defects!$X:$X,Weekly_TVPlant!E$3&amp;Weekly_TVPlant!$B21&amp;Weekly_TVPlant!$B$3&amp;$B$2&amp;$B$1)</f>
        <v>0</v>
      </c>
      <c r="F21" s="2">
        <f>COUNTIF(defects!$X:$X,Weekly_TVPlant!F$3&amp;Weekly_TVPlant!$B21&amp;Weekly_TVPlant!$B$3&amp;$B$2&amp;$B$1)</f>
        <v>0</v>
      </c>
      <c r="G21" s="2">
        <f>COUNTIF(defects!$X:$X,Weekly_TVPlant!G$3&amp;Weekly_TVPlant!$B21&amp;Weekly_TVPlant!$B$3&amp;$B$2&amp;$B$1)</f>
        <v>0</v>
      </c>
      <c r="H21" s="2">
        <f>COUNTIF(defects!$X:$X,Weekly_TVPlant!H$3&amp;Weekly_TVPlant!$B21&amp;Weekly_TVPlant!$B$3&amp;$B$2&amp;$B$1)</f>
        <v>0</v>
      </c>
      <c r="I21" s="2">
        <f>COUNTIF(defects!$X:$X,Weekly_TVPlant!I$3&amp;Weekly_TVPlant!$B21&amp;Weekly_TVPlant!$B$3&amp;$B$2&amp;$B$1)</f>
        <v>0</v>
      </c>
      <c r="J21" s="2">
        <f>COUNTIF(defects!$X:$X,Weekly_TVPlant!J$3&amp;Weekly_TVPlant!$B21&amp;Weekly_TVPlant!$B$3&amp;$B$2&amp;$B$1)</f>
        <v>0</v>
      </c>
      <c r="K21" s="2">
        <f>COUNTIF(defects!$X:$X,Weekly_TVPlant!K$3&amp;Weekly_TVPlant!$B21&amp;Weekly_TVPlant!$B$3&amp;$B$2&amp;$B$1)</f>
        <v>0</v>
      </c>
      <c r="L21" s="2">
        <f>COUNTIF(defects!$X:$X,Weekly_TVPlant!L$3&amp;Weekly_TVPlant!$B21&amp;Weekly_TVPlant!$B$3&amp;$B$2&amp;$B$1)</f>
        <v>0</v>
      </c>
      <c r="M21" s="2">
        <f>COUNTIF(defects!$X:$X,Weekly_TVPlant!M$3&amp;Weekly_TVPlant!$B21&amp;Weekly_TVPlant!$B$3&amp;$B$2&amp;$B$1)</f>
        <v>0</v>
      </c>
      <c r="N21" s="2">
        <f>COUNTIF(defects!$X:$X,Weekly_TVPlant!N$3&amp;Weekly_TVPlant!$B21&amp;Weekly_TVPlant!$B$3&amp;$B$2&amp;$B$1)</f>
        <v>0</v>
      </c>
      <c r="O21" s="2">
        <f>COUNTIF(defects!$X:$X,Weekly_TVPlant!O$3&amp;Weekly_TVPlant!$B21&amp;Weekly_TVPlant!$B$3&amp;$B$2&amp;$B$1)</f>
        <v>0</v>
      </c>
      <c r="P21" s="2">
        <f>COUNTIF(defects!$X:$X,Weekly_TVPlant!P$3&amp;Weekly_TVPlant!$B21&amp;Weekly_TVPlant!$B$3&amp;$B$2&amp;$B$1)</f>
        <v>0</v>
      </c>
      <c r="Q21" s="2">
        <f>COUNTIF(defects!$X:$X,Weekly_TVPlant!Q$3&amp;Weekly_TVPlant!$B21&amp;Weekly_TVPlant!$B$3&amp;$B$2&amp;$B$1)</f>
        <v>0</v>
      </c>
      <c r="R21" s="2">
        <f>COUNTIF(defects!$X:$X,Weekly_TVPlant!R$3&amp;Weekly_TVPlant!$B21&amp;Weekly_TVPlant!$B$3&amp;$B$2&amp;$B$1)</f>
        <v>0</v>
      </c>
      <c r="S21" s="2">
        <f>COUNTIF(defects!$X:$X,Weekly_TVPlant!S$3&amp;Weekly_TVPlant!$B21&amp;Weekly_TVPlant!$B$3&amp;$B$2&amp;$B$1)</f>
        <v>0</v>
      </c>
      <c r="T21" s="2">
        <f>COUNTIF(defects!$X:$X,Weekly_TVPlant!T$3&amp;Weekly_TVPlant!$B21&amp;Weekly_TVPlant!$B$3&amp;$B$2&amp;$B$1)</f>
        <v>0</v>
      </c>
      <c r="U21" s="2">
        <f>COUNTIF(defects!$X:$X,Weekly_TVPlant!U$3&amp;Weekly_TVPlant!$B21&amp;Weekly_TVPlant!$B$3&amp;$B$2&amp;$B$1)</f>
        <v>0</v>
      </c>
      <c r="V21" s="2">
        <f>COUNTIF(defects!$X:$X,Weekly_TVPlant!V$3&amp;Weekly_TVPlant!$B21&amp;Weekly_TVPlant!$B$3&amp;$B$2&amp;$B$1)</f>
        <v>0</v>
      </c>
      <c r="W21" s="2">
        <f>COUNTIF(defects!$X:$X,Weekly_TVPlant!W$3&amp;Weekly_TVPlant!$B21&amp;Weekly_TVPlant!$B$3&amp;$B$2&amp;$B$1)</f>
        <v>0</v>
      </c>
      <c r="X21" s="2">
        <f>COUNTIF(defects!$X:$X,Weekly_TVPlant!X$3&amp;Weekly_TVPlant!$B21&amp;Weekly_TVPlant!$B$3&amp;$B$2&amp;$B$1)</f>
        <v>0</v>
      </c>
      <c r="Y21" s="2">
        <f>COUNTIF(defects!$X:$X,Weekly_TVPlant!Y$3&amp;Weekly_TVPlant!$B21&amp;Weekly_TVPlant!$B$3&amp;$B$2&amp;$B$1)</f>
        <v>0</v>
      </c>
      <c r="Z21" s="2">
        <f>COUNTIF(defects!$X:$X,Weekly_TVPlant!Z$3&amp;Weekly_TVPlant!$B21&amp;Weekly_TVPlant!$B$3&amp;$B$2&amp;$B$1)</f>
        <v>0</v>
      </c>
      <c r="AA21" s="2">
        <f>COUNTIF(defects!$X:$X,Weekly_TVPlant!AA$3&amp;Weekly_TVPlant!$B21&amp;Weekly_TVPlant!$B$3&amp;$B$2&amp;$B$1)</f>
        <v>0</v>
      </c>
      <c r="AB21" s="2">
        <f>COUNTIF(defects!$X:$X,Weekly_TVPlant!AB$3&amp;Weekly_TVPlant!$B21&amp;Weekly_TVPlant!$B$3&amp;$B$2&amp;$B$1)</f>
        <v>0</v>
      </c>
      <c r="AC21" s="2">
        <f>COUNTIF(defects!$X:$X,Weekly_TVPlant!AC$3&amp;Weekly_TVPlant!$B21&amp;Weekly_TVPlant!$B$3&amp;$B$2&amp;$B$1)</f>
        <v>0</v>
      </c>
      <c r="AD21" s="2">
        <f>COUNTIF(defects!$X:$X,Weekly_TVPlant!AD$3&amp;Weekly_TVPlant!$B21&amp;Weekly_TVPlant!$B$3&amp;$B$2&amp;$B$1)</f>
        <v>0</v>
      </c>
      <c r="AE21" s="2">
        <f>COUNTIF(defects!$X:$X,Weekly_TVPlant!AE$3&amp;Weekly_TVPlant!$B21&amp;Weekly_TVPlant!$B$3&amp;$B$2&amp;$B$1)</f>
        <v>0</v>
      </c>
      <c r="AF21" s="2">
        <f>COUNTIF(defects!$X:$X,Weekly_TVPlant!AF$3&amp;Weekly_TVPlant!$B21&amp;Weekly_TVPlant!$B$3&amp;$B$2&amp;$B$1)</f>
        <v>0</v>
      </c>
      <c r="AG21" s="2">
        <f>COUNTIF(defects!$X:$X,Weekly_TVPlant!AG$3&amp;Weekly_TVPlant!$B21&amp;Weekly_TVPlant!$B$3&amp;$B$2&amp;$B$1)</f>
        <v>0</v>
      </c>
      <c r="AH21" s="2">
        <f>COUNTIF(defects!$X:$X,Weekly_TVPlant!AH$3&amp;Weekly_TVPlant!$B21&amp;Weekly_TVPlant!$B$3&amp;$B$2&amp;$B$1)</f>
        <v>0</v>
      </c>
      <c r="AI21" s="2">
        <f>COUNTIF(defects!$X:$X,Weekly_TVPlant!AI$3&amp;Weekly_TVPlant!$B21&amp;Weekly_TVPlant!$B$3&amp;$B$2&amp;$B$1)</f>
        <v>0</v>
      </c>
      <c r="AJ21" s="2">
        <f>COUNTIF(defects!$X:$X,Weekly_TVPlant!AJ$3&amp;Weekly_TVPlant!$B21&amp;Weekly_TVPlant!$B$3&amp;$B$2&amp;$B$1)</f>
        <v>0</v>
      </c>
      <c r="AK21" s="2">
        <f>COUNTIF(defects!$X:$X,Weekly_TVPlant!AK$3&amp;Weekly_TVPlant!$B21&amp;Weekly_TVPlant!$B$3&amp;$B$2&amp;$B$1)</f>
        <v>0</v>
      </c>
      <c r="AL21" s="2">
        <f>COUNTIF(defects!$X:$X,Weekly_TVPlant!AL$3&amp;Weekly_TVPlant!$B21&amp;Weekly_TVPlant!$B$3&amp;$B$2&amp;$B$1)</f>
        <v>0</v>
      </c>
      <c r="AM21" s="2">
        <f>COUNTIF(defects!$X:$X,Weekly_TVPlant!AM$3&amp;Weekly_TVPlant!$B21&amp;Weekly_TVPlant!$B$3&amp;$B$2&amp;$B$1)</f>
        <v>0</v>
      </c>
      <c r="AN21" s="2">
        <f>COUNTIF(defects!$X:$X,Weekly_TVPlant!AN$3&amp;Weekly_TVPlant!$B21&amp;Weekly_TVPlant!$B$3&amp;$B$2&amp;$B$1)</f>
        <v>0</v>
      </c>
      <c r="AO21" s="2">
        <f>COUNTIF(defects!$X:$X,Weekly_TVPlant!AO$3&amp;Weekly_TVPlant!$B21&amp;Weekly_TVPlant!$B$3&amp;$B$2&amp;$B$1)</f>
        <v>0</v>
      </c>
      <c r="AP21" s="2">
        <f>COUNTIF(defects!$X:$X,Weekly_TVPlant!AP$3&amp;Weekly_TVPlant!$B21&amp;Weekly_TVPlant!$B$3&amp;$B$2&amp;$B$1)</f>
        <v>0</v>
      </c>
      <c r="AQ21" s="2">
        <f>COUNTIF(defects!$X:$X,Weekly_TVPlant!AQ$3&amp;Weekly_TVPlant!$B21&amp;Weekly_TVPlant!$B$3&amp;$B$2&amp;$B$1)</f>
        <v>0</v>
      </c>
      <c r="AR21" s="2">
        <f>COUNTIF(defects!$X:$X,Weekly_TVPlant!AR$3&amp;Weekly_TVPlant!$B21&amp;Weekly_TVPlant!$B$3&amp;$B$2&amp;$B$1)</f>
        <v>0</v>
      </c>
      <c r="AS21" s="2">
        <f>COUNTIF(defects!$X:$X,Weekly_TVPlant!AS$3&amp;Weekly_TVPlant!$B21&amp;Weekly_TVPlant!$B$3&amp;$B$2&amp;$B$1)</f>
        <v>0</v>
      </c>
      <c r="AT21" s="2">
        <f>COUNTIF(defects!$X:$X,Weekly_TVPlant!AT$3&amp;Weekly_TVPlant!$B21&amp;Weekly_TVPlant!$B$3&amp;$B$2&amp;$B$1)</f>
        <v>0</v>
      </c>
      <c r="AU21" s="2">
        <f>COUNTIF(defects!$X:$X,Weekly_TVPlant!AU$3&amp;Weekly_TVPlant!$B21&amp;Weekly_TVPlant!$B$3&amp;$B$2&amp;$B$1)</f>
        <v>0</v>
      </c>
      <c r="AV21" s="2">
        <f>COUNTIF(defects!$X:$X,Weekly_TVPlant!AV$3&amp;Weekly_TVPlant!$B21&amp;Weekly_TVPlant!$B$3&amp;$B$2&amp;$B$1)</f>
        <v>0</v>
      </c>
      <c r="AW21" s="2">
        <f>COUNTIF(defects!$X:$X,Weekly_TVPlant!AW$3&amp;Weekly_TVPlant!$B21&amp;Weekly_TVPlant!$B$3&amp;$B$2&amp;$B$1)</f>
        <v>0</v>
      </c>
      <c r="AX21" s="2">
        <f>COUNTIF(defects!$X:$X,Weekly_TVPlant!AX$3&amp;Weekly_TVPlant!$B21&amp;Weekly_TVPlant!$B$3&amp;$B$2&amp;$B$1)</f>
        <v>0</v>
      </c>
      <c r="AY21" s="2">
        <f>COUNTIF(defects!$X:$X,Weekly_TVPlant!AY$3&amp;Weekly_TVPlant!$B21&amp;Weekly_TVPlant!$B$3&amp;$B$2&amp;$B$1)</f>
        <v>0</v>
      </c>
      <c r="AZ21" s="2">
        <f>COUNTIF(defects!$X:$X,Weekly_TVPlant!AZ$3&amp;Weekly_TVPlant!$B21&amp;Weekly_TVPlant!$B$3&amp;$B$2&amp;$B$1)</f>
        <v>0</v>
      </c>
      <c r="BA21" s="2">
        <f>COUNTIF(defects!$X:$X,Weekly_TVPlant!BA$3&amp;Weekly_TVPlant!$B21&amp;Weekly_TVPlant!$B$3&amp;$B$2&amp;$B$1)</f>
        <v>0</v>
      </c>
      <c r="BB21" s="2">
        <f>COUNTIF(defects!$X:$X,Weekly_TVPlant!BB$3&amp;Weekly_TVPlant!$B21&amp;Weekly_TVPlant!$B$3&amp;$B$2&amp;$B$1)</f>
        <v>0</v>
      </c>
      <c r="BC21" s="2">
        <f>COUNTIF(defects!$X:$X,Weekly_TVPlant!BC$3&amp;Weekly_TVPlant!$B21&amp;Weekly_TVPlant!$B$3&amp;$B$2&amp;$B$1)</f>
        <v>0</v>
      </c>
      <c r="BD21" s="2">
        <f>COUNTIF(defects!$X:$X,Weekly_TVPlant!BD$3&amp;Weekly_TVPlant!$B21&amp;Weekly_TVPlant!$B$3&amp;$B$2&amp;$B$1)</f>
        <v>0</v>
      </c>
      <c r="BE21" s="2">
        <f>COUNTIF(defects!$X:$X,Weekly_TVPlant!BE$3&amp;Weekly_TVPlant!$B21&amp;Weekly_TVPlant!$B$3&amp;$B$2&amp;$B$1)</f>
        <v>0</v>
      </c>
      <c r="BF21" s="2">
        <f>COUNTIF(defects!$X:$X,Weekly_TVPlant!BF$3&amp;Weekly_TVPlant!$B21&amp;Weekly_TVPlant!$B$3&amp;$B$2&amp;$B$1)</f>
        <v>0</v>
      </c>
      <c r="BG21" s="2">
        <f>COUNTIF(defects!$X:$X,Weekly_TVPlant!BG$3&amp;Weekly_TVPlant!$B21&amp;Weekly_TVPlant!$B$3&amp;$B$2&amp;$B$1)</f>
        <v>0</v>
      </c>
      <c r="BH21" s="2">
        <f>COUNTIF(defects!$X:$X,Weekly_TVPlant!BH$3&amp;Weekly_TVPlant!$B21&amp;Weekly_TVPlant!$B$3&amp;$B$2&amp;$B$1)</f>
        <v>0</v>
      </c>
      <c r="BI21" s="2">
        <f>COUNTIF(defects!$X:$X,Weekly_TVPlant!BI$3&amp;Weekly_TVPlant!$B21&amp;Weekly_TVPlant!$B$3&amp;$B$2&amp;$B$1)</f>
        <v>0</v>
      </c>
      <c r="BJ21" s="2">
        <f>COUNTIF(defects!$X:$X,Weekly_TVPlant!BJ$3&amp;Weekly_TVPlant!$B21&amp;Weekly_TVPlant!$B$3&amp;$B$2&amp;$B$1)</f>
        <v>0</v>
      </c>
      <c r="BK21" s="2">
        <f>COUNTIF(defects!$X:$X,Weekly_TVPlant!BK$3&amp;Weekly_TVPlant!$B21&amp;Weekly_TVPlant!$B$3&amp;$B$2&amp;$B$1)</f>
        <v>0</v>
      </c>
      <c r="BL21" s="2">
        <f>COUNTIF(defects!$X:$X,Weekly_TVPlant!BL$3&amp;Weekly_TVPlant!$B21&amp;Weekly_TVPlant!$B$3&amp;$B$2&amp;$B$1)</f>
        <v>0</v>
      </c>
      <c r="BM21" s="2">
        <f>COUNTIF(defects!$X:$X,Weekly_TVPlant!BM$3&amp;Weekly_TVPlant!$B21&amp;Weekly_TVPlant!$B$3&amp;$B$2&amp;$B$1)</f>
        <v>0</v>
      </c>
      <c r="BN21" s="2">
        <f>COUNTIF(defects!$X:$X,Weekly_TVPlant!BN$3&amp;Weekly_TVPlant!$B21&amp;Weekly_TVPlant!$B$3&amp;$B$2&amp;$B$1)</f>
        <v>0</v>
      </c>
      <c r="BO21" s="2">
        <f>COUNTIF(defects!$X:$X,Weekly_TVPlant!BO$3&amp;Weekly_TVPlant!$B21&amp;Weekly_TVPlant!$B$3&amp;$B$2&amp;$B$1)</f>
        <v>0</v>
      </c>
      <c r="BP21" s="2">
        <f>COUNTIF(defects!$X:$X,Weekly_TVPlant!BP$3&amp;Weekly_TVPlant!$B21&amp;Weekly_TVPlant!$B$3&amp;$B$2&amp;$B$1)</f>
        <v>0</v>
      </c>
      <c r="BQ21" s="2">
        <f>COUNTIF(defects!$X:$X,Weekly_TVPlant!BQ$3&amp;Weekly_TVPlant!$B21&amp;Weekly_TVPlant!$B$3&amp;$B$2&amp;$B$1)</f>
        <v>0</v>
      </c>
      <c r="BR21" s="2">
        <f>COUNTIF(defects!$X:$X,Weekly_TVPlant!BR$3&amp;Weekly_TVPlant!$B21&amp;Weekly_TVPlant!$B$3&amp;$B$2&amp;$B$1)</f>
        <v>0</v>
      </c>
      <c r="BS21" s="2">
        <f>COUNTIF(defects!$X:$X,Weekly_TVPlant!BS$3&amp;Weekly_TVPlant!$B21&amp;Weekly_TVPlant!$B$3&amp;$B$2&amp;$B$1)</f>
        <v>0</v>
      </c>
      <c r="BT21" s="2">
        <f>COUNTIF(defects!$X:$X,Weekly_TVPlant!BT$3&amp;Weekly_TVPlant!$B21&amp;Weekly_TVPlant!$B$3&amp;$B$2&amp;$B$1)</f>
        <v>0</v>
      </c>
      <c r="BU21" s="2">
        <f>COUNTIF(defects!$X:$X,Weekly_TVPlant!BU$3&amp;Weekly_TVPlant!$B21&amp;Weekly_TVPlant!$B$3&amp;$B$2&amp;$B$1)</f>
        <v>0</v>
      </c>
      <c r="BV21" s="2">
        <f>COUNTIF(defects!$X:$X,Weekly_TVPlant!BV$3&amp;Weekly_TVPlant!$B21&amp;Weekly_TVPlant!$B$3&amp;$B$2&amp;$B$1)</f>
        <v>0</v>
      </c>
      <c r="BW21" s="2">
        <f>COUNTIF(defects!$X:$X,Weekly_TVPlant!BW$3&amp;Weekly_TVPlant!$B21&amp;Weekly_TVPlant!$B$3&amp;$B$2&amp;$B$1)</f>
        <v>0</v>
      </c>
      <c r="BX21" s="2">
        <f>COUNTIF(defects!$X:$X,Weekly_TVPlant!BX$3&amp;Weekly_TVPlant!$B21&amp;Weekly_TVPlant!$B$3&amp;$B$2&amp;$B$1)</f>
        <v>0</v>
      </c>
      <c r="BY21" s="2">
        <f>COUNTIF(defects!$X:$X,Weekly_TVPlant!BY$3&amp;Weekly_TVPlant!$B21&amp;Weekly_TVPlant!$B$3&amp;$B$2&amp;$B$1)</f>
        <v>0</v>
      </c>
      <c r="BZ21" s="2">
        <f>COUNTIF(defects!$X:$X,Weekly_TVPlant!BZ$3&amp;Weekly_TVPlant!$B21&amp;Weekly_TVPlant!$B$3&amp;$B$2&amp;$B$1)</f>
        <v>0</v>
      </c>
      <c r="CA21" s="2">
        <f>COUNTIF(defects!$X:$X,Weekly_TVPlant!CA$3&amp;Weekly_TVPlant!$B21&amp;Weekly_TVPlant!$B$3&amp;$B$2&amp;$B$1)</f>
        <v>0</v>
      </c>
      <c r="CB21" s="2">
        <f>COUNTIF(defects!$X:$X,Weekly_TVPlant!CB$3&amp;Weekly_TVPlant!$B21&amp;Weekly_TVPlant!$B$3&amp;$B$2&amp;$B$1)</f>
        <v>0</v>
      </c>
      <c r="CC21" s="2">
        <f>COUNTIF(defects!$X:$X,Weekly_TVPlant!CC$3&amp;Weekly_TVPlant!$B21&amp;Weekly_TVPlant!$B$3&amp;$B$2&amp;$B$1)</f>
        <v>0</v>
      </c>
      <c r="CD21" s="2">
        <f>COUNTIF(defects!$X:$X,Weekly_TVPlant!CD$3&amp;Weekly_TVPlant!$B21&amp;Weekly_TVPlant!$B$3&amp;$B$2&amp;$B$1)</f>
        <v>0</v>
      </c>
      <c r="CE21" s="2">
        <f>COUNTIF(defects!$X:$X,Weekly_TVPlant!CE$3&amp;Weekly_TVPlant!$B21&amp;Weekly_TVPlant!$B$3&amp;$B$2&amp;$B$1)</f>
        <v>0</v>
      </c>
      <c r="CF21" s="2">
        <f>COUNTIF(defects!$X:$X,Weekly_TVPlant!CF$3&amp;Weekly_TVPlant!$B21&amp;Weekly_TVPlant!$B$3&amp;$B$2&amp;$B$1)</f>
        <v>0</v>
      </c>
      <c r="CG21" s="2">
        <f>COUNTIF(defects!$X:$X,Weekly_TVPlant!CG$3&amp;Weekly_TVPlant!$B21&amp;Weekly_TVPlant!$B$3&amp;$B$2&amp;$B$1)</f>
        <v>0</v>
      </c>
      <c r="CH21" s="2">
        <f>COUNTIF(defects!$X:$X,Weekly_TVPlant!CH$3&amp;Weekly_TVPlant!$B21&amp;Weekly_TVPlant!$B$3&amp;$B$2&amp;$B$1)</f>
        <v>0</v>
      </c>
      <c r="CI21" s="2">
        <f>COUNTIF(defects!$X:$X,Weekly_TVPlant!CI$3&amp;Weekly_TVPlant!$B21&amp;Weekly_TVPlant!$B$3&amp;$B$2&amp;$B$1)</f>
        <v>0</v>
      </c>
      <c r="CJ21" s="2">
        <f>COUNTIF(defects!$X:$X,Weekly_TVPlant!CJ$3&amp;Weekly_TVPlant!$B21&amp;Weekly_TVPlant!$B$3&amp;$B$2&amp;$B$1)</f>
        <v>0</v>
      </c>
      <c r="CK21" s="2">
        <f>COUNTIF(defects!$X:$X,Weekly_TVPlant!CK$3&amp;Weekly_TVPlant!$B21&amp;Weekly_TVPlant!$B$3&amp;$B$2&amp;$B$1)</f>
        <v>0</v>
      </c>
      <c r="CL21" s="2">
        <f>COUNTIF(defects!$X:$X,Weekly_TVPlant!CL$3&amp;Weekly_TVPlant!$B21&amp;Weekly_TVPlant!$B$3&amp;$B$2&amp;$B$1)</f>
        <v>1</v>
      </c>
      <c r="CM21" s="2">
        <f>COUNTIF(defects!$X:$X,Weekly_TVPlant!CM$3&amp;Weekly_TVPlant!$B21&amp;Weekly_TVPlant!$B$3&amp;$B$2&amp;$B$1)</f>
        <v>0</v>
      </c>
      <c r="CN21" s="2">
        <f>COUNTIF(defects!$X:$X,Weekly_TVPlant!CN$3&amp;Weekly_TVPlant!$B21&amp;Weekly_TVPlant!$B$3&amp;$B$2&amp;$B$1)</f>
        <v>0</v>
      </c>
      <c r="CO21" s="2">
        <f>COUNTIF(defects!$X:$X,Weekly_TVPlant!CO$3&amp;Weekly_TVPlant!$B21&amp;Weekly_TVPlant!$B$3&amp;$B$2&amp;$B$1)</f>
        <v>0</v>
      </c>
      <c r="CP21" s="2">
        <f>COUNTIF(defects!$X:$X,Weekly_TVPlant!CP$3&amp;Weekly_TVPlant!$B21&amp;Weekly_TVPlant!$B$3&amp;$B$2&amp;$B$1)</f>
        <v>0</v>
      </c>
      <c r="CQ21" s="2">
        <f>COUNTIF(defects!$X:$X,Weekly_TVPlant!CQ$3&amp;Weekly_TVPlant!$B21&amp;Weekly_TVPlant!$B$3&amp;$B$2&amp;$B$1)</f>
        <v>0</v>
      </c>
      <c r="CR21" s="2">
        <f>COUNTIF(defects!$X:$X,Weekly_TVPlant!CR$3&amp;Weekly_TVPlant!$B21&amp;Weekly_TVPlant!$B$3&amp;$B$2&amp;$B$1)</f>
        <v>0</v>
      </c>
      <c r="CS21" s="2">
        <f>COUNTIF(defects!$X:$X,Weekly_TVPlant!CS$3&amp;Weekly_TVPlant!$B21&amp;Weekly_TVPlant!$B$3&amp;$B$2&amp;$B$1)</f>
        <v>0</v>
      </c>
      <c r="CT21" s="2">
        <f>COUNTIF(defects!$X:$X,Weekly_TVPlant!CT$3&amp;Weekly_TVPlant!$B21&amp;Weekly_TVPlant!$B$3&amp;$B$2&amp;$B$1)</f>
        <v>0</v>
      </c>
      <c r="CU21" s="2">
        <f>COUNTIF(defects!$X:$X,Weekly_TVPlant!CU$3&amp;Weekly_TVPlant!$B21&amp;Weekly_TVPlant!$B$3&amp;$B$2&amp;$B$1)</f>
        <v>0</v>
      </c>
      <c r="CV21" s="2">
        <f>COUNTIF(defects!$X:$X,Weekly_TVPlant!CV$3&amp;Weekly_TVPlant!$B21&amp;Weekly_TVPlant!$B$3&amp;$B$2&amp;$B$1)</f>
        <v>0</v>
      </c>
      <c r="CW21" s="2">
        <f>COUNTIF(defects!$X:$X,Weekly_TVPlant!CW$3&amp;Weekly_TVPlant!$B21&amp;Weekly_TVPlant!$B$3&amp;$B$2&amp;$B$1)</f>
        <v>0</v>
      </c>
      <c r="CX21" s="2">
        <f>COUNTIF(defects!$X:$X,Weekly_TVPlant!CX$3&amp;Weekly_TVPlant!$B21&amp;Weekly_TVPlant!$B$3&amp;$B$2&amp;$B$1)</f>
        <v>0</v>
      </c>
      <c r="CY21" s="2">
        <f>COUNTIF(defects!$X:$X,Weekly_TVPlant!CY$3&amp;Weekly_TVPlant!$B21&amp;Weekly_TVPlant!$B$3&amp;$B$2&amp;$B$1)</f>
        <v>0</v>
      </c>
      <c r="CZ21" s="2">
        <f>COUNTIF(defects!$X:$X,Weekly_TVPlant!CZ$3&amp;Weekly_TVPlant!$B21&amp;Weekly_TVPlant!$B$3&amp;$B$2&amp;$B$1)</f>
        <v>0</v>
      </c>
      <c r="DA21" s="2">
        <f>COUNTIF(defects!$X:$X,Weekly_TVPlant!DA$3&amp;Weekly_TVPlant!$B21&amp;Weekly_TVPlant!$B$3&amp;$B$2&amp;$B$1)</f>
        <v>0</v>
      </c>
      <c r="DB21" s="2">
        <f>COUNTIF(defects!$X:$X,Weekly_TVPlant!DB$3&amp;Weekly_TVPlant!$B21&amp;Weekly_TVPlant!$B$3&amp;$B$2&amp;$B$1)</f>
        <v>0</v>
      </c>
      <c r="DC21" s="2">
        <f>COUNTIF(defects!$X:$X,Weekly_TVPlant!DC$3&amp;Weekly_TVPlant!$B21&amp;Weekly_TVPlant!$B$3&amp;$B$2&amp;$B$1)</f>
        <v>0</v>
      </c>
      <c r="DD21" s="2">
        <f>COUNTIF(defects!$X:$X,Weekly_TVPlant!DD$3&amp;Weekly_TVPlant!$B21&amp;Weekly_TVPlant!$B$3&amp;$B$2&amp;$B$1)</f>
        <v>0</v>
      </c>
      <c r="DE21" s="2">
        <f>COUNTIF(defects!$X:$X,Weekly_TVPlant!DE$3&amp;Weekly_TVPlant!$B21&amp;Weekly_TVPlant!$B$3&amp;$B$2&amp;$B$1)</f>
        <v>0</v>
      </c>
      <c r="DF21" s="2">
        <f>COUNTIF(defects!$X:$X,Weekly_TVPlant!DF$3&amp;Weekly_TVPlant!$B21&amp;Weekly_TVPlant!$B$3&amp;$B$2&amp;$B$1)</f>
        <v>0</v>
      </c>
      <c r="DG21" s="2">
        <f>COUNTIF(defects!$X:$X,Weekly_TVPlant!DG$3&amp;Weekly_TVPlant!$B21&amp;Weekly_TVPlant!$B$3&amp;$B$2&amp;$B$1)</f>
        <v>0</v>
      </c>
      <c r="DH21" s="2">
        <f>COUNTIF(defects!$X:$X,Weekly_TVPlant!DH$3&amp;Weekly_TVPlant!$B21&amp;Weekly_TVPlant!$B$3&amp;$B$2&amp;$B$1)</f>
        <v>0</v>
      </c>
      <c r="DI21" s="2">
        <f>COUNTIF(defects!$X:$X,Weekly_TVPlant!DI$3&amp;Weekly_TVPlant!$B21&amp;Weekly_TVPlant!$B$3&amp;$B$2&amp;$B$1)</f>
        <v>0</v>
      </c>
      <c r="DJ21" s="2">
        <f>COUNTIF(defects!$X:$X,Weekly_TVPlant!DJ$3&amp;Weekly_TVPlant!$B21&amp;Weekly_TVPlant!$B$3&amp;$B$2&amp;$B$1)</f>
        <v>0</v>
      </c>
      <c r="DK21" s="2">
        <f>COUNTIF(defects!$X:$X,Weekly_TVPlant!DK$3&amp;Weekly_TVPlant!$B21&amp;Weekly_TVPlant!$B$3&amp;$B$2&amp;$B$1)</f>
        <v>0</v>
      </c>
      <c r="DL21" s="2">
        <f>COUNTIF(defects!$X:$X,Weekly_TVPlant!DL$3&amp;Weekly_TVPlant!$B21&amp;Weekly_TVPlant!$B$3&amp;$B$2&amp;$B$1)</f>
        <v>0</v>
      </c>
      <c r="DM21" s="2">
        <f>COUNTIF(defects!$X:$X,Weekly_TVPlant!DM$3&amp;Weekly_TVPlant!$B21&amp;Weekly_TVPlant!$B$3&amp;$B$2&amp;$B$1)</f>
        <v>0</v>
      </c>
      <c r="DN21" s="2">
        <f>COUNTIF(defects!$X:$X,Weekly_TVPlant!DN$3&amp;Weekly_TVPlant!$B21&amp;Weekly_TVPlant!$B$3&amp;$B$2&amp;$B$1)</f>
        <v>0</v>
      </c>
      <c r="DO21" s="2">
        <f>COUNTIF(defects!$X:$X,Weekly_TVPlant!DO$3&amp;Weekly_TVPlant!$B21&amp;Weekly_TVPlant!$B$3&amp;$B$2&amp;$B$1)</f>
        <v>0</v>
      </c>
      <c r="DP21" s="2">
        <f>COUNTIF(defects!$X:$X,Weekly_TVPlant!DP$3&amp;Weekly_TVPlant!$B21&amp;Weekly_TVPlant!$B$3&amp;$B$2&amp;$B$1)</f>
        <v>0</v>
      </c>
      <c r="DQ21" s="2">
        <f>COUNTIF(defects!$X:$X,Weekly_TVPlant!DQ$3&amp;Weekly_TVPlant!$B21&amp;Weekly_TVPlant!$B$3&amp;$B$2&amp;$B$1)</f>
        <v>0</v>
      </c>
      <c r="DR21" s="2">
        <f>COUNTIF(defects!$X:$X,Weekly_TVPlant!DR$3&amp;Weekly_TVPlant!$B21&amp;Weekly_TVPlant!$B$3&amp;$B$2&amp;$B$1)</f>
        <v>0</v>
      </c>
      <c r="DS21" s="2">
        <f>COUNTIF(defects!$X:$X,Weekly_TVPlant!DS$3&amp;Weekly_TVPlant!$B21&amp;Weekly_TVPlant!$B$3&amp;$B$2&amp;$B$1)</f>
        <v>0</v>
      </c>
      <c r="DT21" s="2">
        <f>COUNTIF(defects!$X:$X,Weekly_TVPlant!DT$3&amp;Weekly_TVPlant!$B21&amp;Weekly_TVPlant!$B$3&amp;$B$2&amp;$B$1)</f>
        <v>0</v>
      </c>
      <c r="DU21" s="2">
        <f>COUNTIF(defects!$X:$X,Weekly_TVPlant!DU$3&amp;Weekly_TVPlant!$B21&amp;Weekly_TVPlant!$B$3&amp;$B$2&amp;$B$1)</f>
        <v>0</v>
      </c>
      <c r="DV21" s="2">
        <f>COUNTIF(defects!$X:$X,Weekly_TVPlant!DV$3&amp;Weekly_TVPlant!$B21&amp;Weekly_TVPlant!$B$3&amp;$B$2&amp;$B$1)</f>
        <v>0</v>
      </c>
      <c r="DW21" s="2">
        <f>COUNTIF(defects!$X:$X,Weekly_TVPlant!DW$3&amp;Weekly_TVPlant!$B21&amp;Weekly_TVPlant!$B$3&amp;$B$2&amp;$B$1)</f>
        <v>0</v>
      </c>
      <c r="DX21" s="2">
        <f>COUNTIF(defects!$X:$X,Weekly_TVPlant!DX$3&amp;Weekly_TVPlant!$B21&amp;Weekly_TVPlant!$B$3&amp;$B$2&amp;$B$1)</f>
        <v>0</v>
      </c>
      <c r="DY21" s="2">
        <f>COUNTIF(defects!$X:$X,Weekly_TVPlant!DY$3&amp;Weekly_TVPlant!$B21&amp;Weekly_TVPlant!$B$3&amp;$B$2&amp;$B$1)</f>
        <v>0</v>
      </c>
      <c r="DZ21" s="2">
        <f>COUNTIF(defects!$X:$X,Weekly_TVPlant!DZ$3&amp;Weekly_TVPlant!$B21&amp;Weekly_TVPlant!$B$3&amp;$B$2&amp;$B$1)</f>
        <v>0</v>
      </c>
      <c r="EA21" s="2">
        <f>COUNTIF(defects!$X:$X,Weekly_TVPlant!EA$3&amp;Weekly_TVPlant!$B21&amp;Weekly_TVPlant!$B$3&amp;$B$2&amp;$B$1)</f>
        <v>0</v>
      </c>
      <c r="EB21" s="2">
        <f>COUNTIF(defects!$X:$X,Weekly_TVPlant!EB$3&amp;Weekly_TVPlant!$B21&amp;Weekly_TVPlant!$B$3&amp;$B$2&amp;$B$1)</f>
        <v>0</v>
      </c>
      <c r="EC21" s="2">
        <f>COUNTIF(defects!$X:$X,Weekly_TVPlant!EC$3&amp;Weekly_TVPlant!$B21&amp;Weekly_TVPlant!$B$3&amp;$B$2&amp;$B$1)</f>
        <v>0</v>
      </c>
      <c r="ED21" s="2">
        <f>COUNTIF(defects!$X:$X,Weekly_TVPlant!ED$3&amp;Weekly_TVPlant!$B21&amp;Weekly_TVPlant!$B$3&amp;$B$2&amp;$B$1)</f>
        <v>0</v>
      </c>
      <c r="EE21" s="2">
        <f>COUNTIF(defects!$X:$X,Weekly_TVPlant!EE$3&amp;Weekly_TVPlant!$B21&amp;Weekly_TVPlant!$B$3&amp;$B$2&amp;$B$1)</f>
        <v>0</v>
      </c>
      <c r="EF21" s="2">
        <f>COUNTIF(defects!$X:$X,Weekly_TVPlant!EF$3&amp;Weekly_TVPlant!$B21&amp;Weekly_TVPlant!$B$3&amp;$B$2&amp;$B$1)</f>
        <v>0</v>
      </c>
      <c r="EG21" s="2">
        <f>COUNTIF(defects!$X:$X,Weekly_TVPlant!EG$3&amp;Weekly_TVPlant!$B21&amp;Weekly_TVPlant!$B$3&amp;$B$2&amp;$B$1)</f>
        <v>0</v>
      </c>
      <c r="EH21" s="2">
        <f>COUNTIF(defects!$X:$X,Weekly_TVPlant!EH$3&amp;Weekly_TVPlant!$B21&amp;Weekly_TVPlant!$B$3&amp;$B$2&amp;$B$1)</f>
        <v>0</v>
      </c>
      <c r="EI21" s="2">
        <f>COUNTIF(defects!$X:$X,Weekly_TVPlant!EI$3&amp;Weekly_TVPlant!$B21&amp;Weekly_TVPlant!$B$3&amp;$B$2&amp;$B$1)</f>
        <v>0</v>
      </c>
      <c r="EJ21" s="2">
        <f>COUNTIF(defects!$X:$X,Weekly_TVPlant!EJ$3&amp;Weekly_TVPlant!$B21&amp;Weekly_TVPlant!$B$3&amp;$B$2&amp;$B$1)</f>
        <v>0</v>
      </c>
      <c r="EK21" s="2">
        <f>COUNTIF(defects!$X:$X,Weekly_TVPlant!EK$3&amp;Weekly_TVPlant!$B21&amp;Weekly_TVPlant!$B$3&amp;$B$2&amp;$B$1)</f>
        <v>0</v>
      </c>
      <c r="EL21" s="2">
        <f>COUNTIF(defects!$X:$X,Weekly_TVPlant!EL$3&amp;Weekly_TVPlant!$B21&amp;Weekly_TVPlant!$B$3&amp;$B$2&amp;$B$1)</f>
        <v>0</v>
      </c>
      <c r="EM21" s="2">
        <f>COUNTIF(defects!$X:$X,Weekly_TVPlant!EM$3&amp;Weekly_TVPlant!$B21&amp;Weekly_TVPlant!$B$3&amp;$B$2&amp;$B$1)</f>
        <v>0</v>
      </c>
      <c r="EN21" s="2">
        <f>COUNTIF(defects!$X:$X,Weekly_TVPlant!EN$3&amp;Weekly_TVPlant!$B21&amp;Weekly_TVPlant!$B$3&amp;$B$2&amp;$B$1)</f>
        <v>0</v>
      </c>
      <c r="EO21" s="2">
        <f>COUNTIF(defects!$X:$X,Weekly_TVPlant!EO$3&amp;Weekly_TVPlant!$B21&amp;Weekly_TVPlant!$B$3&amp;$B$2&amp;$B$1)</f>
        <v>0</v>
      </c>
      <c r="EP21" s="2">
        <f>COUNTIF(defects!$X:$X,Weekly_TVPlant!EP$3&amp;Weekly_TVPlant!$B21&amp;Weekly_TVPlant!$B$3&amp;$B$2&amp;$B$1)</f>
        <v>0</v>
      </c>
      <c r="EQ21" s="2">
        <f>COUNTIF(defects!$X:$X,Weekly_TVPlant!EQ$3&amp;Weekly_TVPlant!$B21&amp;Weekly_TVPlant!$B$3&amp;$B$2&amp;$B$1)</f>
        <v>0</v>
      </c>
      <c r="ER21" s="2">
        <f>COUNTIF(defects!$X:$X,Weekly_TVPlant!ER$3&amp;Weekly_TVPlant!$B21&amp;Weekly_TVPlant!$B$3&amp;$B$2&amp;$B$1)</f>
        <v>0</v>
      </c>
      <c r="ES21" s="2">
        <f>COUNTIF(defects!$X:$X,Weekly_TVPlant!ES$3&amp;Weekly_TVPlant!$B21&amp;Weekly_TVPlant!$B$3&amp;$B$2&amp;$B$1)</f>
        <v>0</v>
      </c>
      <c r="ET21" s="2">
        <f>COUNTIF(defects!$X:$X,Weekly_TVPlant!ET$3&amp;Weekly_TVPlant!$B21&amp;Weekly_TVPlant!$B$3&amp;$B$2&amp;$B$1)</f>
        <v>0</v>
      </c>
      <c r="EU21" s="2">
        <f>COUNTIF(defects!$X:$X,Weekly_TVPlant!EU$3&amp;Weekly_TVPlant!$B21&amp;Weekly_TVPlant!$B$3&amp;$B$2&amp;$B$1)</f>
        <v>0</v>
      </c>
      <c r="EV21" s="2">
        <f>COUNTIF(defects!$X:$X,Weekly_TVPlant!EV$3&amp;Weekly_TVPlant!$B21&amp;Weekly_TVPlant!$B$3&amp;$B$2&amp;$B$1)</f>
        <v>0</v>
      </c>
      <c r="EW21" s="2">
        <f>COUNTIF(defects!$X:$X,Weekly_TVPlant!EW$3&amp;Weekly_TVPlant!$B21&amp;Weekly_TVPlant!$B$3&amp;$B$2&amp;$B$1)</f>
        <v>0</v>
      </c>
      <c r="EX21" s="2">
        <f>COUNTIF(defects!$X:$X,Weekly_TVPlant!EX$3&amp;Weekly_TVPlant!$B21&amp;Weekly_TVPlant!$B$3&amp;$B$2&amp;$B$1)</f>
        <v>0</v>
      </c>
      <c r="EY21" s="2">
        <f>COUNTIF(defects!$X:$X,Weekly_TVPlant!EY$3&amp;Weekly_TVPlant!$B21&amp;Weekly_TVPlant!$B$3&amp;$B$2&amp;$B$1)</f>
        <v>0</v>
      </c>
      <c r="EZ21" s="2">
        <f>COUNTIF(defects!$X:$X,Weekly_TVPlant!EZ$3&amp;Weekly_TVPlant!$B21&amp;Weekly_TVPlant!$B$3&amp;$B$2&amp;$B$1)</f>
        <v>0</v>
      </c>
      <c r="FA21" s="2">
        <f>COUNTIF(defects!$X:$X,Weekly_TVPlant!FA$3&amp;Weekly_TVPlant!$B21&amp;Weekly_TVPlant!$B$3&amp;$B$2&amp;$B$1)</f>
        <v>0</v>
      </c>
      <c r="FB21" s="2">
        <f>COUNTIF(defects!$X:$X,Weekly_TVPlant!FB$3&amp;Weekly_TVPlant!$B21&amp;Weekly_TVPlant!$B$3&amp;$B$2&amp;$B$1)</f>
        <v>0</v>
      </c>
      <c r="FC21" s="2">
        <f>COUNTIF(defects!$X:$X,Weekly_TVPlant!FC$3&amp;Weekly_TVPlant!$B21&amp;Weekly_TVPlant!$B$3&amp;$B$2&amp;$B$1)</f>
        <v>0</v>
      </c>
      <c r="FD21" s="2">
        <f>COUNTIF(defects!$X:$X,Weekly_TVPlant!FD$3&amp;Weekly_TVPlant!$B21&amp;Weekly_TVPlant!$B$3&amp;$B$2&amp;$B$1)</f>
        <v>0</v>
      </c>
      <c r="FE21" s="2">
        <f>COUNTIF(defects!$X:$X,Weekly_TVPlant!FE$3&amp;Weekly_TVPlant!$B21&amp;Weekly_TVPlant!$B$3&amp;$B$2&amp;$B$1)</f>
        <v>0</v>
      </c>
    </row>
    <row r="22" spans="2:161">
      <c r="B22" s="3" t="s">
        <v>959</v>
      </c>
      <c r="C22" s="2">
        <f>COUNTIF(defects!$X:$X,Weekly_TVPlant!C$3&amp;Weekly_TVPlant!$B22&amp;Weekly_TVPlant!$B$3&amp;$B$2&amp;$B$1)</f>
        <v>0</v>
      </c>
      <c r="D22" s="2">
        <f>COUNTIF(defects!$X:$X,Weekly_TVPlant!D$3&amp;Weekly_TVPlant!$B22&amp;Weekly_TVPlant!$B$3&amp;$B$2&amp;$B$1)</f>
        <v>0</v>
      </c>
      <c r="E22" s="2">
        <f>COUNTIF(defects!$X:$X,Weekly_TVPlant!E$3&amp;Weekly_TVPlant!$B22&amp;Weekly_TVPlant!$B$3&amp;$B$2&amp;$B$1)</f>
        <v>0</v>
      </c>
      <c r="F22" s="2">
        <f>COUNTIF(defects!$X:$X,Weekly_TVPlant!F$3&amp;Weekly_TVPlant!$B22&amp;Weekly_TVPlant!$B$3&amp;$B$2&amp;$B$1)</f>
        <v>0</v>
      </c>
      <c r="G22" s="2">
        <f>COUNTIF(defects!$X:$X,Weekly_TVPlant!G$3&amp;Weekly_TVPlant!$B22&amp;Weekly_TVPlant!$B$3&amp;$B$2&amp;$B$1)</f>
        <v>0</v>
      </c>
      <c r="H22" s="2">
        <f>COUNTIF(defects!$X:$X,Weekly_TVPlant!H$3&amp;Weekly_TVPlant!$B22&amp;Weekly_TVPlant!$B$3&amp;$B$2&amp;$B$1)</f>
        <v>0</v>
      </c>
      <c r="I22" s="2">
        <f>COUNTIF(defects!$X:$X,Weekly_TVPlant!I$3&amp;Weekly_TVPlant!$B22&amp;Weekly_TVPlant!$B$3&amp;$B$2&amp;$B$1)</f>
        <v>0</v>
      </c>
      <c r="J22" s="2">
        <f>COUNTIF(defects!$X:$X,Weekly_TVPlant!J$3&amp;Weekly_TVPlant!$B22&amp;Weekly_TVPlant!$B$3&amp;$B$2&amp;$B$1)</f>
        <v>0</v>
      </c>
      <c r="K22" s="2">
        <f>COUNTIF(defects!$X:$X,Weekly_TVPlant!K$3&amp;Weekly_TVPlant!$B22&amp;Weekly_TVPlant!$B$3&amp;$B$2&amp;$B$1)</f>
        <v>0</v>
      </c>
      <c r="L22" s="2">
        <f>COUNTIF(defects!$X:$X,Weekly_TVPlant!L$3&amp;Weekly_TVPlant!$B22&amp;Weekly_TVPlant!$B$3&amp;$B$2&amp;$B$1)</f>
        <v>0</v>
      </c>
      <c r="M22" s="2">
        <f>COUNTIF(defects!$X:$X,Weekly_TVPlant!M$3&amp;Weekly_TVPlant!$B22&amp;Weekly_TVPlant!$B$3&amp;$B$2&amp;$B$1)</f>
        <v>0</v>
      </c>
      <c r="N22" s="2">
        <f>COUNTIF(defects!$X:$X,Weekly_TVPlant!N$3&amp;Weekly_TVPlant!$B22&amp;Weekly_TVPlant!$B$3&amp;$B$2&amp;$B$1)</f>
        <v>0</v>
      </c>
      <c r="O22" s="2">
        <f>COUNTIF(defects!$X:$X,Weekly_TVPlant!O$3&amp;Weekly_TVPlant!$B22&amp;Weekly_TVPlant!$B$3&amp;$B$2&amp;$B$1)</f>
        <v>0</v>
      </c>
      <c r="P22" s="2">
        <f>COUNTIF(defects!$X:$X,Weekly_TVPlant!P$3&amp;Weekly_TVPlant!$B22&amp;Weekly_TVPlant!$B$3&amp;$B$2&amp;$B$1)</f>
        <v>0</v>
      </c>
      <c r="Q22" s="2">
        <f>COUNTIF(defects!$X:$X,Weekly_TVPlant!Q$3&amp;Weekly_TVPlant!$B22&amp;Weekly_TVPlant!$B$3&amp;$B$2&amp;$B$1)</f>
        <v>0</v>
      </c>
      <c r="R22" s="2">
        <f>COUNTIF(defects!$X:$X,Weekly_TVPlant!R$3&amp;Weekly_TVPlant!$B22&amp;Weekly_TVPlant!$B$3&amp;$B$2&amp;$B$1)</f>
        <v>0</v>
      </c>
      <c r="S22" s="2">
        <f>COUNTIF(defects!$X:$X,Weekly_TVPlant!S$3&amp;Weekly_TVPlant!$B22&amp;Weekly_TVPlant!$B$3&amp;$B$2&amp;$B$1)</f>
        <v>0</v>
      </c>
      <c r="T22" s="2">
        <f>COUNTIF(defects!$X:$X,Weekly_TVPlant!T$3&amp;Weekly_TVPlant!$B22&amp;Weekly_TVPlant!$B$3&amp;$B$2&amp;$B$1)</f>
        <v>0</v>
      </c>
      <c r="U22" s="2">
        <f>COUNTIF(defects!$X:$X,Weekly_TVPlant!U$3&amp;Weekly_TVPlant!$B22&amp;Weekly_TVPlant!$B$3&amp;$B$2&amp;$B$1)</f>
        <v>0</v>
      </c>
      <c r="V22" s="2">
        <f>COUNTIF(defects!$X:$X,Weekly_TVPlant!V$3&amp;Weekly_TVPlant!$B22&amp;Weekly_TVPlant!$B$3&amp;$B$2&amp;$B$1)</f>
        <v>0</v>
      </c>
      <c r="W22" s="2">
        <f>COUNTIF(defects!$X:$X,Weekly_TVPlant!W$3&amp;Weekly_TVPlant!$B22&amp;Weekly_TVPlant!$B$3&amp;$B$2&amp;$B$1)</f>
        <v>0</v>
      </c>
      <c r="X22" s="2">
        <f>COUNTIF(defects!$X:$X,Weekly_TVPlant!X$3&amp;Weekly_TVPlant!$B22&amp;Weekly_TVPlant!$B$3&amp;$B$2&amp;$B$1)</f>
        <v>0</v>
      </c>
      <c r="Y22" s="2">
        <f>COUNTIF(defects!$X:$X,Weekly_TVPlant!Y$3&amp;Weekly_TVPlant!$B22&amp;Weekly_TVPlant!$B$3&amp;$B$2&amp;$B$1)</f>
        <v>0</v>
      </c>
      <c r="Z22" s="2">
        <f>COUNTIF(defects!$X:$X,Weekly_TVPlant!Z$3&amp;Weekly_TVPlant!$B22&amp;Weekly_TVPlant!$B$3&amp;$B$2&amp;$B$1)</f>
        <v>0</v>
      </c>
      <c r="AA22" s="2">
        <f>COUNTIF(defects!$X:$X,Weekly_TVPlant!AA$3&amp;Weekly_TVPlant!$B22&amp;Weekly_TVPlant!$B$3&amp;$B$2&amp;$B$1)</f>
        <v>0</v>
      </c>
      <c r="AB22" s="2">
        <f>COUNTIF(defects!$X:$X,Weekly_TVPlant!AB$3&amp;Weekly_TVPlant!$B22&amp;Weekly_TVPlant!$B$3&amp;$B$2&amp;$B$1)</f>
        <v>0</v>
      </c>
      <c r="AC22" s="2">
        <f>COUNTIF(defects!$X:$X,Weekly_TVPlant!AC$3&amp;Weekly_TVPlant!$B22&amp;Weekly_TVPlant!$B$3&amp;$B$2&amp;$B$1)</f>
        <v>0</v>
      </c>
      <c r="AD22" s="2">
        <f>COUNTIF(defects!$X:$X,Weekly_TVPlant!AD$3&amp;Weekly_TVPlant!$B22&amp;Weekly_TVPlant!$B$3&amp;$B$2&amp;$B$1)</f>
        <v>0</v>
      </c>
      <c r="AE22" s="2">
        <f>COUNTIF(defects!$X:$X,Weekly_TVPlant!AE$3&amp;Weekly_TVPlant!$B22&amp;Weekly_TVPlant!$B$3&amp;$B$2&amp;$B$1)</f>
        <v>0</v>
      </c>
      <c r="AF22" s="2">
        <f>COUNTIF(defects!$X:$X,Weekly_TVPlant!AF$3&amp;Weekly_TVPlant!$B22&amp;Weekly_TVPlant!$B$3&amp;$B$2&amp;$B$1)</f>
        <v>0</v>
      </c>
      <c r="AG22" s="2">
        <f>COUNTIF(defects!$X:$X,Weekly_TVPlant!AG$3&amp;Weekly_TVPlant!$B22&amp;Weekly_TVPlant!$B$3&amp;$B$2&amp;$B$1)</f>
        <v>0</v>
      </c>
      <c r="AH22" s="2">
        <f>COUNTIF(defects!$X:$X,Weekly_TVPlant!AH$3&amp;Weekly_TVPlant!$B22&amp;Weekly_TVPlant!$B$3&amp;$B$2&amp;$B$1)</f>
        <v>0</v>
      </c>
      <c r="AI22" s="2">
        <f>COUNTIF(defects!$X:$X,Weekly_TVPlant!AI$3&amp;Weekly_TVPlant!$B22&amp;Weekly_TVPlant!$B$3&amp;$B$2&amp;$B$1)</f>
        <v>0</v>
      </c>
      <c r="AJ22" s="2">
        <f>COUNTIF(defects!$X:$X,Weekly_TVPlant!AJ$3&amp;Weekly_TVPlant!$B22&amp;Weekly_TVPlant!$B$3&amp;$B$2&amp;$B$1)</f>
        <v>0</v>
      </c>
      <c r="AK22" s="2">
        <f>COUNTIF(defects!$X:$X,Weekly_TVPlant!AK$3&amp;Weekly_TVPlant!$B22&amp;Weekly_TVPlant!$B$3&amp;$B$2&amp;$B$1)</f>
        <v>0</v>
      </c>
      <c r="AL22" s="2">
        <f>COUNTIF(defects!$X:$X,Weekly_TVPlant!AL$3&amp;Weekly_TVPlant!$B22&amp;Weekly_TVPlant!$B$3&amp;$B$2&amp;$B$1)</f>
        <v>0</v>
      </c>
      <c r="AM22" s="2">
        <f>COUNTIF(defects!$X:$X,Weekly_TVPlant!AM$3&amp;Weekly_TVPlant!$B22&amp;Weekly_TVPlant!$B$3&amp;$B$2&amp;$B$1)</f>
        <v>0</v>
      </c>
      <c r="AN22" s="2">
        <f>COUNTIF(defects!$X:$X,Weekly_TVPlant!AN$3&amp;Weekly_TVPlant!$B22&amp;Weekly_TVPlant!$B$3&amp;$B$2&amp;$B$1)</f>
        <v>0</v>
      </c>
      <c r="AO22" s="2">
        <f>COUNTIF(defects!$X:$X,Weekly_TVPlant!AO$3&amp;Weekly_TVPlant!$B22&amp;Weekly_TVPlant!$B$3&amp;$B$2&amp;$B$1)</f>
        <v>0</v>
      </c>
      <c r="AP22" s="2">
        <f>COUNTIF(defects!$X:$X,Weekly_TVPlant!AP$3&amp;Weekly_TVPlant!$B22&amp;Weekly_TVPlant!$B$3&amp;$B$2&amp;$B$1)</f>
        <v>0</v>
      </c>
      <c r="AQ22" s="2">
        <f>COUNTIF(defects!$X:$X,Weekly_TVPlant!AQ$3&amp;Weekly_TVPlant!$B22&amp;Weekly_TVPlant!$B$3&amp;$B$2&amp;$B$1)</f>
        <v>0</v>
      </c>
      <c r="AR22" s="2">
        <f>COUNTIF(defects!$X:$X,Weekly_TVPlant!AR$3&amp;Weekly_TVPlant!$B22&amp;Weekly_TVPlant!$B$3&amp;$B$2&amp;$B$1)</f>
        <v>0</v>
      </c>
      <c r="AS22" s="2">
        <f>COUNTIF(defects!$X:$X,Weekly_TVPlant!AS$3&amp;Weekly_TVPlant!$B22&amp;Weekly_TVPlant!$B$3&amp;$B$2&amp;$B$1)</f>
        <v>0</v>
      </c>
      <c r="AT22" s="2">
        <f>COUNTIF(defects!$X:$X,Weekly_TVPlant!AT$3&amp;Weekly_TVPlant!$B22&amp;Weekly_TVPlant!$B$3&amp;$B$2&amp;$B$1)</f>
        <v>0</v>
      </c>
      <c r="AU22" s="2">
        <f>COUNTIF(defects!$X:$X,Weekly_TVPlant!AU$3&amp;Weekly_TVPlant!$B22&amp;Weekly_TVPlant!$B$3&amp;$B$2&amp;$B$1)</f>
        <v>0</v>
      </c>
      <c r="AV22" s="2">
        <f>COUNTIF(defects!$X:$X,Weekly_TVPlant!AV$3&amp;Weekly_TVPlant!$B22&amp;Weekly_TVPlant!$B$3&amp;$B$2&amp;$B$1)</f>
        <v>0</v>
      </c>
      <c r="AW22" s="2">
        <f>COUNTIF(defects!$X:$X,Weekly_TVPlant!AW$3&amp;Weekly_TVPlant!$B22&amp;Weekly_TVPlant!$B$3&amp;$B$2&amp;$B$1)</f>
        <v>0</v>
      </c>
      <c r="AX22" s="2">
        <f>COUNTIF(defects!$X:$X,Weekly_TVPlant!AX$3&amp;Weekly_TVPlant!$B22&amp;Weekly_TVPlant!$B$3&amp;$B$2&amp;$B$1)</f>
        <v>0</v>
      </c>
      <c r="AY22" s="2">
        <f>COUNTIF(defects!$X:$X,Weekly_TVPlant!AY$3&amp;Weekly_TVPlant!$B22&amp;Weekly_TVPlant!$B$3&amp;$B$2&amp;$B$1)</f>
        <v>0</v>
      </c>
      <c r="AZ22" s="2">
        <f>COUNTIF(defects!$X:$X,Weekly_TVPlant!AZ$3&amp;Weekly_TVPlant!$B22&amp;Weekly_TVPlant!$B$3&amp;$B$2&amp;$B$1)</f>
        <v>0</v>
      </c>
      <c r="BA22" s="2">
        <f>COUNTIF(defects!$X:$X,Weekly_TVPlant!BA$3&amp;Weekly_TVPlant!$B22&amp;Weekly_TVPlant!$B$3&amp;$B$2&amp;$B$1)</f>
        <v>0</v>
      </c>
      <c r="BB22" s="2">
        <f>COUNTIF(defects!$X:$X,Weekly_TVPlant!BB$3&amp;Weekly_TVPlant!$B22&amp;Weekly_TVPlant!$B$3&amp;$B$2&amp;$B$1)</f>
        <v>0</v>
      </c>
      <c r="BC22" s="2">
        <f>COUNTIF(defects!$X:$X,Weekly_TVPlant!BC$3&amp;Weekly_TVPlant!$B22&amp;Weekly_TVPlant!$B$3&amp;$B$2&amp;$B$1)</f>
        <v>0</v>
      </c>
      <c r="BD22" s="2">
        <f>COUNTIF(defects!$X:$X,Weekly_TVPlant!BD$3&amp;Weekly_TVPlant!$B22&amp;Weekly_TVPlant!$B$3&amp;$B$2&amp;$B$1)</f>
        <v>0</v>
      </c>
      <c r="BE22" s="2">
        <f>COUNTIF(defects!$X:$X,Weekly_TVPlant!BE$3&amp;Weekly_TVPlant!$B22&amp;Weekly_TVPlant!$B$3&amp;$B$2&amp;$B$1)</f>
        <v>0</v>
      </c>
      <c r="BF22" s="2">
        <f>COUNTIF(defects!$X:$X,Weekly_TVPlant!BF$3&amp;Weekly_TVPlant!$B22&amp;Weekly_TVPlant!$B$3&amp;$B$2&amp;$B$1)</f>
        <v>0</v>
      </c>
      <c r="BG22" s="2">
        <f>COUNTIF(defects!$X:$X,Weekly_TVPlant!BG$3&amp;Weekly_TVPlant!$B22&amp;Weekly_TVPlant!$B$3&amp;$B$2&amp;$B$1)</f>
        <v>0</v>
      </c>
      <c r="BH22" s="2">
        <f>COUNTIF(defects!$X:$X,Weekly_TVPlant!BH$3&amp;Weekly_TVPlant!$B22&amp;Weekly_TVPlant!$B$3&amp;$B$2&amp;$B$1)</f>
        <v>0</v>
      </c>
      <c r="BI22" s="2">
        <f>COUNTIF(defects!$X:$X,Weekly_TVPlant!BI$3&amp;Weekly_TVPlant!$B22&amp;Weekly_TVPlant!$B$3&amp;$B$2&amp;$B$1)</f>
        <v>0</v>
      </c>
      <c r="BJ22" s="2">
        <f>COUNTIF(defects!$X:$X,Weekly_TVPlant!BJ$3&amp;Weekly_TVPlant!$B22&amp;Weekly_TVPlant!$B$3&amp;$B$2&amp;$B$1)</f>
        <v>0</v>
      </c>
      <c r="BK22" s="2">
        <f>COUNTIF(defects!$X:$X,Weekly_TVPlant!BK$3&amp;Weekly_TVPlant!$B22&amp;Weekly_TVPlant!$B$3&amp;$B$2&amp;$B$1)</f>
        <v>0</v>
      </c>
      <c r="BL22" s="2">
        <f>COUNTIF(defects!$X:$X,Weekly_TVPlant!BL$3&amp;Weekly_TVPlant!$B22&amp;Weekly_TVPlant!$B$3&amp;$B$2&amp;$B$1)</f>
        <v>0</v>
      </c>
      <c r="BM22" s="2">
        <f>COUNTIF(defects!$X:$X,Weekly_TVPlant!BM$3&amp;Weekly_TVPlant!$B22&amp;Weekly_TVPlant!$B$3&amp;$B$2&amp;$B$1)</f>
        <v>0</v>
      </c>
      <c r="BN22" s="2">
        <f>COUNTIF(defects!$X:$X,Weekly_TVPlant!BN$3&amp;Weekly_TVPlant!$B22&amp;Weekly_TVPlant!$B$3&amp;$B$2&amp;$B$1)</f>
        <v>0</v>
      </c>
      <c r="BO22" s="2">
        <f>COUNTIF(defects!$X:$X,Weekly_TVPlant!BO$3&amp;Weekly_TVPlant!$B22&amp;Weekly_TVPlant!$B$3&amp;$B$2&amp;$B$1)</f>
        <v>1</v>
      </c>
      <c r="BP22" s="2">
        <f>COUNTIF(defects!$X:$X,Weekly_TVPlant!BP$3&amp;Weekly_TVPlant!$B22&amp;Weekly_TVPlant!$B$3&amp;$B$2&amp;$B$1)</f>
        <v>0</v>
      </c>
      <c r="BQ22" s="2">
        <f>COUNTIF(defects!$X:$X,Weekly_TVPlant!BQ$3&amp;Weekly_TVPlant!$B22&amp;Weekly_TVPlant!$B$3&amp;$B$2&amp;$B$1)</f>
        <v>0</v>
      </c>
      <c r="BR22" s="2">
        <f>COUNTIF(defects!$X:$X,Weekly_TVPlant!BR$3&amp;Weekly_TVPlant!$B22&amp;Weekly_TVPlant!$B$3&amp;$B$2&amp;$B$1)</f>
        <v>0</v>
      </c>
      <c r="BS22" s="2">
        <f>COUNTIF(defects!$X:$X,Weekly_TVPlant!BS$3&amp;Weekly_TVPlant!$B22&amp;Weekly_TVPlant!$B$3&amp;$B$2&amp;$B$1)</f>
        <v>0</v>
      </c>
      <c r="BT22" s="2">
        <f>COUNTIF(defects!$X:$X,Weekly_TVPlant!BT$3&amp;Weekly_TVPlant!$B22&amp;Weekly_TVPlant!$B$3&amp;$B$2&amp;$B$1)</f>
        <v>0</v>
      </c>
      <c r="BU22" s="2">
        <f>COUNTIF(defects!$X:$X,Weekly_TVPlant!BU$3&amp;Weekly_TVPlant!$B22&amp;Weekly_TVPlant!$B$3&amp;$B$2&amp;$B$1)</f>
        <v>0</v>
      </c>
      <c r="BV22" s="2">
        <f>COUNTIF(defects!$X:$X,Weekly_TVPlant!BV$3&amp;Weekly_TVPlant!$B22&amp;Weekly_TVPlant!$B$3&amp;$B$2&amp;$B$1)</f>
        <v>0</v>
      </c>
      <c r="BW22" s="2">
        <f>COUNTIF(defects!$X:$X,Weekly_TVPlant!BW$3&amp;Weekly_TVPlant!$B22&amp;Weekly_TVPlant!$B$3&amp;$B$2&amp;$B$1)</f>
        <v>0</v>
      </c>
      <c r="BX22" s="2">
        <f>COUNTIF(defects!$X:$X,Weekly_TVPlant!BX$3&amp;Weekly_TVPlant!$B22&amp;Weekly_TVPlant!$B$3&amp;$B$2&amp;$B$1)</f>
        <v>1</v>
      </c>
      <c r="BY22" s="2">
        <f>COUNTIF(defects!$X:$X,Weekly_TVPlant!BY$3&amp;Weekly_TVPlant!$B22&amp;Weekly_TVPlant!$B$3&amp;$B$2&amp;$B$1)</f>
        <v>0</v>
      </c>
      <c r="BZ22" s="2">
        <f>COUNTIF(defects!$X:$X,Weekly_TVPlant!BZ$3&amp;Weekly_TVPlant!$B22&amp;Weekly_TVPlant!$B$3&amp;$B$2&amp;$B$1)</f>
        <v>0</v>
      </c>
      <c r="CA22" s="2">
        <f>COUNTIF(defects!$X:$X,Weekly_TVPlant!CA$3&amp;Weekly_TVPlant!$B22&amp;Weekly_TVPlant!$B$3&amp;$B$2&amp;$B$1)</f>
        <v>1</v>
      </c>
      <c r="CB22" s="2">
        <f>COUNTIF(defects!$X:$X,Weekly_TVPlant!CB$3&amp;Weekly_TVPlant!$B22&amp;Weekly_TVPlant!$B$3&amp;$B$2&amp;$B$1)</f>
        <v>1</v>
      </c>
      <c r="CC22" s="2">
        <f>COUNTIF(defects!$X:$X,Weekly_TVPlant!CC$3&amp;Weekly_TVPlant!$B22&amp;Weekly_TVPlant!$B$3&amp;$B$2&amp;$B$1)</f>
        <v>1</v>
      </c>
      <c r="CD22" s="2">
        <f>COUNTIF(defects!$X:$X,Weekly_TVPlant!CD$3&amp;Weekly_TVPlant!$B22&amp;Weekly_TVPlant!$B$3&amp;$B$2&amp;$B$1)</f>
        <v>2</v>
      </c>
      <c r="CE22" s="2">
        <f>COUNTIF(defects!$X:$X,Weekly_TVPlant!CE$3&amp;Weekly_TVPlant!$B22&amp;Weekly_TVPlant!$B$3&amp;$B$2&amp;$B$1)</f>
        <v>0</v>
      </c>
      <c r="CF22" s="2">
        <f>COUNTIF(defects!$X:$X,Weekly_TVPlant!CF$3&amp;Weekly_TVPlant!$B22&amp;Weekly_TVPlant!$B$3&amp;$B$2&amp;$B$1)</f>
        <v>2</v>
      </c>
      <c r="CG22" s="2">
        <f>COUNTIF(defects!$X:$X,Weekly_TVPlant!CG$3&amp;Weekly_TVPlant!$B22&amp;Weekly_TVPlant!$B$3&amp;$B$2&amp;$B$1)</f>
        <v>0</v>
      </c>
      <c r="CH22" s="2">
        <f>COUNTIF(defects!$X:$X,Weekly_TVPlant!CH$3&amp;Weekly_TVPlant!$B22&amp;Weekly_TVPlant!$B$3&amp;$B$2&amp;$B$1)</f>
        <v>0</v>
      </c>
      <c r="CI22" s="2">
        <f>COUNTIF(defects!$X:$X,Weekly_TVPlant!CI$3&amp;Weekly_TVPlant!$B22&amp;Weekly_TVPlant!$B$3&amp;$B$2&amp;$B$1)</f>
        <v>2</v>
      </c>
      <c r="CJ22" s="2">
        <f>COUNTIF(defects!$X:$X,Weekly_TVPlant!CJ$3&amp;Weekly_TVPlant!$B22&amp;Weekly_TVPlant!$B$3&amp;$B$2&amp;$B$1)</f>
        <v>2</v>
      </c>
      <c r="CK22" s="2">
        <f>COUNTIF(defects!$X:$X,Weekly_TVPlant!CK$3&amp;Weekly_TVPlant!$B22&amp;Weekly_TVPlant!$B$3&amp;$B$2&amp;$B$1)</f>
        <v>0</v>
      </c>
      <c r="CL22" s="2">
        <f>COUNTIF(defects!$X:$X,Weekly_TVPlant!CL$3&amp;Weekly_TVPlant!$B22&amp;Weekly_TVPlant!$B$3&amp;$B$2&amp;$B$1)</f>
        <v>2</v>
      </c>
      <c r="CM22" s="2">
        <f>COUNTIF(defects!$X:$X,Weekly_TVPlant!CM$3&amp;Weekly_TVPlant!$B22&amp;Weekly_TVPlant!$B$3&amp;$B$2&amp;$B$1)</f>
        <v>1</v>
      </c>
      <c r="CN22" s="2">
        <f>COUNTIF(defects!$X:$X,Weekly_TVPlant!CN$3&amp;Weekly_TVPlant!$B22&amp;Weekly_TVPlant!$B$3&amp;$B$2&amp;$B$1)</f>
        <v>2</v>
      </c>
      <c r="CO22" s="2">
        <f>COUNTIF(defects!$X:$X,Weekly_TVPlant!CO$3&amp;Weekly_TVPlant!$B22&amp;Weekly_TVPlant!$B$3&amp;$B$2&amp;$B$1)</f>
        <v>3</v>
      </c>
      <c r="CP22" s="2">
        <f>COUNTIF(defects!$X:$X,Weekly_TVPlant!CP$3&amp;Weekly_TVPlant!$B22&amp;Weekly_TVPlant!$B$3&amp;$B$2&amp;$B$1)</f>
        <v>3</v>
      </c>
      <c r="CQ22" s="2">
        <f>COUNTIF(defects!$X:$X,Weekly_TVPlant!CQ$3&amp;Weekly_TVPlant!$B22&amp;Weekly_TVPlant!$B$3&amp;$B$2&amp;$B$1)</f>
        <v>0</v>
      </c>
      <c r="CR22" s="2">
        <f>COUNTIF(defects!$X:$X,Weekly_TVPlant!CR$3&amp;Weekly_TVPlant!$B22&amp;Weekly_TVPlant!$B$3&amp;$B$2&amp;$B$1)</f>
        <v>1</v>
      </c>
      <c r="CS22" s="2">
        <f>COUNTIF(defects!$X:$X,Weekly_TVPlant!CS$3&amp;Weekly_TVPlant!$B22&amp;Weekly_TVPlant!$B$3&amp;$B$2&amp;$B$1)</f>
        <v>2</v>
      </c>
      <c r="CT22" s="2">
        <f>COUNTIF(defects!$X:$X,Weekly_TVPlant!CT$3&amp;Weekly_TVPlant!$B22&amp;Weekly_TVPlant!$B$3&amp;$B$2&amp;$B$1)</f>
        <v>4</v>
      </c>
      <c r="CU22" s="2">
        <f>COUNTIF(defects!$X:$X,Weekly_TVPlant!CU$3&amp;Weekly_TVPlant!$B22&amp;Weekly_TVPlant!$B$3&amp;$B$2&amp;$B$1)</f>
        <v>0</v>
      </c>
      <c r="CV22" s="2">
        <f>COUNTIF(defects!$X:$X,Weekly_TVPlant!CV$3&amp;Weekly_TVPlant!$B22&amp;Weekly_TVPlant!$B$3&amp;$B$2&amp;$B$1)</f>
        <v>0</v>
      </c>
      <c r="CW22" s="2">
        <f>COUNTIF(defects!$X:$X,Weekly_TVPlant!CW$3&amp;Weekly_TVPlant!$B22&amp;Weekly_TVPlant!$B$3&amp;$B$2&amp;$B$1)</f>
        <v>0</v>
      </c>
      <c r="CX22" s="2">
        <f>COUNTIF(defects!$X:$X,Weekly_TVPlant!CX$3&amp;Weekly_TVPlant!$B22&amp;Weekly_TVPlant!$B$3&amp;$B$2&amp;$B$1)</f>
        <v>3</v>
      </c>
      <c r="CY22" s="2">
        <f>COUNTIF(defects!$X:$X,Weekly_TVPlant!CY$3&amp;Weekly_TVPlant!$B22&amp;Weekly_TVPlant!$B$3&amp;$B$2&amp;$B$1)</f>
        <v>1</v>
      </c>
      <c r="CZ22" s="2">
        <f>COUNTIF(defects!$X:$X,Weekly_TVPlant!CZ$3&amp;Weekly_TVPlant!$B22&amp;Weekly_TVPlant!$B$3&amp;$B$2&amp;$B$1)</f>
        <v>0</v>
      </c>
      <c r="DA22" s="2">
        <f>COUNTIF(defects!$X:$X,Weekly_TVPlant!DA$3&amp;Weekly_TVPlant!$B22&amp;Weekly_TVPlant!$B$3&amp;$B$2&amp;$B$1)</f>
        <v>0</v>
      </c>
      <c r="DB22" s="2">
        <f>COUNTIF(defects!$X:$X,Weekly_TVPlant!DB$3&amp;Weekly_TVPlant!$B22&amp;Weekly_TVPlant!$B$3&amp;$B$2&amp;$B$1)</f>
        <v>0</v>
      </c>
      <c r="DC22" s="2">
        <f>COUNTIF(defects!$X:$X,Weekly_TVPlant!DC$3&amp;Weekly_TVPlant!$B22&amp;Weekly_TVPlant!$B$3&amp;$B$2&amp;$B$1)</f>
        <v>0</v>
      </c>
      <c r="DD22" s="2">
        <f>COUNTIF(defects!$X:$X,Weekly_TVPlant!DD$3&amp;Weekly_TVPlant!$B22&amp;Weekly_TVPlant!$B$3&amp;$B$2&amp;$B$1)</f>
        <v>0</v>
      </c>
      <c r="DE22" s="2">
        <f>COUNTIF(defects!$X:$X,Weekly_TVPlant!DE$3&amp;Weekly_TVPlant!$B22&amp;Weekly_TVPlant!$B$3&amp;$B$2&amp;$B$1)</f>
        <v>0</v>
      </c>
      <c r="DF22" s="2">
        <f>COUNTIF(defects!$X:$X,Weekly_TVPlant!DF$3&amp;Weekly_TVPlant!$B22&amp;Weekly_TVPlant!$B$3&amp;$B$2&amp;$B$1)</f>
        <v>0</v>
      </c>
      <c r="DG22" s="2">
        <f>COUNTIF(defects!$X:$X,Weekly_TVPlant!DG$3&amp;Weekly_TVPlant!$B22&amp;Weekly_TVPlant!$B$3&amp;$B$2&amp;$B$1)</f>
        <v>0</v>
      </c>
      <c r="DH22" s="2">
        <f>COUNTIF(defects!$X:$X,Weekly_TVPlant!DH$3&amp;Weekly_TVPlant!$B22&amp;Weekly_TVPlant!$B$3&amp;$B$2&amp;$B$1)</f>
        <v>0</v>
      </c>
      <c r="DI22" s="2">
        <f>COUNTIF(defects!$X:$X,Weekly_TVPlant!DI$3&amp;Weekly_TVPlant!$B22&amp;Weekly_TVPlant!$B$3&amp;$B$2&amp;$B$1)</f>
        <v>0</v>
      </c>
      <c r="DJ22" s="2">
        <f>COUNTIF(defects!$X:$X,Weekly_TVPlant!DJ$3&amp;Weekly_TVPlant!$B22&amp;Weekly_TVPlant!$B$3&amp;$B$2&amp;$B$1)</f>
        <v>0</v>
      </c>
      <c r="DK22" s="2">
        <f>COUNTIF(defects!$X:$X,Weekly_TVPlant!DK$3&amp;Weekly_TVPlant!$B22&amp;Weekly_TVPlant!$B$3&amp;$B$2&amp;$B$1)</f>
        <v>0</v>
      </c>
      <c r="DL22" s="2">
        <f>COUNTIF(defects!$X:$X,Weekly_TVPlant!DL$3&amp;Weekly_TVPlant!$B22&amp;Weekly_TVPlant!$B$3&amp;$B$2&amp;$B$1)</f>
        <v>0</v>
      </c>
      <c r="DM22" s="2">
        <f>COUNTIF(defects!$X:$X,Weekly_TVPlant!DM$3&amp;Weekly_TVPlant!$B22&amp;Weekly_TVPlant!$B$3&amp;$B$2&amp;$B$1)</f>
        <v>0</v>
      </c>
      <c r="DN22" s="2">
        <f>COUNTIF(defects!$X:$X,Weekly_TVPlant!DN$3&amp;Weekly_TVPlant!$B22&amp;Weekly_TVPlant!$B$3&amp;$B$2&amp;$B$1)</f>
        <v>0</v>
      </c>
      <c r="DO22" s="2">
        <f>COUNTIF(defects!$X:$X,Weekly_TVPlant!DO$3&amp;Weekly_TVPlant!$B22&amp;Weekly_TVPlant!$B$3&amp;$B$2&amp;$B$1)</f>
        <v>0</v>
      </c>
      <c r="DP22" s="2">
        <f>COUNTIF(defects!$X:$X,Weekly_TVPlant!DP$3&amp;Weekly_TVPlant!$B22&amp;Weekly_TVPlant!$B$3&amp;$B$2&amp;$B$1)</f>
        <v>0</v>
      </c>
      <c r="DQ22" s="2">
        <f>COUNTIF(defects!$X:$X,Weekly_TVPlant!DQ$3&amp;Weekly_TVPlant!$B22&amp;Weekly_TVPlant!$B$3&amp;$B$2&amp;$B$1)</f>
        <v>0</v>
      </c>
      <c r="DR22" s="2">
        <f>COUNTIF(defects!$X:$X,Weekly_TVPlant!DR$3&amp;Weekly_TVPlant!$B22&amp;Weekly_TVPlant!$B$3&amp;$B$2&amp;$B$1)</f>
        <v>0</v>
      </c>
      <c r="DS22" s="2">
        <f>COUNTIF(defects!$X:$X,Weekly_TVPlant!DS$3&amp;Weekly_TVPlant!$B22&amp;Weekly_TVPlant!$B$3&amp;$B$2&amp;$B$1)</f>
        <v>0</v>
      </c>
      <c r="DT22" s="2">
        <f>COUNTIF(defects!$X:$X,Weekly_TVPlant!DT$3&amp;Weekly_TVPlant!$B22&amp;Weekly_TVPlant!$B$3&amp;$B$2&amp;$B$1)</f>
        <v>0</v>
      </c>
      <c r="DU22" s="2">
        <f>COUNTIF(defects!$X:$X,Weekly_TVPlant!DU$3&amp;Weekly_TVPlant!$B22&amp;Weekly_TVPlant!$B$3&amp;$B$2&amp;$B$1)</f>
        <v>0</v>
      </c>
      <c r="DV22" s="2">
        <f>COUNTIF(defects!$X:$X,Weekly_TVPlant!DV$3&amp;Weekly_TVPlant!$B22&amp;Weekly_TVPlant!$B$3&amp;$B$2&amp;$B$1)</f>
        <v>0</v>
      </c>
      <c r="DW22" s="2">
        <f>COUNTIF(defects!$X:$X,Weekly_TVPlant!DW$3&amp;Weekly_TVPlant!$B22&amp;Weekly_TVPlant!$B$3&amp;$B$2&amp;$B$1)</f>
        <v>0</v>
      </c>
      <c r="DX22" s="2">
        <f>COUNTIF(defects!$X:$X,Weekly_TVPlant!DX$3&amp;Weekly_TVPlant!$B22&amp;Weekly_TVPlant!$B$3&amp;$B$2&amp;$B$1)</f>
        <v>0</v>
      </c>
      <c r="DY22" s="2">
        <f>COUNTIF(defects!$X:$X,Weekly_TVPlant!DY$3&amp;Weekly_TVPlant!$B22&amp;Weekly_TVPlant!$B$3&amp;$B$2&amp;$B$1)</f>
        <v>0</v>
      </c>
      <c r="DZ22" s="2">
        <f>COUNTIF(defects!$X:$X,Weekly_TVPlant!DZ$3&amp;Weekly_TVPlant!$B22&amp;Weekly_TVPlant!$B$3&amp;$B$2&amp;$B$1)</f>
        <v>0</v>
      </c>
      <c r="EA22" s="2">
        <f>COUNTIF(defects!$X:$X,Weekly_TVPlant!EA$3&amp;Weekly_TVPlant!$B22&amp;Weekly_TVPlant!$B$3&amp;$B$2&amp;$B$1)</f>
        <v>0</v>
      </c>
      <c r="EB22" s="2">
        <f>COUNTIF(defects!$X:$X,Weekly_TVPlant!EB$3&amp;Weekly_TVPlant!$B22&amp;Weekly_TVPlant!$B$3&amp;$B$2&amp;$B$1)</f>
        <v>0</v>
      </c>
      <c r="EC22" s="2">
        <f>COUNTIF(defects!$X:$X,Weekly_TVPlant!EC$3&amp;Weekly_TVPlant!$B22&amp;Weekly_TVPlant!$B$3&amp;$B$2&amp;$B$1)</f>
        <v>0</v>
      </c>
      <c r="ED22" s="2">
        <f>COUNTIF(defects!$X:$X,Weekly_TVPlant!ED$3&amp;Weekly_TVPlant!$B22&amp;Weekly_TVPlant!$B$3&amp;$B$2&amp;$B$1)</f>
        <v>0</v>
      </c>
      <c r="EE22" s="2">
        <f>COUNTIF(defects!$X:$X,Weekly_TVPlant!EE$3&amp;Weekly_TVPlant!$B22&amp;Weekly_TVPlant!$B$3&amp;$B$2&amp;$B$1)</f>
        <v>0</v>
      </c>
      <c r="EF22" s="2">
        <f>COUNTIF(defects!$X:$X,Weekly_TVPlant!EF$3&amp;Weekly_TVPlant!$B22&amp;Weekly_TVPlant!$B$3&amp;$B$2&amp;$B$1)</f>
        <v>0</v>
      </c>
      <c r="EG22" s="2">
        <f>COUNTIF(defects!$X:$X,Weekly_TVPlant!EG$3&amp;Weekly_TVPlant!$B22&amp;Weekly_TVPlant!$B$3&amp;$B$2&amp;$B$1)</f>
        <v>0</v>
      </c>
      <c r="EH22" s="2">
        <f>COUNTIF(defects!$X:$X,Weekly_TVPlant!EH$3&amp;Weekly_TVPlant!$B22&amp;Weekly_TVPlant!$B$3&amp;$B$2&amp;$B$1)</f>
        <v>0</v>
      </c>
      <c r="EI22" s="2">
        <f>COUNTIF(defects!$X:$X,Weekly_TVPlant!EI$3&amp;Weekly_TVPlant!$B22&amp;Weekly_TVPlant!$B$3&amp;$B$2&amp;$B$1)</f>
        <v>0</v>
      </c>
      <c r="EJ22" s="2">
        <f>COUNTIF(defects!$X:$X,Weekly_TVPlant!EJ$3&amp;Weekly_TVPlant!$B22&amp;Weekly_TVPlant!$B$3&amp;$B$2&amp;$B$1)</f>
        <v>0</v>
      </c>
      <c r="EK22" s="2">
        <f>COUNTIF(defects!$X:$X,Weekly_TVPlant!EK$3&amp;Weekly_TVPlant!$B22&amp;Weekly_TVPlant!$B$3&amp;$B$2&amp;$B$1)</f>
        <v>0</v>
      </c>
      <c r="EL22" s="2">
        <f>COUNTIF(defects!$X:$X,Weekly_TVPlant!EL$3&amp;Weekly_TVPlant!$B22&amp;Weekly_TVPlant!$B$3&amp;$B$2&amp;$B$1)</f>
        <v>0</v>
      </c>
      <c r="EM22" s="2">
        <f>COUNTIF(defects!$X:$X,Weekly_TVPlant!EM$3&amp;Weekly_TVPlant!$B22&amp;Weekly_TVPlant!$B$3&amp;$B$2&amp;$B$1)</f>
        <v>0</v>
      </c>
      <c r="EN22" s="2">
        <f>COUNTIF(defects!$X:$X,Weekly_TVPlant!EN$3&amp;Weekly_TVPlant!$B22&amp;Weekly_TVPlant!$B$3&amp;$B$2&amp;$B$1)</f>
        <v>0</v>
      </c>
      <c r="EO22" s="2">
        <f>COUNTIF(defects!$X:$X,Weekly_TVPlant!EO$3&amp;Weekly_TVPlant!$B22&amp;Weekly_TVPlant!$B$3&amp;$B$2&amp;$B$1)</f>
        <v>0</v>
      </c>
      <c r="EP22" s="2">
        <f>COUNTIF(defects!$X:$X,Weekly_TVPlant!EP$3&amp;Weekly_TVPlant!$B22&amp;Weekly_TVPlant!$B$3&amp;$B$2&amp;$B$1)</f>
        <v>0</v>
      </c>
      <c r="EQ22" s="2">
        <f>COUNTIF(defects!$X:$X,Weekly_TVPlant!EQ$3&amp;Weekly_TVPlant!$B22&amp;Weekly_TVPlant!$B$3&amp;$B$2&amp;$B$1)</f>
        <v>0</v>
      </c>
      <c r="ER22" s="2">
        <f>COUNTIF(defects!$X:$X,Weekly_TVPlant!ER$3&amp;Weekly_TVPlant!$B22&amp;Weekly_TVPlant!$B$3&amp;$B$2&amp;$B$1)</f>
        <v>0</v>
      </c>
      <c r="ES22" s="2">
        <f>COUNTIF(defects!$X:$X,Weekly_TVPlant!ES$3&amp;Weekly_TVPlant!$B22&amp;Weekly_TVPlant!$B$3&amp;$B$2&amp;$B$1)</f>
        <v>0</v>
      </c>
      <c r="ET22" s="2">
        <f>COUNTIF(defects!$X:$X,Weekly_TVPlant!ET$3&amp;Weekly_TVPlant!$B22&amp;Weekly_TVPlant!$B$3&amp;$B$2&amp;$B$1)</f>
        <v>0</v>
      </c>
      <c r="EU22" s="2">
        <f>COUNTIF(defects!$X:$X,Weekly_TVPlant!EU$3&amp;Weekly_TVPlant!$B22&amp;Weekly_TVPlant!$B$3&amp;$B$2&amp;$B$1)</f>
        <v>0</v>
      </c>
      <c r="EV22" s="2">
        <f>COUNTIF(defects!$X:$X,Weekly_TVPlant!EV$3&amp;Weekly_TVPlant!$B22&amp;Weekly_TVPlant!$B$3&amp;$B$2&amp;$B$1)</f>
        <v>0</v>
      </c>
      <c r="EW22" s="2">
        <f>COUNTIF(defects!$X:$X,Weekly_TVPlant!EW$3&amp;Weekly_TVPlant!$B22&amp;Weekly_TVPlant!$B$3&amp;$B$2&amp;$B$1)</f>
        <v>0</v>
      </c>
      <c r="EX22" s="2">
        <f>COUNTIF(defects!$X:$X,Weekly_TVPlant!EX$3&amp;Weekly_TVPlant!$B22&amp;Weekly_TVPlant!$B$3&amp;$B$2&amp;$B$1)</f>
        <v>0</v>
      </c>
      <c r="EY22" s="2">
        <f>COUNTIF(defects!$X:$X,Weekly_TVPlant!EY$3&amp;Weekly_TVPlant!$B22&amp;Weekly_TVPlant!$B$3&amp;$B$2&amp;$B$1)</f>
        <v>0</v>
      </c>
      <c r="EZ22" s="2">
        <f>COUNTIF(defects!$X:$X,Weekly_TVPlant!EZ$3&amp;Weekly_TVPlant!$B22&amp;Weekly_TVPlant!$B$3&amp;$B$2&amp;$B$1)</f>
        <v>0</v>
      </c>
      <c r="FA22" s="2">
        <f>COUNTIF(defects!$X:$X,Weekly_TVPlant!FA$3&amp;Weekly_TVPlant!$B22&amp;Weekly_TVPlant!$B$3&amp;$B$2&amp;$B$1)</f>
        <v>0</v>
      </c>
      <c r="FB22" s="2">
        <f>COUNTIF(defects!$X:$X,Weekly_TVPlant!FB$3&amp;Weekly_TVPlant!$B22&amp;Weekly_TVPlant!$B$3&amp;$B$2&amp;$B$1)</f>
        <v>0</v>
      </c>
      <c r="FC22" s="2">
        <f>COUNTIF(defects!$X:$X,Weekly_TVPlant!FC$3&amp;Weekly_TVPlant!$B22&amp;Weekly_TVPlant!$B$3&amp;$B$2&amp;$B$1)</f>
        <v>0</v>
      </c>
      <c r="FD22" s="2">
        <f>COUNTIF(defects!$X:$X,Weekly_TVPlant!FD$3&amp;Weekly_TVPlant!$B22&amp;Weekly_TVPlant!$B$3&amp;$B$2&amp;$B$1)</f>
        <v>0</v>
      </c>
      <c r="FE22" s="2">
        <f>COUNTIF(defects!$X:$X,Weekly_TVPlant!FE$3&amp;Weekly_TVPlant!$B22&amp;Weekly_TVPlant!$B$3&amp;$B$2&amp;$B$1)</f>
        <v>0</v>
      </c>
    </row>
    <row r="23" spans="2:161">
      <c r="B23" s="3" t="s">
        <v>951</v>
      </c>
      <c r="C23" s="2">
        <f>COUNTIF(defects!$X:$X,Weekly_TVPlant!C$3&amp;Weekly_TVPlant!$B23&amp;Weekly_TVPlant!$B$3&amp;$B$2&amp;$B$1)</f>
        <v>0</v>
      </c>
      <c r="D23" s="2">
        <f>COUNTIF(defects!$X:$X,Weekly_TVPlant!D$3&amp;Weekly_TVPlant!$B23&amp;Weekly_TVPlant!$B$3&amp;$B$2&amp;$B$1)</f>
        <v>0</v>
      </c>
      <c r="E23" s="2">
        <f>COUNTIF(defects!$X:$X,Weekly_TVPlant!E$3&amp;Weekly_TVPlant!$B23&amp;Weekly_TVPlant!$B$3&amp;$B$2&amp;$B$1)</f>
        <v>0</v>
      </c>
      <c r="F23" s="2">
        <f>COUNTIF(defects!$X:$X,Weekly_TVPlant!F$3&amp;Weekly_TVPlant!$B23&amp;Weekly_TVPlant!$B$3&amp;$B$2&amp;$B$1)</f>
        <v>0</v>
      </c>
      <c r="G23" s="2">
        <f>COUNTIF(defects!$X:$X,Weekly_TVPlant!G$3&amp;Weekly_TVPlant!$B23&amp;Weekly_TVPlant!$B$3&amp;$B$2&amp;$B$1)</f>
        <v>0</v>
      </c>
      <c r="H23" s="2">
        <f>COUNTIF(defects!$X:$X,Weekly_TVPlant!H$3&amp;Weekly_TVPlant!$B23&amp;Weekly_TVPlant!$B$3&amp;$B$2&amp;$B$1)</f>
        <v>0</v>
      </c>
      <c r="I23" s="2">
        <f>COUNTIF(defects!$X:$X,Weekly_TVPlant!I$3&amp;Weekly_TVPlant!$B23&amp;Weekly_TVPlant!$B$3&amp;$B$2&amp;$B$1)</f>
        <v>0</v>
      </c>
      <c r="J23" s="2">
        <f>COUNTIF(defects!$X:$X,Weekly_TVPlant!J$3&amp;Weekly_TVPlant!$B23&amp;Weekly_TVPlant!$B$3&amp;$B$2&amp;$B$1)</f>
        <v>0</v>
      </c>
      <c r="K23" s="2">
        <f>COUNTIF(defects!$X:$X,Weekly_TVPlant!K$3&amp;Weekly_TVPlant!$B23&amp;Weekly_TVPlant!$B$3&amp;$B$2&amp;$B$1)</f>
        <v>0</v>
      </c>
      <c r="L23" s="2">
        <f>COUNTIF(defects!$X:$X,Weekly_TVPlant!L$3&amp;Weekly_TVPlant!$B23&amp;Weekly_TVPlant!$B$3&amp;$B$2&amp;$B$1)</f>
        <v>0</v>
      </c>
      <c r="M23" s="2">
        <f>COUNTIF(defects!$X:$X,Weekly_TVPlant!M$3&amp;Weekly_TVPlant!$B23&amp;Weekly_TVPlant!$B$3&amp;$B$2&amp;$B$1)</f>
        <v>0</v>
      </c>
      <c r="N23" s="2">
        <f>COUNTIF(defects!$X:$X,Weekly_TVPlant!N$3&amp;Weekly_TVPlant!$B23&amp;Weekly_TVPlant!$B$3&amp;$B$2&amp;$B$1)</f>
        <v>0</v>
      </c>
      <c r="O23" s="2">
        <f>COUNTIF(defects!$X:$X,Weekly_TVPlant!O$3&amp;Weekly_TVPlant!$B23&amp;Weekly_TVPlant!$B$3&amp;$B$2&amp;$B$1)</f>
        <v>0</v>
      </c>
      <c r="P23" s="2">
        <f>COUNTIF(defects!$X:$X,Weekly_TVPlant!P$3&amp;Weekly_TVPlant!$B23&amp;Weekly_TVPlant!$B$3&amp;$B$2&amp;$B$1)</f>
        <v>0</v>
      </c>
      <c r="Q23" s="2">
        <f>COUNTIF(defects!$X:$X,Weekly_TVPlant!Q$3&amp;Weekly_TVPlant!$B23&amp;Weekly_TVPlant!$B$3&amp;$B$2&amp;$B$1)</f>
        <v>0</v>
      </c>
      <c r="R23" s="2">
        <f>COUNTIF(defects!$X:$X,Weekly_TVPlant!R$3&amp;Weekly_TVPlant!$B23&amp;Weekly_TVPlant!$B$3&amp;$B$2&amp;$B$1)</f>
        <v>0</v>
      </c>
      <c r="S23" s="2">
        <f>COUNTIF(defects!$X:$X,Weekly_TVPlant!S$3&amp;Weekly_TVPlant!$B23&amp;Weekly_TVPlant!$B$3&amp;$B$2&amp;$B$1)</f>
        <v>0</v>
      </c>
      <c r="T23" s="2">
        <f>COUNTIF(defects!$X:$X,Weekly_TVPlant!T$3&amp;Weekly_TVPlant!$B23&amp;Weekly_TVPlant!$B$3&amp;$B$2&amp;$B$1)</f>
        <v>0</v>
      </c>
      <c r="U23" s="2">
        <f>COUNTIF(defects!$X:$X,Weekly_TVPlant!U$3&amp;Weekly_TVPlant!$B23&amp;Weekly_TVPlant!$B$3&amp;$B$2&amp;$B$1)</f>
        <v>0</v>
      </c>
      <c r="V23" s="2">
        <f>COUNTIF(defects!$X:$X,Weekly_TVPlant!V$3&amp;Weekly_TVPlant!$B23&amp;Weekly_TVPlant!$B$3&amp;$B$2&amp;$B$1)</f>
        <v>0</v>
      </c>
      <c r="W23" s="2">
        <f>COUNTIF(defects!$X:$X,Weekly_TVPlant!W$3&amp;Weekly_TVPlant!$B23&amp;Weekly_TVPlant!$B$3&amp;$B$2&amp;$B$1)</f>
        <v>0</v>
      </c>
      <c r="X23" s="2">
        <f>COUNTIF(defects!$X:$X,Weekly_TVPlant!X$3&amp;Weekly_TVPlant!$B23&amp;Weekly_TVPlant!$B$3&amp;$B$2&amp;$B$1)</f>
        <v>0</v>
      </c>
      <c r="Y23" s="2">
        <f>COUNTIF(defects!$X:$X,Weekly_TVPlant!Y$3&amp;Weekly_TVPlant!$B23&amp;Weekly_TVPlant!$B$3&amp;$B$2&amp;$B$1)</f>
        <v>0</v>
      </c>
      <c r="Z23" s="2">
        <f>COUNTIF(defects!$X:$X,Weekly_TVPlant!Z$3&amp;Weekly_TVPlant!$B23&amp;Weekly_TVPlant!$B$3&amp;$B$2&amp;$B$1)</f>
        <v>0</v>
      </c>
      <c r="AA23" s="2">
        <f>COUNTIF(defects!$X:$X,Weekly_TVPlant!AA$3&amp;Weekly_TVPlant!$B23&amp;Weekly_TVPlant!$B$3&amp;$B$2&amp;$B$1)</f>
        <v>0</v>
      </c>
      <c r="AB23" s="2">
        <f>COUNTIF(defects!$X:$X,Weekly_TVPlant!AB$3&amp;Weekly_TVPlant!$B23&amp;Weekly_TVPlant!$B$3&amp;$B$2&amp;$B$1)</f>
        <v>0</v>
      </c>
      <c r="AC23" s="2">
        <f>COUNTIF(defects!$X:$X,Weekly_TVPlant!AC$3&amp;Weekly_TVPlant!$B23&amp;Weekly_TVPlant!$B$3&amp;$B$2&amp;$B$1)</f>
        <v>0</v>
      </c>
      <c r="AD23" s="2">
        <f>COUNTIF(defects!$X:$X,Weekly_TVPlant!AD$3&amp;Weekly_TVPlant!$B23&amp;Weekly_TVPlant!$B$3&amp;$B$2&amp;$B$1)</f>
        <v>0</v>
      </c>
      <c r="AE23" s="2">
        <f>COUNTIF(defects!$X:$X,Weekly_TVPlant!AE$3&amp;Weekly_TVPlant!$B23&amp;Weekly_TVPlant!$B$3&amp;$B$2&amp;$B$1)</f>
        <v>0</v>
      </c>
      <c r="AF23" s="2">
        <f>COUNTIF(defects!$X:$X,Weekly_TVPlant!AF$3&amp;Weekly_TVPlant!$B23&amp;Weekly_TVPlant!$B$3&amp;$B$2&amp;$B$1)</f>
        <v>0</v>
      </c>
      <c r="AG23" s="2">
        <f>COUNTIF(defects!$X:$X,Weekly_TVPlant!AG$3&amp;Weekly_TVPlant!$B23&amp;Weekly_TVPlant!$B$3&amp;$B$2&amp;$B$1)</f>
        <v>0</v>
      </c>
      <c r="AH23" s="2">
        <f>COUNTIF(defects!$X:$X,Weekly_TVPlant!AH$3&amp;Weekly_TVPlant!$B23&amp;Weekly_TVPlant!$B$3&amp;$B$2&amp;$B$1)</f>
        <v>0</v>
      </c>
      <c r="AI23" s="2">
        <f>COUNTIF(defects!$X:$X,Weekly_TVPlant!AI$3&amp;Weekly_TVPlant!$B23&amp;Weekly_TVPlant!$B$3&amp;$B$2&amp;$B$1)</f>
        <v>0</v>
      </c>
      <c r="AJ23" s="2">
        <f>COUNTIF(defects!$X:$X,Weekly_TVPlant!AJ$3&amp;Weekly_TVPlant!$B23&amp;Weekly_TVPlant!$B$3&amp;$B$2&amp;$B$1)</f>
        <v>0</v>
      </c>
      <c r="AK23" s="2">
        <f>COUNTIF(defects!$X:$X,Weekly_TVPlant!AK$3&amp;Weekly_TVPlant!$B23&amp;Weekly_TVPlant!$B$3&amp;$B$2&amp;$B$1)</f>
        <v>0</v>
      </c>
      <c r="AL23" s="2">
        <f>COUNTIF(defects!$X:$X,Weekly_TVPlant!AL$3&amp;Weekly_TVPlant!$B23&amp;Weekly_TVPlant!$B$3&amp;$B$2&amp;$B$1)</f>
        <v>0</v>
      </c>
      <c r="AM23" s="2">
        <f>COUNTIF(defects!$X:$X,Weekly_TVPlant!AM$3&amp;Weekly_TVPlant!$B23&amp;Weekly_TVPlant!$B$3&amp;$B$2&amp;$B$1)</f>
        <v>0</v>
      </c>
      <c r="AN23" s="2">
        <f>COUNTIF(defects!$X:$X,Weekly_TVPlant!AN$3&amp;Weekly_TVPlant!$B23&amp;Weekly_TVPlant!$B$3&amp;$B$2&amp;$B$1)</f>
        <v>0</v>
      </c>
      <c r="AO23" s="2">
        <f>COUNTIF(defects!$X:$X,Weekly_TVPlant!AO$3&amp;Weekly_TVPlant!$B23&amp;Weekly_TVPlant!$B$3&amp;$B$2&amp;$B$1)</f>
        <v>0</v>
      </c>
      <c r="AP23" s="2">
        <f>COUNTIF(defects!$X:$X,Weekly_TVPlant!AP$3&amp;Weekly_TVPlant!$B23&amp;Weekly_TVPlant!$B$3&amp;$B$2&amp;$B$1)</f>
        <v>0</v>
      </c>
      <c r="AQ23" s="2">
        <f>COUNTIF(defects!$X:$X,Weekly_TVPlant!AQ$3&amp;Weekly_TVPlant!$B23&amp;Weekly_TVPlant!$B$3&amp;$B$2&amp;$B$1)</f>
        <v>0</v>
      </c>
      <c r="AR23" s="2">
        <f>COUNTIF(defects!$X:$X,Weekly_TVPlant!AR$3&amp;Weekly_TVPlant!$B23&amp;Weekly_TVPlant!$B$3&amp;$B$2&amp;$B$1)</f>
        <v>0</v>
      </c>
      <c r="AS23" s="2">
        <f>COUNTIF(defects!$X:$X,Weekly_TVPlant!AS$3&amp;Weekly_TVPlant!$B23&amp;Weekly_TVPlant!$B$3&amp;$B$2&amp;$B$1)</f>
        <v>0</v>
      </c>
      <c r="AT23" s="2">
        <f>COUNTIF(defects!$X:$X,Weekly_TVPlant!AT$3&amp;Weekly_TVPlant!$B23&amp;Weekly_TVPlant!$B$3&amp;$B$2&amp;$B$1)</f>
        <v>0</v>
      </c>
      <c r="AU23" s="2">
        <f>COUNTIF(defects!$X:$X,Weekly_TVPlant!AU$3&amp;Weekly_TVPlant!$B23&amp;Weekly_TVPlant!$B$3&amp;$B$2&amp;$B$1)</f>
        <v>0</v>
      </c>
      <c r="AV23" s="2">
        <f>COUNTIF(defects!$X:$X,Weekly_TVPlant!AV$3&amp;Weekly_TVPlant!$B23&amp;Weekly_TVPlant!$B$3&amp;$B$2&amp;$B$1)</f>
        <v>0</v>
      </c>
      <c r="AW23" s="2">
        <f>COUNTIF(defects!$X:$X,Weekly_TVPlant!AW$3&amp;Weekly_TVPlant!$B23&amp;Weekly_TVPlant!$B$3&amp;$B$2&amp;$B$1)</f>
        <v>0</v>
      </c>
      <c r="AX23" s="2">
        <f>COUNTIF(defects!$X:$X,Weekly_TVPlant!AX$3&amp;Weekly_TVPlant!$B23&amp;Weekly_TVPlant!$B$3&amp;$B$2&amp;$B$1)</f>
        <v>0</v>
      </c>
      <c r="AY23" s="2">
        <f>COUNTIF(defects!$X:$X,Weekly_TVPlant!AY$3&amp;Weekly_TVPlant!$B23&amp;Weekly_TVPlant!$B$3&amp;$B$2&amp;$B$1)</f>
        <v>0</v>
      </c>
      <c r="AZ23" s="2">
        <f>COUNTIF(defects!$X:$X,Weekly_TVPlant!AZ$3&amp;Weekly_TVPlant!$B23&amp;Weekly_TVPlant!$B$3&amp;$B$2&amp;$B$1)</f>
        <v>0</v>
      </c>
      <c r="BA23" s="2">
        <f>COUNTIF(defects!$X:$X,Weekly_TVPlant!BA$3&amp;Weekly_TVPlant!$B23&amp;Weekly_TVPlant!$B$3&amp;$B$2&amp;$B$1)</f>
        <v>0</v>
      </c>
      <c r="BB23" s="2">
        <f>COUNTIF(defects!$X:$X,Weekly_TVPlant!BB$3&amp;Weekly_TVPlant!$B23&amp;Weekly_TVPlant!$B$3&amp;$B$2&amp;$B$1)</f>
        <v>0</v>
      </c>
      <c r="BC23" s="2">
        <f>COUNTIF(defects!$X:$X,Weekly_TVPlant!BC$3&amp;Weekly_TVPlant!$B23&amp;Weekly_TVPlant!$B$3&amp;$B$2&amp;$B$1)</f>
        <v>0</v>
      </c>
      <c r="BD23" s="2">
        <f>COUNTIF(defects!$X:$X,Weekly_TVPlant!BD$3&amp;Weekly_TVPlant!$B23&amp;Weekly_TVPlant!$B$3&amp;$B$2&amp;$B$1)</f>
        <v>0</v>
      </c>
      <c r="BE23" s="2">
        <f>COUNTIF(defects!$X:$X,Weekly_TVPlant!BE$3&amp;Weekly_TVPlant!$B23&amp;Weekly_TVPlant!$B$3&amp;$B$2&amp;$B$1)</f>
        <v>0</v>
      </c>
      <c r="BF23" s="2">
        <f>COUNTIF(defects!$X:$X,Weekly_TVPlant!BF$3&amp;Weekly_TVPlant!$B23&amp;Weekly_TVPlant!$B$3&amp;$B$2&amp;$B$1)</f>
        <v>0</v>
      </c>
      <c r="BG23" s="2">
        <f>COUNTIF(defects!$X:$X,Weekly_TVPlant!BG$3&amp;Weekly_TVPlant!$B23&amp;Weekly_TVPlant!$B$3&amp;$B$2&amp;$B$1)</f>
        <v>0</v>
      </c>
      <c r="BH23" s="2">
        <f>COUNTIF(defects!$X:$X,Weekly_TVPlant!BH$3&amp;Weekly_TVPlant!$B23&amp;Weekly_TVPlant!$B$3&amp;$B$2&amp;$B$1)</f>
        <v>0</v>
      </c>
      <c r="BI23" s="2">
        <f>COUNTIF(defects!$X:$X,Weekly_TVPlant!BI$3&amp;Weekly_TVPlant!$B23&amp;Weekly_TVPlant!$B$3&amp;$B$2&amp;$B$1)</f>
        <v>0</v>
      </c>
      <c r="BJ23" s="2">
        <f>COUNTIF(defects!$X:$X,Weekly_TVPlant!BJ$3&amp;Weekly_TVPlant!$B23&amp;Weekly_TVPlant!$B$3&amp;$B$2&amp;$B$1)</f>
        <v>0</v>
      </c>
      <c r="BK23" s="2">
        <f>COUNTIF(defects!$X:$X,Weekly_TVPlant!BK$3&amp;Weekly_TVPlant!$B23&amp;Weekly_TVPlant!$B$3&amp;$B$2&amp;$B$1)</f>
        <v>0</v>
      </c>
      <c r="BL23" s="2">
        <f>COUNTIF(defects!$X:$X,Weekly_TVPlant!BL$3&amp;Weekly_TVPlant!$B23&amp;Weekly_TVPlant!$B$3&amp;$B$2&amp;$B$1)</f>
        <v>0</v>
      </c>
      <c r="BM23" s="2">
        <f>COUNTIF(defects!$X:$X,Weekly_TVPlant!BM$3&amp;Weekly_TVPlant!$B23&amp;Weekly_TVPlant!$B$3&amp;$B$2&amp;$B$1)</f>
        <v>0</v>
      </c>
      <c r="BN23" s="2">
        <f>COUNTIF(defects!$X:$X,Weekly_TVPlant!BN$3&amp;Weekly_TVPlant!$B23&amp;Weekly_TVPlant!$B$3&amp;$B$2&amp;$B$1)</f>
        <v>0</v>
      </c>
      <c r="BO23" s="2">
        <f>COUNTIF(defects!$X:$X,Weekly_TVPlant!BO$3&amp;Weekly_TVPlant!$B23&amp;Weekly_TVPlant!$B$3&amp;$B$2&amp;$B$1)</f>
        <v>0</v>
      </c>
      <c r="BP23" s="2">
        <f>COUNTIF(defects!$X:$X,Weekly_TVPlant!BP$3&amp;Weekly_TVPlant!$B23&amp;Weekly_TVPlant!$B$3&amp;$B$2&amp;$B$1)</f>
        <v>0</v>
      </c>
      <c r="BQ23" s="2">
        <f>COUNTIF(defects!$X:$X,Weekly_TVPlant!BQ$3&amp;Weekly_TVPlant!$B23&amp;Weekly_TVPlant!$B$3&amp;$B$2&amp;$B$1)</f>
        <v>0</v>
      </c>
      <c r="BR23" s="2">
        <f>COUNTIF(defects!$X:$X,Weekly_TVPlant!BR$3&amp;Weekly_TVPlant!$B23&amp;Weekly_TVPlant!$B$3&amp;$B$2&amp;$B$1)</f>
        <v>0</v>
      </c>
      <c r="BS23" s="2">
        <f>COUNTIF(defects!$X:$X,Weekly_TVPlant!BS$3&amp;Weekly_TVPlant!$B23&amp;Weekly_TVPlant!$B$3&amp;$B$2&amp;$B$1)</f>
        <v>0</v>
      </c>
      <c r="BT23" s="2">
        <f>COUNTIF(defects!$X:$X,Weekly_TVPlant!BT$3&amp;Weekly_TVPlant!$B23&amp;Weekly_TVPlant!$B$3&amp;$B$2&amp;$B$1)</f>
        <v>0</v>
      </c>
      <c r="BU23" s="2">
        <f>COUNTIF(defects!$X:$X,Weekly_TVPlant!BU$3&amp;Weekly_TVPlant!$B23&amp;Weekly_TVPlant!$B$3&amp;$B$2&amp;$B$1)</f>
        <v>0</v>
      </c>
      <c r="BV23" s="2">
        <f>COUNTIF(defects!$X:$X,Weekly_TVPlant!BV$3&amp;Weekly_TVPlant!$B23&amp;Weekly_TVPlant!$B$3&amp;$B$2&amp;$B$1)</f>
        <v>0</v>
      </c>
      <c r="BW23" s="2">
        <f>COUNTIF(defects!$X:$X,Weekly_TVPlant!BW$3&amp;Weekly_TVPlant!$B23&amp;Weekly_TVPlant!$B$3&amp;$B$2&amp;$B$1)</f>
        <v>0</v>
      </c>
      <c r="BX23" s="2">
        <f>COUNTIF(defects!$X:$X,Weekly_TVPlant!BX$3&amp;Weekly_TVPlant!$B23&amp;Weekly_TVPlant!$B$3&amp;$B$2&amp;$B$1)</f>
        <v>0</v>
      </c>
      <c r="BY23" s="2">
        <f>COUNTIF(defects!$X:$X,Weekly_TVPlant!BY$3&amp;Weekly_TVPlant!$B23&amp;Weekly_TVPlant!$B$3&amp;$B$2&amp;$B$1)</f>
        <v>0</v>
      </c>
      <c r="BZ23" s="2">
        <f>COUNTIF(defects!$X:$X,Weekly_TVPlant!BZ$3&amp;Weekly_TVPlant!$B23&amp;Weekly_TVPlant!$B$3&amp;$B$2&amp;$B$1)</f>
        <v>0</v>
      </c>
      <c r="CA23" s="2">
        <f>COUNTIF(defects!$X:$X,Weekly_TVPlant!CA$3&amp;Weekly_TVPlant!$B23&amp;Weekly_TVPlant!$B$3&amp;$B$2&amp;$B$1)</f>
        <v>0</v>
      </c>
      <c r="CB23" s="2">
        <f>COUNTIF(defects!$X:$X,Weekly_TVPlant!CB$3&amp;Weekly_TVPlant!$B23&amp;Weekly_TVPlant!$B$3&amp;$B$2&amp;$B$1)</f>
        <v>0</v>
      </c>
      <c r="CC23" s="2">
        <f>COUNTIF(defects!$X:$X,Weekly_TVPlant!CC$3&amp;Weekly_TVPlant!$B23&amp;Weekly_TVPlant!$B$3&amp;$B$2&amp;$B$1)</f>
        <v>0</v>
      </c>
      <c r="CD23" s="2">
        <f>COUNTIF(defects!$X:$X,Weekly_TVPlant!CD$3&amp;Weekly_TVPlant!$B23&amp;Weekly_TVPlant!$B$3&amp;$B$2&amp;$B$1)</f>
        <v>0</v>
      </c>
      <c r="CE23" s="2">
        <f>COUNTIF(defects!$X:$X,Weekly_TVPlant!CE$3&amp;Weekly_TVPlant!$B23&amp;Weekly_TVPlant!$B$3&amp;$B$2&amp;$B$1)</f>
        <v>0</v>
      </c>
      <c r="CF23" s="2">
        <f>COUNTIF(defects!$X:$X,Weekly_TVPlant!CF$3&amp;Weekly_TVPlant!$B23&amp;Weekly_TVPlant!$B$3&amp;$B$2&amp;$B$1)</f>
        <v>0</v>
      </c>
      <c r="CG23" s="2">
        <f>COUNTIF(defects!$X:$X,Weekly_TVPlant!CG$3&amp;Weekly_TVPlant!$B23&amp;Weekly_TVPlant!$B$3&amp;$B$2&amp;$B$1)</f>
        <v>0</v>
      </c>
      <c r="CH23" s="2">
        <f>COUNTIF(defects!$X:$X,Weekly_TVPlant!CH$3&amp;Weekly_TVPlant!$B23&amp;Weekly_TVPlant!$B$3&amp;$B$2&amp;$B$1)</f>
        <v>0</v>
      </c>
      <c r="CI23" s="2">
        <f>COUNTIF(defects!$X:$X,Weekly_TVPlant!CI$3&amp;Weekly_TVPlant!$B23&amp;Weekly_TVPlant!$B$3&amp;$B$2&amp;$B$1)</f>
        <v>0</v>
      </c>
      <c r="CJ23" s="2">
        <f>COUNTIF(defects!$X:$X,Weekly_TVPlant!CJ$3&amp;Weekly_TVPlant!$B23&amp;Weekly_TVPlant!$B$3&amp;$B$2&amp;$B$1)</f>
        <v>0</v>
      </c>
      <c r="CK23" s="2">
        <f>COUNTIF(defects!$X:$X,Weekly_TVPlant!CK$3&amp;Weekly_TVPlant!$B23&amp;Weekly_TVPlant!$B$3&amp;$B$2&amp;$B$1)</f>
        <v>0</v>
      </c>
      <c r="CL23" s="2">
        <f>COUNTIF(defects!$X:$X,Weekly_TVPlant!CL$3&amp;Weekly_TVPlant!$B23&amp;Weekly_TVPlant!$B$3&amp;$B$2&amp;$B$1)</f>
        <v>0</v>
      </c>
      <c r="CM23" s="2">
        <f>COUNTIF(defects!$X:$X,Weekly_TVPlant!CM$3&amp;Weekly_TVPlant!$B23&amp;Weekly_TVPlant!$B$3&amp;$B$2&amp;$B$1)</f>
        <v>0</v>
      </c>
      <c r="CN23" s="2">
        <f>COUNTIF(defects!$X:$X,Weekly_TVPlant!CN$3&amp;Weekly_TVPlant!$B23&amp;Weekly_TVPlant!$B$3&amp;$B$2&amp;$B$1)</f>
        <v>0</v>
      </c>
      <c r="CO23" s="2">
        <f>COUNTIF(defects!$X:$X,Weekly_TVPlant!CO$3&amp;Weekly_TVPlant!$B23&amp;Weekly_TVPlant!$B$3&amp;$B$2&amp;$B$1)</f>
        <v>0</v>
      </c>
      <c r="CP23" s="2">
        <f>COUNTIF(defects!$X:$X,Weekly_TVPlant!CP$3&amp;Weekly_TVPlant!$B23&amp;Weekly_TVPlant!$B$3&amp;$B$2&amp;$B$1)</f>
        <v>0</v>
      </c>
      <c r="CQ23" s="2">
        <f>COUNTIF(defects!$X:$X,Weekly_TVPlant!CQ$3&amp;Weekly_TVPlant!$B23&amp;Weekly_TVPlant!$B$3&amp;$B$2&amp;$B$1)</f>
        <v>0</v>
      </c>
      <c r="CR23" s="2">
        <f>COUNTIF(defects!$X:$X,Weekly_TVPlant!CR$3&amp;Weekly_TVPlant!$B23&amp;Weekly_TVPlant!$B$3&amp;$B$2&amp;$B$1)</f>
        <v>0</v>
      </c>
      <c r="CS23" s="2">
        <f>COUNTIF(defects!$X:$X,Weekly_TVPlant!CS$3&amp;Weekly_TVPlant!$B23&amp;Weekly_TVPlant!$B$3&amp;$B$2&amp;$B$1)</f>
        <v>0</v>
      </c>
      <c r="CT23" s="2">
        <f>COUNTIF(defects!$X:$X,Weekly_TVPlant!CT$3&amp;Weekly_TVPlant!$B23&amp;Weekly_TVPlant!$B$3&amp;$B$2&amp;$B$1)</f>
        <v>37</v>
      </c>
      <c r="CU23" s="2">
        <f>COUNTIF(defects!$X:$X,Weekly_TVPlant!CU$3&amp;Weekly_TVPlant!$B23&amp;Weekly_TVPlant!$B$3&amp;$B$2&amp;$B$1)</f>
        <v>15</v>
      </c>
      <c r="CV23" s="2">
        <f>COUNTIF(defects!$X:$X,Weekly_TVPlant!CV$3&amp;Weekly_TVPlant!$B23&amp;Weekly_TVPlant!$B$3&amp;$B$2&amp;$B$1)</f>
        <v>0</v>
      </c>
      <c r="CW23" s="2">
        <f>COUNTIF(defects!$X:$X,Weekly_TVPlant!CW$3&amp;Weekly_TVPlant!$B23&amp;Weekly_TVPlant!$B$3&amp;$B$2&amp;$B$1)</f>
        <v>0</v>
      </c>
      <c r="CX23" s="2">
        <f>COUNTIF(defects!$X:$X,Weekly_TVPlant!CX$3&amp;Weekly_TVPlant!$B23&amp;Weekly_TVPlant!$B$3&amp;$B$2&amp;$B$1)</f>
        <v>1</v>
      </c>
      <c r="CY23" s="2">
        <f>COUNTIF(defects!$X:$X,Weekly_TVPlant!CY$3&amp;Weekly_TVPlant!$B23&amp;Weekly_TVPlant!$B$3&amp;$B$2&amp;$B$1)</f>
        <v>1</v>
      </c>
      <c r="CZ23" s="2">
        <f>COUNTIF(defects!$X:$X,Weekly_TVPlant!CZ$3&amp;Weekly_TVPlant!$B23&amp;Weekly_TVPlant!$B$3&amp;$B$2&amp;$B$1)</f>
        <v>0</v>
      </c>
      <c r="DA23" s="2">
        <f>COUNTIF(defects!$X:$X,Weekly_TVPlant!DA$3&amp;Weekly_TVPlant!$B23&amp;Weekly_TVPlant!$B$3&amp;$B$2&amp;$B$1)</f>
        <v>0</v>
      </c>
      <c r="DB23" s="2">
        <f>COUNTIF(defects!$X:$X,Weekly_TVPlant!DB$3&amp;Weekly_TVPlant!$B23&amp;Weekly_TVPlant!$B$3&amp;$B$2&amp;$B$1)</f>
        <v>0</v>
      </c>
      <c r="DC23" s="2">
        <f>COUNTIF(defects!$X:$X,Weekly_TVPlant!DC$3&amp;Weekly_TVPlant!$B23&amp;Weekly_TVPlant!$B$3&amp;$B$2&amp;$B$1)</f>
        <v>0</v>
      </c>
      <c r="DD23" s="2">
        <f>COUNTIF(defects!$X:$X,Weekly_TVPlant!DD$3&amp;Weekly_TVPlant!$B23&amp;Weekly_TVPlant!$B$3&amp;$B$2&amp;$B$1)</f>
        <v>0</v>
      </c>
      <c r="DE23" s="2">
        <f>COUNTIF(defects!$X:$X,Weekly_TVPlant!DE$3&amp;Weekly_TVPlant!$B23&amp;Weekly_TVPlant!$B$3&amp;$B$2&amp;$B$1)</f>
        <v>0</v>
      </c>
      <c r="DF23" s="2">
        <f>COUNTIF(defects!$X:$X,Weekly_TVPlant!DF$3&amp;Weekly_TVPlant!$B23&amp;Weekly_TVPlant!$B$3&amp;$B$2&amp;$B$1)</f>
        <v>0</v>
      </c>
      <c r="DG23" s="2">
        <f>COUNTIF(defects!$X:$X,Weekly_TVPlant!DG$3&amp;Weekly_TVPlant!$B23&amp;Weekly_TVPlant!$B$3&amp;$B$2&amp;$B$1)</f>
        <v>0</v>
      </c>
      <c r="DH23" s="2">
        <f>COUNTIF(defects!$X:$X,Weekly_TVPlant!DH$3&amp;Weekly_TVPlant!$B23&amp;Weekly_TVPlant!$B$3&amp;$B$2&amp;$B$1)</f>
        <v>0</v>
      </c>
      <c r="DI23" s="2">
        <f>COUNTIF(defects!$X:$X,Weekly_TVPlant!DI$3&amp;Weekly_TVPlant!$B23&amp;Weekly_TVPlant!$B$3&amp;$B$2&amp;$B$1)</f>
        <v>0</v>
      </c>
      <c r="DJ23" s="2">
        <f>COUNTIF(defects!$X:$X,Weekly_TVPlant!DJ$3&amp;Weekly_TVPlant!$B23&amp;Weekly_TVPlant!$B$3&amp;$B$2&amp;$B$1)</f>
        <v>0</v>
      </c>
      <c r="DK23" s="2">
        <f>COUNTIF(defects!$X:$X,Weekly_TVPlant!DK$3&amp;Weekly_TVPlant!$B23&amp;Weekly_TVPlant!$B$3&amp;$B$2&amp;$B$1)</f>
        <v>0</v>
      </c>
      <c r="DL23" s="2">
        <f>COUNTIF(defects!$X:$X,Weekly_TVPlant!DL$3&amp;Weekly_TVPlant!$B23&amp;Weekly_TVPlant!$B$3&amp;$B$2&amp;$B$1)</f>
        <v>0</v>
      </c>
      <c r="DM23" s="2">
        <f>COUNTIF(defects!$X:$X,Weekly_TVPlant!DM$3&amp;Weekly_TVPlant!$B23&amp;Weekly_TVPlant!$B$3&amp;$B$2&amp;$B$1)</f>
        <v>0</v>
      </c>
      <c r="DN23" s="2">
        <f>COUNTIF(defects!$X:$X,Weekly_TVPlant!DN$3&amp;Weekly_TVPlant!$B23&amp;Weekly_TVPlant!$B$3&amp;$B$2&amp;$B$1)</f>
        <v>0</v>
      </c>
      <c r="DO23" s="2">
        <f>COUNTIF(defects!$X:$X,Weekly_TVPlant!DO$3&amp;Weekly_TVPlant!$B23&amp;Weekly_TVPlant!$B$3&amp;$B$2&amp;$B$1)</f>
        <v>0</v>
      </c>
      <c r="DP23" s="2">
        <f>COUNTIF(defects!$X:$X,Weekly_TVPlant!DP$3&amp;Weekly_TVPlant!$B23&amp;Weekly_TVPlant!$B$3&amp;$B$2&amp;$B$1)</f>
        <v>0</v>
      </c>
      <c r="DQ23" s="2">
        <f>COUNTIF(defects!$X:$X,Weekly_TVPlant!DQ$3&amp;Weekly_TVPlant!$B23&amp;Weekly_TVPlant!$B$3&amp;$B$2&amp;$B$1)</f>
        <v>0</v>
      </c>
      <c r="DR23" s="2">
        <f>COUNTIF(defects!$X:$X,Weekly_TVPlant!DR$3&amp;Weekly_TVPlant!$B23&amp;Weekly_TVPlant!$B$3&amp;$B$2&amp;$B$1)</f>
        <v>0</v>
      </c>
      <c r="DS23" s="2">
        <f>COUNTIF(defects!$X:$X,Weekly_TVPlant!DS$3&amp;Weekly_TVPlant!$B23&amp;Weekly_TVPlant!$B$3&amp;$B$2&amp;$B$1)</f>
        <v>0</v>
      </c>
      <c r="DT23" s="2">
        <f>COUNTIF(defects!$X:$X,Weekly_TVPlant!DT$3&amp;Weekly_TVPlant!$B23&amp;Weekly_TVPlant!$B$3&amp;$B$2&amp;$B$1)</f>
        <v>0</v>
      </c>
      <c r="DU23" s="2">
        <f>COUNTIF(defects!$X:$X,Weekly_TVPlant!DU$3&amp;Weekly_TVPlant!$B23&amp;Weekly_TVPlant!$B$3&amp;$B$2&amp;$B$1)</f>
        <v>0</v>
      </c>
      <c r="DV23" s="2">
        <f>COUNTIF(defects!$X:$X,Weekly_TVPlant!DV$3&amp;Weekly_TVPlant!$B23&amp;Weekly_TVPlant!$B$3&amp;$B$2&amp;$B$1)</f>
        <v>0</v>
      </c>
      <c r="DW23" s="2">
        <f>COUNTIF(defects!$X:$X,Weekly_TVPlant!DW$3&amp;Weekly_TVPlant!$B23&amp;Weekly_TVPlant!$B$3&amp;$B$2&amp;$B$1)</f>
        <v>0</v>
      </c>
      <c r="DX23" s="2">
        <f>COUNTIF(defects!$X:$X,Weekly_TVPlant!DX$3&amp;Weekly_TVPlant!$B23&amp;Weekly_TVPlant!$B$3&amp;$B$2&amp;$B$1)</f>
        <v>0</v>
      </c>
      <c r="DY23" s="2">
        <f>COUNTIF(defects!$X:$X,Weekly_TVPlant!DY$3&amp;Weekly_TVPlant!$B23&amp;Weekly_TVPlant!$B$3&amp;$B$2&amp;$B$1)</f>
        <v>0</v>
      </c>
      <c r="DZ23" s="2">
        <f>COUNTIF(defects!$X:$X,Weekly_TVPlant!DZ$3&amp;Weekly_TVPlant!$B23&amp;Weekly_TVPlant!$B$3&amp;$B$2&amp;$B$1)</f>
        <v>0</v>
      </c>
      <c r="EA23" s="2">
        <f>COUNTIF(defects!$X:$X,Weekly_TVPlant!EA$3&amp;Weekly_TVPlant!$B23&amp;Weekly_TVPlant!$B$3&amp;$B$2&amp;$B$1)</f>
        <v>0</v>
      </c>
      <c r="EB23" s="2">
        <f>COUNTIF(defects!$X:$X,Weekly_TVPlant!EB$3&amp;Weekly_TVPlant!$B23&amp;Weekly_TVPlant!$B$3&amp;$B$2&amp;$B$1)</f>
        <v>0</v>
      </c>
      <c r="EC23" s="2">
        <f>COUNTIF(defects!$X:$X,Weekly_TVPlant!EC$3&amp;Weekly_TVPlant!$B23&amp;Weekly_TVPlant!$B$3&amp;$B$2&amp;$B$1)</f>
        <v>0</v>
      </c>
      <c r="ED23" s="2">
        <f>COUNTIF(defects!$X:$X,Weekly_TVPlant!ED$3&amp;Weekly_TVPlant!$B23&amp;Weekly_TVPlant!$B$3&amp;$B$2&amp;$B$1)</f>
        <v>0</v>
      </c>
      <c r="EE23" s="2">
        <f>COUNTIF(defects!$X:$X,Weekly_TVPlant!EE$3&amp;Weekly_TVPlant!$B23&amp;Weekly_TVPlant!$B$3&amp;$B$2&amp;$B$1)</f>
        <v>0</v>
      </c>
      <c r="EF23" s="2">
        <f>COUNTIF(defects!$X:$X,Weekly_TVPlant!EF$3&amp;Weekly_TVPlant!$B23&amp;Weekly_TVPlant!$B$3&amp;$B$2&amp;$B$1)</f>
        <v>0</v>
      </c>
      <c r="EG23" s="2">
        <f>COUNTIF(defects!$X:$X,Weekly_TVPlant!EG$3&amp;Weekly_TVPlant!$B23&amp;Weekly_TVPlant!$B$3&amp;$B$2&amp;$B$1)</f>
        <v>0</v>
      </c>
      <c r="EH23" s="2">
        <f>COUNTIF(defects!$X:$X,Weekly_TVPlant!EH$3&amp;Weekly_TVPlant!$B23&amp;Weekly_TVPlant!$B$3&amp;$B$2&amp;$B$1)</f>
        <v>0</v>
      </c>
      <c r="EI23" s="2">
        <f>COUNTIF(defects!$X:$X,Weekly_TVPlant!EI$3&amp;Weekly_TVPlant!$B23&amp;Weekly_TVPlant!$B$3&amp;$B$2&amp;$B$1)</f>
        <v>0</v>
      </c>
      <c r="EJ23" s="2">
        <f>COUNTIF(defects!$X:$X,Weekly_TVPlant!EJ$3&amp;Weekly_TVPlant!$B23&amp;Weekly_TVPlant!$B$3&amp;$B$2&amp;$B$1)</f>
        <v>0</v>
      </c>
      <c r="EK23" s="2">
        <f>COUNTIF(defects!$X:$X,Weekly_TVPlant!EK$3&amp;Weekly_TVPlant!$B23&amp;Weekly_TVPlant!$B$3&amp;$B$2&amp;$B$1)</f>
        <v>0</v>
      </c>
      <c r="EL23" s="2">
        <f>COUNTIF(defects!$X:$X,Weekly_TVPlant!EL$3&amp;Weekly_TVPlant!$B23&amp;Weekly_TVPlant!$B$3&amp;$B$2&amp;$B$1)</f>
        <v>0</v>
      </c>
      <c r="EM23" s="2">
        <f>COUNTIF(defects!$X:$X,Weekly_TVPlant!EM$3&amp;Weekly_TVPlant!$B23&amp;Weekly_TVPlant!$B$3&amp;$B$2&amp;$B$1)</f>
        <v>0</v>
      </c>
      <c r="EN23" s="2">
        <f>COUNTIF(defects!$X:$X,Weekly_TVPlant!EN$3&amp;Weekly_TVPlant!$B23&amp;Weekly_TVPlant!$B$3&amp;$B$2&amp;$B$1)</f>
        <v>0</v>
      </c>
      <c r="EO23" s="2">
        <f>COUNTIF(defects!$X:$X,Weekly_TVPlant!EO$3&amp;Weekly_TVPlant!$B23&amp;Weekly_TVPlant!$B$3&amp;$B$2&amp;$B$1)</f>
        <v>0</v>
      </c>
      <c r="EP23" s="2">
        <f>COUNTIF(defects!$X:$X,Weekly_TVPlant!EP$3&amp;Weekly_TVPlant!$B23&amp;Weekly_TVPlant!$B$3&amp;$B$2&amp;$B$1)</f>
        <v>0</v>
      </c>
      <c r="EQ23" s="2">
        <f>COUNTIF(defects!$X:$X,Weekly_TVPlant!EQ$3&amp;Weekly_TVPlant!$B23&amp;Weekly_TVPlant!$B$3&amp;$B$2&amp;$B$1)</f>
        <v>0</v>
      </c>
      <c r="ER23" s="2">
        <f>COUNTIF(defects!$X:$X,Weekly_TVPlant!ER$3&amp;Weekly_TVPlant!$B23&amp;Weekly_TVPlant!$B$3&amp;$B$2&amp;$B$1)</f>
        <v>0</v>
      </c>
      <c r="ES23" s="2">
        <f>COUNTIF(defects!$X:$X,Weekly_TVPlant!ES$3&amp;Weekly_TVPlant!$B23&amp;Weekly_TVPlant!$B$3&amp;$B$2&amp;$B$1)</f>
        <v>0</v>
      </c>
      <c r="ET23" s="2">
        <f>COUNTIF(defects!$X:$X,Weekly_TVPlant!ET$3&amp;Weekly_TVPlant!$B23&amp;Weekly_TVPlant!$B$3&amp;$B$2&amp;$B$1)</f>
        <v>0</v>
      </c>
      <c r="EU23" s="2">
        <f>COUNTIF(defects!$X:$X,Weekly_TVPlant!EU$3&amp;Weekly_TVPlant!$B23&amp;Weekly_TVPlant!$B$3&amp;$B$2&amp;$B$1)</f>
        <v>0</v>
      </c>
      <c r="EV23" s="2">
        <f>COUNTIF(defects!$X:$X,Weekly_TVPlant!EV$3&amp;Weekly_TVPlant!$B23&amp;Weekly_TVPlant!$B$3&amp;$B$2&amp;$B$1)</f>
        <v>0</v>
      </c>
      <c r="EW23" s="2">
        <f>COUNTIF(defects!$X:$X,Weekly_TVPlant!EW$3&amp;Weekly_TVPlant!$B23&amp;Weekly_TVPlant!$B$3&amp;$B$2&amp;$B$1)</f>
        <v>0</v>
      </c>
      <c r="EX23" s="2">
        <f>COUNTIF(defects!$X:$X,Weekly_TVPlant!EX$3&amp;Weekly_TVPlant!$B23&amp;Weekly_TVPlant!$B$3&amp;$B$2&amp;$B$1)</f>
        <v>0</v>
      </c>
      <c r="EY23" s="2">
        <f>COUNTIF(defects!$X:$X,Weekly_TVPlant!EY$3&amp;Weekly_TVPlant!$B23&amp;Weekly_TVPlant!$B$3&amp;$B$2&amp;$B$1)</f>
        <v>0</v>
      </c>
      <c r="EZ23" s="2">
        <f>COUNTIF(defects!$X:$X,Weekly_TVPlant!EZ$3&amp;Weekly_TVPlant!$B23&amp;Weekly_TVPlant!$B$3&amp;$B$2&amp;$B$1)</f>
        <v>0</v>
      </c>
      <c r="FA23" s="2">
        <f>COUNTIF(defects!$X:$X,Weekly_TVPlant!FA$3&amp;Weekly_TVPlant!$B23&amp;Weekly_TVPlant!$B$3&amp;$B$2&amp;$B$1)</f>
        <v>0</v>
      </c>
      <c r="FB23" s="2">
        <f>COUNTIF(defects!$X:$X,Weekly_TVPlant!FB$3&amp;Weekly_TVPlant!$B23&amp;Weekly_TVPlant!$B$3&amp;$B$2&amp;$B$1)</f>
        <v>0</v>
      </c>
      <c r="FC23" s="2">
        <f>COUNTIF(defects!$X:$X,Weekly_TVPlant!FC$3&amp;Weekly_TVPlant!$B23&amp;Weekly_TVPlant!$B$3&amp;$B$2&amp;$B$1)</f>
        <v>0</v>
      </c>
      <c r="FD23" s="2">
        <f>COUNTIF(defects!$X:$X,Weekly_TVPlant!FD$3&amp;Weekly_TVPlant!$B23&amp;Weekly_TVPlant!$B$3&amp;$B$2&amp;$B$1)</f>
        <v>0</v>
      </c>
      <c r="FE23" s="2">
        <f>COUNTIF(defects!$X:$X,Weekly_TVPlant!FE$3&amp;Weekly_TVPlant!$B23&amp;Weekly_TVPlant!$B$3&amp;$B$2&amp;$B$1)</f>
        <v>0</v>
      </c>
    </row>
    <row r="24" spans="2:161">
      <c r="B24" s="3" t="s">
        <v>996</v>
      </c>
      <c r="C24" s="2">
        <f>COUNTIF(defects!$X:$X,Weekly_TVPlant!C$3&amp;Weekly_TVPlant!$B24&amp;Weekly_TVPlant!$B$3&amp;$B$2&amp;$B$1)</f>
        <v>0</v>
      </c>
      <c r="D24" s="2">
        <f>COUNTIF(defects!$X:$X,Weekly_TVPlant!D$3&amp;Weekly_TVPlant!$B24&amp;Weekly_TVPlant!$B$3&amp;$B$2&amp;$B$1)</f>
        <v>0</v>
      </c>
      <c r="E24" s="2">
        <f>COUNTIF(defects!$X:$X,Weekly_TVPlant!E$3&amp;Weekly_TVPlant!$B24&amp;Weekly_TVPlant!$B$3&amp;$B$2&amp;$B$1)</f>
        <v>0</v>
      </c>
      <c r="F24" s="2">
        <f>COUNTIF(defects!$X:$X,Weekly_TVPlant!F$3&amp;Weekly_TVPlant!$B24&amp;Weekly_TVPlant!$B$3&amp;$B$2&amp;$B$1)</f>
        <v>0</v>
      </c>
      <c r="G24" s="2">
        <f>COUNTIF(defects!$X:$X,Weekly_TVPlant!G$3&amp;Weekly_TVPlant!$B24&amp;Weekly_TVPlant!$B$3&amp;$B$2&amp;$B$1)</f>
        <v>0</v>
      </c>
      <c r="H24" s="2">
        <f>COUNTIF(defects!$X:$X,Weekly_TVPlant!H$3&amp;Weekly_TVPlant!$B24&amp;Weekly_TVPlant!$B$3&amp;$B$2&amp;$B$1)</f>
        <v>0</v>
      </c>
      <c r="I24" s="2">
        <f>COUNTIF(defects!$X:$X,Weekly_TVPlant!I$3&amp;Weekly_TVPlant!$B24&amp;Weekly_TVPlant!$B$3&amp;$B$2&amp;$B$1)</f>
        <v>0</v>
      </c>
      <c r="J24" s="2">
        <f>COUNTIF(defects!$X:$X,Weekly_TVPlant!J$3&amp;Weekly_TVPlant!$B24&amp;Weekly_TVPlant!$B$3&amp;$B$2&amp;$B$1)</f>
        <v>0</v>
      </c>
      <c r="K24" s="2">
        <f>COUNTIF(defects!$X:$X,Weekly_TVPlant!K$3&amp;Weekly_TVPlant!$B24&amp;Weekly_TVPlant!$B$3&amp;$B$2&amp;$B$1)</f>
        <v>0</v>
      </c>
      <c r="L24" s="2">
        <f>COUNTIF(defects!$X:$X,Weekly_TVPlant!L$3&amp;Weekly_TVPlant!$B24&amp;Weekly_TVPlant!$B$3&amp;$B$2&amp;$B$1)</f>
        <v>0</v>
      </c>
      <c r="M24" s="2">
        <f>COUNTIF(defects!$X:$X,Weekly_TVPlant!M$3&amp;Weekly_TVPlant!$B24&amp;Weekly_TVPlant!$B$3&amp;$B$2&amp;$B$1)</f>
        <v>0</v>
      </c>
      <c r="N24" s="2">
        <f>COUNTIF(defects!$X:$X,Weekly_TVPlant!N$3&amp;Weekly_TVPlant!$B24&amp;Weekly_TVPlant!$B$3&amp;$B$2&amp;$B$1)</f>
        <v>0</v>
      </c>
      <c r="O24" s="2">
        <f>COUNTIF(defects!$X:$X,Weekly_TVPlant!O$3&amp;Weekly_TVPlant!$B24&amp;Weekly_TVPlant!$B$3&amp;$B$2&amp;$B$1)</f>
        <v>0</v>
      </c>
      <c r="P24" s="2">
        <f>COUNTIF(defects!$X:$X,Weekly_TVPlant!P$3&amp;Weekly_TVPlant!$B24&amp;Weekly_TVPlant!$B$3&amp;$B$2&amp;$B$1)</f>
        <v>0</v>
      </c>
      <c r="Q24" s="2">
        <f>COUNTIF(defects!$X:$X,Weekly_TVPlant!Q$3&amp;Weekly_TVPlant!$B24&amp;Weekly_TVPlant!$B$3&amp;$B$2&amp;$B$1)</f>
        <v>0</v>
      </c>
      <c r="R24" s="2">
        <f>COUNTIF(defects!$X:$X,Weekly_TVPlant!R$3&amp;Weekly_TVPlant!$B24&amp;Weekly_TVPlant!$B$3&amp;$B$2&amp;$B$1)</f>
        <v>0</v>
      </c>
      <c r="S24" s="2">
        <f>COUNTIF(defects!$X:$X,Weekly_TVPlant!S$3&amp;Weekly_TVPlant!$B24&amp;Weekly_TVPlant!$B$3&amp;$B$2&amp;$B$1)</f>
        <v>0</v>
      </c>
      <c r="T24" s="2">
        <f>COUNTIF(defects!$X:$X,Weekly_TVPlant!T$3&amp;Weekly_TVPlant!$B24&amp;Weekly_TVPlant!$B$3&amp;$B$2&amp;$B$1)</f>
        <v>0</v>
      </c>
      <c r="U24" s="2">
        <f>COUNTIF(defects!$X:$X,Weekly_TVPlant!U$3&amp;Weekly_TVPlant!$B24&amp;Weekly_TVPlant!$B$3&amp;$B$2&amp;$B$1)</f>
        <v>0</v>
      </c>
      <c r="V24" s="2">
        <f>COUNTIF(defects!$X:$X,Weekly_TVPlant!V$3&amp;Weekly_TVPlant!$B24&amp;Weekly_TVPlant!$B$3&amp;$B$2&amp;$B$1)</f>
        <v>0</v>
      </c>
      <c r="W24" s="2">
        <f>COUNTIF(defects!$X:$X,Weekly_TVPlant!W$3&amp;Weekly_TVPlant!$B24&amp;Weekly_TVPlant!$B$3&amp;$B$2&amp;$B$1)</f>
        <v>0</v>
      </c>
      <c r="X24" s="2">
        <f>COUNTIF(defects!$X:$X,Weekly_TVPlant!X$3&amp;Weekly_TVPlant!$B24&amp;Weekly_TVPlant!$B$3&amp;$B$2&amp;$B$1)</f>
        <v>0</v>
      </c>
      <c r="Y24" s="2">
        <f>COUNTIF(defects!$X:$X,Weekly_TVPlant!Y$3&amp;Weekly_TVPlant!$B24&amp;Weekly_TVPlant!$B$3&amp;$B$2&amp;$B$1)</f>
        <v>0</v>
      </c>
      <c r="Z24" s="2">
        <f>COUNTIF(defects!$X:$X,Weekly_TVPlant!Z$3&amp;Weekly_TVPlant!$B24&amp;Weekly_TVPlant!$B$3&amp;$B$2&amp;$B$1)</f>
        <v>0</v>
      </c>
      <c r="AA24" s="2">
        <f>COUNTIF(defects!$X:$X,Weekly_TVPlant!AA$3&amp;Weekly_TVPlant!$B24&amp;Weekly_TVPlant!$B$3&amp;$B$2&amp;$B$1)</f>
        <v>0</v>
      </c>
      <c r="AB24" s="2">
        <f>COUNTIF(defects!$X:$X,Weekly_TVPlant!AB$3&amp;Weekly_TVPlant!$B24&amp;Weekly_TVPlant!$B$3&amp;$B$2&amp;$B$1)</f>
        <v>0</v>
      </c>
      <c r="AC24" s="2">
        <f>COUNTIF(defects!$X:$X,Weekly_TVPlant!AC$3&amp;Weekly_TVPlant!$B24&amp;Weekly_TVPlant!$B$3&amp;$B$2&amp;$B$1)</f>
        <v>0</v>
      </c>
      <c r="AD24" s="2">
        <f>COUNTIF(defects!$X:$X,Weekly_TVPlant!AD$3&amp;Weekly_TVPlant!$B24&amp;Weekly_TVPlant!$B$3&amp;$B$2&amp;$B$1)</f>
        <v>0</v>
      </c>
      <c r="AE24" s="2">
        <f>COUNTIF(defects!$X:$X,Weekly_TVPlant!AE$3&amp;Weekly_TVPlant!$B24&amp;Weekly_TVPlant!$B$3&amp;$B$2&amp;$B$1)</f>
        <v>0</v>
      </c>
      <c r="AF24" s="2">
        <f>COUNTIF(defects!$X:$X,Weekly_TVPlant!AF$3&amp;Weekly_TVPlant!$B24&amp;Weekly_TVPlant!$B$3&amp;$B$2&amp;$B$1)</f>
        <v>0</v>
      </c>
      <c r="AG24" s="2">
        <f>COUNTIF(defects!$X:$X,Weekly_TVPlant!AG$3&amp;Weekly_TVPlant!$B24&amp;Weekly_TVPlant!$B$3&amp;$B$2&amp;$B$1)</f>
        <v>0</v>
      </c>
      <c r="AH24" s="2">
        <f>COUNTIF(defects!$X:$X,Weekly_TVPlant!AH$3&amp;Weekly_TVPlant!$B24&amp;Weekly_TVPlant!$B$3&amp;$B$2&amp;$B$1)</f>
        <v>0</v>
      </c>
      <c r="AI24" s="2">
        <f>COUNTIF(defects!$X:$X,Weekly_TVPlant!AI$3&amp;Weekly_TVPlant!$B24&amp;Weekly_TVPlant!$B$3&amp;$B$2&amp;$B$1)</f>
        <v>0</v>
      </c>
      <c r="AJ24" s="2">
        <f>COUNTIF(defects!$X:$X,Weekly_TVPlant!AJ$3&amp;Weekly_TVPlant!$B24&amp;Weekly_TVPlant!$B$3&amp;$B$2&amp;$B$1)</f>
        <v>0</v>
      </c>
      <c r="AK24" s="2">
        <f>COUNTIF(defects!$X:$X,Weekly_TVPlant!AK$3&amp;Weekly_TVPlant!$B24&amp;Weekly_TVPlant!$B$3&amp;$B$2&amp;$B$1)</f>
        <v>0</v>
      </c>
      <c r="AL24" s="2">
        <f>COUNTIF(defects!$X:$X,Weekly_TVPlant!AL$3&amp;Weekly_TVPlant!$B24&amp;Weekly_TVPlant!$B$3&amp;$B$2&amp;$B$1)</f>
        <v>0</v>
      </c>
      <c r="AM24" s="2">
        <f>COUNTIF(defects!$X:$X,Weekly_TVPlant!AM$3&amp;Weekly_TVPlant!$B24&amp;Weekly_TVPlant!$B$3&amp;$B$2&amp;$B$1)</f>
        <v>0</v>
      </c>
      <c r="AN24" s="2">
        <f>COUNTIF(defects!$X:$X,Weekly_TVPlant!AN$3&amp;Weekly_TVPlant!$B24&amp;Weekly_TVPlant!$B$3&amp;$B$2&amp;$B$1)</f>
        <v>0</v>
      </c>
      <c r="AO24" s="2">
        <f>COUNTIF(defects!$X:$X,Weekly_TVPlant!AO$3&amp;Weekly_TVPlant!$B24&amp;Weekly_TVPlant!$B$3&amp;$B$2&amp;$B$1)</f>
        <v>0</v>
      </c>
      <c r="AP24" s="2">
        <f>COUNTIF(defects!$X:$X,Weekly_TVPlant!AP$3&amp;Weekly_TVPlant!$B24&amp;Weekly_TVPlant!$B$3&amp;$B$2&amp;$B$1)</f>
        <v>0</v>
      </c>
      <c r="AQ24" s="2">
        <f>COUNTIF(defects!$X:$X,Weekly_TVPlant!AQ$3&amp;Weekly_TVPlant!$B24&amp;Weekly_TVPlant!$B$3&amp;$B$2&amp;$B$1)</f>
        <v>0</v>
      </c>
      <c r="AR24" s="2">
        <f>COUNTIF(defects!$X:$X,Weekly_TVPlant!AR$3&amp;Weekly_TVPlant!$B24&amp;Weekly_TVPlant!$B$3&amp;$B$2&amp;$B$1)</f>
        <v>0</v>
      </c>
      <c r="AS24" s="2">
        <f>COUNTIF(defects!$X:$X,Weekly_TVPlant!AS$3&amp;Weekly_TVPlant!$B24&amp;Weekly_TVPlant!$B$3&amp;$B$2&amp;$B$1)</f>
        <v>0</v>
      </c>
      <c r="AT24" s="2">
        <f>COUNTIF(defects!$X:$X,Weekly_TVPlant!AT$3&amp;Weekly_TVPlant!$B24&amp;Weekly_TVPlant!$B$3&amp;$B$2&amp;$B$1)</f>
        <v>0</v>
      </c>
      <c r="AU24" s="2">
        <f>COUNTIF(defects!$X:$X,Weekly_TVPlant!AU$3&amp;Weekly_TVPlant!$B24&amp;Weekly_TVPlant!$B$3&amp;$B$2&amp;$B$1)</f>
        <v>0</v>
      </c>
      <c r="AV24" s="2">
        <f>COUNTIF(defects!$X:$X,Weekly_TVPlant!AV$3&amp;Weekly_TVPlant!$B24&amp;Weekly_TVPlant!$B$3&amp;$B$2&amp;$B$1)</f>
        <v>0</v>
      </c>
      <c r="AW24" s="2">
        <f>COUNTIF(defects!$X:$X,Weekly_TVPlant!AW$3&amp;Weekly_TVPlant!$B24&amp;Weekly_TVPlant!$B$3&amp;$B$2&amp;$B$1)</f>
        <v>0</v>
      </c>
      <c r="AX24" s="2">
        <f>COUNTIF(defects!$X:$X,Weekly_TVPlant!AX$3&amp;Weekly_TVPlant!$B24&amp;Weekly_TVPlant!$B$3&amp;$B$2&amp;$B$1)</f>
        <v>0</v>
      </c>
      <c r="AY24" s="2">
        <f>COUNTIF(defects!$X:$X,Weekly_TVPlant!AY$3&amp;Weekly_TVPlant!$B24&amp;Weekly_TVPlant!$B$3&amp;$B$2&amp;$B$1)</f>
        <v>0</v>
      </c>
      <c r="AZ24" s="2">
        <f>COUNTIF(defects!$X:$X,Weekly_TVPlant!AZ$3&amp;Weekly_TVPlant!$B24&amp;Weekly_TVPlant!$B$3&amp;$B$2&amp;$B$1)</f>
        <v>0</v>
      </c>
      <c r="BA24" s="2">
        <f>COUNTIF(defects!$X:$X,Weekly_TVPlant!BA$3&amp;Weekly_TVPlant!$B24&amp;Weekly_TVPlant!$B$3&amp;$B$2&amp;$B$1)</f>
        <v>0</v>
      </c>
      <c r="BB24" s="2">
        <f>COUNTIF(defects!$X:$X,Weekly_TVPlant!BB$3&amp;Weekly_TVPlant!$B24&amp;Weekly_TVPlant!$B$3&amp;$B$2&amp;$B$1)</f>
        <v>0</v>
      </c>
      <c r="BC24" s="2">
        <f>COUNTIF(defects!$X:$X,Weekly_TVPlant!BC$3&amp;Weekly_TVPlant!$B24&amp;Weekly_TVPlant!$B$3&amp;$B$2&amp;$B$1)</f>
        <v>0</v>
      </c>
      <c r="BD24" s="2">
        <f>COUNTIF(defects!$X:$X,Weekly_TVPlant!BD$3&amp;Weekly_TVPlant!$B24&amp;Weekly_TVPlant!$B$3&amp;$B$2&amp;$B$1)</f>
        <v>0</v>
      </c>
      <c r="BE24" s="2">
        <f>COUNTIF(defects!$X:$X,Weekly_TVPlant!BE$3&amp;Weekly_TVPlant!$B24&amp;Weekly_TVPlant!$B$3&amp;$B$2&amp;$B$1)</f>
        <v>0</v>
      </c>
      <c r="BF24" s="2">
        <f>COUNTIF(defects!$X:$X,Weekly_TVPlant!BF$3&amp;Weekly_TVPlant!$B24&amp;Weekly_TVPlant!$B$3&amp;$B$2&amp;$B$1)</f>
        <v>0</v>
      </c>
      <c r="BG24" s="2">
        <f>COUNTIF(defects!$X:$X,Weekly_TVPlant!BG$3&amp;Weekly_TVPlant!$B24&amp;Weekly_TVPlant!$B$3&amp;$B$2&amp;$B$1)</f>
        <v>0</v>
      </c>
      <c r="BH24" s="2">
        <f>COUNTIF(defects!$X:$X,Weekly_TVPlant!BH$3&amp;Weekly_TVPlant!$B24&amp;Weekly_TVPlant!$B$3&amp;$B$2&amp;$B$1)</f>
        <v>0</v>
      </c>
      <c r="BI24" s="2">
        <f>COUNTIF(defects!$X:$X,Weekly_TVPlant!BI$3&amp;Weekly_TVPlant!$B24&amp;Weekly_TVPlant!$B$3&amp;$B$2&amp;$B$1)</f>
        <v>0</v>
      </c>
      <c r="BJ24" s="2">
        <f>COUNTIF(defects!$X:$X,Weekly_TVPlant!BJ$3&amp;Weekly_TVPlant!$B24&amp;Weekly_TVPlant!$B$3&amp;$B$2&amp;$B$1)</f>
        <v>0</v>
      </c>
      <c r="BK24" s="2">
        <f>COUNTIF(defects!$X:$X,Weekly_TVPlant!BK$3&amp;Weekly_TVPlant!$B24&amp;Weekly_TVPlant!$B$3&amp;$B$2&amp;$B$1)</f>
        <v>0</v>
      </c>
      <c r="BL24" s="2">
        <f>COUNTIF(defects!$X:$X,Weekly_TVPlant!BL$3&amp;Weekly_TVPlant!$B24&amp;Weekly_TVPlant!$B$3&amp;$B$2&amp;$B$1)</f>
        <v>0</v>
      </c>
      <c r="BM24" s="2">
        <f>COUNTIF(defects!$X:$X,Weekly_TVPlant!BM$3&amp;Weekly_TVPlant!$B24&amp;Weekly_TVPlant!$B$3&amp;$B$2&amp;$B$1)</f>
        <v>0</v>
      </c>
      <c r="BN24" s="2">
        <f>COUNTIF(defects!$X:$X,Weekly_TVPlant!BN$3&amp;Weekly_TVPlant!$B24&amp;Weekly_TVPlant!$B$3&amp;$B$2&amp;$B$1)</f>
        <v>0</v>
      </c>
      <c r="BO24" s="2">
        <f>COUNTIF(defects!$X:$X,Weekly_TVPlant!BO$3&amp;Weekly_TVPlant!$B24&amp;Weekly_TVPlant!$B$3&amp;$B$2&amp;$B$1)</f>
        <v>0</v>
      </c>
      <c r="BP24" s="2">
        <f>COUNTIF(defects!$X:$X,Weekly_TVPlant!BP$3&amp;Weekly_TVPlant!$B24&amp;Weekly_TVPlant!$B$3&amp;$B$2&amp;$B$1)</f>
        <v>0</v>
      </c>
      <c r="BQ24" s="2">
        <f>COUNTIF(defects!$X:$X,Weekly_TVPlant!BQ$3&amp;Weekly_TVPlant!$B24&amp;Weekly_TVPlant!$B$3&amp;$B$2&amp;$B$1)</f>
        <v>0</v>
      </c>
      <c r="BR24" s="2">
        <f>COUNTIF(defects!$X:$X,Weekly_TVPlant!BR$3&amp;Weekly_TVPlant!$B24&amp;Weekly_TVPlant!$B$3&amp;$B$2&amp;$B$1)</f>
        <v>0</v>
      </c>
      <c r="BS24" s="2">
        <f>COUNTIF(defects!$X:$X,Weekly_TVPlant!BS$3&amp;Weekly_TVPlant!$B24&amp;Weekly_TVPlant!$B$3&amp;$B$2&amp;$B$1)</f>
        <v>0</v>
      </c>
      <c r="BT24" s="2">
        <f>COUNTIF(defects!$X:$X,Weekly_TVPlant!BT$3&amp;Weekly_TVPlant!$B24&amp;Weekly_TVPlant!$B$3&amp;$B$2&amp;$B$1)</f>
        <v>0</v>
      </c>
      <c r="BU24" s="2">
        <f>COUNTIF(defects!$X:$X,Weekly_TVPlant!BU$3&amp;Weekly_TVPlant!$B24&amp;Weekly_TVPlant!$B$3&amp;$B$2&amp;$B$1)</f>
        <v>0</v>
      </c>
      <c r="BV24" s="2">
        <f>COUNTIF(defects!$X:$X,Weekly_TVPlant!BV$3&amp;Weekly_TVPlant!$B24&amp;Weekly_TVPlant!$B$3&amp;$B$2&amp;$B$1)</f>
        <v>0</v>
      </c>
      <c r="BW24" s="2">
        <f>COUNTIF(defects!$X:$X,Weekly_TVPlant!BW$3&amp;Weekly_TVPlant!$B24&amp;Weekly_TVPlant!$B$3&amp;$B$2&amp;$B$1)</f>
        <v>0</v>
      </c>
      <c r="BX24" s="2">
        <f>COUNTIF(defects!$X:$X,Weekly_TVPlant!BX$3&amp;Weekly_TVPlant!$B24&amp;Weekly_TVPlant!$B$3&amp;$B$2&amp;$B$1)</f>
        <v>0</v>
      </c>
      <c r="BY24" s="2">
        <f>COUNTIF(defects!$X:$X,Weekly_TVPlant!BY$3&amp;Weekly_TVPlant!$B24&amp;Weekly_TVPlant!$B$3&amp;$B$2&amp;$B$1)</f>
        <v>0</v>
      </c>
      <c r="BZ24" s="2">
        <f>COUNTIF(defects!$X:$X,Weekly_TVPlant!BZ$3&amp;Weekly_TVPlant!$B24&amp;Weekly_TVPlant!$B$3&amp;$B$2&amp;$B$1)</f>
        <v>0</v>
      </c>
      <c r="CA24" s="2">
        <f>COUNTIF(defects!$X:$X,Weekly_TVPlant!CA$3&amp;Weekly_TVPlant!$B24&amp;Weekly_TVPlant!$B$3&amp;$B$2&amp;$B$1)</f>
        <v>0</v>
      </c>
      <c r="CB24" s="2">
        <f>COUNTIF(defects!$X:$X,Weekly_TVPlant!CB$3&amp;Weekly_TVPlant!$B24&amp;Weekly_TVPlant!$B$3&amp;$B$2&amp;$B$1)</f>
        <v>0</v>
      </c>
      <c r="CC24" s="2">
        <f>COUNTIF(defects!$X:$X,Weekly_TVPlant!CC$3&amp;Weekly_TVPlant!$B24&amp;Weekly_TVPlant!$B$3&amp;$B$2&amp;$B$1)</f>
        <v>0</v>
      </c>
      <c r="CD24" s="2">
        <f>COUNTIF(defects!$X:$X,Weekly_TVPlant!CD$3&amp;Weekly_TVPlant!$B24&amp;Weekly_TVPlant!$B$3&amp;$B$2&amp;$B$1)</f>
        <v>0</v>
      </c>
      <c r="CE24" s="2">
        <f>COUNTIF(defects!$X:$X,Weekly_TVPlant!CE$3&amp;Weekly_TVPlant!$B24&amp;Weekly_TVPlant!$B$3&amp;$B$2&amp;$B$1)</f>
        <v>0</v>
      </c>
      <c r="CF24" s="2">
        <f>COUNTIF(defects!$X:$X,Weekly_TVPlant!CF$3&amp;Weekly_TVPlant!$B24&amp;Weekly_TVPlant!$B$3&amp;$B$2&amp;$B$1)</f>
        <v>0</v>
      </c>
      <c r="CG24" s="2">
        <f>COUNTIF(defects!$X:$X,Weekly_TVPlant!CG$3&amp;Weekly_TVPlant!$B24&amp;Weekly_TVPlant!$B$3&amp;$B$2&amp;$B$1)</f>
        <v>0</v>
      </c>
      <c r="CH24" s="2">
        <f>COUNTIF(defects!$X:$X,Weekly_TVPlant!CH$3&amp;Weekly_TVPlant!$B24&amp;Weekly_TVPlant!$B$3&amp;$B$2&amp;$B$1)</f>
        <v>0</v>
      </c>
      <c r="CI24" s="2">
        <f>COUNTIF(defects!$X:$X,Weekly_TVPlant!CI$3&amp;Weekly_TVPlant!$B24&amp;Weekly_TVPlant!$B$3&amp;$B$2&amp;$B$1)</f>
        <v>0</v>
      </c>
      <c r="CJ24" s="2">
        <f>COUNTIF(defects!$X:$X,Weekly_TVPlant!CJ$3&amp;Weekly_TVPlant!$B24&amp;Weekly_TVPlant!$B$3&amp;$B$2&amp;$B$1)</f>
        <v>0</v>
      </c>
      <c r="CK24" s="2">
        <f>COUNTIF(defects!$X:$X,Weekly_TVPlant!CK$3&amp;Weekly_TVPlant!$B24&amp;Weekly_TVPlant!$B$3&amp;$B$2&amp;$B$1)</f>
        <v>0</v>
      </c>
      <c r="CL24" s="2">
        <f>COUNTIF(defects!$X:$X,Weekly_TVPlant!CL$3&amp;Weekly_TVPlant!$B24&amp;Weekly_TVPlant!$B$3&amp;$B$2&amp;$B$1)</f>
        <v>0</v>
      </c>
      <c r="CM24" s="2">
        <f>COUNTIF(defects!$X:$X,Weekly_TVPlant!CM$3&amp;Weekly_TVPlant!$B24&amp;Weekly_TVPlant!$B$3&amp;$B$2&amp;$B$1)</f>
        <v>0</v>
      </c>
      <c r="CN24" s="2">
        <f>COUNTIF(defects!$X:$X,Weekly_TVPlant!CN$3&amp;Weekly_TVPlant!$B24&amp;Weekly_TVPlant!$B$3&amp;$B$2&amp;$B$1)</f>
        <v>0</v>
      </c>
      <c r="CO24" s="2">
        <f>COUNTIF(defects!$X:$X,Weekly_TVPlant!CO$3&amp;Weekly_TVPlant!$B24&amp;Weekly_TVPlant!$B$3&amp;$B$2&amp;$B$1)</f>
        <v>0</v>
      </c>
      <c r="CP24" s="2">
        <f>COUNTIF(defects!$X:$X,Weekly_TVPlant!CP$3&amp;Weekly_TVPlant!$B24&amp;Weekly_TVPlant!$B$3&amp;$B$2&amp;$B$1)</f>
        <v>0</v>
      </c>
      <c r="CQ24" s="2">
        <f>COUNTIF(defects!$X:$X,Weekly_TVPlant!CQ$3&amp;Weekly_TVPlant!$B24&amp;Weekly_TVPlant!$B$3&amp;$B$2&amp;$B$1)</f>
        <v>0</v>
      </c>
      <c r="CR24" s="2">
        <f>COUNTIF(defects!$X:$X,Weekly_TVPlant!CR$3&amp;Weekly_TVPlant!$B24&amp;Weekly_TVPlant!$B$3&amp;$B$2&amp;$B$1)</f>
        <v>0</v>
      </c>
      <c r="CS24" s="2">
        <f>COUNTIF(defects!$X:$X,Weekly_TVPlant!CS$3&amp;Weekly_TVPlant!$B24&amp;Weekly_TVPlant!$B$3&amp;$B$2&amp;$B$1)</f>
        <v>0</v>
      </c>
      <c r="CT24" s="2">
        <f>COUNTIF(defects!$X:$X,Weekly_TVPlant!CT$3&amp;Weekly_TVPlant!$B24&amp;Weekly_TVPlant!$B$3&amp;$B$2&amp;$B$1)</f>
        <v>0</v>
      </c>
      <c r="CU24" s="2">
        <f>COUNTIF(defects!$X:$X,Weekly_TVPlant!CU$3&amp;Weekly_TVPlant!$B24&amp;Weekly_TVPlant!$B$3&amp;$B$2&amp;$B$1)</f>
        <v>0</v>
      </c>
      <c r="CV24" s="2">
        <f>COUNTIF(defects!$X:$X,Weekly_TVPlant!CV$3&amp;Weekly_TVPlant!$B24&amp;Weekly_TVPlant!$B$3&amp;$B$2&amp;$B$1)</f>
        <v>0</v>
      </c>
      <c r="CW24" s="2">
        <f>COUNTIF(defects!$X:$X,Weekly_TVPlant!CW$3&amp;Weekly_TVPlant!$B24&amp;Weekly_TVPlant!$B$3&amp;$B$2&amp;$B$1)</f>
        <v>0</v>
      </c>
      <c r="CX24" s="2">
        <f>COUNTIF(defects!$X:$X,Weekly_TVPlant!CX$3&amp;Weekly_TVPlant!$B24&amp;Weekly_TVPlant!$B$3&amp;$B$2&amp;$B$1)</f>
        <v>0</v>
      </c>
      <c r="CY24" s="2">
        <f>COUNTIF(defects!$X:$X,Weekly_TVPlant!CY$3&amp;Weekly_TVPlant!$B24&amp;Weekly_TVPlant!$B$3&amp;$B$2&amp;$B$1)</f>
        <v>0</v>
      </c>
      <c r="CZ24" s="2">
        <f>COUNTIF(defects!$X:$X,Weekly_TVPlant!CZ$3&amp;Weekly_TVPlant!$B24&amp;Weekly_TVPlant!$B$3&amp;$B$2&amp;$B$1)</f>
        <v>0</v>
      </c>
      <c r="DA24" s="2">
        <f>COUNTIF(defects!$X:$X,Weekly_TVPlant!DA$3&amp;Weekly_TVPlant!$B24&amp;Weekly_TVPlant!$B$3&amp;$B$2&amp;$B$1)</f>
        <v>0</v>
      </c>
      <c r="DB24" s="2">
        <f>COUNTIF(defects!$X:$X,Weekly_TVPlant!DB$3&amp;Weekly_TVPlant!$B24&amp;Weekly_TVPlant!$B$3&amp;$B$2&amp;$B$1)</f>
        <v>0</v>
      </c>
      <c r="DC24" s="2">
        <f>COUNTIF(defects!$X:$X,Weekly_TVPlant!DC$3&amp;Weekly_TVPlant!$B24&amp;Weekly_TVPlant!$B$3&amp;$B$2&amp;$B$1)</f>
        <v>0</v>
      </c>
      <c r="DD24" s="2">
        <f>COUNTIF(defects!$X:$X,Weekly_TVPlant!DD$3&amp;Weekly_TVPlant!$B24&amp;Weekly_TVPlant!$B$3&amp;$B$2&amp;$B$1)</f>
        <v>0</v>
      </c>
      <c r="DE24" s="2">
        <f>COUNTIF(defects!$X:$X,Weekly_TVPlant!DE$3&amp;Weekly_TVPlant!$B24&amp;Weekly_TVPlant!$B$3&amp;$B$2&amp;$B$1)</f>
        <v>0</v>
      </c>
      <c r="DF24" s="2">
        <f>COUNTIF(defects!$X:$X,Weekly_TVPlant!DF$3&amp;Weekly_TVPlant!$B24&amp;Weekly_TVPlant!$B$3&amp;$B$2&amp;$B$1)</f>
        <v>0</v>
      </c>
      <c r="DG24" s="2">
        <f>COUNTIF(defects!$X:$X,Weekly_TVPlant!DG$3&amp;Weekly_TVPlant!$B24&amp;Weekly_TVPlant!$B$3&amp;$B$2&amp;$B$1)</f>
        <v>0</v>
      </c>
      <c r="DH24" s="2">
        <f>COUNTIF(defects!$X:$X,Weekly_TVPlant!DH$3&amp;Weekly_TVPlant!$B24&amp;Weekly_TVPlant!$B$3&amp;$B$2&amp;$B$1)</f>
        <v>0</v>
      </c>
      <c r="DI24" s="2">
        <f>COUNTIF(defects!$X:$X,Weekly_TVPlant!DI$3&amp;Weekly_TVPlant!$B24&amp;Weekly_TVPlant!$B$3&amp;$B$2&amp;$B$1)</f>
        <v>0</v>
      </c>
      <c r="DJ24" s="2">
        <f>COUNTIF(defects!$X:$X,Weekly_TVPlant!DJ$3&amp;Weekly_TVPlant!$B24&amp;Weekly_TVPlant!$B$3&amp;$B$2&amp;$B$1)</f>
        <v>0</v>
      </c>
      <c r="DK24" s="2">
        <f>COUNTIF(defects!$X:$X,Weekly_TVPlant!DK$3&amp;Weekly_TVPlant!$B24&amp;Weekly_TVPlant!$B$3&amp;$B$2&amp;$B$1)</f>
        <v>0</v>
      </c>
      <c r="DL24" s="2">
        <f>COUNTIF(defects!$X:$X,Weekly_TVPlant!DL$3&amp;Weekly_TVPlant!$B24&amp;Weekly_TVPlant!$B$3&amp;$B$2&amp;$B$1)</f>
        <v>0</v>
      </c>
      <c r="DM24" s="2">
        <f>COUNTIF(defects!$X:$X,Weekly_TVPlant!DM$3&amp;Weekly_TVPlant!$B24&amp;Weekly_TVPlant!$B$3&amp;$B$2&amp;$B$1)</f>
        <v>0</v>
      </c>
      <c r="DN24" s="2">
        <f>COUNTIF(defects!$X:$X,Weekly_TVPlant!DN$3&amp;Weekly_TVPlant!$B24&amp;Weekly_TVPlant!$B$3&amp;$B$2&amp;$B$1)</f>
        <v>0</v>
      </c>
      <c r="DO24" s="2">
        <f>COUNTIF(defects!$X:$X,Weekly_TVPlant!DO$3&amp;Weekly_TVPlant!$B24&amp;Weekly_TVPlant!$B$3&amp;$B$2&amp;$B$1)</f>
        <v>0</v>
      </c>
      <c r="DP24" s="2">
        <f>COUNTIF(defects!$X:$X,Weekly_TVPlant!DP$3&amp;Weekly_TVPlant!$B24&amp;Weekly_TVPlant!$B$3&amp;$B$2&amp;$B$1)</f>
        <v>0</v>
      </c>
      <c r="DQ24" s="2">
        <f>COUNTIF(defects!$X:$X,Weekly_TVPlant!DQ$3&amp;Weekly_TVPlant!$B24&amp;Weekly_TVPlant!$B$3&amp;$B$2&amp;$B$1)</f>
        <v>0</v>
      </c>
      <c r="DR24" s="2">
        <f>COUNTIF(defects!$X:$X,Weekly_TVPlant!DR$3&amp;Weekly_TVPlant!$B24&amp;Weekly_TVPlant!$B$3&amp;$B$2&amp;$B$1)</f>
        <v>0</v>
      </c>
      <c r="DS24" s="2">
        <f>COUNTIF(defects!$X:$X,Weekly_TVPlant!DS$3&amp;Weekly_TVPlant!$B24&amp;Weekly_TVPlant!$B$3&amp;$B$2&amp;$B$1)</f>
        <v>0</v>
      </c>
      <c r="DT24" s="2">
        <f>COUNTIF(defects!$X:$X,Weekly_TVPlant!DT$3&amp;Weekly_TVPlant!$B24&amp;Weekly_TVPlant!$B$3&amp;$B$2&amp;$B$1)</f>
        <v>0</v>
      </c>
      <c r="DU24" s="2">
        <f>COUNTIF(defects!$X:$X,Weekly_TVPlant!DU$3&amp;Weekly_TVPlant!$B24&amp;Weekly_TVPlant!$B$3&amp;$B$2&amp;$B$1)</f>
        <v>0</v>
      </c>
      <c r="DV24" s="2">
        <f>COUNTIF(defects!$X:$X,Weekly_TVPlant!DV$3&amp;Weekly_TVPlant!$B24&amp;Weekly_TVPlant!$B$3&amp;$B$2&amp;$B$1)</f>
        <v>0</v>
      </c>
      <c r="DW24" s="2">
        <f>COUNTIF(defects!$X:$X,Weekly_TVPlant!DW$3&amp;Weekly_TVPlant!$B24&amp;Weekly_TVPlant!$B$3&amp;$B$2&amp;$B$1)</f>
        <v>0</v>
      </c>
      <c r="DX24" s="2">
        <f>COUNTIF(defects!$X:$X,Weekly_TVPlant!DX$3&amp;Weekly_TVPlant!$B24&amp;Weekly_TVPlant!$B$3&amp;$B$2&amp;$B$1)</f>
        <v>0</v>
      </c>
      <c r="DY24" s="2">
        <f>COUNTIF(defects!$X:$X,Weekly_TVPlant!DY$3&amp;Weekly_TVPlant!$B24&amp;Weekly_TVPlant!$B$3&amp;$B$2&amp;$B$1)</f>
        <v>0</v>
      </c>
      <c r="DZ24" s="2">
        <f>COUNTIF(defects!$X:$X,Weekly_TVPlant!DZ$3&amp;Weekly_TVPlant!$B24&amp;Weekly_TVPlant!$B$3&amp;$B$2&amp;$B$1)</f>
        <v>0</v>
      </c>
      <c r="EA24" s="2">
        <f>COUNTIF(defects!$X:$X,Weekly_TVPlant!EA$3&amp;Weekly_TVPlant!$B24&amp;Weekly_TVPlant!$B$3&amp;$B$2&amp;$B$1)</f>
        <v>0</v>
      </c>
      <c r="EB24" s="2">
        <f>COUNTIF(defects!$X:$X,Weekly_TVPlant!EB$3&amp;Weekly_TVPlant!$B24&amp;Weekly_TVPlant!$B$3&amp;$B$2&amp;$B$1)</f>
        <v>0</v>
      </c>
      <c r="EC24" s="2">
        <f>COUNTIF(defects!$X:$X,Weekly_TVPlant!EC$3&amp;Weekly_TVPlant!$B24&amp;Weekly_TVPlant!$B$3&amp;$B$2&amp;$B$1)</f>
        <v>0</v>
      </c>
      <c r="ED24" s="2">
        <f>COUNTIF(defects!$X:$X,Weekly_TVPlant!ED$3&amp;Weekly_TVPlant!$B24&amp;Weekly_TVPlant!$B$3&amp;$B$2&amp;$B$1)</f>
        <v>0</v>
      </c>
      <c r="EE24" s="2">
        <f>COUNTIF(defects!$X:$X,Weekly_TVPlant!EE$3&amp;Weekly_TVPlant!$B24&amp;Weekly_TVPlant!$B$3&amp;$B$2&amp;$B$1)</f>
        <v>0</v>
      </c>
      <c r="EF24" s="2">
        <f>COUNTIF(defects!$X:$X,Weekly_TVPlant!EF$3&amp;Weekly_TVPlant!$B24&amp;Weekly_TVPlant!$B$3&amp;$B$2&amp;$B$1)</f>
        <v>0</v>
      </c>
      <c r="EG24" s="2">
        <f>COUNTIF(defects!$X:$X,Weekly_TVPlant!EG$3&amp;Weekly_TVPlant!$B24&amp;Weekly_TVPlant!$B$3&amp;$B$2&amp;$B$1)</f>
        <v>0</v>
      </c>
      <c r="EH24" s="2">
        <f>COUNTIF(defects!$X:$X,Weekly_TVPlant!EH$3&amp;Weekly_TVPlant!$B24&amp;Weekly_TVPlant!$B$3&amp;$B$2&amp;$B$1)</f>
        <v>0</v>
      </c>
      <c r="EI24" s="2">
        <f>COUNTIF(defects!$X:$X,Weekly_TVPlant!EI$3&amp;Weekly_TVPlant!$B24&amp;Weekly_TVPlant!$B$3&amp;$B$2&amp;$B$1)</f>
        <v>0</v>
      </c>
      <c r="EJ24" s="2">
        <f>COUNTIF(defects!$X:$X,Weekly_TVPlant!EJ$3&amp;Weekly_TVPlant!$B24&amp;Weekly_TVPlant!$B$3&amp;$B$2&amp;$B$1)</f>
        <v>0</v>
      </c>
      <c r="EK24" s="2">
        <f>COUNTIF(defects!$X:$X,Weekly_TVPlant!EK$3&amp;Weekly_TVPlant!$B24&amp;Weekly_TVPlant!$B$3&amp;$B$2&amp;$B$1)</f>
        <v>0</v>
      </c>
      <c r="EL24" s="2">
        <f>COUNTIF(defects!$X:$X,Weekly_TVPlant!EL$3&amp;Weekly_TVPlant!$B24&amp;Weekly_TVPlant!$B$3&amp;$B$2&amp;$B$1)</f>
        <v>0</v>
      </c>
      <c r="EM24" s="2">
        <f>COUNTIF(defects!$X:$X,Weekly_TVPlant!EM$3&amp;Weekly_TVPlant!$B24&amp;Weekly_TVPlant!$B$3&amp;$B$2&amp;$B$1)</f>
        <v>0</v>
      </c>
      <c r="EN24" s="2">
        <f>COUNTIF(defects!$X:$X,Weekly_TVPlant!EN$3&amp;Weekly_TVPlant!$B24&amp;Weekly_TVPlant!$B$3&amp;$B$2&amp;$B$1)</f>
        <v>0</v>
      </c>
      <c r="EO24" s="2">
        <f>COUNTIF(defects!$X:$X,Weekly_TVPlant!EO$3&amp;Weekly_TVPlant!$B24&amp;Weekly_TVPlant!$B$3&amp;$B$2&amp;$B$1)</f>
        <v>0</v>
      </c>
      <c r="EP24" s="2">
        <f>COUNTIF(defects!$X:$X,Weekly_TVPlant!EP$3&amp;Weekly_TVPlant!$B24&amp;Weekly_TVPlant!$B$3&amp;$B$2&amp;$B$1)</f>
        <v>0</v>
      </c>
      <c r="EQ24" s="2">
        <f>COUNTIF(defects!$X:$X,Weekly_TVPlant!EQ$3&amp;Weekly_TVPlant!$B24&amp;Weekly_TVPlant!$B$3&amp;$B$2&amp;$B$1)</f>
        <v>0</v>
      </c>
      <c r="ER24" s="2">
        <f>COUNTIF(defects!$X:$X,Weekly_TVPlant!ER$3&amp;Weekly_TVPlant!$B24&amp;Weekly_TVPlant!$B$3&amp;$B$2&amp;$B$1)</f>
        <v>0</v>
      </c>
      <c r="ES24" s="2">
        <f>COUNTIF(defects!$X:$X,Weekly_TVPlant!ES$3&amp;Weekly_TVPlant!$B24&amp;Weekly_TVPlant!$B$3&amp;$B$2&amp;$B$1)</f>
        <v>0</v>
      </c>
      <c r="ET24" s="2">
        <f>COUNTIF(defects!$X:$X,Weekly_TVPlant!ET$3&amp;Weekly_TVPlant!$B24&amp;Weekly_TVPlant!$B$3&amp;$B$2&amp;$B$1)</f>
        <v>0</v>
      </c>
      <c r="EU24" s="2">
        <f>COUNTIF(defects!$X:$X,Weekly_TVPlant!EU$3&amp;Weekly_TVPlant!$B24&amp;Weekly_TVPlant!$B$3&amp;$B$2&amp;$B$1)</f>
        <v>0</v>
      </c>
      <c r="EV24" s="2">
        <f>COUNTIF(defects!$X:$X,Weekly_TVPlant!EV$3&amp;Weekly_TVPlant!$B24&amp;Weekly_TVPlant!$B$3&amp;$B$2&amp;$B$1)</f>
        <v>0</v>
      </c>
      <c r="EW24" s="2">
        <f>COUNTIF(defects!$X:$X,Weekly_TVPlant!EW$3&amp;Weekly_TVPlant!$B24&amp;Weekly_TVPlant!$B$3&amp;$B$2&amp;$B$1)</f>
        <v>0</v>
      </c>
      <c r="EX24" s="2">
        <f>COUNTIF(defects!$X:$X,Weekly_TVPlant!EX$3&amp;Weekly_TVPlant!$B24&amp;Weekly_TVPlant!$B$3&amp;$B$2&amp;$B$1)</f>
        <v>0</v>
      </c>
      <c r="EY24" s="2">
        <f>COUNTIF(defects!$X:$X,Weekly_TVPlant!EY$3&amp;Weekly_TVPlant!$B24&amp;Weekly_TVPlant!$B$3&amp;$B$2&amp;$B$1)</f>
        <v>0</v>
      </c>
      <c r="EZ24" s="2">
        <f>COUNTIF(defects!$X:$X,Weekly_TVPlant!EZ$3&amp;Weekly_TVPlant!$B24&amp;Weekly_TVPlant!$B$3&amp;$B$2&amp;$B$1)</f>
        <v>0</v>
      </c>
      <c r="FA24" s="2">
        <f>COUNTIF(defects!$X:$X,Weekly_TVPlant!FA$3&amp;Weekly_TVPlant!$B24&amp;Weekly_TVPlant!$B$3&amp;$B$2&amp;$B$1)</f>
        <v>0</v>
      </c>
      <c r="FB24" s="2">
        <f>COUNTIF(defects!$X:$X,Weekly_TVPlant!FB$3&amp;Weekly_TVPlant!$B24&amp;Weekly_TVPlant!$B$3&amp;$B$2&amp;$B$1)</f>
        <v>0</v>
      </c>
      <c r="FC24" s="2">
        <f>COUNTIF(defects!$X:$X,Weekly_TVPlant!FC$3&amp;Weekly_TVPlant!$B24&amp;Weekly_TVPlant!$B$3&amp;$B$2&amp;$B$1)</f>
        <v>0</v>
      </c>
      <c r="FD24" s="2">
        <f>COUNTIF(defects!$X:$X,Weekly_TVPlant!FD$3&amp;Weekly_TVPlant!$B24&amp;Weekly_TVPlant!$B$3&amp;$B$2&amp;$B$1)</f>
        <v>0</v>
      </c>
      <c r="FE24" s="2">
        <f>COUNTIF(defects!$X:$X,Weekly_TVPlant!FE$3&amp;Weekly_TVPlant!$B24&amp;Weekly_TVPlant!$B$3&amp;$B$2&amp;$B$1)</f>
        <v>0</v>
      </c>
    </row>
    <row r="25" spans="2:161">
      <c r="C25" s="2"/>
    </row>
  </sheetData>
  <phoneticPr fontId="7" type="noConversion"/>
  <conditionalFormatting sqref="C6:C25 D6:FE24 C4:FE5">
    <cfRule type="cellIs" dxfId="8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9FBE0-EF5B-45EF-98FF-4AE74C68CD86}">
  <sheetPr codeName="wsMonthly1">
    <tabColor rgb="FF00CC99"/>
  </sheetPr>
  <dimension ref="B1:AV48"/>
  <sheetViews>
    <sheetView zoomScale="84" zoomScaleNormal="84" workbookViewId="0">
      <selection activeCell="AR3" sqref="AR3"/>
    </sheetView>
  </sheetViews>
  <sheetFormatPr defaultColWidth="8.90625" defaultRowHeight="14.5"/>
  <cols>
    <col min="1" max="1" width="3" style="3" customWidth="1"/>
    <col min="2" max="5" width="11.08984375" style="3" customWidth="1"/>
    <col min="6" max="29" width="9.453125" style="3" hidden="1" customWidth="1"/>
    <col min="30" max="31" width="9.453125" style="3" customWidth="1"/>
    <col min="32" max="42" width="9.453125" style="3" hidden="1" customWidth="1"/>
    <col min="43" max="48" width="9.453125" style="3" customWidth="1"/>
    <col min="49" max="16384" width="8.90625" style="3"/>
  </cols>
  <sheetData>
    <row r="1" spans="2:48">
      <c r="B1" s="3" t="str">
        <f>Report!D26</f>
        <v>FSK</v>
      </c>
    </row>
    <row r="2" spans="2:48">
      <c r="B2" s="3" t="s">
        <v>28</v>
      </c>
      <c r="C2" s="3" t="str">
        <f>B3</f>
        <v>FY21</v>
      </c>
      <c r="D2" s="3" t="str">
        <f>"FY" &amp; (RIGHT(B3,2)+1)</f>
        <v>FY22</v>
      </c>
      <c r="F2" s="3" t="s">
        <v>961</v>
      </c>
      <c r="G2" s="3" t="s">
        <v>961</v>
      </c>
      <c r="H2" s="3" t="s">
        <v>961</v>
      </c>
      <c r="I2" s="3" t="s">
        <v>961</v>
      </c>
      <c r="J2" s="3" t="s">
        <v>961</v>
      </c>
      <c r="K2" s="3" t="s">
        <v>961</v>
      </c>
      <c r="L2" s="3" t="s">
        <v>961</v>
      </c>
      <c r="M2" s="3" t="s">
        <v>961</v>
      </c>
      <c r="N2" s="3" t="s">
        <v>961</v>
      </c>
      <c r="O2" s="3" t="s">
        <v>961</v>
      </c>
      <c r="P2" s="3" t="s">
        <v>961</v>
      </c>
      <c r="Q2" s="3" t="s">
        <v>961</v>
      </c>
      <c r="R2" s="3" t="s">
        <v>960</v>
      </c>
      <c r="S2" s="3" t="s">
        <v>960</v>
      </c>
      <c r="T2" s="3" t="s">
        <v>960</v>
      </c>
      <c r="U2" s="3" t="s">
        <v>960</v>
      </c>
      <c r="V2" s="3" t="s">
        <v>960</v>
      </c>
      <c r="W2" s="3" t="s">
        <v>960</v>
      </c>
      <c r="X2" s="3" t="s">
        <v>960</v>
      </c>
      <c r="Y2" s="3" t="s">
        <v>960</v>
      </c>
      <c r="Z2" s="3" t="s">
        <v>960</v>
      </c>
      <c r="AA2" s="3" t="s">
        <v>960</v>
      </c>
      <c r="AB2" s="3" t="s">
        <v>960</v>
      </c>
      <c r="AC2" s="3" t="s">
        <v>960</v>
      </c>
      <c r="AD2" s="3" t="s">
        <v>1025</v>
      </c>
      <c r="AE2" s="3" t="s">
        <v>1025</v>
      </c>
      <c r="AF2" s="3" t="s">
        <v>1025</v>
      </c>
      <c r="AG2" s="3" t="s">
        <v>1025</v>
      </c>
      <c r="AH2" s="3" t="s">
        <v>1025</v>
      </c>
      <c r="AI2" s="3" t="s">
        <v>1025</v>
      </c>
      <c r="AJ2" s="3" t="s">
        <v>1025</v>
      </c>
      <c r="AK2" s="3" t="s">
        <v>1025</v>
      </c>
      <c r="AL2" s="3" t="s">
        <v>1025</v>
      </c>
      <c r="AM2" s="3" t="s">
        <v>1025</v>
      </c>
      <c r="AN2" s="3" t="s">
        <v>1025</v>
      </c>
      <c r="AO2" s="3" t="s">
        <v>1025</v>
      </c>
      <c r="AP2" s="3" t="s">
        <v>6951</v>
      </c>
    </row>
    <row r="3" spans="2:48">
      <c r="B3" s="9" t="str">
        <f>Report!B26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988</v>
      </c>
      <c r="G3" s="10" t="s">
        <v>987</v>
      </c>
      <c r="H3" s="10" t="s">
        <v>986</v>
      </c>
      <c r="I3" s="10" t="s">
        <v>977</v>
      </c>
      <c r="J3" s="10" t="s">
        <v>978</v>
      </c>
      <c r="K3" s="10" t="s">
        <v>979</v>
      </c>
      <c r="L3" s="10" t="s">
        <v>980</v>
      </c>
      <c r="M3" s="10" t="s">
        <v>981</v>
      </c>
      <c r="N3" s="10" t="s">
        <v>982</v>
      </c>
      <c r="O3" s="10" t="s">
        <v>983</v>
      </c>
      <c r="P3" s="10" t="s">
        <v>984</v>
      </c>
      <c r="Q3" s="10" t="s">
        <v>985</v>
      </c>
      <c r="R3" s="10" t="s">
        <v>976</v>
      </c>
      <c r="S3" s="10" t="s">
        <v>975</v>
      </c>
      <c r="T3" s="10" t="s">
        <v>969</v>
      </c>
      <c r="U3" s="10" t="s">
        <v>970</v>
      </c>
      <c r="V3" s="10" t="s">
        <v>971</v>
      </c>
      <c r="W3" s="10" t="s">
        <v>972</v>
      </c>
      <c r="X3" s="10" t="s">
        <v>973</v>
      </c>
      <c r="Y3" s="10" t="s">
        <v>974</v>
      </c>
      <c r="Z3" s="10" t="s">
        <v>997</v>
      </c>
      <c r="AA3" s="10" t="s">
        <v>998</v>
      </c>
      <c r="AB3" s="10" t="s">
        <v>999</v>
      </c>
      <c r="AC3" s="10" t="s">
        <v>1000</v>
      </c>
      <c r="AD3" s="10" t="s">
        <v>1001</v>
      </c>
      <c r="AE3" s="10" t="s">
        <v>1002</v>
      </c>
      <c r="AF3" s="10" t="s">
        <v>1003</v>
      </c>
      <c r="AG3" s="10" t="s">
        <v>1004</v>
      </c>
      <c r="AH3" s="10" t="s">
        <v>1005</v>
      </c>
      <c r="AI3" s="10" t="s">
        <v>1006</v>
      </c>
      <c r="AJ3" s="10" t="s">
        <v>1007</v>
      </c>
      <c r="AK3" s="10" t="s">
        <v>1008</v>
      </c>
      <c r="AL3" s="10" t="s">
        <v>1009</v>
      </c>
      <c r="AM3" s="10" t="s">
        <v>1010</v>
      </c>
      <c r="AN3" s="10" t="s">
        <v>1011</v>
      </c>
      <c r="AO3" s="10" t="s">
        <v>1012</v>
      </c>
      <c r="AP3" s="10" t="s">
        <v>1013</v>
      </c>
      <c r="AQ3" s="10"/>
      <c r="AR3" s="11" cm="1">
        <f t="array" ref="AR3">GetPreviousWkNo(AS3)</f>
        <v>2151</v>
      </c>
      <c r="AS3" s="11" cm="1">
        <f t="array" ref="AS3">GetPreviousWkNo(AT3)</f>
        <v>2152</v>
      </c>
      <c r="AT3" s="16">
        <f>Report!C26</f>
        <v>2201</v>
      </c>
      <c r="AU3" s="10"/>
      <c r="AV3" s="12" t="s">
        <v>1024</v>
      </c>
    </row>
    <row r="4" spans="2:48">
      <c r="B4" s="12" t="s">
        <v>989</v>
      </c>
      <c r="C4" s="12">
        <f>SUMIF($F$2:$AP$2,C$2,$F4:$AP4)</f>
        <v>123324</v>
      </c>
      <c r="D4" s="12">
        <f>SUMIF($F$2:$AP$2,D$2,$F4:$AP4)</f>
        <v>0</v>
      </c>
      <c r="E4" s="12"/>
      <c r="F4" s="12">
        <f>SUMIF(inputs!$J:$J,$B$3&amp;F$3&amp;$B$1,inputs!$D:$D)</f>
        <v>0</v>
      </c>
      <c r="G4" s="12">
        <f>SUMIF(inputs!$J:$J,$B$3&amp;G$3&amp;$B$1,inputs!$D:$D)</f>
        <v>0</v>
      </c>
      <c r="H4" s="12">
        <f>SUMIF(inputs!$J:$J,$B$3&amp;H$3&amp;$B$1,inputs!$D:$D)</f>
        <v>0</v>
      </c>
      <c r="I4" s="12">
        <f>SUMIF(inputs!$J:$J,$B$3&amp;I$3&amp;$B$1,inputs!$D:$D)</f>
        <v>0</v>
      </c>
      <c r="J4" s="12">
        <f>SUMIF(inputs!$J:$J,$B$3&amp;J$3&amp;$B$1,inputs!$D:$D)</f>
        <v>0</v>
      </c>
      <c r="K4" s="12">
        <f>SUMIF(inputs!$J:$J,$B$3&amp;K$3&amp;$B$1,inputs!$D:$D)</f>
        <v>0</v>
      </c>
      <c r="L4" s="12">
        <f>SUMIF(inputs!$J:$J,$B$3&amp;L$3&amp;$B$1,inputs!$D:$D)</f>
        <v>0</v>
      </c>
      <c r="M4" s="12">
        <f>SUMIF(inputs!$J:$J,$B$3&amp;M$3&amp;$B$1,inputs!$D:$D)</f>
        <v>0</v>
      </c>
      <c r="N4" s="12">
        <f>SUMIF(inputs!$J:$J,$B$3&amp;N$3&amp;$B$1,inputs!$D:$D)</f>
        <v>0</v>
      </c>
      <c r="O4" s="12">
        <f>SUMIF(inputs!$J:$J,$B$3&amp;O$3&amp;$B$1,inputs!$D:$D)</f>
        <v>0</v>
      </c>
      <c r="P4" s="12">
        <f>SUMIF(inputs!$J:$J,$B$3&amp;P$3&amp;$B$1,inputs!$D:$D)</f>
        <v>0</v>
      </c>
      <c r="Q4" s="12">
        <f>SUMIF(inputs!$J:$J,$B$3&amp;Q$3&amp;$B$1,inputs!$D:$D)</f>
        <v>0</v>
      </c>
      <c r="R4" s="12">
        <f>SUMIF(inputs!$J:$J,$B$3&amp;R$3&amp;$B$1,inputs!$D:$D)</f>
        <v>0</v>
      </c>
      <c r="S4" s="12">
        <f>SUMIF(inputs!$J:$J,$B$3&amp;S$3&amp;$B$1,inputs!$D:$D)</f>
        <v>2</v>
      </c>
      <c r="T4" s="12">
        <f>SUMIF(inputs!$J:$J,$B$3&amp;T$3&amp;$B$1,inputs!$D:$D)</f>
        <v>1849</v>
      </c>
      <c r="U4" s="12">
        <f>SUMIF(inputs!$J:$J,$B$3&amp;U$3&amp;$B$1,inputs!$D:$D)</f>
        <v>2351</v>
      </c>
      <c r="V4" s="12">
        <f>SUMIF(inputs!$J:$J,$B$3&amp;V$3&amp;$B$1,inputs!$D:$D)</f>
        <v>7301</v>
      </c>
      <c r="W4" s="12">
        <f>SUMIF(inputs!$J:$J,$B$3&amp;W$3&amp;$B$1,inputs!$D:$D)</f>
        <v>14554</v>
      </c>
      <c r="X4" s="12">
        <f>SUMIF(inputs!$J:$J,$B$3&amp;X$3&amp;$B$1,inputs!$D:$D)</f>
        <v>13123</v>
      </c>
      <c r="Y4" s="12">
        <f>SUMIF(inputs!$J:$J,$B$3&amp;Y$3&amp;$B$1,inputs!$D:$D)</f>
        <v>24379</v>
      </c>
      <c r="Z4" s="12">
        <f>SUMIF(inputs!$J:$J,$B$3&amp;Z$3&amp;$B$1,inputs!$D:$D)</f>
        <v>22012</v>
      </c>
      <c r="AA4" s="12">
        <f>SUMIF(inputs!$J:$J,$B$3&amp;AA$3&amp;$B$1,inputs!$D:$D)</f>
        <v>18221</v>
      </c>
      <c r="AB4" s="12">
        <f>SUMIF(inputs!$J:$J,$B$3&amp;AB$3&amp;$B$1,inputs!$D:$D)</f>
        <v>15437</v>
      </c>
      <c r="AC4" s="12">
        <f>SUMIF(inputs!$J:$J,$B$3&amp;AC$3&amp;$B$1,inputs!$D:$D)</f>
        <v>4095</v>
      </c>
      <c r="AD4" s="12">
        <f>SUMIF(inputs!$J:$J,$B$3&amp;AD$3&amp;$B$1,inputs!$D:$D)</f>
        <v>0</v>
      </c>
      <c r="AE4" s="12">
        <f>SUMIF(inputs!$J:$J,$B$3&amp;AE$3&amp;$B$1,inputs!$D:$D)</f>
        <v>0</v>
      </c>
      <c r="AF4" s="12">
        <f>SUMIF(inputs!$J:$J,$B$3&amp;AF$3&amp;$B$1,inputs!$D:$D)</f>
        <v>0</v>
      </c>
      <c r="AG4" s="12">
        <f>SUMIF(inputs!$J:$J,$B$3&amp;AG$3&amp;$B$1,inputs!$D:$D)</f>
        <v>0</v>
      </c>
      <c r="AH4" s="12">
        <f>SUMIF(inputs!$J:$J,$B$3&amp;AH$3&amp;$B$1,inputs!$D:$D)</f>
        <v>0</v>
      </c>
      <c r="AI4" s="12">
        <f>SUMIF(inputs!$J:$J,$B$3&amp;AI$3&amp;$B$1,inputs!$D:$D)</f>
        <v>0</v>
      </c>
      <c r="AJ4" s="12">
        <f>SUMIF(inputs!$J:$J,$B$3&amp;AJ$3&amp;$B$1,inputs!$D:$D)</f>
        <v>0</v>
      </c>
      <c r="AK4" s="12">
        <f>SUMIF(inputs!$J:$J,$B$3&amp;AK$3&amp;$B$1,inputs!$D:$D)</f>
        <v>0</v>
      </c>
      <c r="AL4" s="12">
        <f>SUMIF(inputs!$J:$J,$B$3&amp;AL$3&amp;$B$1,inputs!$D:$D)</f>
        <v>0</v>
      </c>
      <c r="AM4" s="12">
        <f>SUMIF(inputs!$J:$J,$B$3&amp;AM$3&amp;$B$1,inputs!$D:$D)</f>
        <v>0</v>
      </c>
      <c r="AN4" s="12">
        <f>SUMIF(inputs!$J:$J,$B$3&amp;AN$3&amp;$B$1,inputs!$D:$D)</f>
        <v>0</v>
      </c>
      <c r="AO4" s="12">
        <f>SUMIF(inputs!$J:$J,$B$3&amp;AO$3&amp;$B$1,inputs!$D:$D)</f>
        <v>0</v>
      </c>
      <c r="AP4" s="12">
        <f>SUMIF(inputs!$J:$J,$B$3&amp;AP$3&amp;$B$1,inputs!$D:$D)</f>
        <v>0</v>
      </c>
      <c r="AQ4" s="12"/>
      <c r="AR4" s="12">
        <f>HLOOKUP(AR$3,Weekly_TVPlant!$3:$24,MATCH($B4,Weekly_TVPlant!$B$3:$B$24,0),0)</f>
        <v>0</v>
      </c>
      <c r="AS4" s="12">
        <f>HLOOKUP(AS$3,Weekly_TVPlant!$3:$24,MATCH($B4,Weekly_TVPlant!$B$3:$B$24,0),0)</f>
        <v>0</v>
      </c>
      <c r="AT4" s="12">
        <f>HLOOKUP(AT$3,Weekly_TVPlant!$3:$24,MATCH($B4,Weekly_TVPlant!$B$3:$B$24,0),0)</f>
        <v>0</v>
      </c>
      <c r="AU4" s="12"/>
      <c r="AV4" s="12">
        <f>SUM(F4:AP4)</f>
        <v>123324</v>
      </c>
    </row>
    <row r="5" spans="2:48">
      <c r="B5" s="12" t="s">
        <v>990</v>
      </c>
      <c r="C5" s="12">
        <f t="shared" ref="C5:D24" si="0">SUMIF($F$2:$AP$2,C$2,$F5:$AP5)</f>
        <v>209</v>
      </c>
      <c r="D5" s="12">
        <f t="shared" si="0"/>
        <v>0</v>
      </c>
      <c r="E5" s="12"/>
      <c r="F5" s="12">
        <f>SUM(F6:F24)</f>
        <v>0</v>
      </c>
      <c r="G5" s="12">
        <f>SUM(G6:G24)</f>
        <v>0</v>
      </c>
      <c r="H5" s="12">
        <f t="shared" ref="H5:AP5" si="1">SUM(H6:H24)</f>
        <v>0</v>
      </c>
      <c r="I5" s="12">
        <f t="shared" si="1"/>
        <v>0</v>
      </c>
      <c r="J5" s="12">
        <f t="shared" si="1"/>
        <v>0</v>
      </c>
      <c r="K5" s="12">
        <f t="shared" si="1"/>
        <v>0</v>
      </c>
      <c r="L5" s="12">
        <f t="shared" si="1"/>
        <v>0</v>
      </c>
      <c r="M5" s="12">
        <f t="shared" si="1"/>
        <v>0</v>
      </c>
      <c r="N5" s="12">
        <f t="shared" si="1"/>
        <v>0</v>
      </c>
      <c r="O5" s="12">
        <f t="shared" si="1"/>
        <v>0</v>
      </c>
      <c r="P5" s="12">
        <f t="shared" si="1"/>
        <v>0</v>
      </c>
      <c r="Q5" s="12">
        <f t="shared" si="1"/>
        <v>0</v>
      </c>
      <c r="R5" s="12">
        <f t="shared" si="1"/>
        <v>0</v>
      </c>
      <c r="S5" s="12">
        <f t="shared" si="1"/>
        <v>0</v>
      </c>
      <c r="T5" s="12">
        <f t="shared" si="1"/>
        <v>2</v>
      </c>
      <c r="U5" s="12">
        <f t="shared" si="1"/>
        <v>0</v>
      </c>
      <c r="V5" s="12">
        <f t="shared" si="1"/>
        <v>8</v>
      </c>
      <c r="W5" s="12">
        <f t="shared" si="1"/>
        <v>14</v>
      </c>
      <c r="X5" s="12">
        <f t="shared" si="1"/>
        <v>22</v>
      </c>
      <c r="Y5" s="12">
        <f t="shared" si="1"/>
        <v>29</v>
      </c>
      <c r="Z5" s="12">
        <f t="shared" si="1"/>
        <v>38</v>
      </c>
      <c r="AA5" s="12">
        <f t="shared" si="1"/>
        <v>64</v>
      </c>
      <c r="AB5" s="12">
        <f t="shared" si="1"/>
        <v>31</v>
      </c>
      <c r="AC5" s="12">
        <f t="shared" si="1"/>
        <v>1</v>
      </c>
      <c r="AD5" s="12">
        <f t="shared" si="1"/>
        <v>0</v>
      </c>
      <c r="AE5" s="12">
        <f t="shared" si="1"/>
        <v>0</v>
      </c>
      <c r="AF5" s="12">
        <f t="shared" si="1"/>
        <v>0</v>
      </c>
      <c r="AG5" s="12">
        <f t="shared" si="1"/>
        <v>0</v>
      </c>
      <c r="AH5" s="12">
        <f t="shared" si="1"/>
        <v>0</v>
      </c>
      <c r="AI5" s="12">
        <f t="shared" si="1"/>
        <v>0</v>
      </c>
      <c r="AJ5" s="12">
        <f t="shared" si="1"/>
        <v>0</v>
      </c>
      <c r="AK5" s="12">
        <f t="shared" si="1"/>
        <v>0</v>
      </c>
      <c r="AL5" s="12">
        <f t="shared" si="1"/>
        <v>0</v>
      </c>
      <c r="AM5" s="12">
        <f t="shared" si="1"/>
        <v>0</v>
      </c>
      <c r="AN5" s="12">
        <f t="shared" si="1"/>
        <v>0</v>
      </c>
      <c r="AO5" s="12">
        <f t="shared" si="1"/>
        <v>0</v>
      </c>
      <c r="AP5" s="12">
        <f t="shared" si="1"/>
        <v>0</v>
      </c>
      <c r="AQ5" s="12"/>
      <c r="AR5" s="12">
        <f>HLOOKUP(AR$3,Weekly_TVPlant!$3:$24,MATCH($B5,Weekly_TVPlant!$B$3:$B$24,0),0)</f>
        <v>0</v>
      </c>
      <c r="AS5" s="12">
        <f>HLOOKUP(AS$3,Weekly_TVPlant!$3:$24,MATCH($B5,Weekly_TVPlant!$B$3:$B$24,0),0)</f>
        <v>0</v>
      </c>
      <c r="AT5" s="12">
        <f>HLOOKUP(AT$3,Weekly_TVPlant!$3:$24,MATCH($B5,Weekly_TVPlant!$B$3:$B$24,0),0)</f>
        <v>0</v>
      </c>
      <c r="AU5" s="12"/>
      <c r="AV5" s="12">
        <f>SUM(F5:AP5)</f>
        <v>209</v>
      </c>
    </row>
    <row r="6" spans="2:48">
      <c r="B6" s="12" t="s">
        <v>991</v>
      </c>
      <c r="C6" s="12">
        <f t="shared" si="0"/>
        <v>0</v>
      </c>
      <c r="D6" s="12">
        <f t="shared" si="0"/>
        <v>0</v>
      </c>
      <c r="E6" s="12"/>
      <c r="F6" s="12">
        <f>COUNTIF(defects!$Y:$Y,Monthly_TVPlant!$B6&amp;Monthly_TVPlant!$B$3&amp;$B$2&amp;Monthly_TVPlant!F$3&amp;$B$1)</f>
        <v>0</v>
      </c>
      <c r="G6" s="12">
        <f>COUNTIF(defects!$Y:$Y,Monthly_TVPlant!$B6&amp;Monthly_TVPlant!$B$3&amp;$B$2&amp;Monthly_TVPlant!G$3&amp;$B$1)</f>
        <v>0</v>
      </c>
      <c r="H6" s="12">
        <f>COUNTIF(defects!$Y:$Y,Monthly_TVPlant!$B6&amp;Monthly_TVPlant!$B$3&amp;$B$2&amp;Monthly_TVPlant!H$3&amp;$B$1)</f>
        <v>0</v>
      </c>
      <c r="I6" s="12">
        <f>COUNTIF(defects!$Y:$Y,Monthly_TVPlant!$B6&amp;Monthly_TVPlant!$B$3&amp;$B$2&amp;Monthly_TVPlant!I$3&amp;$B$1)</f>
        <v>0</v>
      </c>
      <c r="J6" s="12">
        <f>COUNTIF(defects!$Y:$Y,Monthly_TVPlant!$B6&amp;Monthly_TVPlant!$B$3&amp;$B$2&amp;Monthly_TVPlant!J$3&amp;$B$1)</f>
        <v>0</v>
      </c>
      <c r="K6" s="12">
        <f>COUNTIF(defects!$Y:$Y,Monthly_TVPlant!$B6&amp;Monthly_TVPlant!$B$3&amp;$B$2&amp;Monthly_TVPlant!K$3&amp;$B$1)</f>
        <v>0</v>
      </c>
      <c r="L6" s="12">
        <f>COUNTIF(defects!$Y:$Y,Monthly_TVPlant!$B6&amp;Monthly_TVPlant!$B$3&amp;$B$2&amp;Monthly_TVPlant!L$3&amp;$B$1)</f>
        <v>0</v>
      </c>
      <c r="M6" s="12">
        <f>COUNTIF(defects!$Y:$Y,Monthly_TVPlant!$B6&amp;Monthly_TVPlant!$B$3&amp;$B$2&amp;Monthly_TVPlant!M$3&amp;$B$1)</f>
        <v>0</v>
      </c>
      <c r="N6" s="12">
        <f>COUNTIF(defects!$Y:$Y,Monthly_TVPlant!$B6&amp;Monthly_TVPlant!$B$3&amp;$B$2&amp;Monthly_TVPlant!N$3&amp;$B$1)</f>
        <v>0</v>
      </c>
      <c r="O6" s="12">
        <f>COUNTIF(defects!$Y:$Y,Monthly_TVPlant!$B6&amp;Monthly_TVPlant!$B$3&amp;$B$2&amp;Monthly_TVPlant!O$3&amp;$B$1)</f>
        <v>0</v>
      </c>
      <c r="P6" s="12">
        <f>COUNTIF(defects!$Y:$Y,Monthly_TVPlant!$B6&amp;Monthly_TVPlant!$B$3&amp;$B$2&amp;Monthly_TVPlant!P$3&amp;$B$1)</f>
        <v>0</v>
      </c>
      <c r="Q6" s="12">
        <f>COUNTIF(defects!$Y:$Y,Monthly_TVPlant!$B6&amp;Monthly_TVPlant!$B$3&amp;$B$2&amp;Monthly_TVPlant!Q$3&amp;$B$1)</f>
        <v>0</v>
      </c>
      <c r="R6" s="12">
        <f>COUNTIF(defects!$Y:$Y,Monthly_TVPlant!$B6&amp;Monthly_TVPlant!$B$3&amp;$B$2&amp;Monthly_TVPlant!R$3&amp;$B$1)</f>
        <v>0</v>
      </c>
      <c r="S6" s="12">
        <f>COUNTIF(defects!$Y:$Y,Monthly_TVPlant!$B6&amp;Monthly_TVPlant!$B$3&amp;$B$2&amp;Monthly_TVPlant!S$3&amp;$B$1)</f>
        <v>0</v>
      </c>
      <c r="T6" s="12">
        <f>COUNTIF(defects!$Y:$Y,Monthly_TVPlant!$B6&amp;Monthly_TVPlant!$B$3&amp;$B$2&amp;Monthly_TVPlant!T$3&amp;$B$1)</f>
        <v>0</v>
      </c>
      <c r="U6" s="12">
        <f>COUNTIF(defects!$Y:$Y,Monthly_TVPlant!$B6&amp;Monthly_TVPlant!$B$3&amp;$B$2&amp;Monthly_TVPlant!U$3&amp;$B$1)</f>
        <v>0</v>
      </c>
      <c r="V6" s="12">
        <f>COUNTIF(defects!$Y:$Y,Monthly_TVPlant!$B6&amp;Monthly_TVPlant!$B$3&amp;$B$2&amp;Monthly_TVPlant!V$3&amp;$B$1)</f>
        <v>0</v>
      </c>
      <c r="W6" s="12">
        <f>COUNTIF(defects!$Y:$Y,Monthly_TVPlant!$B6&amp;Monthly_TVPlant!$B$3&amp;$B$2&amp;Monthly_TVPlant!W$3&amp;$B$1)</f>
        <v>0</v>
      </c>
      <c r="X6" s="12">
        <f>COUNTIF(defects!$Y:$Y,Monthly_TVPlant!$B6&amp;Monthly_TVPlant!$B$3&amp;$B$2&amp;Monthly_TVPlant!X$3&amp;$B$1)</f>
        <v>0</v>
      </c>
      <c r="Y6" s="12">
        <f>COUNTIF(defects!$Y:$Y,Monthly_TVPlant!$B6&amp;Monthly_TVPlant!$B$3&amp;$B$2&amp;Monthly_TVPlant!Y$3&amp;$B$1)</f>
        <v>0</v>
      </c>
      <c r="Z6" s="12">
        <f>COUNTIF(defects!$Y:$Y,Monthly_TVPlant!$B6&amp;Monthly_TVPlant!$B$3&amp;$B$2&amp;Monthly_TVPlant!Z$3&amp;$B$1)</f>
        <v>0</v>
      </c>
      <c r="AA6" s="12">
        <f>COUNTIF(defects!$Y:$Y,Monthly_TVPlant!$B6&amp;Monthly_TVPlant!$B$3&amp;$B$2&amp;Monthly_TVPlant!AA$3&amp;$B$1)</f>
        <v>0</v>
      </c>
      <c r="AB6" s="12">
        <f>COUNTIF(defects!$Y:$Y,Monthly_TVPlant!$B6&amp;Monthly_TVPlant!$B$3&amp;$B$2&amp;Monthly_TVPlant!AB$3&amp;$B$1)</f>
        <v>0</v>
      </c>
      <c r="AC6" s="12">
        <f>COUNTIF(defects!$Y:$Y,Monthly_TVPlant!$B6&amp;Monthly_TVPlant!$B$3&amp;$B$2&amp;Monthly_TVPlant!AC$3&amp;$B$1)</f>
        <v>0</v>
      </c>
      <c r="AD6" s="12">
        <f>COUNTIF(defects!$Y:$Y,Monthly_TVPlant!$B6&amp;Monthly_TVPlant!$B$3&amp;$B$2&amp;Monthly_TVPlant!AD$3&amp;$B$1)</f>
        <v>0</v>
      </c>
      <c r="AE6" s="12">
        <f>COUNTIF(defects!$Y:$Y,Monthly_TVPlant!$B6&amp;Monthly_TVPlant!$B$3&amp;$B$2&amp;Monthly_TVPlant!AE$3&amp;$B$1)</f>
        <v>0</v>
      </c>
      <c r="AF6" s="12">
        <f>COUNTIF(defects!$Y:$Y,Monthly_TVPlant!$B6&amp;Monthly_TVPlant!$B$3&amp;$B$2&amp;Monthly_TVPlant!AF$3&amp;$B$1)</f>
        <v>0</v>
      </c>
      <c r="AG6" s="12">
        <f>COUNTIF(defects!$Y:$Y,Monthly_TVPlant!$B6&amp;Monthly_TVPlant!$B$3&amp;$B$2&amp;Monthly_TVPlant!AG$3&amp;$B$1)</f>
        <v>0</v>
      </c>
      <c r="AH6" s="12">
        <f>COUNTIF(defects!$Y:$Y,Monthly_TVPlant!$B6&amp;Monthly_TVPlant!$B$3&amp;$B$2&amp;Monthly_TVPlant!AH$3&amp;$B$1)</f>
        <v>0</v>
      </c>
      <c r="AI6" s="12">
        <f>COUNTIF(defects!$Y:$Y,Monthly_TVPlant!$B6&amp;Monthly_TVPlant!$B$3&amp;$B$2&amp;Monthly_TVPlant!AI$3&amp;$B$1)</f>
        <v>0</v>
      </c>
      <c r="AJ6" s="12">
        <f>COUNTIF(defects!$Y:$Y,Monthly_TVPlant!$B6&amp;Monthly_TVPlant!$B$3&amp;$B$2&amp;Monthly_TVPlant!AJ$3&amp;$B$1)</f>
        <v>0</v>
      </c>
      <c r="AK6" s="12">
        <f>COUNTIF(defects!$Y:$Y,Monthly_TVPlant!$B6&amp;Monthly_TVPlant!$B$3&amp;$B$2&amp;Monthly_TVPlant!AK$3&amp;$B$1)</f>
        <v>0</v>
      </c>
      <c r="AL6" s="12">
        <f>COUNTIF(defects!$Y:$Y,Monthly_TVPlant!$B6&amp;Monthly_TVPlant!$B$3&amp;$B$2&amp;Monthly_TVPlant!AL$3&amp;$B$1)</f>
        <v>0</v>
      </c>
      <c r="AM6" s="12">
        <f>COUNTIF(defects!$Y:$Y,Monthly_TVPlant!$B6&amp;Monthly_TVPlant!$B$3&amp;$B$2&amp;Monthly_TVPlant!AM$3&amp;$B$1)</f>
        <v>0</v>
      </c>
      <c r="AN6" s="12">
        <f>COUNTIF(defects!$Y:$Y,Monthly_TVPlant!$B6&amp;Monthly_TVPlant!$B$3&amp;$B$2&amp;Monthly_TVPlant!AN$3&amp;$B$1)</f>
        <v>0</v>
      </c>
      <c r="AO6" s="12">
        <f>COUNTIF(defects!$Y:$Y,Monthly_TVPlant!$B6&amp;Monthly_TVPlant!$B$3&amp;$B$2&amp;Monthly_TVPlant!AO$3&amp;$B$1)</f>
        <v>0</v>
      </c>
      <c r="AP6" s="12">
        <f>COUNTIF(defects!$Y:$Y,Monthly_TVPlant!$B6&amp;Monthly_TVPlant!$B$3&amp;$B$2&amp;Monthly_TVPlant!AP$3&amp;$B$1)</f>
        <v>0</v>
      </c>
      <c r="AQ6" s="12"/>
      <c r="AR6" s="12">
        <f>HLOOKUP(AR$3,Weekly_TVPlant!$3:$24,MATCH($B6,Weekly_TVPlant!$B$3:$B$24,0),0)</f>
        <v>0</v>
      </c>
      <c r="AS6" s="12">
        <f>HLOOKUP(AS$3,Weekly_TVPlant!$3:$24,MATCH($B6,Weekly_TVPlant!$B$3:$B$24,0),0)</f>
        <v>0</v>
      </c>
      <c r="AT6" s="12">
        <f>HLOOKUP(AT$3,Weekly_TVPlant!$3:$24,MATCH($B6,Weekly_TVPlant!$B$3:$B$24,0),0)</f>
        <v>0</v>
      </c>
      <c r="AU6" s="12"/>
      <c r="AV6" s="12">
        <f>SUM(F6:AP6)</f>
        <v>0</v>
      </c>
    </row>
    <row r="7" spans="2:48">
      <c r="B7" s="12" t="s">
        <v>957</v>
      </c>
      <c r="C7" s="12">
        <f t="shared" si="0"/>
        <v>3</v>
      </c>
      <c r="D7" s="12">
        <f t="shared" si="0"/>
        <v>0</v>
      </c>
      <c r="E7" s="12"/>
      <c r="F7" s="12">
        <f>COUNTIF(defects!$Y:$Y,Monthly_TVPlant!$B7&amp;Monthly_TVPlant!$B$3&amp;$B$2&amp;Monthly_TVPlant!F$3&amp;$B$1)</f>
        <v>0</v>
      </c>
      <c r="G7" s="12">
        <f>COUNTIF(defects!$Y:$Y,Monthly_TVPlant!$B7&amp;Monthly_TVPlant!$B$3&amp;$B$2&amp;Monthly_TVPlant!G$3&amp;$B$1)</f>
        <v>0</v>
      </c>
      <c r="H7" s="12">
        <f>COUNTIF(defects!$Y:$Y,Monthly_TVPlant!$B7&amp;Monthly_TVPlant!$B$3&amp;$B$2&amp;Monthly_TVPlant!H$3&amp;$B$1)</f>
        <v>0</v>
      </c>
      <c r="I7" s="12">
        <f>COUNTIF(defects!$Y:$Y,Monthly_TVPlant!$B7&amp;Monthly_TVPlant!$B$3&amp;$B$2&amp;Monthly_TVPlant!I$3&amp;$B$1)</f>
        <v>0</v>
      </c>
      <c r="J7" s="12">
        <f>COUNTIF(defects!$Y:$Y,Monthly_TVPlant!$B7&amp;Monthly_TVPlant!$B$3&amp;$B$2&amp;Monthly_TVPlant!J$3&amp;$B$1)</f>
        <v>0</v>
      </c>
      <c r="K7" s="12">
        <f>COUNTIF(defects!$Y:$Y,Monthly_TVPlant!$B7&amp;Monthly_TVPlant!$B$3&amp;$B$2&amp;Monthly_TVPlant!K$3&amp;$B$1)</f>
        <v>0</v>
      </c>
      <c r="L7" s="12">
        <f>COUNTIF(defects!$Y:$Y,Monthly_TVPlant!$B7&amp;Monthly_TVPlant!$B$3&amp;$B$2&amp;Monthly_TVPlant!L$3&amp;$B$1)</f>
        <v>0</v>
      </c>
      <c r="M7" s="12">
        <f>COUNTIF(defects!$Y:$Y,Monthly_TVPlant!$B7&amp;Monthly_TVPlant!$B$3&amp;$B$2&amp;Monthly_TVPlant!M$3&amp;$B$1)</f>
        <v>0</v>
      </c>
      <c r="N7" s="12">
        <f>COUNTIF(defects!$Y:$Y,Monthly_TVPlant!$B7&amp;Monthly_TVPlant!$B$3&amp;$B$2&amp;Monthly_TVPlant!N$3&amp;$B$1)</f>
        <v>0</v>
      </c>
      <c r="O7" s="12">
        <f>COUNTIF(defects!$Y:$Y,Monthly_TVPlant!$B7&amp;Monthly_TVPlant!$B$3&amp;$B$2&amp;Monthly_TVPlant!O$3&amp;$B$1)</f>
        <v>0</v>
      </c>
      <c r="P7" s="12">
        <f>COUNTIF(defects!$Y:$Y,Monthly_TVPlant!$B7&amp;Monthly_TVPlant!$B$3&amp;$B$2&amp;Monthly_TVPlant!P$3&amp;$B$1)</f>
        <v>0</v>
      </c>
      <c r="Q7" s="12">
        <f>COUNTIF(defects!$Y:$Y,Monthly_TVPlant!$B7&amp;Monthly_TVPlant!$B$3&amp;$B$2&amp;Monthly_TVPlant!Q$3&amp;$B$1)</f>
        <v>0</v>
      </c>
      <c r="R7" s="12">
        <f>COUNTIF(defects!$Y:$Y,Monthly_TVPlant!$B7&amp;Monthly_TVPlant!$B$3&amp;$B$2&amp;Monthly_TVPlant!R$3&amp;$B$1)</f>
        <v>0</v>
      </c>
      <c r="S7" s="12">
        <f>COUNTIF(defects!$Y:$Y,Monthly_TVPlant!$B7&amp;Monthly_TVPlant!$B$3&amp;$B$2&amp;Monthly_TVPlant!S$3&amp;$B$1)</f>
        <v>0</v>
      </c>
      <c r="T7" s="12">
        <f>COUNTIF(defects!$Y:$Y,Monthly_TVPlant!$B7&amp;Monthly_TVPlant!$B$3&amp;$B$2&amp;Monthly_TVPlant!T$3&amp;$B$1)</f>
        <v>0</v>
      </c>
      <c r="U7" s="12">
        <f>COUNTIF(defects!$Y:$Y,Monthly_TVPlant!$B7&amp;Monthly_TVPlant!$B$3&amp;$B$2&amp;Monthly_TVPlant!U$3&amp;$B$1)</f>
        <v>0</v>
      </c>
      <c r="V7" s="12">
        <f>COUNTIF(defects!$Y:$Y,Monthly_TVPlant!$B7&amp;Monthly_TVPlant!$B$3&amp;$B$2&amp;Monthly_TVPlant!V$3&amp;$B$1)</f>
        <v>0</v>
      </c>
      <c r="W7" s="12">
        <f>COUNTIF(defects!$Y:$Y,Monthly_TVPlant!$B7&amp;Monthly_TVPlant!$B$3&amp;$B$2&amp;Monthly_TVPlant!W$3&amp;$B$1)</f>
        <v>1</v>
      </c>
      <c r="X7" s="12">
        <f>COUNTIF(defects!$Y:$Y,Monthly_TVPlant!$B7&amp;Monthly_TVPlant!$B$3&amp;$B$2&amp;Monthly_TVPlant!X$3&amp;$B$1)</f>
        <v>1</v>
      </c>
      <c r="Y7" s="12">
        <f>COUNTIF(defects!$Y:$Y,Monthly_TVPlant!$B7&amp;Monthly_TVPlant!$B$3&amp;$B$2&amp;Monthly_TVPlant!Y$3&amp;$B$1)</f>
        <v>0</v>
      </c>
      <c r="Z7" s="12">
        <f>COUNTIF(defects!$Y:$Y,Monthly_TVPlant!$B7&amp;Monthly_TVPlant!$B$3&amp;$B$2&amp;Monthly_TVPlant!Z$3&amp;$B$1)</f>
        <v>1</v>
      </c>
      <c r="AA7" s="12">
        <f>COUNTIF(defects!$Y:$Y,Monthly_TVPlant!$B7&amp;Monthly_TVPlant!$B$3&amp;$B$2&amp;Monthly_TVPlant!AA$3&amp;$B$1)</f>
        <v>0</v>
      </c>
      <c r="AB7" s="12">
        <f>COUNTIF(defects!$Y:$Y,Monthly_TVPlant!$B7&amp;Monthly_TVPlant!$B$3&amp;$B$2&amp;Monthly_TVPlant!AB$3&amp;$B$1)</f>
        <v>0</v>
      </c>
      <c r="AC7" s="12">
        <f>COUNTIF(defects!$Y:$Y,Monthly_TVPlant!$B7&amp;Monthly_TVPlant!$B$3&amp;$B$2&amp;Monthly_TVPlant!AC$3&amp;$B$1)</f>
        <v>0</v>
      </c>
      <c r="AD7" s="12">
        <f>COUNTIF(defects!$Y:$Y,Monthly_TVPlant!$B7&amp;Monthly_TVPlant!$B$3&amp;$B$2&amp;Monthly_TVPlant!AD$3&amp;$B$1)</f>
        <v>0</v>
      </c>
      <c r="AE7" s="12">
        <f>COUNTIF(defects!$Y:$Y,Monthly_TVPlant!$B7&amp;Monthly_TVPlant!$B$3&amp;$B$2&amp;Monthly_TVPlant!AE$3&amp;$B$1)</f>
        <v>0</v>
      </c>
      <c r="AF7" s="12">
        <f>COUNTIF(defects!$Y:$Y,Monthly_TVPlant!$B7&amp;Monthly_TVPlant!$B$3&amp;$B$2&amp;Monthly_TVPlant!AF$3&amp;$B$1)</f>
        <v>0</v>
      </c>
      <c r="AG7" s="12">
        <f>COUNTIF(defects!$Y:$Y,Monthly_TVPlant!$B7&amp;Monthly_TVPlant!$B$3&amp;$B$2&amp;Monthly_TVPlant!AG$3&amp;$B$1)</f>
        <v>0</v>
      </c>
      <c r="AH7" s="12">
        <f>COUNTIF(defects!$Y:$Y,Monthly_TVPlant!$B7&amp;Monthly_TVPlant!$B$3&amp;$B$2&amp;Monthly_TVPlant!AH$3&amp;$B$1)</f>
        <v>0</v>
      </c>
      <c r="AI7" s="12">
        <f>COUNTIF(defects!$Y:$Y,Monthly_TVPlant!$B7&amp;Monthly_TVPlant!$B$3&amp;$B$2&amp;Monthly_TVPlant!AI$3&amp;$B$1)</f>
        <v>0</v>
      </c>
      <c r="AJ7" s="12">
        <f>COUNTIF(defects!$Y:$Y,Monthly_TVPlant!$B7&amp;Monthly_TVPlant!$B$3&amp;$B$2&amp;Monthly_TVPlant!AJ$3&amp;$B$1)</f>
        <v>0</v>
      </c>
      <c r="AK7" s="12">
        <f>COUNTIF(defects!$Y:$Y,Monthly_TVPlant!$B7&amp;Monthly_TVPlant!$B$3&amp;$B$2&amp;Monthly_TVPlant!AK$3&amp;$B$1)</f>
        <v>0</v>
      </c>
      <c r="AL7" s="12">
        <f>COUNTIF(defects!$Y:$Y,Monthly_TVPlant!$B7&amp;Monthly_TVPlant!$B$3&amp;$B$2&amp;Monthly_TVPlant!AL$3&amp;$B$1)</f>
        <v>0</v>
      </c>
      <c r="AM7" s="12">
        <f>COUNTIF(defects!$Y:$Y,Monthly_TVPlant!$B7&amp;Monthly_TVPlant!$B$3&amp;$B$2&amp;Monthly_TVPlant!AM$3&amp;$B$1)</f>
        <v>0</v>
      </c>
      <c r="AN7" s="12">
        <f>COUNTIF(defects!$Y:$Y,Monthly_TVPlant!$B7&amp;Monthly_TVPlant!$B$3&amp;$B$2&amp;Monthly_TVPlant!AN$3&amp;$B$1)</f>
        <v>0</v>
      </c>
      <c r="AO7" s="12">
        <f>COUNTIF(defects!$Y:$Y,Monthly_TVPlant!$B7&amp;Monthly_TVPlant!$B$3&amp;$B$2&amp;Monthly_TVPlant!AO$3&amp;$B$1)</f>
        <v>0</v>
      </c>
      <c r="AP7" s="12">
        <f>COUNTIF(defects!$Y:$Y,Monthly_TVPlant!$B7&amp;Monthly_TVPlant!$B$3&amp;$B$2&amp;Monthly_TVPlant!AP$3&amp;$B$1)</f>
        <v>0</v>
      </c>
      <c r="AQ7" s="12"/>
      <c r="AR7" s="12">
        <f>HLOOKUP(AR$3,Weekly_TVPlant!$3:$24,MATCH($B7,Weekly_TVPlant!$B$3:$B$24,0),0)</f>
        <v>0</v>
      </c>
      <c r="AS7" s="12">
        <f>HLOOKUP(AS$3,Weekly_TVPlant!$3:$24,MATCH($B7,Weekly_TVPlant!$B$3:$B$24,0),0)</f>
        <v>0</v>
      </c>
      <c r="AT7" s="12">
        <f>HLOOKUP(AT$3,Weekly_TVPlant!$3:$24,MATCH($B7,Weekly_TVPlant!$B$3:$B$24,0),0)</f>
        <v>0</v>
      </c>
      <c r="AU7" s="12"/>
      <c r="AV7" s="12">
        <f t="shared" ref="AV7:AV24" si="2">SUM(F7:AP7)</f>
        <v>3</v>
      </c>
    </row>
    <row r="8" spans="2:48">
      <c r="B8" s="12" t="s">
        <v>955</v>
      </c>
      <c r="C8" s="12">
        <f t="shared" si="0"/>
        <v>11</v>
      </c>
      <c r="D8" s="12">
        <f t="shared" si="0"/>
        <v>0</v>
      </c>
      <c r="E8" s="12"/>
      <c r="F8" s="12">
        <f>COUNTIF(defects!$Y:$Y,Monthly_TVPlant!$B8&amp;Monthly_TVPlant!$B$3&amp;$B$2&amp;Monthly_TVPlant!F$3&amp;$B$1)</f>
        <v>0</v>
      </c>
      <c r="G8" s="12">
        <f>COUNTIF(defects!$Y:$Y,Monthly_TVPlant!$B8&amp;Monthly_TVPlant!$B$3&amp;$B$2&amp;Monthly_TVPlant!G$3&amp;$B$1)</f>
        <v>0</v>
      </c>
      <c r="H8" s="12">
        <f>COUNTIF(defects!$Y:$Y,Monthly_TVPlant!$B8&amp;Monthly_TVPlant!$B$3&amp;$B$2&amp;Monthly_TVPlant!H$3&amp;$B$1)</f>
        <v>0</v>
      </c>
      <c r="I8" s="12">
        <f>COUNTIF(defects!$Y:$Y,Monthly_TVPlant!$B8&amp;Monthly_TVPlant!$B$3&amp;$B$2&amp;Monthly_TVPlant!I$3&amp;$B$1)</f>
        <v>0</v>
      </c>
      <c r="J8" s="12">
        <f>COUNTIF(defects!$Y:$Y,Monthly_TVPlant!$B8&amp;Monthly_TVPlant!$B$3&amp;$B$2&amp;Monthly_TVPlant!J$3&amp;$B$1)</f>
        <v>0</v>
      </c>
      <c r="K8" s="12">
        <f>COUNTIF(defects!$Y:$Y,Monthly_TVPlant!$B8&amp;Monthly_TVPlant!$B$3&amp;$B$2&amp;Monthly_TVPlant!K$3&amp;$B$1)</f>
        <v>0</v>
      </c>
      <c r="L8" s="12">
        <f>COUNTIF(defects!$Y:$Y,Monthly_TVPlant!$B8&amp;Monthly_TVPlant!$B$3&amp;$B$2&amp;Monthly_TVPlant!L$3&amp;$B$1)</f>
        <v>0</v>
      </c>
      <c r="M8" s="12">
        <f>COUNTIF(defects!$Y:$Y,Monthly_TVPlant!$B8&amp;Monthly_TVPlant!$B$3&amp;$B$2&amp;Monthly_TVPlant!M$3&amp;$B$1)</f>
        <v>0</v>
      </c>
      <c r="N8" s="12">
        <f>COUNTIF(defects!$Y:$Y,Monthly_TVPlant!$B8&amp;Monthly_TVPlant!$B$3&amp;$B$2&amp;Monthly_TVPlant!N$3&amp;$B$1)</f>
        <v>0</v>
      </c>
      <c r="O8" s="12">
        <f>COUNTIF(defects!$Y:$Y,Monthly_TVPlant!$B8&amp;Monthly_TVPlant!$B$3&amp;$B$2&amp;Monthly_TVPlant!O$3&amp;$B$1)</f>
        <v>0</v>
      </c>
      <c r="P8" s="12">
        <f>COUNTIF(defects!$Y:$Y,Monthly_TVPlant!$B8&amp;Monthly_TVPlant!$B$3&amp;$B$2&amp;Monthly_TVPlant!P$3&amp;$B$1)</f>
        <v>0</v>
      </c>
      <c r="Q8" s="12">
        <f>COUNTIF(defects!$Y:$Y,Monthly_TVPlant!$B8&amp;Monthly_TVPlant!$B$3&amp;$B$2&amp;Monthly_TVPlant!Q$3&amp;$B$1)</f>
        <v>0</v>
      </c>
      <c r="R8" s="12">
        <f>COUNTIF(defects!$Y:$Y,Monthly_TVPlant!$B8&amp;Monthly_TVPlant!$B$3&amp;$B$2&amp;Monthly_TVPlant!R$3&amp;$B$1)</f>
        <v>0</v>
      </c>
      <c r="S8" s="12">
        <f>COUNTIF(defects!$Y:$Y,Monthly_TVPlant!$B8&amp;Monthly_TVPlant!$B$3&amp;$B$2&amp;Monthly_TVPlant!S$3&amp;$B$1)</f>
        <v>0</v>
      </c>
      <c r="T8" s="12">
        <f>COUNTIF(defects!$Y:$Y,Monthly_TVPlant!$B8&amp;Monthly_TVPlant!$B$3&amp;$B$2&amp;Monthly_TVPlant!T$3&amp;$B$1)</f>
        <v>1</v>
      </c>
      <c r="U8" s="12">
        <f>COUNTIF(defects!$Y:$Y,Monthly_TVPlant!$B8&amp;Monthly_TVPlant!$B$3&amp;$B$2&amp;Monthly_TVPlant!U$3&amp;$B$1)</f>
        <v>0</v>
      </c>
      <c r="V8" s="12">
        <f>COUNTIF(defects!$Y:$Y,Monthly_TVPlant!$B8&amp;Monthly_TVPlant!$B$3&amp;$B$2&amp;Monthly_TVPlant!V$3&amp;$B$1)</f>
        <v>0</v>
      </c>
      <c r="W8" s="12">
        <f>COUNTIF(defects!$Y:$Y,Monthly_TVPlant!$B8&amp;Monthly_TVPlant!$B$3&amp;$B$2&amp;Monthly_TVPlant!W$3&amp;$B$1)</f>
        <v>3</v>
      </c>
      <c r="X8" s="12">
        <f>COUNTIF(defects!$Y:$Y,Monthly_TVPlant!$B8&amp;Monthly_TVPlant!$B$3&amp;$B$2&amp;Monthly_TVPlant!X$3&amp;$B$1)</f>
        <v>3</v>
      </c>
      <c r="Y8" s="12">
        <f>COUNTIF(defects!$Y:$Y,Monthly_TVPlant!$B8&amp;Monthly_TVPlant!$B$3&amp;$B$2&amp;Monthly_TVPlant!Y$3&amp;$B$1)</f>
        <v>1</v>
      </c>
      <c r="Z8" s="12">
        <f>COUNTIF(defects!$Y:$Y,Monthly_TVPlant!$B8&amp;Monthly_TVPlant!$B$3&amp;$B$2&amp;Monthly_TVPlant!Z$3&amp;$B$1)</f>
        <v>2</v>
      </c>
      <c r="AA8" s="12">
        <f>COUNTIF(defects!$Y:$Y,Monthly_TVPlant!$B8&amp;Monthly_TVPlant!$B$3&amp;$B$2&amp;Monthly_TVPlant!AA$3&amp;$B$1)</f>
        <v>1</v>
      </c>
      <c r="AB8" s="12">
        <f>COUNTIF(defects!$Y:$Y,Monthly_TVPlant!$B8&amp;Monthly_TVPlant!$B$3&amp;$B$2&amp;Monthly_TVPlant!AB$3&amp;$B$1)</f>
        <v>0</v>
      </c>
      <c r="AC8" s="12">
        <f>COUNTIF(defects!$Y:$Y,Monthly_TVPlant!$B8&amp;Monthly_TVPlant!$B$3&amp;$B$2&amp;Monthly_TVPlant!AC$3&amp;$B$1)</f>
        <v>0</v>
      </c>
      <c r="AD8" s="12">
        <f>COUNTIF(defects!$Y:$Y,Monthly_TVPlant!$B8&amp;Monthly_TVPlant!$B$3&amp;$B$2&amp;Monthly_TVPlant!AD$3&amp;$B$1)</f>
        <v>0</v>
      </c>
      <c r="AE8" s="12">
        <f>COUNTIF(defects!$Y:$Y,Monthly_TVPlant!$B8&amp;Monthly_TVPlant!$B$3&amp;$B$2&amp;Monthly_TVPlant!AE$3&amp;$B$1)</f>
        <v>0</v>
      </c>
      <c r="AF8" s="12">
        <f>COUNTIF(defects!$Y:$Y,Monthly_TVPlant!$B8&amp;Monthly_TVPlant!$B$3&amp;$B$2&amp;Monthly_TVPlant!AF$3&amp;$B$1)</f>
        <v>0</v>
      </c>
      <c r="AG8" s="12">
        <f>COUNTIF(defects!$Y:$Y,Monthly_TVPlant!$B8&amp;Monthly_TVPlant!$B$3&amp;$B$2&amp;Monthly_TVPlant!AG$3&amp;$B$1)</f>
        <v>0</v>
      </c>
      <c r="AH8" s="12">
        <f>COUNTIF(defects!$Y:$Y,Monthly_TVPlant!$B8&amp;Monthly_TVPlant!$B$3&amp;$B$2&amp;Monthly_TVPlant!AH$3&amp;$B$1)</f>
        <v>0</v>
      </c>
      <c r="AI8" s="12">
        <f>COUNTIF(defects!$Y:$Y,Monthly_TVPlant!$B8&amp;Monthly_TVPlant!$B$3&amp;$B$2&amp;Monthly_TVPlant!AI$3&amp;$B$1)</f>
        <v>0</v>
      </c>
      <c r="AJ8" s="12">
        <f>COUNTIF(defects!$Y:$Y,Monthly_TVPlant!$B8&amp;Monthly_TVPlant!$B$3&amp;$B$2&amp;Monthly_TVPlant!AJ$3&amp;$B$1)</f>
        <v>0</v>
      </c>
      <c r="AK8" s="12">
        <f>COUNTIF(defects!$Y:$Y,Monthly_TVPlant!$B8&amp;Monthly_TVPlant!$B$3&amp;$B$2&amp;Monthly_TVPlant!AK$3&amp;$B$1)</f>
        <v>0</v>
      </c>
      <c r="AL8" s="12">
        <f>COUNTIF(defects!$Y:$Y,Monthly_TVPlant!$B8&amp;Monthly_TVPlant!$B$3&amp;$B$2&amp;Monthly_TVPlant!AL$3&amp;$B$1)</f>
        <v>0</v>
      </c>
      <c r="AM8" s="12">
        <f>COUNTIF(defects!$Y:$Y,Monthly_TVPlant!$B8&amp;Monthly_TVPlant!$B$3&amp;$B$2&amp;Monthly_TVPlant!AM$3&amp;$B$1)</f>
        <v>0</v>
      </c>
      <c r="AN8" s="12">
        <f>COUNTIF(defects!$Y:$Y,Monthly_TVPlant!$B8&amp;Monthly_TVPlant!$B$3&amp;$B$2&amp;Monthly_TVPlant!AN$3&amp;$B$1)</f>
        <v>0</v>
      </c>
      <c r="AO8" s="12">
        <f>COUNTIF(defects!$Y:$Y,Monthly_TVPlant!$B8&amp;Monthly_TVPlant!$B$3&amp;$B$2&amp;Monthly_TVPlant!AO$3&amp;$B$1)</f>
        <v>0</v>
      </c>
      <c r="AP8" s="12">
        <f>COUNTIF(defects!$Y:$Y,Monthly_TVPlant!$B8&amp;Monthly_TVPlant!$B$3&amp;$B$2&amp;Monthly_TVPlant!AP$3&amp;$B$1)</f>
        <v>0</v>
      </c>
      <c r="AQ8" s="12"/>
      <c r="AR8" s="12">
        <f>HLOOKUP(AR$3,Weekly_TVPlant!$3:$24,MATCH($B8,Weekly_TVPlant!$B$3:$B$24,0),0)</f>
        <v>0</v>
      </c>
      <c r="AS8" s="12">
        <f>HLOOKUP(AS$3,Weekly_TVPlant!$3:$24,MATCH($B8,Weekly_TVPlant!$B$3:$B$24,0),0)</f>
        <v>0</v>
      </c>
      <c r="AT8" s="12">
        <f>HLOOKUP(AT$3,Weekly_TVPlant!$3:$24,MATCH($B8,Weekly_TVPlant!$B$3:$B$24,0),0)</f>
        <v>0</v>
      </c>
      <c r="AU8" s="12"/>
      <c r="AV8" s="12">
        <f t="shared" si="2"/>
        <v>11</v>
      </c>
    </row>
    <row r="9" spans="2:48">
      <c r="B9" s="12" t="s">
        <v>953</v>
      </c>
      <c r="C9" s="12">
        <f t="shared" si="0"/>
        <v>1</v>
      </c>
      <c r="D9" s="12">
        <f t="shared" si="0"/>
        <v>0</v>
      </c>
      <c r="E9" s="12"/>
      <c r="F9" s="12">
        <f>COUNTIF(defects!$Y:$Y,Monthly_TVPlant!$B9&amp;Monthly_TVPlant!$B$3&amp;$B$2&amp;Monthly_TVPlant!F$3&amp;$B$1)</f>
        <v>0</v>
      </c>
      <c r="G9" s="12">
        <f>COUNTIF(defects!$Y:$Y,Monthly_TVPlant!$B9&amp;Monthly_TVPlant!$B$3&amp;$B$2&amp;Monthly_TVPlant!G$3&amp;$B$1)</f>
        <v>0</v>
      </c>
      <c r="H9" s="12">
        <f>COUNTIF(defects!$Y:$Y,Monthly_TVPlant!$B9&amp;Monthly_TVPlant!$B$3&amp;$B$2&amp;Monthly_TVPlant!H$3&amp;$B$1)</f>
        <v>0</v>
      </c>
      <c r="I9" s="12">
        <f>COUNTIF(defects!$Y:$Y,Monthly_TVPlant!$B9&amp;Monthly_TVPlant!$B$3&amp;$B$2&amp;Monthly_TVPlant!I$3&amp;$B$1)</f>
        <v>0</v>
      </c>
      <c r="J9" s="12">
        <f>COUNTIF(defects!$Y:$Y,Monthly_TVPlant!$B9&amp;Monthly_TVPlant!$B$3&amp;$B$2&amp;Monthly_TVPlant!J$3&amp;$B$1)</f>
        <v>0</v>
      </c>
      <c r="K9" s="12">
        <f>COUNTIF(defects!$Y:$Y,Monthly_TVPlant!$B9&amp;Monthly_TVPlant!$B$3&amp;$B$2&amp;Monthly_TVPlant!K$3&amp;$B$1)</f>
        <v>0</v>
      </c>
      <c r="L9" s="12">
        <f>COUNTIF(defects!$Y:$Y,Monthly_TVPlant!$B9&amp;Monthly_TVPlant!$B$3&amp;$B$2&amp;Monthly_TVPlant!L$3&amp;$B$1)</f>
        <v>0</v>
      </c>
      <c r="M9" s="12">
        <f>COUNTIF(defects!$Y:$Y,Monthly_TVPlant!$B9&amp;Monthly_TVPlant!$B$3&amp;$B$2&amp;Monthly_TVPlant!M$3&amp;$B$1)</f>
        <v>0</v>
      </c>
      <c r="N9" s="12">
        <f>COUNTIF(defects!$Y:$Y,Monthly_TVPlant!$B9&amp;Monthly_TVPlant!$B$3&amp;$B$2&amp;Monthly_TVPlant!N$3&amp;$B$1)</f>
        <v>0</v>
      </c>
      <c r="O9" s="12">
        <f>COUNTIF(defects!$Y:$Y,Monthly_TVPlant!$B9&amp;Monthly_TVPlant!$B$3&amp;$B$2&amp;Monthly_TVPlant!O$3&amp;$B$1)</f>
        <v>0</v>
      </c>
      <c r="P9" s="12">
        <f>COUNTIF(defects!$Y:$Y,Monthly_TVPlant!$B9&amp;Monthly_TVPlant!$B$3&amp;$B$2&amp;Monthly_TVPlant!P$3&amp;$B$1)</f>
        <v>0</v>
      </c>
      <c r="Q9" s="12">
        <f>COUNTIF(defects!$Y:$Y,Monthly_TVPlant!$B9&amp;Monthly_TVPlant!$B$3&amp;$B$2&amp;Monthly_TVPlant!Q$3&amp;$B$1)</f>
        <v>0</v>
      </c>
      <c r="R9" s="12">
        <f>COUNTIF(defects!$Y:$Y,Monthly_TVPlant!$B9&amp;Monthly_TVPlant!$B$3&amp;$B$2&amp;Monthly_TVPlant!R$3&amp;$B$1)</f>
        <v>0</v>
      </c>
      <c r="S9" s="12">
        <f>COUNTIF(defects!$Y:$Y,Monthly_TVPlant!$B9&amp;Monthly_TVPlant!$B$3&amp;$B$2&amp;Monthly_TVPlant!S$3&amp;$B$1)</f>
        <v>0</v>
      </c>
      <c r="T9" s="12">
        <f>COUNTIF(defects!$Y:$Y,Monthly_TVPlant!$B9&amp;Monthly_TVPlant!$B$3&amp;$B$2&amp;Monthly_TVPlant!T$3&amp;$B$1)</f>
        <v>0</v>
      </c>
      <c r="U9" s="12">
        <f>COUNTIF(defects!$Y:$Y,Monthly_TVPlant!$B9&amp;Monthly_TVPlant!$B$3&amp;$B$2&amp;Monthly_TVPlant!U$3&amp;$B$1)</f>
        <v>0</v>
      </c>
      <c r="V9" s="12">
        <f>COUNTIF(defects!$Y:$Y,Monthly_TVPlant!$B9&amp;Monthly_TVPlant!$B$3&amp;$B$2&amp;Monthly_TVPlant!V$3&amp;$B$1)</f>
        <v>0</v>
      </c>
      <c r="W9" s="12">
        <f>COUNTIF(defects!$Y:$Y,Monthly_TVPlant!$B9&amp;Monthly_TVPlant!$B$3&amp;$B$2&amp;Monthly_TVPlant!W$3&amp;$B$1)</f>
        <v>0</v>
      </c>
      <c r="X9" s="12">
        <f>COUNTIF(defects!$Y:$Y,Monthly_TVPlant!$B9&amp;Monthly_TVPlant!$B$3&amp;$B$2&amp;Monthly_TVPlant!X$3&amp;$B$1)</f>
        <v>0</v>
      </c>
      <c r="Y9" s="12">
        <f>COUNTIF(defects!$Y:$Y,Monthly_TVPlant!$B9&amp;Monthly_TVPlant!$B$3&amp;$B$2&amp;Monthly_TVPlant!Y$3&amp;$B$1)</f>
        <v>1</v>
      </c>
      <c r="Z9" s="12">
        <f>COUNTIF(defects!$Y:$Y,Monthly_TVPlant!$B9&amp;Monthly_TVPlant!$B$3&amp;$B$2&amp;Monthly_TVPlant!Z$3&amp;$B$1)</f>
        <v>0</v>
      </c>
      <c r="AA9" s="12">
        <f>COUNTIF(defects!$Y:$Y,Monthly_TVPlant!$B9&amp;Monthly_TVPlant!$B$3&amp;$B$2&amp;Monthly_TVPlant!AA$3&amp;$B$1)</f>
        <v>0</v>
      </c>
      <c r="AB9" s="12">
        <f>COUNTIF(defects!$Y:$Y,Monthly_TVPlant!$B9&amp;Monthly_TVPlant!$B$3&amp;$B$2&amp;Monthly_TVPlant!AB$3&amp;$B$1)</f>
        <v>0</v>
      </c>
      <c r="AC9" s="12">
        <f>COUNTIF(defects!$Y:$Y,Monthly_TVPlant!$B9&amp;Monthly_TVPlant!$B$3&amp;$B$2&amp;Monthly_TVPlant!AC$3&amp;$B$1)</f>
        <v>0</v>
      </c>
      <c r="AD9" s="12">
        <f>COUNTIF(defects!$Y:$Y,Monthly_TVPlant!$B9&amp;Monthly_TVPlant!$B$3&amp;$B$2&amp;Monthly_TVPlant!AD$3&amp;$B$1)</f>
        <v>0</v>
      </c>
      <c r="AE9" s="12">
        <f>COUNTIF(defects!$Y:$Y,Monthly_TVPlant!$B9&amp;Monthly_TVPlant!$B$3&amp;$B$2&amp;Monthly_TVPlant!AE$3&amp;$B$1)</f>
        <v>0</v>
      </c>
      <c r="AF9" s="12">
        <f>COUNTIF(defects!$Y:$Y,Monthly_TVPlant!$B9&amp;Monthly_TVPlant!$B$3&amp;$B$2&amp;Monthly_TVPlant!AF$3&amp;$B$1)</f>
        <v>0</v>
      </c>
      <c r="AG9" s="12">
        <f>COUNTIF(defects!$Y:$Y,Monthly_TVPlant!$B9&amp;Monthly_TVPlant!$B$3&amp;$B$2&amp;Monthly_TVPlant!AG$3&amp;$B$1)</f>
        <v>0</v>
      </c>
      <c r="AH9" s="12">
        <f>COUNTIF(defects!$Y:$Y,Monthly_TVPlant!$B9&amp;Monthly_TVPlant!$B$3&amp;$B$2&amp;Monthly_TVPlant!AH$3&amp;$B$1)</f>
        <v>0</v>
      </c>
      <c r="AI9" s="12">
        <f>COUNTIF(defects!$Y:$Y,Monthly_TVPlant!$B9&amp;Monthly_TVPlant!$B$3&amp;$B$2&amp;Monthly_TVPlant!AI$3&amp;$B$1)</f>
        <v>0</v>
      </c>
      <c r="AJ9" s="12">
        <f>COUNTIF(defects!$Y:$Y,Monthly_TVPlant!$B9&amp;Monthly_TVPlant!$B$3&amp;$B$2&amp;Monthly_TVPlant!AJ$3&amp;$B$1)</f>
        <v>0</v>
      </c>
      <c r="AK9" s="12">
        <f>COUNTIF(defects!$Y:$Y,Monthly_TVPlant!$B9&amp;Monthly_TVPlant!$B$3&amp;$B$2&amp;Monthly_TVPlant!AK$3&amp;$B$1)</f>
        <v>0</v>
      </c>
      <c r="AL9" s="12">
        <f>COUNTIF(defects!$Y:$Y,Monthly_TVPlant!$B9&amp;Monthly_TVPlant!$B$3&amp;$B$2&amp;Monthly_TVPlant!AL$3&amp;$B$1)</f>
        <v>0</v>
      </c>
      <c r="AM9" s="12">
        <f>COUNTIF(defects!$Y:$Y,Monthly_TVPlant!$B9&amp;Monthly_TVPlant!$B$3&amp;$B$2&amp;Monthly_TVPlant!AM$3&amp;$B$1)</f>
        <v>0</v>
      </c>
      <c r="AN9" s="12">
        <f>COUNTIF(defects!$Y:$Y,Monthly_TVPlant!$B9&amp;Monthly_TVPlant!$B$3&amp;$B$2&amp;Monthly_TVPlant!AN$3&amp;$B$1)</f>
        <v>0</v>
      </c>
      <c r="AO9" s="12">
        <f>COUNTIF(defects!$Y:$Y,Monthly_TVPlant!$B9&amp;Monthly_TVPlant!$B$3&amp;$B$2&amp;Monthly_TVPlant!AO$3&amp;$B$1)</f>
        <v>0</v>
      </c>
      <c r="AP9" s="12">
        <f>COUNTIF(defects!$Y:$Y,Monthly_TVPlant!$B9&amp;Monthly_TVPlant!$B$3&amp;$B$2&amp;Monthly_TVPlant!AP$3&amp;$B$1)</f>
        <v>0</v>
      </c>
      <c r="AQ9" s="12"/>
      <c r="AR9" s="12">
        <f>HLOOKUP(AR$3,Weekly_TVPlant!$3:$24,MATCH($B9,Weekly_TVPlant!$B$3:$B$24,0),0)</f>
        <v>0</v>
      </c>
      <c r="AS9" s="12">
        <f>HLOOKUP(AS$3,Weekly_TVPlant!$3:$24,MATCH($B9,Weekly_TVPlant!$B$3:$B$24,0),0)</f>
        <v>0</v>
      </c>
      <c r="AT9" s="12">
        <f>HLOOKUP(AT$3,Weekly_TVPlant!$3:$24,MATCH($B9,Weekly_TVPlant!$B$3:$B$24,0),0)</f>
        <v>0</v>
      </c>
      <c r="AU9" s="12"/>
      <c r="AV9" s="12">
        <f t="shared" si="2"/>
        <v>1</v>
      </c>
    </row>
    <row r="10" spans="2:48">
      <c r="B10" s="12" t="s">
        <v>954</v>
      </c>
      <c r="C10" s="12">
        <f t="shared" si="0"/>
        <v>5</v>
      </c>
      <c r="D10" s="12">
        <f t="shared" si="0"/>
        <v>0</v>
      </c>
      <c r="E10" s="12"/>
      <c r="F10" s="12">
        <f>COUNTIF(defects!$Y:$Y,Monthly_TVPlant!$B10&amp;Monthly_TVPlant!$B$3&amp;$B$2&amp;Monthly_TVPlant!F$3&amp;$B$1)</f>
        <v>0</v>
      </c>
      <c r="G10" s="12">
        <f>COUNTIF(defects!$Y:$Y,Monthly_TVPlant!$B10&amp;Monthly_TVPlant!$B$3&amp;$B$2&amp;Monthly_TVPlant!G$3&amp;$B$1)</f>
        <v>0</v>
      </c>
      <c r="H10" s="12">
        <f>COUNTIF(defects!$Y:$Y,Monthly_TVPlant!$B10&amp;Monthly_TVPlant!$B$3&amp;$B$2&amp;Monthly_TVPlant!H$3&amp;$B$1)</f>
        <v>0</v>
      </c>
      <c r="I10" s="12">
        <f>COUNTIF(defects!$Y:$Y,Monthly_TVPlant!$B10&amp;Monthly_TVPlant!$B$3&amp;$B$2&amp;Monthly_TVPlant!I$3&amp;$B$1)</f>
        <v>0</v>
      </c>
      <c r="J10" s="12">
        <f>COUNTIF(defects!$Y:$Y,Monthly_TVPlant!$B10&amp;Monthly_TVPlant!$B$3&amp;$B$2&amp;Monthly_TVPlant!J$3&amp;$B$1)</f>
        <v>0</v>
      </c>
      <c r="K10" s="12">
        <f>COUNTIF(defects!$Y:$Y,Monthly_TVPlant!$B10&amp;Monthly_TVPlant!$B$3&amp;$B$2&amp;Monthly_TVPlant!K$3&amp;$B$1)</f>
        <v>0</v>
      </c>
      <c r="L10" s="12">
        <f>COUNTIF(defects!$Y:$Y,Monthly_TVPlant!$B10&amp;Monthly_TVPlant!$B$3&amp;$B$2&amp;Monthly_TVPlant!L$3&amp;$B$1)</f>
        <v>0</v>
      </c>
      <c r="M10" s="12">
        <f>COUNTIF(defects!$Y:$Y,Monthly_TVPlant!$B10&amp;Monthly_TVPlant!$B$3&amp;$B$2&amp;Monthly_TVPlant!M$3&amp;$B$1)</f>
        <v>0</v>
      </c>
      <c r="N10" s="12">
        <f>COUNTIF(defects!$Y:$Y,Monthly_TVPlant!$B10&amp;Monthly_TVPlant!$B$3&amp;$B$2&amp;Monthly_TVPlant!N$3&amp;$B$1)</f>
        <v>0</v>
      </c>
      <c r="O10" s="12">
        <f>COUNTIF(defects!$Y:$Y,Monthly_TVPlant!$B10&amp;Monthly_TVPlant!$B$3&amp;$B$2&amp;Monthly_TVPlant!O$3&amp;$B$1)</f>
        <v>0</v>
      </c>
      <c r="P10" s="12">
        <f>COUNTIF(defects!$Y:$Y,Monthly_TVPlant!$B10&amp;Monthly_TVPlant!$B$3&amp;$B$2&amp;Monthly_TVPlant!P$3&amp;$B$1)</f>
        <v>0</v>
      </c>
      <c r="Q10" s="12">
        <f>COUNTIF(defects!$Y:$Y,Monthly_TVPlant!$B10&amp;Monthly_TVPlant!$B$3&amp;$B$2&amp;Monthly_TVPlant!Q$3&amp;$B$1)</f>
        <v>0</v>
      </c>
      <c r="R10" s="12">
        <f>COUNTIF(defects!$Y:$Y,Monthly_TVPlant!$B10&amp;Monthly_TVPlant!$B$3&amp;$B$2&amp;Monthly_TVPlant!R$3&amp;$B$1)</f>
        <v>0</v>
      </c>
      <c r="S10" s="12">
        <f>COUNTIF(defects!$Y:$Y,Monthly_TVPlant!$B10&amp;Monthly_TVPlant!$B$3&amp;$B$2&amp;Monthly_TVPlant!S$3&amp;$B$1)</f>
        <v>0</v>
      </c>
      <c r="T10" s="12">
        <f>COUNTIF(defects!$Y:$Y,Monthly_TVPlant!$B10&amp;Monthly_TVPlant!$B$3&amp;$B$2&amp;Monthly_TVPlant!T$3&amp;$B$1)</f>
        <v>0</v>
      </c>
      <c r="U10" s="12">
        <f>COUNTIF(defects!$Y:$Y,Monthly_TVPlant!$B10&amp;Monthly_TVPlant!$B$3&amp;$B$2&amp;Monthly_TVPlant!U$3&amp;$B$1)</f>
        <v>0</v>
      </c>
      <c r="V10" s="12">
        <f>COUNTIF(defects!$Y:$Y,Monthly_TVPlant!$B10&amp;Monthly_TVPlant!$B$3&amp;$B$2&amp;Monthly_TVPlant!V$3&amp;$B$1)</f>
        <v>3</v>
      </c>
      <c r="W10" s="12">
        <f>COUNTIF(defects!$Y:$Y,Monthly_TVPlant!$B10&amp;Monthly_TVPlant!$B$3&amp;$B$2&amp;Monthly_TVPlant!W$3&amp;$B$1)</f>
        <v>0</v>
      </c>
      <c r="X10" s="12">
        <f>COUNTIF(defects!$Y:$Y,Monthly_TVPlant!$B10&amp;Monthly_TVPlant!$B$3&amp;$B$2&amp;Monthly_TVPlant!X$3&amp;$B$1)</f>
        <v>0</v>
      </c>
      <c r="Y10" s="12">
        <f>COUNTIF(defects!$Y:$Y,Monthly_TVPlant!$B10&amp;Monthly_TVPlant!$B$3&amp;$B$2&amp;Monthly_TVPlant!Y$3&amp;$B$1)</f>
        <v>1</v>
      </c>
      <c r="Z10" s="12">
        <f>COUNTIF(defects!$Y:$Y,Monthly_TVPlant!$B10&amp;Monthly_TVPlant!$B$3&amp;$B$2&amp;Monthly_TVPlant!Z$3&amp;$B$1)</f>
        <v>0</v>
      </c>
      <c r="AA10" s="12">
        <f>COUNTIF(defects!$Y:$Y,Monthly_TVPlant!$B10&amp;Monthly_TVPlant!$B$3&amp;$B$2&amp;Monthly_TVPlant!AA$3&amp;$B$1)</f>
        <v>1</v>
      </c>
      <c r="AB10" s="12">
        <f>COUNTIF(defects!$Y:$Y,Monthly_TVPlant!$B10&amp;Monthly_TVPlant!$B$3&amp;$B$2&amp;Monthly_TVPlant!AB$3&amp;$B$1)</f>
        <v>0</v>
      </c>
      <c r="AC10" s="12">
        <f>COUNTIF(defects!$Y:$Y,Monthly_TVPlant!$B10&amp;Monthly_TVPlant!$B$3&amp;$B$2&amp;Monthly_TVPlant!AC$3&amp;$B$1)</f>
        <v>0</v>
      </c>
      <c r="AD10" s="12">
        <f>COUNTIF(defects!$Y:$Y,Monthly_TVPlant!$B10&amp;Monthly_TVPlant!$B$3&amp;$B$2&amp;Monthly_TVPlant!AD$3&amp;$B$1)</f>
        <v>0</v>
      </c>
      <c r="AE10" s="12">
        <f>COUNTIF(defects!$Y:$Y,Monthly_TVPlant!$B10&amp;Monthly_TVPlant!$B$3&amp;$B$2&amp;Monthly_TVPlant!AE$3&amp;$B$1)</f>
        <v>0</v>
      </c>
      <c r="AF10" s="12">
        <f>COUNTIF(defects!$Y:$Y,Monthly_TVPlant!$B10&amp;Monthly_TVPlant!$B$3&amp;$B$2&amp;Monthly_TVPlant!AF$3&amp;$B$1)</f>
        <v>0</v>
      </c>
      <c r="AG10" s="12">
        <f>COUNTIF(defects!$Y:$Y,Monthly_TVPlant!$B10&amp;Monthly_TVPlant!$B$3&amp;$B$2&amp;Monthly_TVPlant!AG$3&amp;$B$1)</f>
        <v>0</v>
      </c>
      <c r="AH10" s="12">
        <f>COUNTIF(defects!$Y:$Y,Monthly_TVPlant!$B10&amp;Monthly_TVPlant!$B$3&amp;$B$2&amp;Monthly_TVPlant!AH$3&amp;$B$1)</f>
        <v>0</v>
      </c>
      <c r="AI10" s="12">
        <f>COUNTIF(defects!$Y:$Y,Monthly_TVPlant!$B10&amp;Monthly_TVPlant!$B$3&amp;$B$2&amp;Monthly_TVPlant!AI$3&amp;$B$1)</f>
        <v>0</v>
      </c>
      <c r="AJ10" s="12">
        <f>COUNTIF(defects!$Y:$Y,Monthly_TVPlant!$B10&amp;Monthly_TVPlant!$B$3&amp;$B$2&amp;Monthly_TVPlant!AJ$3&amp;$B$1)</f>
        <v>0</v>
      </c>
      <c r="AK10" s="12">
        <f>COUNTIF(defects!$Y:$Y,Monthly_TVPlant!$B10&amp;Monthly_TVPlant!$B$3&amp;$B$2&amp;Monthly_TVPlant!AK$3&amp;$B$1)</f>
        <v>0</v>
      </c>
      <c r="AL10" s="12">
        <f>COUNTIF(defects!$Y:$Y,Monthly_TVPlant!$B10&amp;Monthly_TVPlant!$B$3&amp;$B$2&amp;Monthly_TVPlant!AL$3&amp;$B$1)</f>
        <v>0</v>
      </c>
      <c r="AM10" s="12">
        <f>COUNTIF(defects!$Y:$Y,Monthly_TVPlant!$B10&amp;Monthly_TVPlant!$B$3&amp;$B$2&amp;Monthly_TVPlant!AM$3&amp;$B$1)</f>
        <v>0</v>
      </c>
      <c r="AN10" s="12">
        <f>COUNTIF(defects!$Y:$Y,Monthly_TVPlant!$B10&amp;Monthly_TVPlant!$B$3&amp;$B$2&amp;Monthly_TVPlant!AN$3&amp;$B$1)</f>
        <v>0</v>
      </c>
      <c r="AO10" s="12">
        <f>COUNTIF(defects!$Y:$Y,Monthly_TVPlant!$B10&amp;Monthly_TVPlant!$B$3&amp;$B$2&amp;Monthly_TVPlant!AO$3&amp;$B$1)</f>
        <v>0</v>
      </c>
      <c r="AP10" s="12">
        <f>COUNTIF(defects!$Y:$Y,Monthly_TVPlant!$B10&amp;Monthly_TVPlant!$B$3&amp;$B$2&amp;Monthly_TVPlant!AP$3&amp;$B$1)</f>
        <v>0</v>
      </c>
      <c r="AQ10" s="12"/>
      <c r="AR10" s="12">
        <f>HLOOKUP(AR$3,Weekly_TVPlant!$3:$24,MATCH($B10,Weekly_TVPlant!$B$3:$B$24,0),0)</f>
        <v>0</v>
      </c>
      <c r="AS10" s="12">
        <f>HLOOKUP(AS$3,Weekly_TVPlant!$3:$24,MATCH($B10,Weekly_TVPlant!$B$3:$B$24,0),0)</f>
        <v>0</v>
      </c>
      <c r="AT10" s="12">
        <f>HLOOKUP(AT$3,Weekly_TVPlant!$3:$24,MATCH($B10,Weekly_TVPlant!$B$3:$B$24,0),0)</f>
        <v>0</v>
      </c>
      <c r="AU10" s="12"/>
      <c r="AV10" s="12">
        <f t="shared" si="2"/>
        <v>5</v>
      </c>
    </row>
    <row r="11" spans="2:48">
      <c r="B11" s="12" t="s">
        <v>956</v>
      </c>
      <c r="C11" s="12">
        <f t="shared" si="0"/>
        <v>4</v>
      </c>
      <c r="D11" s="12">
        <f t="shared" si="0"/>
        <v>0</v>
      </c>
      <c r="E11" s="12"/>
      <c r="F11" s="12">
        <f>COUNTIF(defects!$Y:$Y,Monthly_TVPlant!$B11&amp;Monthly_TVPlant!$B$3&amp;$B$2&amp;Monthly_TVPlant!F$3&amp;$B$1)</f>
        <v>0</v>
      </c>
      <c r="G11" s="12">
        <f>COUNTIF(defects!$Y:$Y,Monthly_TVPlant!$B11&amp;Monthly_TVPlant!$B$3&amp;$B$2&amp;Monthly_TVPlant!G$3&amp;$B$1)</f>
        <v>0</v>
      </c>
      <c r="H11" s="12">
        <f>COUNTIF(defects!$Y:$Y,Monthly_TVPlant!$B11&amp;Monthly_TVPlant!$B$3&amp;$B$2&amp;Monthly_TVPlant!H$3&amp;$B$1)</f>
        <v>0</v>
      </c>
      <c r="I11" s="12">
        <f>COUNTIF(defects!$Y:$Y,Monthly_TVPlant!$B11&amp;Monthly_TVPlant!$B$3&amp;$B$2&amp;Monthly_TVPlant!I$3&amp;$B$1)</f>
        <v>0</v>
      </c>
      <c r="J11" s="12">
        <f>COUNTIF(defects!$Y:$Y,Monthly_TVPlant!$B11&amp;Monthly_TVPlant!$B$3&amp;$B$2&amp;Monthly_TVPlant!J$3&amp;$B$1)</f>
        <v>0</v>
      </c>
      <c r="K11" s="12">
        <f>COUNTIF(defects!$Y:$Y,Monthly_TVPlant!$B11&amp;Monthly_TVPlant!$B$3&amp;$B$2&amp;Monthly_TVPlant!K$3&amp;$B$1)</f>
        <v>0</v>
      </c>
      <c r="L11" s="12">
        <f>COUNTIF(defects!$Y:$Y,Monthly_TVPlant!$B11&amp;Monthly_TVPlant!$B$3&amp;$B$2&amp;Monthly_TVPlant!L$3&amp;$B$1)</f>
        <v>0</v>
      </c>
      <c r="M11" s="12">
        <f>COUNTIF(defects!$Y:$Y,Monthly_TVPlant!$B11&amp;Monthly_TVPlant!$B$3&amp;$B$2&amp;Monthly_TVPlant!M$3&amp;$B$1)</f>
        <v>0</v>
      </c>
      <c r="N11" s="12">
        <f>COUNTIF(defects!$Y:$Y,Monthly_TVPlant!$B11&amp;Monthly_TVPlant!$B$3&amp;$B$2&amp;Monthly_TVPlant!N$3&amp;$B$1)</f>
        <v>0</v>
      </c>
      <c r="O11" s="12">
        <f>COUNTIF(defects!$Y:$Y,Monthly_TVPlant!$B11&amp;Monthly_TVPlant!$B$3&amp;$B$2&amp;Monthly_TVPlant!O$3&amp;$B$1)</f>
        <v>0</v>
      </c>
      <c r="P11" s="12">
        <f>COUNTIF(defects!$Y:$Y,Monthly_TVPlant!$B11&amp;Monthly_TVPlant!$B$3&amp;$B$2&amp;Monthly_TVPlant!P$3&amp;$B$1)</f>
        <v>0</v>
      </c>
      <c r="Q11" s="12">
        <f>COUNTIF(defects!$Y:$Y,Monthly_TVPlant!$B11&amp;Monthly_TVPlant!$B$3&amp;$B$2&amp;Monthly_TVPlant!Q$3&amp;$B$1)</f>
        <v>0</v>
      </c>
      <c r="R11" s="12">
        <f>COUNTIF(defects!$Y:$Y,Monthly_TVPlant!$B11&amp;Monthly_TVPlant!$B$3&amp;$B$2&amp;Monthly_TVPlant!R$3&amp;$B$1)</f>
        <v>0</v>
      </c>
      <c r="S11" s="12">
        <f>COUNTIF(defects!$Y:$Y,Monthly_TVPlant!$B11&amp;Monthly_TVPlant!$B$3&amp;$B$2&amp;Monthly_TVPlant!S$3&amp;$B$1)</f>
        <v>0</v>
      </c>
      <c r="T11" s="12">
        <f>COUNTIF(defects!$Y:$Y,Monthly_TVPlant!$B11&amp;Monthly_TVPlant!$B$3&amp;$B$2&amp;Monthly_TVPlant!T$3&amp;$B$1)</f>
        <v>0</v>
      </c>
      <c r="U11" s="12">
        <f>COUNTIF(defects!$Y:$Y,Monthly_TVPlant!$B11&amp;Monthly_TVPlant!$B$3&amp;$B$2&amp;Monthly_TVPlant!U$3&amp;$B$1)</f>
        <v>0</v>
      </c>
      <c r="V11" s="12">
        <f>COUNTIF(defects!$Y:$Y,Monthly_TVPlant!$B11&amp;Monthly_TVPlant!$B$3&amp;$B$2&amp;Monthly_TVPlant!V$3&amp;$B$1)</f>
        <v>0</v>
      </c>
      <c r="W11" s="12">
        <f>COUNTIF(defects!$Y:$Y,Monthly_TVPlant!$B11&amp;Monthly_TVPlant!$B$3&amp;$B$2&amp;Monthly_TVPlant!W$3&amp;$B$1)</f>
        <v>1</v>
      </c>
      <c r="X11" s="12">
        <f>COUNTIF(defects!$Y:$Y,Monthly_TVPlant!$B11&amp;Monthly_TVPlant!$B$3&amp;$B$2&amp;Monthly_TVPlant!X$3&amp;$B$1)</f>
        <v>0</v>
      </c>
      <c r="Y11" s="12">
        <f>COUNTIF(defects!$Y:$Y,Monthly_TVPlant!$B11&amp;Monthly_TVPlant!$B$3&amp;$B$2&amp;Monthly_TVPlant!Y$3&amp;$B$1)</f>
        <v>1</v>
      </c>
      <c r="Z11" s="12">
        <f>COUNTIF(defects!$Y:$Y,Monthly_TVPlant!$B11&amp;Monthly_TVPlant!$B$3&amp;$B$2&amp;Monthly_TVPlant!Z$3&amp;$B$1)</f>
        <v>2</v>
      </c>
      <c r="AA11" s="12">
        <f>COUNTIF(defects!$Y:$Y,Monthly_TVPlant!$B11&amp;Monthly_TVPlant!$B$3&amp;$B$2&amp;Monthly_TVPlant!AA$3&amp;$B$1)</f>
        <v>0</v>
      </c>
      <c r="AB11" s="12">
        <f>COUNTIF(defects!$Y:$Y,Monthly_TVPlant!$B11&amp;Monthly_TVPlant!$B$3&amp;$B$2&amp;Monthly_TVPlant!AB$3&amp;$B$1)</f>
        <v>0</v>
      </c>
      <c r="AC11" s="12">
        <f>COUNTIF(defects!$Y:$Y,Monthly_TVPlant!$B11&amp;Monthly_TVPlant!$B$3&amp;$B$2&amp;Monthly_TVPlant!AC$3&amp;$B$1)</f>
        <v>0</v>
      </c>
      <c r="AD11" s="12">
        <f>COUNTIF(defects!$Y:$Y,Monthly_TVPlant!$B11&amp;Monthly_TVPlant!$B$3&amp;$B$2&amp;Monthly_TVPlant!AD$3&amp;$B$1)</f>
        <v>0</v>
      </c>
      <c r="AE11" s="12">
        <f>COUNTIF(defects!$Y:$Y,Monthly_TVPlant!$B11&amp;Monthly_TVPlant!$B$3&amp;$B$2&amp;Monthly_TVPlant!AE$3&amp;$B$1)</f>
        <v>0</v>
      </c>
      <c r="AF11" s="12">
        <f>COUNTIF(defects!$Y:$Y,Monthly_TVPlant!$B11&amp;Monthly_TVPlant!$B$3&amp;$B$2&amp;Monthly_TVPlant!AF$3&amp;$B$1)</f>
        <v>0</v>
      </c>
      <c r="AG11" s="12">
        <f>COUNTIF(defects!$Y:$Y,Monthly_TVPlant!$B11&amp;Monthly_TVPlant!$B$3&amp;$B$2&amp;Monthly_TVPlant!AG$3&amp;$B$1)</f>
        <v>0</v>
      </c>
      <c r="AH11" s="12">
        <f>COUNTIF(defects!$Y:$Y,Monthly_TVPlant!$B11&amp;Monthly_TVPlant!$B$3&amp;$B$2&amp;Monthly_TVPlant!AH$3&amp;$B$1)</f>
        <v>0</v>
      </c>
      <c r="AI11" s="12">
        <f>COUNTIF(defects!$Y:$Y,Monthly_TVPlant!$B11&amp;Monthly_TVPlant!$B$3&amp;$B$2&amp;Monthly_TVPlant!AI$3&amp;$B$1)</f>
        <v>0</v>
      </c>
      <c r="AJ11" s="12">
        <f>COUNTIF(defects!$Y:$Y,Monthly_TVPlant!$B11&amp;Monthly_TVPlant!$B$3&amp;$B$2&amp;Monthly_TVPlant!AJ$3&amp;$B$1)</f>
        <v>0</v>
      </c>
      <c r="AK11" s="12">
        <f>COUNTIF(defects!$Y:$Y,Monthly_TVPlant!$B11&amp;Monthly_TVPlant!$B$3&amp;$B$2&amp;Monthly_TVPlant!AK$3&amp;$B$1)</f>
        <v>0</v>
      </c>
      <c r="AL11" s="12">
        <f>COUNTIF(defects!$Y:$Y,Monthly_TVPlant!$B11&amp;Monthly_TVPlant!$B$3&amp;$B$2&amp;Monthly_TVPlant!AL$3&amp;$B$1)</f>
        <v>0</v>
      </c>
      <c r="AM11" s="12">
        <f>COUNTIF(defects!$Y:$Y,Monthly_TVPlant!$B11&amp;Monthly_TVPlant!$B$3&amp;$B$2&amp;Monthly_TVPlant!AM$3&amp;$B$1)</f>
        <v>0</v>
      </c>
      <c r="AN11" s="12">
        <f>COUNTIF(defects!$Y:$Y,Monthly_TVPlant!$B11&amp;Monthly_TVPlant!$B$3&amp;$B$2&amp;Monthly_TVPlant!AN$3&amp;$B$1)</f>
        <v>0</v>
      </c>
      <c r="AO11" s="12">
        <f>COUNTIF(defects!$Y:$Y,Monthly_TVPlant!$B11&amp;Monthly_TVPlant!$B$3&amp;$B$2&amp;Monthly_TVPlant!AO$3&amp;$B$1)</f>
        <v>0</v>
      </c>
      <c r="AP11" s="12">
        <f>COUNTIF(defects!$Y:$Y,Monthly_TVPlant!$B11&amp;Monthly_TVPlant!$B$3&amp;$B$2&amp;Monthly_TVPlant!AP$3&amp;$B$1)</f>
        <v>0</v>
      </c>
      <c r="AQ11" s="12"/>
      <c r="AR11" s="12">
        <f>HLOOKUP(AR$3,Weekly_TVPlant!$3:$24,MATCH($B11,Weekly_TVPlant!$B$3:$B$24,0),0)</f>
        <v>0</v>
      </c>
      <c r="AS11" s="12">
        <f>HLOOKUP(AS$3,Weekly_TVPlant!$3:$24,MATCH($B11,Weekly_TVPlant!$B$3:$B$24,0),0)</f>
        <v>0</v>
      </c>
      <c r="AT11" s="12">
        <f>HLOOKUP(AT$3,Weekly_TVPlant!$3:$24,MATCH($B11,Weekly_TVPlant!$B$3:$B$24,0),0)</f>
        <v>0</v>
      </c>
      <c r="AU11" s="12"/>
      <c r="AV11" s="12">
        <f t="shared" si="2"/>
        <v>4</v>
      </c>
    </row>
    <row r="12" spans="2:48">
      <c r="B12" s="12" t="s">
        <v>992</v>
      </c>
      <c r="C12" s="12">
        <f t="shared" si="0"/>
        <v>0</v>
      </c>
      <c r="D12" s="12">
        <f t="shared" si="0"/>
        <v>0</v>
      </c>
      <c r="E12" s="12"/>
      <c r="F12" s="12">
        <f>COUNTIF(defects!$Y:$Y,Monthly_TVPlant!$B12&amp;Monthly_TVPlant!$B$3&amp;$B$2&amp;Monthly_TVPlant!F$3&amp;$B$1)</f>
        <v>0</v>
      </c>
      <c r="G12" s="12">
        <f>COUNTIF(defects!$Y:$Y,Monthly_TVPlant!$B12&amp;Monthly_TVPlant!$B$3&amp;$B$2&amp;Monthly_TVPlant!G$3&amp;$B$1)</f>
        <v>0</v>
      </c>
      <c r="H12" s="12">
        <f>COUNTIF(defects!$Y:$Y,Monthly_TVPlant!$B12&amp;Monthly_TVPlant!$B$3&amp;$B$2&amp;Monthly_TVPlant!H$3&amp;$B$1)</f>
        <v>0</v>
      </c>
      <c r="I12" s="12">
        <f>COUNTIF(defects!$Y:$Y,Monthly_TVPlant!$B12&amp;Monthly_TVPlant!$B$3&amp;$B$2&amp;Monthly_TVPlant!I$3&amp;$B$1)</f>
        <v>0</v>
      </c>
      <c r="J12" s="12">
        <f>COUNTIF(defects!$Y:$Y,Monthly_TVPlant!$B12&amp;Monthly_TVPlant!$B$3&amp;$B$2&amp;Monthly_TVPlant!J$3&amp;$B$1)</f>
        <v>0</v>
      </c>
      <c r="K12" s="12">
        <f>COUNTIF(defects!$Y:$Y,Monthly_TVPlant!$B12&amp;Monthly_TVPlant!$B$3&amp;$B$2&amp;Monthly_TVPlant!K$3&amp;$B$1)</f>
        <v>0</v>
      </c>
      <c r="L12" s="12">
        <f>COUNTIF(defects!$Y:$Y,Monthly_TVPlant!$B12&amp;Monthly_TVPlant!$B$3&amp;$B$2&amp;Monthly_TVPlant!L$3&amp;$B$1)</f>
        <v>0</v>
      </c>
      <c r="M12" s="12">
        <f>COUNTIF(defects!$Y:$Y,Monthly_TVPlant!$B12&amp;Monthly_TVPlant!$B$3&amp;$B$2&amp;Monthly_TVPlant!M$3&amp;$B$1)</f>
        <v>0</v>
      </c>
      <c r="N12" s="12">
        <f>COUNTIF(defects!$Y:$Y,Monthly_TVPlant!$B12&amp;Monthly_TVPlant!$B$3&amp;$B$2&amp;Monthly_TVPlant!N$3&amp;$B$1)</f>
        <v>0</v>
      </c>
      <c r="O12" s="12">
        <f>COUNTIF(defects!$Y:$Y,Monthly_TVPlant!$B12&amp;Monthly_TVPlant!$B$3&amp;$B$2&amp;Monthly_TVPlant!O$3&amp;$B$1)</f>
        <v>0</v>
      </c>
      <c r="P12" s="12">
        <f>COUNTIF(defects!$Y:$Y,Monthly_TVPlant!$B12&amp;Monthly_TVPlant!$B$3&amp;$B$2&amp;Monthly_TVPlant!P$3&amp;$B$1)</f>
        <v>0</v>
      </c>
      <c r="Q12" s="12">
        <f>COUNTIF(defects!$Y:$Y,Monthly_TVPlant!$B12&amp;Monthly_TVPlant!$B$3&amp;$B$2&amp;Monthly_TVPlant!Q$3&amp;$B$1)</f>
        <v>0</v>
      </c>
      <c r="R12" s="12">
        <f>COUNTIF(defects!$Y:$Y,Monthly_TVPlant!$B12&amp;Monthly_TVPlant!$B$3&amp;$B$2&amp;Monthly_TVPlant!R$3&amp;$B$1)</f>
        <v>0</v>
      </c>
      <c r="S12" s="12">
        <f>COUNTIF(defects!$Y:$Y,Monthly_TVPlant!$B12&amp;Monthly_TVPlant!$B$3&amp;$B$2&amp;Monthly_TVPlant!S$3&amp;$B$1)</f>
        <v>0</v>
      </c>
      <c r="T12" s="12">
        <f>COUNTIF(defects!$Y:$Y,Monthly_TVPlant!$B12&amp;Monthly_TVPlant!$B$3&amp;$B$2&amp;Monthly_TVPlant!T$3&amp;$B$1)</f>
        <v>0</v>
      </c>
      <c r="U12" s="12">
        <f>COUNTIF(defects!$Y:$Y,Monthly_TVPlant!$B12&amp;Monthly_TVPlant!$B$3&amp;$B$2&amp;Monthly_TVPlant!U$3&amp;$B$1)</f>
        <v>0</v>
      </c>
      <c r="V12" s="12">
        <f>COUNTIF(defects!$Y:$Y,Monthly_TVPlant!$B12&amp;Monthly_TVPlant!$B$3&amp;$B$2&amp;Monthly_TVPlant!V$3&amp;$B$1)</f>
        <v>0</v>
      </c>
      <c r="W12" s="12">
        <f>COUNTIF(defects!$Y:$Y,Monthly_TVPlant!$B12&amp;Monthly_TVPlant!$B$3&amp;$B$2&amp;Monthly_TVPlant!W$3&amp;$B$1)</f>
        <v>0</v>
      </c>
      <c r="X12" s="12">
        <f>COUNTIF(defects!$Y:$Y,Monthly_TVPlant!$B12&amp;Monthly_TVPlant!$B$3&amp;$B$2&amp;Monthly_TVPlant!X$3&amp;$B$1)</f>
        <v>0</v>
      </c>
      <c r="Y12" s="12">
        <f>COUNTIF(defects!$Y:$Y,Monthly_TVPlant!$B12&amp;Monthly_TVPlant!$B$3&amp;$B$2&amp;Monthly_TVPlant!Y$3&amp;$B$1)</f>
        <v>0</v>
      </c>
      <c r="Z12" s="12">
        <f>COUNTIF(defects!$Y:$Y,Monthly_TVPlant!$B12&amp;Monthly_TVPlant!$B$3&amp;$B$2&amp;Monthly_TVPlant!Z$3&amp;$B$1)</f>
        <v>0</v>
      </c>
      <c r="AA12" s="12">
        <f>COUNTIF(defects!$Y:$Y,Monthly_TVPlant!$B12&amp;Monthly_TVPlant!$B$3&amp;$B$2&amp;Monthly_TVPlant!AA$3&amp;$B$1)</f>
        <v>0</v>
      </c>
      <c r="AB12" s="12">
        <f>COUNTIF(defects!$Y:$Y,Monthly_TVPlant!$B12&amp;Monthly_TVPlant!$B$3&amp;$B$2&amp;Monthly_TVPlant!AB$3&amp;$B$1)</f>
        <v>0</v>
      </c>
      <c r="AC12" s="12">
        <f>COUNTIF(defects!$Y:$Y,Monthly_TVPlant!$B12&amp;Monthly_TVPlant!$B$3&amp;$B$2&amp;Monthly_TVPlant!AC$3&amp;$B$1)</f>
        <v>0</v>
      </c>
      <c r="AD12" s="12">
        <f>COUNTIF(defects!$Y:$Y,Monthly_TVPlant!$B12&amp;Monthly_TVPlant!$B$3&amp;$B$2&amp;Monthly_TVPlant!AD$3&amp;$B$1)</f>
        <v>0</v>
      </c>
      <c r="AE12" s="12">
        <f>COUNTIF(defects!$Y:$Y,Monthly_TVPlant!$B12&amp;Monthly_TVPlant!$B$3&amp;$B$2&amp;Monthly_TVPlant!AE$3&amp;$B$1)</f>
        <v>0</v>
      </c>
      <c r="AF12" s="12">
        <f>COUNTIF(defects!$Y:$Y,Monthly_TVPlant!$B12&amp;Monthly_TVPlant!$B$3&amp;$B$2&amp;Monthly_TVPlant!AF$3&amp;$B$1)</f>
        <v>0</v>
      </c>
      <c r="AG12" s="12">
        <f>COUNTIF(defects!$Y:$Y,Monthly_TVPlant!$B12&amp;Monthly_TVPlant!$B$3&amp;$B$2&amp;Monthly_TVPlant!AG$3&amp;$B$1)</f>
        <v>0</v>
      </c>
      <c r="AH12" s="12">
        <f>COUNTIF(defects!$Y:$Y,Monthly_TVPlant!$B12&amp;Monthly_TVPlant!$B$3&amp;$B$2&amp;Monthly_TVPlant!AH$3&amp;$B$1)</f>
        <v>0</v>
      </c>
      <c r="AI12" s="12">
        <f>COUNTIF(defects!$Y:$Y,Monthly_TVPlant!$B12&amp;Monthly_TVPlant!$B$3&amp;$B$2&amp;Monthly_TVPlant!AI$3&amp;$B$1)</f>
        <v>0</v>
      </c>
      <c r="AJ12" s="12">
        <f>COUNTIF(defects!$Y:$Y,Monthly_TVPlant!$B12&amp;Monthly_TVPlant!$B$3&amp;$B$2&amp;Monthly_TVPlant!AJ$3&amp;$B$1)</f>
        <v>0</v>
      </c>
      <c r="AK12" s="12">
        <f>COUNTIF(defects!$Y:$Y,Monthly_TVPlant!$B12&amp;Monthly_TVPlant!$B$3&amp;$B$2&amp;Monthly_TVPlant!AK$3&amp;$B$1)</f>
        <v>0</v>
      </c>
      <c r="AL12" s="12">
        <f>COUNTIF(defects!$Y:$Y,Monthly_TVPlant!$B12&amp;Monthly_TVPlant!$B$3&amp;$B$2&amp;Monthly_TVPlant!AL$3&amp;$B$1)</f>
        <v>0</v>
      </c>
      <c r="AM12" s="12">
        <f>COUNTIF(defects!$Y:$Y,Monthly_TVPlant!$B12&amp;Monthly_TVPlant!$B$3&amp;$B$2&amp;Monthly_TVPlant!AM$3&amp;$B$1)</f>
        <v>0</v>
      </c>
      <c r="AN12" s="12">
        <f>COUNTIF(defects!$Y:$Y,Monthly_TVPlant!$B12&amp;Monthly_TVPlant!$B$3&amp;$B$2&amp;Monthly_TVPlant!AN$3&amp;$B$1)</f>
        <v>0</v>
      </c>
      <c r="AO12" s="12">
        <f>COUNTIF(defects!$Y:$Y,Monthly_TVPlant!$B12&amp;Monthly_TVPlant!$B$3&amp;$B$2&amp;Monthly_TVPlant!AO$3&amp;$B$1)</f>
        <v>0</v>
      </c>
      <c r="AP12" s="12">
        <f>COUNTIF(defects!$Y:$Y,Monthly_TVPlant!$B12&amp;Monthly_TVPlant!$B$3&amp;$B$2&amp;Monthly_TVPlant!AP$3&amp;$B$1)</f>
        <v>0</v>
      </c>
      <c r="AQ12" s="12"/>
      <c r="AR12" s="12">
        <f>HLOOKUP(AR$3,Weekly_TVPlant!$3:$24,MATCH($B12,Weekly_TVPlant!$B$3:$B$24,0),0)</f>
        <v>0</v>
      </c>
      <c r="AS12" s="12">
        <f>HLOOKUP(AS$3,Weekly_TVPlant!$3:$24,MATCH($B12,Weekly_TVPlant!$B$3:$B$24,0),0)</f>
        <v>0</v>
      </c>
      <c r="AT12" s="12">
        <f>HLOOKUP(AT$3,Weekly_TVPlant!$3:$24,MATCH($B12,Weekly_TVPlant!$B$3:$B$24,0),0)</f>
        <v>0</v>
      </c>
      <c r="AU12" s="12"/>
      <c r="AV12" s="12">
        <f t="shared" si="2"/>
        <v>0</v>
      </c>
    </row>
    <row r="13" spans="2:48">
      <c r="B13" s="12" t="s">
        <v>950</v>
      </c>
      <c r="C13" s="12">
        <f t="shared" si="0"/>
        <v>16</v>
      </c>
      <c r="D13" s="12">
        <f t="shared" si="0"/>
        <v>0</v>
      </c>
      <c r="E13" s="12"/>
      <c r="F13" s="12">
        <f>COUNTIF(defects!$Y:$Y,Monthly_TVPlant!$B13&amp;Monthly_TVPlant!$B$3&amp;$B$2&amp;Monthly_TVPlant!F$3&amp;$B$1)</f>
        <v>0</v>
      </c>
      <c r="G13" s="12">
        <f>COUNTIF(defects!$Y:$Y,Monthly_TVPlant!$B13&amp;Monthly_TVPlant!$B$3&amp;$B$2&amp;Monthly_TVPlant!G$3&amp;$B$1)</f>
        <v>0</v>
      </c>
      <c r="H13" s="12">
        <f>COUNTIF(defects!$Y:$Y,Monthly_TVPlant!$B13&amp;Monthly_TVPlant!$B$3&amp;$B$2&amp;Monthly_TVPlant!H$3&amp;$B$1)</f>
        <v>0</v>
      </c>
      <c r="I13" s="12">
        <f>COUNTIF(defects!$Y:$Y,Monthly_TVPlant!$B13&amp;Monthly_TVPlant!$B$3&amp;$B$2&amp;Monthly_TVPlant!I$3&amp;$B$1)</f>
        <v>0</v>
      </c>
      <c r="J13" s="12">
        <f>COUNTIF(defects!$Y:$Y,Monthly_TVPlant!$B13&amp;Monthly_TVPlant!$B$3&amp;$B$2&amp;Monthly_TVPlant!J$3&amp;$B$1)</f>
        <v>0</v>
      </c>
      <c r="K13" s="12">
        <f>COUNTIF(defects!$Y:$Y,Monthly_TVPlant!$B13&amp;Monthly_TVPlant!$B$3&amp;$B$2&amp;Monthly_TVPlant!K$3&amp;$B$1)</f>
        <v>0</v>
      </c>
      <c r="L13" s="12">
        <f>COUNTIF(defects!$Y:$Y,Monthly_TVPlant!$B13&amp;Monthly_TVPlant!$B$3&amp;$B$2&amp;Monthly_TVPlant!L$3&amp;$B$1)</f>
        <v>0</v>
      </c>
      <c r="M13" s="12">
        <f>COUNTIF(defects!$Y:$Y,Monthly_TVPlant!$B13&amp;Monthly_TVPlant!$B$3&amp;$B$2&amp;Monthly_TVPlant!M$3&amp;$B$1)</f>
        <v>0</v>
      </c>
      <c r="N13" s="12">
        <f>COUNTIF(defects!$Y:$Y,Monthly_TVPlant!$B13&amp;Monthly_TVPlant!$B$3&amp;$B$2&amp;Monthly_TVPlant!N$3&amp;$B$1)</f>
        <v>0</v>
      </c>
      <c r="O13" s="12">
        <f>COUNTIF(defects!$Y:$Y,Monthly_TVPlant!$B13&amp;Monthly_TVPlant!$B$3&amp;$B$2&amp;Monthly_TVPlant!O$3&amp;$B$1)</f>
        <v>0</v>
      </c>
      <c r="P13" s="12">
        <f>COUNTIF(defects!$Y:$Y,Monthly_TVPlant!$B13&amp;Monthly_TVPlant!$B$3&amp;$B$2&amp;Monthly_TVPlant!P$3&amp;$B$1)</f>
        <v>0</v>
      </c>
      <c r="Q13" s="12">
        <f>COUNTIF(defects!$Y:$Y,Monthly_TVPlant!$B13&amp;Monthly_TVPlant!$B$3&amp;$B$2&amp;Monthly_TVPlant!Q$3&amp;$B$1)</f>
        <v>0</v>
      </c>
      <c r="R13" s="12">
        <f>COUNTIF(defects!$Y:$Y,Monthly_TVPlant!$B13&amp;Monthly_TVPlant!$B$3&amp;$B$2&amp;Monthly_TVPlant!R$3&amp;$B$1)</f>
        <v>0</v>
      </c>
      <c r="S13" s="12">
        <f>COUNTIF(defects!$Y:$Y,Monthly_TVPlant!$B13&amp;Monthly_TVPlant!$B$3&amp;$B$2&amp;Monthly_TVPlant!S$3&amp;$B$1)</f>
        <v>0</v>
      </c>
      <c r="T13" s="12">
        <f>COUNTIF(defects!$Y:$Y,Monthly_TVPlant!$B13&amp;Monthly_TVPlant!$B$3&amp;$B$2&amp;Monthly_TVPlant!T$3&amp;$B$1)</f>
        <v>0</v>
      </c>
      <c r="U13" s="12">
        <f>COUNTIF(defects!$Y:$Y,Monthly_TVPlant!$B13&amp;Monthly_TVPlant!$B$3&amp;$B$2&amp;Monthly_TVPlant!U$3&amp;$B$1)</f>
        <v>0</v>
      </c>
      <c r="V13" s="12">
        <f>COUNTIF(defects!$Y:$Y,Monthly_TVPlant!$B13&amp;Monthly_TVPlant!$B$3&amp;$B$2&amp;Monthly_TVPlant!V$3&amp;$B$1)</f>
        <v>2</v>
      </c>
      <c r="W13" s="12">
        <f>COUNTIF(defects!$Y:$Y,Monthly_TVPlant!$B13&amp;Monthly_TVPlant!$B$3&amp;$B$2&amp;Monthly_TVPlant!W$3&amp;$B$1)</f>
        <v>1</v>
      </c>
      <c r="X13" s="12">
        <f>COUNTIF(defects!$Y:$Y,Monthly_TVPlant!$B13&amp;Monthly_TVPlant!$B$3&amp;$B$2&amp;Monthly_TVPlant!X$3&amp;$B$1)</f>
        <v>2</v>
      </c>
      <c r="Y13" s="12">
        <f>COUNTIF(defects!$Y:$Y,Monthly_TVPlant!$B13&amp;Monthly_TVPlant!$B$3&amp;$B$2&amp;Monthly_TVPlant!Y$3&amp;$B$1)</f>
        <v>5</v>
      </c>
      <c r="Z13" s="12">
        <f>COUNTIF(defects!$Y:$Y,Monthly_TVPlant!$B13&amp;Monthly_TVPlant!$B$3&amp;$B$2&amp;Monthly_TVPlant!Z$3&amp;$B$1)</f>
        <v>2</v>
      </c>
      <c r="AA13" s="12">
        <f>COUNTIF(defects!$Y:$Y,Monthly_TVPlant!$B13&amp;Monthly_TVPlant!$B$3&amp;$B$2&amp;Monthly_TVPlant!AA$3&amp;$B$1)</f>
        <v>0</v>
      </c>
      <c r="AB13" s="12">
        <f>COUNTIF(defects!$Y:$Y,Monthly_TVPlant!$B13&amp;Monthly_TVPlant!$B$3&amp;$B$2&amp;Monthly_TVPlant!AB$3&amp;$B$1)</f>
        <v>4</v>
      </c>
      <c r="AC13" s="12">
        <f>COUNTIF(defects!$Y:$Y,Monthly_TVPlant!$B13&amp;Monthly_TVPlant!$B$3&amp;$B$2&amp;Monthly_TVPlant!AC$3&amp;$B$1)</f>
        <v>0</v>
      </c>
      <c r="AD13" s="12">
        <f>COUNTIF(defects!$Y:$Y,Monthly_TVPlant!$B13&amp;Monthly_TVPlant!$B$3&amp;$B$2&amp;Monthly_TVPlant!AD$3&amp;$B$1)</f>
        <v>0</v>
      </c>
      <c r="AE13" s="12">
        <f>COUNTIF(defects!$Y:$Y,Monthly_TVPlant!$B13&amp;Monthly_TVPlant!$B$3&amp;$B$2&amp;Monthly_TVPlant!AE$3&amp;$B$1)</f>
        <v>0</v>
      </c>
      <c r="AF13" s="12">
        <f>COUNTIF(defects!$Y:$Y,Monthly_TVPlant!$B13&amp;Monthly_TVPlant!$B$3&amp;$B$2&amp;Monthly_TVPlant!AF$3&amp;$B$1)</f>
        <v>0</v>
      </c>
      <c r="AG13" s="12">
        <f>COUNTIF(defects!$Y:$Y,Monthly_TVPlant!$B13&amp;Monthly_TVPlant!$B$3&amp;$B$2&amp;Monthly_TVPlant!AG$3&amp;$B$1)</f>
        <v>0</v>
      </c>
      <c r="AH13" s="12">
        <f>COUNTIF(defects!$Y:$Y,Monthly_TVPlant!$B13&amp;Monthly_TVPlant!$B$3&amp;$B$2&amp;Monthly_TVPlant!AH$3&amp;$B$1)</f>
        <v>0</v>
      </c>
      <c r="AI13" s="12">
        <f>COUNTIF(defects!$Y:$Y,Monthly_TVPlant!$B13&amp;Monthly_TVPlant!$B$3&amp;$B$2&amp;Monthly_TVPlant!AI$3&amp;$B$1)</f>
        <v>0</v>
      </c>
      <c r="AJ13" s="12">
        <f>COUNTIF(defects!$Y:$Y,Monthly_TVPlant!$B13&amp;Monthly_TVPlant!$B$3&amp;$B$2&amp;Monthly_TVPlant!AJ$3&amp;$B$1)</f>
        <v>0</v>
      </c>
      <c r="AK13" s="12">
        <f>COUNTIF(defects!$Y:$Y,Monthly_TVPlant!$B13&amp;Monthly_TVPlant!$B$3&amp;$B$2&amp;Monthly_TVPlant!AK$3&amp;$B$1)</f>
        <v>0</v>
      </c>
      <c r="AL13" s="12">
        <f>COUNTIF(defects!$Y:$Y,Monthly_TVPlant!$B13&amp;Monthly_TVPlant!$B$3&amp;$B$2&amp;Monthly_TVPlant!AL$3&amp;$B$1)</f>
        <v>0</v>
      </c>
      <c r="AM13" s="12">
        <f>COUNTIF(defects!$Y:$Y,Monthly_TVPlant!$B13&amp;Monthly_TVPlant!$B$3&amp;$B$2&amp;Monthly_TVPlant!AM$3&amp;$B$1)</f>
        <v>0</v>
      </c>
      <c r="AN13" s="12">
        <f>COUNTIF(defects!$Y:$Y,Monthly_TVPlant!$B13&amp;Monthly_TVPlant!$B$3&amp;$B$2&amp;Monthly_TVPlant!AN$3&amp;$B$1)</f>
        <v>0</v>
      </c>
      <c r="AO13" s="12">
        <f>COUNTIF(defects!$Y:$Y,Monthly_TVPlant!$B13&amp;Monthly_TVPlant!$B$3&amp;$B$2&amp;Monthly_TVPlant!AO$3&amp;$B$1)</f>
        <v>0</v>
      </c>
      <c r="AP13" s="12">
        <f>COUNTIF(defects!$Y:$Y,Monthly_TVPlant!$B13&amp;Monthly_TVPlant!$B$3&amp;$B$2&amp;Monthly_TVPlant!AP$3&amp;$B$1)</f>
        <v>0</v>
      </c>
      <c r="AQ13" s="12"/>
      <c r="AR13" s="12">
        <f>HLOOKUP(AR$3,Weekly_TVPlant!$3:$24,MATCH($B13,Weekly_TVPlant!$B$3:$B$24,0),0)</f>
        <v>0</v>
      </c>
      <c r="AS13" s="12">
        <f>HLOOKUP(AS$3,Weekly_TVPlant!$3:$24,MATCH($B13,Weekly_TVPlant!$B$3:$B$24,0),0)</f>
        <v>0</v>
      </c>
      <c r="AT13" s="12">
        <f>HLOOKUP(AT$3,Weekly_TVPlant!$3:$24,MATCH($B13,Weekly_TVPlant!$B$3:$B$24,0),0)</f>
        <v>0</v>
      </c>
      <c r="AU13" s="12"/>
      <c r="AV13" s="12">
        <f t="shared" si="2"/>
        <v>16</v>
      </c>
    </row>
    <row r="14" spans="2:48">
      <c r="B14" s="12" t="s">
        <v>993</v>
      </c>
      <c r="C14" s="12">
        <f t="shared" si="0"/>
        <v>0</v>
      </c>
      <c r="D14" s="12">
        <f t="shared" si="0"/>
        <v>0</v>
      </c>
      <c r="E14" s="12"/>
      <c r="F14" s="12">
        <f>COUNTIF(defects!$Y:$Y,Monthly_TVPlant!$B14&amp;Monthly_TVPlant!$B$3&amp;$B$2&amp;Monthly_TVPlant!F$3&amp;$B$1)</f>
        <v>0</v>
      </c>
      <c r="G14" s="12">
        <f>COUNTIF(defects!$Y:$Y,Monthly_TVPlant!$B14&amp;Monthly_TVPlant!$B$3&amp;$B$2&amp;Monthly_TVPlant!G$3&amp;$B$1)</f>
        <v>0</v>
      </c>
      <c r="H14" s="12">
        <f>COUNTIF(defects!$Y:$Y,Monthly_TVPlant!$B14&amp;Monthly_TVPlant!$B$3&amp;$B$2&amp;Monthly_TVPlant!H$3&amp;$B$1)</f>
        <v>0</v>
      </c>
      <c r="I14" s="12">
        <f>COUNTIF(defects!$Y:$Y,Monthly_TVPlant!$B14&amp;Monthly_TVPlant!$B$3&amp;$B$2&amp;Monthly_TVPlant!I$3&amp;$B$1)</f>
        <v>0</v>
      </c>
      <c r="J14" s="12">
        <f>COUNTIF(defects!$Y:$Y,Monthly_TVPlant!$B14&amp;Monthly_TVPlant!$B$3&amp;$B$2&amp;Monthly_TVPlant!J$3&amp;$B$1)</f>
        <v>0</v>
      </c>
      <c r="K14" s="12">
        <f>COUNTIF(defects!$Y:$Y,Monthly_TVPlant!$B14&amp;Monthly_TVPlant!$B$3&amp;$B$2&amp;Monthly_TVPlant!K$3&amp;$B$1)</f>
        <v>0</v>
      </c>
      <c r="L14" s="12">
        <f>COUNTIF(defects!$Y:$Y,Monthly_TVPlant!$B14&amp;Monthly_TVPlant!$B$3&amp;$B$2&amp;Monthly_TVPlant!L$3&amp;$B$1)</f>
        <v>0</v>
      </c>
      <c r="M14" s="12">
        <f>COUNTIF(defects!$Y:$Y,Monthly_TVPlant!$B14&amp;Monthly_TVPlant!$B$3&amp;$B$2&amp;Monthly_TVPlant!M$3&amp;$B$1)</f>
        <v>0</v>
      </c>
      <c r="N14" s="12">
        <f>COUNTIF(defects!$Y:$Y,Monthly_TVPlant!$B14&amp;Monthly_TVPlant!$B$3&amp;$B$2&amp;Monthly_TVPlant!N$3&amp;$B$1)</f>
        <v>0</v>
      </c>
      <c r="O14" s="12">
        <f>COUNTIF(defects!$Y:$Y,Monthly_TVPlant!$B14&amp;Monthly_TVPlant!$B$3&amp;$B$2&amp;Monthly_TVPlant!O$3&amp;$B$1)</f>
        <v>0</v>
      </c>
      <c r="P14" s="12">
        <f>COUNTIF(defects!$Y:$Y,Monthly_TVPlant!$B14&amp;Monthly_TVPlant!$B$3&amp;$B$2&amp;Monthly_TVPlant!P$3&amp;$B$1)</f>
        <v>0</v>
      </c>
      <c r="Q14" s="12">
        <f>COUNTIF(defects!$Y:$Y,Monthly_TVPlant!$B14&amp;Monthly_TVPlant!$B$3&amp;$B$2&amp;Monthly_TVPlant!Q$3&amp;$B$1)</f>
        <v>0</v>
      </c>
      <c r="R14" s="12">
        <f>COUNTIF(defects!$Y:$Y,Monthly_TVPlant!$B14&amp;Monthly_TVPlant!$B$3&amp;$B$2&amp;Monthly_TVPlant!R$3&amp;$B$1)</f>
        <v>0</v>
      </c>
      <c r="S14" s="12">
        <f>COUNTIF(defects!$Y:$Y,Monthly_TVPlant!$B14&amp;Monthly_TVPlant!$B$3&amp;$B$2&amp;Monthly_TVPlant!S$3&amp;$B$1)</f>
        <v>0</v>
      </c>
      <c r="T14" s="12">
        <f>COUNTIF(defects!$Y:$Y,Monthly_TVPlant!$B14&amp;Monthly_TVPlant!$B$3&amp;$B$2&amp;Monthly_TVPlant!T$3&amp;$B$1)</f>
        <v>0</v>
      </c>
      <c r="U14" s="12">
        <f>COUNTIF(defects!$Y:$Y,Monthly_TVPlant!$B14&amp;Monthly_TVPlant!$B$3&amp;$B$2&amp;Monthly_TVPlant!U$3&amp;$B$1)</f>
        <v>0</v>
      </c>
      <c r="V14" s="12">
        <f>COUNTIF(defects!$Y:$Y,Monthly_TVPlant!$B14&amp;Monthly_TVPlant!$B$3&amp;$B$2&amp;Monthly_TVPlant!V$3&amp;$B$1)</f>
        <v>0</v>
      </c>
      <c r="W14" s="12">
        <f>COUNTIF(defects!$Y:$Y,Monthly_TVPlant!$B14&amp;Monthly_TVPlant!$B$3&amp;$B$2&amp;Monthly_TVPlant!W$3&amp;$B$1)</f>
        <v>0</v>
      </c>
      <c r="X14" s="12">
        <f>COUNTIF(defects!$Y:$Y,Monthly_TVPlant!$B14&amp;Monthly_TVPlant!$B$3&amp;$B$2&amp;Monthly_TVPlant!X$3&amp;$B$1)</f>
        <v>0</v>
      </c>
      <c r="Y14" s="12">
        <f>COUNTIF(defects!$Y:$Y,Monthly_TVPlant!$B14&amp;Monthly_TVPlant!$B$3&amp;$B$2&amp;Monthly_TVPlant!Y$3&amp;$B$1)</f>
        <v>0</v>
      </c>
      <c r="Z14" s="12">
        <f>COUNTIF(defects!$Y:$Y,Monthly_TVPlant!$B14&amp;Monthly_TVPlant!$B$3&amp;$B$2&amp;Monthly_TVPlant!Z$3&amp;$B$1)</f>
        <v>0</v>
      </c>
      <c r="AA14" s="12">
        <f>COUNTIF(defects!$Y:$Y,Monthly_TVPlant!$B14&amp;Monthly_TVPlant!$B$3&amp;$B$2&amp;Monthly_TVPlant!AA$3&amp;$B$1)</f>
        <v>0</v>
      </c>
      <c r="AB14" s="12">
        <f>COUNTIF(defects!$Y:$Y,Monthly_TVPlant!$B14&amp;Monthly_TVPlant!$B$3&amp;$B$2&amp;Monthly_TVPlant!AB$3&amp;$B$1)</f>
        <v>0</v>
      </c>
      <c r="AC14" s="12">
        <f>COUNTIF(defects!$Y:$Y,Monthly_TVPlant!$B14&amp;Monthly_TVPlant!$B$3&amp;$B$2&amp;Monthly_TVPlant!AC$3&amp;$B$1)</f>
        <v>0</v>
      </c>
      <c r="AD14" s="12">
        <f>COUNTIF(defects!$Y:$Y,Monthly_TVPlant!$B14&amp;Monthly_TVPlant!$B$3&amp;$B$2&amp;Monthly_TVPlant!AD$3&amp;$B$1)</f>
        <v>0</v>
      </c>
      <c r="AE14" s="12">
        <f>COUNTIF(defects!$Y:$Y,Monthly_TVPlant!$B14&amp;Monthly_TVPlant!$B$3&amp;$B$2&amp;Monthly_TVPlant!AE$3&amp;$B$1)</f>
        <v>0</v>
      </c>
      <c r="AF14" s="12">
        <f>COUNTIF(defects!$Y:$Y,Monthly_TVPlant!$B14&amp;Monthly_TVPlant!$B$3&amp;$B$2&amp;Monthly_TVPlant!AF$3&amp;$B$1)</f>
        <v>0</v>
      </c>
      <c r="AG14" s="12">
        <f>COUNTIF(defects!$Y:$Y,Monthly_TVPlant!$B14&amp;Monthly_TVPlant!$B$3&amp;$B$2&amp;Monthly_TVPlant!AG$3&amp;$B$1)</f>
        <v>0</v>
      </c>
      <c r="AH14" s="12">
        <f>COUNTIF(defects!$Y:$Y,Monthly_TVPlant!$B14&amp;Monthly_TVPlant!$B$3&amp;$B$2&amp;Monthly_TVPlant!AH$3&amp;$B$1)</f>
        <v>0</v>
      </c>
      <c r="AI14" s="12">
        <f>COUNTIF(defects!$Y:$Y,Monthly_TVPlant!$B14&amp;Monthly_TVPlant!$B$3&amp;$B$2&amp;Monthly_TVPlant!AI$3&amp;$B$1)</f>
        <v>0</v>
      </c>
      <c r="AJ14" s="12">
        <f>COUNTIF(defects!$Y:$Y,Monthly_TVPlant!$B14&amp;Monthly_TVPlant!$B$3&amp;$B$2&amp;Monthly_TVPlant!AJ$3&amp;$B$1)</f>
        <v>0</v>
      </c>
      <c r="AK14" s="12">
        <f>COUNTIF(defects!$Y:$Y,Monthly_TVPlant!$B14&amp;Monthly_TVPlant!$B$3&amp;$B$2&amp;Monthly_TVPlant!AK$3&amp;$B$1)</f>
        <v>0</v>
      </c>
      <c r="AL14" s="12">
        <f>COUNTIF(defects!$Y:$Y,Monthly_TVPlant!$B14&amp;Monthly_TVPlant!$B$3&amp;$B$2&amp;Monthly_TVPlant!AL$3&amp;$B$1)</f>
        <v>0</v>
      </c>
      <c r="AM14" s="12">
        <f>COUNTIF(defects!$Y:$Y,Monthly_TVPlant!$B14&amp;Monthly_TVPlant!$B$3&amp;$B$2&amp;Monthly_TVPlant!AM$3&amp;$B$1)</f>
        <v>0</v>
      </c>
      <c r="AN14" s="12">
        <f>COUNTIF(defects!$Y:$Y,Monthly_TVPlant!$B14&amp;Monthly_TVPlant!$B$3&amp;$B$2&amp;Monthly_TVPlant!AN$3&amp;$B$1)</f>
        <v>0</v>
      </c>
      <c r="AO14" s="12">
        <f>COUNTIF(defects!$Y:$Y,Monthly_TVPlant!$B14&amp;Monthly_TVPlant!$B$3&amp;$B$2&amp;Monthly_TVPlant!AO$3&amp;$B$1)</f>
        <v>0</v>
      </c>
      <c r="AP14" s="12">
        <f>COUNTIF(defects!$Y:$Y,Monthly_TVPlant!$B14&amp;Monthly_TVPlant!$B$3&amp;$B$2&amp;Monthly_TVPlant!AP$3&amp;$B$1)</f>
        <v>0</v>
      </c>
      <c r="AQ14" s="12"/>
      <c r="AR14" s="12">
        <f>HLOOKUP(AR$3,Weekly_TVPlant!$3:$24,MATCH($B14,Weekly_TVPlant!$B$3:$B$24,0),0)</f>
        <v>0</v>
      </c>
      <c r="AS14" s="12">
        <f>HLOOKUP(AS$3,Weekly_TVPlant!$3:$24,MATCH($B14,Weekly_TVPlant!$B$3:$B$24,0),0)</f>
        <v>0</v>
      </c>
      <c r="AT14" s="12">
        <f>HLOOKUP(AT$3,Weekly_TVPlant!$3:$24,MATCH($B14,Weekly_TVPlant!$B$3:$B$24,0),0)</f>
        <v>0</v>
      </c>
      <c r="AU14" s="12"/>
      <c r="AV14" s="12">
        <f t="shared" si="2"/>
        <v>0</v>
      </c>
    </row>
    <row r="15" spans="2:48">
      <c r="B15" s="12" t="s">
        <v>949</v>
      </c>
      <c r="C15" s="12">
        <f t="shared" si="0"/>
        <v>23</v>
      </c>
      <c r="D15" s="12">
        <f t="shared" si="0"/>
        <v>0</v>
      </c>
      <c r="E15" s="12"/>
      <c r="F15" s="12">
        <f>COUNTIF(defects!$Y:$Y,Monthly_TVPlant!$B15&amp;Monthly_TVPlant!$B$3&amp;$B$2&amp;Monthly_TVPlant!F$3&amp;$B$1)</f>
        <v>0</v>
      </c>
      <c r="G15" s="12">
        <f>COUNTIF(defects!$Y:$Y,Monthly_TVPlant!$B15&amp;Monthly_TVPlant!$B$3&amp;$B$2&amp;Monthly_TVPlant!G$3&amp;$B$1)</f>
        <v>0</v>
      </c>
      <c r="H15" s="12">
        <f>COUNTIF(defects!$Y:$Y,Monthly_TVPlant!$B15&amp;Monthly_TVPlant!$B$3&amp;$B$2&amp;Monthly_TVPlant!H$3&amp;$B$1)</f>
        <v>0</v>
      </c>
      <c r="I15" s="12">
        <f>COUNTIF(defects!$Y:$Y,Monthly_TVPlant!$B15&amp;Monthly_TVPlant!$B$3&amp;$B$2&amp;Monthly_TVPlant!I$3&amp;$B$1)</f>
        <v>0</v>
      </c>
      <c r="J15" s="12">
        <f>COUNTIF(defects!$Y:$Y,Monthly_TVPlant!$B15&amp;Monthly_TVPlant!$B$3&amp;$B$2&amp;Monthly_TVPlant!J$3&amp;$B$1)</f>
        <v>0</v>
      </c>
      <c r="K15" s="12">
        <f>COUNTIF(defects!$Y:$Y,Monthly_TVPlant!$B15&amp;Monthly_TVPlant!$B$3&amp;$B$2&amp;Monthly_TVPlant!K$3&amp;$B$1)</f>
        <v>0</v>
      </c>
      <c r="L15" s="12">
        <f>COUNTIF(defects!$Y:$Y,Monthly_TVPlant!$B15&amp;Monthly_TVPlant!$B$3&amp;$B$2&amp;Monthly_TVPlant!L$3&amp;$B$1)</f>
        <v>0</v>
      </c>
      <c r="M15" s="12">
        <f>COUNTIF(defects!$Y:$Y,Monthly_TVPlant!$B15&amp;Monthly_TVPlant!$B$3&amp;$B$2&amp;Monthly_TVPlant!M$3&amp;$B$1)</f>
        <v>0</v>
      </c>
      <c r="N15" s="12">
        <f>COUNTIF(defects!$Y:$Y,Monthly_TVPlant!$B15&amp;Monthly_TVPlant!$B$3&amp;$B$2&amp;Monthly_TVPlant!N$3&amp;$B$1)</f>
        <v>0</v>
      </c>
      <c r="O15" s="12">
        <f>COUNTIF(defects!$Y:$Y,Monthly_TVPlant!$B15&amp;Monthly_TVPlant!$B$3&amp;$B$2&amp;Monthly_TVPlant!O$3&amp;$B$1)</f>
        <v>0</v>
      </c>
      <c r="P15" s="12">
        <f>COUNTIF(defects!$Y:$Y,Monthly_TVPlant!$B15&amp;Monthly_TVPlant!$B$3&amp;$B$2&amp;Monthly_TVPlant!P$3&amp;$B$1)</f>
        <v>0</v>
      </c>
      <c r="Q15" s="12">
        <f>COUNTIF(defects!$Y:$Y,Monthly_TVPlant!$B15&amp;Monthly_TVPlant!$B$3&amp;$B$2&amp;Monthly_TVPlant!Q$3&amp;$B$1)</f>
        <v>0</v>
      </c>
      <c r="R15" s="12">
        <f>COUNTIF(defects!$Y:$Y,Monthly_TVPlant!$B15&amp;Monthly_TVPlant!$B$3&amp;$B$2&amp;Monthly_TVPlant!R$3&amp;$B$1)</f>
        <v>0</v>
      </c>
      <c r="S15" s="12">
        <f>COUNTIF(defects!$Y:$Y,Monthly_TVPlant!$B15&amp;Monthly_TVPlant!$B$3&amp;$B$2&amp;Monthly_TVPlant!S$3&amp;$B$1)</f>
        <v>0</v>
      </c>
      <c r="T15" s="12">
        <f>COUNTIF(defects!$Y:$Y,Monthly_TVPlant!$B15&amp;Monthly_TVPlant!$B$3&amp;$B$2&amp;Monthly_TVPlant!T$3&amp;$B$1)</f>
        <v>0</v>
      </c>
      <c r="U15" s="12">
        <f>COUNTIF(defects!$Y:$Y,Monthly_TVPlant!$B15&amp;Monthly_TVPlant!$B$3&amp;$B$2&amp;Monthly_TVPlant!U$3&amp;$B$1)</f>
        <v>0</v>
      </c>
      <c r="V15" s="12">
        <f>COUNTIF(defects!$Y:$Y,Monthly_TVPlant!$B15&amp;Monthly_TVPlant!$B$3&amp;$B$2&amp;Monthly_TVPlant!V$3&amp;$B$1)</f>
        <v>1</v>
      </c>
      <c r="W15" s="12">
        <f>COUNTIF(defects!$Y:$Y,Monthly_TVPlant!$B15&amp;Monthly_TVPlant!$B$3&amp;$B$2&amp;Monthly_TVPlant!W$3&amp;$B$1)</f>
        <v>3</v>
      </c>
      <c r="X15" s="12">
        <f>COUNTIF(defects!$Y:$Y,Monthly_TVPlant!$B15&amp;Monthly_TVPlant!$B$3&amp;$B$2&amp;Monthly_TVPlant!X$3&amp;$B$1)</f>
        <v>7</v>
      </c>
      <c r="Y15" s="12">
        <f>COUNTIF(defects!$Y:$Y,Monthly_TVPlant!$B15&amp;Monthly_TVPlant!$B$3&amp;$B$2&amp;Monthly_TVPlant!Y$3&amp;$B$1)</f>
        <v>2</v>
      </c>
      <c r="Z15" s="12">
        <f>COUNTIF(defects!$Y:$Y,Monthly_TVPlant!$B15&amp;Monthly_TVPlant!$B$3&amp;$B$2&amp;Monthly_TVPlant!Z$3&amp;$B$1)</f>
        <v>4</v>
      </c>
      <c r="AA15" s="12">
        <f>COUNTIF(defects!$Y:$Y,Monthly_TVPlant!$B15&amp;Monthly_TVPlant!$B$3&amp;$B$2&amp;Monthly_TVPlant!AA$3&amp;$B$1)</f>
        <v>2</v>
      </c>
      <c r="AB15" s="12">
        <f>COUNTIF(defects!$Y:$Y,Monthly_TVPlant!$B15&amp;Monthly_TVPlant!$B$3&amp;$B$2&amp;Monthly_TVPlant!AB$3&amp;$B$1)</f>
        <v>4</v>
      </c>
      <c r="AC15" s="12">
        <f>COUNTIF(defects!$Y:$Y,Monthly_TVPlant!$B15&amp;Monthly_TVPlant!$B$3&amp;$B$2&amp;Monthly_TVPlant!AC$3&amp;$B$1)</f>
        <v>0</v>
      </c>
      <c r="AD15" s="12">
        <f>COUNTIF(defects!$Y:$Y,Monthly_TVPlant!$B15&amp;Monthly_TVPlant!$B$3&amp;$B$2&amp;Monthly_TVPlant!AD$3&amp;$B$1)</f>
        <v>0</v>
      </c>
      <c r="AE15" s="12">
        <f>COUNTIF(defects!$Y:$Y,Monthly_TVPlant!$B15&amp;Monthly_TVPlant!$B$3&amp;$B$2&amp;Monthly_TVPlant!AE$3&amp;$B$1)</f>
        <v>0</v>
      </c>
      <c r="AF15" s="12">
        <f>COUNTIF(defects!$Y:$Y,Monthly_TVPlant!$B15&amp;Monthly_TVPlant!$B$3&amp;$B$2&amp;Monthly_TVPlant!AF$3&amp;$B$1)</f>
        <v>0</v>
      </c>
      <c r="AG15" s="12">
        <f>COUNTIF(defects!$Y:$Y,Monthly_TVPlant!$B15&amp;Monthly_TVPlant!$B$3&amp;$B$2&amp;Monthly_TVPlant!AG$3&amp;$B$1)</f>
        <v>0</v>
      </c>
      <c r="AH15" s="12">
        <f>COUNTIF(defects!$Y:$Y,Monthly_TVPlant!$B15&amp;Monthly_TVPlant!$B$3&amp;$B$2&amp;Monthly_TVPlant!AH$3&amp;$B$1)</f>
        <v>0</v>
      </c>
      <c r="AI15" s="12">
        <f>COUNTIF(defects!$Y:$Y,Monthly_TVPlant!$B15&amp;Monthly_TVPlant!$B$3&amp;$B$2&amp;Monthly_TVPlant!AI$3&amp;$B$1)</f>
        <v>0</v>
      </c>
      <c r="AJ15" s="12">
        <f>COUNTIF(defects!$Y:$Y,Monthly_TVPlant!$B15&amp;Monthly_TVPlant!$B$3&amp;$B$2&amp;Monthly_TVPlant!AJ$3&amp;$B$1)</f>
        <v>0</v>
      </c>
      <c r="AK15" s="12">
        <f>COUNTIF(defects!$Y:$Y,Monthly_TVPlant!$B15&amp;Monthly_TVPlant!$B$3&amp;$B$2&amp;Monthly_TVPlant!AK$3&amp;$B$1)</f>
        <v>0</v>
      </c>
      <c r="AL15" s="12">
        <f>COUNTIF(defects!$Y:$Y,Monthly_TVPlant!$B15&amp;Monthly_TVPlant!$B$3&amp;$B$2&amp;Monthly_TVPlant!AL$3&amp;$B$1)</f>
        <v>0</v>
      </c>
      <c r="AM15" s="12">
        <f>COUNTIF(defects!$Y:$Y,Monthly_TVPlant!$B15&amp;Monthly_TVPlant!$B$3&amp;$B$2&amp;Monthly_TVPlant!AM$3&amp;$B$1)</f>
        <v>0</v>
      </c>
      <c r="AN15" s="12">
        <f>COUNTIF(defects!$Y:$Y,Monthly_TVPlant!$B15&amp;Monthly_TVPlant!$B$3&amp;$B$2&amp;Monthly_TVPlant!AN$3&amp;$B$1)</f>
        <v>0</v>
      </c>
      <c r="AO15" s="12">
        <f>COUNTIF(defects!$Y:$Y,Monthly_TVPlant!$B15&amp;Monthly_TVPlant!$B$3&amp;$B$2&amp;Monthly_TVPlant!AO$3&amp;$B$1)</f>
        <v>0</v>
      </c>
      <c r="AP15" s="12">
        <f>COUNTIF(defects!$Y:$Y,Monthly_TVPlant!$B15&amp;Monthly_TVPlant!$B$3&amp;$B$2&amp;Monthly_TVPlant!AP$3&amp;$B$1)</f>
        <v>0</v>
      </c>
      <c r="AQ15" s="12"/>
      <c r="AR15" s="12">
        <f>HLOOKUP(AR$3,Weekly_TVPlant!$3:$24,MATCH($B15,Weekly_TVPlant!$B$3:$B$24,0),0)</f>
        <v>0</v>
      </c>
      <c r="AS15" s="12">
        <f>HLOOKUP(AS$3,Weekly_TVPlant!$3:$24,MATCH($B15,Weekly_TVPlant!$B$3:$B$24,0),0)</f>
        <v>0</v>
      </c>
      <c r="AT15" s="12">
        <f>HLOOKUP(AT$3,Weekly_TVPlant!$3:$24,MATCH($B15,Weekly_TVPlant!$B$3:$B$24,0),0)</f>
        <v>0</v>
      </c>
      <c r="AU15" s="12"/>
      <c r="AV15" s="12">
        <f t="shared" si="2"/>
        <v>23</v>
      </c>
    </row>
    <row r="16" spans="2:48">
      <c r="B16" s="12" t="s">
        <v>28</v>
      </c>
      <c r="C16" s="12">
        <f t="shared" si="0"/>
        <v>43</v>
      </c>
      <c r="D16" s="12">
        <f t="shared" si="0"/>
        <v>0</v>
      </c>
      <c r="E16" s="12"/>
      <c r="F16" s="12">
        <f>COUNTIF(defects!$Y:$Y,Monthly_TVPlant!$B16&amp;Monthly_TVPlant!$B$3&amp;$B$2&amp;Monthly_TVPlant!F$3&amp;$B$1)</f>
        <v>0</v>
      </c>
      <c r="G16" s="12">
        <f>COUNTIF(defects!$Y:$Y,Monthly_TVPlant!$B16&amp;Monthly_TVPlant!$B$3&amp;$B$2&amp;Monthly_TVPlant!G$3&amp;$B$1)</f>
        <v>0</v>
      </c>
      <c r="H16" s="12">
        <f>COUNTIF(defects!$Y:$Y,Monthly_TVPlant!$B16&amp;Monthly_TVPlant!$B$3&amp;$B$2&amp;Monthly_TVPlant!H$3&amp;$B$1)</f>
        <v>0</v>
      </c>
      <c r="I16" s="12">
        <f>COUNTIF(defects!$Y:$Y,Monthly_TVPlant!$B16&amp;Monthly_TVPlant!$B$3&amp;$B$2&amp;Monthly_TVPlant!I$3&amp;$B$1)</f>
        <v>0</v>
      </c>
      <c r="J16" s="12">
        <f>COUNTIF(defects!$Y:$Y,Monthly_TVPlant!$B16&amp;Monthly_TVPlant!$B$3&amp;$B$2&amp;Monthly_TVPlant!J$3&amp;$B$1)</f>
        <v>0</v>
      </c>
      <c r="K16" s="12">
        <f>COUNTIF(defects!$Y:$Y,Monthly_TVPlant!$B16&amp;Monthly_TVPlant!$B$3&amp;$B$2&amp;Monthly_TVPlant!K$3&amp;$B$1)</f>
        <v>0</v>
      </c>
      <c r="L16" s="12">
        <f>COUNTIF(defects!$Y:$Y,Monthly_TVPlant!$B16&amp;Monthly_TVPlant!$B$3&amp;$B$2&amp;Monthly_TVPlant!L$3&amp;$B$1)</f>
        <v>0</v>
      </c>
      <c r="M16" s="12">
        <f>COUNTIF(defects!$Y:$Y,Monthly_TVPlant!$B16&amp;Monthly_TVPlant!$B$3&amp;$B$2&amp;Monthly_TVPlant!M$3&amp;$B$1)</f>
        <v>0</v>
      </c>
      <c r="N16" s="12">
        <f>COUNTIF(defects!$Y:$Y,Monthly_TVPlant!$B16&amp;Monthly_TVPlant!$B$3&amp;$B$2&amp;Monthly_TVPlant!N$3&amp;$B$1)</f>
        <v>0</v>
      </c>
      <c r="O16" s="12">
        <f>COUNTIF(defects!$Y:$Y,Monthly_TVPlant!$B16&amp;Monthly_TVPlant!$B$3&amp;$B$2&amp;Monthly_TVPlant!O$3&amp;$B$1)</f>
        <v>0</v>
      </c>
      <c r="P16" s="12">
        <f>COUNTIF(defects!$Y:$Y,Monthly_TVPlant!$B16&amp;Monthly_TVPlant!$B$3&amp;$B$2&amp;Monthly_TVPlant!P$3&amp;$B$1)</f>
        <v>0</v>
      </c>
      <c r="Q16" s="12">
        <f>COUNTIF(defects!$Y:$Y,Monthly_TVPlant!$B16&amp;Monthly_TVPlant!$B$3&amp;$B$2&amp;Monthly_TVPlant!Q$3&amp;$B$1)</f>
        <v>0</v>
      </c>
      <c r="R16" s="12">
        <f>COUNTIF(defects!$Y:$Y,Monthly_TVPlant!$B16&amp;Monthly_TVPlant!$B$3&amp;$B$2&amp;Monthly_TVPlant!R$3&amp;$B$1)</f>
        <v>0</v>
      </c>
      <c r="S16" s="12">
        <f>COUNTIF(defects!$Y:$Y,Monthly_TVPlant!$B16&amp;Monthly_TVPlant!$B$3&amp;$B$2&amp;Monthly_TVPlant!S$3&amp;$B$1)</f>
        <v>0</v>
      </c>
      <c r="T16" s="12">
        <f>COUNTIF(defects!$Y:$Y,Monthly_TVPlant!$B16&amp;Monthly_TVPlant!$B$3&amp;$B$2&amp;Monthly_TVPlant!T$3&amp;$B$1)</f>
        <v>0</v>
      </c>
      <c r="U16" s="12">
        <f>COUNTIF(defects!$Y:$Y,Monthly_TVPlant!$B16&amp;Monthly_TVPlant!$B$3&amp;$B$2&amp;Monthly_TVPlant!U$3&amp;$B$1)</f>
        <v>0</v>
      </c>
      <c r="V16" s="12">
        <f>COUNTIF(defects!$Y:$Y,Monthly_TVPlant!$B16&amp;Monthly_TVPlant!$B$3&amp;$B$2&amp;Monthly_TVPlant!V$3&amp;$B$1)</f>
        <v>1</v>
      </c>
      <c r="W16" s="12">
        <f>COUNTIF(defects!$Y:$Y,Monthly_TVPlant!$B16&amp;Monthly_TVPlant!$B$3&amp;$B$2&amp;Monthly_TVPlant!W$3&amp;$B$1)</f>
        <v>1</v>
      </c>
      <c r="X16" s="12">
        <f>COUNTIF(defects!$Y:$Y,Monthly_TVPlant!$B16&amp;Monthly_TVPlant!$B$3&amp;$B$2&amp;Monthly_TVPlant!X$3&amp;$B$1)</f>
        <v>5</v>
      </c>
      <c r="Y16" s="12">
        <f>COUNTIF(defects!$Y:$Y,Monthly_TVPlant!$B16&amp;Monthly_TVPlant!$B$3&amp;$B$2&amp;Monthly_TVPlant!Y$3&amp;$B$1)</f>
        <v>8</v>
      </c>
      <c r="Z16" s="12">
        <f>COUNTIF(defects!$Y:$Y,Monthly_TVPlant!$B16&amp;Monthly_TVPlant!$B$3&amp;$B$2&amp;Monthly_TVPlant!Z$3&amp;$B$1)</f>
        <v>13</v>
      </c>
      <c r="AA16" s="12">
        <f>COUNTIF(defects!$Y:$Y,Monthly_TVPlant!$B16&amp;Monthly_TVPlant!$B$3&amp;$B$2&amp;Monthly_TVPlant!AA$3&amp;$B$1)</f>
        <v>14</v>
      </c>
      <c r="AB16" s="12">
        <f>COUNTIF(defects!$Y:$Y,Monthly_TVPlant!$B16&amp;Monthly_TVPlant!$B$3&amp;$B$2&amp;Monthly_TVPlant!AB$3&amp;$B$1)</f>
        <v>1</v>
      </c>
      <c r="AC16" s="12">
        <f>COUNTIF(defects!$Y:$Y,Monthly_TVPlant!$B16&amp;Monthly_TVPlant!$B$3&amp;$B$2&amp;Monthly_TVPlant!AC$3&amp;$B$1)</f>
        <v>0</v>
      </c>
      <c r="AD16" s="12">
        <f>COUNTIF(defects!$Y:$Y,Monthly_TVPlant!$B16&amp;Monthly_TVPlant!$B$3&amp;$B$2&amp;Monthly_TVPlant!AD$3&amp;$B$1)</f>
        <v>0</v>
      </c>
      <c r="AE16" s="12">
        <f>COUNTIF(defects!$Y:$Y,Monthly_TVPlant!$B16&amp;Monthly_TVPlant!$B$3&amp;$B$2&amp;Monthly_TVPlant!AE$3&amp;$B$1)</f>
        <v>0</v>
      </c>
      <c r="AF16" s="12">
        <f>COUNTIF(defects!$Y:$Y,Monthly_TVPlant!$B16&amp;Monthly_TVPlant!$B$3&amp;$B$2&amp;Monthly_TVPlant!AF$3&amp;$B$1)</f>
        <v>0</v>
      </c>
      <c r="AG16" s="12">
        <f>COUNTIF(defects!$Y:$Y,Monthly_TVPlant!$B16&amp;Monthly_TVPlant!$B$3&amp;$B$2&amp;Monthly_TVPlant!AG$3&amp;$B$1)</f>
        <v>0</v>
      </c>
      <c r="AH16" s="12">
        <f>COUNTIF(defects!$Y:$Y,Monthly_TVPlant!$B16&amp;Monthly_TVPlant!$B$3&amp;$B$2&amp;Monthly_TVPlant!AH$3&amp;$B$1)</f>
        <v>0</v>
      </c>
      <c r="AI16" s="12">
        <f>COUNTIF(defects!$Y:$Y,Monthly_TVPlant!$B16&amp;Monthly_TVPlant!$B$3&amp;$B$2&amp;Monthly_TVPlant!AI$3&amp;$B$1)</f>
        <v>0</v>
      </c>
      <c r="AJ16" s="12">
        <f>COUNTIF(defects!$Y:$Y,Monthly_TVPlant!$B16&amp;Monthly_TVPlant!$B$3&amp;$B$2&amp;Monthly_TVPlant!AJ$3&amp;$B$1)</f>
        <v>0</v>
      </c>
      <c r="AK16" s="12">
        <f>COUNTIF(defects!$Y:$Y,Monthly_TVPlant!$B16&amp;Monthly_TVPlant!$B$3&amp;$B$2&amp;Monthly_TVPlant!AK$3&amp;$B$1)</f>
        <v>0</v>
      </c>
      <c r="AL16" s="12">
        <f>COUNTIF(defects!$Y:$Y,Monthly_TVPlant!$B16&amp;Monthly_TVPlant!$B$3&amp;$B$2&amp;Monthly_TVPlant!AL$3&amp;$B$1)</f>
        <v>0</v>
      </c>
      <c r="AM16" s="12">
        <f>COUNTIF(defects!$Y:$Y,Monthly_TVPlant!$B16&amp;Monthly_TVPlant!$B$3&amp;$B$2&amp;Monthly_TVPlant!AM$3&amp;$B$1)</f>
        <v>0</v>
      </c>
      <c r="AN16" s="12">
        <f>COUNTIF(defects!$Y:$Y,Monthly_TVPlant!$B16&amp;Monthly_TVPlant!$B$3&amp;$B$2&amp;Monthly_TVPlant!AN$3&amp;$B$1)</f>
        <v>0</v>
      </c>
      <c r="AO16" s="12">
        <f>COUNTIF(defects!$Y:$Y,Monthly_TVPlant!$B16&amp;Monthly_TVPlant!$B$3&amp;$B$2&amp;Monthly_TVPlant!AO$3&amp;$B$1)</f>
        <v>0</v>
      </c>
      <c r="AP16" s="12">
        <f>COUNTIF(defects!$Y:$Y,Monthly_TVPlant!$B16&amp;Monthly_TVPlant!$B$3&amp;$B$2&amp;Monthly_TVPlant!AP$3&amp;$B$1)</f>
        <v>0</v>
      </c>
      <c r="AQ16" s="12"/>
      <c r="AR16" s="12">
        <f>HLOOKUP(AR$3,Weekly_TVPlant!$3:$24,MATCH($B16,Weekly_TVPlant!$B$3:$B$24,0),0)</f>
        <v>0</v>
      </c>
      <c r="AS16" s="12">
        <f>HLOOKUP(AS$3,Weekly_TVPlant!$3:$24,MATCH($B16,Weekly_TVPlant!$B$3:$B$24,0),0)</f>
        <v>0</v>
      </c>
      <c r="AT16" s="12">
        <f>HLOOKUP(AT$3,Weekly_TVPlant!$3:$24,MATCH($B16,Weekly_TVPlant!$B$3:$B$24,0),0)</f>
        <v>0</v>
      </c>
      <c r="AU16" s="12"/>
      <c r="AV16" s="12">
        <f t="shared" si="2"/>
        <v>43</v>
      </c>
    </row>
    <row r="17" spans="2:48">
      <c r="B17" s="12" t="s">
        <v>994</v>
      </c>
      <c r="C17" s="12">
        <f t="shared" si="0"/>
        <v>0</v>
      </c>
      <c r="D17" s="12">
        <f t="shared" si="0"/>
        <v>0</v>
      </c>
      <c r="E17" s="12"/>
      <c r="F17" s="12">
        <f>COUNTIF(defects!$Y:$Y,Monthly_TVPlant!$B17&amp;Monthly_TVPlant!$B$3&amp;$B$2&amp;Monthly_TVPlant!F$3&amp;$B$1)</f>
        <v>0</v>
      </c>
      <c r="G17" s="12">
        <f>COUNTIF(defects!$Y:$Y,Monthly_TVPlant!$B17&amp;Monthly_TVPlant!$B$3&amp;$B$2&amp;Monthly_TVPlant!G$3&amp;$B$1)</f>
        <v>0</v>
      </c>
      <c r="H17" s="12">
        <f>COUNTIF(defects!$Y:$Y,Monthly_TVPlant!$B17&amp;Monthly_TVPlant!$B$3&amp;$B$2&amp;Monthly_TVPlant!H$3&amp;$B$1)</f>
        <v>0</v>
      </c>
      <c r="I17" s="12">
        <f>COUNTIF(defects!$Y:$Y,Monthly_TVPlant!$B17&amp;Monthly_TVPlant!$B$3&amp;$B$2&amp;Monthly_TVPlant!I$3&amp;$B$1)</f>
        <v>0</v>
      </c>
      <c r="J17" s="12">
        <f>COUNTIF(defects!$Y:$Y,Monthly_TVPlant!$B17&amp;Monthly_TVPlant!$B$3&amp;$B$2&amp;Monthly_TVPlant!J$3&amp;$B$1)</f>
        <v>0</v>
      </c>
      <c r="K17" s="12">
        <f>COUNTIF(defects!$Y:$Y,Monthly_TVPlant!$B17&amp;Monthly_TVPlant!$B$3&amp;$B$2&amp;Monthly_TVPlant!K$3&amp;$B$1)</f>
        <v>0</v>
      </c>
      <c r="L17" s="12">
        <f>COUNTIF(defects!$Y:$Y,Monthly_TVPlant!$B17&amp;Monthly_TVPlant!$B$3&amp;$B$2&amp;Monthly_TVPlant!L$3&amp;$B$1)</f>
        <v>0</v>
      </c>
      <c r="M17" s="12">
        <f>COUNTIF(defects!$Y:$Y,Monthly_TVPlant!$B17&amp;Monthly_TVPlant!$B$3&amp;$B$2&amp;Monthly_TVPlant!M$3&amp;$B$1)</f>
        <v>0</v>
      </c>
      <c r="N17" s="12">
        <f>COUNTIF(defects!$Y:$Y,Monthly_TVPlant!$B17&amp;Monthly_TVPlant!$B$3&amp;$B$2&amp;Monthly_TVPlant!N$3&amp;$B$1)</f>
        <v>0</v>
      </c>
      <c r="O17" s="12">
        <f>COUNTIF(defects!$Y:$Y,Monthly_TVPlant!$B17&amp;Monthly_TVPlant!$B$3&amp;$B$2&amp;Monthly_TVPlant!O$3&amp;$B$1)</f>
        <v>0</v>
      </c>
      <c r="P17" s="12">
        <f>COUNTIF(defects!$Y:$Y,Monthly_TVPlant!$B17&amp;Monthly_TVPlant!$B$3&amp;$B$2&amp;Monthly_TVPlant!P$3&amp;$B$1)</f>
        <v>0</v>
      </c>
      <c r="Q17" s="12">
        <f>COUNTIF(defects!$Y:$Y,Monthly_TVPlant!$B17&amp;Monthly_TVPlant!$B$3&amp;$B$2&amp;Monthly_TVPlant!Q$3&amp;$B$1)</f>
        <v>0</v>
      </c>
      <c r="R17" s="12">
        <f>COUNTIF(defects!$Y:$Y,Monthly_TVPlant!$B17&amp;Monthly_TVPlant!$B$3&amp;$B$2&amp;Monthly_TVPlant!R$3&amp;$B$1)</f>
        <v>0</v>
      </c>
      <c r="S17" s="12">
        <f>COUNTIF(defects!$Y:$Y,Monthly_TVPlant!$B17&amp;Monthly_TVPlant!$B$3&amp;$B$2&amp;Monthly_TVPlant!S$3&amp;$B$1)</f>
        <v>0</v>
      </c>
      <c r="T17" s="12">
        <f>COUNTIF(defects!$Y:$Y,Monthly_TVPlant!$B17&amp;Monthly_TVPlant!$B$3&amp;$B$2&amp;Monthly_TVPlant!T$3&amp;$B$1)</f>
        <v>0</v>
      </c>
      <c r="U17" s="12">
        <f>COUNTIF(defects!$Y:$Y,Monthly_TVPlant!$B17&amp;Monthly_TVPlant!$B$3&amp;$B$2&amp;Monthly_TVPlant!U$3&amp;$B$1)</f>
        <v>0</v>
      </c>
      <c r="V17" s="12">
        <f>COUNTIF(defects!$Y:$Y,Monthly_TVPlant!$B17&amp;Monthly_TVPlant!$B$3&amp;$B$2&amp;Monthly_TVPlant!V$3&amp;$B$1)</f>
        <v>0</v>
      </c>
      <c r="W17" s="12">
        <f>COUNTIF(defects!$Y:$Y,Monthly_TVPlant!$B17&amp;Monthly_TVPlant!$B$3&amp;$B$2&amp;Monthly_TVPlant!W$3&amp;$B$1)</f>
        <v>0</v>
      </c>
      <c r="X17" s="12">
        <f>COUNTIF(defects!$Y:$Y,Monthly_TVPlant!$B17&amp;Monthly_TVPlant!$B$3&amp;$B$2&amp;Monthly_TVPlant!X$3&amp;$B$1)</f>
        <v>0</v>
      </c>
      <c r="Y17" s="12">
        <f>COUNTIF(defects!$Y:$Y,Monthly_TVPlant!$B17&amp;Monthly_TVPlant!$B$3&amp;$B$2&amp;Monthly_TVPlant!Y$3&amp;$B$1)</f>
        <v>0</v>
      </c>
      <c r="Z17" s="12">
        <f>COUNTIF(defects!$Y:$Y,Monthly_TVPlant!$B17&amp;Monthly_TVPlant!$B$3&amp;$B$2&amp;Monthly_TVPlant!Z$3&amp;$B$1)</f>
        <v>0</v>
      </c>
      <c r="AA17" s="12">
        <f>COUNTIF(defects!$Y:$Y,Monthly_TVPlant!$B17&amp;Monthly_TVPlant!$B$3&amp;$B$2&amp;Monthly_TVPlant!AA$3&amp;$B$1)</f>
        <v>0</v>
      </c>
      <c r="AB17" s="12">
        <f>COUNTIF(defects!$Y:$Y,Monthly_TVPlant!$B17&amp;Monthly_TVPlant!$B$3&amp;$B$2&amp;Monthly_TVPlant!AB$3&amp;$B$1)</f>
        <v>0</v>
      </c>
      <c r="AC17" s="12">
        <f>COUNTIF(defects!$Y:$Y,Monthly_TVPlant!$B17&amp;Monthly_TVPlant!$B$3&amp;$B$2&amp;Monthly_TVPlant!AC$3&amp;$B$1)</f>
        <v>0</v>
      </c>
      <c r="AD17" s="12">
        <f>COUNTIF(defects!$Y:$Y,Monthly_TVPlant!$B17&amp;Monthly_TVPlant!$B$3&amp;$B$2&amp;Monthly_TVPlant!AD$3&amp;$B$1)</f>
        <v>0</v>
      </c>
      <c r="AE17" s="12">
        <f>COUNTIF(defects!$Y:$Y,Monthly_TVPlant!$B17&amp;Monthly_TVPlant!$B$3&amp;$B$2&amp;Monthly_TVPlant!AE$3&amp;$B$1)</f>
        <v>0</v>
      </c>
      <c r="AF17" s="12">
        <f>COUNTIF(defects!$Y:$Y,Monthly_TVPlant!$B17&amp;Monthly_TVPlant!$B$3&amp;$B$2&amp;Monthly_TVPlant!AF$3&amp;$B$1)</f>
        <v>0</v>
      </c>
      <c r="AG17" s="12">
        <f>COUNTIF(defects!$Y:$Y,Monthly_TVPlant!$B17&amp;Monthly_TVPlant!$B$3&amp;$B$2&amp;Monthly_TVPlant!AG$3&amp;$B$1)</f>
        <v>0</v>
      </c>
      <c r="AH17" s="12">
        <f>COUNTIF(defects!$Y:$Y,Monthly_TVPlant!$B17&amp;Monthly_TVPlant!$B$3&amp;$B$2&amp;Monthly_TVPlant!AH$3&amp;$B$1)</f>
        <v>0</v>
      </c>
      <c r="AI17" s="12">
        <f>COUNTIF(defects!$Y:$Y,Monthly_TVPlant!$B17&amp;Monthly_TVPlant!$B$3&amp;$B$2&amp;Monthly_TVPlant!AI$3&amp;$B$1)</f>
        <v>0</v>
      </c>
      <c r="AJ17" s="12">
        <f>COUNTIF(defects!$Y:$Y,Monthly_TVPlant!$B17&amp;Monthly_TVPlant!$B$3&amp;$B$2&amp;Monthly_TVPlant!AJ$3&amp;$B$1)</f>
        <v>0</v>
      </c>
      <c r="AK17" s="12">
        <f>COUNTIF(defects!$Y:$Y,Monthly_TVPlant!$B17&amp;Monthly_TVPlant!$B$3&amp;$B$2&amp;Monthly_TVPlant!AK$3&amp;$B$1)</f>
        <v>0</v>
      </c>
      <c r="AL17" s="12">
        <f>COUNTIF(defects!$Y:$Y,Monthly_TVPlant!$B17&amp;Monthly_TVPlant!$B$3&amp;$B$2&amp;Monthly_TVPlant!AL$3&amp;$B$1)</f>
        <v>0</v>
      </c>
      <c r="AM17" s="12">
        <f>COUNTIF(defects!$Y:$Y,Monthly_TVPlant!$B17&amp;Monthly_TVPlant!$B$3&amp;$B$2&amp;Monthly_TVPlant!AM$3&amp;$B$1)</f>
        <v>0</v>
      </c>
      <c r="AN17" s="12">
        <f>COUNTIF(defects!$Y:$Y,Monthly_TVPlant!$B17&amp;Monthly_TVPlant!$B$3&amp;$B$2&amp;Monthly_TVPlant!AN$3&amp;$B$1)</f>
        <v>0</v>
      </c>
      <c r="AO17" s="12">
        <f>COUNTIF(defects!$Y:$Y,Monthly_TVPlant!$B17&amp;Monthly_TVPlant!$B$3&amp;$B$2&amp;Monthly_TVPlant!AO$3&amp;$B$1)</f>
        <v>0</v>
      </c>
      <c r="AP17" s="12">
        <f>COUNTIF(defects!$Y:$Y,Monthly_TVPlant!$B17&amp;Monthly_TVPlant!$B$3&amp;$B$2&amp;Monthly_TVPlant!AP$3&amp;$B$1)</f>
        <v>0</v>
      </c>
      <c r="AQ17" s="12"/>
      <c r="AR17" s="12">
        <f>HLOOKUP(AR$3,Weekly_TVPlant!$3:$24,MATCH($B17,Weekly_TVPlant!$B$3:$B$24,0),0)</f>
        <v>0</v>
      </c>
      <c r="AS17" s="12">
        <f>HLOOKUP(AS$3,Weekly_TVPlant!$3:$24,MATCH($B17,Weekly_TVPlant!$B$3:$B$24,0),0)</f>
        <v>0</v>
      </c>
      <c r="AT17" s="12">
        <f>HLOOKUP(AT$3,Weekly_TVPlant!$3:$24,MATCH($B17,Weekly_TVPlant!$B$3:$B$24,0),0)</f>
        <v>0</v>
      </c>
      <c r="AU17" s="12"/>
      <c r="AV17" s="12">
        <f t="shared" si="2"/>
        <v>0</v>
      </c>
    </row>
    <row r="18" spans="2:48">
      <c r="B18" s="12" t="s">
        <v>891</v>
      </c>
      <c r="C18" s="12">
        <f t="shared" si="0"/>
        <v>6</v>
      </c>
      <c r="D18" s="12">
        <f t="shared" si="0"/>
        <v>0</v>
      </c>
      <c r="E18" s="12"/>
      <c r="F18" s="12">
        <f>COUNTIF(defects!$Y:$Y,Monthly_TVPlant!$B18&amp;Monthly_TVPlant!$B$3&amp;$B$2&amp;Monthly_TVPlant!F$3&amp;$B$1)</f>
        <v>0</v>
      </c>
      <c r="G18" s="12">
        <f>COUNTIF(defects!$Y:$Y,Monthly_TVPlant!$B18&amp;Monthly_TVPlant!$B$3&amp;$B$2&amp;Monthly_TVPlant!G$3&amp;$B$1)</f>
        <v>0</v>
      </c>
      <c r="H18" s="12">
        <f>COUNTIF(defects!$Y:$Y,Monthly_TVPlant!$B18&amp;Monthly_TVPlant!$B$3&amp;$B$2&amp;Monthly_TVPlant!H$3&amp;$B$1)</f>
        <v>0</v>
      </c>
      <c r="I18" s="12">
        <f>COUNTIF(defects!$Y:$Y,Monthly_TVPlant!$B18&amp;Monthly_TVPlant!$B$3&amp;$B$2&amp;Monthly_TVPlant!I$3&amp;$B$1)</f>
        <v>0</v>
      </c>
      <c r="J18" s="12">
        <f>COUNTIF(defects!$Y:$Y,Monthly_TVPlant!$B18&amp;Monthly_TVPlant!$B$3&amp;$B$2&amp;Monthly_TVPlant!J$3&amp;$B$1)</f>
        <v>0</v>
      </c>
      <c r="K18" s="12">
        <f>COUNTIF(defects!$Y:$Y,Monthly_TVPlant!$B18&amp;Monthly_TVPlant!$B$3&amp;$B$2&amp;Monthly_TVPlant!K$3&amp;$B$1)</f>
        <v>0</v>
      </c>
      <c r="L18" s="12">
        <f>COUNTIF(defects!$Y:$Y,Monthly_TVPlant!$B18&amp;Monthly_TVPlant!$B$3&amp;$B$2&amp;Monthly_TVPlant!L$3&amp;$B$1)</f>
        <v>0</v>
      </c>
      <c r="M18" s="12">
        <f>COUNTIF(defects!$Y:$Y,Monthly_TVPlant!$B18&amp;Monthly_TVPlant!$B$3&amp;$B$2&amp;Monthly_TVPlant!M$3&amp;$B$1)</f>
        <v>0</v>
      </c>
      <c r="N18" s="12">
        <f>COUNTIF(defects!$Y:$Y,Monthly_TVPlant!$B18&amp;Monthly_TVPlant!$B$3&amp;$B$2&amp;Monthly_TVPlant!N$3&amp;$B$1)</f>
        <v>0</v>
      </c>
      <c r="O18" s="12">
        <f>COUNTIF(defects!$Y:$Y,Monthly_TVPlant!$B18&amp;Monthly_TVPlant!$B$3&amp;$B$2&amp;Monthly_TVPlant!O$3&amp;$B$1)</f>
        <v>0</v>
      </c>
      <c r="P18" s="12">
        <f>COUNTIF(defects!$Y:$Y,Monthly_TVPlant!$B18&amp;Monthly_TVPlant!$B$3&amp;$B$2&amp;Monthly_TVPlant!P$3&amp;$B$1)</f>
        <v>0</v>
      </c>
      <c r="Q18" s="12">
        <f>COUNTIF(defects!$Y:$Y,Monthly_TVPlant!$B18&amp;Monthly_TVPlant!$B$3&amp;$B$2&amp;Monthly_TVPlant!Q$3&amp;$B$1)</f>
        <v>0</v>
      </c>
      <c r="R18" s="12">
        <f>COUNTIF(defects!$Y:$Y,Monthly_TVPlant!$B18&amp;Monthly_TVPlant!$B$3&amp;$B$2&amp;Monthly_TVPlant!R$3&amp;$B$1)</f>
        <v>0</v>
      </c>
      <c r="S18" s="12">
        <f>COUNTIF(defects!$Y:$Y,Monthly_TVPlant!$B18&amp;Monthly_TVPlant!$B$3&amp;$B$2&amp;Monthly_TVPlant!S$3&amp;$B$1)</f>
        <v>0</v>
      </c>
      <c r="T18" s="12">
        <f>COUNTIF(defects!$Y:$Y,Monthly_TVPlant!$B18&amp;Monthly_TVPlant!$B$3&amp;$B$2&amp;Monthly_TVPlant!T$3&amp;$B$1)</f>
        <v>0</v>
      </c>
      <c r="U18" s="12">
        <f>COUNTIF(defects!$Y:$Y,Monthly_TVPlant!$B18&amp;Monthly_TVPlant!$B$3&amp;$B$2&amp;Monthly_TVPlant!U$3&amp;$B$1)</f>
        <v>0</v>
      </c>
      <c r="V18" s="12">
        <f>COUNTIF(defects!$Y:$Y,Monthly_TVPlant!$B18&amp;Monthly_TVPlant!$B$3&amp;$B$2&amp;Monthly_TVPlant!V$3&amp;$B$1)</f>
        <v>0</v>
      </c>
      <c r="W18" s="12">
        <f>COUNTIF(defects!$Y:$Y,Monthly_TVPlant!$B18&amp;Monthly_TVPlant!$B$3&amp;$B$2&amp;Monthly_TVPlant!W$3&amp;$B$1)</f>
        <v>1</v>
      </c>
      <c r="X18" s="12">
        <f>COUNTIF(defects!$Y:$Y,Monthly_TVPlant!$B18&amp;Monthly_TVPlant!$B$3&amp;$B$2&amp;Monthly_TVPlant!X$3&amp;$B$1)</f>
        <v>0</v>
      </c>
      <c r="Y18" s="12">
        <f>COUNTIF(defects!$Y:$Y,Monthly_TVPlant!$B18&amp;Monthly_TVPlant!$B$3&amp;$B$2&amp;Monthly_TVPlant!Y$3&amp;$B$1)</f>
        <v>2</v>
      </c>
      <c r="Z18" s="12">
        <f>COUNTIF(defects!$Y:$Y,Monthly_TVPlant!$B18&amp;Monthly_TVPlant!$B$3&amp;$B$2&amp;Monthly_TVPlant!Z$3&amp;$B$1)</f>
        <v>0</v>
      </c>
      <c r="AA18" s="12">
        <f>COUNTIF(defects!$Y:$Y,Monthly_TVPlant!$B18&amp;Monthly_TVPlant!$B$3&amp;$B$2&amp;Monthly_TVPlant!AA$3&amp;$B$1)</f>
        <v>2</v>
      </c>
      <c r="AB18" s="12">
        <f>COUNTIF(defects!$Y:$Y,Monthly_TVPlant!$B18&amp;Monthly_TVPlant!$B$3&amp;$B$2&amp;Monthly_TVPlant!AB$3&amp;$B$1)</f>
        <v>1</v>
      </c>
      <c r="AC18" s="12">
        <f>COUNTIF(defects!$Y:$Y,Monthly_TVPlant!$B18&amp;Monthly_TVPlant!$B$3&amp;$B$2&amp;Monthly_TVPlant!AC$3&amp;$B$1)</f>
        <v>0</v>
      </c>
      <c r="AD18" s="12">
        <f>COUNTIF(defects!$Y:$Y,Monthly_TVPlant!$B18&amp;Monthly_TVPlant!$B$3&amp;$B$2&amp;Monthly_TVPlant!AD$3&amp;$B$1)</f>
        <v>0</v>
      </c>
      <c r="AE18" s="12">
        <f>COUNTIF(defects!$Y:$Y,Monthly_TVPlant!$B18&amp;Monthly_TVPlant!$B$3&amp;$B$2&amp;Monthly_TVPlant!AE$3&amp;$B$1)</f>
        <v>0</v>
      </c>
      <c r="AF18" s="12">
        <f>COUNTIF(defects!$Y:$Y,Monthly_TVPlant!$B18&amp;Monthly_TVPlant!$B$3&amp;$B$2&amp;Monthly_TVPlant!AF$3&amp;$B$1)</f>
        <v>0</v>
      </c>
      <c r="AG18" s="12">
        <f>COUNTIF(defects!$Y:$Y,Monthly_TVPlant!$B18&amp;Monthly_TVPlant!$B$3&amp;$B$2&amp;Monthly_TVPlant!AG$3&amp;$B$1)</f>
        <v>0</v>
      </c>
      <c r="AH18" s="12">
        <f>COUNTIF(defects!$Y:$Y,Monthly_TVPlant!$B18&amp;Monthly_TVPlant!$B$3&amp;$B$2&amp;Monthly_TVPlant!AH$3&amp;$B$1)</f>
        <v>0</v>
      </c>
      <c r="AI18" s="12">
        <f>COUNTIF(defects!$Y:$Y,Monthly_TVPlant!$B18&amp;Monthly_TVPlant!$B$3&amp;$B$2&amp;Monthly_TVPlant!AI$3&amp;$B$1)</f>
        <v>0</v>
      </c>
      <c r="AJ18" s="12">
        <f>COUNTIF(defects!$Y:$Y,Monthly_TVPlant!$B18&amp;Monthly_TVPlant!$B$3&amp;$B$2&amp;Monthly_TVPlant!AJ$3&amp;$B$1)</f>
        <v>0</v>
      </c>
      <c r="AK18" s="12">
        <f>COUNTIF(defects!$Y:$Y,Monthly_TVPlant!$B18&amp;Monthly_TVPlant!$B$3&amp;$B$2&amp;Monthly_TVPlant!AK$3&amp;$B$1)</f>
        <v>0</v>
      </c>
      <c r="AL18" s="12">
        <f>COUNTIF(defects!$Y:$Y,Monthly_TVPlant!$B18&amp;Monthly_TVPlant!$B$3&amp;$B$2&amp;Monthly_TVPlant!AL$3&amp;$B$1)</f>
        <v>0</v>
      </c>
      <c r="AM18" s="12">
        <f>COUNTIF(defects!$Y:$Y,Monthly_TVPlant!$B18&amp;Monthly_TVPlant!$B$3&amp;$B$2&amp;Monthly_TVPlant!AM$3&amp;$B$1)</f>
        <v>0</v>
      </c>
      <c r="AN18" s="12">
        <f>COUNTIF(defects!$Y:$Y,Monthly_TVPlant!$B18&amp;Monthly_TVPlant!$B$3&amp;$B$2&amp;Monthly_TVPlant!AN$3&amp;$B$1)</f>
        <v>0</v>
      </c>
      <c r="AO18" s="12">
        <f>COUNTIF(defects!$Y:$Y,Monthly_TVPlant!$B18&amp;Monthly_TVPlant!$B$3&amp;$B$2&amp;Monthly_TVPlant!AO$3&amp;$B$1)</f>
        <v>0</v>
      </c>
      <c r="AP18" s="12">
        <f>COUNTIF(defects!$Y:$Y,Monthly_TVPlant!$B18&amp;Monthly_TVPlant!$B$3&amp;$B$2&amp;Monthly_TVPlant!AP$3&amp;$B$1)</f>
        <v>0</v>
      </c>
      <c r="AQ18" s="12"/>
      <c r="AR18" s="12">
        <f>HLOOKUP(AR$3,Weekly_TVPlant!$3:$24,MATCH($B18,Weekly_TVPlant!$B$3:$B$24,0),0)</f>
        <v>0</v>
      </c>
      <c r="AS18" s="12">
        <f>HLOOKUP(AS$3,Weekly_TVPlant!$3:$24,MATCH($B18,Weekly_TVPlant!$B$3:$B$24,0),0)</f>
        <v>0</v>
      </c>
      <c r="AT18" s="12">
        <f>HLOOKUP(AT$3,Weekly_TVPlant!$3:$24,MATCH($B18,Weekly_TVPlant!$B$3:$B$24,0),0)</f>
        <v>0</v>
      </c>
      <c r="AU18" s="12"/>
      <c r="AV18" s="12">
        <f t="shared" si="2"/>
        <v>6</v>
      </c>
    </row>
    <row r="19" spans="2:48">
      <c r="B19" s="12" t="s">
        <v>995</v>
      </c>
      <c r="C19" s="12">
        <f t="shared" si="0"/>
        <v>5</v>
      </c>
      <c r="D19" s="12">
        <f t="shared" si="0"/>
        <v>0</v>
      </c>
      <c r="E19" s="12"/>
      <c r="F19" s="12">
        <f>COUNTIF(defects!$Y:$Y,Monthly_TVPlant!$B19&amp;Monthly_TVPlant!$B$3&amp;$B$2&amp;Monthly_TVPlant!F$3&amp;$B$1)</f>
        <v>0</v>
      </c>
      <c r="G19" s="12">
        <f>COUNTIF(defects!$Y:$Y,Monthly_TVPlant!$B19&amp;Monthly_TVPlant!$B$3&amp;$B$2&amp;Monthly_TVPlant!G$3&amp;$B$1)</f>
        <v>0</v>
      </c>
      <c r="H19" s="12">
        <f>COUNTIF(defects!$Y:$Y,Monthly_TVPlant!$B19&amp;Monthly_TVPlant!$B$3&amp;$B$2&amp;Monthly_TVPlant!H$3&amp;$B$1)</f>
        <v>0</v>
      </c>
      <c r="I19" s="12">
        <f>COUNTIF(defects!$Y:$Y,Monthly_TVPlant!$B19&amp;Monthly_TVPlant!$B$3&amp;$B$2&amp;Monthly_TVPlant!I$3&amp;$B$1)</f>
        <v>0</v>
      </c>
      <c r="J19" s="12">
        <f>COUNTIF(defects!$Y:$Y,Monthly_TVPlant!$B19&amp;Monthly_TVPlant!$B$3&amp;$B$2&amp;Monthly_TVPlant!J$3&amp;$B$1)</f>
        <v>0</v>
      </c>
      <c r="K19" s="12">
        <f>COUNTIF(defects!$Y:$Y,Monthly_TVPlant!$B19&amp;Monthly_TVPlant!$B$3&amp;$B$2&amp;Monthly_TVPlant!K$3&amp;$B$1)</f>
        <v>0</v>
      </c>
      <c r="L19" s="12">
        <f>COUNTIF(defects!$Y:$Y,Monthly_TVPlant!$B19&amp;Monthly_TVPlant!$B$3&amp;$B$2&amp;Monthly_TVPlant!L$3&amp;$B$1)</f>
        <v>0</v>
      </c>
      <c r="M19" s="12">
        <f>COUNTIF(defects!$Y:$Y,Monthly_TVPlant!$B19&amp;Monthly_TVPlant!$B$3&amp;$B$2&amp;Monthly_TVPlant!M$3&amp;$B$1)</f>
        <v>0</v>
      </c>
      <c r="N19" s="12">
        <f>COUNTIF(defects!$Y:$Y,Monthly_TVPlant!$B19&amp;Monthly_TVPlant!$B$3&amp;$B$2&amp;Monthly_TVPlant!N$3&amp;$B$1)</f>
        <v>0</v>
      </c>
      <c r="O19" s="12">
        <f>COUNTIF(defects!$Y:$Y,Monthly_TVPlant!$B19&amp;Monthly_TVPlant!$B$3&amp;$B$2&amp;Monthly_TVPlant!O$3&amp;$B$1)</f>
        <v>0</v>
      </c>
      <c r="P19" s="12">
        <f>COUNTIF(defects!$Y:$Y,Monthly_TVPlant!$B19&amp;Monthly_TVPlant!$B$3&amp;$B$2&amp;Monthly_TVPlant!P$3&amp;$B$1)</f>
        <v>0</v>
      </c>
      <c r="Q19" s="12">
        <f>COUNTIF(defects!$Y:$Y,Monthly_TVPlant!$B19&amp;Monthly_TVPlant!$B$3&amp;$B$2&amp;Monthly_TVPlant!Q$3&amp;$B$1)</f>
        <v>0</v>
      </c>
      <c r="R19" s="12">
        <f>COUNTIF(defects!$Y:$Y,Monthly_TVPlant!$B19&amp;Monthly_TVPlant!$B$3&amp;$B$2&amp;Monthly_TVPlant!R$3&amp;$B$1)</f>
        <v>0</v>
      </c>
      <c r="S19" s="12">
        <f>COUNTIF(defects!$Y:$Y,Monthly_TVPlant!$B19&amp;Monthly_TVPlant!$B$3&amp;$B$2&amp;Monthly_TVPlant!S$3&amp;$B$1)</f>
        <v>0</v>
      </c>
      <c r="T19" s="12">
        <f>COUNTIF(defects!$Y:$Y,Monthly_TVPlant!$B19&amp;Monthly_TVPlant!$B$3&amp;$B$2&amp;Monthly_TVPlant!T$3&amp;$B$1)</f>
        <v>0</v>
      </c>
      <c r="U19" s="12">
        <f>COUNTIF(defects!$Y:$Y,Monthly_TVPlant!$B19&amp;Monthly_TVPlant!$B$3&amp;$B$2&amp;Monthly_TVPlant!U$3&amp;$B$1)</f>
        <v>0</v>
      </c>
      <c r="V19" s="12">
        <f>COUNTIF(defects!$Y:$Y,Monthly_TVPlant!$B19&amp;Monthly_TVPlant!$B$3&amp;$B$2&amp;Monthly_TVPlant!V$3&amp;$B$1)</f>
        <v>0</v>
      </c>
      <c r="W19" s="12">
        <f>COUNTIF(defects!$Y:$Y,Monthly_TVPlant!$B19&amp;Monthly_TVPlant!$B$3&amp;$B$2&amp;Monthly_TVPlant!W$3&amp;$B$1)</f>
        <v>0</v>
      </c>
      <c r="X19" s="12">
        <f>COUNTIF(defects!$Y:$Y,Monthly_TVPlant!$B19&amp;Monthly_TVPlant!$B$3&amp;$B$2&amp;Monthly_TVPlant!X$3&amp;$B$1)</f>
        <v>0</v>
      </c>
      <c r="Y19" s="12">
        <f>COUNTIF(defects!$Y:$Y,Monthly_TVPlant!$B19&amp;Monthly_TVPlant!$B$3&amp;$B$2&amp;Monthly_TVPlant!Y$3&amp;$B$1)</f>
        <v>0</v>
      </c>
      <c r="Z19" s="12">
        <f>COUNTIF(defects!$Y:$Y,Monthly_TVPlant!$B19&amp;Monthly_TVPlant!$B$3&amp;$B$2&amp;Monthly_TVPlant!Z$3&amp;$B$1)</f>
        <v>5</v>
      </c>
      <c r="AA19" s="12">
        <f>COUNTIF(defects!$Y:$Y,Monthly_TVPlant!$B19&amp;Monthly_TVPlant!$B$3&amp;$B$2&amp;Monthly_TVPlant!AA$3&amp;$B$1)</f>
        <v>0</v>
      </c>
      <c r="AB19" s="12">
        <f>COUNTIF(defects!$Y:$Y,Monthly_TVPlant!$B19&amp;Monthly_TVPlant!$B$3&amp;$B$2&amp;Monthly_TVPlant!AB$3&amp;$B$1)</f>
        <v>0</v>
      </c>
      <c r="AC19" s="12">
        <f>COUNTIF(defects!$Y:$Y,Monthly_TVPlant!$B19&amp;Monthly_TVPlant!$B$3&amp;$B$2&amp;Monthly_TVPlant!AC$3&amp;$B$1)</f>
        <v>0</v>
      </c>
      <c r="AD19" s="12">
        <f>COUNTIF(defects!$Y:$Y,Monthly_TVPlant!$B19&amp;Monthly_TVPlant!$B$3&amp;$B$2&amp;Monthly_TVPlant!AD$3&amp;$B$1)</f>
        <v>0</v>
      </c>
      <c r="AE19" s="12">
        <f>COUNTIF(defects!$Y:$Y,Monthly_TVPlant!$B19&amp;Monthly_TVPlant!$B$3&amp;$B$2&amp;Monthly_TVPlant!AE$3&amp;$B$1)</f>
        <v>0</v>
      </c>
      <c r="AF19" s="12">
        <f>COUNTIF(defects!$Y:$Y,Monthly_TVPlant!$B19&amp;Monthly_TVPlant!$B$3&amp;$B$2&amp;Monthly_TVPlant!AF$3&amp;$B$1)</f>
        <v>0</v>
      </c>
      <c r="AG19" s="12">
        <f>COUNTIF(defects!$Y:$Y,Monthly_TVPlant!$B19&amp;Monthly_TVPlant!$B$3&amp;$B$2&amp;Monthly_TVPlant!AG$3&amp;$B$1)</f>
        <v>0</v>
      </c>
      <c r="AH19" s="12">
        <f>COUNTIF(defects!$Y:$Y,Monthly_TVPlant!$B19&amp;Monthly_TVPlant!$B$3&amp;$B$2&amp;Monthly_TVPlant!AH$3&amp;$B$1)</f>
        <v>0</v>
      </c>
      <c r="AI19" s="12">
        <f>COUNTIF(defects!$Y:$Y,Monthly_TVPlant!$B19&amp;Monthly_TVPlant!$B$3&amp;$B$2&amp;Monthly_TVPlant!AI$3&amp;$B$1)</f>
        <v>0</v>
      </c>
      <c r="AJ19" s="12">
        <f>COUNTIF(defects!$Y:$Y,Monthly_TVPlant!$B19&amp;Monthly_TVPlant!$B$3&amp;$B$2&amp;Monthly_TVPlant!AJ$3&amp;$B$1)</f>
        <v>0</v>
      </c>
      <c r="AK19" s="12">
        <f>COUNTIF(defects!$Y:$Y,Monthly_TVPlant!$B19&amp;Monthly_TVPlant!$B$3&amp;$B$2&amp;Monthly_TVPlant!AK$3&amp;$B$1)</f>
        <v>0</v>
      </c>
      <c r="AL19" s="12">
        <f>COUNTIF(defects!$Y:$Y,Monthly_TVPlant!$B19&amp;Monthly_TVPlant!$B$3&amp;$B$2&amp;Monthly_TVPlant!AL$3&amp;$B$1)</f>
        <v>0</v>
      </c>
      <c r="AM19" s="12">
        <f>COUNTIF(defects!$Y:$Y,Monthly_TVPlant!$B19&amp;Monthly_TVPlant!$B$3&amp;$B$2&amp;Monthly_TVPlant!AM$3&amp;$B$1)</f>
        <v>0</v>
      </c>
      <c r="AN19" s="12">
        <f>COUNTIF(defects!$Y:$Y,Monthly_TVPlant!$B19&amp;Monthly_TVPlant!$B$3&amp;$B$2&amp;Monthly_TVPlant!AN$3&amp;$B$1)</f>
        <v>0</v>
      </c>
      <c r="AO19" s="12">
        <f>COUNTIF(defects!$Y:$Y,Monthly_TVPlant!$B19&amp;Monthly_TVPlant!$B$3&amp;$B$2&amp;Monthly_TVPlant!AO$3&amp;$B$1)</f>
        <v>0</v>
      </c>
      <c r="AP19" s="12">
        <f>COUNTIF(defects!$Y:$Y,Monthly_TVPlant!$B19&amp;Monthly_TVPlant!$B$3&amp;$B$2&amp;Monthly_TVPlant!AP$3&amp;$B$1)</f>
        <v>0</v>
      </c>
      <c r="AQ19" s="12"/>
      <c r="AR19" s="12">
        <f>HLOOKUP(AR$3,Weekly_TVPlant!$3:$24,MATCH($B19,Weekly_TVPlant!$B$3:$B$24,0),0)</f>
        <v>0</v>
      </c>
      <c r="AS19" s="12">
        <f>HLOOKUP(AS$3,Weekly_TVPlant!$3:$24,MATCH($B19,Weekly_TVPlant!$B$3:$B$24,0),0)</f>
        <v>0</v>
      </c>
      <c r="AT19" s="12">
        <f>HLOOKUP(AT$3,Weekly_TVPlant!$3:$24,MATCH($B19,Weekly_TVPlant!$B$3:$B$24,0),0)</f>
        <v>0</v>
      </c>
      <c r="AU19" s="12"/>
      <c r="AV19" s="12">
        <f t="shared" si="2"/>
        <v>5</v>
      </c>
    </row>
    <row r="20" spans="2:48">
      <c r="B20" s="12" t="s">
        <v>952</v>
      </c>
      <c r="C20" s="12">
        <f t="shared" si="0"/>
        <v>2</v>
      </c>
      <c r="D20" s="12">
        <f t="shared" si="0"/>
        <v>0</v>
      </c>
      <c r="E20" s="12"/>
      <c r="F20" s="12">
        <f>COUNTIF(defects!$Y:$Y,Monthly_TVPlant!$B20&amp;Monthly_TVPlant!$B$3&amp;$B$2&amp;Monthly_TVPlant!F$3&amp;$B$1)</f>
        <v>0</v>
      </c>
      <c r="G20" s="12">
        <f>COUNTIF(defects!$Y:$Y,Monthly_TVPlant!$B20&amp;Monthly_TVPlant!$B$3&amp;$B$2&amp;Monthly_TVPlant!G$3&amp;$B$1)</f>
        <v>0</v>
      </c>
      <c r="H20" s="12">
        <f>COUNTIF(defects!$Y:$Y,Monthly_TVPlant!$B20&amp;Monthly_TVPlant!$B$3&amp;$B$2&amp;Monthly_TVPlant!H$3&amp;$B$1)</f>
        <v>0</v>
      </c>
      <c r="I20" s="12">
        <f>COUNTIF(defects!$Y:$Y,Monthly_TVPlant!$B20&amp;Monthly_TVPlant!$B$3&amp;$B$2&amp;Monthly_TVPlant!I$3&amp;$B$1)</f>
        <v>0</v>
      </c>
      <c r="J20" s="12">
        <f>COUNTIF(defects!$Y:$Y,Monthly_TVPlant!$B20&amp;Monthly_TVPlant!$B$3&amp;$B$2&amp;Monthly_TVPlant!J$3&amp;$B$1)</f>
        <v>0</v>
      </c>
      <c r="K20" s="12">
        <f>COUNTIF(defects!$Y:$Y,Monthly_TVPlant!$B20&amp;Monthly_TVPlant!$B$3&amp;$B$2&amp;Monthly_TVPlant!K$3&amp;$B$1)</f>
        <v>0</v>
      </c>
      <c r="L20" s="12">
        <f>COUNTIF(defects!$Y:$Y,Monthly_TVPlant!$B20&amp;Monthly_TVPlant!$B$3&amp;$B$2&amp;Monthly_TVPlant!L$3&amp;$B$1)</f>
        <v>0</v>
      </c>
      <c r="M20" s="12">
        <f>COUNTIF(defects!$Y:$Y,Monthly_TVPlant!$B20&amp;Monthly_TVPlant!$B$3&amp;$B$2&amp;Monthly_TVPlant!M$3&amp;$B$1)</f>
        <v>0</v>
      </c>
      <c r="N20" s="12">
        <f>COUNTIF(defects!$Y:$Y,Monthly_TVPlant!$B20&amp;Monthly_TVPlant!$B$3&amp;$B$2&amp;Monthly_TVPlant!N$3&amp;$B$1)</f>
        <v>0</v>
      </c>
      <c r="O20" s="12">
        <f>COUNTIF(defects!$Y:$Y,Monthly_TVPlant!$B20&amp;Monthly_TVPlant!$B$3&amp;$B$2&amp;Monthly_TVPlant!O$3&amp;$B$1)</f>
        <v>0</v>
      </c>
      <c r="P20" s="12">
        <f>COUNTIF(defects!$Y:$Y,Monthly_TVPlant!$B20&amp;Monthly_TVPlant!$B$3&amp;$B$2&amp;Monthly_TVPlant!P$3&amp;$B$1)</f>
        <v>0</v>
      </c>
      <c r="Q20" s="12">
        <f>COUNTIF(defects!$Y:$Y,Monthly_TVPlant!$B20&amp;Monthly_TVPlant!$B$3&amp;$B$2&amp;Monthly_TVPlant!Q$3&amp;$B$1)</f>
        <v>0</v>
      </c>
      <c r="R20" s="12">
        <f>COUNTIF(defects!$Y:$Y,Monthly_TVPlant!$B20&amp;Monthly_TVPlant!$B$3&amp;$B$2&amp;Monthly_TVPlant!R$3&amp;$B$1)</f>
        <v>0</v>
      </c>
      <c r="S20" s="12">
        <f>COUNTIF(defects!$Y:$Y,Monthly_TVPlant!$B20&amp;Monthly_TVPlant!$B$3&amp;$B$2&amp;Monthly_TVPlant!S$3&amp;$B$1)</f>
        <v>0</v>
      </c>
      <c r="T20" s="12">
        <f>COUNTIF(defects!$Y:$Y,Monthly_TVPlant!$B20&amp;Monthly_TVPlant!$B$3&amp;$B$2&amp;Monthly_TVPlant!T$3&amp;$B$1)</f>
        <v>0</v>
      </c>
      <c r="U20" s="12">
        <f>COUNTIF(defects!$Y:$Y,Monthly_TVPlant!$B20&amp;Monthly_TVPlant!$B$3&amp;$B$2&amp;Monthly_TVPlant!U$3&amp;$B$1)</f>
        <v>0</v>
      </c>
      <c r="V20" s="12">
        <f>COUNTIF(defects!$Y:$Y,Monthly_TVPlant!$B20&amp;Monthly_TVPlant!$B$3&amp;$B$2&amp;Monthly_TVPlant!V$3&amp;$B$1)</f>
        <v>0</v>
      </c>
      <c r="W20" s="12">
        <f>COUNTIF(defects!$Y:$Y,Monthly_TVPlant!$B20&amp;Monthly_TVPlant!$B$3&amp;$B$2&amp;Monthly_TVPlant!W$3&amp;$B$1)</f>
        <v>0</v>
      </c>
      <c r="X20" s="12">
        <f>COUNTIF(defects!$Y:$Y,Monthly_TVPlant!$B20&amp;Monthly_TVPlant!$B$3&amp;$B$2&amp;Monthly_TVPlant!X$3&amp;$B$1)</f>
        <v>0</v>
      </c>
      <c r="Y20" s="12">
        <f>COUNTIF(defects!$Y:$Y,Monthly_TVPlant!$B20&amp;Monthly_TVPlant!$B$3&amp;$B$2&amp;Monthly_TVPlant!Y$3&amp;$B$1)</f>
        <v>1</v>
      </c>
      <c r="Z20" s="12">
        <f>COUNTIF(defects!$Y:$Y,Monthly_TVPlant!$B20&amp;Monthly_TVPlant!$B$3&amp;$B$2&amp;Monthly_TVPlant!Z$3&amp;$B$1)</f>
        <v>0</v>
      </c>
      <c r="AA20" s="12">
        <f>COUNTIF(defects!$Y:$Y,Monthly_TVPlant!$B20&amp;Monthly_TVPlant!$B$3&amp;$B$2&amp;Monthly_TVPlant!AA$3&amp;$B$1)</f>
        <v>0</v>
      </c>
      <c r="AB20" s="12">
        <f>COUNTIF(defects!$Y:$Y,Monthly_TVPlant!$B20&amp;Monthly_TVPlant!$B$3&amp;$B$2&amp;Monthly_TVPlant!AB$3&amp;$B$1)</f>
        <v>0</v>
      </c>
      <c r="AC20" s="12">
        <f>COUNTIF(defects!$Y:$Y,Monthly_TVPlant!$B20&amp;Monthly_TVPlant!$B$3&amp;$B$2&amp;Monthly_TVPlant!AC$3&amp;$B$1)</f>
        <v>1</v>
      </c>
      <c r="AD20" s="12">
        <f>COUNTIF(defects!$Y:$Y,Monthly_TVPlant!$B20&amp;Monthly_TVPlant!$B$3&amp;$B$2&amp;Monthly_TVPlant!AD$3&amp;$B$1)</f>
        <v>0</v>
      </c>
      <c r="AE20" s="12">
        <f>COUNTIF(defects!$Y:$Y,Monthly_TVPlant!$B20&amp;Monthly_TVPlant!$B$3&amp;$B$2&amp;Monthly_TVPlant!AE$3&amp;$B$1)</f>
        <v>0</v>
      </c>
      <c r="AF20" s="12">
        <f>COUNTIF(defects!$Y:$Y,Monthly_TVPlant!$B20&amp;Monthly_TVPlant!$B$3&amp;$B$2&amp;Monthly_TVPlant!AF$3&amp;$B$1)</f>
        <v>0</v>
      </c>
      <c r="AG20" s="12">
        <f>COUNTIF(defects!$Y:$Y,Monthly_TVPlant!$B20&amp;Monthly_TVPlant!$B$3&amp;$B$2&amp;Monthly_TVPlant!AG$3&amp;$B$1)</f>
        <v>0</v>
      </c>
      <c r="AH20" s="12">
        <f>COUNTIF(defects!$Y:$Y,Monthly_TVPlant!$B20&amp;Monthly_TVPlant!$B$3&amp;$B$2&amp;Monthly_TVPlant!AH$3&amp;$B$1)</f>
        <v>0</v>
      </c>
      <c r="AI20" s="12">
        <f>COUNTIF(defects!$Y:$Y,Monthly_TVPlant!$B20&amp;Monthly_TVPlant!$B$3&amp;$B$2&amp;Monthly_TVPlant!AI$3&amp;$B$1)</f>
        <v>0</v>
      </c>
      <c r="AJ20" s="12">
        <f>COUNTIF(defects!$Y:$Y,Monthly_TVPlant!$B20&amp;Monthly_TVPlant!$B$3&amp;$B$2&amp;Monthly_TVPlant!AJ$3&amp;$B$1)</f>
        <v>0</v>
      </c>
      <c r="AK20" s="12">
        <f>COUNTIF(defects!$Y:$Y,Monthly_TVPlant!$B20&amp;Monthly_TVPlant!$B$3&amp;$B$2&amp;Monthly_TVPlant!AK$3&amp;$B$1)</f>
        <v>0</v>
      </c>
      <c r="AL20" s="12">
        <f>COUNTIF(defects!$Y:$Y,Monthly_TVPlant!$B20&amp;Monthly_TVPlant!$B$3&amp;$B$2&amp;Monthly_TVPlant!AL$3&amp;$B$1)</f>
        <v>0</v>
      </c>
      <c r="AM20" s="12">
        <f>COUNTIF(defects!$Y:$Y,Monthly_TVPlant!$B20&amp;Monthly_TVPlant!$B$3&amp;$B$2&amp;Monthly_TVPlant!AM$3&amp;$B$1)</f>
        <v>0</v>
      </c>
      <c r="AN20" s="12">
        <f>COUNTIF(defects!$Y:$Y,Monthly_TVPlant!$B20&amp;Monthly_TVPlant!$B$3&amp;$B$2&amp;Monthly_TVPlant!AN$3&amp;$B$1)</f>
        <v>0</v>
      </c>
      <c r="AO20" s="12">
        <f>COUNTIF(defects!$Y:$Y,Monthly_TVPlant!$B20&amp;Monthly_TVPlant!$B$3&amp;$B$2&amp;Monthly_TVPlant!AO$3&amp;$B$1)</f>
        <v>0</v>
      </c>
      <c r="AP20" s="12">
        <f>COUNTIF(defects!$Y:$Y,Monthly_TVPlant!$B20&amp;Monthly_TVPlant!$B$3&amp;$B$2&amp;Monthly_TVPlant!AP$3&amp;$B$1)</f>
        <v>0</v>
      </c>
      <c r="AQ20" s="12"/>
      <c r="AR20" s="12">
        <f>HLOOKUP(AR$3,Weekly_TVPlant!$3:$24,MATCH($B20,Weekly_TVPlant!$B$3:$B$24,0),0)</f>
        <v>0</v>
      </c>
      <c r="AS20" s="12">
        <f>HLOOKUP(AS$3,Weekly_TVPlant!$3:$24,MATCH($B20,Weekly_TVPlant!$B$3:$B$24,0),0)</f>
        <v>0</v>
      </c>
      <c r="AT20" s="12">
        <f>HLOOKUP(AT$3,Weekly_TVPlant!$3:$24,MATCH($B20,Weekly_TVPlant!$B$3:$B$24,0),0)</f>
        <v>0</v>
      </c>
      <c r="AU20" s="12"/>
      <c r="AV20" s="12">
        <f t="shared" si="2"/>
        <v>2</v>
      </c>
    </row>
    <row r="21" spans="2:48">
      <c r="B21" s="12" t="s">
        <v>948</v>
      </c>
      <c r="C21" s="12">
        <f t="shared" si="0"/>
        <v>1</v>
      </c>
      <c r="D21" s="12">
        <f t="shared" si="0"/>
        <v>0</v>
      </c>
      <c r="E21" s="12"/>
      <c r="F21" s="12">
        <f>COUNTIF(defects!$Y:$Y,Monthly_TVPlant!$B21&amp;Monthly_TVPlant!$B$3&amp;$B$2&amp;Monthly_TVPlant!F$3&amp;$B$1)</f>
        <v>0</v>
      </c>
      <c r="G21" s="12">
        <f>COUNTIF(defects!$Y:$Y,Monthly_TVPlant!$B21&amp;Monthly_TVPlant!$B$3&amp;$B$2&amp;Monthly_TVPlant!G$3&amp;$B$1)</f>
        <v>0</v>
      </c>
      <c r="H21" s="12">
        <f>COUNTIF(defects!$Y:$Y,Monthly_TVPlant!$B21&amp;Monthly_TVPlant!$B$3&amp;$B$2&amp;Monthly_TVPlant!H$3&amp;$B$1)</f>
        <v>0</v>
      </c>
      <c r="I21" s="12">
        <f>COUNTIF(defects!$Y:$Y,Monthly_TVPlant!$B21&amp;Monthly_TVPlant!$B$3&amp;$B$2&amp;Monthly_TVPlant!I$3&amp;$B$1)</f>
        <v>0</v>
      </c>
      <c r="J21" s="12">
        <f>COUNTIF(defects!$Y:$Y,Monthly_TVPlant!$B21&amp;Monthly_TVPlant!$B$3&amp;$B$2&amp;Monthly_TVPlant!J$3&amp;$B$1)</f>
        <v>0</v>
      </c>
      <c r="K21" s="12">
        <f>COUNTIF(defects!$Y:$Y,Monthly_TVPlant!$B21&amp;Monthly_TVPlant!$B$3&amp;$B$2&amp;Monthly_TVPlant!K$3&amp;$B$1)</f>
        <v>0</v>
      </c>
      <c r="L21" s="12">
        <f>COUNTIF(defects!$Y:$Y,Monthly_TVPlant!$B21&amp;Monthly_TVPlant!$B$3&amp;$B$2&amp;Monthly_TVPlant!L$3&amp;$B$1)</f>
        <v>0</v>
      </c>
      <c r="M21" s="12">
        <f>COUNTIF(defects!$Y:$Y,Monthly_TVPlant!$B21&amp;Monthly_TVPlant!$B$3&amp;$B$2&amp;Monthly_TVPlant!M$3&amp;$B$1)</f>
        <v>0</v>
      </c>
      <c r="N21" s="12">
        <f>COUNTIF(defects!$Y:$Y,Monthly_TVPlant!$B21&amp;Monthly_TVPlant!$B$3&amp;$B$2&amp;Monthly_TVPlant!N$3&amp;$B$1)</f>
        <v>0</v>
      </c>
      <c r="O21" s="12">
        <f>COUNTIF(defects!$Y:$Y,Monthly_TVPlant!$B21&amp;Monthly_TVPlant!$B$3&amp;$B$2&amp;Monthly_TVPlant!O$3&amp;$B$1)</f>
        <v>0</v>
      </c>
      <c r="P21" s="12">
        <f>COUNTIF(defects!$Y:$Y,Monthly_TVPlant!$B21&amp;Monthly_TVPlant!$B$3&amp;$B$2&amp;Monthly_TVPlant!P$3&amp;$B$1)</f>
        <v>0</v>
      </c>
      <c r="Q21" s="12">
        <f>COUNTIF(defects!$Y:$Y,Monthly_TVPlant!$B21&amp;Monthly_TVPlant!$B$3&amp;$B$2&amp;Monthly_TVPlant!Q$3&amp;$B$1)</f>
        <v>0</v>
      </c>
      <c r="R21" s="12">
        <f>COUNTIF(defects!$Y:$Y,Monthly_TVPlant!$B21&amp;Monthly_TVPlant!$B$3&amp;$B$2&amp;Monthly_TVPlant!R$3&amp;$B$1)</f>
        <v>0</v>
      </c>
      <c r="S21" s="12">
        <f>COUNTIF(defects!$Y:$Y,Monthly_TVPlant!$B21&amp;Monthly_TVPlant!$B$3&amp;$B$2&amp;Monthly_TVPlant!S$3&amp;$B$1)</f>
        <v>0</v>
      </c>
      <c r="T21" s="12">
        <f>COUNTIF(defects!$Y:$Y,Monthly_TVPlant!$B21&amp;Monthly_TVPlant!$B$3&amp;$B$2&amp;Monthly_TVPlant!T$3&amp;$B$1)</f>
        <v>0</v>
      </c>
      <c r="U21" s="12">
        <f>COUNTIF(defects!$Y:$Y,Monthly_TVPlant!$B21&amp;Monthly_TVPlant!$B$3&amp;$B$2&amp;Monthly_TVPlant!U$3&amp;$B$1)</f>
        <v>0</v>
      </c>
      <c r="V21" s="12">
        <f>COUNTIF(defects!$Y:$Y,Monthly_TVPlant!$B21&amp;Monthly_TVPlant!$B$3&amp;$B$2&amp;Monthly_TVPlant!V$3&amp;$B$1)</f>
        <v>0</v>
      </c>
      <c r="W21" s="12">
        <f>COUNTIF(defects!$Y:$Y,Monthly_TVPlant!$B21&amp;Monthly_TVPlant!$B$3&amp;$B$2&amp;Monthly_TVPlant!W$3&amp;$B$1)</f>
        <v>0</v>
      </c>
      <c r="X21" s="12">
        <f>COUNTIF(defects!$Y:$Y,Monthly_TVPlant!$B21&amp;Monthly_TVPlant!$B$3&amp;$B$2&amp;Monthly_TVPlant!X$3&amp;$B$1)</f>
        <v>0</v>
      </c>
      <c r="Y21" s="12">
        <f>COUNTIF(defects!$Y:$Y,Monthly_TVPlant!$B21&amp;Monthly_TVPlant!$B$3&amp;$B$2&amp;Monthly_TVPlant!Y$3&amp;$B$1)</f>
        <v>1</v>
      </c>
      <c r="Z21" s="12">
        <f>COUNTIF(defects!$Y:$Y,Monthly_TVPlant!$B21&amp;Monthly_TVPlant!$B$3&amp;$B$2&amp;Monthly_TVPlant!Z$3&amp;$B$1)</f>
        <v>0</v>
      </c>
      <c r="AA21" s="12">
        <f>COUNTIF(defects!$Y:$Y,Monthly_TVPlant!$B21&amp;Monthly_TVPlant!$B$3&amp;$B$2&amp;Monthly_TVPlant!AA$3&amp;$B$1)</f>
        <v>0</v>
      </c>
      <c r="AB21" s="12">
        <f>COUNTIF(defects!$Y:$Y,Monthly_TVPlant!$B21&amp;Monthly_TVPlant!$B$3&amp;$B$2&amp;Monthly_TVPlant!AB$3&amp;$B$1)</f>
        <v>0</v>
      </c>
      <c r="AC21" s="12">
        <f>COUNTIF(defects!$Y:$Y,Monthly_TVPlant!$B21&amp;Monthly_TVPlant!$B$3&amp;$B$2&amp;Monthly_TVPlant!AC$3&amp;$B$1)</f>
        <v>0</v>
      </c>
      <c r="AD21" s="12">
        <f>COUNTIF(defects!$Y:$Y,Monthly_TVPlant!$B21&amp;Monthly_TVPlant!$B$3&amp;$B$2&amp;Monthly_TVPlant!AD$3&amp;$B$1)</f>
        <v>0</v>
      </c>
      <c r="AE21" s="12">
        <f>COUNTIF(defects!$Y:$Y,Monthly_TVPlant!$B21&amp;Monthly_TVPlant!$B$3&amp;$B$2&amp;Monthly_TVPlant!AE$3&amp;$B$1)</f>
        <v>0</v>
      </c>
      <c r="AF21" s="12">
        <f>COUNTIF(defects!$Y:$Y,Monthly_TVPlant!$B21&amp;Monthly_TVPlant!$B$3&amp;$B$2&amp;Monthly_TVPlant!AF$3&amp;$B$1)</f>
        <v>0</v>
      </c>
      <c r="AG21" s="12">
        <f>COUNTIF(defects!$Y:$Y,Monthly_TVPlant!$B21&amp;Monthly_TVPlant!$B$3&amp;$B$2&amp;Monthly_TVPlant!AG$3&amp;$B$1)</f>
        <v>0</v>
      </c>
      <c r="AH21" s="12">
        <f>COUNTIF(defects!$Y:$Y,Monthly_TVPlant!$B21&amp;Monthly_TVPlant!$B$3&amp;$B$2&amp;Monthly_TVPlant!AH$3&amp;$B$1)</f>
        <v>0</v>
      </c>
      <c r="AI21" s="12">
        <f>COUNTIF(defects!$Y:$Y,Monthly_TVPlant!$B21&amp;Monthly_TVPlant!$B$3&amp;$B$2&amp;Monthly_TVPlant!AI$3&amp;$B$1)</f>
        <v>0</v>
      </c>
      <c r="AJ21" s="12">
        <f>COUNTIF(defects!$Y:$Y,Monthly_TVPlant!$B21&amp;Monthly_TVPlant!$B$3&amp;$B$2&amp;Monthly_TVPlant!AJ$3&amp;$B$1)</f>
        <v>0</v>
      </c>
      <c r="AK21" s="12">
        <f>COUNTIF(defects!$Y:$Y,Monthly_TVPlant!$B21&amp;Monthly_TVPlant!$B$3&amp;$B$2&amp;Monthly_TVPlant!AK$3&amp;$B$1)</f>
        <v>0</v>
      </c>
      <c r="AL21" s="12">
        <f>COUNTIF(defects!$Y:$Y,Monthly_TVPlant!$B21&amp;Monthly_TVPlant!$B$3&amp;$B$2&amp;Monthly_TVPlant!AL$3&amp;$B$1)</f>
        <v>0</v>
      </c>
      <c r="AM21" s="12">
        <f>COUNTIF(defects!$Y:$Y,Monthly_TVPlant!$B21&amp;Monthly_TVPlant!$B$3&amp;$B$2&amp;Monthly_TVPlant!AM$3&amp;$B$1)</f>
        <v>0</v>
      </c>
      <c r="AN21" s="12">
        <f>COUNTIF(defects!$Y:$Y,Monthly_TVPlant!$B21&amp;Monthly_TVPlant!$B$3&amp;$B$2&amp;Monthly_TVPlant!AN$3&amp;$B$1)</f>
        <v>0</v>
      </c>
      <c r="AO21" s="12">
        <f>COUNTIF(defects!$Y:$Y,Monthly_TVPlant!$B21&amp;Monthly_TVPlant!$B$3&amp;$B$2&amp;Monthly_TVPlant!AO$3&amp;$B$1)</f>
        <v>0</v>
      </c>
      <c r="AP21" s="12">
        <f>COUNTIF(defects!$Y:$Y,Monthly_TVPlant!$B21&amp;Monthly_TVPlant!$B$3&amp;$B$2&amp;Monthly_TVPlant!AP$3&amp;$B$1)</f>
        <v>0</v>
      </c>
      <c r="AQ21" s="12"/>
      <c r="AR21" s="12">
        <f>HLOOKUP(AR$3,Weekly_TVPlant!$3:$24,MATCH($B21,Weekly_TVPlant!$B$3:$B$24,0),0)</f>
        <v>0</v>
      </c>
      <c r="AS21" s="12">
        <f>HLOOKUP(AS$3,Weekly_TVPlant!$3:$24,MATCH($B21,Weekly_TVPlant!$B$3:$B$24,0),0)</f>
        <v>0</v>
      </c>
      <c r="AT21" s="12">
        <f>HLOOKUP(AT$3,Weekly_TVPlant!$3:$24,MATCH($B21,Weekly_TVPlant!$B$3:$B$24,0),0)</f>
        <v>0</v>
      </c>
      <c r="AU21" s="12"/>
      <c r="AV21" s="12">
        <f t="shared" si="2"/>
        <v>1</v>
      </c>
    </row>
    <row r="22" spans="2:48">
      <c r="B22" s="12" t="s">
        <v>959</v>
      </c>
      <c r="C22" s="12">
        <f t="shared" si="0"/>
        <v>35</v>
      </c>
      <c r="D22" s="12">
        <f t="shared" si="0"/>
        <v>0</v>
      </c>
      <c r="E22" s="12"/>
      <c r="F22" s="12">
        <f>COUNTIF(defects!$Y:$Y,Monthly_TVPlant!$B22&amp;Monthly_TVPlant!$B$3&amp;$B$2&amp;Monthly_TVPlant!F$3&amp;$B$1)</f>
        <v>0</v>
      </c>
      <c r="G22" s="12">
        <f>COUNTIF(defects!$Y:$Y,Monthly_TVPlant!$B22&amp;Monthly_TVPlant!$B$3&amp;$B$2&amp;Monthly_TVPlant!G$3&amp;$B$1)</f>
        <v>0</v>
      </c>
      <c r="H22" s="12">
        <f>COUNTIF(defects!$Y:$Y,Monthly_TVPlant!$B22&amp;Monthly_TVPlant!$B$3&amp;$B$2&amp;Monthly_TVPlant!H$3&amp;$B$1)</f>
        <v>0</v>
      </c>
      <c r="I22" s="12">
        <f>COUNTIF(defects!$Y:$Y,Monthly_TVPlant!$B22&amp;Monthly_TVPlant!$B$3&amp;$B$2&amp;Monthly_TVPlant!I$3&amp;$B$1)</f>
        <v>0</v>
      </c>
      <c r="J22" s="12">
        <f>COUNTIF(defects!$Y:$Y,Monthly_TVPlant!$B22&amp;Monthly_TVPlant!$B$3&amp;$B$2&amp;Monthly_TVPlant!J$3&amp;$B$1)</f>
        <v>0</v>
      </c>
      <c r="K22" s="12">
        <f>COUNTIF(defects!$Y:$Y,Monthly_TVPlant!$B22&amp;Monthly_TVPlant!$B$3&amp;$B$2&amp;Monthly_TVPlant!K$3&amp;$B$1)</f>
        <v>0</v>
      </c>
      <c r="L22" s="12">
        <f>COUNTIF(defects!$Y:$Y,Monthly_TVPlant!$B22&amp;Monthly_TVPlant!$B$3&amp;$B$2&amp;Monthly_TVPlant!L$3&amp;$B$1)</f>
        <v>0</v>
      </c>
      <c r="M22" s="12">
        <f>COUNTIF(defects!$Y:$Y,Monthly_TVPlant!$B22&amp;Monthly_TVPlant!$B$3&amp;$B$2&amp;Monthly_TVPlant!M$3&amp;$B$1)</f>
        <v>0</v>
      </c>
      <c r="N22" s="12">
        <f>COUNTIF(defects!$Y:$Y,Monthly_TVPlant!$B22&amp;Monthly_TVPlant!$B$3&amp;$B$2&amp;Monthly_TVPlant!N$3&amp;$B$1)</f>
        <v>0</v>
      </c>
      <c r="O22" s="12">
        <f>COUNTIF(defects!$Y:$Y,Monthly_TVPlant!$B22&amp;Monthly_TVPlant!$B$3&amp;$B$2&amp;Monthly_TVPlant!O$3&amp;$B$1)</f>
        <v>0</v>
      </c>
      <c r="P22" s="12">
        <f>COUNTIF(defects!$Y:$Y,Monthly_TVPlant!$B22&amp;Monthly_TVPlant!$B$3&amp;$B$2&amp;Monthly_TVPlant!P$3&amp;$B$1)</f>
        <v>0</v>
      </c>
      <c r="Q22" s="12">
        <f>COUNTIF(defects!$Y:$Y,Monthly_TVPlant!$B22&amp;Monthly_TVPlant!$B$3&amp;$B$2&amp;Monthly_TVPlant!Q$3&amp;$B$1)</f>
        <v>0</v>
      </c>
      <c r="R22" s="12">
        <f>COUNTIF(defects!$Y:$Y,Monthly_TVPlant!$B22&amp;Monthly_TVPlant!$B$3&amp;$B$2&amp;Monthly_TVPlant!R$3&amp;$B$1)</f>
        <v>0</v>
      </c>
      <c r="S22" s="12">
        <f>COUNTIF(defects!$Y:$Y,Monthly_TVPlant!$B22&amp;Monthly_TVPlant!$B$3&amp;$B$2&amp;Monthly_TVPlant!S$3&amp;$B$1)</f>
        <v>0</v>
      </c>
      <c r="T22" s="12">
        <f>COUNTIF(defects!$Y:$Y,Monthly_TVPlant!$B22&amp;Monthly_TVPlant!$B$3&amp;$B$2&amp;Monthly_TVPlant!T$3&amp;$B$1)</f>
        <v>1</v>
      </c>
      <c r="U22" s="12">
        <f>COUNTIF(defects!$Y:$Y,Monthly_TVPlant!$B22&amp;Monthly_TVPlant!$B$3&amp;$B$2&amp;Monthly_TVPlant!U$3&amp;$B$1)</f>
        <v>0</v>
      </c>
      <c r="V22" s="12">
        <f>COUNTIF(defects!$Y:$Y,Monthly_TVPlant!$B22&amp;Monthly_TVPlant!$B$3&amp;$B$2&amp;Monthly_TVPlant!V$3&amp;$B$1)</f>
        <v>1</v>
      </c>
      <c r="W22" s="12">
        <f>COUNTIF(defects!$Y:$Y,Monthly_TVPlant!$B22&amp;Monthly_TVPlant!$B$3&amp;$B$2&amp;Monthly_TVPlant!W$3&amp;$B$1)</f>
        <v>3</v>
      </c>
      <c r="X22" s="12">
        <f>COUNTIF(defects!$Y:$Y,Monthly_TVPlant!$B22&amp;Monthly_TVPlant!$B$3&amp;$B$2&amp;Monthly_TVPlant!X$3&amp;$B$1)</f>
        <v>4</v>
      </c>
      <c r="Y22" s="12">
        <f>COUNTIF(defects!$Y:$Y,Monthly_TVPlant!$B22&amp;Monthly_TVPlant!$B$3&amp;$B$2&amp;Monthly_TVPlant!Y$3&amp;$B$1)</f>
        <v>6</v>
      </c>
      <c r="Z22" s="12">
        <f>COUNTIF(defects!$Y:$Y,Monthly_TVPlant!$B22&amp;Monthly_TVPlant!$B$3&amp;$B$2&amp;Monthly_TVPlant!Z$3&amp;$B$1)</f>
        <v>9</v>
      </c>
      <c r="AA22" s="12">
        <f>COUNTIF(defects!$Y:$Y,Monthly_TVPlant!$B22&amp;Monthly_TVPlant!$B$3&amp;$B$2&amp;Monthly_TVPlant!AA$3&amp;$B$1)</f>
        <v>7</v>
      </c>
      <c r="AB22" s="12">
        <f>COUNTIF(defects!$Y:$Y,Monthly_TVPlant!$B22&amp;Monthly_TVPlant!$B$3&amp;$B$2&amp;Monthly_TVPlant!AB$3&amp;$B$1)</f>
        <v>4</v>
      </c>
      <c r="AC22" s="12">
        <f>COUNTIF(defects!$Y:$Y,Monthly_TVPlant!$B22&amp;Monthly_TVPlant!$B$3&amp;$B$2&amp;Monthly_TVPlant!AC$3&amp;$B$1)</f>
        <v>0</v>
      </c>
      <c r="AD22" s="12">
        <f>COUNTIF(defects!$Y:$Y,Monthly_TVPlant!$B22&amp;Monthly_TVPlant!$B$3&amp;$B$2&amp;Monthly_TVPlant!AD$3&amp;$B$1)</f>
        <v>0</v>
      </c>
      <c r="AE22" s="12">
        <f>COUNTIF(defects!$Y:$Y,Monthly_TVPlant!$B22&amp;Monthly_TVPlant!$B$3&amp;$B$2&amp;Monthly_TVPlant!AE$3&amp;$B$1)</f>
        <v>0</v>
      </c>
      <c r="AF22" s="12">
        <f>COUNTIF(defects!$Y:$Y,Monthly_TVPlant!$B22&amp;Monthly_TVPlant!$B$3&amp;$B$2&amp;Monthly_TVPlant!AF$3&amp;$B$1)</f>
        <v>0</v>
      </c>
      <c r="AG22" s="12">
        <f>COUNTIF(defects!$Y:$Y,Monthly_TVPlant!$B22&amp;Monthly_TVPlant!$B$3&amp;$B$2&amp;Monthly_TVPlant!AG$3&amp;$B$1)</f>
        <v>0</v>
      </c>
      <c r="AH22" s="12">
        <f>COUNTIF(defects!$Y:$Y,Monthly_TVPlant!$B22&amp;Monthly_TVPlant!$B$3&amp;$B$2&amp;Monthly_TVPlant!AH$3&amp;$B$1)</f>
        <v>0</v>
      </c>
      <c r="AI22" s="12">
        <f>COUNTIF(defects!$Y:$Y,Monthly_TVPlant!$B22&amp;Monthly_TVPlant!$B$3&amp;$B$2&amp;Monthly_TVPlant!AI$3&amp;$B$1)</f>
        <v>0</v>
      </c>
      <c r="AJ22" s="12">
        <f>COUNTIF(defects!$Y:$Y,Monthly_TVPlant!$B22&amp;Monthly_TVPlant!$B$3&amp;$B$2&amp;Monthly_TVPlant!AJ$3&amp;$B$1)</f>
        <v>0</v>
      </c>
      <c r="AK22" s="12">
        <f>COUNTIF(defects!$Y:$Y,Monthly_TVPlant!$B22&amp;Monthly_TVPlant!$B$3&amp;$B$2&amp;Monthly_TVPlant!AK$3&amp;$B$1)</f>
        <v>0</v>
      </c>
      <c r="AL22" s="12">
        <f>COUNTIF(defects!$Y:$Y,Monthly_TVPlant!$B22&amp;Monthly_TVPlant!$B$3&amp;$B$2&amp;Monthly_TVPlant!AL$3&amp;$B$1)</f>
        <v>0</v>
      </c>
      <c r="AM22" s="12">
        <f>COUNTIF(defects!$Y:$Y,Monthly_TVPlant!$B22&amp;Monthly_TVPlant!$B$3&amp;$B$2&amp;Monthly_TVPlant!AM$3&amp;$B$1)</f>
        <v>0</v>
      </c>
      <c r="AN22" s="12">
        <f>COUNTIF(defects!$Y:$Y,Monthly_TVPlant!$B22&amp;Monthly_TVPlant!$B$3&amp;$B$2&amp;Monthly_TVPlant!AN$3&amp;$B$1)</f>
        <v>0</v>
      </c>
      <c r="AO22" s="12">
        <f>COUNTIF(defects!$Y:$Y,Monthly_TVPlant!$B22&amp;Monthly_TVPlant!$B$3&amp;$B$2&amp;Monthly_TVPlant!AO$3&amp;$B$1)</f>
        <v>0</v>
      </c>
      <c r="AP22" s="12">
        <f>COUNTIF(defects!$Y:$Y,Monthly_TVPlant!$B22&amp;Monthly_TVPlant!$B$3&amp;$B$2&amp;Monthly_TVPlant!AP$3&amp;$B$1)</f>
        <v>0</v>
      </c>
      <c r="AQ22" s="12"/>
      <c r="AR22" s="12">
        <f>HLOOKUP(AR$3,Weekly_TVPlant!$3:$24,MATCH($B22,Weekly_TVPlant!$B$3:$B$24,0),0)</f>
        <v>0</v>
      </c>
      <c r="AS22" s="12">
        <f>HLOOKUP(AS$3,Weekly_TVPlant!$3:$24,MATCH($B22,Weekly_TVPlant!$B$3:$B$24,0),0)</f>
        <v>0</v>
      </c>
      <c r="AT22" s="12">
        <f>HLOOKUP(AT$3,Weekly_TVPlant!$3:$24,MATCH($B22,Weekly_TVPlant!$B$3:$B$24,0),0)</f>
        <v>0</v>
      </c>
      <c r="AU22" s="12"/>
      <c r="AV22" s="12">
        <f t="shared" si="2"/>
        <v>35</v>
      </c>
    </row>
    <row r="23" spans="2:48">
      <c r="B23" s="12" t="s">
        <v>951</v>
      </c>
      <c r="C23" s="12">
        <f t="shared" si="0"/>
        <v>54</v>
      </c>
      <c r="D23" s="12">
        <f t="shared" si="0"/>
        <v>0</v>
      </c>
      <c r="E23" s="12"/>
      <c r="F23" s="12">
        <f>COUNTIF(defects!$Y:$Y,Monthly_TVPlant!$B23&amp;Monthly_TVPlant!$B$3&amp;$B$2&amp;Monthly_TVPlant!F$3&amp;$B$1)</f>
        <v>0</v>
      </c>
      <c r="G23" s="12">
        <f>COUNTIF(defects!$Y:$Y,Monthly_TVPlant!$B23&amp;Monthly_TVPlant!$B$3&amp;$B$2&amp;Monthly_TVPlant!G$3&amp;$B$1)</f>
        <v>0</v>
      </c>
      <c r="H23" s="12">
        <f>COUNTIF(defects!$Y:$Y,Monthly_TVPlant!$B23&amp;Monthly_TVPlant!$B$3&amp;$B$2&amp;Monthly_TVPlant!H$3&amp;$B$1)</f>
        <v>0</v>
      </c>
      <c r="I23" s="12">
        <f>COUNTIF(defects!$Y:$Y,Monthly_TVPlant!$B23&amp;Monthly_TVPlant!$B$3&amp;$B$2&amp;Monthly_TVPlant!I$3&amp;$B$1)</f>
        <v>0</v>
      </c>
      <c r="J23" s="12">
        <f>COUNTIF(defects!$Y:$Y,Monthly_TVPlant!$B23&amp;Monthly_TVPlant!$B$3&amp;$B$2&amp;Monthly_TVPlant!J$3&amp;$B$1)</f>
        <v>0</v>
      </c>
      <c r="K23" s="12">
        <f>COUNTIF(defects!$Y:$Y,Monthly_TVPlant!$B23&amp;Monthly_TVPlant!$B$3&amp;$B$2&amp;Monthly_TVPlant!K$3&amp;$B$1)</f>
        <v>0</v>
      </c>
      <c r="L23" s="12">
        <f>COUNTIF(defects!$Y:$Y,Monthly_TVPlant!$B23&amp;Monthly_TVPlant!$B$3&amp;$B$2&amp;Monthly_TVPlant!L$3&amp;$B$1)</f>
        <v>0</v>
      </c>
      <c r="M23" s="12">
        <f>COUNTIF(defects!$Y:$Y,Monthly_TVPlant!$B23&amp;Monthly_TVPlant!$B$3&amp;$B$2&amp;Monthly_TVPlant!M$3&amp;$B$1)</f>
        <v>0</v>
      </c>
      <c r="N23" s="12">
        <f>COUNTIF(defects!$Y:$Y,Monthly_TVPlant!$B23&amp;Monthly_TVPlant!$B$3&amp;$B$2&amp;Monthly_TVPlant!N$3&amp;$B$1)</f>
        <v>0</v>
      </c>
      <c r="O23" s="12">
        <f>COUNTIF(defects!$Y:$Y,Monthly_TVPlant!$B23&amp;Monthly_TVPlant!$B$3&amp;$B$2&amp;Monthly_TVPlant!O$3&amp;$B$1)</f>
        <v>0</v>
      </c>
      <c r="P23" s="12">
        <f>COUNTIF(defects!$Y:$Y,Monthly_TVPlant!$B23&amp;Monthly_TVPlant!$B$3&amp;$B$2&amp;Monthly_TVPlant!P$3&amp;$B$1)</f>
        <v>0</v>
      </c>
      <c r="Q23" s="12">
        <f>COUNTIF(defects!$Y:$Y,Monthly_TVPlant!$B23&amp;Monthly_TVPlant!$B$3&amp;$B$2&amp;Monthly_TVPlant!Q$3&amp;$B$1)</f>
        <v>0</v>
      </c>
      <c r="R23" s="12">
        <f>COUNTIF(defects!$Y:$Y,Monthly_TVPlant!$B23&amp;Monthly_TVPlant!$B$3&amp;$B$2&amp;Monthly_TVPlant!R$3&amp;$B$1)</f>
        <v>0</v>
      </c>
      <c r="S23" s="12">
        <f>COUNTIF(defects!$Y:$Y,Monthly_TVPlant!$B23&amp;Monthly_TVPlant!$B$3&amp;$B$2&amp;Monthly_TVPlant!S$3&amp;$B$1)</f>
        <v>0</v>
      </c>
      <c r="T23" s="12">
        <f>COUNTIF(defects!$Y:$Y,Monthly_TVPlant!$B23&amp;Monthly_TVPlant!$B$3&amp;$B$2&amp;Monthly_TVPlant!T$3&amp;$B$1)</f>
        <v>0</v>
      </c>
      <c r="U23" s="12">
        <f>COUNTIF(defects!$Y:$Y,Monthly_TVPlant!$B23&amp;Monthly_TVPlant!$B$3&amp;$B$2&amp;Monthly_TVPlant!U$3&amp;$B$1)</f>
        <v>0</v>
      </c>
      <c r="V23" s="12">
        <f>COUNTIF(defects!$Y:$Y,Monthly_TVPlant!$B23&amp;Monthly_TVPlant!$B$3&amp;$B$2&amp;Monthly_TVPlant!V$3&amp;$B$1)</f>
        <v>0</v>
      </c>
      <c r="W23" s="12">
        <f>COUNTIF(defects!$Y:$Y,Monthly_TVPlant!$B23&amp;Monthly_TVPlant!$B$3&amp;$B$2&amp;Monthly_TVPlant!W$3&amp;$B$1)</f>
        <v>0</v>
      </c>
      <c r="X23" s="12">
        <f>COUNTIF(defects!$Y:$Y,Monthly_TVPlant!$B23&amp;Monthly_TVPlant!$B$3&amp;$B$2&amp;Monthly_TVPlant!X$3&amp;$B$1)</f>
        <v>0</v>
      </c>
      <c r="Y23" s="12">
        <f>COUNTIF(defects!$Y:$Y,Monthly_TVPlant!$B23&amp;Monthly_TVPlant!$B$3&amp;$B$2&amp;Monthly_TVPlant!Y$3&amp;$B$1)</f>
        <v>0</v>
      </c>
      <c r="Z23" s="12">
        <f>COUNTIF(defects!$Y:$Y,Monthly_TVPlant!$B23&amp;Monthly_TVPlant!$B$3&amp;$B$2&amp;Monthly_TVPlant!Z$3&amp;$B$1)</f>
        <v>0</v>
      </c>
      <c r="AA23" s="12">
        <f>COUNTIF(defects!$Y:$Y,Monthly_TVPlant!$B23&amp;Monthly_TVPlant!$B$3&amp;$B$2&amp;Monthly_TVPlant!AA$3&amp;$B$1)</f>
        <v>37</v>
      </c>
      <c r="AB23" s="12">
        <f>COUNTIF(defects!$Y:$Y,Monthly_TVPlant!$B23&amp;Monthly_TVPlant!$B$3&amp;$B$2&amp;Monthly_TVPlant!AB$3&amp;$B$1)</f>
        <v>17</v>
      </c>
      <c r="AC23" s="12">
        <f>COUNTIF(defects!$Y:$Y,Monthly_TVPlant!$B23&amp;Monthly_TVPlant!$B$3&amp;$B$2&amp;Monthly_TVPlant!AC$3&amp;$B$1)</f>
        <v>0</v>
      </c>
      <c r="AD23" s="12">
        <f>COUNTIF(defects!$Y:$Y,Monthly_TVPlant!$B23&amp;Monthly_TVPlant!$B$3&amp;$B$2&amp;Monthly_TVPlant!AD$3&amp;$B$1)</f>
        <v>0</v>
      </c>
      <c r="AE23" s="12">
        <f>COUNTIF(defects!$Y:$Y,Monthly_TVPlant!$B23&amp;Monthly_TVPlant!$B$3&amp;$B$2&amp;Monthly_TVPlant!AE$3&amp;$B$1)</f>
        <v>0</v>
      </c>
      <c r="AF23" s="12">
        <f>COUNTIF(defects!$Y:$Y,Monthly_TVPlant!$B23&amp;Monthly_TVPlant!$B$3&amp;$B$2&amp;Monthly_TVPlant!AF$3&amp;$B$1)</f>
        <v>0</v>
      </c>
      <c r="AG23" s="12">
        <f>COUNTIF(defects!$Y:$Y,Monthly_TVPlant!$B23&amp;Monthly_TVPlant!$B$3&amp;$B$2&amp;Monthly_TVPlant!AG$3&amp;$B$1)</f>
        <v>0</v>
      </c>
      <c r="AH23" s="12">
        <f>COUNTIF(defects!$Y:$Y,Monthly_TVPlant!$B23&amp;Monthly_TVPlant!$B$3&amp;$B$2&amp;Monthly_TVPlant!AH$3&amp;$B$1)</f>
        <v>0</v>
      </c>
      <c r="AI23" s="12">
        <f>COUNTIF(defects!$Y:$Y,Monthly_TVPlant!$B23&amp;Monthly_TVPlant!$B$3&amp;$B$2&amp;Monthly_TVPlant!AI$3&amp;$B$1)</f>
        <v>0</v>
      </c>
      <c r="AJ23" s="12">
        <f>COUNTIF(defects!$Y:$Y,Monthly_TVPlant!$B23&amp;Monthly_TVPlant!$B$3&amp;$B$2&amp;Monthly_TVPlant!AJ$3&amp;$B$1)</f>
        <v>0</v>
      </c>
      <c r="AK23" s="12">
        <f>COUNTIF(defects!$Y:$Y,Monthly_TVPlant!$B23&amp;Monthly_TVPlant!$B$3&amp;$B$2&amp;Monthly_TVPlant!AK$3&amp;$B$1)</f>
        <v>0</v>
      </c>
      <c r="AL23" s="12">
        <f>COUNTIF(defects!$Y:$Y,Monthly_TVPlant!$B23&amp;Monthly_TVPlant!$B$3&amp;$B$2&amp;Monthly_TVPlant!AL$3&amp;$B$1)</f>
        <v>0</v>
      </c>
      <c r="AM23" s="12">
        <f>COUNTIF(defects!$Y:$Y,Monthly_TVPlant!$B23&amp;Monthly_TVPlant!$B$3&amp;$B$2&amp;Monthly_TVPlant!AM$3&amp;$B$1)</f>
        <v>0</v>
      </c>
      <c r="AN23" s="12">
        <f>COUNTIF(defects!$Y:$Y,Monthly_TVPlant!$B23&amp;Monthly_TVPlant!$B$3&amp;$B$2&amp;Monthly_TVPlant!AN$3&amp;$B$1)</f>
        <v>0</v>
      </c>
      <c r="AO23" s="12">
        <f>COUNTIF(defects!$Y:$Y,Monthly_TVPlant!$B23&amp;Monthly_TVPlant!$B$3&amp;$B$2&amp;Monthly_TVPlant!AO$3&amp;$B$1)</f>
        <v>0</v>
      </c>
      <c r="AP23" s="12">
        <f>COUNTIF(defects!$Y:$Y,Monthly_TVPlant!$B23&amp;Monthly_TVPlant!$B$3&amp;$B$2&amp;Monthly_TVPlant!AP$3&amp;$B$1)</f>
        <v>0</v>
      </c>
      <c r="AQ23" s="12"/>
      <c r="AR23" s="12">
        <f>HLOOKUP(AR$3,Weekly_TVPlant!$3:$24,MATCH($B23,Weekly_TVPlant!$B$3:$B$24,0),0)</f>
        <v>0</v>
      </c>
      <c r="AS23" s="12">
        <f>HLOOKUP(AS$3,Weekly_TVPlant!$3:$24,MATCH($B23,Weekly_TVPlant!$B$3:$B$24,0),0)</f>
        <v>0</v>
      </c>
      <c r="AT23" s="12">
        <f>HLOOKUP(AT$3,Weekly_TVPlant!$3:$24,MATCH($B23,Weekly_TVPlant!$B$3:$B$24,0),0)</f>
        <v>0</v>
      </c>
      <c r="AU23" s="12"/>
      <c r="AV23" s="12">
        <f t="shared" si="2"/>
        <v>54</v>
      </c>
    </row>
    <row r="24" spans="2:48">
      <c r="B24" s="12" t="s">
        <v>996</v>
      </c>
      <c r="C24" s="12">
        <f t="shared" si="0"/>
        <v>0</v>
      </c>
      <c r="D24" s="12">
        <f t="shared" si="0"/>
        <v>0</v>
      </c>
      <c r="E24" s="12"/>
      <c r="F24" s="12">
        <f>COUNTIF(defects!$Y:$Y,Monthly_TVPlant!$B24&amp;Monthly_TVPlant!$B$3&amp;$B$2&amp;Monthly_TVPlant!F$3&amp;$B$1)</f>
        <v>0</v>
      </c>
      <c r="G24" s="12">
        <f>COUNTIF(defects!$Y:$Y,Monthly_TVPlant!$B24&amp;Monthly_TVPlant!$B$3&amp;$B$2&amp;Monthly_TVPlant!G$3&amp;$B$1)</f>
        <v>0</v>
      </c>
      <c r="H24" s="12">
        <f>COUNTIF(defects!$Y:$Y,Monthly_TVPlant!$B24&amp;Monthly_TVPlant!$B$3&amp;$B$2&amp;Monthly_TVPlant!H$3&amp;$B$1)</f>
        <v>0</v>
      </c>
      <c r="I24" s="12">
        <f>COUNTIF(defects!$Y:$Y,Monthly_TVPlant!$B24&amp;Monthly_TVPlant!$B$3&amp;$B$2&amp;Monthly_TVPlant!I$3&amp;$B$1)</f>
        <v>0</v>
      </c>
      <c r="J24" s="12">
        <f>COUNTIF(defects!$Y:$Y,Monthly_TVPlant!$B24&amp;Monthly_TVPlant!$B$3&amp;$B$2&amp;Monthly_TVPlant!J$3&amp;$B$1)</f>
        <v>0</v>
      </c>
      <c r="K24" s="12">
        <f>COUNTIF(defects!$Y:$Y,Monthly_TVPlant!$B24&amp;Monthly_TVPlant!$B$3&amp;$B$2&amp;Monthly_TVPlant!K$3&amp;$B$1)</f>
        <v>0</v>
      </c>
      <c r="L24" s="12">
        <f>COUNTIF(defects!$Y:$Y,Monthly_TVPlant!$B24&amp;Monthly_TVPlant!$B$3&amp;$B$2&amp;Monthly_TVPlant!L$3&amp;$B$1)</f>
        <v>0</v>
      </c>
      <c r="M24" s="12">
        <f>COUNTIF(defects!$Y:$Y,Monthly_TVPlant!$B24&amp;Monthly_TVPlant!$B$3&amp;$B$2&amp;Monthly_TVPlant!M$3&amp;$B$1)</f>
        <v>0</v>
      </c>
      <c r="N24" s="12">
        <f>COUNTIF(defects!$Y:$Y,Monthly_TVPlant!$B24&amp;Monthly_TVPlant!$B$3&amp;$B$2&amp;Monthly_TVPlant!N$3&amp;$B$1)</f>
        <v>0</v>
      </c>
      <c r="O24" s="12">
        <f>COUNTIF(defects!$Y:$Y,Monthly_TVPlant!$B24&amp;Monthly_TVPlant!$B$3&amp;$B$2&amp;Monthly_TVPlant!O$3&amp;$B$1)</f>
        <v>0</v>
      </c>
      <c r="P24" s="12">
        <f>COUNTIF(defects!$Y:$Y,Monthly_TVPlant!$B24&amp;Monthly_TVPlant!$B$3&amp;$B$2&amp;Monthly_TVPlant!P$3&amp;$B$1)</f>
        <v>0</v>
      </c>
      <c r="Q24" s="12">
        <f>COUNTIF(defects!$Y:$Y,Monthly_TVPlant!$B24&amp;Monthly_TVPlant!$B$3&amp;$B$2&amp;Monthly_TVPlant!Q$3&amp;$B$1)</f>
        <v>0</v>
      </c>
      <c r="R24" s="12">
        <f>COUNTIF(defects!$Y:$Y,Monthly_TVPlant!$B24&amp;Monthly_TVPlant!$B$3&amp;$B$2&amp;Monthly_TVPlant!R$3&amp;$B$1)</f>
        <v>0</v>
      </c>
      <c r="S24" s="12">
        <f>COUNTIF(defects!$Y:$Y,Monthly_TVPlant!$B24&amp;Monthly_TVPlant!$B$3&amp;$B$2&amp;Monthly_TVPlant!S$3&amp;$B$1)</f>
        <v>0</v>
      </c>
      <c r="T24" s="12">
        <f>COUNTIF(defects!$Y:$Y,Monthly_TVPlant!$B24&amp;Monthly_TVPlant!$B$3&amp;$B$2&amp;Monthly_TVPlant!T$3&amp;$B$1)</f>
        <v>0</v>
      </c>
      <c r="U24" s="12">
        <f>COUNTIF(defects!$Y:$Y,Monthly_TVPlant!$B24&amp;Monthly_TVPlant!$B$3&amp;$B$2&amp;Monthly_TVPlant!U$3&amp;$B$1)</f>
        <v>0</v>
      </c>
      <c r="V24" s="12">
        <f>COUNTIF(defects!$Y:$Y,Monthly_TVPlant!$B24&amp;Monthly_TVPlant!$B$3&amp;$B$2&amp;Monthly_TVPlant!V$3&amp;$B$1)</f>
        <v>0</v>
      </c>
      <c r="W24" s="12">
        <f>COUNTIF(defects!$Y:$Y,Monthly_TVPlant!$B24&amp;Monthly_TVPlant!$B$3&amp;$B$2&amp;Monthly_TVPlant!W$3&amp;$B$1)</f>
        <v>0</v>
      </c>
      <c r="X24" s="12">
        <f>COUNTIF(defects!$Y:$Y,Monthly_TVPlant!$B24&amp;Monthly_TVPlant!$B$3&amp;$B$2&amp;Monthly_TVPlant!X$3&amp;$B$1)</f>
        <v>0</v>
      </c>
      <c r="Y24" s="12">
        <f>COUNTIF(defects!$Y:$Y,Monthly_TVPlant!$B24&amp;Monthly_TVPlant!$B$3&amp;$B$2&amp;Monthly_TVPlant!Y$3&amp;$B$1)</f>
        <v>0</v>
      </c>
      <c r="Z24" s="12">
        <f>COUNTIF(defects!$Y:$Y,Monthly_TVPlant!$B24&amp;Monthly_TVPlant!$B$3&amp;$B$2&amp;Monthly_TVPlant!Z$3&amp;$B$1)</f>
        <v>0</v>
      </c>
      <c r="AA24" s="12">
        <f>COUNTIF(defects!$Y:$Y,Monthly_TVPlant!$B24&amp;Monthly_TVPlant!$B$3&amp;$B$2&amp;Monthly_TVPlant!AA$3&amp;$B$1)</f>
        <v>0</v>
      </c>
      <c r="AB24" s="12">
        <f>COUNTIF(defects!$Y:$Y,Monthly_TVPlant!$B24&amp;Monthly_TVPlant!$B$3&amp;$B$2&amp;Monthly_TVPlant!AB$3&amp;$B$1)</f>
        <v>0</v>
      </c>
      <c r="AC24" s="12">
        <f>COUNTIF(defects!$Y:$Y,Monthly_TVPlant!$B24&amp;Monthly_TVPlant!$B$3&amp;$B$2&amp;Monthly_TVPlant!AC$3&amp;$B$1)</f>
        <v>0</v>
      </c>
      <c r="AD24" s="12">
        <f>COUNTIF(defects!$Y:$Y,Monthly_TVPlant!$B24&amp;Monthly_TVPlant!$B$3&amp;$B$2&amp;Monthly_TVPlant!AD$3&amp;$B$1)</f>
        <v>0</v>
      </c>
      <c r="AE24" s="12">
        <f>COUNTIF(defects!$Y:$Y,Monthly_TVPlant!$B24&amp;Monthly_TVPlant!$B$3&amp;$B$2&amp;Monthly_TVPlant!AE$3&amp;$B$1)</f>
        <v>0</v>
      </c>
      <c r="AF24" s="12">
        <f>COUNTIF(defects!$Y:$Y,Monthly_TVPlant!$B24&amp;Monthly_TVPlant!$B$3&amp;$B$2&amp;Monthly_TVPlant!AF$3&amp;$B$1)</f>
        <v>0</v>
      </c>
      <c r="AG24" s="12">
        <f>COUNTIF(defects!$Y:$Y,Monthly_TVPlant!$B24&amp;Monthly_TVPlant!$B$3&amp;$B$2&amp;Monthly_TVPlant!AG$3&amp;$B$1)</f>
        <v>0</v>
      </c>
      <c r="AH24" s="12">
        <f>COUNTIF(defects!$Y:$Y,Monthly_TVPlant!$B24&amp;Monthly_TVPlant!$B$3&amp;$B$2&amp;Monthly_TVPlant!AH$3&amp;$B$1)</f>
        <v>0</v>
      </c>
      <c r="AI24" s="12">
        <f>COUNTIF(defects!$Y:$Y,Monthly_TVPlant!$B24&amp;Monthly_TVPlant!$B$3&amp;$B$2&amp;Monthly_TVPlant!AI$3&amp;$B$1)</f>
        <v>0</v>
      </c>
      <c r="AJ24" s="12">
        <f>COUNTIF(defects!$Y:$Y,Monthly_TVPlant!$B24&amp;Monthly_TVPlant!$B$3&amp;$B$2&amp;Monthly_TVPlant!AJ$3&amp;$B$1)</f>
        <v>0</v>
      </c>
      <c r="AK24" s="12">
        <f>COUNTIF(defects!$Y:$Y,Monthly_TVPlant!$B24&amp;Monthly_TVPlant!$B$3&amp;$B$2&amp;Monthly_TVPlant!AK$3&amp;$B$1)</f>
        <v>0</v>
      </c>
      <c r="AL24" s="12">
        <f>COUNTIF(defects!$Y:$Y,Monthly_TVPlant!$B24&amp;Monthly_TVPlant!$B$3&amp;$B$2&amp;Monthly_TVPlant!AL$3&amp;$B$1)</f>
        <v>0</v>
      </c>
      <c r="AM24" s="12">
        <f>COUNTIF(defects!$Y:$Y,Monthly_TVPlant!$B24&amp;Monthly_TVPlant!$B$3&amp;$B$2&amp;Monthly_TVPlant!AM$3&amp;$B$1)</f>
        <v>0</v>
      </c>
      <c r="AN24" s="12">
        <f>COUNTIF(defects!$Y:$Y,Monthly_TVPlant!$B24&amp;Monthly_TVPlant!$B$3&amp;$B$2&amp;Monthly_TVPlant!AN$3&amp;$B$1)</f>
        <v>0</v>
      </c>
      <c r="AO24" s="12">
        <f>COUNTIF(defects!$Y:$Y,Monthly_TVPlant!$B24&amp;Monthly_TVPlant!$B$3&amp;$B$2&amp;Monthly_TVPlant!AO$3&amp;$B$1)</f>
        <v>0</v>
      </c>
      <c r="AP24" s="12">
        <f>COUNTIF(defects!$Y:$Y,Monthly_TVPlant!$B24&amp;Monthly_TVPlant!$B$3&amp;$B$2&amp;Monthly_TVPlant!AP$3&amp;$B$1)</f>
        <v>0</v>
      </c>
      <c r="AQ24" s="12"/>
      <c r="AR24" s="12">
        <f>HLOOKUP(AR$3,Weekly_TVPlant!$3:$24,MATCH($B24,Weekly_TVPlant!$B$3:$B$24,0),0)</f>
        <v>0</v>
      </c>
      <c r="AS24" s="12">
        <f>HLOOKUP(AS$3,Weekly_TVPlant!$3:$24,MATCH($B24,Weekly_TVPlant!$B$3:$B$24,0),0)</f>
        <v>0</v>
      </c>
      <c r="AT24" s="12">
        <f>HLOOKUP(AT$3,Weekly_TVPlant!$3:$24,MATCH($B24,Weekly_TVPlant!$B$3:$B$24,0),0)</f>
        <v>0</v>
      </c>
      <c r="AU24" s="12"/>
      <c r="AV24" s="12">
        <f t="shared" si="2"/>
        <v>0</v>
      </c>
    </row>
    <row r="25" spans="2:48" ht="14.15" customHeight="1"/>
    <row r="26" spans="2:48">
      <c r="B26" s="12"/>
      <c r="C26" s="10" t="str">
        <f t="shared" ref="C26:D26" si="3">C3</f>
        <v>FY21 TTL</v>
      </c>
      <c r="D26" s="10" t="str">
        <f t="shared" si="3"/>
        <v>FY22 TTL</v>
      </c>
      <c r="E26" s="10"/>
      <c r="F26" s="10" t="str">
        <f>F3</f>
        <v>20 Jan</v>
      </c>
      <c r="G26" s="10" t="str">
        <f t="shared" ref="G26:AV26" si="4">G3</f>
        <v>20 Feb</v>
      </c>
      <c r="H26" s="10" t="str">
        <f t="shared" si="4"/>
        <v>20 Mar</v>
      </c>
      <c r="I26" s="10" t="str">
        <f t="shared" si="4"/>
        <v>20 Apr</v>
      </c>
      <c r="J26" s="10" t="str">
        <f t="shared" si="4"/>
        <v>20 May</v>
      </c>
      <c r="K26" s="10" t="str">
        <f t="shared" si="4"/>
        <v>20 Jun</v>
      </c>
      <c r="L26" s="10" t="str">
        <f t="shared" si="4"/>
        <v>20 Jul</v>
      </c>
      <c r="M26" s="10" t="str">
        <f t="shared" si="4"/>
        <v>20 Aug</v>
      </c>
      <c r="N26" s="10" t="str">
        <f t="shared" si="4"/>
        <v>20 Sep</v>
      </c>
      <c r="O26" s="10" t="str">
        <f t="shared" si="4"/>
        <v>20 Oct</v>
      </c>
      <c r="P26" s="10" t="str">
        <f t="shared" si="4"/>
        <v>20 Nov</v>
      </c>
      <c r="Q26" s="10" t="str">
        <f t="shared" si="4"/>
        <v>20 Dec</v>
      </c>
      <c r="R26" s="10" t="str">
        <f t="shared" si="4"/>
        <v>21 Jan</v>
      </c>
      <c r="S26" s="10" t="str">
        <f t="shared" si="4"/>
        <v>21 Feb</v>
      </c>
      <c r="T26" s="10" t="str">
        <f t="shared" si="4"/>
        <v>21 Mar</v>
      </c>
      <c r="U26" s="10" t="str">
        <f t="shared" si="4"/>
        <v>21 Apr</v>
      </c>
      <c r="V26" s="10" t="str">
        <f t="shared" si="4"/>
        <v>21 May</v>
      </c>
      <c r="W26" s="10" t="str">
        <f t="shared" si="4"/>
        <v>21 Jun</v>
      </c>
      <c r="X26" s="10" t="str">
        <f t="shared" si="4"/>
        <v>21 Jul</v>
      </c>
      <c r="Y26" s="10" t="str">
        <f t="shared" si="4"/>
        <v>21 Aug</v>
      </c>
      <c r="Z26" s="10" t="str">
        <f t="shared" si="4"/>
        <v>21 Sep</v>
      </c>
      <c r="AA26" s="10" t="str">
        <f t="shared" si="4"/>
        <v>21 Oct</v>
      </c>
      <c r="AB26" s="10" t="str">
        <f t="shared" si="4"/>
        <v>21 Nov</v>
      </c>
      <c r="AC26" s="10" t="str">
        <f t="shared" si="4"/>
        <v>21 Dec</v>
      </c>
      <c r="AD26" s="10" t="str">
        <f t="shared" si="4"/>
        <v>22 Jan</v>
      </c>
      <c r="AE26" s="10" t="str">
        <f t="shared" si="4"/>
        <v>22 Feb</v>
      </c>
      <c r="AF26" s="10" t="str">
        <f t="shared" si="4"/>
        <v>22 Mar</v>
      </c>
      <c r="AG26" s="10" t="str">
        <f t="shared" si="4"/>
        <v>22 Apr</v>
      </c>
      <c r="AH26" s="10" t="str">
        <f t="shared" si="4"/>
        <v>22 May</v>
      </c>
      <c r="AI26" s="10" t="str">
        <f t="shared" si="4"/>
        <v>22 Jun</v>
      </c>
      <c r="AJ26" s="10" t="str">
        <f t="shared" si="4"/>
        <v>22 Jul</v>
      </c>
      <c r="AK26" s="10" t="str">
        <f t="shared" si="4"/>
        <v>22 Aug</v>
      </c>
      <c r="AL26" s="10" t="str">
        <f t="shared" si="4"/>
        <v>22 Sep</v>
      </c>
      <c r="AM26" s="10" t="str">
        <f t="shared" si="4"/>
        <v>22 Oct</v>
      </c>
      <c r="AN26" s="10" t="str">
        <f t="shared" si="4"/>
        <v>22 Nov</v>
      </c>
      <c r="AO26" s="10" t="str">
        <f t="shared" si="4"/>
        <v>22 Dec</v>
      </c>
      <c r="AP26" s="10" t="str">
        <f t="shared" si="4"/>
        <v>23 Jan</v>
      </c>
      <c r="AQ26" s="10"/>
      <c r="AR26" s="11">
        <f t="shared" si="4"/>
        <v>2151</v>
      </c>
      <c r="AS26" s="11">
        <f t="shared" si="4"/>
        <v>2152</v>
      </c>
      <c r="AT26" s="11">
        <f t="shared" si="4"/>
        <v>2201</v>
      </c>
      <c r="AU26" s="10"/>
      <c r="AV26" s="10" t="str">
        <f t="shared" si="4"/>
        <v>TTL</v>
      </c>
    </row>
    <row r="27" spans="2:48" s="7" customFormat="1">
      <c r="B27" s="13" t="s">
        <v>1014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>
      <c r="B28" s="13" t="s">
        <v>989</v>
      </c>
      <c r="C28" s="11">
        <f t="shared" ref="C28:D28" si="5">C4</f>
        <v>123324</v>
      </c>
      <c r="D28" s="11">
        <f t="shared" si="5"/>
        <v>0</v>
      </c>
      <c r="E28" s="11"/>
      <c r="F28" s="11">
        <f t="shared" ref="F28:AP28" si="6">F4</f>
        <v>0</v>
      </c>
      <c r="G28" s="11">
        <f t="shared" si="6"/>
        <v>0</v>
      </c>
      <c r="H28" s="11">
        <f t="shared" si="6"/>
        <v>0</v>
      </c>
      <c r="I28" s="11">
        <f t="shared" si="6"/>
        <v>0</v>
      </c>
      <c r="J28" s="11">
        <f t="shared" si="6"/>
        <v>0</v>
      </c>
      <c r="K28" s="11">
        <f t="shared" si="6"/>
        <v>0</v>
      </c>
      <c r="L28" s="11">
        <f t="shared" si="6"/>
        <v>0</v>
      </c>
      <c r="M28" s="11">
        <f t="shared" si="6"/>
        <v>0</v>
      </c>
      <c r="N28" s="11">
        <f t="shared" si="6"/>
        <v>0</v>
      </c>
      <c r="O28" s="11">
        <f t="shared" si="6"/>
        <v>0</v>
      </c>
      <c r="P28" s="11">
        <f t="shared" si="6"/>
        <v>0</v>
      </c>
      <c r="Q28" s="11">
        <f t="shared" si="6"/>
        <v>0</v>
      </c>
      <c r="R28" s="11">
        <f t="shared" si="6"/>
        <v>0</v>
      </c>
      <c r="S28" s="11">
        <f t="shared" si="6"/>
        <v>2</v>
      </c>
      <c r="T28" s="11">
        <f t="shared" si="6"/>
        <v>1849</v>
      </c>
      <c r="U28" s="11">
        <f t="shared" si="6"/>
        <v>2351</v>
      </c>
      <c r="V28" s="11">
        <f t="shared" si="6"/>
        <v>7301</v>
      </c>
      <c r="W28" s="11">
        <f t="shared" si="6"/>
        <v>14554</v>
      </c>
      <c r="X28" s="11">
        <f t="shared" si="6"/>
        <v>13123</v>
      </c>
      <c r="Y28" s="11">
        <f t="shared" si="6"/>
        <v>24379</v>
      </c>
      <c r="Z28" s="11">
        <f t="shared" si="6"/>
        <v>22012</v>
      </c>
      <c r="AA28" s="11">
        <f t="shared" si="6"/>
        <v>18221</v>
      </c>
      <c r="AB28" s="11">
        <f t="shared" si="6"/>
        <v>15437</v>
      </c>
      <c r="AC28" s="11">
        <f t="shared" si="6"/>
        <v>4095</v>
      </c>
      <c r="AD28" s="11">
        <f t="shared" si="6"/>
        <v>0</v>
      </c>
      <c r="AE28" s="11">
        <f t="shared" si="6"/>
        <v>0</v>
      </c>
      <c r="AF28" s="11">
        <f t="shared" si="6"/>
        <v>0</v>
      </c>
      <c r="AG28" s="11">
        <f t="shared" si="6"/>
        <v>0</v>
      </c>
      <c r="AH28" s="11">
        <f t="shared" si="6"/>
        <v>0</v>
      </c>
      <c r="AI28" s="11">
        <f t="shared" si="6"/>
        <v>0</v>
      </c>
      <c r="AJ28" s="11">
        <f t="shared" si="6"/>
        <v>0</v>
      </c>
      <c r="AK28" s="11">
        <f t="shared" si="6"/>
        <v>0</v>
      </c>
      <c r="AL28" s="11">
        <f t="shared" si="6"/>
        <v>0</v>
      </c>
      <c r="AM28" s="11">
        <f t="shared" si="6"/>
        <v>0</v>
      </c>
      <c r="AN28" s="11">
        <f t="shared" si="6"/>
        <v>0</v>
      </c>
      <c r="AO28" s="11">
        <f t="shared" si="6"/>
        <v>0</v>
      </c>
      <c r="AP28" s="11">
        <f t="shared" si="6"/>
        <v>0</v>
      </c>
      <c r="AQ28" s="11"/>
      <c r="AR28" s="11">
        <f>AR4</f>
        <v>0</v>
      </c>
      <c r="AS28" s="11">
        <f>AS4</f>
        <v>0</v>
      </c>
      <c r="AT28" s="11">
        <f>AT4</f>
        <v>0</v>
      </c>
      <c r="AU28" s="11"/>
      <c r="AV28" s="11">
        <f>AV4</f>
        <v>123324</v>
      </c>
    </row>
    <row r="29" spans="2:48">
      <c r="B29" s="12" t="s">
        <v>1018</v>
      </c>
      <c r="C29" s="12">
        <f t="shared" ref="C29:R44" si="7">IFERROR(ROUNDUP(C5/C$4*10^6,0),0)</f>
        <v>1695</v>
      </c>
      <c r="D29" s="12">
        <f t="shared" si="7"/>
        <v>0</v>
      </c>
      <c r="E29" s="12"/>
      <c r="F29" s="12">
        <f t="shared" ref="F29:U44" si="8">IFERROR(ROUNDUP(F5/F$4*10^6,0),0)</f>
        <v>0</v>
      </c>
      <c r="G29" s="12">
        <f t="shared" si="8"/>
        <v>0</v>
      </c>
      <c r="H29" s="12">
        <f t="shared" si="8"/>
        <v>0</v>
      </c>
      <c r="I29" s="12">
        <f t="shared" si="8"/>
        <v>0</v>
      </c>
      <c r="J29" s="12">
        <f t="shared" si="8"/>
        <v>0</v>
      </c>
      <c r="K29" s="12">
        <f t="shared" si="8"/>
        <v>0</v>
      </c>
      <c r="L29" s="12">
        <f t="shared" si="8"/>
        <v>0</v>
      </c>
      <c r="M29" s="12">
        <f t="shared" si="8"/>
        <v>0</v>
      </c>
      <c r="N29" s="12">
        <f t="shared" si="8"/>
        <v>0</v>
      </c>
      <c r="O29" s="12">
        <f t="shared" si="8"/>
        <v>0</v>
      </c>
      <c r="P29" s="12">
        <f t="shared" si="8"/>
        <v>0</v>
      </c>
      <c r="Q29" s="12">
        <f t="shared" si="8"/>
        <v>0</v>
      </c>
      <c r="R29" s="12">
        <f t="shared" si="8"/>
        <v>0</v>
      </c>
      <c r="S29" s="12">
        <f>IFERROR(ROUNDUP(S5/S$4*10^6,0),0)</f>
        <v>0</v>
      </c>
      <c r="T29" s="12">
        <f t="shared" ref="T29:AP30" si="9">IFERROR(ROUNDUP(T5/T$4*10^6,0),0)</f>
        <v>1082</v>
      </c>
      <c r="U29" s="12">
        <f t="shared" si="9"/>
        <v>0</v>
      </c>
      <c r="V29" s="12">
        <f t="shared" si="9"/>
        <v>1096</v>
      </c>
      <c r="W29" s="12">
        <f t="shared" si="9"/>
        <v>962</v>
      </c>
      <c r="X29" s="12">
        <f t="shared" si="9"/>
        <v>1677</v>
      </c>
      <c r="Y29" s="12">
        <f t="shared" si="9"/>
        <v>1190</v>
      </c>
      <c r="Z29" s="12">
        <f t="shared" si="9"/>
        <v>1727</v>
      </c>
      <c r="AA29" s="12">
        <f t="shared" si="9"/>
        <v>3513</v>
      </c>
      <c r="AB29" s="12">
        <f t="shared" si="9"/>
        <v>2009</v>
      </c>
      <c r="AC29" s="12">
        <f t="shared" si="9"/>
        <v>245</v>
      </c>
      <c r="AD29" s="12">
        <f t="shared" si="9"/>
        <v>0</v>
      </c>
      <c r="AE29" s="12">
        <f t="shared" si="9"/>
        <v>0</v>
      </c>
      <c r="AF29" s="12">
        <f t="shared" si="9"/>
        <v>0</v>
      </c>
      <c r="AG29" s="12">
        <f t="shared" si="9"/>
        <v>0</v>
      </c>
      <c r="AH29" s="12">
        <f t="shared" si="9"/>
        <v>0</v>
      </c>
      <c r="AI29" s="12">
        <f t="shared" si="9"/>
        <v>0</v>
      </c>
      <c r="AJ29" s="12">
        <f t="shared" si="9"/>
        <v>0</v>
      </c>
      <c r="AK29" s="12">
        <f t="shared" si="9"/>
        <v>0</v>
      </c>
      <c r="AL29" s="12">
        <f t="shared" si="9"/>
        <v>0</v>
      </c>
      <c r="AM29" s="12">
        <f t="shared" si="9"/>
        <v>0</v>
      </c>
      <c r="AN29" s="12">
        <f t="shared" si="9"/>
        <v>0</v>
      </c>
      <c r="AO29" s="12">
        <f t="shared" si="9"/>
        <v>0</v>
      </c>
      <c r="AP29" s="12">
        <f t="shared" si="9"/>
        <v>0</v>
      </c>
      <c r="AQ29" s="12"/>
      <c r="AR29" s="12">
        <f>IFERROR(ROUNDUP(AR5/AR$4*10^6,0),0)</f>
        <v>0</v>
      </c>
      <c r="AS29" s="12">
        <f>IFERROR(ROUNDUP(AS5/AS$4*10^6,0),0)</f>
        <v>0</v>
      </c>
      <c r="AT29" s="12">
        <f>IFERROR(ROUNDUP(AT5/AT$4*10^6,0),0)</f>
        <v>0</v>
      </c>
      <c r="AU29" s="12"/>
      <c r="AV29" s="12">
        <f>IFERROR(ROUNDUP(AV5/$AV$4*10^6,0),0)</f>
        <v>1695</v>
      </c>
    </row>
    <row r="30" spans="2:48">
      <c r="B30" s="12" t="s">
        <v>991</v>
      </c>
      <c r="C30" s="12">
        <f t="shared" si="7"/>
        <v>0</v>
      </c>
      <c r="D30" s="12">
        <f t="shared" si="7"/>
        <v>0</v>
      </c>
      <c r="E30" s="12">
        <f t="shared" si="7"/>
        <v>0</v>
      </c>
      <c r="F30" s="12">
        <f>IFERROR(ROUNDUP(F6/F$4*10^6,0),0)</f>
        <v>0</v>
      </c>
      <c r="G30" s="12">
        <f t="shared" si="8"/>
        <v>0</v>
      </c>
      <c r="H30" s="12">
        <f t="shared" si="8"/>
        <v>0</v>
      </c>
      <c r="I30" s="12">
        <f t="shared" si="8"/>
        <v>0</v>
      </c>
      <c r="J30" s="12">
        <f t="shared" si="8"/>
        <v>0</v>
      </c>
      <c r="K30" s="12">
        <f t="shared" si="8"/>
        <v>0</v>
      </c>
      <c r="L30" s="12">
        <f t="shared" si="8"/>
        <v>0</v>
      </c>
      <c r="M30" s="12">
        <f t="shared" si="8"/>
        <v>0</v>
      </c>
      <c r="N30" s="12">
        <f t="shared" si="8"/>
        <v>0</v>
      </c>
      <c r="O30" s="12">
        <f t="shared" si="8"/>
        <v>0</v>
      </c>
      <c r="P30" s="12">
        <f t="shared" si="8"/>
        <v>0</v>
      </c>
      <c r="Q30" s="12">
        <f t="shared" si="8"/>
        <v>0</v>
      </c>
      <c r="R30" s="12">
        <f t="shared" si="8"/>
        <v>0</v>
      </c>
      <c r="S30" s="12">
        <f t="shared" si="8"/>
        <v>0</v>
      </c>
      <c r="T30" s="12">
        <f t="shared" si="8"/>
        <v>0</v>
      </c>
      <c r="U30" s="12">
        <f t="shared" si="8"/>
        <v>0</v>
      </c>
      <c r="V30" s="12">
        <f t="shared" si="9"/>
        <v>0</v>
      </c>
      <c r="W30" s="12">
        <f t="shared" si="9"/>
        <v>0</v>
      </c>
      <c r="X30" s="12">
        <f t="shared" si="9"/>
        <v>0</v>
      </c>
      <c r="Y30" s="12">
        <f t="shared" si="9"/>
        <v>0</v>
      </c>
      <c r="Z30" s="12">
        <f t="shared" si="9"/>
        <v>0</v>
      </c>
      <c r="AA30" s="12">
        <f t="shared" si="9"/>
        <v>0</v>
      </c>
      <c r="AB30" s="12">
        <f t="shared" si="9"/>
        <v>0</v>
      </c>
      <c r="AC30" s="12">
        <f t="shared" si="9"/>
        <v>0</v>
      </c>
      <c r="AD30" s="12">
        <f t="shared" si="9"/>
        <v>0</v>
      </c>
      <c r="AE30" s="12">
        <f t="shared" si="9"/>
        <v>0</v>
      </c>
      <c r="AF30" s="12">
        <f t="shared" si="9"/>
        <v>0</v>
      </c>
      <c r="AG30" s="12">
        <f t="shared" si="9"/>
        <v>0</v>
      </c>
      <c r="AH30" s="12">
        <f t="shared" si="9"/>
        <v>0</v>
      </c>
      <c r="AI30" s="12">
        <f t="shared" si="9"/>
        <v>0</v>
      </c>
      <c r="AJ30" s="12">
        <f t="shared" si="9"/>
        <v>0</v>
      </c>
      <c r="AK30" s="12">
        <f t="shared" si="9"/>
        <v>0</v>
      </c>
      <c r="AL30" s="12">
        <f t="shared" si="9"/>
        <v>0</v>
      </c>
      <c r="AM30" s="12">
        <f t="shared" si="9"/>
        <v>0</v>
      </c>
      <c r="AN30" s="12">
        <f t="shared" si="9"/>
        <v>0</v>
      </c>
      <c r="AO30" s="12">
        <f t="shared" si="9"/>
        <v>0</v>
      </c>
      <c r="AP30" s="12">
        <f t="shared" si="9"/>
        <v>0</v>
      </c>
      <c r="AQ30" s="12">
        <f t="shared" ref="V30:AT41" si="10">IFERROR(ROUNDUP(AQ6/AQ$4*10^6,0),0)</f>
        <v>0</v>
      </c>
      <c r="AR30" s="12">
        <f t="shared" si="10"/>
        <v>0</v>
      </c>
      <c r="AS30" s="12">
        <f t="shared" si="10"/>
        <v>0</v>
      </c>
      <c r="AT30" s="12">
        <f t="shared" si="10"/>
        <v>0</v>
      </c>
      <c r="AU30" s="12"/>
      <c r="AV30" s="12">
        <f t="shared" ref="AV30:AV48" si="11">IFERROR(ROUNDUP(AV6/$AV$4*10^6,0),0)</f>
        <v>0</v>
      </c>
    </row>
    <row r="31" spans="2:48">
      <c r="B31" s="12" t="s">
        <v>957</v>
      </c>
      <c r="C31" s="12">
        <f t="shared" si="7"/>
        <v>25</v>
      </c>
      <c r="D31" s="12">
        <f t="shared" si="7"/>
        <v>0</v>
      </c>
      <c r="E31" s="12">
        <f t="shared" si="7"/>
        <v>0</v>
      </c>
      <c r="F31" s="12">
        <f t="shared" si="7"/>
        <v>0</v>
      </c>
      <c r="G31" s="12">
        <f t="shared" si="7"/>
        <v>0</v>
      </c>
      <c r="H31" s="12">
        <f t="shared" si="7"/>
        <v>0</v>
      </c>
      <c r="I31" s="12">
        <f t="shared" si="7"/>
        <v>0</v>
      </c>
      <c r="J31" s="12">
        <f t="shared" si="7"/>
        <v>0</v>
      </c>
      <c r="K31" s="12">
        <f t="shared" si="7"/>
        <v>0</v>
      </c>
      <c r="L31" s="12">
        <f t="shared" si="7"/>
        <v>0</v>
      </c>
      <c r="M31" s="12">
        <f t="shared" si="7"/>
        <v>0</v>
      </c>
      <c r="N31" s="12">
        <f t="shared" si="7"/>
        <v>0</v>
      </c>
      <c r="O31" s="12">
        <f t="shared" si="7"/>
        <v>0</v>
      </c>
      <c r="P31" s="12">
        <f t="shared" si="7"/>
        <v>0</v>
      </c>
      <c r="Q31" s="12">
        <f t="shared" si="7"/>
        <v>0</v>
      </c>
      <c r="R31" s="12">
        <f t="shared" si="7"/>
        <v>0</v>
      </c>
      <c r="S31" s="12">
        <f t="shared" si="8"/>
        <v>0</v>
      </c>
      <c r="T31" s="12">
        <f t="shared" si="8"/>
        <v>0</v>
      </c>
      <c r="U31" s="12">
        <f t="shared" si="8"/>
        <v>0</v>
      </c>
      <c r="V31" s="12">
        <f t="shared" si="10"/>
        <v>0</v>
      </c>
      <c r="W31" s="12">
        <f t="shared" si="10"/>
        <v>69</v>
      </c>
      <c r="X31" s="12">
        <f t="shared" si="10"/>
        <v>77</v>
      </c>
      <c r="Y31" s="12">
        <f t="shared" si="10"/>
        <v>0</v>
      </c>
      <c r="Z31" s="12">
        <f t="shared" si="10"/>
        <v>46</v>
      </c>
      <c r="AA31" s="12">
        <f t="shared" si="10"/>
        <v>0</v>
      </c>
      <c r="AB31" s="12">
        <f t="shared" si="10"/>
        <v>0</v>
      </c>
      <c r="AC31" s="12">
        <f t="shared" si="10"/>
        <v>0</v>
      </c>
      <c r="AD31" s="12">
        <f t="shared" si="10"/>
        <v>0</v>
      </c>
      <c r="AE31" s="12">
        <f t="shared" si="10"/>
        <v>0</v>
      </c>
      <c r="AF31" s="12">
        <f t="shared" si="10"/>
        <v>0</v>
      </c>
      <c r="AG31" s="12">
        <f t="shared" si="10"/>
        <v>0</v>
      </c>
      <c r="AH31" s="12">
        <f t="shared" si="10"/>
        <v>0</v>
      </c>
      <c r="AI31" s="12">
        <f t="shared" si="10"/>
        <v>0</v>
      </c>
      <c r="AJ31" s="12">
        <f t="shared" si="10"/>
        <v>0</v>
      </c>
      <c r="AK31" s="12">
        <f t="shared" si="10"/>
        <v>0</v>
      </c>
      <c r="AL31" s="12">
        <f t="shared" si="10"/>
        <v>0</v>
      </c>
      <c r="AM31" s="12">
        <f t="shared" si="10"/>
        <v>0</v>
      </c>
      <c r="AN31" s="12">
        <f t="shared" si="10"/>
        <v>0</v>
      </c>
      <c r="AO31" s="12">
        <f t="shared" si="10"/>
        <v>0</v>
      </c>
      <c r="AP31" s="12">
        <f t="shared" si="10"/>
        <v>0</v>
      </c>
      <c r="AQ31" s="12">
        <f t="shared" si="10"/>
        <v>0</v>
      </c>
      <c r="AR31" s="12">
        <f t="shared" si="10"/>
        <v>0</v>
      </c>
      <c r="AS31" s="12">
        <f t="shared" si="10"/>
        <v>0</v>
      </c>
      <c r="AT31" s="12">
        <f t="shared" si="10"/>
        <v>0</v>
      </c>
      <c r="AU31" s="12"/>
      <c r="AV31" s="12">
        <f t="shared" si="11"/>
        <v>25</v>
      </c>
    </row>
    <row r="32" spans="2:48">
      <c r="B32" s="12" t="s">
        <v>955</v>
      </c>
      <c r="C32" s="12">
        <f t="shared" si="7"/>
        <v>90</v>
      </c>
      <c r="D32" s="12">
        <f t="shared" si="7"/>
        <v>0</v>
      </c>
      <c r="E32" s="12">
        <f t="shared" si="7"/>
        <v>0</v>
      </c>
      <c r="F32" s="12">
        <f t="shared" si="8"/>
        <v>0</v>
      </c>
      <c r="G32" s="12">
        <f t="shared" si="8"/>
        <v>0</v>
      </c>
      <c r="H32" s="12">
        <f t="shared" si="8"/>
        <v>0</v>
      </c>
      <c r="I32" s="12">
        <f t="shared" si="8"/>
        <v>0</v>
      </c>
      <c r="J32" s="12">
        <f t="shared" si="8"/>
        <v>0</v>
      </c>
      <c r="K32" s="12">
        <f t="shared" si="8"/>
        <v>0</v>
      </c>
      <c r="L32" s="12">
        <f t="shared" si="8"/>
        <v>0</v>
      </c>
      <c r="M32" s="12">
        <f t="shared" si="8"/>
        <v>0</v>
      </c>
      <c r="N32" s="12">
        <f t="shared" si="8"/>
        <v>0</v>
      </c>
      <c r="O32" s="12">
        <f t="shared" si="8"/>
        <v>0</v>
      </c>
      <c r="P32" s="12">
        <f t="shared" si="8"/>
        <v>0</v>
      </c>
      <c r="Q32" s="12">
        <f t="shared" si="8"/>
        <v>0</v>
      </c>
      <c r="R32" s="12">
        <f t="shared" si="8"/>
        <v>0</v>
      </c>
      <c r="S32" s="12">
        <f t="shared" si="8"/>
        <v>0</v>
      </c>
      <c r="T32" s="12">
        <f t="shared" si="8"/>
        <v>541</v>
      </c>
      <c r="U32" s="12">
        <f t="shared" si="8"/>
        <v>0</v>
      </c>
      <c r="V32" s="12">
        <f t="shared" si="10"/>
        <v>0</v>
      </c>
      <c r="W32" s="12">
        <f t="shared" si="10"/>
        <v>207</v>
      </c>
      <c r="X32" s="12">
        <f t="shared" si="10"/>
        <v>229</v>
      </c>
      <c r="Y32" s="12">
        <f t="shared" si="10"/>
        <v>42</v>
      </c>
      <c r="Z32" s="12">
        <f t="shared" si="10"/>
        <v>91</v>
      </c>
      <c r="AA32" s="12">
        <f t="shared" si="10"/>
        <v>55</v>
      </c>
      <c r="AB32" s="12">
        <f t="shared" si="10"/>
        <v>0</v>
      </c>
      <c r="AC32" s="12">
        <f t="shared" si="10"/>
        <v>0</v>
      </c>
      <c r="AD32" s="12">
        <f t="shared" si="10"/>
        <v>0</v>
      </c>
      <c r="AE32" s="12">
        <f t="shared" si="10"/>
        <v>0</v>
      </c>
      <c r="AF32" s="12">
        <f t="shared" si="10"/>
        <v>0</v>
      </c>
      <c r="AG32" s="12">
        <f t="shared" si="10"/>
        <v>0</v>
      </c>
      <c r="AH32" s="12">
        <f t="shared" si="10"/>
        <v>0</v>
      </c>
      <c r="AI32" s="12">
        <f t="shared" si="10"/>
        <v>0</v>
      </c>
      <c r="AJ32" s="12">
        <f t="shared" si="10"/>
        <v>0</v>
      </c>
      <c r="AK32" s="12">
        <f t="shared" si="10"/>
        <v>0</v>
      </c>
      <c r="AL32" s="12">
        <f t="shared" si="10"/>
        <v>0</v>
      </c>
      <c r="AM32" s="12">
        <f t="shared" si="10"/>
        <v>0</v>
      </c>
      <c r="AN32" s="12">
        <f t="shared" si="10"/>
        <v>0</v>
      </c>
      <c r="AO32" s="12">
        <f t="shared" si="10"/>
        <v>0</v>
      </c>
      <c r="AP32" s="12">
        <f t="shared" si="10"/>
        <v>0</v>
      </c>
      <c r="AQ32" s="12">
        <f t="shared" si="10"/>
        <v>0</v>
      </c>
      <c r="AR32" s="12">
        <f t="shared" si="10"/>
        <v>0</v>
      </c>
      <c r="AS32" s="12">
        <f t="shared" si="10"/>
        <v>0</v>
      </c>
      <c r="AT32" s="12">
        <f t="shared" si="10"/>
        <v>0</v>
      </c>
      <c r="AU32" s="12"/>
      <c r="AV32" s="12">
        <f t="shared" si="11"/>
        <v>90</v>
      </c>
    </row>
    <row r="33" spans="2:48">
      <c r="B33" s="12" t="s">
        <v>953</v>
      </c>
      <c r="C33" s="12">
        <f t="shared" si="7"/>
        <v>9</v>
      </c>
      <c r="D33" s="12">
        <f t="shared" si="7"/>
        <v>0</v>
      </c>
      <c r="E33" s="12">
        <f t="shared" si="7"/>
        <v>0</v>
      </c>
      <c r="F33" s="12">
        <f t="shared" si="8"/>
        <v>0</v>
      </c>
      <c r="G33" s="12">
        <f t="shared" si="8"/>
        <v>0</v>
      </c>
      <c r="H33" s="12">
        <f t="shared" si="8"/>
        <v>0</v>
      </c>
      <c r="I33" s="12">
        <f t="shared" si="8"/>
        <v>0</v>
      </c>
      <c r="J33" s="12">
        <f t="shared" si="8"/>
        <v>0</v>
      </c>
      <c r="K33" s="12">
        <f t="shared" si="8"/>
        <v>0</v>
      </c>
      <c r="L33" s="12">
        <f t="shared" si="8"/>
        <v>0</v>
      </c>
      <c r="M33" s="12">
        <f t="shared" si="8"/>
        <v>0</v>
      </c>
      <c r="N33" s="12">
        <f t="shared" si="8"/>
        <v>0</v>
      </c>
      <c r="O33" s="12">
        <f t="shared" si="8"/>
        <v>0</v>
      </c>
      <c r="P33" s="12">
        <f t="shared" si="8"/>
        <v>0</v>
      </c>
      <c r="Q33" s="12">
        <f t="shared" si="8"/>
        <v>0</v>
      </c>
      <c r="R33" s="12">
        <f t="shared" si="8"/>
        <v>0</v>
      </c>
      <c r="S33" s="12">
        <f t="shared" si="8"/>
        <v>0</v>
      </c>
      <c r="T33" s="12">
        <f t="shared" si="8"/>
        <v>0</v>
      </c>
      <c r="U33" s="12">
        <f t="shared" si="8"/>
        <v>0</v>
      </c>
      <c r="V33" s="12">
        <f t="shared" si="10"/>
        <v>0</v>
      </c>
      <c r="W33" s="12">
        <f t="shared" si="10"/>
        <v>0</v>
      </c>
      <c r="X33" s="12">
        <f t="shared" si="10"/>
        <v>0</v>
      </c>
      <c r="Y33" s="12">
        <f t="shared" si="10"/>
        <v>42</v>
      </c>
      <c r="Z33" s="12">
        <f t="shared" si="10"/>
        <v>0</v>
      </c>
      <c r="AA33" s="12">
        <f t="shared" si="10"/>
        <v>0</v>
      </c>
      <c r="AB33" s="12">
        <f t="shared" si="10"/>
        <v>0</v>
      </c>
      <c r="AC33" s="12">
        <f t="shared" si="10"/>
        <v>0</v>
      </c>
      <c r="AD33" s="12">
        <f t="shared" si="10"/>
        <v>0</v>
      </c>
      <c r="AE33" s="12">
        <f t="shared" si="10"/>
        <v>0</v>
      </c>
      <c r="AF33" s="12">
        <f t="shared" si="10"/>
        <v>0</v>
      </c>
      <c r="AG33" s="12">
        <f t="shared" si="10"/>
        <v>0</v>
      </c>
      <c r="AH33" s="12">
        <f t="shared" si="10"/>
        <v>0</v>
      </c>
      <c r="AI33" s="12">
        <f t="shared" si="10"/>
        <v>0</v>
      </c>
      <c r="AJ33" s="12">
        <f t="shared" si="10"/>
        <v>0</v>
      </c>
      <c r="AK33" s="12">
        <f t="shared" si="10"/>
        <v>0</v>
      </c>
      <c r="AL33" s="12">
        <f t="shared" si="10"/>
        <v>0</v>
      </c>
      <c r="AM33" s="12">
        <f t="shared" si="10"/>
        <v>0</v>
      </c>
      <c r="AN33" s="12">
        <f t="shared" si="10"/>
        <v>0</v>
      </c>
      <c r="AO33" s="12">
        <f t="shared" si="10"/>
        <v>0</v>
      </c>
      <c r="AP33" s="12">
        <f t="shared" si="10"/>
        <v>0</v>
      </c>
      <c r="AQ33" s="12">
        <f t="shared" si="10"/>
        <v>0</v>
      </c>
      <c r="AR33" s="12">
        <f t="shared" si="10"/>
        <v>0</v>
      </c>
      <c r="AS33" s="12">
        <f t="shared" si="10"/>
        <v>0</v>
      </c>
      <c r="AT33" s="12">
        <f t="shared" si="10"/>
        <v>0</v>
      </c>
      <c r="AU33" s="12"/>
      <c r="AV33" s="12">
        <f t="shared" si="11"/>
        <v>9</v>
      </c>
    </row>
    <row r="34" spans="2:48">
      <c r="B34" s="12" t="s">
        <v>954</v>
      </c>
      <c r="C34" s="12">
        <f t="shared" si="7"/>
        <v>41</v>
      </c>
      <c r="D34" s="12">
        <f t="shared" si="7"/>
        <v>0</v>
      </c>
      <c r="E34" s="12">
        <f t="shared" si="7"/>
        <v>0</v>
      </c>
      <c r="F34" s="12">
        <f t="shared" si="8"/>
        <v>0</v>
      </c>
      <c r="G34" s="12">
        <f t="shared" si="8"/>
        <v>0</v>
      </c>
      <c r="H34" s="12">
        <f t="shared" si="8"/>
        <v>0</v>
      </c>
      <c r="I34" s="12">
        <f t="shared" si="8"/>
        <v>0</v>
      </c>
      <c r="J34" s="12">
        <f t="shared" si="8"/>
        <v>0</v>
      </c>
      <c r="K34" s="12">
        <f t="shared" si="8"/>
        <v>0</v>
      </c>
      <c r="L34" s="12">
        <f t="shared" si="8"/>
        <v>0</v>
      </c>
      <c r="M34" s="12">
        <f t="shared" si="8"/>
        <v>0</v>
      </c>
      <c r="N34" s="12">
        <f t="shared" si="8"/>
        <v>0</v>
      </c>
      <c r="O34" s="12">
        <f t="shared" si="8"/>
        <v>0</v>
      </c>
      <c r="P34" s="12">
        <f t="shared" si="8"/>
        <v>0</v>
      </c>
      <c r="Q34" s="12">
        <f t="shared" si="8"/>
        <v>0</v>
      </c>
      <c r="R34" s="12">
        <f t="shared" si="8"/>
        <v>0</v>
      </c>
      <c r="S34" s="12">
        <f t="shared" si="8"/>
        <v>0</v>
      </c>
      <c r="T34" s="12">
        <f t="shared" si="8"/>
        <v>0</v>
      </c>
      <c r="U34" s="12">
        <f t="shared" si="8"/>
        <v>0</v>
      </c>
      <c r="V34" s="12">
        <f t="shared" si="10"/>
        <v>411</v>
      </c>
      <c r="W34" s="12">
        <f t="shared" si="10"/>
        <v>0</v>
      </c>
      <c r="X34" s="12">
        <f t="shared" si="10"/>
        <v>0</v>
      </c>
      <c r="Y34" s="12">
        <f t="shared" si="10"/>
        <v>42</v>
      </c>
      <c r="Z34" s="12">
        <f t="shared" si="10"/>
        <v>0</v>
      </c>
      <c r="AA34" s="12">
        <f t="shared" si="10"/>
        <v>55</v>
      </c>
      <c r="AB34" s="12">
        <f t="shared" si="10"/>
        <v>0</v>
      </c>
      <c r="AC34" s="12">
        <f t="shared" si="10"/>
        <v>0</v>
      </c>
      <c r="AD34" s="12">
        <f t="shared" si="10"/>
        <v>0</v>
      </c>
      <c r="AE34" s="12">
        <f t="shared" si="10"/>
        <v>0</v>
      </c>
      <c r="AF34" s="12">
        <f t="shared" si="10"/>
        <v>0</v>
      </c>
      <c r="AG34" s="12">
        <f t="shared" si="10"/>
        <v>0</v>
      </c>
      <c r="AH34" s="12">
        <f t="shared" si="10"/>
        <v>0</v>
      </c>
      <c r="AI34" s="12">
        <f t="shared" si="10"/>
        <v>0</v>
      </c>
      <c r="AJ34" s="12">
        <f t="shared" si="10"/>
        <v>0</v>
      </c>
      <c r="AK34" s="12">
        <f t="shared" si="10"/>
        <v>0</v>
      </c>
      <c r="AL34" s="12">
        <f t="shared" si="10"/>
        <v>0</v>
      </c>
      <c r="AM34" s="12">
        <f t="shared" si="10"/>
        <v>0</v>
      </c>
      <c r="AN34" s="12">
        <f t="shared" si="10"/>
        <v>0</v>
      </c>
      <c r="AO34" s="12">
        <f t="shared" si="10"/>
        <v>0</v>
      </c>
      <c r="AP34" s="12">
        <f t="shared" si="10"/>
        <v>0</v>
      </c>
      <c r="AQ34" s="12">
        <f t="shared" si="10"/>
        <v>0</v>
      </c>
      <c r="AR34" s="12">
        <f t="shared" si="10"/>
        <v>0</v>
      </c>
      <c r="AS34" s="12">
        <f t="shared" si="10"/>
        <v>0</v>
      </c>
      <c r="AT34" s="12">
        <f t="shared" si="10"/>
        <v>0</v>
      </c>
      <c r="AU34" s="12"/>
      <c r="AV34" s="12">
        <f t="shared" si="11"/>
        <v>41</v>
      </c>
    </row>
    <row r="35" spans="2:48">
      <c r="B35" s="12" t="s">
        <v>956</v>
      </c>
      <c r="C35" s="12">
        <f t="shared" si="7"/>
        <v>33</v>
      </c>
      <c r="D35" s="12">
        <f t="shared" si="7"/>
        <v>0</v>
      </c>
      <c r="E35" s="12">
        <f t="shared" si="7"/>
        <v>0</v>
      </c>
      <c r="F35" s="12">
        <f t="shared" si="8"/>
        <v>0</v>
      </c>
      <c r="G35" s="12">
        <f t="shared" si="8"/>
        <v>0</v>
      </c>
      <c r="H35" s="12">
        <f t="shared" si="8"/>
        <v>0</v>
      </c>
      <c r="I35" s="12">
        <f t="shared" si="8"/>
        <v>0</v>
      </c>
      <c r="J35" s="12">
        <f t="shared" si="8"/>
        <v>0</v>
      </c>
      <c r="K35" s="12">
        <f t="shared" si="8"/>
        <v>0</v>
      </c>
      <c r="L35" s="12">
        <f t="shared" si="8"/>
        <v>0</v>
      </c>
      <c r="M35" s="12">
        <f t="shared" si="8"/>
        <v>0</v>
      </c>
      <c r="N35" s="12">
        <f t="shared" si="8"/>
        <v>0</v>
      </c>
      <c r="O35" s="12">
        <f t="shared" si="8"/>
        <v>0</v>
      </c>
      <c r="P35" s="12">
        <f t="shared" si="8"/>
        <v>0</v>
      </c>
      <c r="Q35" s="12">
        <f t="shared" si="8"/>
        <v>0</v>
      </c>
      <c r="R35" s="12">
        <f t="shared" si="8"/>
        <v>0</v>
      </c>
      <c r="S35" s="12">
        <f t="shared" si="8"/>
        <v>0</v>
      </c>
      <c r="T35" s="12">
        <f t="shared" si="8"/>
        <v>0</v>
      </c>
      <c r="U35" s="12">
        <f t="shared" si="8"/>
        <v>0</v>
      </c>
      <c r="V35" s="12">
        <f t="shared" si="10"/>
        <v>0</v>
      </c>
      <c r="W35" s="12">
        <f t="shared" si="10"/>
        <v>69</v>
      </c>
      <c r="X35" s="12">
        <f t="shared" si="10"/>
        <v>0</v>
      </c>
      <c r="Y35" s="12">
        <f t="shared" si="10"/>
        <v>42</v>
      </c>
      <c r="Z35" s="12">
        <f t="shared" si="10"/>
        <v>91</v>
      </c>
      <c r="AA35" s="12">
        <f t="shared" si="10"/>
        <v>0</v>
      </c>
      <c r="AB35" s="12">
        <f t="shared" si="10"/>
        <v>0</v>
      </c>
      <c r="AC35" s="12">
        <f t="shared" si="10"/>
        <v>0</v>
      </c>
      <c r="AD35" s="12">
        <f t="shared" si="10"/>
        <v>0</v>
      </c>
      <c r="AE35" s="12">
        <f t="shared" si="10"/>
        <v>0</v>
      </c>
      <c r="AF35" s="12">
        <f t="shared" si="10"/>
        <v>0</v>
      </c>
      <c r="AG35" s="12">
        <f t="shared" si="10"/>
        <v>0</v>
      </c>
      <c r="AH35" s="12">
        <f t="shared" si="10"/>
        <v>0</v>
      </c>
      <c r="AI35" s="12">
        <f t="shared" si="10"/>
        <v>0</v>
      </c>
      <c r="AJ35" s="12">
        <f t="shared" si="10"/>
        <v>0</v>
      </c>
      <c r="AK35" s="12">
        <f t="shared" si="10"/>
        <v>0</v>
      </c>
      <c r="AL35" s="12">
        <f t="shared" si="10"/>
        <v>0</v>
      </c>
      <c r="AM35" s="12">
        <f t="shared" si="10"/>
        <v>0</v>
      </c>
      <c r="AN35" s="12">
        <f t="shared" si="10"/>
        <v>0</v>
      </c>
      <c r="AO35" s="12">
        <f t="shared" si="10"/>
        <v>0</v>
      </c>
      <c r="AP35" s="12">
        <f t="shared" si="10"/>
        <v>0</v>
      </c>
      <c r="AQ35" s="12">
        <f t="shared" si="10"/>
        <v>0</v>
      </c>
      <c r="AR35" s="12">
        <f t="shared" si="10"/>
        <v>0</v>
      </c>
      <c r="AS35" s="12">
        <f t="shared" si="10"/>
        <v>0</v>
      </c>
      <c r="AT35" s="12">
        <f t="shared" si="10"/>
        <v>0</v>
      </c>
      <c r="AU35" s="12"/>
      <c r="AV35" s="12">
        <f t="shared" si="11"/>
        <v>33</v>
      </c>
    </row>
    <row r="36" spans="2:48">
      <c r="B36" s="12" t="s">
        <v>992</v>
      </c>
      <c r="C36" s="12">
        <f t="shared" si="7"/>
        <v>0</v>
      </c>
      <c r="D36" s="12">
        <f t="shared" si="7"/>
        <v>0</v>
      </c>
      <c r="E36" s="12">
        <f t="shared" si="7"/>
        <v>0</v>
      </c>
      <c r="F36" s="12">
        <f t="shared" si="8"/>
        <v>0</v>
      </c>
      <c r="G36" s="12">
        <f t="shared" si="8"/>
        <v>0</v>
      </c>
      <c r="H36" s="12">
        <f t="shared" si="8"/>
        <v>0</v>
      </c>
      <c r="I36" s="12">
        <f t="shared" si="8"/>
        <v>0</v>
      </c>
      <c r="J36" s="12">
        <f t="shared" si="8"/>
        <v>0</v>
      </c>
      <c r="K36" s="12">
        <f t="shared" si="8"/>
        <v>0</v>
      </c>
      <c r="L36" s="12">
        <f t="shared" si="8"/>
        <v>0</v>
      </c>
      <c r="M36" s="12">
        <f t="shared" si="8"/>
        <v>0</v>
      </c>
      <c r="N36" s="12">
        <f t="shared" si="8"/>
        <v>0</v>
      </c>
      <c r="O36" s="12">
        <f t="shared" si="8"/>
        <v>0</v>
      </c>
      <c r="P36" s="12">
        <f t="shared" si="8"/>
        <v>0</v>
      </c>
      <c r="Q36" s="12">
        <f t="shared" si="8"/>
        <v>0</v>
      </c>
      <c r="R36" s="12">
        <f t="shared" si="8"/>
        <v>0</v>
      </c>
      <c r="S36" s="12">
        <f t="shared" si="8"/>
        <v>0</v>
      </c>
      <c r="T36" s="12">
        <f t="shared" si="8"/>
        <v>0</v>
      </c>
      <c r="U36" s="12">
        <f t="shared" si="8"/>
        <v>0</v>
      </c>
      <c r="V36" s="12">
        <f t="shared" si="10"/>
        <v>0</v>
      </c>
      <c r="W36" s="12">
        <f t="shared" si="10"/>
        <v>0</v>
      </c>
      <c r="X36" s="12">
        <f t="shared" si="10"/>
        <v>0</v>
      </c>
      <c r="Y36" s="12">
        <f t="shared" si="10"/>
        <v>0</v>
      </c>
      <c r="Z36" s="12">
        <f t="shared" si="10"/>
        <v>0</v>
      </c>
      <c r="AA36" s="12">
        <f t="shared" si="10"/>
        <v>0</v>
      </c>
      <c r="AB36" s="12">
        <f t="shared" si="10"/>
        <v>0</v>
      </c>
      <c r="AC36" s="12">
        <f t="shared" si="10"/>
        <v>0</v>
      </c>
      <c r="AD36" s="12">
        <f t="shared" si="10"/>
        <v>0</v>
      </c>
      <c r="AE36" s="12">
        <f t="shared" si="10"/>
        <v>0</v>
      </c>
      <c r="AF36" s="12">
        <f t="shared" si="10"/>
        <v>0</v>
      </c>
      <c r="AG36" s="12">
        <f t="shared" si="10"/>
        <v>0</v>
      </c>
      <c r="AH36" s="12">
        <f t="shared" si="10"/>
        <v>0</v>
      </c>
      <c r="AI36" s="12">
        <f t="shared" si="10"/>
        <v>0</v>
      </c>
      <c r="AJ36" s="12">
        <f t="shared" si="10"/>
        <v>0</v>
      </c>
      <c r="AK36" s="12">
        <f t="shared" si="10"/>
        <v>0</v>
      </c>
      <c r="AL36" s="12">
        <f t="shared" si="10"/>
        <v>0</v>
      </c>
      <c r="AM36" s="12">
        <f t="shared" si="10"/>
        <v>0</v>
      </c>
      <c r="AN36" s="12">
        <f t="shared" si="10"/>
        <v>0</v>
      </c>
      <c r="AO36" s="12">
        <f t="shared" si="10"/>
        <v>0</v>
      </c>
      <c r="AP36" s="12">
        <f t="shared" si="10"/>
        <v>0</v>
      </c>
      <c r="AQ36" s="12">
        <f t="shared" si="10"/>
        <v>0</v>
      </c>
      <c r="AR36" s="12">
        <f t="shared" si="10"/>
        <v>0</v>
      </c>
      <c r="AS36" s="12">
        <f t="shared" si="10"/>
        <v>0</v>
      </c>
      <c r="AT36" s="12">
        <f t="shared" si="10"/>
        <v>0</v>
      </c>
      <c r="AU36" s="12"/>
      <c r="AV36" s="12">
        <f t="shared" si="11"/>
        <v>0</v>
      </c>
    </row>
    <row r="37" spans="2:48">
      <c r="B37" s="12" t="s">
        <v>950</v>
      </c>
      <c r="C37" s="12">
        <f t="shared" si="7"/>
        <v>130</v>
      </c>
      <c r="D37" s="12">
        <f t="shared" si="7"/>
        <v>0</v>
      </c>
      <c r="E37" s="12">
        <f t="shared" si="7"/>
        <v>0</v>
      </c>
      <c r="F37" s="12">
        <f t="shared" si="8"/>
        <v>0</v>
      </c>
      <c r="G37" s="12">
        <f t="shared" si="8"/>
        <v>0</v>
      </c>
      <c r="H37" s="12">
        <f t="shared" si="8"/>
        <v>0</v>
      </c>
      <c r="I37" s="12">
        <f t="shared" si="8"/>
        <v>0</v>
      </c>
      <c r="J37" s="12">
        <f t="shared" si="8"/>
        <v>0</v>
      </c>
      <c r="K37" s="12">
        <f t="shared" si="8"/>
        <v>0</v>
      </c>
      <c r="L37" s="12">
        <f t="shared" si="8"/>
        <v>0</v>
      </c>
      <c r="M37" s="12">
        <f t="shared" si="8"/>
        <v>0</v>
      </c>
      <c r="N37" s="12">
        <f t="shared" si="8"/>
        <v>0</v>
      </c>
      <c r="O37" s="12">
        <f t="shared" si="8"/>
        <v>0</v>
      </c>
      <c r="P37" s="12">
        <f t="shared" si="8"/>
        <v>0</v>
      </c>
      <c r="Q37" s="12">
        <f t="shared" si="8"/>
        <v>0</v>
      </c>
      <c r="R37" s="12">
        <f t="shared" si="8"/>
        <v>0</v>
      </c>
      <c r="S37" s="12">
        <f t="shared" si="8"/>
        <v>0</v>
      </c>
      <c r="T37" s="12">
        <f t="shared" si="8"/>
        <v>0</v>
      </c>
      <c r="U37" s="12">
        <f t="shared" si="8"/>
        <v>0</v>
      </c>
      <c r="V37" s="12">
        <f t="shared" si="10"/>
        <v>274</v>
      </c>
      <c r="W37" s="12">
        <f t="shared" si="10"/>
        <v>69</v>
      </c>
      <c r="X37" s="12">
        <f t="shared" si="10"/>
        <v>153</v>
      </c>
      <c r="Y37" s="12">
        <f t="shared" si="10"/>
        <v>206</v>
      </c>
      <c r="Z37" s="12">
        <f t="shared" si="10"/>
        <v>91</v>
      </c>
      <c r="AA37" s="12">
        <f t="shared" si="10"/>
        <v>0</v>
      </c>
      <c r="AB37" s="12">
        <f t="shared" si="10"/>
        <v>260</v>
      </c>
      <c r="AC37" s="12">
        <f t="shared" si="10"/>
        <v>0</v>
      </c>
      <c r="AD37" s="12">
        <f t="shared" si="10"/>
        <v>0</v>
      </c>
      <c r="AE37" s="12">
        <f t="shared" si="10"/>
        <v>0</v>
      </c>
      <c r="AF37" s="12">
        <f t="shared" si="10"/>
        <v>0</v>
      </c>
      <c r="AG37" s="12">
        <f t="shared" si="10"/>
        <v>0</v>
      </c>
      <c r="AH37" s="12">
        <f t="shared" si="10"/>
        <v>0</v>
      </c>
      <c r="AI37" s="12">
        <f t="shared" si="10"/>
        <v>0</v>
      </c>
      <c r="AJ37" s="12">
        <f t="shared" si="10"/>
        <v>0</v>
      </c>
      <c r="AK37" s="12">
        <f t="shared" si="10"/>
        <v>0</v>
      </c>
      <c r="AL37" s="12">
        <f t="shared" si="10"/>
        <v>0</v>
      </c>
      <c r="AM37" s="12">
        <f t="shared" si="10"/>
        <v>0</v>
      </c>
      <c r="AN37" s="12">
        <f t="shared" si="10"/>
        <v>0</v>
      </c>
      <c r="AO37" s="12">
        <f t="shared" si="10"/>
        <v>0</v>
      </c>
      <c r="AP37" s="12">
        <f t="shared" si="10"/>
        <v>0</v>
      </c>
      <c r="AQ37" s="12">
        <f t="shared" si="10"/>
        <v>0</v>
      </c>
      <c r="AR37" s="12">
        <f>IFERROR(ROUNDUP(AR13/AR$4*10^6,0),0)</f>
        <v>0</v>
      </c>
      <c r="AS37" s="12">
        <f t="shared" si="10"/>
        <v>0</v>
      </c>
      <c r="AT37" s="12">
        <f t="shared" si="10"/>
        <v>0</v>
      </c>
      <c r="AU37" s="12"/>
      <c r="AV37" s="12">
        <f t="shared" si="11"/>
        <v>130</v>
      </c>
    </row>
    <row r="38" spans="2:48">
      <c r="B38" s="12" t="s">
        <v>993</v>
      </c>
      <c r="C38" s="12">
        <f t="shared" si="7"/>
        <v>0</v>
      </c>
      <c r="D38" s="12">
        <f t="shared" si="7"/>
        <v>0</v>
      </c>
      <c r="E38" s="12">
        <f t="shared" si="7"/>
        <v>0</v>
      </c>
      <c r="F38" s="12">
        <f t="shared" si="8"/>
        <v>0</v>
      </c>
      <c r="G38" s="12">
        <f t="shared" si="8"/>
        <v>0</v>
      </c>
      <c r="H38" s="12">
        <f t="shared" si="8"/>
        <v>0</v>
      </c>
      <c r="I38" s="12">
        <f t="shared" si="8"/>
        <v>0</v>
      </c>
      <c r="J38" s="12">
        <f t="shared" si="8"/>
        <v>0</v>
      </c>
      <c r="K38" s="12">
        <f t="shared" si="8"/>
        <v>0</v>
      </c>
      <c r="L38" s="12">
        <f t="shared" si="8"/>
        <v>0</v>
      </c>
      <c r="M38" s="12">
        <f t="shared" si="8"/>
        <v>0</v>
      </c>
      <c r="N38" s="12">
        <f t="shared" si="8"/>
        <v>0</v>
      </c>
      <c r="O38" s="12">
        <f t="shared" si="8"/>
        <v>0</v>
      </c>
      <c r="P38" s="12">
        <f t="shared" si="8"/>
        <v>0</v>
      </c>
      <c r="Q38" s="12">
        <f t="shared" si="8"/>
        <v>0</v>
      </c>
      <c r="R38" s="12">
        <f t="shared" si="8"/>
        <v>0</v>
      </c>
      <c r="S38" s="12">
        <f t="shared" si="8"/>
        <v>0</v>
      </c>
      <c r="T38" s="12">
        <f t="shared" si="8"/>
        <v>0</v>
      </c>
      <c r="U38" s="12">
        <f t="shared" si="8"/>
        <v>0</v>
      </c>
      <c r="V38" s="12">
        <f t="shared" si="10"/>
        <v>0</v>
      </c>
      <c r="W38" s="12">
        <f t="shared" si="10"/>
        <v>0</v>
      </c>
      <c r="X38" s="12">
        <f t="shared" si="10"/>
        <v>0</v>
      </c>
      <c r="Y38" s="12">
        <f t="shared" si="10"/>
        <v>0</v>
      </c>
      <c r="Z38" s="12">
        <f t="shared" si="10"/>
        <v>0</v>
      </c>
      <c r="AA38" s="12">
        <f t="shared" si="10"/>
        <v>0</v>
      </c>
      <c r="AB38" s="12">
        <f t="shared" si="10"/>
        <v>0</v>
      </c>
      <c r="AC38" s="12">
        <f t="shared" si="10"/>
        <v>0</v>
      </c>
      <c r="AD38" s="12">
        <f t="shared" si="10"/>
        <v>0</v>
      </c>
      <c r="AE38" s="12">
        <f t="shared" si="10"/>
        <v>0</v>
      </c>
      <c r="AF38" s="12">
        <f t="shared" si="10"/>
        <v>0</v>
      </c>
      <c r="AG38" s="12">
        <f t="shared" si="10"/>
        <v>0</v>
      </c>
      <c r="AH38" s="12">
        <f t="shared" si="10"/>
        <v>0</v>
      </c>
      <c r="AI38" s="12">
        <f t="shared" si="10"/>
        <v>0</v>
      </c>
      <c r="AJ38" s="12">
        <f t="shared" si="10"/>
        <v>0</v>
      </c>
      <c r="AK38" s="12">
        <f t="shared" si="10"/>
        <v>0</v>
      </c>
      <c r="AL38" s="12">
        <f t="shared" si="10"/>
        <v>0</v>
      </c>
      <c r="AM38" s="12">
        <f t="shared" si="10"/>
        <v>0</v>
      </c>
      <c r="AN38" s="12">
        <f t="shared" si="10"/>
        <v>0</v>
      </c>
      <c r="AO38" s="12">
        <f t="shared" si="10"/>
        <v>0</v>
      </c>
      <c r="AP38" s="12">
        <f t="shared" si="10"/>
        <v>0</v>
      </c>
      <c r="AQ38" s="12">
        <f t="shared" si="10"/>
        <v>0</v>
      </c>
      <c r="AR38" s="12">
        <f t="shared" si="10"/>
        <v>0</v>
      </c>
      <c r="AS38" s="12">
        <f t="shared" si="10"/>
        <v>0</v>
      </c>
      <c r="AT38" s="12">
        <f t="shared" si="10"/>
        <v>0</v>
      </c>
      <c r="AU38" s="12"/>
      <c r="AV38" s="12">
        <f t="shared" si="11"/>
        <v>0</v>
      </c>
    </row>
    <row r="39" spans="2:48">
      <c r="B39" s="12" t="s">
        <v>949</v>
      </c>
      <c r="C39" s="12">
        <f t="shared" si="7"/>
        <v>187</v>
      </c>
      <c r="D39" s="12">
        <f t="shared" si="7"/>
        <v>0</v>
      </c>
      <c r="E39" s="12">
        <f t="shared" si="7"/>
        <v>0</v>
      </c>
      <c r="F39" s="12">
        <f t="shared" si="8"/>
        <v>0</v>
      </c>
      <c r="G39" s="12">
        <f t="shared" si="8"/>
        <v>0</v>
      </c>
      <c r="H39" s="12">
        <f t="shared" si="8"/>
        <v>0</v>
      </c>
      <c r="I39" s="12">
        <f t="shared" si="8"/>
        <v>0</v>
      </c>
      <c r="J39" s="12">
        <f t="shared" si="8"/>
        <v>0</v>
      </c>
      <c r="K39" s="12">
        <f t="shared" si="8"/>
        <v>0</v>
      </c>
      <c r="L39" s="12">
        <f t="shared" si="8"/>
        <v>0</v>
      </c>
      <c r="M39" s="12">
        <f t="shared" si="8"/>
        <v>0</v>
      </c>
      <c r="N39" s="12">
        <f t="shared" si="8"/>
        <v>0</v>
      </c>
      <c r="O39" s="12">
        <f t="shared" si="8"/>
        <v>0</v>
      </c>
      <c r="P39" s="12">
        <f t="shared" si="8"/>
        <v>0</v>
      </c>
      <c r="Q39" s="12">
        <f t="shared" si="8"/>
        <v>0</v>
      </c>
      <c r="R39" s="12">
        <f t="shared" si="8"/>
        <v>0</v>
      </c>
      <c r="S39" s="12">
        <f t="shared" si="8"/>
        <v>0</v>
      </c>
      <c r="T39" s="12">
        <f t="shared" si="8"/>
        <v>0</v>
      </c>
      <c r="U39" s="12">
        <f t="shared" si="8"/>
        <v>0</v>
      </c>
      <c r="V39" s="12">
        <f t="shared" si="10"/>
        <v>137</v>
      </c>
      <c r="W39" s="12">
        <f t="shared" si="10"/>
        <v>207</v>
      </c>
      <c r="X39" s="12">
        <f t="shared" si="10"/>
        <v>534</v>
      </c>
      <c r="Y39" s="12">
        <f t="shared" si="10"/>
        <v>83</v>
      </c>
      <c r="Z39" s="12">
        <f t="shared" si="10"/>
        <v>182</v>
      </c>
      <c r="AA39" s="12">
        <f t="shared" si="10"/>
        <v>110</v>
      </c>
      <c r="AB39" s="12">
        <f t="shared" si="10"/>
        <v>260</v>
      </c>
      <c r="AC39" s="12">
        <f t="shared" si="10"/>
        <v>0</v>
      </c>
      <c r="AD39" s="12">
        <f t="shared" si="10"/>
        <v>0</v>
      </c>
      <c r="AE39" s="12">
        <f t="shared" si="10"/>
        <v>0</v>
      </c>
      <c r="AF39" s="12">
        <f t="shared" si="10"/>
        <v>0</v>
      </c>
      <c r="AG39" s="12">
        <f t="shared" si="10"/>
        <v>0</v>
      </c>
      <c r="AH39" s="12">
        <f t="shared" si="10"/>
        <v>0</v>
      </c>
      <c r="AI39" s="12">
        <f t="shared" si="10"/>
        <v>0</v>
      </c>
      <c r="AJ39" s="12">
        <f t="shared" si="10"/>
        <v>0</v>
      </c>
      <c r="AK39" s="12">
        <f t="shared" si="10"/>
        <v>0</v>
      </c>
      <c r="AL39" s="12">
        <f t="shared" si="10"/>
        <v>0</v>
      </c>
      <c r="AM39" s="12">
        <f t="shared" si="10"/>
        <v>0</v>
      </c>
      <c r="AN39" s="12">
        <f t="shared" si="10"/>
        <v>0</v>
      </c>
      <c r="AO39" s="12">
        <f t="shared" si="10"/>
        <v>0</v>
      </c>
      <c r="AP39" s="12">
        <f t="shared" si="10"/>
        <v>0</v>
      </c>
      <c r="AQ39" s="12">
        <f t="shared" si="10"/>
        <v>0</v>
      </c>
      <c r="AR39" s="12">
        <f t="shared" si="10"/>
        <v>0</v>
      </c>
      <c r="AS39" s="12">
        <f t="shared" si="10"/>
        <v>0</v>
      </c>
      <c r="AT39" s="12">
        <f t="shared" si="10"/>
        <v>0</v>
      </c>
      <c r="AU39" s="12"/>
      <c r="AV39" s="12">
        <f t="shared" si="11"/>
        <v>187</v>
      </c>
    </row>
    <row r="40" spans="2:48">
      <c r="B40" s="12" t="s">
        <v>28</v>
      </c>
      <c r="C40" s="12">
        <f t="shared" si="7"/>
        <v>349</v>
      </c>
      <c r="D40" s="12">
        <f t="shared" si="7"/>
        <v>0</v>
      </c>
      <c r="E40" s="12">
        <f t="shared" si="7"/>
        <v>0</v>
      </c>
      <c r="F40" s="12">
        <f t="shared" si="8"/>
        <v>0</v>
      </c>
      <c r="G40" s="12">
        <f t="shared" si="8"/>
        <v>0</v>
      </c>
      <c r="H40" s="12">
        <f t="shared" si="8"/>
        <v>0</v>
      </c>
      <c r="I40" s="12">
        <f t="shared" si="8"/>
        <v>0</v>
      </c>
      <c r="J40" s="12">
        <f t="shared" si="8"/>
        <v>0</v>
      </c>
      <c r="K40" s="12">
        <f t="shared" si="8"/>
        <v>0</v>
      </c>
      <c r="L40" s="12">
        <f t="shared" si="8"/>
        <v>0</v>
      </c>
      <c r="M40" s="12">
        <f t="shared" si="8"/>
        <v>0</v>
      </c>
      <c r="N40" s="12">
        <f t="shared" si="8"/>
        <v>0</v>
      </c>
      <c r="O40" s="12">
        <f t="shared" si="8"/>
        <v>0</v>
      </c>
      <c r="P40" s="12">
        <f t="shared" si="8"/>
        <v>0</v>
      </c>
      <c r="Q40" s="12">
        <f t="shared" si="8"/>
        <v>0</v>
      </c>
      <c r="R40" s="12">
        <f t="shared" si="8"/>
        <v>0</v>
      </c>
      <c r="S40" s="12">
        <f t="shared" si="8"/>
        <v>0</v>
      </c>
      <c r="T40" s="12">
        <f t="shared" si="8"/>
        <v>0</v>
      </c>
      <c r="U40" s="12">
        <f t="shared" si="8"/>
        <v>0</v>
      </c>
      <c r="V40" s="12">
        <f t="shared" si="10"/>
        <v>137</v>
      </c>
      <c r="W40" s="12">
        <f t="shared" si="10"/>
        <v>69</v>
      </c>
      <c r="X40" s="12">
        <f t="shared" si="10"/>
        <v>382</v>
      </c>
      <c r="Y40" s="12">
        <f t="shared" si="10"/>
        <v>329</v>
      </c>
      <c r="Z40" s="12">
        <f t="shared" si="10"/>
        <v>591</v>
      </c>
      <c r="AA40" s="12">
        <f t="shared" si="10"/>
        <v>769</v>
      </c>
      <c r="AB40" s="12">
        <f t="shared" si="10"/>
        <v>65</v>
      </c>
      <c r="AC40" s="12">
        <f t="shared" si="10"/>
        <v>0</v>
      </c>
      <c r="AD40" s="12">
        <f t="shared" si="10"/>
        <v>0</v>
      </c>
      <c r="AE40" s="12">
        <f t="shared" si="10"/>
        <v>0</v>
      </c>
      <c r="AF40" s="12">
        <f t="shared" si="10"/>
        <v>0</v>
      </c>
      <c r="AG40" s="12">
        <f t="shared" si="10"/>
        <v>0</v>
      </c>
      <c r="AH40" s="12">
        <f t="shared" si="10"/>
        <v>0</v>
      </c>
      <c r="AI40" s="12">
        <f t="shared" si="10"/>
        <v>0</v>
      </c>
      <c r="AJ40" s="12">
        <f t="shared" si="10"/>
        <v>0</v>
      </c>
      <c r="AK40" s="12">
        <f t="shared" si="10"/>
        <v>0</v>
      </c>
      <c r="AL40" s="12">
        <f t="shared" si="10"/>
        <v>0</v>
      </c>
      <c r="AM40" s="12">
        <f t="shared" si="10"/>
        <v>0</v>
      </c>
      <c r="AN40" s="12">
        <f t="shared" si="10"/>
        <v>0</v>
      </c>
      <c r="AO40" s="12">
        <f t="shared" si="10"/>
        <v>0</v>
      </c>
      <c r="AP40" s="12">
        <f t="shared" si="10"/>
        <v>0</v>
      </c>
      <c r="AQ40" s="12">
        <f t="shared" si="10"/>
        <v>0</v>
      </c>
      <c r="AR40" s="12">
        <f t="shared" si="10"/>
        <v>0</v>
      </c>
      <c r="AS40" s="12">
        <f t="shared" si="10"/>
        <v>0</v>
      </c>
      <c r="AT40" s="12">
        <f t="shared" si="10"/>
        <v>0</v>
      </c>
      <c r="AU40" s="12"/>
      <c r="AV40" s="12">
        <f t="shared" si="11"/>
        <v>349</v>
      </c>
    </row>
    <row r="41" spans="2:48">
      <c r="B41" s="12" t="s">
        <v>994</v>
      </c>
      <c r="C41" s="12">
        <f t="shared" si="7"/>
        <v>0</v>
      </c>
      <c r="D41" s="12">
        <f t="shared" si="7"/>
        <v>0</v>
      </c>
      <c r="E41" s="12">
        <f t="shared" si="7"/>
        <v>0</v>
      </c>
      <c r="F41" s="12">
        <f t="shared" si="8"/>
        <v>0</v>
      </c>
      <c r="G41" s="12">
        <f t="shared" si="8"/>
        <v>0</v>
      </c>
      <c r="H41" s="12">
        <f t="shared" si="8"/>
        <v>0</v>
      </c>
      <c r="I41" s="12">
        <f t="shared" si="8"/>
        <v>0</v>
      </c>
      <c r="J41" s="12">
        <f t="shared" si="8"/>
        <v>0</v>
      </c>
      <c r="K41" s="12">
        <f t="shared" si="8"/>
        <v>0</v>
      </c>
      <c r="L41" s="12">
        <f t="shared" si="8"/>
        <v>0</v>
      </c>
      <c r="M41" s="12">
        <f t="shared" si="8"/>
        <v>0</v>
      </c>
      <c r="N41" s="12">
        <f t="shared" si="8"/>
        <v>0</v>
      </c>
      <c r="O41" s="12">
        <f t="shared" si="8"/>
        <v>0</v>
      </c>
      <c r="P41" s="12">
        <f t="shared" si="8"/>
        <v>0</v>
      </c>
      <c r="Q41" s="12">
        <f t="shared" si="8"/>
        <v>0</v>
      </c>
      <c r="R41" s="12">
        <f t="shared" si="8"/>
        <v>0</v>
      </c>
      <c r="S41" s="12">
        <f t="shared" si="8"/>
        <v>0</v>
      </c>
      <c r="T41" s="12">
        <f t="shared" si="8"/>
        <v>0</v>
      </c>
      <c r="U41" s="12">
        <f t="shared" si="8"/>
        <v>0</v>
      </c>
      <c r="V41" s="12">
        <f t="shared" si="10"/>
        <v>0</v>
      </c>
      <c r="W41" s="12">
        <f t="shared" si="10"/>
        <v>0</v>
      </c>
      <c r="X41" s="12">
        <f t="shared" ref="G41:AU47" si="12">IFERROR(ROUNDUP(X17/X$4*10^6,0),0)</f>
        <v>0</v>
      </c>
      <c r="Y41" s="12">
        <f t="shared" si="12"/>
        <v>0</v>
      </c>
      <c r="Z41" s="12">
        <f t="shared" si="12"/>
        <v>0</v>
      </c>
      <c r="AA41" s="12">
        <f t="shared" si="12"/>
        <v>0</v>
      </c>
      <c r="AB41" s="12">
        <f t="shared" si="12"/>
        <v>0</v>
      </c>
      <c r="AC41" s="12">
        <f t="shared" si="12"/>
        <v>0</v>
      </c>
      <c r="AD41" s="12">
        <f t="shared" si="12"/>
        <v>0</v>
      </c>
      <c r="AE41" s="12">
        <f t="shared" si="12"/>
        <v>0</v>
      </c>
      <c r="AF41" s="12">
        <f t="shared" si="12"/>
        <v>0</v>
      </c>
      <c r="AG41" s="12">
        <f t="shared" si="12"/>
        <v>0</v>
      </c>
      <c r="AH41" s="12">
        <f t="shared" si="12"/>
        <v>0</v>
      </c>
      <c r="AI41" s="12">
        <f t="shared" si="12"/>
        <v>0</v>
      </c>
      <c r="AJ41" s="12">
        <f t="shared" si="12"/>
        <v>0</v>
      </c>
      <c r="AK41" s="12">
        <f t="shared" si="12"/>
        <v>0</v>
      </c>
      <c r="AL41" s="12">
        <f t="shared" si="12"/>
        <v>0</v>
      </c>
      <c r="AM41" s="12">
        <f t="shared" si="12"/>
        <v>0</v>
      </c>
      <c r="AN41" s="12">
        <f t="shared" si="12"/>
        <v>0</v>
      </c>
      <c r="AO41" s="12">
        <f t="shared" si="12"/>
        <v>0</v>
      </c>
      <c r="AP41" s="12">
        <f t="shared" si="12"/>
        <v>0</v>
      </c>
      <c r="AQ41" s="12">
        <f t="shared" si="12"/>
        <v>0</v>
      </c>
      <c r="AR41" s="12">
        <f t="shared" si="12"/>
        <v>0</v>
      </c>
      <c r="AS41" s="12">
        <f t="shared" si="12"/>
        <v>0</v>
      </c>
      <c r="AT41" s="12">
        <f t="shared" si="12"/>
        <v>0</v>
      </c>
      <c r="AU41" s="12"/>
      <c r="AV41" s="12">
        <f t="shared" si="11"/>
        <v>0</v>
      </c>
    </row>
    <row r="42" spans="2:48">
      <c r="B42" s="12" t="s">
        <v>891</v>
      </c>
      <c r="C42" s="12">
        <f t="shared" si="7"/>
        <v>49</v>
      </c>
      <c r="D42" s="12">
        <f t="shared" si="7"/>
        <v>0</v>
      </c>
      <c r="E42" s="12">
        <f t="shared" si="7"/>
        <v>0</v>
      </c>
      <c r="F42" s="12">
        <f t="shared" si="8"/>
        <v>0</v>
      </c>
      <c r="G42" s="12">
        <f t="shared" si="12"/>
        <v>0</v>
      </c>
      <c r="H42" s="12">
        <f t="shared" si="12"/>
        <v>0</v>
      </c>
      <c r="I42" s="12">
        <f t="shared" si="12"/>
        <v>0</v>
      </c>
      <c r="J42" s="12">
        <f t="shared" si="12"/>
        <v>0</v>
      </c>
      <c r="K42" s="12">
        <f t="shared" si="12"/>
        <v>0</v>
      </c>
      <c r="L42" s="12">
        <f t="shared" si="12"/>
        <v>0</v>
      </c>
      <c r="M42" s="12">
        <f t="shared" si="12"/>
        <v>0</v>
      </c>
      <c r="N42" s="12">
        <f t="shared" si="12"/>
        <v>0</v>
      </c>
      <c r="O42" s="12">
        <f t="shared" si="12"/>
        <v>0</v>
      </c>
      <c r="P42" s="12">
        <f t="shared" si="12"/>
        <v>0</v>
      </c>
      <c r="Q42" s="12">
        <f t="shared" si="12"/>
        <v>0</v>
      </c>
      <c r="R42" s="12">
        <f t="shared" si="12"/>
        <v>0</v>
      </c>
      <c r="S42" s="12">
        <f t="shared" si="12"/>
        <v>0</v>
      </c>
      <c r="T42" s="12">
        <f t="shared" si="12"/>
        <v>0</v>
      </c>
      <c r="U42" s="12">
        <f t="shared" si="12"/>
        <v>0</v>
      </c>
      <c r="V42" s="12">
        <f t="shared" si="12"/>
        <v>0</v>
      </c>
      <c r="W42" s="12">
        <f t="shared" si="12"/>
        <v>69</v>
      </c>
      <c r="X42" s="12">
        <f t="shared" si="12"/>
        <v>0</v>
      </c>
      <c r="Y42" s="12">
        <f t="shared" si="12"/>
        <v>83</v>
      </c>
      <c r="Z42" s="12">
        <f t="shared" si="12"/>
        <v>0</v>
      </c>
      <c r="AA42" s="12">
        <f t="shared" si="12"/>
        <v>110</v>
      </c>
      <c r="AB42" s="12">
        <f t="shared" si="12"/>
        <v>65</v>
      </c>
      <c r="AC42" s="12">
        <f t="shared" si="12"/>
        <v>0</v>
      </c>
      <c r="AD42" s="12">
        <f t="shared" si="12"/>
        <v>0</v>
      </c>
      <c r="AE42" s="12">
        <f t="shared" si="12"/>
        <v>0</v>
      </c>
      <c r="AF42" s="12">
        <f t="shared" si="12"/>
        <v>0</v>
      </c>
      <c r="AG42" s="12">
        <f t="shared" si="12"/>
        <v>0</v>
      </c>
      <c r="AH42" s="12">
        <f t="shared" si="12"/>
        <v>0</v>
      </c>
      <c r="AI42" s="12">
        <f t="shared" si="12"/>
        <v>0</v>
      </c>
      <c r="AJ42" s="12">
        <f t="shared" si="12"/>
        <v>0</v>
      </c>
      <c r="AK42" s="12">
        <f t="shared" si="12"/>
        <v>0</v>
      </c>
      <c r="AL42" s="12">
        <f t="shared" si="12"/>
        <v>0</v>
      </c>
      <c r="AM42" s="12">
        <f t="shared" si="12"/>
        <v>0</v>
      </c>
      <c r="AN42" s="12">
        <f t="shared" si="12"/>
        <v>0</v>
      </c>
      <c r="AO42" s="12">
        <f t="shared" si="12"/>
        <v>0</v>
      </c>
      <c r="AP42" s="12">
        <f t="shared" si="12"/>
        <v>0</v>
      </c>
      <c r="AQ42" s="12">
        <f t="shared" si="12"/>
        <v>0</v>
      </c>
      <c r="AR42" s="12">
        <f t="shared" si="12"/>
        <v>0</v>
      </c>
      <c r="AS42" s="12">
        <f t="shared" si="12"/>
        <v>0</v>
      </c>
      <c r="AT42" s="12">
        <f t="shared" si="12"/>
        <v>0</v>
      </c>
      <c r="AU42" s="12"/>
      <c r="AV42" s="12">
        <f t="shared" si="11"/>
        <v>49</v>
      </c>
    </row>
    <row r="43" spans="2:48">
      <c r="B43" s="12" t="s">
        <v>995</v>
      </c>
      <c r="C43" s="12">
        <f t="shared" si="7"/>
        <v>41</v>
      </c>
      <c r="D43" s="12">
        <f t="shared" si="7"/>
        <v>0</v>
      </c>
      <c r="E43" s="12">
        <f t="shared" si="7"/>
        <v>0</v>
      </c>
      <c r="F43" s="12">
        <f t="shared" si="8"/>
        <v>0</v>
      </c>
      <c r="G43" s="12">
        <f t="shared" si="12"/>
        <v>0</v>
      </c>
      <c r="H43" s="12">
        <f t="shared" si="12"/>
        <v>0</v>
      </c>
      <c r="I43" s="12">
        <f t="shared" si="12"/>
        <v>0</v>
      </c>
      <c r="J43" s="12">
        <f t="shared" si="12"/>
        <v>0</v>
      </c>
      <c r="K43" s="12">
        <f t="shared" si="12"/>
        <v>0</v>
      </c>
      <c r="L43" s="12">
        <f t="shared" si="12"/>
        <v>0</v>
      </c>
      <c r="M43" s="12">
        <f t="shared" si="12"/>
        <v>0</v>
      </c>
      <c r="N43" s="12">
        <f t="shared" si="12"/>
        <v>0</v>
      </c>
      <c r="O43" s="12">
        <f t="shared" si="12"/>
        <v>0</v>
      </c>
      <c r="P43" s="12">
        <f t="shared" si="12"/>
        <v>0</v>
      </c>
      <c r="Q43" s="12">
        <f t="shared" si="12"/>
        <v>0</v>
      </c>
      <c r="R43" s="12">
        <f t="shared" si="12"/>
        <v>0</v>
      </c>
      <c r="S43" s="12">
        <f t="shared" si="12"/>
        <v>0</v>
      </c>
      <c r="T43" s="12">
        <f t="shared" si="12"/>
        <v>0</v>
      </c>
      <c r="U43" s="12">
        <f t="shared" si="12"/>
        <v>0</v>
      </c>
      <c r="V43" s="12">
        <f t="shared" si="12"/>
        <v>0</v>
      </c>
      <c r="W43" s="12">
        <f t="shared" si="12"/>
        <v>0</v>
      </c>
      <c r="X43" s="12">
        <f t="shared" si="12"/>
        <v>0</v>
      </c>
      <c r="Y43" s="12">
        <f t="shared" si="12"/>
        <v>0</v>
      </c>
      <c r="Z43" s="12">
        <f t="shared" si="12"/>
        <v>228</v>
      </c>
      <c r="AA43" s="12">
        <f t="shared" si="12"/>
        <v>0</v>
      </c>
      <c r="AB43" s="12">
        <f t="shared" si="12"/>
        <v>0</v>
      </c>
      <c r="AC43" s="12">
        <f t="shared" si="12"/>
        <v>0</v>
      </c>
      <c r="AD43" s="12">
        <f t="shared" si="12"/>
        <v>0</v>
      </c>
      <c r="AE43" s="12">
        <f t="shared" si="12"/>
        <v>0</v>
      </c>
      <c r="AF43" s="12">
        <f t="shared" si="12"/>
        <v>0</v>
      </c>
      <c r="AG43" s="12">
        <f t="shared" si="12"/>
        <v>0</v>
      </c>
      <c r="AH43" s="12">
        <f t="shared" si="12"/>
        <v>0</v>
      </c>
      <c r="AI43" s="12">
        <f t="shared" si="12"/>
        <v>0</v>
      </c>
      <c r="AJ43" s="12">
        <f t="shared" si="12"/>
        <v>0</v>
      </c>
      <c r="AK43" s="12">
        <f t="shared" si="12"/>
        <v>0</v>
      </c>
      <c r="AL43" s="12">
        <f t="shared" si="12"/>
        <v>0</v>
      </c>
      <c r="AM43" s="12">
        <f t="shared" si="12"/>
        <v>0</v>
      </c>
      <c r="AN43" s="12">
        <f t="shared" si="12"/>
        <v>0</v>
      </c>
      <c r="AO43" s="12">
        <f t="shared" si="12"/>
        <v>0</v>
      </c>
      <c r="AP43" s="12">
        <f t="shared" si="12"/>
        <v>0</v>
      </c>
      <c r="AQ43" s="12">
        <f t="shared" si="12"/>
        <v>0</v>
      </c>
      <c r="AR43" s="12">
        <f t="shared" si="12"/>
        <v>0</v>
      </c>
      <c r="AS43" s="12">
        <f t="shared" si="12"/>
        <v>0</v>
      </c>
      <c r="AT43" s="12">
        <f t="shared" si="12"/>
        <v>0</v>
      </c>
      <c r="AU43" s="12"/>
      <c r="AV43" s="12">
        <f t="shared" si="11"/>
        <v>41</v>
      </c>
    </row>
    <row r="44" spans="2:48">
      <c r="B44" s="12" t="s">
        <v>952</v>
      </c>
      <c r="C44" s="12">
        <f t="shared" si="7"/>
        <v>17</v>
      </c>
      <c r="D44" s="12">
        <f t="shared" si="7"/>
        <v>0</v>
      </c>
      <c r="E44" s="12">
        <f t="shared" si="7"/>
        <v>0</v>
      </c>
      <c r="F44" s="12">
        <f t="shared" si="8"/>
        <v>0</v>
      </c>
      <c r="G44" s="12">
        <f t="shared" si="12"/>
        <v>0</v>
      </c>
      <c r="H44" s="12">
        <f t="shared" si="12"/>
        <v>0</v>
      </c>
      <c r="I44" s="12">
        <f t="shared" si="12"/>
        <v>0</v>
      </c>
      <c r="J44" s="12">
        <f t="shared" si="12"/>
        <v>0</v>
      </c>
      <c r="K44" s="12">
        <f t="shared" si="12"/>
        <v>0</v>
      </c>
      <c r="L44" s="12">
        <f t="shared" si="12"/>
        <v>0</v>
      </c>
      <c r="M44" s="12">
        <f t="shared" si="12"/>
        <v>0</v>
      </c>
      <c r="N44" s="12">
        <f t="shared" si="12"/>
        <v>0</v>
      </c>
      <c r="O44" s="12">
        <f t="shared" si="12"/>
        <v>0</v>
      </c>
      <c r="P44" s="12">
        <f t="shared" si="12"/>
        <v>0</v>
      </c>
      <c r="Q44" s="12">
        <f t="shared" si="12"/>
        <v>0</v>
      </c>
      <c r="R44" s="12">
        <f t="shared" si="12"/>
        <v>0</v>
      </c>
      <c r="S44" s="12">
        <f t="shared" si="12"/>
        <v>0</v>
      </c>
      <c r="T44" s="12">
        <f t="shared" si="12"/>
        <v>0</v>
      </c>
      <c r="U44" s="12">
        <f t="shared" si="12"/>
        <v>0</v>
      </c>
      <c r="V44" s="12">
        <f t="shared" si="12"/>
        <v>0</v>
      </c>
      <c r="W44" s="12">
        <f t="shared" si="12"/>
        <v>0</v>
      </c>
      <c r="X44" s="12">
        <f t="shared" si="12"/>
        <v>0</v>
      </c>
      <c r="Y44" s="12">
        <f t="shared" si="12"/>
        <v>42</v>
      </c>
      <c r="Z44" s="12">
        <f t="shared" si="12"/>
        <v>0</v>
      </c>
      <c r="AA44" s="12">
        <f t="shared" si="12"/>
        <v>0</v>
      </c>
      <c r="AB44" s="12">
        <f t="shared" si="12"/>
        <v>0</v>
      </c>
      <c r="AC44" s="12">
        <f t="shared" si="12"/>
        <v>245</v>
      </c>
      <c r="AD44" s="12">
        <f t="shared" si="12"/>
        <v>0</v>
      </c>
      <c r="AE44" s="12">
        <f t="shared" si="12"/>
        <v>0</v>
      </c>
      <c r="AF44" s="12">
        <f t="shared" si="12"/>
        <v>0</v>
      </c>
      <c r="AG44" s="12">
        <f t="shared" si="12"/>
        <v>0</v>
      </c>
      <c r="AH44" s="12">
        <f t="shared" si="12"/>
        <v>0</v>
      </c>
      <c r="AI44" s="12">
        <f t="shared" si="12"/>
        <v>0</v>
      </c>
      <c r="AJ44" s="12">
        <f t="shared" si="12"/>
        <v>0</v>
      </c>
      <c r="AK44" s="12">
        <f t="shared" si="12"/>
        <v>0</v>
      </c>
      <c r="AL44" s="12">
        <f t="shared" si="12"/>
        <v>0</v>
      </c>
      <c r="AM44" s="12">
        <f t="shared" si="12"/>
        <v>0</v>
      </c>
      <c r="AN44" s="12">
        <f t="shared" si="12"/>
        <v>0</v>
      </c>
      <c r="AO44" s="12">
        <f t="shared" si="12"/>
        <v>0</v>
      </c>
      <c r="AP44" s="12">
        <f t="shared" si="12"/>
        <v>0</v>
      </c>
      <c r="AQ44" s="12">
        <f t="shared" si="12"/>
        <v>0</v>
      </c>
      <c r="AR44" s="12">
        <f t="shared" si="12"/>
        <v>0</v>
      </c>
      <c r="AS44" s="12">
        <f t="shared" si="12"/>
        <v>0</v>
      </c>
      <c r="AT44" s="12">
        <f t="shared" si="12"/>
        <v>0</v>
      </c>
      <c r="AU44" s="12"/>
      <c r="AV44" s="12">
        <f t="shared" si="11"/>
        <v>17</v>
      </c>
    </row>
    <row r="45" spans="2:48">
      <c r="B45" s="12" t="s">
        <v>948</v>
      </c>
      <c r="C45" s="12">
        <f t="shared" ref="C45:R48" si="13">IFERROR(ROUNDUP(C21/C$4*10^6,0),0)</f>
        <v>9</v>
      </c>
      <c r="D45" s="12">
        <f t="shared" si="13"/>
        <v>0</v>
      </c>
      <c r="E45" s="12">
        <f t="shared" si="13"/>
        <v>0</v>
      </c>
      <c r="F45" s="12">
        <f t="shared" si="13"/>
        <v>0</v>
      </c>
      <c r="G45" s="12">
        <f t="shared" si="12"/>
        <v>0</v>
      </c>
      <c r="H45" s="12">
        <f t="shared" si="12"/>
        <v>0</v>
      </c>
      <c r="I45" s="12">
        <f t="shared" si="12"/>
        <v>0</v>
      </c>
      <c r="J45" s="12">
        <f t="shared" si="12"/>
        <v>0</v>
      </c>
      <c r="K45" s="12">
        <f t="shared" si="12"/>
        <v>0</v>
      </c>
      <c r="L45" s="12">
        <f t="shared" si="12"/>
        <v>0</v>
      </c>
      <c r="M45" s="12">
        <f t="shared" si="12"/>
        <v>0</v>
      </c>
      <c r="N45" s="12">
        <f t="shared" si="12"/>
        <v>0</v>
      </c>
      <c r="O45" s="12">
        <f t="shared" si="12"/>
        <v>0</v>
      </c>
      <c r="P45" s="12">
        <f t="shared" si="12"/>
        <v>0</v>
      </c>
      <c r="Q45" s="12">
        <f t="shared" si="12"/>
        <v>0</v>
      </c>
      <c r="R45" s="12">
        <f t="shared" si="12"/>
        <v>0</v>
      </c>
      <c r="S45" s="12">
        <f t="shared" si="12"/>
        <v>0</v>
      </c>
      <c r="T45" s="12">
        <f t="shared" si="12"/>
        <v>0</v>
      </c>
      <c r="U45" s="12">
        <f t="shared" si="12"/>
        <v>0</v>
      </c>
      <c r="V45" s="12">
        <f t="shared" si="12"/>
        <v>0</v>
      </c>
      <c r="W45" s="12">
        <f t="shared" si="12"/>
        <v>0</v>
      </c>
      <c r="X45" s="12">
        <f t="shared" si="12"/>
        <v>0</v>
      </c>
      <c r="Y45" s="12">
        <f t="shared" si="12"/>
        <v>42</v>
      </c>
      <c r="Z45" s="12">
        <f t="shared" si="12"/>
        <v>0</v>
      </c>
      <c r="AA45" s="12">
        <f t="shared" si="12"/>
        <v>0</v>
      </c>
      <c r="AB45" s="12">
        <f t="shared" si="12"/>
        <v>0</v>
      </c>
      <c r="AC45" s="12">
        <f t="shared" si="12"/>
        <v>0</v>
      </c>
      <c r="AD45" s="12">
        <f t="shared" si="12"/>
        <v>0</v>
      </c>
      <c r="AE45" s="12">
        <f t="shared" si="12"/>
        <v>0</v>
      </c>
      <c r="AF45" s="12">
        <f t="shared" si="12"/>
        <v>0</v>
      </c>
      <c r="AG45" s="12">
        <f t="shared" si="12"/>
        <v>0</v>
      </c>
      <c r="AH45" s="12">
        <f t="shared" si="12"/>
        <v>0</v>
      </c>
      <c r="AI45" s="12">
        <f t="shared" si="12"/>
        <v>0</v>
      </c>
      <c r="AJ45" s="12">
        <f t="shared" si="12"/>
        <v>0</v>
      </c>
      <c r="AK45" s="12">
        <f t="shared" si="12"/>
        <v>0</v>
      </c>
      <c r="AL45" s="12">
        <f t="shared" si="12"/>
        <v>0</v>
      </c>
      <c r="AM45" s="12">
        <f t="shared" si="12"/>
        <v>0</v>
      </c>
      <c r="AN45" s="12">
        <f t="shared" si="12"/>
        <v>0</v>
      </c>
      <c r="AO45" s="12">
        <f t="shared" si="12"/>
        <v>0</v>
      </c>
      <c r="AP45" s="12">
        <f t="shared" si="12"/>
        <v>0</v>
      </c>
      <c r="AQ45" s="12">
        <f t="shared" si="12"/>
        <v>0</v>
      </c>
      <c r="AR45" s="12">
        <f t="shared" si="12"/>
        <v>0</v>
      </c>
      <c r="AS45" s="12">
        <f t="shared" si="12"/>
        <v>0</v>
      </c>
      <c r="AT45" s="12">
        <f t="shared" si="12"/>
        <v>0</v>
      </c>
      <c r="AU45" s="12"/>
      <c r="AV45" s="12">
        <f t="shared" si="11"/>
        <v>9</v>
      </c>
    </row>
    <row r="46" spans="2:48">
      <c r="B46" s="12" t="s">
        <v>959</v>
      </c>
      <c r="C46" s="12">
        <f t="shared" si="13"/>
        <v>284</v>
      </c>
      <c r="D46" s="12">
        <f t="shared" si="13"/>
        <v>0</v>
      </c>
      <c r="E46" s="12">
        <f t="shared" si="13"/>
        <v>0</v>
      </c>
      <c r="F46" s="12">
        <f t="shared" si="13"/>
        <v>0</v>
      </c>
      <c r="G46" s="12">
        <f t="shared" si="12"/>
        <v>0</v>
      </c>
      <c r="H46" s="12">
        <f t="shared" si="12"/>
        <v>0</v>
      </c>
      <c r="I46" s="12">
        <f t="shared" si="12"/>
        <v>0</v>
      </c>
      <c r="J46" s="12">
        <f t="shared" si="12"/>
        <v>0</v>
      </c>
      <c r="K46" s="12">
        <f t="shared" si="12"/>
        <v>0</v>
      </c>
      <c r="L46" s="12">
        <f t="shared" si="12"/>
        <v>0</v>
      </c>
      <c r="M46" s="12">
        <f t="shared" si="12"/>
        <v>0</v>
      </c>
      <c r="N46" s="12">
        <f t="shared" si="12"/>
        <v>0</v>
      </c>
      <c r="O46" s="12">
        <f t="shared" si="12"/>
        <v>0</v>
      </c>
      <c r="P46" s="12">
        <f t="shared" si="12"/>
        <v>0</v>
      </c>
      <c r="Q46" s="12">
        <f t="shared" si="12"/>
        <v>0</v>
      </c>
      <c r="R46" s="12">
        <f t="shared" si="12"/>
        <v>0</v>
      </c>
      <c r="S46" s="12">
        <f t="shared" si="12"/>
        <v>0</v>
      </c>
      <c r="T46" s="12">
        <f t="shared" si="12"/>
        <v>541</v>
      </c>
      <c r="U46" s="12">
        <f t="shared" si="12"/>
        <v>0</v>
      </c>
      <c r="V46" s="12">
        <f t="shared" si="12"/>
        <v>137</v>
      </c>
      <c r="W46" s="12">
        <f t="shared" si="12"/>
        <v>207</v>
      </c>
      <c r="X46" s="12">
        <f t="shared" si="12"/>
        <v>305</v>
      </c>
      <c r="Y46" s="12">
        <f t="shared" si="12"/>
        <v>247</v>
      </c>
      <c r="Z46" s="12">
        <f t="shared" si="12"/>
        <v>409</v>
      </c>
      <c r="AA46" s="12">
        <f t="shared" si="12"/>
        <v>385</v>
      </c>
      <c r="AB46" s="12">
        <f t="shared" si="12"/>
        <v>260</v>
      </c>
      <c r="AC46" s="12">
        <f t="shared" si="12"/>
        <v>0</v>
      </c>
      <c r="AD46" s="12">
        <f t="shared" si="12"/>
        <v>0</v>
      </c>
      <c r="AE46" s="12">
        <f t="shared" si="12"/>
        <v>0</v>
      </c>
      <c r="AF46" s="12">
        <f t="shared" si="12"/>
        <v>0</v>
      </c>
      <c r="AG46" s="12">
        <f t="shared" si="12"/>
        <v>0</v>
      </c>
      <c r="AH46" s="12">
        <f t="shared" si="12"/>
        <v>0</v>
      </c>
      <c r="AI46" s="12">
        <f t="shared" si="12"/>
        <v>0</v>
      </c>
      <c r="AJ46" s="12">
        <f t="shared" si="12"/>
        <v>0</v>
      </c>
      <c r="AK46" s="12">
        <f t="shared" si="12"/>
        <v>0</v>
      </c>
      <c r="AL46" s="12">
        <f t="shared" si="12"/>
        <v>0</v>
      </c>
      <c r="AM46" s="12">
        <f t="shared" si="12"/>
        <v>0</v>
      </c>
      <c r="AN46" s="12">
        <f t="shared" si="12"/>
        <v>0</v>
      </c>
      <c r="AO46" s="12">
        <f t="shared" si="12"/>
        <v>0</v>
      </c>
      <c r="AP46" s="12">
        <f t="shared" si="12"/>
        <v>0</v>
      </c>
      <c r="AQ46" s="12">
        <f t="shared" si="12"/>
        <v>0</v>
      </c>
      <c r="AR46" s="12">
        <f t="shared" si="12"/>
        <v>0</v>
      </c>
      <c r="AS46" s="12">
        <f t="shared" si="12"/>
        <v>0</v>
      </c>
      <c r="AT46" s="12">
        <f t="shared" si="12"/>
        <v>0</v>
      </c>
      <c r="AU46" s="12">
        <f t="shared" si="12"/>
        <v>0</v>
      </c>
      <c r="AV46" s="12">
        <f t="shared" si="11"/>
        <v>284</v>
      </c>
    </row>
    <row r="47" spans="2:48">
      <c r="B47" s="12" t="s">
        <v>951</v>
      </c>
      <c r="C47" s="12">
        <f t="shared" si="13"/>
        <v>438</v>
      </c>
      <c r="D47" s="12">
        <f t="shared" si="13"/>
        <v>0</v>
      </c>
      <c r="E47" s="12">
        <f t="shared" si="13"/>
        <v>0</v>
      </c>
      <c r="F47" s="12">
        <f t="shared" si="13"/>
        <v>0</v>
      </c>
      <c r="G47" s="12">
        <f t="shared" si="12"/>
        <v>0</v>
      </c>
      <c r="H47" s="12">
        <f t="shared" si="12"/>
        <v>0</v>
      </c>
      <c r="I47" s="12">
        <f t="shared" si="12"/>
        <v>0</v>
      </c>
      <c r="J47" s="12">
        <f t="shared" si="12"/>
        <v>0</v>
      </c>
      <c r="K47" s="12">
        <f t="shared" si="12"/>
        <v>0</v>
      </c>
      <c r="L47" s="12">
        <f t="shared" si="12"/>
        <v>0</v>
      </c>
      <c r="M47" s="12">
        <f t="shared" si="12"/>
        <v>0</v>
      </c>
      <c r="N47" s="12">
        <f t="shared" si="12"/>
        <v>0</v>
      </c>
      <c r="O47" s="12">
        <f t="shared" si="12"/>
        <v>0</v>
      </c>
      <c r="P47" s="12">
        <f t="shared" si="12"/>
        <v>0</v>
      </c>
      <c r="Q47" s="12">
        <f t="shared" si="12"/>
        <v>0</v>
      </c>
      <c r="R47" s="12">
        <f t="shared" si="12"/>
        <v>0</v>
      </c>
      <c r="S47" s="12">
        <f t="shared" si="12"/>
        <v>0</v>
      </c>
      <c r="T47" s="12">
        <f t="shared" si="12"/>
        <v>0</v>
      </c>
      <c r="U47" s="12">
        <f t="shared" si="12"/>
        <v>0</v>
      </c>
      <c r="V47" s="12">
        <f t="shared" si="12"/>
        <v>0</v>
      </c>
      <c r="W47" s="12">
        <f t="shared" si="12"/>
        <v>0</v>
      </c>
      <c r="X47" s="12">
        <f t="shared" si="12"/>
        <v>0</v>
      </c>
      <c r="Y47" s="12">
        <f t="shared" si="12"/>
        <v>0</v>
      </c>
      <c r="Z47" s="12">
        <f t="shared" si="12"/>
        <v>0</v>
      </c>
      <c r="AA47" s="12">
        <f t="shared" si="12"/>
        <v>2031</v>
      </c>
      <c r="AB47" s="12">
        <f t="shared" si="12"/>
        <v>1102</v>
      </c>
      <c r="AC47" s="12">
        <f t="shared" si="12"/>
        <v>0</v>
      </c>
      <c r="AD47" s="12">
        <f t="shared" si="12"/>
        <v>0</v>
      </c>
      <c r="AE47" s="12">
        <f t="shared" si="12"/>
        <v>0</v>
      </c>
      <c r="AF47" s="12">
        <f t="shared" si="12"/>
        <v>0</v>
      </c>
      <c r="AG47" s="12">
        <f t="shared" si="12"/>
        <v>0</v>
      </c>
      <c r="AH47" s="12">
        <f t="shared" si="12"/>
        <v>0</v>
      </c>
      <c r="AI47" s="12">
        <f t="shared" si="12"/>
        <v>0</v>
      </c>
      <c r="AJ47" s="12">
        <f t="shared" si="12"/>
        <v>0</v>
      </c>
      <c r="AK47" s="12">
        <f t="shared" si="12"/>
        <v>0</v>
      </c>
      <c r="AL47" s="12">
        <f t="shared" ref="AL47:AU48" si="14">IFERROR(ROUNDUP(AL23/AL$4*10^6,0),0)</f>
        <v>0</v>
      </c>
      <c r="AM47" s="12">
        <f t="shared" si="14"/>
        <v>0</v>
      </c>
      <c r="AN47" s="12">
        <f t="shared" si="14"/>
        <v>0</v>
      </c>
      <c r="AO47" s="12">
        <f t="shared" si="14"/>
        <v>0</v>
      </c>
      <c r="AP47" s="12">
        <f t="shared" si="14"/>
        <v>0</v>
      </c>
      <c r="AQ47" s="12">
        <f t="shared" si="14"/>
        <v>0</v>
      </c>
      <c r="AR47" s="12">
        <f t="shared" si="14"/>
        <v>0</v>
      </c>
      <c r="AS47" s="12">
        <f t="shared" si="14"/>
        <v>0</v>
      </c>
      <c r="AT47" s="12">
        <f t="shared" si="14"/>
        <v>0</v>
      </c>
      <c r="AU47" s="12">
        <f t="shared" si="14"/>
        <v>0</v>
      </c>
      <c r="AV47" s="12">
        <f t="shared" si="11"/>
        <v>438</v>
      </c>
    </row>
    <row r="48" spans="2:48">
      <c r="B48" s="12" t="s">
        <v>996</v>
      </c>
      <c r="C48" s="12">
        <f t="shared" si="13"/>
        <v>0</v>
      </c>
      <c r="D48" s="12">
        <f t="shared" si="13"/>
        <v>0</v>
      </c>
      <c r="E48" s="12">
        <f t="shared" si="13"/>
        <v>0</v>
      </c>
      <c r="F48" s="12">
        <f t="shared" si="13"/>
        <v>0</v>
      </c>
      <c r="G48" s="12">
        <f t="shared" si="13"/>
        <v>0</v>
      </c>
      <c r="H48" s="12">
        <f t="shared" si="13"/>
        <v>0</v>
      </c>
      <c r="I48" s="12">
        <f t="shared" si="13"/>
        <v>0</v>
      </c>
      <c r="J48" s="12">
        <f t="shared" si="13"/>
        <v>0</v>
      </c>
      <c r="K48" s="12">
        <f t="shared" si="13"/>
        <v>0</v>
      </c>
      <c r="L48" s="12">
        <f t="shared" si="13"/>
        <v>0</v>
      </c>
      <c r="M48" s="12">
        <f t="shared" si="13"/>
        <v>0</v>
      </c>
      <c r="N48" s="12">
        <f t="shared" si="13"/>
        <v>0</v>
      </c>
      <c r="O48" s="12">
        <f t="shared" si="13"/>
        <v>0</v>
      </c>
      <c r="P48" s="12">
        <f t="shared" si="13"/>
        <v>0</v>
      </c>
      <c r="Q48" s="12">
        <f t="shared" si="13"/>
        <v>0</v>
      </c>
      <c r="R48" s="12">
        <f t="shared" si="13"/>
        <v>0</v>
      </c>
      <c r="S48" s="12">
        <f t="shared" ref="S48:AT48" si="15">IFERROR(ROUNDUP(S24/S$4*10^6,0),0)</f>
        <v>0</v>
      </c>
      <c r="T48" s="12">
        <f t="shared" si="15"/>
        <v>0</v>
      </c>
      <c r="U48" s="12">
        <f t="shared" si="15"/>
        <v>0</v>
      </c>
      <c r="V48" s="12">
        <f t="shared" si="15"/>
        <v>0</v>
      </c>
      <c r="W48" s="12">
        <f t="shared" si="15"/>
        <v>0</v>
      </c>
      <c r="X48" s="12">
        <f t="shared" si="15"/>
        <v>0</v>
      </c>
      <c r="Y48" s="12">
        <f t="shared" si="15"/>
        <v>0</v>
      </c>
      <c r="Z48" s="12">
        <f t="shared" si="15"/>
        <v>0</v>
      </c>
      <c r="AA48" s="12">
        <f t="shared" si="15"/>
        <v>0</v>
      </c>
      <c r="AB48" s="12">
        <f t="shared" si="15"/>
        <v>0</v>
      </c>
      <c r="AC48" s="12">
        <f t="shared" si="15"/>
        <v>0</v>
      </c>
      <c r="AD48" s="12">
        <f t="shared" si="15"/>
        <v>0</v>
      </c>
      <c r="AE48" s="12">
        <f t="shared" si="15"/>
        <v>0</v>
      </c>
      <c r="AF48" s="12">
        <f t="shared" si="15"/>
        <v>0</v>
      </c>
      <c r="AG48" s="12">
        <f t="shared" si="15"/>
        <v>0</v>
      </c>
      <c r="AH48" s="12">
        <f t="shared" si="15"/>
        <v>0</v>
      </c>
      <c r="AI48" s="12">
        <f t="shared" si="15"/>
        <v>0</v>
      </c>
      <c r="AJ48" s="12">
        <f t="shared" si="15"/>
        <v>0</v>
      </c>
      <c r="AK48" s="12">
        <f t="shared" si="15"/>
        <v>0</v>
      </c>
      <c r="AL48" s="12">
        <f t="shared" si="15"/>
        <v>0</v>
      </c>
      <c r="AM48" s="12">
        <f t="shared" si="15"/>
        <v>0</v>
      </c>
      <c r="AN48" s="12">
        <f t="shared" si="15"/>
        <v>0</v>
      </c>
      <c r="AO48" s="12">
        <f t="shared" si="15"/>
        <v>0</v>
      </c>
      <c r="AP48" s="12">
        <f t="shared" si="15"/>
        <v>0</v>
      </c>
      <c r="AQ48" s="12">
        <f t="shared" si="15"/>
        <v>0</v>
      </c>
      <c r="AR48" s="12">
        <f t="shared" si="15"/>
        <v>0</v>
      </c>
      <c r="AS48" s="12">
        <f t="shared" si="15"/>
        <v>0</v>
      </c>
      <c r="AT48" s="12">
        <f t="shared" si="15"/>
        <v>0</v>
      </c>
      <c r="AU48" s="12">
        <f t="shared" si="14"/>
        <v>0</v>
      </c>
      <c r="AV48" s="12">
        <f t="shared" si="11"/>
        <v>0</v>
      </c>
    </row>
  </sheetData>
  <phoneticPr fontId="7" type="noConversion"/>
  <conditionalFormatting sqref="C30:E48 C28:E28 B29:E29 F4:AT24">
    <cfRule type="cellIs" dxfId="7" priority="2" operator="equal">
      <formula>0</formula>
    </cfRule>
  </conditionalFormatting>
  <conditionalFormatting sqref="F28:AT48 AU46:AU48">
    <cfRule type="cellIs" dxfId="6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AB677-5A62-43D9-A247-7D1AC9E73674}">
  <sheetPr codeName="wsWeekly">
    <tabColor rgb="FF0099FF"/>
  </sheetPr>
  <dimension ref="B1:FE25"/>
  <sheetViews>
    <sheetView topLeftCell="BO1" zoomScale="70" zoomScaleNormal="70" workbookViewId="0">
      <selection activeCell="BT12" sqref="BT12"/>
    </sheetView>
  </sheetViews>
  <sheetFormatPr defaultColWidth="8.90625" defaultRowHeight="14.5"/>
  <cols>
    <col min="1" max="1" width="3.08984375" style="3" customWidth="1"/>
    <col min="2" max="2" width="11.08984375" style="3" customWidth="1"/>
    <col min="3" max="3" width="9.453125" style="3" customWidth="1"/>
    <col min="4" max="54" width="9.453125" style="3" bestFit="1" customWidth="1"/>
    <col min="55" max="16384" width="8.90625" style="3"/>
  </cols>
  <sheetData>
    <row r="1" spans="2:161" s="5" customFormat="1" ht="14.15" customHeight="1"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5" customHeight="1">
      <c r="B2" s="24" t="s">
        <v>28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>
      <c r="B3" s="17" t="str">
        <f>Report!D2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2053</v>
      </c>
      <c r="BD3" s="6">
        <v>2101</v>
      </c>
      <c r="BE3" s="6">
        <v>2102</v>
      </c>
      <c r="BF3" s="6">
        <v>2103</v>
      </c>
      <c r="BG3" s="6">
        <v>2104</v>
      </c>
      <c r="BH3" s="6">
        <v>2105</v>
      </c>
      <c r="BI3" s="6">
        <v>2106</v>
      </c>
      <c r="BJ3" s="6">
        <v>2107</v>
      </c>
      <c r="BK3" s="6">
        <v>2108</v>
      </c>
      <c r="BL3" s="6">
        <v>2109</v>
      </c>
      <c r="BM3" s="6">
        <v>2110</v>
      </c>
      <c r="BN3" s="6">
        <v>2111</v>
      </c>
      <c r="BO3" s="6">
        <v>2112</v>
      </c>
      <c r="BP3" s="6">
        <v>2113</v>
      </c>
      <c r="BQ3" s="6">
        <v>2114</v>
      </c>
      <c r="BR3" s="6">
        <v>2115</v>
      </c>
      <c r="BS3" s="6">
        <v>2116</v>
      </c>
      <c r="BT3" s="6">
        <v>2117</v>
      </c>
      <c r="BU3" s="6">
        <v>2118</v>
      </c>
      <c r="BV3" s="6">
        <v>2119</v>
      </c>
      <c r="BW3" s="6">
        <v>2120</v>
      </c>
      <c r="BX3" s="6">
        <v>2121</v>
      </c>
      <c r="BY3" s="6">
        <v>2122</v>
      </c>
      <c r="BZ3" s="6">
        <v>2123</v>
      </c>
      <c r="CA3" s="6">
        <v>2124</v>
      </c>
      <c r="CB3" s="6">
        <v>2125</v>
      </c>
      <c r="CC3" s="6">
        <v>2126</v>
      </c>
      <c r="CD3" s="6">
        <v>2127</v>
      </c>
      <c r="CE3" s="6">
        <v>2128</v>
      </c>
      <c r="CF3" s="6">
        <v>2129</v>
      </c>
      <c r="CG3" s="6">
        <v>2130</v>
      </c>
      <c r="CH3" s="6">
        <v>2131</v>
      </c>
      <c r="CI3" s="6">
        <v>2132</v>
      </c>
      <c r="CJ3" s="6">
        <v>2133</v>
      </c>
      <c r="CK3" s="6">
        <v>2134</v>
      </c>
      <c r="CL3" s="6">
        <v>2135</v>
      </c>
      <c r="CM3" s="6">
        <v>2136</v>
      </c>
      <c r="CN3" s="6">
        <v>2137</v>
      </c>
      <c r="CO3" s="6">
        <v>2138</v>
      </c>
      <c r="CP3" s="6">
        <v>2139</v>
      </c>
      <c r="CQ3" s="6">
        <v>2140</v>
      </c>
      <c r="CR3" s="6">
        <v>2141</v>
      </c>
      <c r="CS3" s="6">
        <v>2142</v>
      </c>
      <c r="CT3" s="6">
        <v>2143</v>
      </c>
      <c r="CU3" s="6">
        <v>2144</v>
      </c>
      <c r="CV3" s="6">
        <v>2145</v>
      </c>
      <c r="CW3" s="6">
        <v>2146</v>
      </c>
      <c r="CX3" s="6">
        <v>2147</v>
      </c>
      <c r="CY3" s="6">
        <v>2148</v>
      </c>
      <c r="CZ3" s="6">
        <v>2149</v>
      </c>
      <c r="DA3" s="6">
        <v>2150</v>
      </c>
      <c r="DB3" s="6">
        <v>2151</v>
      </c>
      <c r="DC3" s="6">
        <v>2152</v>
      </c>
      <c r="DD3" s="6">
        <v>2153</v>
      </c>
      <c r="DE3" s="6">
        <v>2201</v>
      </c>
      <c r="DF3" s="6">
        <v>2202</v>
      </c>
      <c r="DG3" s="6">
        <v>2203</v>
      </c>
      <c r="DH3" s="6">
        <v>2204</v>
      </c>
      <c r="DI3" s="6">
        <v>2205</v>
      </c>
      <c r="DJ3" s="6">
        <v>2206</v>
      </c>
      <c r="DK3" s="6">
        <v>2207</v>
      </c>
      <c r="DL3" s="6">
        <v>2208</v>
      </c>
      <c r="DM3" s="6">
        <v>2209</v>
      </c>
      <c r="DN3" s="6">
        <v>2210</v>
      </c>
      <c r="DO3" s="6">
        <v>2211</v>
      </c>
      <c r="DP3" s="6">
        <v>2212</v>
      </c>
      <c r="DQ3" s="6">
        <v>2213</v>
      </c>
      <c r="DR3" s="6">
        <v>2214</v>
      </c>
      <c r="DS3" s="6">
        <v>2215</v>
      </c>
      <c r="DT3" s="6">
        <v>2216</v>
      </c>
      <c r="DU3" s="6">
        <v>2217</v>
      </c>
      <c r="DV3" s="6">
        <v>2218</v>
      </c>
      <c r="DW3" s="6">
        <v>2219</v>
      </c>
      <c r="DX3" s="6">
        <v>2220</v>
      </c>
      <c r="DY3" s="6">
        <v>2221</v>
      </c>
      <c r="DZ3" s="6">
        <v>2222</v>
      </c>
      <c r="EA3" s="6">
        <v>2223</v>
      </c>
      <c r="EB3" s="6">
        <v>2224</v>
      </c>
      <c r="EC3" s="6">
        <v>2225</v>
      </c>
      <c r="ED3" s="6">
        <v>2226</v>
      </c>
      <c r="EE3" s="6">
        <v>2227</v>
      </c>
      <c r="EF3" s="6">
        <v>2228</v>
      </c>
      <c r="EG3" s="6">
        <v>2229</v>
      </c>
      <c r="EH3" s="6">
        <v>2230</v>
      </c>
      <c r="EI3" s="6">
        <v>2231</v>
      </c>
      <c r="EJ3" s="6">
        <v>2232</v>
      </c>
      <c r="EK3" s="6">
        <v>2233</v>
      </c>
      <c r="EL3" s="6">
        <v>2234</v>
      </c>
      <c r="EM3" s="6">
        <v>2235</v>
      </c>
      <c r="EN3" s="6">
        <v>2236</v>
      </c>
      <c r="EO3" s="6">
        <v>2237</v>
      </c>
      <c r="EP3" s="6">
        <v>2238</v>
      </c>
      <c r="EQ3" s="6">
        <v>2239</v>
      </c>
      <c r="ER3" s="6">
        <v>2240</v>
      </c>
      <c r="ES3" s="6">
        <v>2241</v>
      </c>
      <c r="ET3" s="6">
        <v>2242</v>
      </c>
      <c r="EU3" s="6">
        <v>2243</v>
      </c>
      <c r="EV3" s="6">
        <v>2244</v>
      </c>
      <c r="EW3" s="6">
        <v>2245</v>
      </c>
      <c r="EX3" s="6">
        <v>2246</v>
      </c>
      <c r="EY3" s="6">
        <v>2247</v>
      </c>
      <c r="EZ3" s="6">
        <v>2248</v>
      </c>
      <c r="FA3" s="6">
        <v>2249</v>
      </c>
      <c r="FB3" s="6">
        <v>2250</v>
      </c>
      <c r="FC3" s="6">
        <v>2251</v>
      </c>
      <c r="FD3" s="6">
        <v>2252</v>
      </c>
      <c r="FE3" s="6">
        <v>2253</v>
      </c>
    </row>
    <row r="4" spans="2:161">
      <c r="B4" s="2" t="s">
        <v>989</v>
      </c>
      <c r="C4" s="2">
        <f>SUMIF(inputs!$G:$G,Weekly_All!C$3&amp;Weekly_All!$B$3,inputs!$D:$D)</f>
        <v>0</v>
      </c>
      <c r="D4" s="2">
        <f>SUMIF(inputs!$G:$G,Weekly_All!D$3&amp;Weekly_All!$B$3,inputs!$D:$D)</f>
        <v>0</v>
      </c>
      <c r="E4" s="2">
        <f>SUMIF(inputs!$G:$G,Weekly_All!E$3&amp;Weekly_All!$B$3,inputs!$D:$D)</f>
        <v>0</v>
      </c>
      <c r="F4" s="2">
        <f>SUMIF(inputs!$G:$G,Weekly_All!F$3&amp;Weekly_All!$B$3,inputs!$D:$D)</f>
        <v>0</v>
      </c>
      <c r="G4" s="2">
        <f>SUMIF(inputs!$G:$G,Weekly_All!G$3&amp;Weekly_All!$B$3,inputs!$D:$D)</f>
        <v>0</v>
      </c>
      <c r="H4" s="2">
        <f>SUMIF(inputs!$G:$G,Weekly_All!H$3&amp;Weekly_All!$B$3,inputs!$D:$D)</f>
        <v>0</v>
      </c>
      <c r="I4" s="2">
        <f>SUMIF(inputs!$G:$G,Weekly_All!I$3&amp;Weekly_All!$B$3,inputs!$D:$D)</f>
        <v>0</v>
      </c>
      <c r="J4" s="2">
        <f>SUMIF(inputs!$G:$G,Weekly_All!J$3&amp;Weekly_All!$B$3,inputs!$D:$D)</f>
        <v>0</v>
      </c>
      <c r="K4" s="2">
        <f>SUMIF(inputs!$G:$G,Weekly_All!K$3&amp;Weekly_All!$B$3,inputs!$D:$D)</f>
        <v>0</v>
      </c>
      <c r="L4" s="2">
        <f>SUMIF(inputs!$G:$G,Weekly_All!L$3&amp;Weekly_All!$B$3,inputs!$D:$D)</f>
        <v>0</v>
      </c>
      <c r="M4" s="2">
        <f>SUMIF(inputs!$G:$G,Weekly_All!M$3&amp;Weekly_All!$B$3,inputs!$D:$D)</f>
        <v>0</v>
      </c>
      <c r="N4" s="2">
        <f>SUMIF(inputs!$G:$G,Weekly_All!N$3&amp;Weekly_All!$B$3,inputs!$D:$D)</f>
        <v>0</v>
      </c>
      <c r="O4" s="2">
        <f>SUMIF(inputs!$G:$G,Weekly_All!O$3&amp;Weekly_All!$B$3,inputs!$D:$D)</f>
        <v>0</v>
      </c>
      <c r="P4" s="2">
        <f>SUMIF(inputs!$G:$G,Weekly_All!P$3&amp;Weekly_All!$B$3,inputs!$D:$D)</f>
        <v>0</v>
      </c>
      <c r="Q4" s="2">
        <f>SUMIF(inputs!$G:$G,Weekly_All!Q$3&amp;Weekly_All!$B$3,inputs!$D:$D)</f>
        <v>0</v>
      </c>
      <c r="R4" s="2">
        <f>SUMIF(inputs!$G:$G,Weekly_All!R$3&amp;Weekly_All!$B$3,inputs!$D:$D)</f>
        <v>0</v>
      </c>
      <c r="S4" s="2">
        <f>SUMIF(inputs!$G:$G,Weekly_All!S$3&amp;Weekly_All!$B$3,inputs!$D:$D)</f>
        <v>0</v>
      </c>
      <c r="T4" s="2">
        <f>SUMIF(inputs!$G:$G,Weekly_All!T$3&amp;Weekly_All!$B$3,inputs!$D:$D)</f>
        <v>0</v>
      </c>
      <c r="U4" s="2">
        <f>SUMIF(inputs!$G:$G,Weekly_All!U$3&amp;Weekly_All!$B$3,inputs!$D:$D)</f>
        <v>0</v>
      </c>
      <c r="V4" s="2">
        <f>SUMIF(inputs!$G:$G,Weekly_All!V$3&amp;Weekly_All!$B$3,inputs!$D:$D)</f>
        <v>0</v>
      </c>
      <c r="W4" s="2">
        <f>SUMIF(inputs!$G:$G,Weekly_All!W$3&amp;Weekly_All!$B$3,inputs!$D:$D)</f>
        <v>0</v>
      </c>
      <c r="X4" s="2">
        <f>SUMIF(inputs!$G:$G,Weekly_All!X$3&amp;Weekly_All!$B$3,inputs!$D:$D)</f>
        <v>0</v>
      </c>
      <c r="Y4" s="2">
        <f>SUMIF(inputs!$G:$G,Weekly_All!Y$3&amp;Weekly_All!$B$3,inputs!$D:$D)</f>
        <v>0</v>
      </c>
      <c r="Z4" s="2">
        <f>SUMIF(inputs!$G:$G,Weekly_All!Z$3&amp;Weekly_All!$B$3,inputs!$D:$D)</f>
        <v>0</v>
      </c>
      <c r="AA4" s="2">
        <f>SUMIF(inputs!$G:$G,Weekly_All!AA$3&amp;Weekly_All!$B$3,inputs!$D:$D)</f>
        <v>0</v>
      </c>
      <c r="AB4" s="2">
        <f>SUMIF(inputs!$G:$G,Weekly_All!AB$3&amp;Weekly_All!$B$3,inputs!$D:$D)</f>
        <v>0</v>
      </c>
      <c r="AC4" s="2">
        <f>SUMIF(inputs!$G:$G,Weekly_All!AC$3&amp;Weekly_All!$B$3,inputs!$D:$D)</f>
        <v>0</v>
      </c>
      <c r="AD4" s="2">
        <f>SUMIF(inputs!$G:$G,Weekly_All!AD$3&amp;Weekly_All!$B$3,inputs!$D:$D)</f>
        <v>0</v>
      </c>
      <c r="AE4" s="2">
        <f>SUMIF(inputs!$G:$G,Weekly_All!AE$3&amp;Weekly_All!$B$3,inputs!$D:$D)</f>
        <v>0</v>
      </c>
      <c r="AF4" s="2">
        <f>SUMIF(inputs!$G:$G,Weekly_All!AF$3&amp;Weekly_All!$B$3,inputs!$D:$D)</f>
        <v>0</v>
      </c>
      <c r="AG4" s="2">
        <f>SUMIF(inputs!$G:$G,Weekly_All!AG$3&amp;Weekly_All!$B$3,inputs!$D:$D)</f>
        <v>0</v>
      </c>
      <c r="AH4" s="2">
        <f>SUMIF(inputs!$G:$G,Weekly_All!AH$3&amp;Weekly_All!$B$3,inputs!$D:$D)</f>
        <v>0</v>
      </c>
      <c r="AI4" s="2">
        <f>SUMIF(inputs!$G:$G,Weekly_All!AI$3&amp;Weekly_All!$B$3,inputs!$D:$D)</f>
        <v>0</v>
      </c>
      <c r="AJ4" s="2">
        <f>SUMIF(inputs!$G:$G,Weekly_All!AJ$3&amp;Weekly_All!$B$3,inputs!$D:$D)</f>
        <v>0</v>
      </c>
      <c r="AK4" s="2">
        <f>SUMIF(inputs!$G:$G,Weekly_All!AK$3&amp;Weekly_All!$B$3,inputs!$D:$D)</f>
        <v>0</v>
      </c>
      <c r="AL4" s="2">
        <f>SUMIF(inputs!$G:$G,Weekly_All!AL$3&amp;Weekly_All!$B$3,inputs!$D:$D)</f>
        <v>0</v>
      </c>
      <c r="AM4" s="2">
        <f>SUMIF(inputs!$G:$G,Weekly_All!AM$3&amp;Weekly_All!$B$3,inputs!$D:$D)</f>
        <v>0</v>
      </c>
      <c r="AN4" s="2">
        <f>SUMIF(inputs!$G:$G,Weekly_All!AN$3&amp;Weekly_All!$B$3,inputs!$D:$D)</f>
        <v>0</v>
      </c>
      <c r="AO4" s="2">
        <f>SUMIF(inputs!$G:$G,Weekly_All!AO$3&amp;Weekly_All!$B$3,inputs!$D:$D)</f>
        <v>0</v>
      </c>
      <c r="AP4" s="2">
        <f>SUMIF(inputs!$G:$G,Weekly_All!AP$3&amp;Weekly_All!$B$3,inputs!$D:$D)</f>
        <v>0</v>
      </c>
      <c r="AQ4" s="2">
        <f>SUMIF(inputs!$G:$G,Weekly_All!AQ$3&amp;Weekly_All!$B$3,inputs!$D:$D)</f>
        <v>0</v>
      </c>
      <c r="AR4" s="2">
        <f>SUMIF(inputs!$G:$G,Weekly_All!AR$3&amp;Weekly_All!$B$3,inputs!$D:$D)</f>
        <v>0</v>
      </c>
      <c r="AS4" s="2">
        <f>SUMIF(inputs!$G:$G,Weekly_All!AS$3&amp;Weekly_All!$B$3,inputs!$D:$D)</f>
        <v>0</v>
      </c>
      <c r="AT4" s="2">
        <f>SUMIF(inputs!$G:$G,Weekly_All!AT$3&amp;Weekly_All!$B$3,inputs!$D:$D)</f>
        <v>0</v>
      </c>
      <c r="AU4" s="2">
        <f>SUMIF(inputs!$G:$G,Weekly_All!AU$3&amp;Weekly_All!$B$3,inputs!$D:$D)</f>
        <v>0</v>
      </c>
      <c r="AV4" s="2">
        <f>SUMIF(inputs!$G:$G,Weekly_All!AV$3&amp;Weekly_All!$B$3,inputs!$D:$D)</f>
        <v>0</v>
      </c>
      <c r="AW4" s="2">
        <f>SUMIF(inputs!$G:$G,Weekly_All!AW$3&amp;Weekly_All!$B$3,inputs!$D:$D)</f>
        <v>0</v>
      </c>
      <c r="AX4" s="2">
        <f>SUMIF(inputs!$G:$G,Weekly_All!AX$3&amp;Weekly_All!$B$3,inputs!$D:$D)</f>
        <v>0</v>
      </c>
      <c r="AY4" s="2">
        <f>SUMIF(inputs!$G:$G,Weekly_All!AY$3&amp;Weekly_All!$B$3,inputs!$D:$D)</f>
        <v>0</v>
      </c>
      <c r="AZ4" s="2">
        <f>SUMIF(inputs!$G:$G,Weekly_All!AZ$3&amp;Weekly_All!$B$3,inputs!$D:$D)</f>
        <v>0</v>
      </c>
      <c r="BA4" s="2">
        <f>SUMIF(inputs!$G:$G,Weekly_All!BA$3&amp;Weekly_All!$B$3,inputs!$D:$D)</f>
        <v>0</v>
      </c>
      <c r="BB4" s="2">
        <f>SUMIF(inputs!$G:$G,Weekly_All!BB$3&amp;Weekly_All!$B$3,inputs!$D:$D)</f>
        <v>0</v>
      </c>
      <c r="BC4" s="2">
        <f>SUMIF(inputs!$G:$G,Weekly_All!BC$3&amp;Weekly_All!$B$3,inputs!$D:$D)</f>
        <v>0</v>
      </c>
      <c r="BD4" s="2">
        <f>SUMIF(inputs!$G:$G,Weekly_All!BD$3&amp;Weekly_All!$B$3,inputs!$D:$D)</f>
        <v>0</v>
      </c>
      <c r="BE4" s="2">
        <f>SUMIF(inputs!$G:$G,Weekly_All!BE$3&amp;Weekly_All!$B$3,inputs!$D:$D)</f>
        <v>0</v>
      </c>
      <c r="BF4" s="2">
        <f>SUMIF(inputs!$G:$G,Weekly_All!BF$3&amp;Weekly_All!$B$3,inputs!$D:$D)</f>
        <v>0</v>
      </c>
      <c r="BG4" s="2">
        <f>SUMIF(inputs!$G:$G,Weekly_All!BG$3&amp;Weekly_All!$B$3,inputs!$D:$D)</f>
        <v>0</v>
      </c>
      <c r="BH4" s="2">
        <f>SUMIF(inputs!$G:$G,Weekly_All!BH$3&amp;Weekly_All!$B$3,inputs!$D:$D)</f>
        <v>0</v>
      </c>
      <c r="BI4" s="2">
        <f>SUMIF(inputs!$G:$G,Weekly_All!BI$3&amp;Weekly_All!$B$3,inputs!$D:$D)</f>
        <v>0</v>
      </c>
      <c r="BJ4" s="2">
        <f>SUMIF(inputs!$G:$G,Weekly_All!BJ$3&amp;Weekly_All!$B$3,inputs!$D:$D)</f>
        <v>0</v>
      </c>
      <c r="BK4" s="2">
        <f>SUMIF(inputs!$G:$G,Weekly_All!BK$3&amp;Weekly_All!$B$3,inputs!$D:$D)</f>
        <v>2</v>
      </c>
      <c r="BL4" s="2">
        <f>SUMIF(inputs!$G:$G,Weekly_All!BL$3&amp;Weekly_All!$B$3,inputs!$D:$D)</f>
        <v>90</v>
      </c>
      <c r="BM4" s="2">
        <f>SUMIF(inputs!$G:$G,Weekly_All!BM$3&amp;Weekly_All!$B$3,inputs!$D:$D)</f>
        <v>0</v>
      </c>
      <c r="BN4" s="2">
        <f>SUMIF(inputs!$G:$G,Weekly_All!BN$3&amp;Weekly_All!$B$3,inputs!$D:$D)</f>
        <v>596</v>
      </c>
      <c r="BO4" s="2">
        <f>SUMIF(inputs!$G:$G,Weekly_All!BO$3&amp;Weekly_All!$B$3,inputs!$D:$D)</f>
        <v>929</v>
      </c>
      <c r="BP4" s="2">
        <f>SUMIF(inputs!$G:$G,Weekly_All!BP$3&amp;Weekly_All!$B$3,inputs!$D:$D)</f>
        <v>469</v>
      </c>
      <c r="BQ4" s="2">
        <f>SUMIF(inputs!$G:$G,Weekly_All!BQ$3&amp;Weekly_All!$B$3,inputs!$D:$D)</f>
        <v>868</v>
      </c>
      <c r="BR4" s="2">
        <f>SUMIF(inputs!$G:$G,Weekly_All!BR$3&amp;Weekly_All!$B$3,inputs!$D:$D)</f>
        <v>1844</v>
      </c>
      <c r="BS4" s="2">
        <f>SUMIF(inputs!$G:$G,Weekly_All!BS$3&amp;Weekly_All!$B$3,inputs!$D:$D)</f>
        <v>3004</v>
      </c>
      <c r="BT4" s="2">
        <f>SUMIF(inputs!$G:$G,Weekly_All!BT$3&amp;Weekly_All!$B$3,inputs!$D:$D)</f>
        <v>2737</v>
      </c>
      <c r="BU4" s="2">
        <f>SUMIF(inputs!$G:$G,Weekly_All!BU$3&amp;Weekly_All!$B$3,inputs!$D:$D)</f>
        <v>4512</v>
      </c>
      <c r="BV4" s="2">
        <f>SUMIF(inputs!$G:$G,Weekly_All!BV$3&amp;Weekly_All!$B$3,inputs!$D:$D)</f>
        <v>363</v>
      </c>
      <c r="BW4" s="2">
        <f>SUMIF(inputs!$G:$G,Weekly_All!BW$3&amp;Weekly_All!$B$3,inputs!$D:$D)</f>
        <v>5140</v>
      </c>
      <c r="BX4" s="2">
        <f>SUMIF(inputs!$G:$G,Weekly_All!BX$3&amp;Weekly_All!$B$3,inputs!$D:$D)</f>
        <v>7912</v>
      </c>
      <c r="BY4" s="2">
        <f>SUMIF(inputs!$G:$G,Weekly_All!BY$3&amp;Weekly_All!$B$3,inputs!$D:$D)</f>
        <v>6774</v>
      </c>
      <c r="BZ4" s="2">
        <f>SUMIF(inputs!$G:$G,Weekly_All!BZ$3&amp;Weekly_All!$B$3,inputs!$D:$D)</f>
        <v>10572</v>
      </c>
      <c r="CA4" s="2">
        <f>SUMIF(inputs!$G:$G,Weekly_All!CA$3&amp;Weekly_All!$B$3,inputs!$D:$D)</f>
        <v>4656</v>
      </c>
      <c r="CB4" s="2">
        <f>SUMIF(inputs!$G:$G,Weekly_All!CB$3&amp;Weekly_All!$B$3,inputs!$D:$D)</f>
        <v>4359</v>
      </c>
      <c r="CC4" s="2">
        <f>SUMIF(inputs!$G:$G,Weekly_All!CC$3&amp;Weekly_All!$B$3,inputs!$D:$D)</f>
        <v>7004</v>
      </c>
      <c r="CD4" s="2">
        <f>SUMIF(inputs!$G:$G,Weekly_All!CD$3&amp;Weekly_All!$B$3,inputs!$D:$D)</f>
        <v>4482</v>
      </c>
      <c r="CE4" s="2">
        <f>SUMIF(inputs!$G:$G,Weekly_All!CE$3&amp;Weekly_All!$B$3,inputs!$D:$D)</f>
        <v>8231</v>
      </c>
      <c r="CF4" s="2">
        <f>SUMIF(inputs!$G:$G,Weekly_All!CF$3&amp;Weekly_All!$B$3,inputs!$D:$D)</f>
        <v>8815</v>
      </c>
      <c r="CG4" s="2">
        <f>SUMIF(inputs!$G:$G,Weekly_All!CG$3&amp;Weekly_All!$B$3,inputs!$D:$D)</f>
        <v>4381</v>
      </c>
      <c r="CH4" s="2">
        <f>SUMIF(inputs!$G:$G,Weekly_All!CH$3&amp;Weekly_All!$B$3,inputs!$D:$D)</f>
        <v>3375</v>
      </c>
      <c r="CI4" s="2">
        <f>SUMIF(inputs!$G:$G,Weekly_All!CI$3&amp;Weekly_All!$B$3,inputs!$D:$D)</f>
        <v>9308</v>
      </c>
      <c r="CJ4" s="2">
        <f>SUMIF(inputs!$G:$G,Weekly_All!CJ$3&amp;Weekly_All!$B$3,inputs!$D:$D)</f>
        <v>13256</v>
      </c>
      <c r="CK4" s="2">
        <f>SUMIF(inputs!$G:$G,Weekly_All!CK$3&amp;Weekly_All!$B$3,inputs!$D:$D)</f>
        <v>11883</v>
      </c>
      <c r="CL4" s="2">
        <f>SUMIF(inputs!$G:$G,Weekly_All!CL$3&amp;Weekly_All!$B$3,inputs!$D:$D)</f>
        <v>8491</v>
      </c>
      <c r="CM4" s="2">
        <f>SUMIF(inputs!$G:$G,Weekly_All!CM$3&amp;Weekly_All!$B$3,inputs!$D:$D)</f>
        <v>8835</v>
      </c>
      <c r="CN4" s="2">
        <f>SUMIF(inputs!$G:$G,Weekly_All!CN$3&amp;Weekly_All!$B$3,inputs!$D:$D)</f>
        <v>11073</v>
      </c>
      <c r="CO4" s="2">
        <f>SUMIF(inputs!$G:$G,Weekly_All!CO$3&amp;Weekly_All!$B$3,inputs!$D:$D)</f>
        <v>14620</v>
      </c>
      <c r="CP4" s="2">
        <f>SUMIF(inputs!$G:$G,Weekly_All!CP$3&amp;Weekly_All!$B$3,inputs!$D:$D)</f>
        <v>11271</v>
      </c>
      <c r="CQ4" s="2">
        <f>SUMIF(inputs!$G:$G,Weekly_All!CQ$3&amp;Weekly_All!$B$3,inputs!$D:$D)</f>
        <v>6227</v>
      </c>
      <c r="CR4" s="2">
        <f>SUMIF(inputs!$G:$G,Weekly_All!CR$3&amp;Weekly_All!$B$3,inputs!$D:$D)</f>
        <v>7688</v>
      </c>
      <c r="CS4" s="2">
        <f>SUMIF(inputs!$G:$G,Weekly_All!CS$3&amp;Weekly_All!$B$3,inputs!$D:$D)</f>
        <v>9255</v>
      </c>
      <c r="CT4" s="2">
        <f>SUMIF(inputs!$G:$G,Weekly_All!CT$3&amp;Weekly_All!$B$3,inputs!$D:$D)</f>
        <v>9861</v>
      </c>
      <c r="CU4" s="2">
        <f>SUMIF(inputs!$G:$G,Weekly_All!CU$3&amp;Weekly_All!$B$3,inputs!$D:$D)</f>
        <v>5412</v>
      </c>
      <c r="CV4" s="2">
        <f>SUMIF(inputs!$G:$G,Weekly_All!CV$3&amp;Weekly_All!$B$3,inputs!$D:$D)</f>
        <v>5617</v>
      </c>
      <c r="CW4" s="2">
        <f>SUMIF(inputs!$G:$G,Weekly_All!CW$3&amp;Weekly_All!$B$3,inputs!$D:$D)</f>
        <v>4941</v>
      </c>
      <c r="CX4" s="2">
        <f>SUMIF(inputs!$G:$G,Weekly_All!CX$3&amp;Weekly_All!$B$3,inputs!$D:$D)</f>
        <v>6099</v>
      </c>
      <c r="CY4" s="2">
        <f>SUMIF(inputs!$G:$G,Weekly_All!CY$3&amp;Weekly_All!$B$3,inputs!$D:$D)</f>
        <v>8843</v>
      </c>
      <c r="CZ4" s="2">
        <f>SUMIF(inputs!$G:$G,Weekly_All!CZ$3&amp;Weekly_All!$B$3,inputs!$D:$D)</f>
        <v>3665</v>
      </c>
      <c r="DA4" s="2">
        <f>SUMIF(inputs!$G:$G,Weekly_All!DA$3&amp;Weekly_All!$B$3,inputs!$D:$D)</f>
        <v>5421</v>
      </c>
      <c r="DB4" s="2">
        <f>SUMIF(inputs!$G:$G,Weekly_All!DB$3&amp;Weekly_All!$B$3,inputs!$D:$D)</f>
        <v>987</v>
      </c>
      <c r="DC4" s="2">
        <f>SUMIF(inputs!$G:$G,Weekly_All!DC$3&amp;Weekly_All!$B$3,inputs!$D:$D)</f>
        <v>3028</v>
      </c>
      <c r="DD4" s="2">
        <f>SUMIF(inputs!$G:$G,Weekly_All!DD$3&amp;Weekly_All!$B$3,inputs!$D:$D)</f>
        <v>0</v>
      </c>
      <c r="DE4" s="2">
        <f>SUMIF(inputs!$G:$G,Weekly_All!DE$3&amp;Weekly_All!$B$3,inputs!$D:$D)</f>
        <v>0</v>
      </c>
      <c r="DF4" s="2">
        <f>SUMIF(inputs!$G:$G,Weekly_All!DF$3&amp;Weekly_All!$B$3,inputs!$D:$D)</f>
        <v>0</v>
      </c>
      <c r="DG4" s="2">
        <f>SUMIF(inputs!$G:$G,Weekly_All!DG$3&amp;Weekly_All!$B$3,inputs!$D:$D)</f>
        <v>0</v>
      </c>
      <c r="DH4" s="2">
        <f>SUMIF(inputs!$G:$G,Weekly_All!DH$3&amp;Weekly_All!$B$3,inputs!$D:$D)</f>
        <v>0</v>
      </c>
      <c r="DI4" s="2">
        <f>SUMIF(inputs!$G:$G,Weekly_All!DI$3&amp;Weekly_All!$B$3,inputs!$D:$D)</f>
        <v>0</v>
      </c>
      <c r="DJ4" s="2">
        <f>SUMIF(inputs!$G:$G,Weekly_All!DJ$3&amp;Weekly_All!$B$3,inputs!$D:$D)</f>
        <v>0</v>
      </c>
      <c r="DK4" s="2">
        <f>SUMIF(inputs!$G:$G,Weekly_All!DK$3&amp;Weekly_All!$B$3,inputs!$D:$D)</f>
        <v>0</v>
      </c>
      <c r="DL4" s="2">
        <f>SUMIF(inputs!$G:$G,Weekly_All!DL$3&amp;Weekly_All!$B$3,inputs!$D:$D)</f>
        <v>0</v>
      </c>
      <c r="DM4" s="2">
        <f>SUMIF(inputs!$G:$G,Weekly_All!DM$3&amp;Weekly_All!$B$3,inputs!$D:$D)</f>
        <v>0</v>
      </c>
      <c r="DN4" s="2">
        <f>SUMIF(inputs!$G:$G,Weekly_All!DN$3&amp;Weekly_All!$B$3,inputs!$D:$D)</f>
        <v>0</v>
      </c>
      <c r="DO4" s="2">
        <f>SUMIF(inputs!$G:$G,Weekly_All!DO$3&amp;Weekly_All!$B$3,inputs!$D:$D)</f>
        <v>0</v>
      </c>
      <c r="DP4" s="2">
        <f>SUMIF(inputs!$G:$G,Weekly_All!DP$3&amp;Weekly_All!$B$3,inputs!$D:$D)</f>
        <v>0</v>
      </c>
      <c r="DQ4" s="2">
        <f>SUMIF(inputs!$G:$G,Weekly_All!DQ$3&amp;Weekly_All!$B$3,inputs!$D:$D)</f>
        <v>0</v>
      </c>
      <c r="DR4" s="2">
        <f>SUMIF(inputs!$G:$G,Weekly_All!DR$3&amp;Weekly_All!$B$3,inputs!$D:$D)</f>
        <v>0</v>
      </c>
      <c r="DS4" s="2">
        <f>SUMIF(inputs!$G:$G,Weekly_All!DS$3&amp;Weekly_All!$B$3,inputs!$D:$D)</f>
        <v>0</v>
      </c>
      <c r="DT4" s="2">
        <f>SUMIF(inputs!$G:$G,Weekly_All!DT$3&amp;Weekly_All!$B$3,inputs!$D:$D)</f>
        <v>0</v>
      </c>
      <c r="DU4" s="2">
        <f>SUMIF(inputs!$G:$G,Weekly_All!DU$3&amp;Weekly_All!$B$3,inputs!$D:$D)</f>
        <v>0</v>
      </c>
      <c r="DV4" s="2">
        <f>SUMIF(inputs!$G:$G,Weekly_All!DV$3&amp;Weekly_All!$B$3,inputs!$D:$D)</f>
        <v>0</v>
      </c>
      <c r="DW4" s="2">
        <f>SUMIF(inputs!$G:$G,Weekly_All!DW$3&amp;Weekly_All!$B$3,inputs!$D:$D)</f>
        <v>0</v>
      </c>
      <c r="DX4" s="2">
        <f>SUMIF(inputs!$G:$G,Weekly_All!DX$3&amp;Weekly_All!$B$3,inputs!$D:$D)</f>
        <v>0</v>
      </c>
      <c r="DY4" s="2">
        <f>SUMIF(inputs!$G:$G,Weekly_All!DY$3&amp;Weekly_All!$B$3,inputs!$D:$D)</f>
        <v>0</v>
      </c>
      <c r="DZ4" s="2">
        <f>SUMIF(inputs!$G:$G,Weekly_All!DZ$3&amp;Weekly_All!$B$3,inputs!$D:$D)</f>
        <v>0</v>
      </c>
      <c r="EA4" s="2">
        <f>SUMIF(inputs!$G:$G,Weekly_All!EA$3&amp;Weekly_All!$B$3,inputs!$D:$D)</f>
        <v>0</v>
      </c>
      <c r="EB4" s="2">
        <f>SUMIF(inputs!$G:$G,Weekly_All!EB$3&amp;Weekly_All!$B$3,inputs!$D:$D)</f>
        <v>0</v>
      </c>
      <c r="EC4" s="2">
        <f>SUMIF(inputs!$G:$G,Weekly_All!EC$3&amp;Weekly_All!$B$3,inputs!$D:$D)</f>
        <v>0</v>
      </c>
      <c r="ED4" s="2">
        <f>SUMIF(inputs!$G:$G,Weekly_All!ED$3&amp;Weekly_All!$B$3,inputs!$D:$D)</f>
        <v>0</v>
      </c>
      <c r="EE4" s="2">
        <f>SUMIF(inputs!$G:$G,Weekly_All!EE$3&amp;Weekly_All!$B$3,inputs!$D:$D)</f>
        <v>0</v>
      </c>
      <c r="EF4" s="2">
        <f>SUMIF(inputs!$G:$G,Weekly_All!EF$3&amp;Weekly_All!$B$3,inputs!$D:$D)</f>
        <v>0</v>
      </c>
      <c r="EG4" s="2">
        <f>SUMIF(inputs!$G:$G,Weekly_All!EG$3&amp;Weekly_All!$B$3,inputs!$D:$D)</f>
        <v>0</v>
      </c>
      <c r="EH4" s="2">
        <f>SUMIF(inputs!$G:$G,Weekly_All!EH$3&amp;Weekly_All!$B$3,inputs!$D:$D)</f>
        <v>0</v>
      </c>
      <c r="EI4" s="2">
        <f>SUMIF(inputs!$G:$G,Weekly_All!EI$3&amp;Weekly_All!$B$3,inputs!$D:$D)</f>
        <v>0</v>
      </c>
      <c r="EJ4" s="2">
        <f>SUMIF(inputs!$G:$G,Weekly_All!EJ$3&amp;Weekly_All!$B$3,inputs!$D:$D)</f>
        <v>0</v>
      </c>
      <c r="EK4" s="2">
        <f>SUMIF(inputs!$G:$G,Weekly_All!EK$3&amp;Weekly_All!$B$3,inputs!$D:$D)</f>
        <v>0</v>
      </c>
      <c r="EL4" s="2">
        <f>SUMIF(inputs!$G:$G,Weekly_All!EL$3&amp;Weekly_All!$B$3,inputs!$D:$D)</f>
        <v>0</v>
      </c>
      <c r="EM4" s="2">
        <f>SUMIF(inputs!$G:$G,Weekly_All!EM$3&amp;Weekly_All!$B$3,inputs!$D:$D)</f>
        <v>0</v>
      </c>
      <c r="EN4" s="2">
        <f>SUMIF(inputs!$G:$G,Weekly_All!EN$3&amp;Weekly_All!$B$3,inputs!$D:$D)</f>
        <v>0</v>
      </c>
      <c r="EO4" s="2">
        <f>SUMIF(inputs!$G:$G,Weekly_All!EO$3&amp;Weekly_All!$B$3,inputs!$D:$D)</f>
        <v>0</v>
      </c>
      <c r="EP4" s="2">
        <f>SUMIF(inputs!$G:$G,Weekly_All!EP$3&amp;Weekly_All!$B$3,inputs!$D:$D)</f>
        <v>0</v>
      </c>
      <c r="EQ4" s="2">
        <f>SUMIF(inputs!$G:$G,Weekly_All!EQ$3&amp;Weekly_All!$B$3,inputs!$D:$D)</f>
        <v>0</v>
      </c>
      <c r="ER4" s="2">
        <f>SUMIF(inputs!$G:$G,Weekly_All!ER$3&amp;Weekly_All!$B$3,inputs!$D:$D)</f>
        <v>0</v>
      </c>
      <c r="ES4" s="2">
        <f>SUMIF(inputs!$G:$G,Weekly_All!ES$3&amp;Weekly_All!$B$3,inputs!$D:$D)</f>
        <v>0</v>
      </c>
      <c r="ET4" s="2">
        <f>SUMIF(inputs!$G:$G,Weekly_All!ET$3&amp;Weekly_All!$B$3,inputs!$D:$D)</f>
        <v>0</v>
      </c>
      <c r="EU4" s="2">
        <f>SUMIF(inputs!$G:$G,Weekly_All!EU$3&amp;Weekly_All!$B$3,inputs!$D:$D)</f>
        <v>0</v>
      </c>
      <c r="EV4" s="2">
        <f>SUMIF(inputs!$G:$G,Weekly_All!EV$3&amp;Weekly_All!$B$3,inputs!$D:$D)</f>
        <v>0</v>
      </c>
      <c r="EW4" s="2">
        <f>SUMIF(inputs!$G:$G,Weekly_All!EW$3&amp;Weekly_All!$B$3,inputs!$D:$D)</f>
        <v>0</v>
      </c>
      <c r="EX4" s="2">
        <f>SUMIF(inputs!$G:$G,Weekly_All!EX$3&amp;Weekly_All!$B$3,inputs!$D:$D)</f>
        <v>0</v>
      </c>
      <c r="EY4" s="2">
        <f>SUMIF(inputs!$G:$G,Weekly_All!EY$3&amp;Weekly_All!$B$3,inputs!$D:$D)</f>
        <v>0</v>
      </c>
      <c r="EZ4" s="2">
        <f>SUMIF(inputs!$G:$G,Weekly_All!EZ$3&amp;Weekly_All!$B$3,inputs!$D:$D)</f>
        <v>0</v>
      </c>
      <c r="FA4" s="2">
        <f>SUMIF(inputs!$G:$G,Weekly_All!FA$3&amp;Weekly_All!$B$3,inputs!$D:$D)</f>
        <v>0</v>
      </c>
      <c r="FB4" s="2">
        <f>SUMIF(inputs!$G:$G,Weekly_All!FB$3&amp;Weekly_All!$B$3,inputs!$D:$D)</f>
        <v>0</v>
      </c>
      <c r="FC4" s="2">
        <f>SUMIF(inputs!$G:$G,Weekly_All!FC$3&amp;Weekly_All!$B$3,inputs!$D:$D)</f>
        <v>0</v>
      </c>
      <c r="FD4" s="2">
        <f>SUMIF(inputs!$G:$G,Weekly_All!FD$3&amp;Weekly_All!$B$3,inputs!$D:$D)</f>
        <v>0</v>
      </c>
      <c r="FE4" s="2">
        <f>SUMIF(inputs!$G:$G,Weekly_All!FE$3&amp;Weekly_All!$B$3,inputs!$D:$D)</f>
        <v>0</v>
      </c>
    </row>
    <row r="5" spans="2:161">
      <c r="B5" s="2" t="s">
        <v>990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2</v>
      </c>
      <c r="BP5" s="2">
        <f t="shared" ref="BP5:EA5" si="1">SUM(BP6:BP24)</f>
        <v>0</v>
      </c>
      <c r="BQ5" s="2">
        <f t="shared" si="1"/>
        <v>1</v>
      </c>
      <c r="BR5" s="2">
        <f t="shared" si="1"/>
        <v>4</v>
      </c>
      <c r="BS5" s="2">
        <f t="shared" si="1"/>
        <v>1</v>
      </c>
      <c r="BT5" s="2">
        <f t="shared" si="1"/>
        <v>3</v>
      </c>
      <c r="BU5" s="2">
        <f t="shared" si="1"/>
        <v>7</v>
      </c>
      <c r="BV5" s="2">
        <f t="shared" si="1"/>
        <v>0</v>
      </c>
      <c r="BW5" s="2">
        <f t="shared" si="1"/>
        <v>4</v>
      </c>
      <c r="BX5" s="2">
        <f t="shared" si="1"/>
        <v>8</v>
      </c>
      <c r="BY5" s="2">
        <f t="shared" si="1"/>
        <v>7</v>
      </c>
      <c r="BZ5" s="2">
        <f t="shared" si="1"/>
        <v>9</v>
      </c>
      <c r="CA5" s="2">
        <f t="shared" si="1"/>
        <v>4</v>
      </c>
      <c r="CB5" s="2">
        <f t="shared" si="1"/>
        <v>4</v>
      </c>
      <c r="CC5" s="2">
        <f t="shared" si="1"/>
        <v>13</v>
      </c>
      <c r="CD5" s="2">
        <f t="shared" si="1"/>
        <v>7</v>
      </c>
      <c r="CE5" s="2">
        <f t="shared" si="1"/>
        <v>7</v>
      </c>
      <c r="CF5" s="2">
        <f t="shared" si="1"/>
        <v>19</v>
      </c>
      <c r="CG5" s="2">
        <f t="shared" si="1"/>
        <v>12</v>
      </c>
      <c r="CH5" s="2">
        <f t="shared" si="1"/>
        <v>5</v>
      </c>
      <c r="CI5" s="2">
        <f t="shared" si="1"/>
        <v>12</v>
      </c>
      <c r="CJ5" s="2">
        <f t="shared" si="1"/>
        <v>19</v>
      </c>
      <c r="CK5" s="2">
        <f t="shared" si="1"/>
        <v>19</v>
      </c>
      <c r="CL5" s="2">
        <f t="shared" si="1"/>
        <v>33</v>
      </c>
      <c r="CM5" s="2">
        <f t="shared" si="1"/>
        <v>9</v>
      </c>
      <c r="CN5" s="2">
        <f t="shared" si="1"/>
        <v>22</v>
      </c>
      <c r="CO5" s="2">
        <f t="shared" si="1"/>
        <v>28</v>
      </c>
      <c r="CP5" s="2">
        <f t="shared" si="1"/>
        <v>23</v>
      </c>
      <c r="CQ5" s="2">
        <f t="shared" si="1"/>
        <v>30</v>
      </c>
      <c r="CR5" s="2">
        <f t="shared" si="1"/>
        <v>15</v>
      </c>
      <c r="CS5" s="2">
        <f t="shared" si="1"/>
        <v>13</v>
      </c>
      <c r="CT5" s="2">
        <f t="shared" si="1"/>
        <v>54</v>
      </c>
      <c r="CU5" s="2">
        <f t="shared" si="1"/>
        <v>16</v>
      </c>
      <c r="CV5" s="2">
        <f t="shared" si="1"/>
        <v>4</v>
      </c>
      <c r="CW5" s="2">
        <f t="shared" si="1"/>
        <v>4</v>
      </c>
      <c r="CX5" s="2">
        <f t="shared" si="1"/>
        <v>10</v>
      </c>
      <c r="CY5" s="2">
        <f t="shared" si="1"/>
        <v>15</v>
      </c>
      <c r="CZ5" s="2">
        <f t="shared" si="1"/>
        <v>2</v>
      </c>
      <c r="DA5" s="2">
        <f t="shared" si="1"/>
        <v>2</v>
      </c>
      <c r="DB5" s="2">
        <f t="shared" si="1"/>
        <v>2</v>
      </c>
      <c r="DC5" s="2">
        <f t="shared" si="1"/>
        <v>8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>
      <c r="B6" s="2" t="s">
        <v>991</v>
      </c>
      <c r="C6" s="2">
        <f>COUNTIF(defects!$V:$V,Weekly_All!C$3&amp;Weekly_All!$B6&amp;Weekly_All!$B$3&amp;$B$2)</f>
        <v>0</v>
      </c>
      <c r="D6" s="2">
        <f>COUNTIF(defects!$V:$V,Weekly_All!D$3&amp;Weekly_All!$B6&amp;Weekly_All!$B$3&amp;$B$2)</f>
        <v>0</v>
      </c>
      <c r="E6" s="2">
        <f>COUNTIF(defects!$V:$V,Weekly_All!E$3&amp;Weekly_All!$B6&amp;Weekly_All!$B$3&amp;$B$2)</f>
        <v>0</v>
      </c>
      <c r="F6" s="2">
        <f>COUNTIF(defects!$V:$V,Weekly_All!F$3&amp;Weekly_All!$B6&amp;Weekly_All!$B$3&amp;$B$2)</f>
        <v>0</v>
      </c>
      <c r="G6" s="2">
        <f>COUNTIF(defects!$V:$V,Weekly_All!G$3&amp;Weekly_All!$B6&amp;Weekly_All!$B$3&amp;$B$2)</f>
        <v>0</v>
      </c>
      <c r="H6" s="2">
        <f>COUNTIF(defects!$V:$V,Weekly_All!H$3&amp;Weekly_All!$B6&amp;Weekly_All!$B$3&amp;$B$2)</f>
        <v>0</v>
      </c>
      <c r="I6" s="2">
        <f>COUNTIF(defects!$V:$V,Weekly_All!I$3&amp;Weekly_All!$B6&amp;Weekly_All!$B$3&amp;$B$2)</f>
        <v>0</v>
      </c>
      <c r="J6" s="2">
        <f>COUNTIF(defects!$V:$V,Weekly_All!J$3&amp;Weekly_All!$B6&amp;Weekly_All!$B$3&amp;$B$2)</f>
        <v>0</v>
      </c>
      <c r="K6" s="2">
        <f>COUNTIF(defects!$V:$V,Weekly_All!K$3&amp;Weekly_All!$B6&amp;Weekly_All!$B$3&amp;$B$2)</f>
        <v>0</v>
      </c>
      <c r="L6" s="2">
        <f>COUNTIF(defects!$V:$V,Weekly_All!L$3&amp;Weekly_All!$B6&amp;Weekly_All!$B$3&amp;$B$2)</f>
        <v>0</v>
      </c>
      <c r="M6" s="2">
        <f>COUNTIF(defects!$V:$V,Weekly_All!M$3&amp;Weekly_All!$B6&amp;Weekly_All!$B$3&amp;$B$2)</f>
        <v>0</v>
      </c>
      <c r="N6" s="2">
        <f>COUNTIF(defects!$V:$V,Weekly_All!N$3&amp;Weekly_All!$B6&amp;Weekly_All!$B$3&amp;$B$2)</f>
        <v>0</v>
      </c>
      <c r="O6" s="2">
        <f>COUNTIF(defects!$V:$V,Weekly_All!O$3&amp;Weekly_All!$B6&amp;Weekly_All!$B$3&amp;$B$2)</f>
        <v>0</v>
      </c>
      <c r="P6" s="2">
        <f>COUNTIF(defects!$V:$V,Weekly_All!P$3&amp;Weekly_All!$B6&amp;Weekly_All!$B$3&amp;$B$2)</f>
        <v>0</v>
      </c>
      <c r="Q6" s="2">
        <f>COUNTIF(defects!$V:$V,Weekly_All!Q$3&amp;Weekly_All!$B6&amp;Weekly_All!$B$3&amp;$B$2)</f>
        <v>0</v>
      </c>
      <c r="R6" s="2">
        <f>COUNTIF(defects!$V:$V,Weekly_All!R$3&amp;Weekly_All!$B6&amp;Weekly_All!$B$3&amp;$B$2)</f>
        <v>0</v>
      </c>
      <c r="S6" s="2">
        <f>COUNTIF(defects!$V:$V,Weekly_All!S$3&amp;Weekly_All!$B6&amp;Weekly_All!$B$3&amp;$B$2)</f>
        <v>0</v>
      </c>
      <c r="T6" s="2">
        <f>COUNTIF(defects!$V:$V,Weekly_All!T$3&amp;Weekly_All!$B6&amp;Weekly_All!$B$3&amp;$B$2)</f>
        <v>0</v>
      </c>
      <c r="U6" s="2">
        <f>COUNTIF(defects!$V:$V,Weekly_All!U$3&amp;Weekly_All!$B6&amp;Weekly_All!$B$3&amp;$B$2)</f>
        <v>0</v>
      </c>
      <c r="V6" s="2">
        <f>COUNTIF(defects!$V:$V,Weekly_All!V$3&amp;Weekly_All!$B6&amp;Weekly_All!$B$3&amp;$B$2)</f>
        <v>0</v>
      </c>
      <c r="W6" s="2">
        <f>COUNTIF(defects!$V:$V,Weekly_All!W$3&amp;Weekly_All!$B6&amp;Weekly_All!$B$3&amp;$B$2)</f>
        <v>0</v>
      </c>
      <c r="X6" s="2">
        <f>COUNTIF(defects!$V:$V,Weekly_All!X$3&amp;Weekly_All!$B6&amp;Weekly_All!$B$3&amp;$B$2)</f>
        <v>0</v>
      </c>
      <c r="Y6" s="2">
        <f>COUNTIF(defects!$V:$V,Weekly_All!Y$3&amp;Weekly_All!$B6&amp;Weekly_All!$B$3&amp;$B$2)</f>
        <v>0</v>
      </c>
      <c r="Z6" s="2">
        <f>COUNTIF(defects!$V:$V,Weekly_All!Z$3&amp;Weekly_All!$B6&amp;Weekly_All!$B$3&amp;$B$2)</f>
        <v>0</v>
      </c>
      <c r="AA6" s="2">
        <f>COUNTIF(defects!$V:$V,Weekly_All!AA$3&amp;Weekly_All!$B6&amp;Weekly_All!$B$3&amp;$B$2)</f>
        <v>0</v>
      </c>
      <c r="AB6" s="2">
        <f>COUNTIF(defects!$V:$V,Weekly_All!AB$3&amp;Weekly_All!$B6&amp;Weekly_All!$B$3&amp;$B$2)</f>
        <v>0</v>
      </c>
      <c r="AC6" s="2">
        <f>COUNTIF(defects!$V:$V,Weekly_All!AC$3&amp;Weekly_All!$B6&amp;Weekly_All!$B$3&amp;$B$2)</f>
        <v>0</v>
      </c>
      <c r="AD6" s="2">
        <f>COUNTIF(defects!$V:$V,Weekly_All!AD$3&amp;Weekly_All!$B6&amp;Weekly_All!$B$3&amp;$B$2)</f>
        <v>0</v>
      </c>
      <c r="AE6" s="2">
        <f>COUNTIF(defects!$V:$V,Weekly_All!AE$3&amp;Weekly_All!$B6&amp;Weekly_All!$B$3&amp;$B$2)</f>
        <v>0</v>
      </c>
      <c r="AF6" s="2">
        <f>COUNTIF(defects!$V:$V,Weekly_All!AF$3&amp;Weekly_All!$B6&amp;Weekly_All!$B$3&amp;$B$2)</f>
        <v>0</v>
      </c>
      <c r="AG6" s="2">
        <f>COUNTIF(defects!$V:$V,Weekly_All!AG$3&amp;Weekly_All!$B6&amp;Weekly_All!$B$3&amp;$B$2)</f>
        <v>0</v>
      </c>
      <c r="AH6" s="2">
        <f>COUNTIF(defects!$V:$V,Weekly_All!AH$3&amp;Weekly_All!$B6&amp;Weekly_All!$B$3&amp;$B$2)</f>
        <v>0</v>
      </c>
      <c r="AI6" s="2">
        <f>COUNTIF(defects!$V:$V,Weekly_All!AI$3&amp;Weekly_All!$B6&amp;Weekly_All!$B$3&amp;$B$2)</f>
        <v>0</v>
      </c>
      <c r="AJ6" s="2">
        <f>COUNTIF(defects!$V:$V,Weekly_All!AJ$3&amp;Weekly_All!$B6&amp;Weekly_All!$B$3&amp;$B$2)</f>
        <v>0</v>
      </c>
      <c r="AK6" s="2">
        <f>COUNTIF(defects!$V:$V,Weekly_All!AK$3&amp;Weekly_All!$B6&amp;Weekly_All!$B$3&amp;$B$2)</f>
        <v>0</v>
      </c>
      <c r="AL6" s="2">
        <f>COUNTIF(defects!$V:$V,Weekly_All!AL$3&amp;Weekly_All!$B6&amp;Weekly_All!$B$3&amp;$B$2)</f>
        <v>0</v>
      </c>
      <c r="AM6" s="2">
        <f>COUNTIF(defects!$V:$V,Weekly_All!AM$3&amp;Weekly_All!$B6&amp;Weekly_All!$B$3&amp;$B$2)</f>
        <v>0</v>
      </c>
      <c r="AN6" s="2">
        <f>COUNTIF(defects!$V:$V,Weekly_All!AN$3&amp;Weekly_All!$B6&amp;Weekly_All!$B$3&amp;$B$2)</f>
        <v>0</v>
      </c>
      <c r="AO6" s="2">
        <f>COUNTIF(defects!$V:$V,Weekly_All!AO$3&amp;Weekly_All!$B6&amp;Weekly_All!$B$3&amp;$B$2)</f>
        <v>0</v>
      </c>
      <c r="AP6" s="2">
        <f>COUNTIF(defects!$V:$V,Weekly_All!AP$3&amp;Weekly_All!$B6&amp;Weekly_All!$B$3&amp;$B$2)</f>
        <v>0</v>
      </c>
      <c r="AQ6" s="2">
        <f>COUNTIF(defects!$V:$V,Weekly_All!AQ$3&amp;Weekly_All!$B6&amp;Weekly_All!$B$3&amp;$B$2)</f>
        <v>0</v>
      </c>
      <c r="AR6" s="2">
        <f>COUNTIF(defects!$V:$V,Weekly_All!AR$3&amp;Weekly_All!$B6&amp;Weekly_All!$B$3&amp;$B$2)</f>
        <v>0</v>
      </c>
      <c r="AS6" s="2">
        <f>COUNTIF(defects!$V:$V,Weekly_All!AS$3&amp;Weekly_All!$B6&amp;Weekly_All!$B$3&amp;$B$2)</f>
        <v>0</v>
      </c>
      <c r="AT6" s="2">
        <f>COUNTIF(defects!$V:$V,Weekly_All!AT$3&amp;Weekly_All!$B6&amp;Weekly_All!$B$3&amp;$B$2)</f>
        <v>0</v>
      </c>
      <c r="AU6" s="2">
        <f>COUNTIF(defects!$V:$V,Weekly_All!AU$3&amp;Weekly_All!$B6&amp;Weekly_All!$B$3&amp;$B$2)</f>
        <v>0</v>
      </c>
      <c r="AV6" s="2">
        <f>COUNTIF(defects!$V:$V,Weekly_All!AV$3&amp;Weekly_All!$B6&amp;Weekly_All!$B$3&amp;$B$2)</f>
        <v>0</v>
      </c>
      <c r="AW6" s="2">
        <f>COUNTIF(defects!$V:$V,Weekly_All!AW$3&amp;Weekly_All!$B6&amp;Weekly_All!$B$3&amp;$B$2)</f>
        <v>0</v>
      </c>
      <c r="AX6" s="2">
        <f>COUNTIF(defects!$V:$V,Weekly_All!AX$3&amp;Weekly_All!$B6&amp;Weekly_All!$B$3&amp;$B$2)</f>
        <v>0</v>
      </c>
      <c r="AY6" s="2">
        <f>COUNTIF(defects!$V:$V,Weekly_All!AY$3&amp;Weekly_All!$B6&amp;Weekly_All!$B$3&amp;$B$2)</f>
        <v>0</v>
      </c>
      <c r="AZ6" s="2">
        <f>COUNTIF(defects!$V:$V,Weekly_All!AZ$3&amp;Weekly_All!$B6&amp;Weekly_All!$B$3&amp;$B$2)</f>
        <v>0</v>
      </c>
      <c r="BA6" s="2">
        <f>COUNTIF(defects!$V:$V,Weekly_All!BA$3&amp;Weekly_All!$B6&amp;Weekly_All!$B$3&amp;$B$2)</f>
        <v>0</v>
      </c>
      <c r="BB6" s="2">
        <f>COUNTIF(defects!$V:$V,Weekly_All!BB$3&amp;Weekly_All!$B6&amp;Weekly_All!$B$3&amp;$B$2)</f>
        <v>0</v>
      </c>
      <c r="BC6" s="2">
        <f>COUNTIF(defects!$V:$V,Weekly_All!BC$3&amp;Weekly_All!$B6&amp;Weekly_All!$B$3&amp;$B$2)</f>
        <v>0</v>
      </c>
      <c r="BD6" s="2">
        <f>COUNTIF(defects!$V:$V,Weekly_All!BD$3&amp;Weekly_All!$B6&amp;Weekly_All!$B$3&amp;$B$2)</f>
        <v>0</v>
      </c>
      <c r="BE6" s="2">
        <f>COUNTIF(defects!$V:$V,Weekly_All!BE$3&amp;Weekly_All!$B6&amp;Weekly_All!$B$3&amp;$B$2)</f>
        <v>0</v>
      </c>
      <c r="BF6" s="2">
        <f>COUNTIF(defects!$V:$V,Weekly_All!BF$3&amp;Weekly_All!$B6&amp;Weekly_All!$B$3&amp;$B$2)</f>
        <v>0</v>
      </c>
      <c r="BG6" s="2">
        <f>COUNTIF(defects!$V:$V,Weekly_All!BG$3&amp;Weekly_All!$B6&amp;Weekly_All!$B$3&amp;$B$2)</f>
        <v>0</v>
      </c>
      <c r="BH6" s="2">
        <f>COUNTIF(defects!$V:$V,Weekly_All!BH$3&amp;Weekly_All!$B6&amp;Weekly_All!$B$3&amp;$B$2)</f>
        <v>0</v>
      </c>
      <c r="BI6" s="2">
        <f>COUNTIF(defects!$V:$V,Weekly_All!BI$3&amp;Weekly_All!$B6&amp;Weekly_All!$B$3&amp;$B$2)</f>
        <v>0</v>
      </c>
      <c r="BJ6" s="2">
        <f>COUNTIF(defects!$V:$V,Weekly_All!BJ$3&amp;Weekly_All!$B6&amp;Weekly_All!$B$3&amp;$B$2)</f>
        <v>0</v>
      </c>
      <c r="BK6" s="2">
        <f>COUNTIF(defects!$V:$V,Weekly_All!BK$3&amp;Weekly_All!$B6&amp;Weekly_All!$B$3&amp;$B$2)</f>
        <v>0</v>
      </c>
      <c r="BL6" s="2">
        <f>COUNTIF(defects!$V:$V,Weekly_All!BL$3&amp;Weekly_All!$B6&amp;Weekly_All!$B$3&amp;$B$2)</f>
        <v>0</v>
      </c>
      <c r="BM6" s="2">
        <f>COUNTIF(defects!$V:$V,Weekly_All!BM$3&amp;Weekly_All!$B6&amp;Weekly_All!$B$3&amp;$B$2)</f>
        <v>0</v>
      </c>
      <c r="BN6" s="2">
        <f>COUNTIF(defects!$V:$V,Weekly_All!BN$3&amp;Weekly_All!$B6&amp;Weekly_All!$B$3&amp;$B$2)</f>
        <v>0</v>
      </c>
      <c r="BO6" s="2">
        <f>COUNTIF(defects!$V:$V,Weekly_All!BO$3&amp;Weekly_All!$B6&amp;Weekly_All!$B$3&amp;$B$2)</f>
        <v>0</v>
      </c>
      <c r="BP6" s="2">
        <f>COUNTIF(defects!$V:$V,Weekly_All!BP$3&amp;Weekly_All!$B6&amp;Weekly_All!$B$3&amp;$B$2)</f>
        <v>0</v>
      </c>
      <c r="BQ6" s="2">
        <f>COUNTIF(defects!$V:$V,Weekly_All!BQ$3&amp;Weekly_All!$B6&amp;Weekly_All!$B$3&amp;$B$2)</f>
        <v>0</v>
      </c>
      <c r="BR6" s="2">
        <f>COUNTIF(defects!$V:$V,Weekly_All!BR$3&amp;Weekly_All!$B6&amp;Weekly_All!$B$3&amp;$B$2)</f>
        <v>0</v>
      </c>
      <c r="BS6" s="2">
        <f>COUNTIF(defects!$V:$V,Weekly_All!BS$3&amp;Weekly_All!$B6&amp;Weekly_All!$B$3&amp;$B$2)</f>
        <v>0</v>
      </c>
      <c r="BT6" s="2">
        <f>COUNTIF(defects!$V:$V,Weekly_All!BT$3&amp;Weekly_All!$B6&amp;Weekly_All!$B$3&amp;$B$2)</f>
        <v>0</v>
      </c>
      <c r="BU6" s="2">
        <f>COUNTIF(defects!$V:$V,Weekly_All!BU$3&amp;Weekly_All!$B6&amp;Weekly_All!$B$3&amp;$B$2)</f>
        <v>0</v>
      </c>
      <c r="BV6" s="2">
        <f>COUNTIF(defects!$V:$V,Weekly_All!BV$3&amp;Weekly_All!$B6&amp;Weekly_All!$B$3&amp;$B$2)</f>
        <v>0</v>
      </c>
      <c r="BW6" s="2">
        <f>COUNTIF(defects!$V:$V,Weekly_All!BW$3&amp;Weekly_All!$B6&amp;Weekly_All!$B$3&amp;$B$2)</f>
        <v>0</v>
      </c>
      <c r="BX6" s="2">
        <f>COUNTIF(defects!$V:$V,Weekly_All!BX$3&amp;Weekly_All!$B6&amp;Weekly_All!$B$3&amp;$B$2)</f>
        <v>0</v>
      </c>
      <c r="BY6" s="2">
        <f>COUNTIF(defects!$V:$V,Weekly_All!BY$3&amp;Weekly_All!$B6&amp;Weekly_All!$B$3&amp;$B$2)</f>
        <v>0</v>
      </c>
      <c r="BZ6" s="2">
        <f>COUNTIF(defects!$V:$V,Weekly_All!BZ$3&amp;Weekly_All!$B6&amp;Weekly_All!$B$3&amp;$B$2)</f>
        <v>0</v>
      </c>
      <c r="CA6" s="2">
        <f>COUNTIF(defects!$V:$V,Weekly_All!CA$3&amp;Weekly_All!$B6&amp;Weekly_All!$B$3&amp;$B$2)</f>
        <v>0</v>
      </c>
      <c r="CB6" s="2">
        <f>COUNTIF(defects!$V:$V,Weekly_All!CB$3&amp;Weekly_All!$B6&amp;Weekly_All!$B$3&amp;$B$2)</f>
        <v>0</v>
      </c>
      <c r="CC6" s="2">
        <f>COUNTIF(defects!$V:$V,Weekly_All!CC$3&amp;Weekly_All!$B6&amp;Weekly_All!$B$3&amp;$B$2)</f>
        <v>0</v>
      </c>
      <c r="CD6" s="2">
        <f>COUNTIF(defects!$V:$V,Weekly_All!CD$3&amp;Weekly_All!$B6&amp;Weekly_All!$B$3&amp;$B$2)</f>
        <v>0</v>
      </c>
      <c r="CE6" s="2">
        <f>COUNTIF(defects!$V:$V,Weekly_All!CE$3&amp;Weekly_All!$B6&amp;Weekly_All!$B$3&amp;$B$2)</f>
        <v>0</v>
      </c>
      <c r="CF6" s="2">
        <f>COUNTIF(defects!$V:$V,Weekly_All!CF$3&amp;Weekly_All!$B6&amp;Weekly_All!$B$3&amp;$B$2)</f>
        <v>0</v>
      </c>
      <c r="CG6" s="2">
        <f>COUNTIF(defects!$V:$V,Weekly_All!CG$3&amp;Weekly_All!$B6&amp;Weekly_All!$B$3&amp;$B$2)</f>
        <v>0</v>
      </c>
      <c r="CH6" s="2">
        <f>COUNTIF(defects!$V:$V,Weekly_All!CH$3&amp;Weekly_All!$B6&amp;Weekly_All!$B$3&amp;$B$2)</f>
        <v>0</v>
      </c>
      <c r="CI6" s="2">
        <f>COUNTIF(defects!$V:$V,Weekly_All!CI$3&amp;Weekly_All!$B6&amp;Weekly_All!$B$3&amp;$B$2)</f>
        <v>0</v>
      </c>
      <c r="CJ6" s="2">
        <f>COUNTIF(defects!$V:$V,Weekly_All!CJ$3&amp;Weekly_All!$B6&amp;Weekly_All!$B$3&amp;$B$2)</f>
        <v>0</v>
      </c>
      <c r="CK6" s="2">
        <f>COUNTIF(defects!$V:$V,Weekly_All!CK$3&amp;Weekly_All!$B6&amp;Weekly_All!$B$3&amp;$B$2)</f>
        <v>0</v>
      </c>
      <c r="CL6" s="2">
        <f>COUNTIF(defects!$V:$V,Weekly_All!CL$3&amp;Weekly_All!$B6&amp;Weekly_All!$B$3&amp;$B$2)</f>
        <v>0</v>
      </c>
      <c r="CM6" s="2">
        <f>COUNTIF(defects!$V:$V,Weekly_All!CM$3&amp;Weekly_All!$B6&amp;Weekly_All!$B$3&amp;$B$2)</f>
        <v>0</v>
      </c>
      <c r="CN6" s="2">
        <f>COUNTIF(defects!$V:$V,Weekly_All!CN$3&amp;Weekly_All!$B6&amp;Weekly_All!$B$3&amp;$B$2)</f>
        <v>0</v>
      </c>
      <c r="CO6" s="2">
        <f>COUNTIF(defects!$V:$V,Weekly_All!CO$3&amp;Weekly_All!$B6&amp;Weekly_All!$B$3&amp;$B$2)</f>
        <v>0</v>
      </c>
      <c r="CP6" s="2">
        <f>COUNTIF(defects!$V:$V,Weekly_All!CP$3&amp;Weekly_All!$B6&amp;Weekly_All!$B$3&amp;$B$2)</f>
        <v>0</v>
      </c>
      <c r="CQ6" s="2">
        <f>COUNTIF(defects!$V:$V,Weekly_All!CQ$3&amp;Weekly_All!$B6&amp;Weekly_All!$B$3&amp;$B$2)</f>
        <v>0</v>
      </c>
      <c r="CR6" s="2">
        <f>COUNTIF(defects!$V:$V,Weekly_All!CR$3&amp;Weekly_All!$B6&amp;Weekly_All!$B$3&amp;$B$2)</f>
        <v>0</v>
      </c>
      <c r="CS6" s="2">
        <f>COUNTIF(defects!$V:$V,Weekly_All!CS$3&amp;Weekly_All!$B6&amp;Weekly_All!$B$3&amp;$B$2)</f>
        <v>0</v>
      </c>
      <c r="CT6" s="2">
        <f>COUNTIF(defects!$V:$V,Weekly_All!CT$3&amp;Weekly_All!$B6&amp;Weekly_All!$B$3&amp;$B$2)</f>
        <v>0</v>
      </c>
      <c r="CU6" s="2">
        <f>COUNTIF(defects!$V:$V,Weekly_All!CU$3&amp;Weekly_All!$B6&amp;Weekly_All!$B$3&amp;$B$2)</f>
        <v>0</v>
      </c>
      <c r="CV6" s="2">
        <f>COUNTIF(defects!$V:$V,Weekly_All!CV$3&amp;Weekly_All!$B6&amp;Weekly_All!$B$3&amp;$B$2)</f>
        <v>0</v>
      </c>
      <c r="CW6" s="2">
        <f>COUNTIF(defects!$V:$V,Weekly_All!CW$3&amp;Weekly_All!$B6&amp;Weekly_All!$B$3&amp;$B$2)</f>
        <v>0</v>
      </c>
      <c r="CX6" s="2">
        <f>COUNTIF(defects!$V:$V,Weekly_All!CX$3&amp;Weekly_All!$B6&amp;Weekly_All!$B$3&amp;$B$2)</f>
        <v>0</v>
      </c>
      <c r="CY6" s="2">
        <f>COUNTIF(defects!$V:$V,Weekly_All!CY$3&amp;Weekly_All!$B6&amp;Weekly_All!$B$3&amp;$B$2)</f>
        <v>0</v>
      </c>
      <c r="CZ6" s="2">
        <f>COUNTIF(defects!$V:$V,Weekly_All!CZ$3&amp;Weekly_All!$B6&amp;Weekly_All!$B$3&amp;$B$2)</f>
        <v>0</v>
      </c>
      <c r="DA6" s="2">
        <f>COUNTIF(defects!$V:$V,Weekly_All!DA$3&amp;Weekly_All!$B6&amp;Weekly_All!$B$3&amp;$B$2)</f>
        <v>0</v>
      </c>
      <c r="DB6" s="2">
        <f>COUNTIF(defects!$V:$V,Weekly_All!DB$3&amp;Weekly_All!$B6&amp;Weekly_All!$B$3&amp;$B$2)</f>
        <v>0</v>
      </c>
      <c r="DC6" s="2">
        <f>COUNTIF(defects!$V:$V,Weekly_All!DC$3&amp;Weekly_All!$B6&amp;Weekly_All!$B$3&amp;$B$2)</f>
        <v>0</v>
      </c>
      <c r="DD6" s="2">
        <f>COUNTIF(defects!$V:$V,Weekly_All!DD$3&amp;Weekly_All!$B6&amp;Weekly_All!$B$3&amp;$B$2)</f>
        <v>0</v>
      </c>
      <c r="DE6" s="2">
        <f>COUNTIF(defects!$V:$V,Weekly_All!DE$3&amp;Weekly_All!$B6&amp;Weekly_All!$B$3&amp;$B$2)</f>
        <v>0</v>
      </c>
      <c r="DF6" s="2">
        <f>COUNTIF(defects!$V:$V,Weekly_All!DF$3&amp;Weekly_All!$B6&amp;Weekly_All!$B$3&amp;$B$2)</f>
        <v>0</v>
      </c>
      <c r="DG6" s="2">
        <f>COUNTIF(defects!$V:$V,Weekly_All!DG$3&amp;Weekly_All!$B6&amp;Weekly_All!$B$3&amp;$B$2)</f>
        <v>0</v>
      </c>
      <c r="DH6" s="2">
        <f>COUNTIF(defects!$V:$V,Weekly_All!DH$3&amp;Weekly_All!$B6&amp;Weekly_All!$B$3&amp;$B$2)</f>
        <v>0</v>
      </c>
      <c r="DI6" s="2">
        <f>COUNTIF(defects!$V:$V,Weekly_All!DI$3&amp;Weekly_All!$B6&amp;Weekly_All!$B$3&amp;$B$2)</f>
        <v>0</v>
      </c>
      <c r="DJ6" s="2">
        <f>COUNTIF(defects!$V:$V,Weekly_All!DJ$3&amp;Weekly_All!$B6&amp;Weekly_All!$B$3&amp;$B$2)</f>
        <v>0</v>
      </c>
      <c r="DK6" s="2">
        <f>COUNTIF(defects!$V:$V,Weekly_All!DK$3&amp;Weekly_All!$B6&amp;Weekly_All!$B$3&amp;$B$2)</f>
        <v>0</v>
      </c>
      <c r="DL6" s="2">
        <f>COUNTIF(defects!$V:$V,Weekly_All!DL$3&amp;Weekly_All!$B6&amp;Weekly_All!$B$3&amp;$B$2)</f>
        <v>0</v>
      </c>
      <c r="DM6" s="2">
        <f>COUNTIF(defects!$V:$V,Weekly_All!DM$3&amp;Weekly_All!$B6&amp;Weekly_All!$B$3&amp;$B$2)</f>
        <v>0</v>
      </c>
      <c r="DN6" s="2">
        <f>COUNTIF(defects!$V:$V,Weekly_All!DN$3&amp;Weekly_All!$B6&amp;Weekly_All!$B$3&amp;$B$2)</f>
        <v>0</v>
      </c>
      <c r="DO6" s="2">
        <f>COUNTIF(defects!$V:$V,Weekly_All!DO$3&amp;Weekly_All!$B6&amp;Weekly_All!$B$3&amp;$B$2)</f>
        <v>0</v>
      </c>
      <c r="DP6" s="2">
        <f>COUNTIF(defects!$V:$V,Weekly_All!DP$3&amp;Weekly_All!$B6&amp;Weekly_All!$B$3&amp;$B$2)</f>
        <v>0</v>
      </c>
      <c r="DQ6" s="2">
        <f>COUNTIF(defects!$V:$V,Weekly_All!DQ$3&amp;Weekly_All!$B6&amp;Weekly_All!$B$3&amp;$B$2)</f>
        <v>0</v>
      </c>
      <c r="DR6" s="2">
        <f>COUNTIF(defects!$V:$V,Weekly_All!DR$3&amp;Weekly_All!$B6&amp;Weekly_All!$B$3&amp;$B$2)</f>
        <v>0</v>
      </c>
      <c r="DS6" s="2">
        <f>COUNTIF(defects!$V:$V,Weekly_All!DS$3&amp;Weekly_All!$B6&amp;Weekly_All!$B$3&amp;$B$2)</f>
        <v>0</v>
      </c>
      <c r="DT6" s="2">
        <f>COUNTIF(defects!$V:$V,Weekly_All!DT$3&amp;Weekly_All!$B6&amp;Weekly_All!$B$3&amp;$B$2)</f>
        <v>0</v>
      </c>
      <c r="DU6" s="2">
        <f>COUNTIF(defects!$V:$V,Weekly_All!DU$3&amp;Weekly_All!$B6&amp;Weekly_All!$B$3&amp;$B$2)</f>
        <v>0</v>
      </c>
      <c r="DV6" s="2">
        <f>COUNTIF(defects!$V:$V,Weekly_All!DV$3&amp;Weekly_All!$B6&amp;Weekly_All!$B$3&amp;$B$2)</f>
        <v>0</v>
      </c>
      <c r="DW6" s="2">
        <f>COUNTIF(defects!$V:$V,Weekly_All!DW$3&amp;Weekly_All!$B6&amp;Weekly_All!$B$3&amp;$B$2)</f>
        <v>0</v>
      </c>
      <c r="DX6" s="2">
        <f>COUNTIF(defects!$V:$V,Weekly_All!DX$3&amp;Weekly_All!$B6&amp;Weekly_All!$B$3&amp;$B$2)</f>
        <v>0</v>
      </c>
      <c r="DY6" s="2">
        <f>COUNTIF(defects!$V:$V,Weekly_All!DY$3&amp;Weekly_All!$B6&amp;Weekly_All!$B$3&amp;$B$2)</f>
        <v>0</v>
      </c>
      <c r="DZ6" s="2">
        <f>COUNTIF(defects!$V:$V,Weekly_All!DZ$3&amp;Weekly_All!$B6&amp;Weekly_All!$B$3&amp;$B$2)</f>
        <v>0</v>
      </c>
      <c r="EA6" s="2">
        <f>COUNTIF(defects!$V:$V,Weekly_All!EA$3&amp;Weekly_All!$B6&amp;Weekly_All!$B$3&amp;$B$2)</f>
        <v>0</v>
      </c>
      <c r="EB6" s="2">
        <f>COUNTIF(defects!$V:$V,Weekly_All!EB$3&amp;Weekly_All!$B6&amp;Weekly_All!$B$3&amp;$B$2)</f>
        <v>0</v>
      </c>
      <c r="EC6" s="2">
        <f>COUNTIF(defects!$V:$V,Weekly_All!EC$3&amp;Weekly_All!$B6&amp;Weekly_All!$B$3&amp;$B$2)</f>
        <v>0</v>
      </c>
      <c r="ED6" s="2">
        <f>COUNTIF(defects!$V:$V,Weekly_All!ED$3&amp;Weekly_All!$B6&amp;Weekly_All!$B$3&amp;$B$2)</f>
        <v>0</v>
      </c>
      <c r="EE6" s="2">
        <f>COUNTIF(defects!$V:$V,Weekly_All!EE$3&amp;Weekly_All!$B6&amp;Weekly_All!$B$3&amp;$B$2)</f>
        <v>0</v>
      </c>
      <c r="EF6" s="2">
        <f>COUNTIF(defects!$V:$V,Weekly_All!EF$3&amp;Weekly_All!$B6&amp;Weekly_All!$B$3&amp;$B$2)</f>
        <v>0</v>
      </c>
      <c r="EG6" s="2">
        <f>COUNTIF(defects!$V:$V,Weekly_All!EG$3&amp;Weekly_All!$B6&amp;Weekly_All!$B$3&amp;$B$2)</f>
        <v>0</v>
      </c>
      <c r="EH6" s="2">
        <f>COUNTIF(defects!$V:$V,Weekly_All!EH$3&amp;Weekly_All!$B6&amp;Weekly_All!$B$3&amp;$B$2)</f>
        <v>0</v>
      </c>
      <c r="EI6" s="2">
        <f>COUNTIF(defects!$V:$V,Weekly_All!EI$3&amp;Weekly_All!$B6&amp;Weekly_All!$B$3&amp;$B$2)</f>
        <v>0</v>
      </c>
      <c r="EJ6" s="2">
        <f>COUNTIF(defects!$V:$V,Weekly_All!EJ$3&amp;Weekly_All!$B6&amp;Weekly_All!$B$3&amp;$B$2)</f>
        <v>0</v>
      </c>
      <c r="EK6" s="2">
        <f>COUNTIF(defects!$V:$V,Weekly_All!EK$3&amp;Weekly_All!$B6&amp;Weekly_All!$B$3&amp;$B$2)</f>
        <v>0</v>
      </c>
      <c r="EL6" s="2">
        <f>COUNTIF(defects!$V:$V,Weekly_All!EL$3&amp;Weekly_All!$B6&amp;Weekly_All!$B$3&amp;$B$2)</f>
        <v>0</v>
      </c>
      <c r="EM6" s="2">
        <f>COUNTIF(defects!$V:$V,Weekly_All!EM$3&amp;Weekly_All!$B6&amp;Weekly_All!$B$3&amp;$B$2)</f>
        <v>0</v>
      </c>
      <c r="EN6" s="2">
        <f>COUNTIF(defects!$V:$V,Weekly_All!EN$3&amp;Weekly_All!$B6&amp;Weekly_All!$B$3&amp;$B$2)</f>
        <v>0</v>
      </c>
      <c r="EO6" s="2">
        <f>COUNTIF(defects!$V:$V,Weekly_All!EO$3&amp;Weekly_All!$B6&amp;Weekly_All!$B$3&amp;$B$2)</f>
        <v>0</v>
      </c>
      <c r="EP6" s="2">
        <f>COUNTIF(defects!$V:$V,Weekly_All!EP$3&amp;Weekly_All!$B6&amp;Weekly_All!$B$3&amp;$B$2)</f>
        <v>0</v>
      </c>
      <c r="EQ6" s="2">
        <f>COUNTIF(defects!$V:$V,Weekly_All!EQ$3&amp;Weekly_All!$B6&amp;Weekly_All!$B$3&amp;$B$2)</f>
        <v>0</v>
      </c>
      <c r="ER6" s="2">
        <f>COUNTIF(defects!$V:$V,Weekly_All!ER$3&amp;Weekly_All!$B6&amp;Weekly_All!$B$3&amp;$B$2)</f>
        <v>0</v>
      </c>
      <c r="ES6" s="2">
        <f>COUNTIF(defects!$V:$V,Weekly_All!ES$3&amp;Weekly_All!$B6&amp;Weekly_All!$B$3&amp;$B$2)</f>
        <v>0</v>
      </c>
      <c r="ET6" s="2">
        <f>COUNTIF(defects!$V:$V,Weekly_All!ET$3&amp;Weekly_All!$B6&amp;Weekly_All!$B$3&amp;$B$2)</f>
        <v>0</v>
      </c>
      <c r="EU6" s="2">
        <f>COUNTIF(defects!$V:$V,Weekly_All!EU$3&amp;Weekly_All!$B6&amp;Weekly_All!$B$3&amp;$B$2)</f>
        <v>0</v>
      </c>
      <c r="EV6" s="2">
        <f>COUNTIF(defects!$V:$V,Weekly_All!EV$3&amp;Weekly_All!$B6&amp;Weekly_All!$B$3&amp;$B$2)</f>
        <v>0</v>
      </c>
      <c r="EW6" s="2">
        <f>COUNTIF(defects!$V:$V,Weekly_All!EW$3&amp;Weekly_All!$B6&amp;Weekly_All!$B$3&amp;$B$2)</f>
        <v>0</v>
      </c>
      <c r="EX6" s="2">
        <f>COUNTIF(defects!$V:$V,Weekly_All!EX$3&amp;Weekly_All!$B6&amp;Weekly_All!$B$3&amp;$B$2)</f>
        <v>0</v>
      </c>
      <c r="EY6" s="2">
        <f>COUNTIF(defects!$V:$V,Weekly_All!EY$3&amp;Weekly_All!$B6&amp;Weekly_All!$B$3&amp;$B$2)</f>
        <v>0</v>
      </c>
      <c r="EZ6" s="2">
        <f>COUNTIF(defects!$V:$V,Weekly_All!EZ$3&amp;Weekly_All!$B6&amp;Weekly_All!$B$3&amp;$B$2)</f>
        <v>0</v>
      </c>
      <c r="FA6" s="2">
        <f>COUNTIF(defects!$V:$V,Weekly_All!FA$3&amp;Weekly_All!$B6&amp;Weekly_All!$B$3&amp;$B$2)</f>
        <v>0</v>
      </c>
      <c r="FB6" s="2">
        <f>COUNTIF(defects!$V:$V,Weekly_All!FB$3&amp;Weekly_All!$B6&amp;Weekly_All!$B$3&amp;$B$2)</f>
        <v>0</v>
      </c>
      <c r="FC6" s="2">
        <f>COUNTIF(defects!$V:$V,Weekly_All!FC$3&amp;Weekly_All!$B6&amp;Weekly_All!$B$3&amp;$B$2)</f>
        <v>0</v>
      </c>
      <c r="FD6" s="2">
        <f>COUNTIF(defects!$V:$V,Weekly_All!FD$3&amp;Weekly_All!$B6&amp;Weekly_All!$B$3&amp;$B$2)</f>
        <v>0</v>
      </c>
      <c r="FE6" s="2">
        <f>COUNTIF(defects!$V:$V,Weekly_All!FE$3&amp;Weekly_All!$B6&amp;Weekly_All!$B$3&amp;$B$2)</f>
        <v>0</v>
      </c>
    </row>
    <row r="7" spans="2:161">
      <c r="B7" s="2" t="s">
        <v>957</v>
      </c>
      <c r="C7" s="2">
        <f>COUNTIF(defects!$V:$V,Weekly_All!C$3&amp;Weekly_All!$B7&amp;Weekly_All!$B$3&amp;$B$2)</f>
        <v>0</v>
      </c>
      <c r="D7" s="2">
        <f>COUNTIF(defects!$V:$V,Weekly_All!D$3&amp;Weekly_All!$B7&amp;Weekly_All!$B$3&amp;$B$2)</f>
        <v>0</v>
      </c>
      <c r="E7" s="2">
        <f>COUNTIF(defects!$V:$V,Weekly_All!E$3&amp;Weekly_All!$B7&amp;Weekly_All!$B$3&amp;$B$2)</f>
        <v>0</v>
      </c>
      <c r="F7" s="2">
        <f>COUNTIF(defects!$V:$V,Weekly_All!F$3&amp;Weekly_All!$B7&amp;Weekly_All!$B$3&amp;$B$2)</f>
        <v>0</v>
      </c>
      <c r="G7" s="2">
        <f>COUNTIF(defects!$V:$V,Weekly_All!G$3&amp;Weekly_All!$B7&amp;Weekly_All!$B$3&amp;$B$2)</f>
        <v>0</v>
      </c>
      <c r="H7" s="2">
        <f>COUNTIF(defects!$V:$V,Weekly_All!H$3&amp;Weekly_All!$B7&amp;Weekly_All!$B$3&amp;$B$2)</f>
        <v>0</v>
      </c>
      <c r="I7" s="2">
        <f>COUNTIF(defects!$V:$V,Weekly_All!I$3&amp;Weekly_All!$B7&amp;Weekly_All!$B$3&amp;$B$2)</f>
        <v>0</v>
      </c>
      <c r="J7" s="2">
        <f>COUNTIF(defects!$V:$V,Weekly_All!J$3&amp;Weekly_All!$B7&amp;Weekly_All!$B$3&amp;$B$2)</f>
        <v>0</v>
      </c>
      <c r="K7" s="2">
        <f>COUNTIF(defects!$V:$V,Weekly_All!K$3&amp;Weekly_All!$B7&amp;Weekly_All!$B$3&amp;$B$2)</f>
        <v>0</v>
      </c>
      <c r="L7" s="2">
        <f>COUNTIF(defects!$V:$V,Weekly_All!L$3&amp;Weekly_All!$B7&amp;Weekly_All!$B$3&amp;$B$2)</f>
        <v>0</v>
      </c>
      <c r="M7" s="2">
        <f>COUNTIF(defects!$V:$V,Weekly_All!M$3&amp;Weekly_All!$B7&amp;Weekly_All!$B$3&amp;$B$2)</f>
        <v>0</v>
      </c>
      <c r="N7" s="2">
        <f>COUNTIF(defects!$V:$V,Weekly_All!N$3&amp;Weekly_All!$B7&amp;Weekly_All!$B$3&amp;$B$2)</f>
        <v>0</v>
      </c>
      <c r="O7" s="2">
        <f>COUNTIF(defects!$V:$V,Weekly_All!O$3&amp;Weekly_All!$B7&amp;Weekly_All!$B$3&amp;$B$2)</f>
        <v>0</v>
      </c>
      <c r="P7" s="2">
        <f>COUNTIF(defects!$V:$V,Weekly_All!P$3&amp;Weekly_All!$B7&amp;Weekly_All!$B$3&amp;$B$2)</f>
        <v>0</v>
      </c>
      <c r="Q7" s="2">
        <f>COUNTIF(defects!$V:$V,Weekly_All!Q$3&amp;Weekly_All!$B7&amp;Weekly_All!$B$3&amp;$B$2)</f>
        <v>0</v>
      </c>
      <c r="R7" s="2">
        <f>COUNTIF(defects!$V:$V,Weekly_All!R$3&amp;Weekly_All!$B7&amp;Weekly_All!$B$3&amp;$B$2)</f>
        <v>0</v>
      </c>
      <c r="S7" s="2">
        <f>COUNTIF(defects!$V:$V,Weekly_All!S$3&amp;Weekly_All!$B7&amp;Weekly_All!$B$3&amp;$B$2)</f>
        <v>0</v>
      </c>
      <c r="T7" s="2">
        <f>COUNTIF(defects!$V:$V,Weekly_All!T$3&amp;Weekly_All!$B7&amp;Weekly_All!$B$3&amp;$B$2)</f>
        <v>0</v>
      </c>
      <c r="U7" s="2">
        <f>COUNTIF(defects!$V:$V,Weekly_All!U$3&amp;Weekly_All!$B7&amp;Weekly_All!$B$3&amp;$B$2)</f>
        <v>0</v>
      </c>
      <c r="V7" s="2">
        <f>COUNTIF(defects!$V:$V,Weekly_All!V$3&amp;Weekly_All!$B7&amp;Weekly_All!$B$3&amp;$B$2)</f>
        <v>0</v>
      </c>
      <c r="W7" s="2">
        <f>COUNTIF(defects!$V:$V,Weekly_All!W$3&amp;Weekly_All!$B7&amp;Weekly_All!$B$3&amp;$B$2)</f>
        <v>0</v>
      </c>
      <c r="X7" s="2">
        <f>COUNTIF(defects!$V:$V,Weekly_All!X$3&amp;Weekly_All!$B7&amp;Weekly_All!$B$3&amp;$B$2)</f>
        <v>0</v>
      </c>
      <c r="Y7" s="2">
        <f>COUNTIF(defects!$V:$V,Weekly_All!Y$3&amp;Weekly_All!$B7&amp;Weekly_All!$B$3&amp;$B$2)</f>
        <v>0</v>
      </c>
      <c r="Z7" s="2">
        <f>COUNTIF(defects!$V:$V,Weekly_All!Z$3&amp;Weekly_All!$B7&amp;Weekly_All!$B$3&amp;$B$2)</f>
        <v>0</v>
      </c>
      <c r="AA7" s="2">
        <f>COUNTIF(defects!$V:$V,Weekly_All!AA$3&amp;Weekly_All!$B7&amp;Weekly_All!$B$3&amp;$B$2)</f>
        <v>0</v>
      </c>
      <c r="AB7" s="2">
        <f>COUNTIF(defects!$V:$V,Weekly_All!AB$3&amp;Weekly_All!$B7&amp;Weekly_All!$B$3&amp;$B$2)</f>
        <v>0</v>
      </c>
      <c r="AC7" s="2">
        <f>COUNTIF(defects!$V:$V,Weekly_All!AC$3&amp;Weekly_All!$B7&amp;Weekly_All!$B$3&amp;$B$2)</f>
        <v>0</v>
      </c>
      <c r="AD7" s="2">
        <f>COUNTIF(defects!$V:$V,Weekly_All!AD$3&amp;Weekly_All!$B7&amp;Weekly_All!$B$3&amp;$B$2)</f>
        <v>0</v>
      </c>
      <c r="AE7" s="2">
        <f>COUNTIF(defects!$V:$V,Weekly_All!AE$3&amp;Weekly_All!$B7&amp;Weekly_All!$B$3&amp;$B$2)</f>
        <v>0</v>
      </c>
      <c r="AF7" s="2">
        <f>COUNTIF(defects!$V:$V,Weekly_All!AF$3&amp;Weekly_All!$B7&amp;Weekly_All!$B$3&amp;$B$2)</f>
        <v>0</v>
      </c>
      <c r="AG7" s="2">
        <f>COUNTIF(defects!$V:$V,Weekly_All!AG$3&amp;Weekly_All!$B7&amp;Weekly_All!$B$3&amp;$B$2)</f>
        <v>0</v>
      </c>
      <c r="AH7" s="2">
        <f>COUNTIF(defects!$V:$V,Weekly_All!AH$3&amp;Weekly_All!$B7&amp;Weekly_All!$B$3&amp;$B$2)</f>
        <v>0</v>
      </c>
      <c r="AI7" s="2">
        <f>COUNTIF(defects!$V:$V,Weekly_All!AI$3&amp;Weekly_All!$B7&amp;Weekly_All!$B$3&amp;$B$2)</f>
        <v>0</v>
      </c>
      <c r="AJ7" s="2">
        <f>COUNTIF(defects!$V:$V,Weekly_All!AJ$3&amp;Weekly_All!$B7&amp;Weekly_All!$B$3&amp;$B$2)</f>
        <v>0</v>
      </c>
      <c r="AK7" s="2">
        <f>COUNTIF(defects!$V:$V,Weekly_All!AK$3&amp;Weekly_All!$B7&amp;Weekly_All!$B$3&amp;$B$2)</f>
        <v>0</v>
      </c>
      <c r="AL7" s="2">
        <f>COUNTIF(defects!$V:$V,Weekly_All!AL$3&amp;Weekly_All!$B7&amp;Weekly_All!$B$3&amp;$B$2)</f>
        <v>0</v>
      </c>
      <c r="AM7" s="2">
        <f>COUNTIF(defects!$V:$V,Weekly_All!AM$3&amp;Weekly_All!$B7&amp;Weekly_All!$B$3&amp;$B$2)</f>
        <v>0</v>
      </c>
      <c r="AN7" s="2">
        <f>COUNTIF(defects!$V:$V,Weekly_All!AN$3&amp;Weekly_All!$B7&amp;Weekly_All!$B$3&amp;$B$2)</f>
        <v>0</v>
      </c>
      <c r="AO7" s="2">
        <f>COUNTIF(defects!$V:$V,Weekly_All!AO$3&amp;Weekly_All!$B7&amp;Weekly_All!$B$3&amp;$B$2)</f>
        <v>0</v>
      </c>
      <c r="AP7" s="2">
        <f>COUNTIF(defects!$V:$V,Weekly_All!AP$3&amp;Weekly_All!$B7&amp;Weekly_All!$B$3&amp;$B$2)</f>
        <v>0</v>
      </c>
      <c r="AQ7" s="2">
        <f>COUNTIF(defects!$V:$V,Weekly_All!AQ$3&amp;Weekly_All!$B7&amp;Weekly_All!$B$3&amp;$B$2)</f>
        <v>0</v>
      </c>
      <c r="AR7" s="2">
        <f>COUNTIF(defects!$V:$V,Weekly_All!AR$3&amp;Weekly_All!$B7&amp;Weekly_All!$B$3&amp;$B$2)</f>
        <v>0</v>
      </c>
      <c r="AS7" s="2">
        <f>COUNTIF(defects!$V:$V,Weekly_All!AS$3&amp;Weekly_All!$B7&amp;Weekly_All!$B$3&amp;$B$2)</f>
        <v>0</v>
      </c>
      <c r="AT7" s="2">
        <f>COUNTIF(defects!$V:$V,Weekly_All!AT$3&amp;Weekly_All!$B7&amp;Weekly_All!$B$3&amp;$B$2)</f>
        <v>0</v>
      </c>
      <c r="AU7" s="2">
        <f>COUNTIF(defects!$V:$V,Weekly_All!AU$3&amp;Weekly_All!$B7&amp;Weekly_All!$B$3&amp;$B$2)</f>
        <v>0</v>
      </c>
      <c r="AV7" s="2">
        <f>COUNTIF(defects!$V:$V,Weekly_All!AV$3&amp;Weekly_All!$B7&amp;Weekly_All!$B$3&amp;$B$2)</f>
        <v>0</v>
      </c>
      <c r="AW7" s="2">
        <f>COUNTIF(defects!$V:$V,Weekly_All!AW$3&amp;Weekly_All!$B7&amp;Weekly_All!$B$3&amp;$B$2)</f>
        <v>0</v>
      </c>
      <c r="AX7" s="2">
        <f>COUNTIF(defects!$V:$V,Weekly_All!AX$3&amp;Weekly_All!$B7&amp;Weekly_All!$B$3&amp;$B$2)</f>
        <v>0</v>
      </c>
      <c r="AY7" s="2">
        <f>COUNTIF(defects!$V:$V,Weekly_All!AY$3&amp;Weekly_All!$B7&amp;Weekly_All!$B$3&amp;$B$2)</f>
        <v>0</v>
      </c>
      <c r="AZ7" s="2">
        <f>COUNTIF(defects!$V:$V,Weekly_All!AZ$3&amp;Weekly_All!$B7&amp;Weekly_All!$B$3&amp;$B$2)</f>
        <v>0</v>
      </c>
      <c r="BA7" s="2">
        <f>COUNTIF(defects!$V:$V,Weekly_All!BA$3&amp;Weekly_All!$B7&amp;Weekly_All!$B$3&amp;$B$2)</f>
        <v>0</v>
      </c>
      <c r="BB7" s="2">
        <f>COUNTIF(defects!$V:$V,Weekly_All!BB$3&amp;Weekly_All!$B7&amp;Weekly_All!$B$3&amp;$B$2)</f>
        <v>0</v>
      </c>
      <c r="BC7" s="2">
        <f>COUNTIF(defects!$V:$V,Weekly_All!BC$3&amp;Weekly_All!$B7&amp;Weekly_All!$B$3&amp;$B$2)</f>
        <v>0</v>
      </c>
      <c r="BD7" s="2">
        <f>COUNTIF(defects!$V:$V,Weekly_All!BD$3&amp;Weekly_All!$B7&amp;Weekly_All!$B$3&amp;$B$2)</f>
        <v>0</v>
      </c>
      <c r="BE7" s="2">
        <f>COUNTIF(defects!$V:$V,Weekly_All!BE$3&amp;Weekly_All!$B7&amp;Weekly_All!$B$3&amp;$B$2)</f>
        <v>0</v>
      </c>
      <c r="BF7" s="2">
        <f>COUNTIF(defects!$V:$V,Weekly_All!BF$3&amp;Weekly_All!$B7&amp;Weekly_All!$B$3&amp;$B$2)</f>
        <v>0</v>
      </c>
      <c r="BG7" s="2">
        <f>COUNTIF(defects!$V:$V,Weekly_All!BG$3&amp;Weekly_All!$B7&amp;Weekly_All!$B$3&amp;$B$2)</f>
        <v>0</v>
      </c>
      <c r="BH7" s="2">
        <f>COUNTIF(defects!$V:$V,Weekly_All!BH$3&amp;Weekly_All!$B7&amp;Weekly_All!$B$3&amp;$B$2)</f>
        <v>0</v>
      </c>
      <c r="BI7" s="2">
        <f>COUNTIF(defects!$V:$V,Weekly_All!BI$3&amp;Weekly_All!$B7&amp;Weekly_All!$B$3&amp;$B$2)</f>
        <v>0</v>
      </c>
      <c r="BJ7" s="2">
        <f>COUNTIF(defects!$V:$V,Weekly_All!BJ$3&amp;Weekly_All!$B7&amp;Weekly_All!$B$3&amp;$B$2)</f>
        <v>0</v>
      </c>
      <c r="BK7" s="2">
        <f>COUNTIF(defects!$V:$V,Weekly_All!BK$3&amp;Weekly_All!$B7&amp;Weekly_All!$B$3&amp;$B$2)</f>
        <v>0</v>
      </c>
      <c r="BL7" s="2">
        <f>COUNTIF(defects!$V:$V,Weekly_All!BL$3&amp;Weekly_All!$B7&amp;Weekly_All!$B$3&amp;$B$2)</f>
        <v>0</v>
      </c>
      <c r="BM7" s="2">
        <f>COUNTIF(defects!$V:$V,Weekly_All!BM$3&amp;Weekly_All!$B7&amp;Weekly_All!$B$3&amp;$B$2)</f>
        <v>0</v>
      </c>
      <c r="BN7" s="2">
        <f>COUNTIF(defects!$V:$V,Weekly_All!BN$3&amp;Weekly_All!$B7&amp;Weekly_All!$B$3&amp;$B$2)</f>
        <v>0</v>
      </c>
      <c r="BO7" s="2">
        <f>COUNTIF(defects!$V:$V,Weekly_All!BO$3&amp;Weekly_All!$B7&amp;Weekly_All!$B$3&amp;$B$2)</f>
        <v>0</v>
      </c>
      <c r="BP7" s="2">
        <f>COUNTIF(defects!$V:$V,Weekly_All!BP$3&amp;Weekly_All!$B7&amp;Weekly_All!$B$3&amp;$B$2)</f>
        <v>0</v>
      </c>
      <c r="BQ7" s="2">
        <f>COUNTIF(defects!$V:$V,Weekly_All!BQ$3&amp;Weekly_All!$B7&amp;Weekly_All!$B$3&amp;$B$2)</f>
        <v>0</v>
      </c>
      <c r="BR7" s="2">
        <f>COUNTIF(defects!$V:$V,Weekly_All!BR$3&amp;Weekly_All!$B7&amp;Weekly_All!$B$3&amp;$B$2)</f>
        <v>0</v>
      </c>
      <c r="BS7" s="2">
        <f>COUNTIF(defects!$V:$V,Weekly_All!BS$3&amp;Weekly_All!$B7&amp;Weekly_All!$B$3&amp;$B$2)</f>
        <v>0</v>
      </c>
      <c r="BT7" s="2">
        <f>COUNTIF(defects!$V:$V,Weekly_All!BT$3&amp;Weekly_All!$B7&amp;Weekly_All!$B$3&amp;$B$2)</f>
        <v>0</v>
      </c>
      <c r="BU7" s="2">
        <f>COUNTIF(defects!$V:$V,Weekly_All!BU$3&amp;Weekly_All!$B7&amp;Weekly_All!$B$3&amp;$B$2)</f>
        <v>0</v>
      </c>
      <c r="BV7" s="2">
        <f>COUNTIF(defects!$V:$V,Weekly_All!BV$3&amp;Weekly_All!$B7&amp;Weekly_All!$B$3&amp;$B$2)</f>
        <v>0</v>
      </c>
      <c r="BW7" s="2">
        <f>COUNTIF(defects!$V:$V,Weekly_All!BW$3&amp;Weekly_All!$B7&amp;Weekly_All!$B$3&amp;$B$2)</f>
        <v>0</v>
      </c>
      <c r="BX7" s="2">
        <f>COUNTIF(defects!$V:$V,Weekly_All!BX$3&amp;Weekly_All!$B7&amp;Weekly_All!$B$3&amp;$B$2)</f>
        <v>0</v>
      </c>
      <c r="BY7" s="2">
        <f>COUNTIF(defects!$V:$V,Weekly_All!BY$3&amp;Weekly_All!$B7&amp;Weekly_All!$B$3&amp;$B$2)</f>
        <v>0</v>
      </c>
      <c r="BZ7" s="2">
        <f>COUNTIF(defects!$V:$V,Weekly_All!BZ$3&amp;Weekly_All!$B7&amp;Weekly_All!$B$3&amp;$B$2)</f>
        <v>0</v>
      </c>
      <c r="CA7" s="2">
        <f>COUNTIF(defects!$V:$V,Weekly_All!CA$3&amp;Weekly_All!$B7&amp;Weekly_All!$B$3&amp;$B$2)</f>
        <v>0</v>
      </c>
      <c r="CB7" s="2">
        <f>COUNTIF(defects!$V:$V,Weekly_All!CB$3&amp;Weekly_All!$B7&amp;Weekly_All!$B$3&amp;$B$2)</f>
        <v>0</v>
      </c>
      <c r="CC7" s="2">
        <f>COUNTIF(defects!$V:$V,Weekly_All!CC$3&amp;Weekly_All!$B7&amp;Weekly_All!$B$3&amp;$B$2)</f>
        <v>1</v>
      </c>
      <c r="CD7" s="2">
        <f>COUNTIF(defects!$V:$V,Weekly_All!CD$3&amp;Weekly_All!$B7&amp;Weekly_All!$B$3&amp;$B$2)</f>
        <v>0</v>
      </c>
      <c r="CE7" s="2">
        <f>COUNTIF(defects!$V:$V,Weekly_All!CE$3&amp;Weekly_All!$B7&amp;Weekly_All!$B$3&amp;$B$2)</f>
        <v>0</v>
      </c>
      <c r="CF7" s="2">
        <f>COUNTIF(defects!$V:$V,Weekly_All!CF$3&amp;Weekly_All!$B7&amp;Weekly_All!$B$3&amp;$B$2)</f>
        <v>1</v>
      </c>
      <c r="CG7" s="2">
        <f>COUNTIF(defects!$V:$V,Weekly_All!CG$3&amp;Weekly_All!$B7&amp;Weekly_All!$B$3&amp;$B$2)</f>
        <v>0</v>
      </c>
      <c r="CH7" s="2">
        <f>COUNTIF(defects!$V:$V,Weekly_All!CH$3&amp;Weekly_All!$B7&amp;Weekly_All!$B$3&amp;$B$2)</f>
        <v>0</v>
      </c>
      <c r="CI7" s="2">
        <f>COUNTIF(defects!$V:$V,Weekly_All!CI$3&amp;Weekly_All!$B7&amp;Weekly_All!$B$3&amp;$B$2)</f>
        <v>0</v>
      </c>
      <c r="CJ7" s="2">
        <f>COUNTIF(defects!$V:$V,Weekly_All!CJ$3&amp;Weekly_All!$B7&amp;Weekly_All!$B$3&amp;$B$2)</f>
        <v>0</v>
      </c>
      <c r="CK7" s="2">
        <f>COUNTIF(defects!$V:$V,Weekly_All!CK$3&amp;Weekly_All!$B7&amp;Weekly_All!$B$3&amp;$B$2)</f>
        <v>0</v>
      </c>
      <c r="CL7" s="2">
        <f>COUNTIF(defects!$V:$V,Weekly_All!CL$3&amp;Weekly_All!$B7&amp;Weekly_All!$B$3&amp;$B$2)</f>
        <v>0</v>
      </c>
      <c r="CM7" s="2">
        <f>COUNTIF(defects!$V:$V,Weekly_All!CM$3&amp;Weekly_All!$B7&amp;Weekly_All!$B$3&amp;$B$2)</f>
        <v>0</v>
      </c>
      <c r="CN7" s="2">
        <f>COUNTIF(defects!$V:$V,Weekly_All!CN$3&amp;Weekly_All!$B7&amp;Weekly_All!$B$3&amp;$B$2)</f>
        <v>0</v>
      </c>
      <c r="CO7" s="2">
        <f>COUNTIF(defects!$V:$V,Weekly_All!CO$3&amp;Weekly_All!$B7&amp;Weekly_All!$B$3&amp;$B$2)</f>
        <v>1</v>
      </c>
      <c r="CP7" s="2">
        <f>COUNTIF(defects!$V:$V,Weekly_All!CP$3&amp;Weekly_All!$B7&amp;Weekly_All!$B$3&amp;$B$2)</f>
        <v>0</v>
      </c>
      <c r="CQ7" s="2">
        <f>COUNTIF(defects!$V:$V,Weekly_All!CQ$3&amp;Weekly_All!$B7&amp;Weekly_All!$B$3&amp;$B$2)</f>
        <v>0</v>
      </c>
      <c r="CR7" s="2">
        <f>COUNTIF(defects!$V:$V,Weekly_All!CR$3&amp;Weekly_All!$B7&amp;Weekly_All!$B$3&amp;$B$2)</f>
        <v>0</v>
      </c>
      <c r="CS7" s="2">
        <f>COUNTIF(defects!$V:$V,Weekly_All!CS$3&amp;Weekly_All!$B7&amp;Weekly_All!$B$3&amp;$B$2)</f>
        <v>0</v>
      </c>
      <c r="CT7" s="2">
        <f>COUNTIF(defects!$V:$V,Weekly_All!CT$3&amp;Weekly_All!$B7&amp;Weekly_All!$B$3&amp;$B$2)</f>
        <v>0</v>
      </c>
      <c r="CU7" s="2">
        <f>COUNTIF(defects!$V:$V,Weekly_All!CU$3&amp;Weekly_All!$B7&amp;Weekly_All!$B$3&amp;$B$2)</f>
        <v>0</v>
      </c>
      <c r="CV7" s="2">
        <f>COUNTIF(defects!$V:$V,Weekly_All!CV$3&amp;Weekly_All!$B7&amp;Weekly_All!$B$3&amp;$B$2)</f>
        <v>0</v>
      </c>
      <c r="CW7" s="2">
        <f>COUNTIF(defects!$V:$V,Weekly_All!CW$3&amp;Weekly_All!$B7&amp;Weekly_All!$B$3&amp;$B$2)</f>
        <v>0</v>
      </c>
      <c r="CX7" s="2">
        <f>COUNTIF(defects!$V:$V,Weekly_All!CX$3&amp;Weekly_All!$B7&amp;Weekly_All!$B$3&amp;$B$2)</f>
        <v>0</v>
      </c>
      <c r="CY7" s="2">
        <f>COUNTIF(defects!$V:$V,Weekly_All!CY$3&amp;Weekly_All!$B7&amp;Weekly_All!$B$3&amp;$B$2)</f>
        <v>1</v>
      </c>
      <c r="CZ7" s="2">
        <f>COUNTIF(defects!$V:$V,Weekly_All!CZ$3&amp;Weekly_All!$B7&amp;Weekly_All!$B$3&amp;$B$2)</f>
        <v>0</v>
      </c>
      <c r="DA7" s="2">
        <f>COUNTIF(defects!$V:$V,Weekly_All!DA$3&amp;Weekly_All!$B7&amp;Weekly_All!$B$3&amp;$B$2)</f>
        <v>0</v>
      </c>
      <c r="DB7" s="2">
        <f>COUNTIF(defects!$V:$V,Weekly_All!DB$3&amp;Weekly_All!$B7&amp;Weekly_All!$B$3&amp;$B$2)</f>
        <v>0</v>
      </c>
      <c r="DC7" s="2">
        <f>COUNTIF(defects!$V:$V,Weekly_All!DC$3&amp;Weekly_All!$B7&amp;Weekly_All!$B$3&amp;$B$2)</f>
        <v>0</v>
      </c>
      <c r="DD7" s="2">
        <f>COUNTIF(defects!$V:$V,Weekly_All!DD$3&amp;Weekly_All!$B7&amp;Weekly_All!$B$3&amp;$B$2)</f>
        <v>0</v>
      </c>
      <c r="DE7" s="2">
        <f>COUNTIF(defects!$V:$V,Weekly_All!DE$3&amp;Weekly_All!$B7&amp;Weekly_All!$B$3&amp;$B$2)</f>
        <v>0</v>
      </c>
      <c r="DF7" s="2">
        <f>COUNTIF(defects!$V:$V,Weekly_All!DF$3&amp;Weekly_All!$B7&amp;Weekly_All!$B$3&amp;$B$2)</f>
        <v>0</v>
      </c>
      <c r="DG7" s="2">
        <f>COUNTIF(defects!$V:$V,Weekly_All!DG$3&amp;Weekly_All!$B7&amp;Weekly_All!$B$3&amp;$B$2)</f>
        <v>0</v>
      </c>
      <c r="DH7" s="2">
        <f>COUNTIF(defects!$V:$V,Weekly_All!DH$3&amp;Weekly_All!$B7&amp;Weekly_All!$B$3&amp;$B$2)</f>
        <v>0</v>
      </c>
      <c r="DI7" s="2">
        <f>COUNTIF(defects!$V:$V,Weekly_All!DI$3&amp;Weekly_All!$B7&amp;Weekly_All!$B$3&amp;$B$2)</f>
        <v>0</v>
      </c>
      <c r="DJ7" s="2">
        <f>COUNTIF(defects!$V:$V,Weekly_All!DJ$3&amp;Weekly_All!$B7&amp;Weekly_All!$B$3&amp;$B$2)</f>
        <v>0</v>
      </c>
      <c r="DK7" s="2">
        <f>COUNTIF(defects!$V:$V,Weekly_All!DK$3&amp;Weekly_All!$B7&amp;Weekly_All!$B$3&amp;$B$2)</f>
        <v>0</v>
      </c>
      <c r="DL7" s="2">
        <f>COUNTIF(defects!$V:$V,Weekly_All!DL$3&amp;Weekly_All!$B7&amp;Weekly_All!$B$3&amp;$B$2)</f>
        <v>0</v>
      </c>
      <c r="DM7" s="2">
        <f>COUNTIF(defects!$V:$V,Weekly_All!DM$3&amp;Weekly_All!$B7&amp;Weekly_All!$B$3&amp;$B$2)</f>
        <v>0</v>
      </c>
      <c r="DN7" s="2">
        <f>COUNTIF(defects!$V:$V,Weekly_All!DN$3&amp;Weekly_All!$B7&amp;Weekly_All!$B$3&amp;$B$2)</f>
        <v>0</v>
      </c>
      <c r="DO7" s="2">
        <f>COUNTIF(defects!$V:$V,Weekly_All!DO$3&amp;Weekly_All!$B7&amp;Weekly_All!$B$3&amp;$B$2)</f>
        <v>0</v>
      </c>
      <c r="DP7" s="2">
        <f>COUNTIF(defects!$V:$V,Weekly_All!DP$3&amp;Weekly_All!$B7&amp;Weekly_All!$B$3&amp;$B$2)</f>
        <v>0</v>
      </c>
      <c r="DQ7" s="2">
        <f>COUNTIF(defects!$V:$V,Weekly_All!DQ$3&amp;Weekly_All!$B7&amp;Weekly_All!$B$3&amp;$B$2)</f>
        <v>0</v>
      </c>
      <c r="DR7" s="2">
        <f>COUNTIF(defects!$V:$V,Weekly_All!DR$3&amp;Weekly_All!$B7&amp;Weekly_All!$B$3&amp;$B$2)</f>
        <v>0</v>
      </c>
      <c r="DS7" s="2">
        <f>COUNTIF(defects!$V:$V,Weekly_All!DS$3&amp;Weekly_All!$B7&amp;Weekly_All!$B$3&amp;$B$2)</f>
        <v>0</v>
      </c>
      <c r="DT7" s="2">
        <f>COUNTIF(defects!$V:$V,Weekly_All!DT$3&amp;Weekly_All!$B7&amp;Weekly_All!$B$3&amp;$B$2)</f>
        <v>0</v>
      </c>
      <c r="DU7" s="2">
        <f>COUNTIF(defects!$V:$V,Weekly_All!DU$3&amp;Weekly_All!$B7&amp;Weekly_All!$B$3&amp;$B$2)</f>
        <v>0</v>
      </c>
      <c r="DV7" s="2">
        <f>COUNTIF(defects!$V:$V,Weekly_All!DV$3&amp;Weekly_All!$B7&amp;Weekly_All!$B$3&amp;$B$2)</f>
        <v>0</v>
      </c>
      <c r="DW7" s="2">
        <f>COUNTIF(defects!$V:$V,Weekly_All!DW$3&amp;Weekly_All!$B7&amp;Weekly_All!$B$3&amp;$B$2)</f>
        <v>0</v>
      </c>
      <c r="DX7" s="2">
        <f>COUNTIF(defects!$V:$V,Weekly_All!DX$3&amp;Weekly_All!$B7&amp;Weekly_All!$B$3&amp;$B$2)</f>
        <v>0</v>
      </c>
      <c r="DY7" s="2">
        <f>COUNTIF(defects!$V:$V,Weekly_All!DY$3&amp;Weekly_All!$B7&amp;Weekly_All!$B$3&amp;$B$2)</f>
        <v>0</v>
      </c>
      <c r="DZ7" s="2">
        <f>COUNTIF(defects!$V:$V,Weekly_All!DZ$3&amp;Weekly_All!$B7&amp;Weekly_All!$B$3&amp;$B$2)</f>
        <v>0</v>
      </c>
      <c r="EA7" s="2">
        <f>COUNTIF(defects!$V:$V,Weekly_All!EA$3&amp;Weekly_All!$B7&amp;Weekly_All!$B$3&amp;$B$2)</f>
        <v>0</v>
      </c>
      <c r="EB7" s="2">
        <f>COUNTIF(defects!$V:$V,Weekly_All!EB$3&amp;Weekly_All!$B7&amp;Weekly_All!$B$3&amp;$B$2)</f>
        <v>0</v>
      </c>
      <c r="EC7" s="2">
        <f>COUNTIF(defects!$V:$V,Weekly_All!EC$3&amp;Weekly_All!$B7&amp;Weekly_All!$B$3&amp;$B$2)</f>
        <v>0</v>
      </c>
      <c r="ED7" s="2">
        <f>COUNTIF(defects!$V:$V,Weekly_All!ED$3&amp;Weekly_All!$B7&amp;Weekly_All!$B$3&amp;$B$2)</f>
        <v>0</v>
      </c>
      <c r="EE7" s="2">
        <f>COUNTIF(defects!$V:$V,Weekly_All!EE$3&amp;Weekly_All!$B7&amp;Weekly_All!$B$3&amp;$B$2)</f>
        <v>0</v>
      </c>
      <c r="EF7" s="2">
        <f>COUNTIF(defects!$V:$V,Weekly_All!EF$3&amp;Weekly_All!$B7&amp;Weekly_All!$B$3&amp;$B$2)</f>
        <v>0</v>
      </c>
      <c r="EG7" s="2">
        <f>COUNTIF(defects!$V:$V,Weekly_All!EG$3&amp;Weekly_All!$B7&amp;Weekly_All!$B$3&amp;$B$2)</f>
        <v>0</v>
      </c>
      <c r="EH7" s="2">
        <f>COUNTIF(defects!$V:$V,Weekly_All!EH$3&amp;Weekly_All!$B7&amp;Weekly_All!$B$3&amp;$B$2)</f>
        <v>0</v>
      </c>
      <c r="EI7" s="2">
        <f>COUNTIF(defects!$V:$V,Weekly_All!EI$3&amp;Weekly_All!$B7&amp;Weekly_All!$B$3&amp;$B$2)</f>
        <v>0</v>
      </c>
      <c r="EJ7" s="2">
        <f>COUNTIF(defects!$V:$V,Weekly_All!EJ$3&amp;Weekly_All!$B7&amp;Weekly_All!$B$3&amp;$B$2)</f>
        <v>0</v>
      </c>
      <c r="EK7" s="2">
        <f>COUNTIF(defects!$V:$V,Weekly_All!EK$3&amp;Weekly_All!$B7&amp;Weekly_All!$B$3&amp;$B$2)</f>
        <v>0</v>
      </c>
      <c r="EL7" s="2">
        <f>COUNTIF(defects!$V:$V,Weekly_All!EL$3&amp;Weekly_All!$B7&amp;Weekly_All!$B$3&amp;$B$2)</f>
        <v>0</v>
      </c>
      <c r="EM7" s="2">
        <f>COUNTIF(defects!$V:$V,Weekly_All!EM$3&amp;Weekly_All!$B7&amp;Weekly_All!$B$3&amp;$B$2)</f>
        <v>0</v>
      </c>
      <c r="EN7" s="2">
        <f>COUNTIF(defects!$V:$V,Weekly_All!EN$3&amp;Weekly_All!$B7&amp;Weekly_All!$B$3&amp;$B$2)</f>
        <v>0</v>
      </c>
      <c r="EO7" s="2">
        <f>COUNTIF(defects!$V:$V,Weekly_All!EO$3&amp;Weekly_All!$B7&amp;Weekly_All!$B$3&amp;$B$2)</f>
        <v>0</v>
      </c>
      <c r="EP7" s="2">
        <f>COUNTIF(defects!$V:$V,Weekly_All!EP$3&amp;Weekly_All!$B7&amp;Weekly_All!$B$3&amp;$B$2)</f>
        <v>0</v>
      </c>
      <c r="EQ7" s="2">
        <f>COUNTIF(defects!$V:$V,Weekly_All!EQ$3&amp;Weekly_All!$B7&amp;Weekly_All!$B$3&amp;$B$2)</f>
        <v>0</v>
      </c>
      <c r="ER7" s="2">
        <f>COUNTIF(defects!$V:$V,Weekly_All!ER$3&amp;Weekly_All!$B7&amp;Weekly_All!$B$3&amp;$B$2)</f>
        <v>0</v>
      </c>
      <c r="ES7" s="2">
        <f>COUNTIF(defects!$V:$V,Weekly_All!ES$3&amp;Weekly_All!$B7&amp;Weekly_All!$B$3&amp;$B$2)</f>
        <v>0</v>
      </c>
      <c r="ET7" s="2">
        <f>COUNTIF(defects!$V:$V,Weekly_All!ET$3&amp;Weekly_All!$B7&amp;Weekly_All!$B$3&amp;$B$2)</f>
        <v>0</v>
      </c>
      <c r="EU7" s="2">
        <f>COUNTIF(defects!$V:$V,Weekly_All!EU$3&amp;Weekly_All!$B7&amp;Weekly_All!$B$3&amp;$B$2)</f>
        <v>0</v>
      </c>
      <c r="EV7" s="2">
        <f>COUNTIF(defects!$V:$V,Weekly_All!EV$3&amp;Weekly_All!$B7&amp;Weekly_All!$B$3&amp;$B$2)</f>
        <v>0</v>
      </c>
      <c r="EW7" s="2">
        <f>COUNTIF(defects!$V:$V,Weekly_All!EW$3&amp;Weekly_All!$B7&amp;Weekly_All!$B$3&amp;$B$2)</f>
        <v>0</v>
      </c>
      <c r="EX7" s="2">
        <f>COUNTIF(defects!$V:$V,Weekly_All!EX$3&amp;Weekly_All!$B7&amp;Weekly_All!$B$3&amp;$B$2)</f>
        <v>0</v>
      </c>
      <c r="EY7" s="2">
        <f>COUNTIF(defects!$V:$V,Weekly_All!EY$3&amp;Weekly_All!$B7&amp;Weekly_All!$B$3&amp;$B$2)</f>
        <v>0</v>
      </c>
      <c r="EZ7" s="2">
        <f>COUNTIF(defects!$V:$V,Weekly_All!EZ$3&amp;Weekly_All!$B7&amp;Weekly_All!$B$3&amp;$B$2)</f>
        <v>0</v>
      </c>
      <c r="FA7" s="2">
        <f>COUNTIF(defects!$V:$V,Weekly_All!FA$3&amp;Weekly_All!$B7&amp;Weekly_All!$B$3&amp;$B$2)</f>
        <v>0</v>
      </c>
      <c r="FB7" s="2">
        <f>COUNTIF(defects!$V:$V,Weekly_All!FB$3&amp;Weekly_All!$B7&amp;Weekly_All!$B$3&amp;$B$2)</f>
        <v>0</v>
      </c>
      <c r="FC7" s="2">
        <f>COUNTIF(defects!$V:$V,Weekly_All!FC$3&amp;Weekly_All!$B7&amp;Weekly_All!$B$3&amp;$B$2)</f>
        <v>0</v>
      </c>
      <c r="FD7" s="2">
        <f>COUNTIF(defects!$V:$V,Weekly_All!FD$3&amp;Weekly_All!$B7&amp;Weekly_All!$B$3&amp;$B$2)</f>
        <v>0</v>
      </c>
      <c r="FE7" s="2">
        <f>COUNTIF(defects!$V:$V,Weekly_All!FE$3&amp;Weekly_All!$B7&amp;Weekly_All!$B$3&amp;$B$2)</f>
        <v>0</v>
      </c>
    </row>
    <row r="8" spans="2:161">
      <c r="B8" s="2" t="s">
        <v>955</v>
      </c>
      <c r="C8" s="2">
        <f>COUNTIF(defects!$V:$V,Weekly_All!C$3&amp;Weekly_All!$B8&amp;Weekly_All!$B$3&amp;$B$2)</f>
        <v>0</v>
      </c>
      <c r="D8" s="2">
        <f>COUNTIF(defects!$V:$V,Weekly_All!D$3&amp;Weekly_All!$B8&amp;Weekly_All!$B$3&amp;$B$2)</f>
        <v>0</v>
      </c>
      <c r="E8" s="2">
        <f>COUNTIF(defects!$V:$V,Weekly_All!E$3&amp;Weekly_All!$B8&amp;Weekly_All!$B$3&amp;$B$2)</f>
        <v>0</v>
      </c>
      <c r="F8" s="2">
        <f>COUNTIF(defects!$V:$V,Weekly_All!F$3&amp;Weekly_All!$B8&amp;Weekly_All!$B$3&amp;$B$2)</f>
        <v>0</v>
      </c>
      <c r="G8" s="2">
        <f>COUNTIF(defects!$V:$V,Weekly_All!G$3&amp;Weekly_All!$B8&amp;Weekly_All!$B$3&amp;$B$2)</f>
        <v>0</v>
      </c>
      <c r="H8" s="2">
        <f>COUNTIF(defects!$V:$V,Weekly_All!H$3&amp;Weekly_All!$B8&amp;Weekly_All!$B$3&amp;$B$2)</f>
        <v>0</v>
      </c>
      <c r="I8" s="2">
        <f>COUNTIF(defects!$V:$V,Weekly_All!I$3&amp;Weekly_All!$B8&amp;Weekly_All!$B$3&amp;$B$2)</f>
        <v>0</v>
      </c>
      <c r="J8" s="2">
        <f>COUNTIF(defects!$V:$V,Weekly_All!J$3&amp;Weekly_All!$B8&amp;Weekly_All!$B$3&amp;$B$2)</f>
        <v>0</v>
      </c>
      <c r="K8" s="2">
        <f>COUNTIF(defects!$V:$V,Weekly_All!K$3&amp;Weekly_All!$B8&amp;Weekly_All!$B$3&amp;$B$2)</f>
        <v>0</v>
      </c>
      <c r="L8" s="2">
        <f>COUNTIF(defects!$V:$V,Weekly_All!L$3&amp;Weekly_All!$B8&amp;Weekly_All!$B$3&amp;$B$2)</f>
        <v>0</v>
      </c>
      <c r="M8" s="2">
        <f>COUNTIF(defects!$V:$V,Weekly_All!M$3&amp;Weekly_All!$B8&amp;Weekly_All!$B$3&amp;$B$2)</f>
        <v>0</v>
      </c>
      <c r="N8" s="2">
        <f>COUNTIF(defects!$V:$V,Weekly_All!N$3&amp;Weekly_All!$B8&amp;Weekly_All!$B$3&amp;$B$2)</f>
        <v>0</v>
      </c>
      <c r="O8" s="2">
        <f>COUNTIF(defects!$V:$V,Weekly_All!O$3&amp;Weekly_All!$B8&amp;Weekly_All!$B$3&amp;$B$2)</f>
        <v>0</v>
      </c>
      <c r="P8" s="2">
        <f>COUNTIF(defects!$V:$V,Weekly_All!P$3&amp;Weekly_All!$B8&amp;Weekly_All!$B$3&amp;$B$2)</f>
        <v>0</v>
      </c>
      <c r="Q8" s="2">
        <f>COUNTIF(defects!$V:$V,Weekly_All!Q$3&amp;Weekly_All!$B8&amp;Weekly_All!$B$3&amp;$B$2)</f>
        <v>0</v>
      </c>
      <c r="R8" s="2">
        <f>COUNTIF(defects!$V:$V,Weekly_All!R$3&amp;Weekly_All!$B8&amp;Weekly_All!$B$3&amp;$B$2)</f>
        <v>0</v>
      </c>
      <c r="S8" s="2">
        <f>COUNTIF(defects!$V:$V,Weekly_All!S$3&amp;Weekly_All!$B8&amp;Weekly_All!$B$3&amp;$B$2)</f>
        <v>0</v>
      </c>
      <c r="T8" s="2">
        <f>COUNTIF(defects!$V:$V,Weekly_All!T$3&amp;Weekly_All!$B8&amp;Weekly_All!$B$3&amp;$B$2)</f>
        <v>0</v>
      </c>
      <c r="U8" s="2">
        <f>COUNTIF(defects!$V:$V,Weekly_All!U$3&amp;Weekly_All!$B8&amp;Weekly_All!$B$3&amp;$B$2)</f>
        <v>0</v>
      </c>
      <c r="V8" s="2">
        <f>COUNTIF(defects!$V:$V,Weekly_All!V$3&amp;Weekly_All!$B8&amp;Weekly_All!$B$3&amp;$B$2)</f>
        <v>0</v>
      </c>
      <c r="W8" s="2">
        <f>COUNTIF(defects!$V:$V,Weekly_All!W$3&amp;Weekly_All!$B8&amp;Weekly_All!$B$3&amp;$B$2)</f>
        <v>0</v>
      </c>
      <c r="X8" s="2">
        <f>COUNTIF(defects!$V:$V,Weekly_All!X$3&amp;Weekly_All!$B8&amp;Weekly_All!$B$3&amp;$B$2)</f>
        <v>0</v>
      </c>
      <c r="Y8" s="2">
        <f>COUNTIF(defects!$V:$V,Weekly_All!Y$3&amp;Weekly_All!$B8&amp;Weekly_All!$B$3&amp;$B$2)</f>
        <v>0</v>
      </c>
      <c r="Z8" s="2">
        <f>COUNTIF(defects!$V:$V,Weekly_All!Z$3&amp;Weekly_All!$B8&amp;Weekly_All!$B$3&amp;$B$2)</f>
        <v>0</v>
      </c>
      <c r="AA8" s="2">
        <f>COUNTIF(defects!$V:$V,Weekly_All!AA$3&amp;Weekly_All!$B8&amp;Weekly_All!$B$3&amp;$B$2)</f>
        <v>0</v>
      </c>
      <c r="AB8" s="2">
        <f>COUNTIF(defects!$V:$V,Weekly_All!AB$3&amp;Weekly_All!$B8&amp;Weekly_All!$B$3&amp;$B$2)</f>
        <v>0</v>
      </c>
      <c r="AC8" s="2">
        <f>COUNTIF(defects!$V:$V,Weekly_All!AC$3&amp;Weekly_All!$B8&amp;Weekly_All!$B$3&amp;$B$2)</f>
        <v>0</v>
      </c>
      <c r="AD8" s="2">
        <f>COUNTIF(defects!$V:$V,Weekly_All!AD$3&amp;Weekly_All!$B8&amp;Weekly_All!$B$3&amp;$B$2)</f>
        <v>0</v>
      </c>
      <c r="AE8" s="2">
        <f>COUNTIF(defects!$V:$V,Weekly_All!AE$3&amp;Weekly_All!$B8&amp;Weekly_All!$B$3&amp;$B$2)</f>
        <v>0</v>
      </c>
      <c r="AF8" s="2">
        <f>COUNTIF(defects!$V:$V,Weekly_All!AF$3&amp;Weekly_All!$B8&amp;Weekly_All!$B$3&amp;$B$2)</f>
        <v>0</v>
      </c>
      <c r="AG8" s="2">
        <f>COUNTIF(defects!$V:$V,Weekly_All!AG$3&amp;Weekly_All!$B8&amp;Weekly_All!$B$3&amp;$B$2)</f>
        <v>0</v>
      </c>
      <c r="AH8" s="2">
        <f>COUNTIF(defects!$V:$V,Weekly_All!AH$3&amp;Weekly_All!$B8&amp;Weekly_All!$B$3&amp;$B$2)</f>
        <v>0</v>
      </c>
      <c r="AI8" s="2">
        <f>COUNTIF(defects!$V:$V,Weekly_All!AI$3&amp;Weekly_All!$B8&amp;Weekly_All!$B$3&amp;$B$2)</f>
        <v>0</v>
      </c>
      <c r="AJ8" s="2">
        <f>COUNTIF(defects!$V:$V,Weekly_All!AJ$3&amp;Weekly_All!$B8&amp;Weekly_All!$B$3&amp;$B$2)</f>
        <v>0</v>
      </c>
      <c r="AK8" s="2">
        <f>COUNTIF(defects!$V:$V,Weekly_All!AK$3&amp;Weekly_All!$B8&amp;Weekly_All!$B$3&amp;$B$2)</f>
        <v>0</v>
      </c>
      <c r="AL8" s="2">
        <f>COUNTIF(defects!$V:$V,Weekly_All!AL$3&amp;Weekly_All!$B8&amp;Weekly_All!$B$3&amp;$B$2)</f>
        <v>0</v>
      </c>
      <c r="AM8" s="2">
        <f>COUNTIF(defects!$V:$V,Weekly_All!AM$3&amp;Weekly_All!$B8&amp;Weekly_All!$B$3&amp;$B$2)</f>
        <v>0</v>
      </c>
      <c r="AN8" s="2">
        <f>COUNTIF(defects!$V:$V,Weekly_All!AN$3&amp;Weekly_All!$B8&amp;Weekly_All!$B$3&amp;$B$2)</f>
        <v>0</v>
      </c>
      <c r="AO8" s="2">
        <f>COUNTIF(defects!$V:$V,Weekly_All!AO$3&amp;Weekly_All!$B8&amp;Weekly_All!$B$3&amp;$B$2)</f>
        <v>0</v>
      </c>
      <c r="AP8" s="2">
        <f>COUNTIF(defects!$V:$V,Weekly_All!AP$3&amp;Weekly_All!$B8&amp;Weekly_All!$B$3&amp;$B$2)</f>
        <v>0</v>
      </c>
      <c r="AQ8" s="2">
        <f>COUNTIF(defects!$V:$V,Weekly_All!AQ$3&amp;Weekly_All!$B8&amp;Weekly_All!$B$3&amp;$B$2)</f>
        <v>0</v>
      </c>
      <c r="AR8" s="2">
        <f>COUNTIF(defects!$V:$V,Weekly_All!AR$3&amp;Weekly_All!$B8&amp;Weekly_All!$B$3&amp;$B$2)</f>
        <v>0</v>
      </c>
      <c r="AS8" s="2">
        <f>COUNTIF(defects!$V:$V,Weekly_All!AS$3&amp;Weekly_All!$B8&amp;Weekly_All!$B$3&amp;$B$2)</f>
        <v>0</v>
      </c>
      <c r="AT8" s="2">
        <f>COUNTIF(defects!$V:$V,Weekly_All!AT$3&amp;Weekly_All!$B8&amp;Weekly_All!$B$3&amp;$B$2)</f>
        <v>0</v>
      </c>
      <c r="AU8" s="2">
        <f>COUNTIF(defects!$V:$V,Weekly_All!AU$3&amp;Weekly_All!$B8&amp;Weekly_All!$B$3&amp;$B$2)</f>
        <v>0</v>
      </c>
      <c r="AV8" s="2">
        <f>COUNTIF(defects!$V:$V,Weekly_All!AV$3&amp;Weekly_All!$B8&amp;Weekly_All!$B$3&amp;$B$2)</f>
        <v>0</v>
      </c>
      <c r="AW8" s="2">
        <f>COUNTIF(defects!$V:$V,Weekly_All!AW$3&amp;Weekly_All!$B8&amp;Weekly_All!$B$3&amp;$B$2)</f>
        <v>0</v>
      </c>
      <c r="AX8" s="2">
        <f>COUNTIF(defects!$V:$V,Weekly_All!AX$3&amp;Weekly_All!$B8&amp;Weekly_All!$B$3&amp;$B$2)</f>
        <v>0</v>
      </c>
      <c r="AY8" s="2">
        <f>COUNTIF(defects!$V:$V,Weekly_All!AY$3&amp;Weekly_All!$B8&amp;Weekly_All!$B$3&amp;$B$2)</f>
        <v>0</v>
      </c>
      <c r="AZ8" s="2">
        <f>COUNTIF(defects!$V:$V,Weekly_All!AZ$3&amp;Weekly_All!$B8&amp;Weekly_All!$B$3&amp;$B$2)</f>
        <v>0</v>
      </c>
      <c r="BA8" s="2">
        <f>COUNTIF(defects!$V:$V,Weekly_All!BA$3&amp;Weekly_All!$B8&amp;Weekly_All!$B$3&amp;$B$2)</f>
        <v>0</v>
      </c>
      <c r="BB8" s="2">
        <f>COUNTIF(defects!$V:$V,Weekly_All!BB$3&amp;Weekly_All!$B8&amp;Weekly_All!$B$3&amp;$B$2)</f>
        <v>0</v>
      </c>
      <c r="BC8" s="2">
        <f>COUNTIF(defects!$V:$V,Weekly_All!BC$3&amp;Weekly_All!$B8&amp;Weekly_All!$B$3&amp;$B$2)</f>
        <v>0</v>
      </c>
      <c r="BD8" s="2">
        <f>COUNTIF(defects!$V:$V,Weekly_All!BD$3&amp;Weekly_All!$B8&amp;Weekly_All!$B$3&amp;$B$2)</f>
        <v>0</v>
      </c>
      <c r="BE8" s="2">
        <f>COUNTIF(defects!$V:$V,Weekly_All!BE$3&amp;Weekly_All!$B8&amp;Weekly_All!$B$3&amp;$B$2)</f>
        <v>0</v>
      </c>
      <c r="BF8" s="2">
        <f>COUNTIF(defects!$V:$V,Weekly_All!BF$3&amp;Weekly_All!$B8&amp;Weekly_All!$B$3&amp;$B$2)</f>
        <v>0</v>
      </c>
      <c r="BG8" s="2">
        <f>COUNTIF(defects!$V:$V,Weekly_All!BG$3&amp;Weekly_All!$B8&amp;Weekly_All!$B$3&amp;$B$2)</f>
        <v>0</v>
      </c>
      <c r="BH8" s="2">
        <f>COUNTIF(defects!$V:$V,Weekly_All!BH$3&amp;Weekly_All!$B8&amp;Weekly_All!$B$3&amp;$B$2)</f>
        <v>0</v>
      </c>
      <c r="BI8" s="2">
        <f>COUNTIF(defects!$V:$V,Weekly_All!BI$3&amp;Weekly_All!$B8&amp;Weekly_All!$B$3&amp;$B$2)</f>
        <v>0</v>
      </c>
      <c r="BJ8" s="2">
        <f>COUNTIF(defects!$V:$V,Weekly_All!BJ$3&amp;Weekly_All!$B8&amp;Weekly_All!$B$3&amp;$B$2)</f>
        <v>0</v>
      </c>
      <c r="BK8" s="2">
        <f>COUNTIF(defects!$V:$V,Weekly_All!BK$3&amp;Weekly_All!$B8&amp;Weekly_All!$B$3&amp;$B$2)</f>
        <v>0</v>
      </c>
      <c r="BL8" s="2">
        <f>COUNTIF(defects!$V:$V,Weekly_All!BL$3&amp;Weekly_All!$B8&amp;Weekly_All!$B$3&amp;$B$2)</f>
        <v>0</v>
      </c>
      <c r="BM8" s="2">
        <f>COUNTIF(defects!$V:$V,Weekly_All!BM$3&amp;Weekly_All!$B8&amp;Weekly_All!$B$3&amp;$B$2)</f>
        <v>0</v>
      </c>
      <c r="BN8" s="2">
        <f>COUNTIF(defects!$V:$V,Weekly_All!BN$3&amp;Weekly_All!$B8&amp;Weekly_All!$B$3&amp;$B$2)</f>
        <v>0</v>
      </c>
      <c r="BO8" s="2">
        <f>COUNTIF(defects!$V:$V,Weekly_All!BO$3&amp;Weekly_All!$B8&amp;Weekly_All!$B$3&amp;$B$2)</f>
        <v>1</v>
      </c>
      <c r="BP8" s="2">
        <f>COUNTIF(defects!$V:$V,Weekly_All!BP$3&amp;Weekly_All!$B8&amp;Weekly_All!$B$3&amp;$B$2)</f>
        <v>0</v>
      </c>
      <c r="BQ8" s="2">
        <f>COUNTIF(defects!$V:$V,Weekly_All!BQ$3&amp;Weekly_All!$B8&amp;Weekly_All!$B$3&amp;$B$2)</f>
        <v>0</v>
      </c>
      <c r="BR8" s="2">
        <f>COUNTIF(defects!$V:$V,Weekly_All!BR$3&amp;Weekly_All!$B8&amp;Weekly_All!$B$3&amp;$B$2)</f>
        <v>1</v>
      </c>
      <c r="BS8" s="2">
        <f>COUNTIF(defects!$V:$V,Weekly_All!BS$3&amp;Weekly_All!$B8&amp;Weekly_All!$B$3&amp;$B$2)</f>
        <v>0</v>
      </c>
      <c r="BT8" s="2">
        <f>COUNTIF(defects!$V:$V,Weekly_All!BT$3&amp;Weekly_All!$B8&amp;Weekly_All!$B$3&amp;$B$2)</f>
        <v>0</v>
      </c>
      <c r="BU8" s="2">
        <f>COUNTIF(defects!$V:$V,Weekly_All!BU$3&amp;Weekly_All!$B8&amp;Weekly_All!$B$3&amp;$B$2)</f>
        <v>1</v>
      </c>
      <c r="BV8" s="2">
        <f>COUNTIF(defects!$V:$V,Weekly_All!BV$3&amp;Weekly_All!$B8&amp;Weekly_All!$B$3&amp;$B$2)</f>
        <v>0</v>
      </c>
      <c r="BW8" s="2">
        <f>COUNTIF(defects!$V:$V,Weekly_All!BW$3&amp;Weekly_All!$B8&amp;Weekly_All!$B$3&amp;$B$2)</f>
        <v>0</v>
      </c>
      <c r="BX8" s="2">
        <f>COUNTIF(defects!$V:$V,Weekly_All!BX$3&amp;Weekly_All!$B8&amp;Weekly_All!$B$3&amp;$B$2)</f>
        <v>1</v>
      </c>
      <c r="BY8" s="2">
        <f>COUNTIF(defects!$V:$V,Weekly_All!BY$3&amp;Weekly_All!$B8&amp;Weekly_All!$B$3&amp;$B$2)</f>
        <v>0</v>
      </c>
      <c r="BZ8" s="2">
        <f>COUNTIF(defects!$V:$V,Weekly_All!BZ$3&amp;Weekly_All!$B8&amp;Weekly_All!$B$3&amp;$B$2)</f>
        <v>3</v>
      </c>
      <c r="CA8" s="2">
        <f>COUNTIF(defects!$V:$V,Weekly_All!CA$3&amp;Weekly_All!$B8&amp;Weekly_All!$B$3&amp;$B$2)</f>
        <v>0</v>
      </c>
      <c r="CB8" s="2">
        <f>COUNTIF(defects!$V:$V,Weekly_All!CB$3&amp;Weekly_All!$B8&amp;Weekly_All!$B$3&amp;$B$2)</f>
        <v>0</v>
      </c>
      <c r="CC8" s="2">
        <f>COUNTIF(defects!$V:$V,Weekly_All!CC$3&amp;Weekly_All!$B8&amp;Weekly_All!$B$3&amp;$B$2)</f>
        <v>0</v>
      </c>
      <c r="CD8" s="2">
        <f>COUNTIF(defects!$V:$V,Weekly_All!CD$3&amp;Weekly_All!$B8&amp;Weekly_All!$B$3&amp;$B$2)</f>
        <v>0</v>
      </c>
      <c r="CE8" s="2">
        <f>COUNTIF(defects!$V:$V,Weekly_All!CE$3&amp;Weekly_All!$B8&amp;Weekly_All!$B$3&amp;$B$2)</f>
        <v>0</v>
      </c>
      <c r="CF8" s="2">
        <f>COUNTIF(defects!$V:$V,Weekly_All!CF$3&amp;Weekly_All!$B8&amp;Weekly_All!$B$3&amp;$B$2)</f>
        <v>3</v>
      </c>
      <c r="CG8" s="2">
        <f>COUNTIF(defects!$V:$V,Weekly_All!CG$3&amp;Weekly_All!$B8&amp;Weekly_All!$B$3&amp;$B$2)</f>
        <v>0</v>
      </c>
      <c r="CH8" s="2">
        <f>COUNTIF(defects!$V:$V,Weekly_All!CH$3&amp;Weekly_All!$B8&amp;Weekly_All!$B$3&amp;$B$2)</f>
        <v>1</v>
      </c>
      <c r="CI8" s="2">
        <f>COUNTIF(defects!$V:$V,Weekly_All!CI$3&amp;Weekly_All!$B8&amp;Weekly_All!$B$3&amp;$B$2)</f>
        <v>1</v>
      </c>
      <c r="CJ8" s="2">
        <f>COUNTIF(defects!$V:$V,Weekly_All!CJ$3&amp;Weekly_All!$B8&amp;Weekly_All!$B$3&amp;$B$2)</f>
        <v>1</v>
      </c>
      <c r="CK8" s="2">
        <f>COUNTIF(defects!$V:$V,Weekly_All!CK$3&amp;Weekly_All!$B8&amp;Weekly_All!$B$3&amp;$B$2)</f>
        <v>0</v>
      </c>
      <c r="CL8" s="2">
        <f>COUNTIF(defects!$V:$V,Weekly_All!CL$3&amp;Weekly_All!$B8&amp;Weekly_All!$B$3&amp;$B$2)</f>
        <v>0</v>
      </c>
      <c r="CM8" s="2">
        <f>COUNTIF(defects!$V:$V,Weekly_All!CM$3&amp;Weekly_All!$B8&amp;Weekly_All!$B$3&amp;$B$2)</f>
        <v>0</v>
      </c>
      <c r="CN8" s="2">
        <f>COUNTIF(defects!$V:$V,Weekly_All!CN$3&amp;Weekly_All!$B8&amp;Weekly_All!$B$3&amp;$B$2)</f>
        <v>2</v>
      </c>
      <c r="CO8" s="2">
        <f>COUNTIF(defects!$V:$V,Weekly_All!CO$3&amp;Weekly_All!$B8&amp;Weekly_All!$B$3&amp;$B$2)</f>
        <v>1</v>
      </c>
      <c r="CP8" s="2">
        <f>COUNTIF(defects!$V:$V,Weekly_All!CP$3&amp;Weekly_All!$B8&amp;Weekly_All!$B$3&amp;$B$2)</f>
        <v>2</v>
      </c>
      <c r="CQ8" s="2">
        <f>COUNTIF(defects!$V:$V,Weekly_All!CQ$3&amp;Weekly_All!$B8&amp;Weekly_All!$B$3&amp;$B$2)</f>
        <v>0</v>
      </c>
      <c r="CR8" s="2">
        <f>COUNTIF(defects!$V:$V,Weekly_All!CR$3&amp;Weekly_All!$B8&amp;Weekly_All!$B$3&amp;$B$2)</f>
        <v>0</v>
      </c>
      <c r="CS8" s="2">
        <f>COUNTIF(defects!$V:$V,Weekly_All!CS$3&amp;Weekly_All!$B8&amp;Weekly_All!$B$3&amp;$B$2)</f>
        <v>1</v>
      </c>
      <c r="CT8" s="2">
        <f>COUNTIF(defects!$V:$V,Weekly_All!CT$3&amp;Weekly_All!$B8&amp;Weekly_All!$B$3&amp;$B$2)</f>
        <v>0</v>
      </c>
      <c r="CU8" s="2">
        <f>COUNTIF(defects!$V:$V,Weekly_All!CU$3&amp;Weekly_All!$B8&amp;Weekly_All!$B$3&amp;$B$2)</f>
        <v>0</v>
      </c>
      <c r="CV8" s="2">
        <f>COUNTIF(defects!$V:$V,Weekly_All!CV$3&amp;Weekly_All!$B8&amp;Weekly_All!$B$3&amp;$B$2)</f>
        <v>0</v>
      </c>
      <c r="CW8" s="2">
        <f>COUNTIF(defects!$V:$V,Weekly_All!CW$3&amp;Weekly_All!$B8&amp;Weekly_All!$B$3&amp;$B$2)</f>
        <v>0</v>
      </c>
      <c r="CX8" s="2">
        <f>COUNTIF(defects!$V:$V,Weekly_All!CX$3&amp;Weekly_All!$B8&amp;Weekly_All!$B$3&amp;$B$2)</f>
        <v>0</v>
      </c>
      <c r="CY8" s="2">
        <f>COUNTIF(defects!$V:$V,Weekly_All!CY$3&amp;Weekly_All!$B8&amp;Weekly_All!$B$3&amp;$B$2)</f>
        <v>0</v>
      </c>
      <c r="CZ8" s="2">
        <f>COUNTIF(defects!$V:$V,Weekly_All!CZ$3&amp;Weekly_All!$B8&amp;Weekly_All!$B$3&amp;$B$2)</f>
        <v>0</v>
      </c>
      <c r="DA8" s="2">
        <f>COUNTIF(defects!$V:$V,Weekly_All!DA$3&amp;Weekly_All!$B8&amp;Weekly_All!$B$3&amp;$B$2)</f>
        <v>0</v>
      </c>
      <c r="DB8" s="2">
        <f>COUNTIF(defects!$V:$V,Weekly_All!DB$3&amp;Weekly_All!$B8&amp;Weekly_All!$B$3&amp;$B$2)</f>
        <v>0</v>
      </c>
      <c r="DC8" s="2">
        <f>COUNTIF(defects!$V:$V,Weekly_All!DC$3&amp;Weekly_All!$B8&amp;Weekly_All!$B$3&amp;$B$2)</f>
        <v>0</v>
      </c>
      <c r="DD8" s="2">
        <f>COUNTIF(defects!$V:$V,Weekly_All!DD$3&amp;Weekly_All!$B8&amp;Weekly_All!$B$3&amp;$B$2)</f>
        <v>0</v>
      </c>
      <c r="DE8" s="2">
        <f>COUNTIF(defects!$V:$V,Weekly_All!DE$3&amp;Weekly_All!$B8&amp;Weekly_All!$B$3&amp;$B$2)</f>
        <v>0</v>
      </c>
      <c r="DF8" s="2">
        <f>COUNTIF(defects!$V:$V,Weekly_All!DF$3&amp;Weekly_All!$B8&amp;Weekly_All!$B$3&amp;$B$2)</f>
        <v>0</v>
      </c>
      <c r="DG8" s="2">
        <f>COUNTIF(defects!$V:$V,Weekly_All!DG$3&amp;Weekly_All!$B8&amp;Weekly_All!$B$3&amp;$B$2)</f>
        <v>0</v>
      </c>
      <c r="DH8" s="2">
        <f>COUNTIF(defects!$V:$V,Weekly_All!DH$3&amp;Weekly_All!$B8&amp;Weekly_All!$B$3&amp;$B$2)</f>
        <v>0</v>
      </c>
      <c r="DI8" s="2">
        <f>COUNTIF(defects!$V:$V,Weekly_All!DI$3&amp;Weekly_All!$B8&amp;Weekly_All!$B$3&amp;$B$2)</f>
        <v>0</v>
      </c>
      <c r="DJ8" s="2">
        <f>COUNTIF(defects!$V:$V,Weekly_All!DJ$3&amp;Weekly_All!$B8&amp;Weekly_All!$B$3&amp;$B$2)</f>
        <v>0</v>
      </c>
      <c r="DK8" s="2">
        <f>COUNTIF(defects!$V:$V,Weekly_All!DK$3&amp;Weekly_All!$B8&amp;Weekly_All!$B$3&amp;$B$2)</f>
        <v>0</v>
      </c>
      <c r="DL8" s="2">
        <f>COUNTIF(defects!$V:$V,Weekly_All!DL$3&amp;Weekly_All!$B8&amp;Weekly_All!$B$3&amp;$B$2)</f>
        <v>0</v>
      </c>
      <c r="DM8" s="2">
        <f>COUNTIF(defects!$V:$V,Weekly_All!DM$3&amp;Weekly_All!$B8&amp;Weekly_All!$B$3&amp;$B$2)</f>
        <v>0</v>
      </c>
      <c r="DN8" s="2">
        <f>COUNTIF(defects!$V:$V,Weekly_All!DN$3&amp;Weekly_All!$B8&amp;Weekly_All!$B$3&amp;$B$2)</f>
        <v>0</v>
      </c>
      <c r="DO8" s="2">
        <f>COUNTIF(defects!$V:$V,Weekly_All!DO$3&amp;Weekly_All!$B8&amp;Weekly_All!$B$3&amp;$B$2)</f>
        <v>0</v>
      </c>
      <c r="DP8" s="2">
        <f>COUNTIF(defects!$V:$V,Weekly_All!DP$3&amp;Weekly_All!$B8&amp;Weekly_All!$B$3&amp;$B$2)</f>
        <v>0</v>
      </c>
      <c r="DQ8" s="2">
        <f>COUNTIF(defects!$V:$V,Weekly_All!DQ$3&amp;Weekly_All!$B8&amp;Weekly_All!$B$3&amp;$B$2)</f>
        <v>0</v>
      </c>
      <c r="DR8" s="2">
        <f>COUNTIF(defects!$V:$V,Weekly_All!DR$3&amp;Weekly_All!$B8&amp;Weekly_All!$B$3&amp;$B$2)</f>
        <v>0</v>
      </c>
      <c r="DS8" s="2">
        <f>COUNTIF(defects!$V:$V,Weekly_All!DS$3&amp;Weekly_All!$B8&amp;Weekly_All!$B$3&amp;$B$2)</f>
        <v>0</v>
      </c>
      <c r="DT8" s="2">
        <f>COUNTIF(defects!$V:$V,Weekly_All!DT$3&amp;Weekly_All!$B8&amp;Weekly_All!$B$3&amp;$B$2)</f>
        <v>0</v>
      </c>
      <c r="DU8" s="2">
        <f>COUNTIF(defects!$V:$V,Weekly_All!DU$3&amp;Weekly_All!$B8&amp;Weekly_All!$B$3&amp;$B$2)</f>
        <v>0</v>
      </c>
      <c r="DV8" s="2">
        <f>COUNTIF(defects!$V:$V,Weekly_All!DV$3&amp;Weekly_All!$B8&amp;Weekly_All!$B$3&amp;$B$2)</f>
        <v>0</v>
      </c>
      <c r="DW8" s="2">
        <f>COUNTIF(defects!$V:$V,Weekly_All!DW$3&amp;Weekly_All!$B8&amp;Weekly_All!$B$3&amp;$B$2)</f>
        <v>0</v>
      </c>
      <c r="DX8" s="2">
        <f>COUNTIF(defects!$V:$V,Weekly_All!DX$3&amp;Weekly_All!$B8&amp;Weekly_All!$B$3&amp;$B$2)</f>
        <v>0</v>
      </c>
      <c r="DY8" s="2">
        <f>COUNTIF(defects!$V:$V,Weekly_All!DY$3&amp;Weekly_All!$B8&amp;Weekly_All!$B$3&amp;$B$2)</f>
        <v>0</v>
      </c>
      <c r="DZ8" s="2">
        <f>COUNTIF(defects!$V:$V,Weekly_All!DZ$3&amp;Weekly_All!$B8&amp;Weekly_All!$B$3&amp;$B$2)</f>
        <v>0</v>
      </c>
      <c r="EA8" s="2">
        <f>COUNTIF(defects!$V:$V,Weekly_All!EA$3&amp;Weekly_All!$B8&amp;Weekly_All!$B$3&amp;$B$2)</f>
        <v>0</v>
      </c>
      <c r="EB8" s="2">
        <f>COUNTIF(defects!$V:$V,Weekly_All!EB$3&amp;Weekly_All!$B8&amp;Weekly_All!$B$3&amp;$B$2)</f>
        <v>0</v>
      </c>
      <c r="EC8" s="2">
        <f>COUNTIF(defects!$V:$V,Weekly_All!EC$3&amp;Weekly_All!$B8&amp;Weekly_All!$B$3&amp;$B$2)</f>
        <v>0</v>
      </c>
      <c r="ED8" s="2">
        <f>COUNTIF(defects!$V:$V,Weekly_All!ED$3&amp;Weekly_All!$B8&amp;Weekly_All!$B$3&amp;$B$2)</f>
        <v>0</v>
      </c>
      <c r="EE8" s="2">
        <f>COUNTIF(defects!$V:$V,Weekly_All!EE$3&amp;Weekly_All!$B8&amp;Weekly_All!$B$3&amp;$B$2)</f>
        <v>0</v>
      </c>
      <c r="EF8" s="2">
        <f>COUNTIF(defects!$V:$V,Weekly_All!EF$3&amp;Weekly_All!$B8&amp;Weekly_All!$B$3&amp;$B$2)</f>
        <v>0</v>
      </c>
      <c r="EG8" s="2">
        <f>COUNTIF(defects!$V:$V,Weekly_All!EG$3&amp;Weekly_All!$B8&amp;Weekly_All!$B$3&amp;$B$2)</f>
        <v>0</v>
      </c>
      <c r="EH8" s="2">
        <f>COUNTIF(defects!$V:$V,Weekly_All!EH$3&amp;Weekly_All!$B8&amp;Weekly_All!$B$3&amp;$B$2)</f>
        <v>0</v>
      </c>
      <c r="EI8" s="2">
        <f>COUNTIF(defects!$V:$V,Weekly_All!EI$3&amp;Weekly_All!$B8&amp;Weekly_All!$B$3&amp;$B$2)</f>
        <v>0</v>
      </c>
      <c r="EJ8" s="2">
        <f>COUNTIF(defects!$V:$V,Weekly_All!EJ$3&amp;Weekly_All!$B8&amp;Weekly_All!$B$3&amp;$B$2)</f>
        <v>0</v>
      </c>
      <c r="EK8" s="2">
        <f>COUNTIF(defects!$V:$V,Weekly_All!EK$3&amp;Weekly_All!$B8&amp;Weekly_All!$B$3&amp;$B$2)</f>
        <v>0</v>
      </c>
      <c r="EL8" s="2">
        <f>COUNTIF(defects!$V:$V,Weekly_All!EL$3&amp;Weekly_All!$B8&amp;Weekly_All!$B$3&amp;$B$2)</f>
        <v>0</v>
      </c>
      <c r="EM8" s="2">
        <f>COUNTIF(defects!$V:$V,Weekly_All!EM$3&amp;Weekly_All!$B8&amp;Weekly_All!$B$3&amp;$B$2)</f>
        <v>0</v>
      </c>
      <c r="EN8" s="2">
        <f>COUNTIF(defects!$V:$V,Weekly_All!EN$3&amp;Weekly_All!$B8&amp;Weekly_All!$B$3&amp;$B$2)</f>
        <v>0</v>
      </c>
      <c r="EO8" s="2">
        <f>COUNTIF(defects!$V:$V,Weekly_All!EO$3&amp;Weekly_All!$B8&amp;Weekly_All!$B$3&amp;$B$2)</f>
        <v>0</v>
      </c>
      <c r="EP8" s="2">
        <f>COUNTIF(defects!$V:$V,Weekly_All!EP$3&amp;Weekly_All!$B8&amp;Weekly_All!$B$3&amp;$B$2)</f>
        <v>0</v>
      </c>
      <c r="EQ8" s="2">
        <f>COUNTIF(defects!$V:$V,Weekly_All!EQ$3&amp;Weekly_All!$B8&amp;Weekly_All!$B$3&amp;$B$2)</f>
        <v>0</v>
      </c>
      <c r="ER8" s="2">
        <f>COUNTIF(defects!$V:$V,Weekly_All!ER$3&amp;Weekly_All!$B8&amp;Weekly_All!$B$3&amp;$B$2)</f>
        <v>0</v>
      </c>
      <c r="ES8" s="2">
        <f>COUNTIF(defects!$V:$V,Weekly_All!ES$3&amp;Weekly_All!$B8&amp;Weekly_All!$B$3&amp;$B$2)</f>
        <v>0</v>
      </c>
      <c r="ET8" s="2">
        <f>COUNTIF(defects!$V:$V,Weekly_All!ET$3&amp;Weekly_All!$B8&amp;Weekly_All!$B$3&amp;$B$2)</f>
        <v>0</v>
      </c>
      <c r="EU8" s="2">
        <f>COUNTIF(defects!$V:$V,Weekly_All!EU$3&amp;Weekly_All!$B8&amp;Weekly_All!$B$3&amp;$B$2)</f>
        <v>0</v>
      </c>
      <c r="EV8" s="2">
        <f>COUNTIF(defects!$V:$V,Weekly_All!EV$3&amp;Weekly_All!$B8&amp;Weekly_All!$B$3&amp;$B$2)</f>
        <v>0</v>
      </c>
      <c r="EW8" s="2">
        <f>COUNTIF(defects!$V:$V,Weekly_All!EW$3&amp;Weekly_All!$B8&amp;Weekly_All!$B$3&amp;$B$2)</f>
        <v>0</v>
      </c>
      <c r="EX8" s="2">
        <f>COUNTIF(defects!$V:$V,Weekly_All!EX$3&amp;Weekly_All!$B8&amp;Weekly_All!$B$3&amp;$B$2)</f>
        <v>0</v>
      </c>
      <c r="EY8" s="2">
        <f>COUNTIF(defects!$V:$V,Weekly_All!EY$3&amp;Weekly_All!$B8&amp;Weekly_All!$B$3&amp;$B$2)</f>
        <v>0</v>
      </c>
      <c r="EZ8" s="2">
        <f>COUNTIF(defects!$V:$V,Weekly_All!EZ$3&amp;Weekly_All!$B8&amp;Weekly_All!$B$3&amp;$B$2)</f>
        <v>0</v>
      </c>
      <c r="FA8" s="2">
        <f>COUNTIF(defects!$V:$V,Weekly_All!FA$3&amp;Weekly_All!$B8&amp;Weekly_All!$B$3&amp;$B$2)</f>
        <v>0</v>
      </c>
      <c r="FB8" s="2">
        <f>COUNTIF(defects!$V:$V,Weekly_All!FB$3&amp;Weekly_All!$B8&amp;Weekly_All!$B$3&amp;$B$2)</f>
        <v>0</v>
      </c>
      <c r="FC8" s="2">
        <f>COUNTIF(defects!$V:$V,Weekly_All!FC$3&amp;Weekly_All!$B8&amp;Weekly_All!$B$3&amp;$B$2)</f>
        <v>0</v>
      </c>
      <c r="FD8" s="2">
        <f>COUNTIF(defects!$V:$V,Weekly_All!FD$3&amp;Weekly_All!$B8&amp;Weekly_All!$B$3&amp;$B$2)</f>
        <v>0</v>
      </c>
      <c r="FE8" s="2">
        <f>COUNTIF(defects!$V:$V,Weekly_All!FE$3&amp;Weekly_All!$B8&amp;Weekly_All!$B$3&amp;$B$2)</f>
        <v>0</v>
      </c>
    </row>
    <row r="9" spans="2:161">
      <c r="B9" s="2" t="s">
        <v>953</v>
      </c>
      <c r="C9" s="2">
        <f>COUNTIF(defects!$V:$V,Weekly_All!C$3&amp;Weekly_All!$B9&amp;Weekly_All!$B$3&amp;$B$2)</f>
        <v>0</v>
      </c>
      <c r="D9" s="2">
        <f>COUNTIF(defects!$V:$V,Weekly_All!D$3&amp;Weekly_All!$B9&amp;Weekly_All!$B$3&amp;$B$2)</f>
        <v>0</v>
      </c>
      <c r="E9" s="2">
        <f>COUNTIF(defects!$V:$V,Weekly_All!E$3&amp;Weekly_All!$B9&amp;Weekly_All!$B$3&amp;$B$2)</f>
        <v>0</v>
      </c>
      <c r="F9" s="2">
        <f>COUNTIF(defects!$V:$V,Weekly_All!F$3&amp;Weekly_All!$B9&amp;Weekly_All!$B$3&amp;$B$2)</f>
        <v>0</v>
      </c>
      <c r="G9" s="2">
        <f>COUNTIF(defects!$V:$V,Weekly_All!G$3&amp;Weekly_All!$B9&amp;Weekly_All!$B$3&amp;$B$2)</f>
        <v>0</v>
      </c>
      <c r="H9" s="2">
        <f>COUNTIF(defects!$V:$V,Weekly_All!H$3&amp;Weekly_All!$B9&amp;Weekly_All!$B$3&amp;$B$2)</f>
        <v>0</v>
      </c>
      <c r="I9" s="2">
        <f>COUNTIF(defects!$V:$V,Weekly_All!I$3&amp;Weekly_All!$B9&amp;Weekly_All!$B$3&amp;$B$2)</f>
        <v>0</v>
      </c>
      <c r="J9" s="2">
        <f>COUNTIF(defects!$V:$V,Weekly_All!J$3&amp;Weekly_All!$B9&amp;Weekly_All!$B$3&amp;$B$2)</f>
        <v>0</v>
      </c>
      <c r="K9" s="2">
        <f>COUNTIF(defects!$V:$V,Weekly_All!K$3&amp;Weekly_All!$B9&amp;Weekly_All!$B$3&amp;$B$2)</f>
        <v>0</v>
      </c>
      <c r="L9" s="2">
        <f>COUNTIF(defects!$V:$V,Weekly_All!L$3&amp;Weekly_All!$B9&amp;Weekly_All!$B$3&amp;$B$2)</f>
        <v>0</v>
      </c>
      <c r="M9" s="2">
        <f>COUNTIF(defects!$V:$V,Weekly_All!M$3&amp;Weekly_All!$B9&amp;Weekly_All!$B$3&amp;$B$2)</f>
        <v>0</v>
      </c>
      <c r="N9" s="2">
        <f>COUNTIF(defects!$V:$V,Weekly_All!N$3&amp;Weekly_All!$B9&amp;Weekly_All!$B$3&amp;$B$2)</f>
        <v>0</v>
      </c>
      <c r="O9" s="2">
        <f>COUNTIF(defects!$V:$V,Weekly_All!O$3&amp;Weekly_All!$B9&amp;Weekly_All!$B$3&amp;$B$2)</f>
        <v>0</v>
      </c>
      <c r="P9" s="2">
        <f>COUNTIF(defects!$V:$V,Weekly_All!P$3&amp;Weekly_All!$B9&amp;Weekly_All!$B$3&amp;$B$2)</f>
        <v>0</v>
      </c>
      <c r="Q9" s="2">
        <f>COUNTIF(defects!$V:$V,Weekly_All!Q$3&amp;Weekly_All!$B9&amp;Weekly_All!$B$3&amp;$B$2)</f>
        <v>0</v>
      </c>
      <c r="R9" s="2">
        <f>COUNTIF(defects!$V:$V,Weekly_All!R$3&amp;Weekly_All!$B9&amp;Weekly_All!$B$3&amp;$B$2)</f>
        <v>0</v>
      </c>
      <c r="S9" s="2">
        <f>COUNTIF(defects!$V:$V,Weekly_All!S$3&amp;Weekly_All!$B9&amp;Weekly_All!$B$3&amp;$B$2)</f>
        <v>0</v>
      </c>
      <c r="T9" s="2">
        <f>COUNTIF(defects!$V:$V,Weekly_All!T$3&amp;Weekly_All!$B9&amp;Weekly_All!$B$3&amp;$B$2)</f>
        <v>0</v>
      </c>
      <c r="U9" s="2">
        <f>COUNTIF(defects!$V:$V,Weekly_All!U$3&amp;Weekly_All!$B9&amp;Weekly_All!$B$3&amp;$B$2)</f>
        <v>0</v>
      </c>
      <c r="V9" s="2">
        <f>COUNTIF(defects!$V:$V,Weekly_All!V$3&amp;Weekly_All!$B9&amp;Weekly_All!$B$3&amp;$B$2)</f>
        <v>0</v>
      </c>
      <c r="W9" s="2">
        <f>COUNTIF(defects!$V:$V,Weekly_All!W$3&amp;Weekly_All!$B9&amp;Weekly_All!$B$3&amp;$B$2)</f>
        <v>0</v>
      </c>
      <c r="X9" s="2">
        <f>COUNTIF(defects!$V:$V,Weekly_All!X$3&amp;Weekly_All!$B9&amp;Weekly_All!$B$3&amp;$B$2)</f>
        <v>0</v>
      </c>
      <c r="Y9" s="2">
        <f>COUNTIF(defects!$V:$V,Weekly_All!Y$3&amp;Weekly_All!$B9&amp;Weekly_All!$B$3&amp;$B$2)</f>
        <v>0</v>
      </c>
      <c r="Z9" s="2">
        <f>COUNTIF(defects!$V:$V,Weekly_All!Z$3&amp;Weekly_All!$B9&amp;Weekly_All!$B$3&amp;$B$2)</f>
        <v>0</v>
      </c>
      <c r="AA9" s="2">
        <f>COUNTIF(defects!$V:$V,Weekly_All!AA$3&amp;Weekly_All!$B9&amp;Weekly_All!$B$3&amp;$B$2)</f>
        <v>0</v>
      </c>
      <c r="AB9" s="2">
        <f>COUNTIF(defects!$V:$V,Weekly_All!AB$3&amp;Weekly_All!$B9&amp;Weekly_All!$B$3&amp;$B$2)</f>
        <v>0</v>
      </c>
      <c r="AC9" s="2">
        <f>COUNTIF(defects!$V:$V,Weekly_All!AC$3&amp;Weekly_All!$B9&amp;Weekly_All!$B$3&amp;$B$2)</f>
        <v>0</v>
      </c>
      <c r="AD9" s="2">
        <f>COUNTIF(defects!$V:$V,Weekly_All!AD$3&amp;Weekly_All!$B9&amp;Weekly_All!$B$3&amp;$B$2)</f>
        <v>0</v>
      </c>
      <c r="AE9" s="2">
        <f>COUNTIF(defects!$V:$V,Weekly_All!AE$3&amp;Weekly_All!$B9&amp;Weekly_All!$B$3&amp;$B$2)</f>
        <v>0</v>
      </c>
      <c r="AF9" s="2">
        <f>COUNTIF(defects!$V:$V,Weekly_All!AF$3&amp;Weekly_All!$B9&amp;Weekly_All!$B$3&amp;$B$2)</f>
        <v>0</v>
      </c>
      <c r="AG9" s="2">
        <f>COUNTIF(defects!$V:$V,Weekly_All!AG$3&amp;Weekly_All!$B9&amp;Weekly_All!$B$3&amp;$B$2)</f>
        <v>0</v>
      </c>
      <c r="AH9" s="2">
        <f>COUNTIF(defects!$V:$V,Weekly_All!AH$3&amp;Weekly_All!$B9&amp;Weekly_All!$B$3&amp;$B$2)</f>
        <v>0</v>
      </c>
      <c r="AI9" s="2">
        <f>COUNTIF(defects!$V:$V,Weekly_All!AI$3&amp;Weekly_All!$B9&amp;Weekly_All!$B$3&amp;$B$2)</f>
        <v>0</v>
      </c>
      <c r="AJ9" s="2">
        <f>COUNTIF(defects!$V:$V,Weekly_All!AJ$3&amp;Weekly_All!$B9&amp;Weekly_All!$B$3&amp;$B$2)</f>
        <v>0</v>
      </c>
      <c r="AK9" s="2">
        <f>COUNTIF(defects!$V:$V,Weekly_All!AK$3&amp;Weekly_All!$B9&amp;Weekly_All!$B$3&amp;$B$2)</f>
        <v>0</v>
      </c>
      <c r="AL9" s="2">
        <f>COUNTIF(defects!$V:$V,Weekly_All!AL$3&amp;Weekly_All!$B9&amp;Weekly_All!$B$3&amp;$B$2)</f>
        <v>0</v>
      </c>
      <c r="AM9" s="2">
        <f>COUNTIF(defects!$V:$V,Weekly_All!AM$3&amp;Weekly_All!$B9&amp;Weekly_All!$B$3&amp;$B$2)</f>
        <v>0</v>
      </c>
      <c r="AN9" s="2">
        <f>COUNTIF(defects!$V:$V,Weekly_All!AN$3&amp;Weekly_All!$B9&amp;Weekly_All!$B$3&amp;$B$2)</f>
        <v>0</v>
      </c>
      <c r="AO9" s="2">
        <f>COUNTIF(defects!$V:$V,Weekly_All!AO$3&amp;Weekly_All!$B9&amp;Weekly_All!$B$3&amp;$B$2)</f>
        <v>0</v>
      </c>
      <c r="AP9" s="2">
        <f>COUNTIF(defects!$V:$V,Weekly_All!AP$3&amp;Weekly_All!$B9&amp;Weekly_All!$B$3&amp;$B$2)</f>
        <v>0</v>
      </c>
      <c r="AQ9" s="2">
        <f>COUNTIF(defects!$V:$V,Weekly_All!AQ$3&amp;Weekly_All!$B9&amp;Weekly_All!$B$3&amp;$B$2)</f>
        <v>0</v>
      </c>
      <c r="AR9" s="2">
        <f>COUNTIF(defects!$V:$V,Weekly_All!AR$3&amp;Weekly_All!$B9&amp;Weekly_All!$B$3&amp;$B$2)</f>
        <v>0</v>
      </c>
      <c r="AS9" s="2">
        <f>COUNTIF(defects!$V:$V,Weekly_All!AS$3&amp;Weekly_All!$B9&amp;Weekly_All!$B$3&amp;$B$2)</f>
        <v>0</v>
      </c>
      <c r="AT9" s="2">
        <f>COUNTIF(defects!$V:$V,Weekly_All!AT$3&amp;Weekly_All!$B9&amp;Weekly_All!$B$3&amp;$B$2)</f>
        <v>0</v>
      </c>
      <c r="AU9" s="2">
        <f>COUNTIF(defects!$V:$V,Weekly_All!AU$3&amp;Weekly_All!$B9&amp;Weekly_All!$B$3&amp;$B$2)</f>
        <v>0</v>
      </c>
      <c r="AV9" s="2">
        <f>COUNTIF(defects!$V:$V,Weekly_All!AV$3&amp;Weekly_All!$B9&amp;Weekly_All!$B$3&amp;$B$2)</f>
        <v>0</v>
      </c>
      <c r="AW9" s="2">
        <f>COUNTIF(defects!$V:$V,Weekly_All!AW$3&amp;Weekly_All!$B9&amp;Weekly_All!$B$3&amp;$B$2)</f>
        <v>0</v>
      </c>
      <c r="AX9" s="2">
        <f>COUNTIF(defects!$V:$V,Weekly_All!AX$3&amp;Weekly_All!$B9&amp;Weekly_All!$B$3&amp;$B$2)</f>
        <v>0</v>
      </c>
      <c r="AY9" s="2">
        <f>COUNTIF(defects!$V:$V,Weekly_All!AY$3&amp;Weekly_All!$B9&amp;Weekly_All!$B$3&amp;$B$2)</f>
        <v>0</v>
      </c>
      <c r="AZ9" s="2">
        <f>COUNTIF(defects!$V:$V,Weekly_All!AZ$3&amp;Weekly_All!$B9&amp;Weekly_All!$B$3&amp;$B$2)</f>
        <v>0</v>
      </c>
      <c r="BA9" s="2">
        <f>COUNTIF(defects!$V:$V,Weekly_All!BA$3&amp;Weekly_All!$B9&amp;Weekly_All!$B$3&amp;$B$2)</f>
        <v>0</v>
      </c>
      <c r="BB9" s="2">
        <f>COUNTIF(defects!$V:$V,Weekly_All!BB$3&amp;Weekly_All!$B9&amp;Weekly_All!$B$3&amp;$B$2)</f>
        <v>0</v>
      </c>
      <c r="BC9" s="2">
        <f>COUNTIF(defects!$V:$V,Weekly_All!BC$3&amp;Weekly_All!$B9&amp;Weekly_All!$B$3&amp;$B$2)</f>
        <v>0</v>
      </c>
      <c r="BD9" s="2">
        <f>COUNTIF(defects!$V:$V,Weekly_All!BD$3&amp;Weekly_All!$B9&amp;Weekly_All!$B$3&amp;$B$2)</f>
        <v>0</v>
      </c>
      <c r="BE9" s="2">
        <f>COUNTIF(defects!$V:$V,Weekly_All!BE$3&amp;Weekly_All!$B9&amp;Weekly_All!$B$3&amp;$B$2)</f>
        <v>0</v>
      </c>
      <c r="BF9" s="2">
        <f>COUNTIF(defects!$V:$V,Weekly_All!BF$3&amp;Weekly_All!$B9&amp;Weekly_All!$B$3&amp;$B$2)</f>
        <v>0</v>
      </c>
      <c r="BG9" s="2">
        <f>COUNTIF(defects!$V:$V,Weekly_All!BG$3&amp;Weekly_All!$B9&amp;Weekly_All!$B$3&amp;$B$2)</f>
        <v>0</v>
      </c>
      <c r="BH9" s="2">
        <f>COUNTIF(defects!$V:$V,Weekly_All!BH$3&amp;Weekly_All!$B9&amp;Weekly_All!$B$3&amp;$B$2)</f>
        <v>0</v>
      </c>
      <c r="BI9" s="2">
        <f>COUNTIF(defects!$V:$V,Weekly_All!BI$3&amp;Weekly_All!$B9&amp;Weekly_All!$B$3&amp;$B$2)</f>
        <v>0</v>
      </c>
      <c r="BJ9" s="2">
        <f>COUNTIF(defects!$V:$V,Weekly_All!BJ$3&amp;Weekly_All!$B9&amp;Weekly_All!$B$3&amp;$B$2)</f>
        <v>0</v>
      </c>
      <c r="BK9" s="2">
        <f>COUNTIF(defects!$V:$V,Weekly_All!BK$3&amp;Weekly_All!$B9&amp;Weekly_All!$B$3&amp;$B$2)</f>
        <v>0</v>
      </c>
      <c r="BL9" s="2">
        <f>COUNTIF(defects!$V:$V,Weekly_All!BL$3&amp;Weekly_All!$B9&amp;Weekly_All!$B$3&amp;$B$2)</f>
        <v>0</v>
      </c>
      <c r="BM9" s="2">
        <f>COUNTIF(defects!$V:$V,Weekly_All!BM$3&amp;Weekly_All!$B9&amp;Weekly_All!$B$3&amp;$B$2)</f>
        <v>0</v>
      </c>
      <c r="BN9" s="2">
        <f>COUNTIF(defects!$V:$V,Weekly_All!BN$3&amp;Weekly_All!$B9&amp;Weekly_All!$B$3&amp;$B$2)</f>
        <v>0</v>
      </c>
      <c r="BO9" s="2">
        <f>COUNTIF(defects!$V:$V,Weekly_All!BO$3&amp;Weekly_All!$B9&amp;Weekly_All!$B$3&amp;$B$2)</f>
        <v>0</v>
      </c>
      <c r="BP9" s="2">
        <f>COUNTIF(defects!$V:$V,Weekly_All!BP$3&amp;Weekly_All!$B9&amp;Weekly_All!$B$3&amp;$B$2)</f>
        <v>0</v>
      </c>
      <c r="BQ9" s="2">
        <f>COUNTIF(defects!$V:$V,Weekly_All!BQ$3&amp;Weekly_All!$B9&amp;Weekly_All!$B$3&amp;$B$2)</f>
        <v>0</v>
      </c>
      <c r="BR9" s="2">
        <f>COUNTIF(defects!$V:$V,Weekly_All!BR$3&amp;Weekly_All!$B9&amp;Weekly_All!$B$3&amp;$B$2)</f>
        <v>1</v>
      </c>
      <c r="BS9" s="2">
        <f>COUNTIF(defects!$V:$V,Weekly_All!BS$3&amp;Weekly_All!$B9&amp;Weekly_All!$B$3&amp;$B$2)</f>
        <v>0</v>
      </c>
      <c r="BT9" s="2">
        <f>COUNTIF(defects!$V:$V,Weekly_All!BT$3&amp;Weekly_All!$B9&amp;Weekly_All!$B$3&amp;$B$2)</f>
        <v>0</v>
      </c>
      <c r="BU9" s="2">
        <f>COUNTIF(defects!$V:$V,Weekly_All!BU$3&amp;Weekly_All!$B9&amp;Weekly_All!$B$3&amp;$B$2)</f>
        <v>0</v>
      </c>
      <c r="BV9" s="2">
        <f>COUNTIF(defects!$V:$V,Weekly_All!BV$3&amp;Weekly_All!$B9&amp;Weekly_All!$B$3&amp;$B$2)</f>
        <v>0</v>
      </c>
      <c r="BW9" s="2">
        <f>COUNTIF(defects!$V:$V,Weekly_All!BW$3&amp;Weekly_All!$B9&amp;Weekly_All!$B$3&amp;$B$2)</f>
        <v>0</v>
      </c>
      <c r="BX9" s="2">
        <f>COUNTIF(defects!$V:$V,Weekly_All!BX$3&amp;Weekly_All!$B9&amp;Weekly_All!$B$3&amp;$B$2)</f>
        <v>0</v>
      </c>
      <c r="BY9" s="2">
        <f>COUNTIF(defects!$V:$V,Weekly_All!BY$3&amp;Weekly_All!$B9&amp;Weekly_All!$B$3&amp;$B$2)</f>
        <v>0</v>
      </c>
      <c r="BZ9" s="2">
        <f>COUNTIF(defects!$V:$V,Weekly_All!BZ$3&amp;Weekly_All!$B9&amp;Weekly_All!$B$3&amp;$B$2)</f>
        <v>0</v>
      </c>
      <c r="CA9" s="2">
        <f>COUNTIF(defects!$V:$V,Weekly_All!CA$3&amp;Weekly_All!$B9&amp;Weekly_All!$B$3&amp;$B$2)</f>
        <v>0</v>
      </c>
      <c r="CB9" s="2">
        <f>COUNTIF(defects!$V:$V,Weekly_All!CB$3&amp;Weekly_All!$B9&amp;Weekly_All!$B$3&amp;$B$2)</f>
        <v>0</v>
      </c>
      <c r="CC9" s="2">
        <f>COUNTIF(defects!$V:$V,Weekly_All!CC$3&amp;Weekly_All!$B9&amp;Weekly_All!$B$3&amp;$B$2)</f>
        <v>0</v>
      </c>
      <c r="CD9" s="2">
        <f>COUNTIF(defects!$V:$V,Weekly_All!CD$3&amp;Weekly_All!$B9&amp;Weekly_All!$B$3&amp;$B$2)</f>
        <v>0</v>
      </c>
      <c r="CE9" s="2">
        <f>COUNTIF(defects!$V:$V,Weekly_All!CE$3&amp;Weekly_All!$B9&amp;Weekly_All!$B$3&amp;$B$2)</f>
        <v>0</v>
      </c>
      <c r="CF9" s="2">
        <f>COUNTIF(defects!$V:$V,Weekly_All!CF$3&amp;Weekly_All!$B9&amp;Weekly_All!$B$3&amp;$B$2)</f>
        <v>0</v>
      </c>
      <c r="CG9" s="2">
        <f>COUNTIF(defects!$V:$V,Weekly_All!CG$3&amp;Weekly_All!$B9&amp;Weekly_All!$B$3&amp;$B$2)</f>
        <v>1</v>
      </c>
      <c r="CH9" s="2">
        <f>COUNTIF(defects!$V:$V,Weekly_All!CH$3&amp;Weekly_All!$B9&amp;Weekly_All!$B$3&amp;$B$2)</f>
        <v>0</v>
      </c>
      <c r="CI9" s="2">
        <f>COUNTIF(defects!$V:$V,Weekly_All!CI$3&amp;Weekly_All!$B9&amp;Weekly_All!$B$3&amp;$B$2)</f>
        <v>0</v>
      </c>
      <c r="CJ9" s="2">
        <f>COUNTIF(defects!$V:$V,Weekly_All!CJ$3&amp;Weekly_All!$B9&amp;Weekly_All!$B$3&amp;$B$2)</f>
        <v>0</v>
      </c>
      <c r="CK9" s="2">
        <f>COUNTIF(defects!$V:$V,Weekly_All!CK$3&amp;Weekly_All!$B9&amp;Weekly_All!$B$3&amp;$B$2)</f>
        <v>1</v>
      </c>
      <c r="CL9" s="2">
        <f>COUNTIF(defects!$V:$V,Weekly_All!CL$3&amp;Weekly_All!$B9&amp;Weekly_All!$B$3&amp;$B$2)</f>
        <v>0</v>
      </c>
      <c r="CM9" s="2">
        <f>COUNTIF(defects!$V:$V,Weekly_All!CM$3&amp;Weekly_All!$B9&amp;Weekly_All!$B$3&amp;$B$2)</f>
        <v>0</v>
      </c>
      <c r="CN9" s="2">
        <f>COUNTIF(defects!$V:$V,Weekly_All!CN$3&amp;Weekly_All!$B9&amp;Weekly_All!$B$3&amp;$B$2)</f>
        <v>0</v>
      </c>
      <c r="CO9" s="2">
        <f>COUNTIF(defects!$V:$V,Weekly_All!CO$3&amp;Weekly_All!$B9&amp;Weekly_All!$B$3&amp;$B$2)</f>
        <v>0</v>
      </c>
      <c r="CP9" s="2">
        <f>COUNTIF(defects!$V:$V,Weekly_All!CP$3&amp;Weekly_All!$B9&amp;Weekly_All!$B$3&amp;$B$2)</f>
        <v>0</v>
      </c>
      <c r="CQ9" s="2">
        <f>COUNTIF(defects!$V:$V,Weekly_All!CQ$3&amp;Weekly_All!$B9&amp;Weekly_All!$B$3&amp;$B$2)</f>
        <v>0</v>
      </c>
      <c r="CR9" s="2">
        <f>COUNTIF(defects!$V:$V,Weekly_All!CR$3&amp;Weekly_All!$B9&amp;Weekly_All!$B$3&amp;$B$2)</f>
        <v>0</v>
      </c>
      <c r="CS9" s="2">
        <f>COUNTIF(defects!$V:$V,Weekly_All!CS$3&amp;Weekly_All!$B9&amp;Weekly_All!$B$3&amp;$B$2)</f>
        <v>0</v>
      </c>
      <c r="CT9" s="2">
        <f>COUNTIF(defects!$V:$V,Weekly_All!CT$3&amp;Weekly_All!$B9&amp;Weekly_All!$B$3&amp;$B$2)</f>
        <v>0</v>
      </c>
      <c r="CU9" s="2">
        <f>COUNTIF(defects!$V:$V,Weekly_All!CU$3&amp;Weekly_All!$B9&amp;Weekly_All!$B$3&amp;$B$2)</f>
        <v>0</v>
      </c>
      <c r="CV9" s="2">
        <f>COUNTIF(defects!$V:$V,Weekly_All!CV$3&amp;Weekly_All!$B9&amp;Weekly_All!$B$3&amp;$B$2)</f>
        <v>0</v>
      </c>
      <c r="CW9" s="2">
        <f>COUNTIF(defects!$V:$V,Weekly_All!CW$3&amp;Weekly_All!$B9&amp;Weekly_All!$B$3&amp;$B$2)</f>
        <v>0</v>
      </c>
      <c r="CX9" s="2">
        <f>COUNTIF(defects!$V:$V,Weekly_All!CX$3&amp;Weekly_All!$B9&amp;Weekly_All!$B$3&amp;$B$2)</f>
        <v>0</v>
      </c>
      <c r="CY9" s="2">
        <f>COUNTIF(defects!$V:$V,Weekly_All!CY$3&amp;Weekly_All!$B9&amp;Weekly_All!$B$3&amp;$B$2)</f>
        <v>0</v>
      </c>
      <c r="CZ9" s="2">
        <f>COUNTIF(defects!$V:$V,Weekly_All!CZ$3&amp;Weekly_All!$B9&amp;Weekly_All!$B$3&amp;$B$2)</f>
        <v>0</v>
      </c>
      <c r="DA9" s="2">
        <f>COUNTIF(defects!$V:$V,Weekly_All!DA$3&amp;Weekly_All!$B9&amp;Weekly_All!$B$3&amp;$B$2)</f>
        <v>0</v>
      </c>
      <c r="DB9" s="2">
        <f>COUNTIF(defects!$V:$V,Weekly_All!DB$3&amp;Weekly_All!$B9&amp;Weekly_All!$B$3&amp;$B$2)</f>
        <v>0</v>
      </c>
      <c r="DC9" s="2">
        <f>COUNTIF(defects!$V:$V,Weekly_All!DC$3&amp;Weekly_All!$B9&amp;Weekly_All!$B$3&amp;$B$2)</f>
        <v>0</v>
      </c>
      <c r="DD9" s="2">
        <f>COUNTIF(defects!$V:$V,Weekly_All!DD$3&amp;Weekly_All!$B9&amp;Weekly_All!$B$3&amp;$B$2)</f>
        <v>0</v>
      </c>
      <c r="DE9" s="2">
        <f>COUNTIF(defects!$V:$V,Weekly_All!DE$3&amp;Weekly_All!$B9&amp;Weekly_All!$B$3&amp;$B$2)</f>
        <v>0</v>
      </c>
      <c r="DF9" s="2">
        <f>COUNTIF(defects!$V:$V,Weekly_All!DF$3&amp;Weekly_All!$B9&amp;Weekly_All!$B$3&amp;$B$2)</f>
        <v>0</v>
      </c>
      <c r="DG9" s="2">
        <f>COUNTIF(defects!$V:$V,Weekly_All!DG$3&amp;Weekly_All!$B9&amp;Weekly_All!$B$3&amp;$B$2)</f>
        <v>0</v>
      </c>
      <c r="DH9" s="2">
        <f>COUNTIF(defects!$V:$V,Weekly_All!DH$3&amp;Weekly_All!$B9&amp;Weekly_All!$B$3&amp;$B$2)</f>
        <v>0</v>
      </c>
      <c r="DI9" s="2">
        <f>COUNTIF(defects!$V:$V,Weekly_All!DI$3&amp;Weekly_All!$B9&amp;Weekly_All!$B$3&amp;$B$2)</f>
        <v>0</v>
      </c>
      <c r="DJ9" s="2">
        <f>COUNTIF(defects!$V:$V,Weekly_All!DJ$3&amp;Weekly_All!$B9&amp;Weekly_All!$B$3&amp;$B$2)</f>
        <v>0</v>
      </c>
      <c r="DK9" s="2">
        <f>COUNTIF(defects!$V:$V,Weekly_All!DK$3&amp;Weekly_All!$B9&amp;Weekly_All!$B$3&amp;$B$2)</f>
        <v>0</v>
      </c>
      <c r="DL9" s="2">
        <f>COUNTIF(defects!$V:$V,Weekly_All!DL$3&amp;Weekly_All!$B9&amp;Weekly_All!$B$3&amp;$B$2)</f>
        <v>0</v>
      </c>
      <c r="DM9" s="2">
        <f>COUNTIF(defects!$V:$V,Weekly_All!DM$3&amp;Weekly_All!$B9&amp;Weekly_All!$B$3&amp;$B$2)</f>
        <v>0</v>
      </c>
      <c r="DN9" s="2">
        <f>COUNTIF(defects!$V:$V,Weekly_All!DN$3&amp;Weekly_All!$B9&amp;Weekly_All!$B$3&amp;$B$2)</f>
        <v>0</v>
      </c>
      <c r="DO9" s="2">
        <f>COUNTIF(defects!$V:$V,Weekly_All!DO$3&amp;Weekly_All!$B9&amp;Weekly_All!$B$3&amp;$B$2)</f>
        <v>0</v>
      </c>
      <c r="DP9" s="2">
        <f>COUNTIF(defects!$V:$V,Weekly_All!DP$3&amp;Weekly_All!$B9&amp;Weekly_All!$B$3&amp;$B$2)</f>
        <v>0</v>
      </c>
      <c r="DQ9" s="2">
        <f>COUNTIF(defects!$V:$V,Weekly_All!DQ$3&amp;Weekly_All!$B9&amp;Weekly_All!$B$3&amp;$B$2)</f>
        <v>0</v>
      </c>
      <c r="DR9" s="2">
        <f>COUNTIF(defects!$V:$V,Weekly_All!DR$3&amp;Weekly_All!$B9&amp;Weekly_All!$B$3&amp;$B$2)</f>
        <v>0</v>
      </c>
      <c r="DS9" s="2">
        <f>COUNTIF(defects!$V:$V,Weekly_All!DS$3&amp;Weekly_All!$B9&amp;Weekly_All!$B$3&amp;$B$2)</f>
        <v>0</v>
      </c>
      <c r="DT9" s="2">
        <f>COUNTIF(defects!$V:$V,Weekly_All!DT$3&amp;Weekly_All!$B9&amp;Weekly_All!$B$3&amp;$B$2)</f>
        <v>0</v>
      </c>
      <c r="DU9" s="2">
        <f>COUNTIF(defects!$V:$V,Weekly_All!DU$3&amp;Weekly_All!$B9&amp;Weekly_All!$B$3&amp;$B$2)</f>
        <v>0</v>
      </c>
      <c r="DV9" s="2">
        <f>COUNTIF(defects!$V:$V,Weekly_All!DV$3&amp;Weekly_All!$B9&amp;Weekly_All!$B$3&amp;$B$2)</f>
        <v>0</v>
      </c>
      <c r="DW9" s="2">
        <f>COUNTIF(defects!$V:$V,Weekly_All!DW$3&amp;Weekly_All!$B9&amp;Weekly_All!$B$3&amp;$B$2)</f>
        <v>0</v>
      </c>
      <c r="DX9" s="2">
        <f>COUNTIF(defects!$V:$V,Weekly_All!DX$3&amp;Weekly_All!$B9&amp;Weekly_All!$B$3&amp;$B$2)</f>
        <v>0</v>
      </c>
      <c r="DY9" s="2">
        <f>COUNTIF(defects!$V:$V,Weekly_All!DY$3&amp;Weekly_All!$B9&amp;Weekly_All!$B$3&amp;$B$2)</f>
        <v>0</v>
      </c>
      <c r="DZ9" s="2">
        <f>COUNTIF(defects!$V:$V,Weekly_All!DZ$3&amp;Weekly_All!$B9&amp;Weekly_All!$B$3&amp;$B$2)</f>
        <v>0</v>
      </c>
      <c r="EA9" s="2">
        <f>COUNTIF(defects!$V:$V,Weekly_All!EA$3&amp;Weekly_All!$B9&amp;Weekly_All!$B$3&amp;$B$2)</f>
        <v>0</v>
      </c>
      <c r="EB9" s="2">
        <f>COUNTIF(defects!$V:$V,Weekly_All!EB$3&amp;Weekly_All!$B9&amp;Weekly_All!$B$3&amp;$B$2)</f>
        <v>0</v>
      </c>
      <c r="EC9" s="2">
        <f>COUNTIF(defects!$V:$V,Weekly_All!EC$3&amp;Weekly_All!$B9&amp;Weekly_All!$B$3&amp;$B$2)</f>
        <v>0</v>
      </c>
      <c r="ED9" s="2">
        <f>COUNTIF(defects!$V:$V,Weekly_All!ED$3&amp;Weekly_All!$B9&amp;Weekly_All!$B$3&amp;$B$2)</f>
        <v>0</v>
      </c>
      <c r="EE9" s="2">
        <f>COUNTIF(defects!$V:$V,Weekly_All!EE$3&amp;Weekly_All!$B9&amp;Weekly_All!$B$3&amp;$B$2)</f>
        <v>0</v>
      </c>
      <c r="EF9" s="2">
        <f>COUNTIF(defects!$V:$V,Weekly_All!EF$3&amp;Weekly_All!$B9&amp;Weekly_All!$B$3&amp;$B$2)</f>
        <v>0</v>
      </c>
      <c r="EG9" s="2">
        <f>COUNTIF(defects!$V:$V,Weekly_All!EG$3&amp;Weekly_All!$B9&amp;Weekly_All!$B$3&amp;$B$2)</f>
        <v>0</v>
      </c>
      <c r="EH9" s="2">
        <f>COUNTIF(defects!$V:$V,Weekly_All!EH$3&amp;Weekly_All!$B9&amp;Weekly_All!$B$3&amp;$B$2)</f>
        <v>0</v>
      </c>
      <c r="EI9" s="2">
        <f>COUNTIF(defects!$V:$V,Weekly_All!EI$3&amp;Weekly_All!$B9&amp;Weekly_All!$B$3&amp;$B$2)</f>
        <v>0</v>
      </c>
      <c r="EJ9" s="2">
        <f>COUNTIF(defects!$V:$V,Weekly_All!EJ$3&amp;Weekly_All!$B9&amp;Weekly_All!$B$3&amp;$B$2)</f>
        <v>0</v>
      </c>
      <c r="EK9" s="2">
        <f>COUNTIF(defects!$V:$V,Weekly_All!EK$3&amp;Weekly_All!$B9&amp;Weekly_All!$B$3&amp;$B$2)</f>
        <v>0</v>
      </c>
      <c r="EL9" s="2">
        <f>COUNTIF(defects!$V:$V,Weekly_All!EL$3&amp;Weekly_All!$B9&amp;Weekly_All!$B$3&amp;$B$2)</f>
        <v>0</v>
      </c>
      <c r="EM9" s="2">
        <f>COUNTIF(defects!$V:$V,Weekly_All!EM$3&amp;Weekly_All!$B9&amp;Weekly_All!$B$3&amp;$B$2)</f>
        <v>0</v>
      </c>
      <c r="EN9" s="2">
        <f>COUNTIF(defects!$V:$V,Weekly_All!EN$3&amp;Weekly_All!$B9&amp;Weekly_All!$B$3&amp;$B$2)</f>
        <v>0</v>
      </c>
      <c r="EO9" s="2">
        <f>COUNTIF(defects!$V:$V,Weekly_All!EO$3&amp;Weekly_All!$B9&amp;Weekly_All!$B$3&amp;$B$2)</f>
        <v>0</v>
      </c>
      <c r="EP9" s="2">
        <f>COUNTIF(defects!$V:$V,Weekly_All!EP$3&amp;Weekly_All!$B9&amp;Weekly_All!$B$3&amp;$B$2)</f>
        <v>0</v>
      </c>
      <c r="EQ9" s="2">
        <f>COUNTIF(defects!$V:$V,Weekly_All!EQ$3&amp;Weekly_All!$B9&amp;Weekly_All!$B$3&amp;$B$2)</f>
        <v>0</v>
      </c>
      <c r="ER9" s="2">
        <f>COUNTIF(defects!$V:$V,Weekly_All!ER$3&amp;Weekly_All!$B9&amp;Weekly_All!$B$3&amp;$B$2)</f>
        <v>0</v>
      </c>
      <c r="ES9" s="2">
        <f>COUNTIF(defects!$V:$V,Weekly_All!ES$3&amp;Weekly_All!$B9&amp;Weekly_All!$B$3&amp;$B$2)</f>
        <v>0</v>
      </c>
      <c r="ET9" s="2">
        <f>COUNTIF(defects!$V:$V,Weekly_All!ET$3&amp;Weekly_All!$B9&amp;Weekly_All!$B$3&amp;$B$2)</f>
        <v>0</v>
      </c>
      <c r="EU9" s="2">
        <f>COUNTIF(defects!$V:$V,Weekly_All!EU$3&amp;Weekly_All!$B9&amp;Weekly_All!$B$3&amp;$B$2)</f>
        <v>0</v>
      </c>
      <c r="EV9" s="2">
        <f>COUNTIF(defects!$V:$V,Weekly_All!EV$3&amp;Weekly_All!$B9&amp;Weekly_All!$B$3&amp;$B$2)</f>
        <v>0</v>
      </c>
      <c r="EW9" s="2">
        <f>COUNTIF(defects!$V:$V,Weekly_All!EW$3&amp;Weekly_All!$B9&amp;Weekly_All!$B$3&amp;$B$2)</f>
        <v>0</v>
      </c>
      <c r="EX9" s="2">
        <f>COUNTIF(defects!$V:$V,Weekly_All!EX$3&amp;Weekly_All!$B9&amp;Weekly_All!$B$3&amp;$B$2)</f>
        <v>0</v>
      </c>
      <c r="EY9" s="2">
        <f>COUNTIF(defects!$V:$V,Weekly_All!EY$3&amp;Weekly_All!$B9&amp;Weekly_All!$B$3&amp;$B$2)</f>
        <v>0</v>
      </c>
      <c r="EZ9" s="2">
        <f>COUNTIF(defects!$V:$V,Weekly_All!EZ$3&amp;Weekly_All!$B9&amp;Weekly_All!$B$3&amp;$B$2)</f>
        <v>0</v>
      </c>
      <c r="FA9" s="2">
        <f>COUNTIF(defects!$V:$V,Weekly_All!FA$3&amp;Weekly_All!$B9&amp;Weekly_All!$B$3&amp;$B$2)</f>
        <v>0</v>
      </c>
      <c r="FB9" s="2">
        <f>COUNTIF(defects!$V:$V,Weekly_All!FB$3&amp;Weekly_All!$B9&amp;Weekly_All!$B$3&amp;$B$2)</f>
        <v>0</v>
      </c>
      <c r="FC9" s="2">
        <f>COUNTIF(defects!$V:$V,Weekly_All!FC$3&amp;Weekly_All!$B9&amp;Weekly_All!$B$3&amp;$B$2)</f>
        <v>0</v>
      </c>
      <c r="FD9" s="2">
        <f>COUNTIF(defects!$V:$V,Weekly_All!FD$3&amp;Weekly_All!$B9&amp;Weekly_All!$B$3&amp;$B$2)</f>
        <v>0</v>
      </c>
      <c r="FE9" s="2">
        <f>COUNTIF(defects!$V:$V,Weekly_All!FE$3&amp;Weekly_All!$B9&amp;Weekly_All!$B$3&amp;$B$2)</f>
        <v>0</v>
      </c>
    </row>
    <row r="10" spans="2:161">
      <c r="B10" s="2" t="s">
        <v>954</v>
      </c>
      <c r="C10" s="2">
        <f>COUNTIF(defects!$V:$V,Weekly_All!C$3&amp;Weekly_All!$B10&amp;Weekly_All!$B$3&amp;$B$2)</f>
        <v>0</v>
      </c>
      <c r="D10" s="2">
        <f>COUNTIF(defects!$V:$V,Weekly_All!D$3&amp;Weekly_All!$B10&amp;Weekly_All!$B$3&amp;$B$2)</f>
        <v>0</v>
      </c>
      <c r="E10" s="2">
        <f>COUNTIF(defects!$V:$V,Weekly_All!E$3&amp;Weekly_All!$B10&amp;Weekly_All!$B$3&amp;$B$2)</f>
        <v>0</v>
      </c>
      <c r="F10" s="2">
        <f>COUNTIF(defects!$V:$V,Weekly_All!F$3&amp;Weekly_All!$B10&amp;Weekly_All!$B$3&amp;$B$2)</f>
        <v>0</v>
      </c>
      <c r="G10" s="2">
        <f>COUNTIF(defects!$V:$V,Weekly_All!G$3&amp;Weekly_All!$B10&amp;Weekly_All!$B$3&amp;$B$2)</f>
        <v>0</v>
      </c>
      <c r="H10" s="2">
        <f>COUNTIF(defects!$V:$V,Weekly_All!H$3&amp;Weekly_All!$B10&amp;Weekly_All!$B$3&amp;$B$2)</f>
        <v>0</v>
      </c>
      <c r="I10" s="2">
        <f>COUNTIF(defects!$V:$V,Weekly_All!I$3&amp;Weekly_All!$B10&amp;Weekly_All!$B$3&amp;$B$2)</f>
        <v>0</v>
      </c>
      <c r="J10" s="2">
        <f>COUNTIF(defects!$V:$V,Weekly_All!J$3&amp;Weekly_All!$B10&amp;Weekly_All!$B$3&amp;$B$2)</f>
        <v>0</v>
      </c>
      <c r="K10" s="2">
        <f>COUNTIF(defects!$V:$V,Weekly_All!K$3&amp;Weekly_All!$B10&amp;Weekly_All!$B$3&amp;$B$2)</f>
        <v>0</v>
      </c>
      <c r="L10" s="2">
        <f>COUNTIF(defects!$V:$V,Weekly_All!L$3&amp;Weekly_All!$B10&amp;Weekly_All!$B$3&amp;$B$2)</f>
        <v>0</v>
      </c>
      <c r="M10" s="2">
        <f>COUNTIF(defects!$V:$V,Weekly_All!M$3&amp;Weekly_All!$B10&amp;Weekly_All!$B$3&amp;$B$2)</f>
        <v>0</v>
      </c>
      <c r="N10" s="2">
        <f>COUNTIF(defects!$V:$V,Weekly_All!N$3&amp;Weekly_All!$B10&amp;Weekly_All!$B$3&amp;$B$2)</f>
        <v>0</v>
      </c>
      <c r="O10" s="2">
        <f>COUNTIF(defects!$V:$V,Weekly_All!O$3&amp;Weekly_All!$B10&amp;Weekly_All!$B$3&amp;$B$2)</f>
        <v>0</v>
      </c>
      <c r="P10" s="2">
        <f>COUNTIF(defects!$V:$V,Weekly_All!P$3&amp;Weekly_All!$B10&amp;Weekly_All!$B$3&amp;$B$2)</f>
        <v>0</v>
      </c>
      <c r="Q10" s="2">
        <f>COUNTIF(defects!$V:$V,Weekly_All!Q$3&amp;Weekly_All!$B10&amp;Weekly_All!$B$3&amp;$B$2)</f>
        <v>0</v>
      </c>
      <c r="R10" s="2">
        <f>COUNTIF(defects!$V:$V,Weekly_All!R$3&amp;Weekly_All!$B10&amp;Weekly_All!$B$3&amp;$B$2)</f>
        <v>0</v>
      </c>
      <c r="S10" s="2">
        <f>COUNTIF(defects!$V:$V,Weekly_All!S$3&amp;Weekly_All!$B10&amp;Weekly_All!$B$3&amp;$B$2)</f>
        <v>0</v>
      </c>
      <c r="T10" s="2">
        <f>COUNTIF(defects!$V:$V,Weekly_All!T$3&amp;Weekly_All!$B10&amp;Weekly_All!$B$3&amp;$B$2)</f>
        <v>0</v>
      </c>
      <c r="U10" s="2">
        <f>COUNTIF(defects!$V:$V,Weekly_All!U$3&amp;Weekly_All!$B10&amp;Weekly_All!$B$3&amp;$B$2)</f>
        <v>0</v>
      </c>
      <c r="V10" s="2">
        <f>COUNTIF(defects!$V:$V,Weekly_All!V$3&amp;Weekly_All!$B10&amp;Weekly_All!$B$3&amp;$B$2)</f>
        <v>0</v>
      </c>
      <c r="W10" s="2">
        <f>COUNTIF(defects!$V:$V,Weekly_All!W$3&amp;Weekly_All!$B10&amp;Weekly_All!$B$3&amp;$B$2)</f>
        <v>0</v>
      </c>
      <c r="X10" s="2">
        <f>COUNTIF(defects!$V:$V,Weekly_All!X$3&amp;Weekly_All!$B10&amp;Weekly_All!$B$3&amp;$B$2)</f>
        <v>0</v>
      </c>
      <c r="Y10" s="2">
        <f>COUNTIF(defects!$V:$V,Weekly_All!Y$3&amp;Weekly_All!$B10&amp;Weekly_All!$B$3&amp;$B$2)</f>
        <v>0</v>
      </c>
      <c r="Z10" s="2">
        <f>COUNTIF(defects!$V:$V,Weekly_All!Z$3&amp;Weekly_All!$B10&amp;Weekly_All!$B$3&amp;$B$2)</f>
        <v>0</v>
      </c>
      <c r="AA10" s="2">
        <f>COUNTIF(defects!$V:$V,Weekly_All!AA$3&amp;Weekly_All!$B10&amp;Weekly_All!$B$3&amp;$B$2)</f>
        <v>0</v>
      </c>
      <c r="AB10" s="2">
        <f>COUNTIF(defects!$V:$V,Weekly_All!AB$3&amp;Weekly_All!$B10&amp;Weekly_All!$B$3&amp;$B$2)</f>
        <v>0</v>
      </c>
      <c r="AC10" s="2">
        <f>COUNTIF(defects!$V:$V,Weekly_All!AC$3&amp;Weekly_All!$B10&amp;Weekly_All!$B$3&amp;$B$2)</f>
        <v>0</v>
      </c>
      <c r="AD10" s="2">
        <f>COUNTIF(defects!$V:$V,Weekly_All!AD$3&amp;Weekly_All!$B10&amp;Weekly_All!$B$3&amp;$B$2)</f>
        <v>0</v>
      </c>
      <c r="AE10" s="2">
        <f>COUNTIF(defects!$V:$V,Weekly_All!AE$3&amp;Weekly_All!$B10&amp;Weekly_All!$B$3&amp;$B$2)</f>
        <v>0</v>
      </c>
      <c r="AF10" s="2">
        <f>COUNTIF(defects!$V:$V,Weekly_All!AF$3&amp;Weekly_All!$B10&amp;Weekly_All!$B$3&amp;$B$2)</f>
        <v>0</v>
      </c>
      <c r="AG10" s="2">
        <f>COUNTIF(defects!$V:$V,Weekly_All!AG$3&amp;Weekly_All!$B10&amp;Weekly_All!$B$3&amp;$B$2)</f>
        <v>0</v>
      </c>
      <c r="AH10" s="2">
        <f>COUNTIF(defects!$V:$V,Weekly_All!AH$3&amp;Weekly_All!$B10&amp;Weekly_All!$B$3&amp;$B$2)</f>
        <v>0</v>
      </c>
      <c r="AI10" s="2">
        <f>COUNTIF(defects!$V:$V,Weekly_All!AI$3&amp;Weekly_All!$B10&amp;Weekly_All!$B$3&amp;$B$2)</f>
        <v>0</v>
      </c>
      <c r="AJ10" s="2">
        <f>COUNTIF(defects!$V:$V,Weekly_All!AJ$3&amp;Weekly_All!$B10&amp;Weekly_All!$B$3&amp;$B$2)</f>
        <v>0</v>
      </c>
      <c r="AK10" s="2">
        <f>COUNTIF(defects!$V:$V,Weekly_All!AK$3&amp;Weekly_All!$B10&amp;Weekly_All!$B$3&amp;$B$2)</f>
        <v>0</v>
      </c>
      <c r="AL10" s="2">
        <f>COUNTIF(defects!$V:$V,Weekly_All!AL$3&amp;Weekly_All!$B10&amp;Weekly_All!$B$3&amp;$B$2)</f>
        <v>0</v>
      </c>
      <c r="AM10" s="2">
        <f>COUNTIF(defects!$V:$V,Weekly_All!AM$3&amp;Weekly_All!$B10&amp;Weekly_All!$B$3&amp;$B$2)</f>
        <v>0</v>
      </c>
      <c r="AN10" s="2">
        <f>COUNTIF(defects!$V:$V,Weekly_All!AN$3&amp;Weekly_All!$B10&amp;Weekly_All!$B$3&amp;$B$2)</f>
        <v>0</v>
      </c>
      <c r="AO10" s="2">
        <f>COUNTIF(defects!$V:$V,Weekly_All!AO$3&amp;Weekly_All!$B10&amp;Weekly_All!$B$3&amp;$B$2)</f>
        <v>0</v>
      </c>
      <c r="AP10" s="2">
        <f>COUNTIF(defects!$V:$V,Weekly_All!AP$3&amp;Weekly_All!$B10&amp;Weekly_All!$B$3&amp;$B$2)</f>
        <v>0</v>
      </c>
      <c r="AQ10" s="2">
        <f>COUNTIF(defects!$V:$V,Weekly_All!AQ$3&amp;Weekly_All!$B10&amp;Weekly_All!$B$3&amp;$B$2)</f>
        <v>0</v>
      </c>
      <c r="AR10" s="2">
        <f>COUNTIF(defects!$V:$V,Weekly_All!AR$3&amp;Weekly_All!$B10&amp;Weekly_All!$B$3&amp;$B$2)</f>
        <v>0</v>
      </c>
      <c r="AS10" s="2">
        <f>COUNTIF(defects!$V:$V,Weekly_All!AS$3&amp;Weekly_All!$B10&amp;Weekly_All!$B$3&amp;$B$2)</f>
        <v>0</v>
      </c>
      <c r="AT10" s="2">
        <f>COUNTIF(defects!$V:$V,Weekly_All!AT$3&amp;Weekly_All!$B10&amp;Weekly_All!$B$3&amp;$B$2)</f>
        <v>0</v>
      </c>
      <c r="AU10" s="2">
        <f>COUNTIF(defects!$V:$V,Weekly_All!AU$3&amp;Weekly_All!$B10&amp;Weekly_All!$B$3&amp;$B$2)</f>
        <v>0</v>
      </c>
      <c r="AV10" s="2">
        <f>COUNTIF(defects!$V:$V,Weekly_All!AV$3&amp;Weekly_All!$B10&amp;Weekly_All!$B$3&amp;$B$2)</f>
        <v>0</v>
      </c>
      <c r="AW10" s="2">
        <f>COUNTIF(defects!$V:$V,Weekly_All!AW$3&amp;Weekly_All!$B10&amp;Weekly_All!$B$3&amp;$B$2)</f>
        <v>0</v>
      </c>
      <c r="AX10" s="2">
        <f>COUNTIF(defects!$V:$V,Weekly_All!AX$3&amp;Weekly_All!$B10&amp;Weekly_All!$B$3&amp;$B$2)</f>
        <v>0</v>
      </c>
      <c r="AY10" s="2">
        <f>COUNTIF(defects!$V:$V,Weekly_All!AY$3&amp;Weekly_All!$B10&amp;Weekly_All!$B$3&amp;$B$2)</f>
        <v>0</v>
      </c>
      <c r="AZ10" s="2">
        <f>COUNTIF(defects!$V:$V,Weekly_All!AZ$3&amp;Weekly_All!$B10&amp;Weekly_All!$B$3&amp;$B$2)</f>
        <v>0</v>
      </c>
      <c r="BA10" s="2">
        <f>COUNTIF(defects!$V:$V,Weekly_All!BA$3&amp;Weekly_All!$B10&amp;Weekly_All!$B$3&amp;$B$2)</f>
        <v>0</v>
      </c>
      <c r="BB10" s="2">
        <f>COUNTIF(defects!$V:$V,Weekly_All!BB$3&amp;Weekly_All!$B10&amp;Weekly_All!$B$3&amp;$B$2)</f>
        <v>0</v>
      </c>
      <c r="BC10" s="2">
        <f>COUNTIF(defects!$V:$V,Weekly_All!BC$3&amp;Weekly_All!$B10&amp;Weekly_All!$B$3&amp;$B$2)</f>
        <v>0</v>
      </c>
      <c r="BD10" s="2">
        <f>COUNTIF(defects!$V:$V,Weekly_All!BD$3&amp;Weekly_All!$B10&amp;Weekly_All!$B$3&amp;$B$2)</f>
        <v>0</v>
      </c>
      <c r="BE10" s="2">
        <f>COUNTIF(defects!$V:$V,Weekly_All!BE$3&amp;Weekly_All!$B10&amp;Weekly_All!$B$3&amp;$B$2)</f>
        <v>0</v>
      </c>
      <c r="BF10" s="2">
        <f>COUNTIF(defects!$V:$V,Weekly_All!BF$3&amp;Weekly_All!$B10&amp;Weekly_All!$B$3&amp;$B$2)</f>
        <v>0</v>
      </c>
      <c r="BG10" s="2">
        <f>COUNTIF(defects!$V:$V,Weekly_All!BG$3&amp;Weekly_All!$B10&amp;Weekly_All!$B$3&amp;$B$2)</f>
        <v>0</v>
      </c>
      <c r="BH10" s="2">
        <f>COUNTIF(defects!$V:$V,Weekly_All!BH$3&amp;Weekly_All!$B10&amp;Weekly_All!$B$3&amp;$B$2)</f>
        <v>0</v>
      </c>
      <c r="BI10" s="2">
        <f>COUNTIF(defects!$V:$V,Weekly_All!BI$3&amp;Weekly_All!$B10&amp;Weekly_All!$B$3&amp;$B$2)</f>
        <v>0</v>
      </c>
      <c r="BJ10" s="2">
        <f>COUNTIF(defects!$V:$V,Weekly_All!BJ$3&amp;Weekly_All!$B10&amp;Weekly_All!$B$3&amp;$B$2)</f>
        <v>0</v>
      </c>
      <c r="BK10" s="2">
        <f>COUNTIF(defects!$V:$V,Weekly_All!BK$3&amp;Weekly_All!$B10&amp;Weekly_All!$B$3&amp;$B$2)</f>
        <v>0</v>
      </c>
      <c r="BL10" s="2">
        <f>COUNTIF(defects!$V:$V,Weekly_All!BL$3&amp;Weekly_All!$B10&amp;Weekly_All!$B$3&amp;$B$2)</f>
        <v>0</v>
      </c>
      <c r="BM10" s="2">
        <f>COUNTIF(defects!$V:$V,Weekly_All!BM$3&amp;Weekly_All!$B10&amp;Weekly_All!$B$3&amp;$B$2)</f>
        <v>0</v>
      </c>
      <c r="BN10" s="2">
        <f>COUNTIF(defects!$V:$V,Weekly_All!BN$3&amp;Weekly_All!$B10&amp;Weekly_All!$B$3&amp;$B$2)</f>
        <v>0</v>
      </c>
      <c r="BO10" s="2">
        <f>COUNTIF(defects!$V:$V,Weekly_All!BO$3&amp;Weekly_All!$B10&amp;Weekly_All!$B$3&amp;$B$2)</f>
        <v>0</v>
      </c>
      <c r="BP10" s="2">
        <f>COUNTIF(defects!$V:$V,Weekly_All!BP$3&amp;Weekly_All!$B10&amp;Weekly_All!$B$3&amp;$B$2)</f>
        <v>0</v>
      </c>
      <c r="BQ10" s="2">
        <f>COUNTIF(defects!$V:$V,Weekly_All!BQ$3&amp;Weekly_All!$B10&amp;Weekly_All!$B$3&amp;$B$2)</f>
        <v>0</v>
      </c>
      <c r="BR10" s="2">
        <f>COUNTIF(defects!$V:$V,Weekly_All!BR$3&amp;Weekly_All!$B10&amp;Weekly_All!$B$3&amp;$B$2)</f>
        <v>0</v>
      </c>
      <c r="BS10" s="2">
        <f>COUNTIF(defects!$V:$V,Weekly_All!BS$3&amp;Weekly_All!$B10&amp;Weekly_All!$B$3&amp;$B$2)</f>
        <v>0</v>
      </c>
      <c r="BT10" s="2">
        <f>COUNTIF(defects!$V:$V,Weekly_All!BT$3&amp;Weekly_All!$B10&amp;Weekly_All!$B$3&amp;$B$2)</f>
        <v>0</v>
      </c>
      <c r="BU10" s="2">
        <f>COUNTIF(defects!$V:$V,Weekly_All!BU$3&amp;Weekly_All!$B10&amp;Weekly_All!$B$3&amp;$B$2)</f>
        <v>0</v>
      </c>
      <c r="BV10" s="2">
        <f>COUNTIF(defects!$V:$V,Weekly_All!BV$3&amp;Weekly_All!$B10&amp;Weekly_All!$B$3&amp;$B$2)</f>
        <v>0</v>
      </c>
      <c r="BW10" s="2">
        <f>COUNTIF(defects!$V:$V,Weekly_All!BW$3&amp;Weekly_All!$B10&amp;Weekly_All!$B$3&amp;$B$2)</f>
        <v>1</v>
      </c>
      <c r="BX10" s="2">
        <f>COUNTIF(defects!$V:$V,Weekly_All!BX$3&amp;Weekly_All!$B10&amp;Weekly_All!$B$3&amp;$B$2)</f>
        <v>4</v>
      </c>
      <c r="BY10" s="2">
        <f>COUNTIF(defects!$V:$V,Weekly_All!BY$3&amp;Weekly_All!$B10&amp;Weekly_All!$B$3&amp;$B$2)</f>
        <v>0</v>
      </c>
      <c r="BZ10" s="2">
        <f>COUNTIF(defects!$V:$V,Weekly_All!BZ$3&amp;Weekly_All!$B10&amp;Weekly_All!$B$3&amp;$B$2)</f>
        <v>1</v>
      </c>
      <c r="CA10" s="2">
        <f>COUNTIF(defects!$V:$V,Weekly_All!CA$3&amp;Weekly_All!$B10&amp;Weekly_All!$B$3&amp;$B$2)</f>
        <v>1</v>
      </c>
      <c r="CB10" s="2">
        <f>COUNTIF(defects!$V:$V,Weekly_All!CB$3&amp;Weekly_All!$B10&amp;Weekly_All!$B$3&amp;$B$2)</f>
        <v>1</v>
      </c>
      <c r="CC10" s="2">
        <f>COUNTIF(defects!$V:$V,Weekly_All!CC$3&amp;Weekly_All!$B10&amp;Weekly_All!$B$3&amp;$B$2)</f>
        <v>1</v>
      </c>
      <c r="CD10" s="2">
        <f>COUNTIF(defects!$V:$V,Weekly_All!CD$3&amp;Weekly_All!$B10&amp;Weekly_All!$B$3&amp;$B$2)</f>
        <v>0</v>
      </c>
      <c r="CE10" s="2">
        <f>COUNTIF(defects!$V:$V,Weekly_All!CE$3&amp;Weekly_All!$B10&amp;Weekly_All!$B$3&amp;$B$2)</f>
        <v>0</v>
      </c>
      <c r="CF10" s="2">
        <f>COUNTIF(defects!$V:$V,Weekly_All!CF$3&amp;Weekly_All!$B10&amp;Weekly_All!$B$3&amp;$B$2)</f>
        <v>0</v>
      </c>
      <c r="CG10" s="2">
        <f>COUNTIF(defects!$V:$V,Weekly_All!CG$3&amp;Weekly_All!$B10&amp;Weekly_All!$B$3&amp;$B$2)</f>
        <v>0</v>
      </c>
      <c r="CH10" s="2">
        <f>COUNTIF(defects!$V:$V,Weekly_All!CH$3&amp;Weekly_All!$B10&amp;Weekly_All!$B$3&amp;$B$2)</f>
        <v>0</v>
      </c>
      <c r="CI10" s="2">
        <f>COUNTIF(defects!$V:$V,Weekly_All!CI$3&amp;Weekly_All!$B10&amp;Weekly_All!$B$3&amp;$B$2)</f>
        <v>1</v>
      </c>
      <c r="CJ10" s="2">
        <f>COUNTIF(defects!$V:$V,Weekly_All!CJ$3&amp;Weekly_All!$B10&amp;Weekly_All!$B$3&amp;$B$2)</f>
        <v>0</v>
      </c>
      <c r="CK10" s="2">
        <f>COUNTIF(defects!$V:$V,Weekly_All!CK$3&amp;Weekly_All!$B10&amp;Weekly_All!$B$3&amp;$B$2)</f>
        <v>1</v>
      </c>
      <c r="CL10" s="2">
        <f>COUNTIF(defects!$V:$V,Weekly_All!CL$3&amp;Weekly_All!$B10&amp;Weekly_All!$B$3&amp;$B$2)</f>
        <v>23</v>
      </c>
      <c r="CM10" s="2">
        <f>COUNTIF(defects!$V:$V,Weekly_All!CM$3&amp;Weekly_All!$B10&amp;Weekly_All!$B$3&amp;$B$2)</f>
        <v>0</v>
      </c>
      <c r="CN10" s="2">
        <f>COUNTIF(defects!$V:$V,Weekly_All!CN$3&amp;Weekly_All!$B10&amp;Weekly_All!$B$3&amp;$B$2)</f>
        <v>1</v>
      </c>
      <c r="CO10" s="2">
        <f>COUNTIF(defects!$V:$V,Weekly_All!CO$3&amp;Weekly_All!$B10&amp;Weekly_All!$B$3&amp;$B$2)</f>
        <v>3</v>
      </c>
      <c r="CP10" s="2">
        <f>COUNTIF(defects!$V:$V,Weekly_All!CP$3&amp;Weekly_All!$B10&amp;Weekly_All!$B$3&amp;$B$2)</f>
        <v>2</v>
      </c>
      <c r="CQ10" s="2">
        <f>COUNTIF(defects!$V:$V,Weekly_All!CQ$3&amp;Weekly_All!$B10&amp;Weekly_All!$B$3&amp;$B$2)</f>
        <v>22</v>
      </c>
      <c r="CR10" s="2">
        <f>COUNTIF(defects!$V:$V,Weekly_All!CR$3&amp;Weekly_All!$B10&amp;Weekly_All!$B$3&amp;$B$2)</f>
        <v>1</v>
      </c>
      <c r="CS10" s="2">
        <f>COUNTIF(defects!$V:$V,Weekly_All!CS$3&amp;Weekly_All!$B10&amp;Weekly_All!$B$3&amp;$B$2)</f>
        <v>1</v>
      </c>
      <c r="CT10" s="2">
        <f>COUNTIF(defects!$V:$V,Weekly_All!CT$3&amp;Weekly_All!$B10&amp;Weekly_All!$B$3&amp;$B$2)</f>
        <v>1</v>
      </c>
      <c r="CU10" s="2">
        <f>COUNTIF(defects!$V:$V,Weekly_All!CU$3&amp;Weekly_All!$B10&amp;Weekly_All!$B$3&amp;$B$2)</f>
        <v>0</v>
      </c>
      <c r="CV10" s="2">
        <f>COUNTIF(defects!$V:$V,Weekly_All!CV$3&amp;Weekly_All!$B10&amp;Weekly_All!$B$3&amp;$B$2)</f>
        <v>0</v>
      </c>
      <c r="CW10" s="2">
        <f>COUNTIF(defects!$V:$V,Weekly_All!CW$3&amp;Weekly_All!$B10&amp;Weekly_All!$B$3&amp;$B$2)</f>
        <v>0</v>
      </c>
      <c r="CX10" s="2">
        <f>COUNTIF(defects!$V:$V,Weekly_All!CX$3&amp;Weekly_All!$B10&amp;Weekly_All!$B$3&amp;$B$2)</f>
        <v>1</v>
      </c>
      <c r="CY10" s="2">
        <f>COUNTIF(defects!$V:$V,Weekly_All!CY$3&amp;Weekly_All!$B10&amp;Weekly_All!$B$3&amp;$B$2)</f>
        <v>1</v>
      </c>
      <c r="CZ10" s="2">
        <f>COUNTIF(defects!$V:$V,Weekly_All!CZ$3&amp;Weekly_All!$B10&amp;Weekly_All!$B$3&amp;$B$2)</f>
        <v>0</v>
      </c>
      <c r="DA10" s="2">
        <f>COUNTIF(defects!$V:$V,Weekly_All!DA$3&amp;Weekly_All!$B10&amp;Weekly_All!$B$3&amp;$B$2)</f>
        <v>1</v>
      </c>
      <c r="DB10" s="2">
        <f>COUNTIF(defects!$V:$V,Weekly_All!DB$3&amp;Weekly_All!$B10&amp;Weekly_All!$B$3&amp;$B$2)</f>
        <v>0</v>
      </c>
      <c r="DC10" s="2">
        <f>COUNTIF(defects!$V:$V,Weekly_All!DC$3&amp;Weekly_All!$B10&amp;Weekly_All!$B$3&amp;$B$2)</f>
        <v>1</v>
      </c>
      <c r="DD10" s="2">
        <f>COUNTIF(defects!$V:$V,Weekly_All!DD$3&amp;Weekly_All!$B10&amp;Weekly_All!$B$3&amp;$B$2)</f>
        <v>0</v>
      </c>
      <c r="DE10" s="2">
        <f>COUNTIF(defects!$V:$V,Weekly_All!DE$3&amp;Weekly_All!$B10&amp;Weekly_All!$B$3&amp;$B$2)</f>
        <v>0</v>
      </c>
      <c r="DF10" s="2">
        <f>COUNTIF(defects!$V:$V,Weekly_All!DF$3&amp;Weekly_All!$B10&amp;Weekly_All!$B$3&amp;$B$2)</f>
        <v>0</v>
      </c>
      <c r="DG10" s="2">
        <f>COUNTIF(defects!$V:$V,Weekly_All!DG$3&amp;Weekly_All!$B10&amp;Weekly_All!$B$3&amp;$B$2)</f>
        <v>0</v>
      </c>
      <c r="DH10" s="2">
        <f>COUNTIF(defects!$V:$V,Weekly_All!DH$3&amp;Weekly_All!$B10&amp;Weekly_All!$B$3&amp;$B$2)</f>
        <v>0</v>
      </c>
      <c r="DI10" s="2">
        <f>COUNTIF(defects!$V:$V,Weekly_All!DI$3&amp;Weekly_All!$B10&amp;Weekly_All!$B$3&amp;$B$2)</f>
        <v>0</v>
      </c>
      <c r="DJ10" s="2">
        <f>COUNTIF(defects!$V:$V,Weekly_All!DJ$3&amp;Weekly_All!$B10&amp;Weekly_All!$B$3&amp;$B$2)</f>
        <v>0</v>
      </c>
      <c r="DK10" s="2">
        <f>COUNTIF(defects!$V:$V,Weekly_All!DK$3&amp;Weekly_All!$B10&amp;Weekly_All!$B$3&amp;$B$2)</f>
        <v>0</v>
      </c>
      <c r="DL10" s="2">
        <f>COUNTIF(defects!$V:$V,Weekly_All!DL$3&amp;Weekly_All!$B10&amp;Weekly_All!$B$3&amp;$B$2)</f>
        <v>0</v>
      </c>
      <c r="DM10" s="2">
        <f>COUNTIF(defects!$V:$V,Weekly_All!DM$3&amp;Weekly_All!$B10&amp;Weekly_All!$B$3&amp;$B$2)</f>
        <v>0</v>
      </c>
      <c r="DN10" s="2">
        <f>COUNTIF(defects!$V:$V,Weekly_All!DN$3&amp;Weekly_All!$B10&amp;Weekly_All!$B$3&amp;$B$2)</f>
        <v>0</v>
      </c>
      <c r="DO10" s="2">
        <f>COUNTIF(defects!$V:$V,Weekly_All!DO$3&amp;Weekly_All!$B10&amp;Weekly_All!$B$3&amp;$B$2)</f>
        <v>0</v>
      </c>
      <c r="DP10" s="2">
        <f>COUNTIF(defects!$V:$V,Weekly_All!DP$3&amp;Weekly_All!$B10&amp;Weekly_All!$B$3&amp;$B$2)</f>
        <v>0</v>
      </c>
      <c r="DQ10" s="2">
        <f>COUNTIF(defects!$V:$V,Weekly_All!DQ$3&amp;Weekly_All!$B10&amp;Weekly_All!$B$3&amp;$B$2)</f>
        <v>0</v>
      </c>
      <c r="DR10" s="2">
        <f>COUNTIF(defects!$V:$V,Weekly_All!DR$3&amp;Weekly_All!$B10&amp;Weekly_All!$B$3&amp;$B$2)</f>
        <v>0</v>
      </c>
      <c r="DS10" s="2">
        <f>COUNTIF(defects!$V:$V,Weekly_All!DS$3&amp;Weekly_All!$B10&amp;Weekly_All!$B$3&amp;$B$2)</f>
        <v>0</v>
      </c>
      <c r="DT10" s="2">
        <f>COUNTIF(defects!$V:$V,Weekly_All!DT$3&amp;Weekly_All!$B10&amp;Weekly_All!$B$3&amp;$B$2)</f>
        <v>0</v>
      </c>
      <c r="DU10" s="2">
        <f>COUNTIF(defects!$V:$V,Weekly_All!DU$3&amp;Weekly_All!$B10&amp;Weekly_All!$B$3&amp;$B$2)</f>
        <v>0</v>
      </c>
      <c r="DV10" s="2">
        <f>COUNTIF(defects!$V:$V,Weekly_All!DV$3&amp;Weekly_All!$B10&amp;Weekly_All!$B$3&amp;$B$2)</f>
        <v>0</v>
      </c>
      <c r="DW10" s="2">
        <f>COUNTIF(defects!$V:$V,Weekly_All!DW$3&amp;Weekly_All!$B10&amp;Weekly_All!$B$3&amp;$B$2)</f>
        <v>0</v>
      </c>
      <c r="DX10" s="2">
        <f>COUNTIF(defects!$V:$V,Weekly_All!DX$3&amp;Weekly_All!$B10&amp;Weekly_All!$B$3&amp;$B$2)</f>
        <v>0</v>
      </c>
      <c r="DY10" s="2">
        <f>COUNTIF(defects!$V:$V,Weekly_All!DY$3&amp;Weekly_All!$B10&amp;Weekly_All!$B$3&amp;$B$2)</f>
        <v>0</v>
      </c>
      <c r="DZ10" s="2">
        <f>COUNTIF(defects!$V:$V,Weekly_All!DZ$3&amp;Weekly_All!$B10&amp;Weekly_All!$B$3&amp;$B$2)</f>
        <v>0</v>
      </c>
      <c r="EA10" s="2">
        <f>COUNTIF(defects!$V:$V,Weekly_All!EA$3&amp;Weekly_All!$B10&amp;Weekly_All!$B$3&amp;$B$2)</f>
        <v>0</v>
      </c>
      <c r="EB10" s="2">
        <f>COUNTIF(defects!$V:$V,Weekly_All!EB$3&amp;Weekly_All!$B10&amp;Weekly_All!$B$3&amp;$B$2)</f>
        <v>0</v>
      </c>
      <c r="EC10" s="2">
        <f>COUNTIF(defects!$V:$V,Weekly_All!EC$3&amp;Weekly_All!$B10&amp;Weekly_All!$B$3&amp;$B$2)</f>
        <v>0</v>
      </c>
      <c r="ED10" s="2">
        <f>COUNTIF(defects!$V:$V,Weekly_All!ED$3&amp;Weekly_All!$B10&amp;Weekly_All!$B$3&amp;$B$2)</f>
        <v>0</v>
      </c>
      <c r="EE10" s="2">
        <f>COUNTIF(defects!$V:$V,Weekly_All!EE$3&amp;Weekly_All!$B10&amp;Weekly_All!$B$3&amp;$B$2)</f>
        <v>0</v>
      </c>
      <c r="EF10" s="2">
        <f>COUNTIF(defects!$V:$V,Weekly_All!EF$3&amp;Weekly_All!$B10&amp;Weekly_All!$B$3&amp;$B$2)</f>
        <v>0</v>
      </c>
      <c r="EG10" s="2">
        <f>COUNTIF(defects!$V:$V,Weekly_All!EG$3&amp;Weekly_All!$B10&amp;Weekly_All!$B$3&amp;$B$2)</f>
        <v>0</v>
      </c>
      <c r="EH10" s="2">
        <f>COUNTIF(defects!$V:$V,Weekly_All!EH$3&amp;Weekly_All!$B10&amp;Weekly_All!$B$3&amp;$B$2)</f>
        <v>0</v>
      </c>
      <c r="EI10" s="2">
        <f>COUNTIF(defects!$V:$V,Weekly_All!EI$3&amp;Weekly_All!$B10&amp;Weekly_All!$B$3&amp;$B$2)</f>
        <v>0</v>
      </c>
      <c r="EJ10" s="2">
        <f>COUNTIF(defects!$V:$V,Weekly_All!EJ$3&amp;Weekly_All!$B10&amp;Weekly_All!$B$3&amp;$B$2)</f>
        <v>0</v>
      </c>
      <c r="EK10" s="2">
        <f>COUNTIF(defects!$V:$V,Weekly_All!EK$3&amp;Weekly_All!$B10&amp;Weekly_All!$B$3&amp;$B$2)</f>
        <v>0</v>
      </c>
      <c r="EL10" s="2">
        <f>COUNTIF(defects!$V:$V,Weekly_All!EL$3&amp;Weekly_All!$B10&amp;Weekly_All!$B$3&amp;$B$2)</f>
        <v>0</v>
      </c>
      <c r="EM10" s="2">
        <f>COUNTIF(defects!$V:$V,Weekly_All!EM$3&amp;Weekly_All!$B10&amp;Weekly_All!$B$3&amp;$B$2)</f>
        <v>0</v>
      </c>
      <c r="EN10" s="2">
        <f>COUNTIF(defects!$V:$V,Weekly_All!EN$3&amp;Weekly_All!$B10&amp;Weekly_All!$B$3&amp;$B$2)</f>
        <v>0</v>
      </c>
      <c r="EO10" s="2">
        <f>COUNTIF(defects!$V:$V,Weekly_All!EO$3&amp;Weekly_All!$B10&amp;Weekly_All!$B$3&amp;$B$2)</f>
        <v>0</v>
      </c>
      <c r="EP10" s="2">
        <f>COUNTIF(defects!$V:$V,Weekly_All!EP$3&amp;Weekly_All!$B10&amp;Weekly_All!$B$3&amp;$B$2)</f>
        <v>0</v>
      </c>
      <c r="EQ10" s="2">
        <f>COUNTIF(defects!$V:$V,Weekly_All!EQ$3&amp;Weekly_All!$B10&amp;Weekly_All!$B$3&amp;$B$2)</f>
        <v>0</v>
      </c>
      <c r="ER10" s="2">
        <f>COUNTIF(defects!$V:$V,Weekly_All!ER$3&amp;Weekly_All!$B10&amp;Weekly_All!$B$3&amp;$B$2)</f>
        <v>0</v>
      </c>
      <c r="ES10" s="2">
        <f>COUNTIF(defects!$V:$V,Weekly_All!ES$3&amp;Weekly_All!$B10&amp;Weekly_All!$B$3&amp;$B$2)</f>
        <v>0</v>
      </c>
      <c r="ET10" s="2">
        <f>COUNTIF(defects!$V:$V,Weekly_All!ET$3&amp;Weekly_All!$B10&amp;Weekly_All!$B$3&amp;$B$2)</f>
        <v>0</v>
      </c>
      <c r="EU10" s="2">
        <f>COUNTIF(defects!$V:$V,Weekly_All!EU$3&amp;Weekly_All!$B10&amp;Weekly_All!$B$3&amp;$B$2)</f>
        <v>0</v>
      </c>
      <c r="EV10" s="2">
        <f>COUNTIF(defects!$V:$V,Weekly_All!EV$3&amp;Weekly_All!$B10&amp;Weekly_All!$B$3&amp;$B$2)</f>
        <v>0</v>
      </c>
      <c r="EW10" s="2">
        <f>COUNTIF(defects!$V:$V,Weekly_All!EW$3&amp;Weekly_All!$B10&amp;Weekly_All!$B$3&amp;$B$2)</f>
        <v>0</v>
      </c>
      <c r="EX10" s="2">
        <f>COUNTIF(defects!$V:$V,Weekly_All!EX$3&amp;Weekly_All!$B10&amp;Weekly_All!$B$3&amp;$B$2)</f>
        <v>0</v>
      </c>
      <c r="EY10" s="2">
        <f>COUNTIF(defects!$V:$V,Weekly_All!EY$3&amp;Weekly_All!$B10&amp;Weekly_All!$B$3&amp;$B$2)</f>
        <v>0</v>
      </c>
      <c r="EZ10" s="2">
        <f>COUNTIF(defects!$V:$V,Weekly_All!EZ$3&amp;Weekly_All!$B10&amp;Weekly_All!$B$3&amp;$B$2)</f>
        <v>0</v>
      </c>
      <c r="FA10" s="2">
        <f>COUNTIF(defects!$V:$V,Weekly_All!FA$3&amp;Weekly_All!$B10&amp;Weekly_All!$B$3&amp;$B$2)</f>
        <v>0</v>
      </c>
      <c r="FB10" s="2">
        <f>COUNTIF(defects!$V:$V,Weekly_All!FB$3&amp;Weekly_All!$B10&amp;Weekly_All!$B$3&amp;$B$2)</f>
        <v>0</v>
      </c>
      <c r="FC10" s="2">
        <f>COUNTIF(defects!$V:$V,Weekly_All!FC$3&amp;Weekly_All!$B10&amp;Weekly_All!$B$3&amp;$B$2)</f>
        <v>0</v>
      </c>
      <c r="FD10" s="2">
        <f>COUNTIF(defects!$V:$V,Weekly_All!FD$3&amp;Weekly_All!$B10&amp;Weekly_All!$B$3&amp;$B$2)</f>
        <v>0</v>
      </c>
      <c r="FE10" s="2">
        <f>COUNTIF(defects!$V:$V,Weekly_All!FE$3&amp;Weekly_All!$B10&amp;Weekly_All!$B$3&amp;$B$2)</f>
        <v>0</v>
      </c>
    </row>
    <row r="11" spans="2:161">
      <c r="B11" s="2" t="s">
        <v>956</v>
      </c>
      <c r="C11" s="2">
        <f>COUNTIF(defects!$V:$V,Weekly_All!C$3&amp;Weekly_All!$B11&amp;Weekly_All!$B$3&amp;$B$2)</f>
        <v>0</v>
      </c>
      <c r="D11" s="2">
        <f>COUNTIF(defects!$V:$V,Weekly_All!D$3&amp;Weekly_All!$B11&amp;Weekly_All!$B$3&amp;$B$2)</f>
        <v>0</v>
      </c>
      <c r="E11" s="2">
        <f>COUNTIF(defects!$V:$V,Weekly_All!E$3&amp;Weekly_All!$B11&amp;Weekly_All!$B$3&amp;$B$2)</f>
        <v>0</v>
      </c>
      <c r="F11" s="2">
        <f>COUNTIF(defects!$V:$V,Weekly_All!F$3&amp;Weekly_All!$B11&amp;Weekly_All!$B$3&amp;$B$2)</f>
        <v>0</v>
      </c>
      <c r="G11" s="2">
        <f>COUNTIF(defects!$V:$V,Weekly_All!G$3&amp;Weekly_All!$B11&amp;Weekly_All!$B$3&amp;$B$2)</f>
        <v>0</v>
      </c>
      <c r="H11" s="2">
        <f>COUNTIF(defects!$V:$V,Weekly_All!H$3&amp;Weekly_All!$B11&amp;Weekly_All!$B$3&amp;$B$2)</f>
        <v>0</v>
      </c>
      <c r="I11" s="2">
        <f>COUNTIF(defects!$V:$V,Weekly_All!I$3&amp;Weekly_All!$B11&amp;Weekly_All!$B$3&amp;$B$2)</f>
        <v>0</v>
      </c>
      <c r="J11" s="2">
        <f>COUNTIF(defects!$V:$V,Weekly_All!J$3&amp;Weekly_All!$B11&amp;Weekly_All!$B$3&amp;$B$2)</f>
        <v>0</v>
      </c>
      <c r="K11" s="2">
        <f>COUNTIF(defects!$V:$V,Weekly_All!K$3&amp;Weekly_All!$B11&amp;Weekly_All!$B$3&amp;$B$2)</f>
        <v>0</v>
      </c>
      <c r="L11" s="2">
        <f>COUNTIF(defects!$V:$V,Weekly_All!L$3&amp;Weekly_All!$B11&amp;Weekly_All!$B$3&amp;$B$2)</f>
        <v>0</v>
      </c>
      <c r="M11" s="2">
        <f>COUNTIF(defects!$V:$V,Weekly_All!M$3&amp;Weekly_All!$B11&amp;Weekly_All!$B$3&amp;$B$2)</f>
        <v>0</v>
      </c>
      <c r="N11" s="2">
        <f>COUNTIF(defects!$V:$V,Weekly_All!N$3&amp;Weekly_All!$B11&amp;Weekly_All!$B$3&amp;$B$2)</f>
        <v>0</v>
      </c>
      <c r="O11" s="2">
        <f>COUNTIF(defects!$V:$V,Weekly_All!O$3&amp;Weekly_All!$B11&amp;Weekly_All!$B$3&amp;$B$2)</f>
        <v>0</v>
      </c>
      <c r="P11" s="2">
        <f>COUNTIF(defects!$V:$V,Weekly_All!P$3&amp;Weekly_All!$B11&amp;Weekly_All!$B$3&amp;$B$2)</f>
        <v>0</v>
      </c>
      <c r="Q11" s="2">
        <f>COUNTIF(defects!$V:$V,Weekly_All!Q$3&amp;Weekly_All!$B11&amp;Weekly_All!$B$3&amp;$B$2)</f>
        <v>0</v>
      </c>
      <c r="R11" s="2">
        <f>COUNTIF(defects!$V:$V,Weekly_All!R$3&amp;Weekly_All!$B11&amp;Weekly_All!$B$3&amp;$B$2)</f>
        <v>0</v>
      </c>
      <c r="S11" s="2">
        <f>COUNTIF(defects!$V:$V,Weekly_All!S$3&amp;Weekly_All!$B11&amp;Weekly_All!$B$3&amp;$B$2)</f>
        <v>0</v>
      </c>
      <c r="T11" s="2">
        <f>COUNTIF(defects!$V:$V,Weekly_All!T$3&amp;Weekly_All!$B11&amp;Weekly_All!$B$3&amp;$B$2)</f>
        <v>0</v>
      </c>
      <c r="U11" s="2">
        <f>COUNTIF(defects!$V:$V,Weekly_All!U$3&amp;Weekly_All!$B11&amp;Weekly_All!$B$3&amp;$B$2)</f>
        <v>0</v>
      </c>
      <c r="V11" s="2">
        <f>COUNTIF(defects!$V:$V,Weekly_All!V$3&amp;Weekly_All!$B11&amp;Weekly_All!$B$3&amp;$B$2)</f>
        <v>0</v>
      </c>
      <c r="W11" s="2">
        <f>COUNTIF(defects!$V:$V,Weekly_All!W$3&amp;Weekly_All!$B11&amp;Weekly_All!$B$3&amp;$B$2)</f>
        <v>0</v>
      </c>
      <c r="X11" s="2">
        <f>COUNTIF(defects!$V:$V,Weekly_All!X$3&amp;Weekly_All!$B11&amp;Weekly_All!$B$3&amp;$B$2)</f>
        <v>0</v>
      </c>
      <c r="Y11" s="2">
        <f>COUNTIF(defects!$V:$V,Weekly_All!Y$3&amp;Weekly_All!$B11&amp;Weekly_All!$B$3&amp;$B$2)</f>
        <v>0</v>
      </c>
      <c r="Z11" s="2">
        <f>COUNTIF(defects!$V:$V,Weekly_All!Z$3&amp;Weekly_All!$B11&amp;Weekly_All!$B$3&amp;$B$2)</f>
        <v>0</v>
      </c>
      <c r="AA11" s="2">
        <f>COUNTIF(defects!$V:$V,Weekly_All!AA$3&amp;Weekly_All!$B11&amp;Weekly_All!$B$3&amp;$B$2)</f>
        <v>0</v>
      </c>
      <c r="AB11" s="2">
        <f>COUNTIF(defects!$V:$V,Weekly_All!AB$3&amp;Weekly_All!$B11&amp;Weekly_All!$B$3&amp;$B$2)</f>
        <v>0</v>
      </c>
      <c r="AC11" s="2">
        <f>COUNTIF(defects!$V:$V,Weekly_All!AC$3&amp;Weekly_All!$B11&amp;Weekly_All!$B$3&amp;$B$2)</f>
        <v>0</v>
      </c>
      <c r="AD11" s="2">
        <f>COUNTIF(defects!$V:$V,Weekly_All!AD$3&amp;Weekly_All!$B11&amp;Weekly_All!$B$3&amp;$B$2)</f>
        <v>0</v>
      </c>
      <c r="AE11" s="2">
        <f>COUNTIF(defects!$V:$V,Weekly_All!AE$3&amp;Weekly_All!$B11&amp;Weekly_All!$B$3&amp;$B$2)</f>
        <v>0</v>
      </c>
      <c r="AF11" s="2">
        <f>COUNTIF(defects!$V:$V,Weekly_All!AF$3&amp;Weekly_All!$B11&amp;Weekly_All!$B$3&amp;$B$2)</f>
        <v>0</v>
      </c>
      <c r="AG11" s="2">
        <f>COUNTIF(defects!$V:$V,Weekly_All!AG$3&amp;Weekly_All!$B11&amp;Weekly_All!$B$3&amp;$B$2)</f>
        <v>0</v>
      </c>
      <c r="AH11" s="2">
        <f>COUNTIF(defects!$V:$V,Weekly_All!AH$3&amp;Weekly_All!$B11&amp;Weekly_All!$B$3&amp;$B$2)</f>
        <v>0</v>
      </c>
      <c r="AI11" s="2">
        <f>COUNTIF(defects!$V:$V,Weekly_All!AI$3&amp;Weekly_All!$B11&amp;Weekly_All!$B$3&amp;$B$2)</f>
        <v>0</v>
      </c>
      <c r="AJ11" s="2">
        <f>COUNTIF(defects!$V:$V,Weekly_All!AJ$3&amp;Weekly_All!$B11&amp;Weekly_All!$B$3&amp;$B$2)</f>
        <v>0</v>
      </c>
      <c r="AK11" s="2">
        <f>COUNTIF(defects!$V:$V,Weekly_All!AK$3&amp;Weekly_All!$B11&amp;Weekly_All!$B$3&amp;$B$2)</f>
        <v>0</v>
      </c>
      <c r="AL11" s="2">
        <f>COUNTIF(defects!$V:$V,Weekly_All!AL$3&amp;Weekly_All!$B11&amp;Weekly_All!$B$3&amp;$B$2)</f>
        <v>0</v>
      </c>
      <c r="AM11" s="2">
        <f>COUNTIF(defects!$V:$V,Weekly_All!AM$3&amp;Weekly_All!$B11&amp;Weekly_All!$B$3&amp;$B$2)</f>
        <v>0</v>
      </c>
      <c r="AN11" s="2">
        <f>COUNTIF(defects!$V:$V,Weekly_All!AN$3&amp;Weekly_All!$B11&amp;Weekly_All!$B$3&amp;$B$2)</f>
        <v>0</v>
      </c>
      <c r="AO11" s="2">
        <f>COUNTIF(defects!$V:$V,Weekly_All!AO$3&amp;Weekly_All!$B11&amp;Weekly_All!$B$3&amp;$B$2)</f>
        <v>0</v>
      </c>
      <c r="AP11" s="2">
        <f>COUNTIF(defects!$V:$V,Weekly_All!AP$3&amp;Weekly_All!$B11&amp;Weekly_All!$B$3&amp;$B$2)</f>
        <v>0</v>
      </c>
      <c r="AQ11" s="2">
        <f>COUNTIF(defects!$V:$V,Weekly_All!AQ$3&amp;Weekly_All!$B11&amp;Weekly_All!$B$3&amp;$B$2)</f>
        <v>0</v>
      </c>
      <c r="AR11" s="2">
        <f>COUNTIF(defects!$V:$V,Weekly_All!AR$3&amp;Weekly_All!$B11&amp;Weekly_All!$B$3&amp;$B$2)</f>
        <v>0</v>
      </c>
      <c r="AS11" s="2">
        <f>COUNTIF(defects!$V:$V,Weekly_All!AS$3&amp;Weekly_All!$B11&amp;Weekly_All!$B$3&amp;$B$2)</f>
        <v>0</v>
      </c>
      <c r="AT11" s="2">
        <f>COUNTIF(defects!$V:$V,Weekly_All!AT$3&amp;Weekly_All!$B11&amp;Weekly_All!$B$3&amp;$B$2)</f>
        <v>0</v>
      </c>
      <c r="AU11" s="2">
        <f>COUNTIF(defects!$V:$V,Weekly_All!AU$3&amp;Weekly_All!$B11&amp;Weekly_All!$B$3&amp;$B$2)</f>
        <v>0</v>
      </c>
      <c r="AV11" s="2">
        <f>COUNTIF(defects!$V:$V,Weekly_All!AV$3&amp;Weekly_All!$B11&amp;Weekly_All!$B$3&amp;$B$2)</f>
        <v>0</v>
      </c>
      <c r="AW11" s="2">
        <f>COUNTIF(defects!$V:$V,Weekly_All!AW$3&amp;Weekly_All!$B11&amp;Weekly_All!$B$3&amp;$B$2)</f>
        <v>0</v>
      </c>
      <c r="AX11" s="2">
        <f>COUNTIF(defects!$V:$V,Weekly_All!AX$3&amp;Weekly_All!$B11&amp;Weekly_All!$B$3&amp;$B$2)</f>
        <v>0</v>
      </c>
      <c r="AY11" s="2">
        <f>COUNTIF(defects!$V:$V,Weekly_All!AY$3&amp;Weekly_All!$B11&amp;Weekly_All!$B$3&amp;$B$2)</f>
        <v>0</v>
      </c>
      <c r="AZ11" s="2">
        <f>COUNTIF(defects!$V:$V,Weekly_All!AZ$3&amp;Weekly_All!$B11&amp;Weekly_All!$B$3&amp;$B$2)</f>
        <v>0</v>
      </c>
      <c r="BA11" s="2">
        <f>COUNTIF(defects!$V:$V,Weekly_All!BA$3&amp;Weekly_All!$B11&amp;Weekly_All!$B$3&amp;$B$2)</f>
        <v>0</v>
      </c>
      <c r="BB11" s="2">
        <f>COUNTIF(defects!$V:$V,Weekly_All!BB$3&amp;Weekly_All!$B11&amp;Weekly_All!$B$3&amp;$B$2)</f>
        <v>0</v>
      </c>
      <c r="BC11" s="2">
        <f>COUNTIF(defects!$V:$V,Weekly_All!BC$3&amp;Weekly_All!$B11&amp;Weekly_All!$B$3&amp;$B$2)</f>
        <v>0</v>
      </c>
      <c r="BD11" s="2">
        <f>COUNTIF(defects!$V:$V,Weekly_All!BD$3&amp;Weekly_All!$B11&amp;Weekly_All!$B$3&amp;$B$2)</f>
        <v>0</v>
      </c>
      <c r="BE11" s="2">
        <f>COUNTIF(defects!$V:$V,Weekly_All!BE$3&amp;Weekly_All!$B11&amp;Weekly_All!$B$3&amp;$B$2)</f>
        <v>0</v>
      </c>
      <c r="BF11" s="2">
        <f>COUNTIF(defects!$V:$V,Weekly_All!BF$3&amp;Weekly_All!$B11&amp;Weekly_All!$B$3&amp;$B$2)</f>
        <v>0</v>
      </c>
      <c r="BG11" s="2">
        <f>COUNTIF(defects!$V:$V,Weekly_All!BG$3&amp;Weekly_All!$B11&amp;Weekly_All!$B$3&amp;$B$2)</f>
        <v>0</v>
      </c>
      <c r="BH11" s="2">
        <f>COUNTIF(defects!$V:$V,Weekly_All!BH$3&amp;Weekly_All!$B11&amp;Weekly_All!$B$3&amp;$B$2)</f>
        <v>0</v>
      </c>
      <c r="BI11" s="2">
        <f>COUNTIF(defects!$V:$V,Weekly_All!BI$3&amp;Weekly_All!$B11&amp;Weekly_All!$B$3&amp;$B$2)</f>
        <v>0</v>
      </c>
      <c r="BJ11" s="2">
        <f>COUNTIF(defects!$V:$V,Weekly_All!BJ$3&amp;Weekly_All!$B11&amp;Weekly_All!$B$3&amp;$B$2)</f>
        <v>0</v>
      </c>
      <c r="BK11" s="2">
        <f>COUNTIF(defects!$V:$V,Weekly_All!BK$3&amp;Weekly_All!$B11&amp;Weekly_All!$B$3&amp;$B$2)</f>
        <v>0</v>
      </c>
      <c r="BL11" s="2">
        <f>COUNTIF(defects!$V:$V,Weekly_All!BL$3&amp;Weekly_All!$B11&amp;Weekly_All!$B$3&amp;$B$2)</f>
        <v>0</v>
      </c>
      <c r="BM11" s="2">
        <f>COUNTIF(defects!$V:$V,Weekly_All!BM$3&amp;Weekly_All!$B11&amp;Weekly_All!$B$3&amp;$B$2)</f>
        <v>0</v>
      </c>
      <c r="BN11" s="2">
        <f>COUNTIF(defects!$V:$V,Weekly_All!BN$3&amp;Weekly_All!$B11&amp;Weekly_All!$B$3&amp;$B$2)</f>
        <v>0</v>
      </c>
      <c r="BO11" s="2">
        <f>COUNTIF(defects!$V:$V,Weekly_All!BO$3&amp;Weekly_All!$B11&amp;Weekly_All!$B$3&amp;$B$2)</f>
        <v>0</v>
      </c>
      <c r="BP11" s="2">
        <f>COUNTIF(defects!$V:$V,Weekly_All!BP$3&amp;Weekly_All!$B11&amp;Weekly_All!$B$3&amp;$B$2)</f>
        <v>0</v>
      </c>
      <c r="BQ11" s="2">
        <f>COUNTIF(defects!$V:$V,Weekly_All!BQ$3&amp;Weekly_All!$B11&amp;Weekly_All!$B$3&amp;$B$2)</f>
        <v>0</v>
      </c>
      <c r="BR11" s="2">
        <f>COUNTIF(defects!$V:$V,Weekly_All!BR$3&amp;Weekly_All!$B11&amp;Weekly_All!$B$3&amp;$B$2)</f>
        <v>0</v>
      </c>
      <c r="BS11" s="2">
        <f>COUNTIF(defects!$V:$V,Weekly_All!BS$3&amp;Weekly_All!$B11&amp;Weekly_All!$B$3&amp;$B$2)</f>
        <v>0</v>
      </c>
      <c r="BT11" s="2">
        <f>COUNTIF(defects!$V:$V,Weekly_All!BT$3&amp;Weekly_All!$B11&amp;Weekly_All!$B$3&amp;$B$2)</f>
        <v>0</v>
      </c>
      <c r="BU11" s="2">
        <f>COUNTIF(defects!$V:$V,Weekly_All!BU$3&amp;Weekly_All!$B11&amp;Weekly_All!$B$3&amp;$B$2)</f>
        <v>0</v>
      </c>
      <c r="BV11" s="2">
        <f>COUNTIF(defects!$V:$V,Weekly_All!BV$3&amp;Weekly_All!$B11&amp;Weekly_All!$B$3&amp;$B$2)</f>
        <v>0</v>
      </c>
      <c r="BW11" s="2">
        <f>COUNTIF(defects!$V:$V,Weekly_All!BW$3&amp;Weekly_All!$B11&amp;Weekly_All!$B$3&amp;$B$2)</f>
        <v>0</v>
      </c>
      <c r="BX11" s="2">
        <f>COUNTIF(defects!$V:$V,Weekly_All!BX$3&amp;Weekly_All!$B11&amp;Weekly_All!$B$3&amp;$B$2)</f>
        <v>0</v>
      </c>
      <c r="BY11" s="2">
        <f>COUNTIF(defects!$V:$V,Weekly_All!BY$3&amp;Weekly_All!$B11&amp;Weekly_All!$B$3&amp;$B$2)</f>
        <v>0</v>
      </c>
      <c r="BZ11" s="2">
        <f>COUNTIF(defects!$V:$V,Weekly_All!BZ$3&amp;Weekly_All!$B11&amp;Weekly_All!$B$3&amp;$B$2)</f>
        <v>0</v>
      </c>
      <c r="CA11" s="2">
        <f>COUNTIF(defects!$V:$V,Weekly_All!CA$3&amp;Weekly_All!$B11&amp;Weekly_All!$B$3&amp;$B$2)</f>
        <v>1</v>
      </c>
      <c r="CB11" s="2">
        <f>COUNTIF(defects!$V:$V,Weekly_All!CB$3&amp;Weekly_All!$B11&amp;Weekly_All!$B$3&amp;$B$2)</f>
        <v>0</v>
      </c>
      <c r="CC11" s="2">
        <f>COUNTIF(defects!$V:$V,Weekly_All!CC$3&amp;Weekly_All!$B11&amp;Weekly_All!$B$3&amp;$B$2)</f>
        <v>0</v>
      </c>
      <c r="CD11" s="2">
        <f>COUNTIF(defects!$V:$V,Weekly_All!CD$3&amp;Weekly_All!$B11&amp;Weekly_All!$B$3&amp;$B$2)</f>
        <v>0</v>
      </c>
      <c r="CE11" s="2">
        <f>COUNTIF(defects!$V:$V,Weekly_All!CE$3&amp;Weekly_All!$B11&amp;Weekly_All!$B$3&amp;$B$2)</f>
        <v>0</v>
      </c>
      <c r="CF11" s="2">
        <f>COUNTIF(defects!$V:$V,Weekly_All!CF$3&amp;Weekly_All!$B11&amp;Weekly_All!$B$3&amp;$B$2)</f>
        <v>0</v>
      </c>
      <c r="CG11" s="2">
        <f>COUNTIF(defects!$V:$V,Weekly_All!CG$3&amp;Weekly_All!$B11&amp;Weekly_All!$B$3&amp;$B$2)</f>
        <v>0</v>
      </c>
      <c r="CH11" s="2">
        <f>COUNTIF(defects!$V:$V,Weekly_All!CH$3&amp;Weekly_All!$B11&amp;Weekly_All!$B$3&amp;$B$2)</f>
        <v>0</v>
      </c>
      <c r="CI11" s="2">
        <f>COUNTIF(defects!$V:$V,Weekly_All!CI$3&amp;Weekly_All!$B11&amp;Weekly_All!$B$3&amp;$B$2)</f>
        <v>0</v>
      </c>
      <c r="CJ11" s="2">
        <f>COUNTIF(defects!$V:$V,Weekly_All!CJ$3&amp;Weekly_All!$B11&amp;Weekly_All!$B$3&amp;$B$2)</f>
        <v>1</v>
      </c>
      <c r="CK11" s="2">
        <f>COUNTIF(defects!$V:$V,Weekly_All!CK$3&amp;Weekly_All!$B11&amp;Weekly_All!$B$3&amp;$B$2)</f>
        <v>1</v>
      </c>
      <c r="CL11" s="2">
        <f>COUNTIF(defects!$V:$V,Weekly_All!CL$3&amp;Weekly_All!$B11&amp;Weekly_All!$B$3&amp;$B$2)</f>
        <v>0</v>
      </c>
      <c r="CM11" s="2">
        <f>COUNTIF(defects!$V:$V,Weekly_All!CM$3&amp;Weekly_All!$B11&amp;Weekly_All!$B$3&amp;$B$2)</f>
        <v>0</v>
      </c>
      <c r="CN11" s="2">
        <f>COUNTIF(defects!$V:$V,Weekly_All!CN$3&amp;Weekly_All!$B11&amp;Weekly_All!$B$3&amp;$B$2)</f>
        <v>0</v>
      </c>
      <c r="CO11" s="2">
        <f>COUNTIF(defects!$V:$V,Weekly_All!CO$3&amp;Weekly_All!$B11&amp;Weekly_All!$B$3&amp;$B$2)</f>
        <v>3</v>
      </c>
      <c r="CP11" s="2">
        <f>COUNTIF(defects!$V:$V,Weekly_All!CP$3&amp;Weekly_All!$B11&amp;Weekly_All!$B$3&amp;$B$2)</f>
        <v>0</v>
      </c>
      <c r="CQ11" s="2">
        <f>COUNTIF(defects!$V:$V,Weekly_All!CQ$3&amp;Weekly_All!$B11&amp;Weekly_All!$B$3&amp;$B$2)</f>
        <v>0</v>
      </c>
      <c r="CR11" s="2">
        <f>COUNTIF(defects!$V:$V,Weekly_All!CR$3&amp;Weekly_All!$B11&amp;Weekly_All!$B$3&amp;$B$2)</f>
        <v>0</v>
      </c>
      <c r="CS11" s="2">
        <f>COUNTIF(defects!$V:$V,Weekly_All!CS$3&amp;Weekly_All!$B11&amp;Weekly_All!$B$3&amp;$B$2)</f>
        <v>0</v>
      </c>
      <c r="CT11" s="2">
        <f>COUNTIF(defects!$V:$V,Weekly_All!CT$3&amp;Weekly_All!$B11&amp;Weekly_All!$B$3&amp;$B$2)</f>
        <v>1</v>
      </c>
      <c r="CU11" s="2">
        <f>COUNTIF(defects!$V:$V,Weekly_All!CU$3&amp;Weekly_All!$B11&amp;Weekly_All!$B$3&amp;$B$2)</f>
        <v>0</v>
      </c>
      <c r="CV11" s="2">
        <f>COUNTIF(defects!$V:$V,Weekly_All!CV$3&amp;Weekly_All!$B11&amp;Weekly_All!$B$3&amp;$B$2)</f>
        <v>0</v>
      </c>
      <c r="CW11" s="2">
        <f>COUNTIF(defects!$V:$V,Weekly_All!CW$3&amp;Weekly_All!$B11&amp;Weekly_All!$B$3&amp;$B$2)</f>
        <v>0</v>
      </c>
      <c r="CX11" s="2">
        <f>COUNTIF(defects!$V:$V,Weekly_All!CX$3&amp;Weekly_All!$B11&amp;Weekly_All!$B$3&amp;$B$2)</f>
        <v>0</v>
      </c>
      <c r="CY11" s="2">
        <f>COUNTIF(defects!$V:$V,Weekly_All!CY$3&amp;Weekly_All!$B11&amp;Weekly_All!$B$3&amp;$B$2)</f>
        <v>0</v>
      </c>
      <c r="CZ11" s="2">
        <f>COUNTIF(defects!$V:$V,Weekly_All!CZ$3&amp;Weekly_All!$B11&amp;Weekly_All!$B$3&amp;$B$2)</f>
        <v>0</v>
      </c>
      <c r="DA11" s="2">
        <f>COUNTIF(defects!$V:$V,Weekly_All!DA$3&amp;Weekly_All!$B11&amp;Weekly_All!$B$3&amp;$B$2)</f>
        <v>0</v>
      </c>
      <c r="DB11" s="2">
        <f>COUNTIF(defects!$V:$V,Weekly_All!DB$3&amp;Weekly_All!$B11&amp;Weekly_All!$B$3&amp;$B$2)</f>
        <v>0</v>
      </c>
      <c r="DC11" s="2">
        <f>COUNTIF(defects!$V:$V,Weekly_All!DC$3&amp;Weekly_All!$B11&amp;Weekly_All!$B$3&amp;$B$2)</f>
        <v>0</v>
      </c>
      <c r="DD11" s="2">
        <f>COUNTIF(defects!$V:$V,Weekly_All!DD$3&amp;Weekly_All!$B11&amp;Weekly_All!$B$3&amp;$B$2)</f>
        <v>0</v>
      </c>
      <c r="DE11" s="2">
        <f>COUNTIF(defects!$V:$V,Weekly_All!DE$3&amp;Weekly_All!$B11&amp;Weekly_All!$B$3&amp;$B$2)</f>
        <v>0</v>
      </c>
      <c r="DF11" s="2">
        <f>COUNTIF(defects!$V:$V,Weekly_All!DF$3&amp;Weekly_All!$B11&amp;Weekly_All!$B$3&amp;$B$2)</f>
        <v>0</v>
      </c>
      <c r="DG11" s="2">
        <f>COUNTIF(defects!$V:$V,Weekly_All!DG$3&amp;Weekly_All!$B11&amp;Weekly_All!$B$3&amp;$B$2)</f>
        <v>0</v>
      </c>
      <c r="DH11" s="2">
        <f>COUNTIF(defects!$V:$V,Weekly_All!DH$3&amp;Weekly_All!$B11&amp;Weekly_All!$B$3&amp;$B$2)</f>
        <v>0</v>
      </c>
      <c r="DI11" s="2">
        <f>COUNTIF(defects!$V:$V,Weekly_All!DI$3&amp;Weekly_All!$B11&amp;Weekly_All!$B$3&amp;$B$2)</f>
        <v>0</v>
      </c>
      <c r="DJ11" s="2">
        <f>COUNTIF(defects!$V:$V,Weekly_All!DJ$3&amp;Weekly_All!$B11&amp;Weekly_All!$B$3&amp;$B$2)</f>
        <v>0</v>
      </c>
      <c r="DK11" s="2">
        <f>COUNTIF(defects!$V:$V,Weekly_All!DK$3&amp;Weekly_All!$B11&amp;Weekly_All!$B$3&amp;$B$2)</f>
        <v>0</v>
      </c>
      <c r="DL11" s="2">
        <f>COUNTIF(defects!$V:$V,Weekly_All!DL$3&amp;Weekly_All!$B11&amp;Weekly_All!$B$3&amp;$B$2)</f>
        <v>0</v>
      </c>
      <c r="DM11" s="2">
        <f>COUNTIF(defects!$V:$V,Weekly_All!DM$3&amp;Weekly_All!$B11&amp;Weekly_All!$B$3&amp;$B$2)</f>
        <v>0</v>
      </c>
      <c r="DN11" s="2">
        <f>COUNTIF(defects!$V:$V,Weekly_All!DN$3&amp;Weekly_All!$B11&amp;Weekly_All!$B$3&amp;$B$2)</f>
        <v>0</v>
      </c>
      <c r="DO11" s="2">
        <f>COUNTIF(defects!$V:$V,Weekly_All!DO$3&amp;Weekly_All!$B11&amp;Weekly_All!$B$3&amp;$B$2)</f>
        <v>0</v>
      </c>
      <c r="DP11" s="2">
        <f>COUNTIF(defects!$V:$V,Weekly_All!DP$3&amp;Weekly_All!$B11&amp;Weekly_All!$B$3&amp;$B$2)</f>
        <v>0</v>
      </c>
      <c r="DQ11" s="2">
        <f>COUNTIF(defects!$V:$V,Weekly_All!DQ$3&amp;Weekly_All!$B11&amp;Weekly_All!$B$3&amp;$B$2)</f>
        <v>0</v>
      </c>
      <c r="DR11" s="2">
        <f>COUNTIF(defects!$V:$V,Weekly_All!DR$3&amp;Weekly_All!$B11&amp;Weekly_All!$B$3&amp;$B$2)</f>
        <v>0</v>
      </c>
      <c r="DS11" s="2">
        <f>COUNTIF(defects!$V:$V,Weekly_All!DS$3&amp;Weekly_All!$B11&amp;Weekly_All!$B$3&amp;$B$2)</f>
        <v>0</v>
      </c>
      <c r="DT11" s="2">
        <f>COUNTIF(defects!$V:$V,Weekly_All!DT$3&amp;Weekly_All!$B11&amp;Weekly_All!$B$3&amp;$B$2)</f>
        <v>0</v>
      </c>
      <c r="DU11" s="2">
        <f>COUNTIF(defects!$V:$V,Weekly_All!DU$3&amp;Weekly_All!$B11&amp;Weekly_All!$B$3&amp;$B$2)</f>
        <v>0</v>
      </c>
      <c r="DV11" s="2">
        <f>COUNTIF(defects!$V:$V,Weekly_All!DV$3&amp;Weekly_All!$B11&amp;Weekly_All!$B$3&amp;$B$2)</f>
        <v>0</v>
      </c>
      <c r="DW11" s="2">
        <f>COUNTIF(defects!$V:$V,Weekly_All!DW$3&amp;Weekly_All!$B11&amp;Weekly_All!$B$3&amp;$B$2)</f>
        <v>0</v>
      </c>
      <c r="DX11" s="2">
        <f>COUNTIF(defects!$V:$V,Weekly_All!DX$3&amp;Weekly_All!$B11&amp;Weekly_All!$B$3&amp;$B$2)</f>
        <v>0</v>
      </c>
      <c r="DY11" s="2">
        <f>COUNTIF(defects!$V:$V,Weekly_All!DY$3&amp;Weekly_All!$B11&amp;Weekly_All!$B$3&amp;$B$2)</f>
        <v>0</v>
      </c>
      <c r="DZ11" s="2">
        <f>COUNTIF(defects!$V:$V,Weekly_All!DZ$3&amp;Weekly_All!$B11&amp;Weekly_All!$B$3&amp;$B$2)</f>
        <v>0</v>
      </c>
      <c r="EA11" s="2">
        <f>COUNTIF(defects!$V:$V,Weekly_All!EA$3&amp;Weekly_All!$B11&amp;Weekly_All!$B$3&amp;$B$2)</f>
        <v>0</v>
      </c>
      <c r="EB11" s="2">
        <f>COUNTIF(defects!$V:$V,Weekly_All!EB$3&amp;Weekly_All!$B11&amp;Weekly_All!$B$3&amp;$B$2)</f>
        <v>0</v>
      </c>
      <c r="EC11" s="2">
        <f>COUNTIF(defects!$V:$V,Weekly_All!EC$3&amp;Weekly_All!$B11&amp;Weekly_All!$B$3&amp;$B$2)</f>
        <v>0</v>
      </c>
      <c r="ED11" s="2">
        <f>COUNTIF(defects!$V:$V,Weekly_All!ED$3&amp;Weekly_All!$B11&amp;Weekly_All!$B$3&amp;$B$2)</f>
        <v>0</v>
      </c>
      <c r="EE11" s="2">
        <f>COUNTIF(defects!$V:$V,Weekly_All!EE$3&amp;Weekly_All!$B11&amp;Weekly_All!$B$3&amp;$B$2)</f>
        <v>0</v>
      </c>
      <c r="EF11" s="2">
        <f>COUNTIF(defects!$V:$V,Weekly_All!EF$3&amp;Weekly_All!$B11&amp;Weekly_All!$B$3&amp;$B$2)</f>
        <v>0</v>
      </c>
      <c r="EG11" s="2">
        <f>COUNTIF(defects!$V:$V,Weekly_All!EG$3&amp;Weekly_All!$B11&amp;Weekly_All!$B$3&amp;$B$2)</f>
        <v>0</v>
      </c>
      <c r="EH11" s="2">
        <f>COUNTIF(defects!$V:$V,Weekly_All!EH$3&amp;Weekly_All!$B11&amp;Weekly_All!$B$3&amp;$B$2)</f>
        <v>0</v>
      </c>
      <c r="EI11" s="2">
        <f>COUNTIF(defects!$V:$V,Weekly_All!EI$3&amp;Weekly_All!$B11&amp;Weekly_All!$B$3&amp;$B$2)</f>
        <v>0</v>
      </c>
      <c r="EJ11" s="2">
        <f>COUNTIF(defects!$V:$V,Weekly_All!EJ$3&amp;Weekly_All!$B11&amp;Weekly_All!$B$3&amp;$B$2)</f>
        <v>0</v>
      </c>
      <c r="EK11" s="2">
        <f>COUNTIF(defects!$V:$V,Weekly_All!EK$3&amp;Weekly_All!$B11&amp;Weekly_All!$B$3&amp;$B$2)</f>
        <v>0</v>
      </c>
      <c r="EL11" s="2">
        <f>COUNTIF(defects!$V:$V,Weekly_All!EL$3&amp;Weekly_All!$B11&amp;Weekly_All!$B$3&amp;$B$2)</f>
        <v>0</v>
      </c>
      <c r="EM11" s="2">
        <f>COUNTIF(defects!$V:$V,Weekly_All!EM$3&amp;Weekly_All!$B11&amp;Weekly_All!$B$3&amp;$B$2)</f>
        <v>0</v>
      </c>
      <c r="EN11" s="2">
        <f>COUNTIF(defects!$V:$V,Weekly_All!EN$3&amp;Weekly_All!$B11&amp;Weekly_All!$B$3&amp;$B$2)</f>
        <v>0</v>
      </c>
      <c r="EO11" s="2">
        <f>COUNTIF(defects!$V:$V,Weekly_All!EO$3&amp;Weekly_All!$B11&amp;Weekly_All!$B$3&amp;$B$2)</f>
        <v>0</v>
      </c>
      <c r="EP11" s="2">
        <f>COUNTIF(defects!$V:$V,Weekly_All!EP$3&amp;Weekly_All!$B11&amp;Weekly_All!$B$3&amp;$B$2)</f>
        <v>0</v>
      </c>
      <c r="EQ11" s="2">
        <f>COUNTIF(defects!$V:$V,Weekly_All!EQ$3&amp;Weekly_All!$B11&amp;Weekly_All!$B$3&amp;$B$2)</f>
        <v>0</v>
      </c>
      <c r="ER11" s="2">
        <f>COUNTIF(defects!$V:$V,Weekly_All!ER$3&amp;Weekly_All!$B11&amp;Weekly_All!$B$3&amp;$B$2)</f>
        <v>0</v>
      </c>
      <c r="ES11" s="2">
        <f>COUNTIF(defects!$V:$V,Weekly_All!ES$3&amp;Weekly_All!$B11&amp;Weekly_All!$B$3&amp;$B$2)</f>
        <v>0</v>
      </c>
      <c r="ET11" s="2">
        <f>COUNTIF(defects!$V:$V,Weekly_All!ET$3&amp;Weekly_All!$B11&amp;Weekly_All!$B$3&amp;$B$2)</f>
        <v>0</v>
      </c>
      <c r="EU11" s="2">
        <f>COUNTIF(defects!$V:$V,Weekly_All!EU$3&amp;Weekly_All!$B11&amp;Weekly_All!$B$3&amp;$B$2)</f>
        <v>0</v>
      </c>
      <c r="EV11" s="2">
        <f>COUNTIF(defects!$V:$V,Weekly_All!EV$3&amp;Weekly_All!$B11&amp;Weekly_All!$B$3&amp;$B$2)</f>
        <v>0</v>
      </c>
      <c r="EW11" s="2">
        <f>COUNTIF(defects!$V:$V,Weekly_All!EW$3&amp;Weekly_All!$B11&amp;Weekly_All!$B$3&amp;$B$2)</f>
        <v>0</v>
      </c>
      <c r="EX11" s="2">
        <f>COUNTIF(defects!$V:$V,Weekly_All!EX$3&amp;Weekly_All!$B11&amp;Weekly_All!$B$3&amp;$B$2)</f>
        <v>0</v>
      </c>
      <c r="EY11" s="2">
        <f>COUNTIF(defects!$V:$V,Weekly_All!EY$3&amp;Weekly_All!$B11&amp;Weekly_All!$B$3&amp;$B$2)</f>
        <v>0</v>
      </c>
      <c r="EZ11" s="2">
        <f>COUNTIF(defects!$V:$V,Weekly_All!EZ$3&amp;Weekly_All!$B11&amp;Weekly_All!$B$3&amp;$B$2)</f>
        <v>0</v>
      </c>
      <c r="FA11" s="2">
        <f>COUNTIF(defects!$V:$V,Weekly_All!FA$3&amp;Weekly_All!$B11&amp;Weekly_All!$B$3&amp;$B$2)</f>
        <v>0</v>
      </c>
      <c r="FB11" s="2">
        <f>COUNTIF(defects!$V:$V,Weekly_All!FB$3&amp;Weekly_All!$B11&amp;Weekly_All!$B$3&amp;$B$2)</f>
        <v>0</v>
      </c>
      <c r="FC11" s="2">
        <f>COUNTIF(defects!$V:$V,Weekly_All!FC$3&amp;Weekly_All!$B11&amp;Weekly_All!$B$3&amp;$B$2)</f>
        <v>0</v>
      </c>
      <c r="FD11" s="2">
        <f>COUNTIF(defects!$V:$V,Weekly_All!FD$3&amp;Weekly_All!$B11&amp;Weekly_All!$B$3&amp;$B$2)</f>
        <v>0</v>
      </c>
      <c r="FE11" s="2">
        <f>COUNTIF(defects!$V:$V,Weekly_All!FE$3&amp;Weekly_All!$B11&amp;Weekly_All!$B$3&amp;$B$2)</f>
        <v>0</v>
      </c>
    </row>
    <row r="12" spans="2:161">
      <c r="B12" s="2" t="s">
        <v>992</v>
      </c>
      <c r="C12" s="2">
        <f>COUNTIF(defects!$V:$V,Weekly_All!C$3&amp;Weekly_All!$B12&amp;Weekly_All!$B$3&amp;$B$2)</f>
        <v>0</v>
      </c>
      <c r="D12" s="2">
        <f>COUNTIF(defects!$V:$V,Weekly_All!D$3&amp;Weekly_All!$B12&amp;Weekly_All!$B$3&amp;$B$2)</f>
        <v>0</v>
      </c>
      <c r="E12" s="2">
        <f>COUNTIF(defects!$V:$V,Weekly_All!E$3&amp;Weekly_All!$B12&amp;Weekly_All!$B$3&amp;$B$2)</f>
        <v>0</v>
      </c>
      <c r="F12" s="2">
        <f>COUNTIF(defects!$V:$V,Weekly_All!F$3&amp;Weekly_All!$B12&amp;Weekly_All!$B$3&amp;$B$2)</f>
        <v>0</v>
      </c>
      <c r="G12" s="2">
        <f>COUNTIF(defects!$V:$V,Weekly_All!G$3&amp;Weekly_All!$B12&amp;Weekly_All!$B$3&amp;$B$2)</f>
        <v>0</v>
      </c>
      <c r="H12" s="2">
        <f>COUNTIF(defects!$V:$V,Weekly_All!H$3&amp;Weekly_All!$B12&amp;Weekly_All!$B$3&amp;$B$2)</f>
        <v>0</v>
      </c>
      <c r="I12" s="2">
        <f>COUNTIF(defects!$V:$V,Weekly_All!I$3&amp;Weekly_All!$B12&amp;Weekly_All!$B$3&amp;$B$2)</f>
        <v>0</v>
      </c>
      <c r="J12" s="2">
        <f>COUNTIF(defects!$V:$V,Weekly_All!J$3&amp;Weekly_All!$B12&amp;Weekly_All!$B$3&amp;$B$2)</f>
        <v>0</v>
      </c>
      <c r="K12" s="2">
        <f>COUNTIF(defects!$V:$V,Weekly_All!K$3&amp;Weekly_All!$B12&amp;Weekly_All!$B$3&amp;$B$2)</f>
        <v>0</v>
      </c>
      <c r="L12" s="2">
        <f>COUNTIF(defects!$V:$V,Weekly_All!L$3&amp;Weekly_All!$B12&amp;Weekly_All!$B$3&amp;$B$2)</f>
        <v>0</v>
      </c>
      <c r="M12" s="2">
        <f>COUNTIF(defects!$V:$V,Weekly_All!M$3&amp;Weekly_All!$B12&amp;Weekly_All!$B$3&amp;$B$2)</f>
        <v>0</v>
      </c>
      <c r="N12" s="2">
        <f>COUNTIF(defects!$V:$V,Weekly_All!N$3&amp;Weekly_All!$B12&amp;Weekly_All!$B$3&amp;$B$2)</f>
        <v>0</v>
      </c>
      <c r="O12" s="2">
        <f>COUNTIF(defects!$V:$V,Weekly_All!O$3&amp;Weekly_All!$B12&amp;Weekly_All!$B$3&amp;$B$2)</f>
        <v>0</v>
      </c>
      <c r="P12" s="2">
        <f>COUNTIF(defects!$V:$V,Weekly_All!P$3&amp;Weekly_All!$B12&amp;Weekly_All!$B$3&amp;$B$2)</f>
        <v>0</v>
      </c>
      <c r="Q12" s="2">
        <f>COUNTIF(defects!$V:$V,Weekly_All!Q$3&amp;Weekly_All!$B12&amp;Weekly_All!$B$3&amp;$B$2)</f>
        <v>0</v>
      </c>
      <c r="R12" s="2">
        <f>COUNTIF(defects!$V:$V,Weekly_All!R$3&amp;Weekly_All!$B12&amp;Weekly_All!$B$3&amp;$B$2)</f>
        <v>0</v>
      </c>
      <c r="S12" s="2">
        <f>COUNTIF(defects!$V:$V,Weekly_All!S$3&amp;Weekly_All!$B12&amp;Weekly_All!$B$3&amp;$B$2)</f>
        <v>0</v>
      </c>
      <c r="T12" s="2">
        <f>COUNTIF(defects!$V:$V,Weekly_All!T$3&amp;Weekly_All!$B12&amp;Weekly_All!$B$3&amp;$B$2)</f>
        <v>0</v>
      </c>
      <c r="U12" s="2">
        <f>COUNTIF(defects!$V:$V,Weekly_All!U$3&amp;Weekly_All!$B12&amp;Weekly_All!$B$3&amp;$B$2)</f>
        <v>0</v>
      </c>
      <c r="V12" s="2">
        <f>COUNTIF(defects!$V:$V,Weekly_All!V$3&amp;Weekly_All!$B12&amp;Weekly_All!$B$3&amp;$B$2)</f>
        <v>0</v>
      </c>
      <c r="W12" s="2">
        <f>COUNTIF(defects!$V:$V,Weekly_All!W$3&amp;Weekly_All!$B12&amp;Weekly_All!$B$3&amp;$B$2)</f>
        <v>0</v>
      </c>
      <c r="X12" s="2">
        <f>COUNTIF(defects!$V:$V,Weekly_All!X$3&amp;Weekly_All!$B12&amp;Weekly_All!$B$3&amp;$B$2)</f>
        <v>0</v>
      </c>
      <c r="Y12" s="2">
        <f>COUNTIF(defects!$V:$V,Weekly_All!Y$3&amp;Weekly_All!$B12&amp;Weekly_All!$B$3&amp;$B$2)</f>
        <v>0</v>
      </c>
      <c r="Z12" s="2">
        <f>COUNTIF(defects!$V:$V,Weekly_All!Z$3&amp;Weekly_All!$B12&amp;Weekly_All!$B$3&amp;$B$2)</f>
        <v>0</v>
      </c>
      <c r="AA12" s="2">
        <f>COUNTIF(defects!$V:$V,Weekly_All!AA$3&amp;Weekly_All!$B12&amp;Weekly_All!$B$3&amp;$B$2)</f>
        <v>0</v>
      </c>
      <c r="AB12" s="2">
        <f>COUNTIF(defects!$V:$V,Weekly_All!AB$3&amp;Weekly_All!$B12&amp;Weekly_All!$B$3&amp;$B$2)</f>
        <v>0</v>
      </c>
      <c r="AC12" s="2">
        <f>COUNTIF(defects!$V:$V,Weekly_All!AC$3&amp;Weekly_All!$B12&amp;Weekly_All!$B$3&amp;$B$2)</f>
        <v>0</v>
      </c>
      <c r="AD12" s="2">
        <f>COUNTIF(defects!$V:$V,Weekly_All!AD$3&amp;Weekly_All!$B12&amp;Weekly_All!$B$3&amp;$B$2)</f>
        <v>0</v>
      </c>
      <c r="AE12" s="2">
        <f>COUNTIF(defects!$V:$V,Weekly_All!AE$3&amp;Weekly_All!$B12&amp;Weekly_All!$B$3&amp;$B$2)</f>
        <v>0</v>
      </c>
      <c r="AF12" s="2">
        <f>COUNTIF(defects!$V:$V,Weekly_All!AF$3&amp;Weekly_All!$B12&amp;Weekly_All!$B$3&amp;$B$2)</f>
        <v>0</v>
      </c>
      <c r="AG12" s="2">
        <f>COUNTIF(defects!$V:$V,Weekly_All!AG$3&amp;Weekly_All!$B12&amp;Weekly_All!$B$3&amp;$B$2)</f>
        <v>0</v>
      </c>
      <c r="AH12" s="2">
        <f>COUNTIF(defects!$V:$V,Weekly_All!AH$3&amp;Weekly_All!$B12&amp;Weekly_All!$B$3&amp;$B$2)</f>
        <v>0</v>
      </c>
      <c r="AI12" s="2">
        <f>COUNTIF(defects!$V:$V,Weekly_All!AI$3&amp;Weekly_All!$B12&amp;Weekly_All!$B$3&amp;$B$2)</f>
        <v>0</v>
      </c>
      <c r="AJ12" s="2">
        <f>COUNTIF(defects!$V:$V,Weekly_All!AJ$3&amp;Weekly_All!$B12&amp;Weekly_All!$B$3&amp;$B$2)</f>
        <v>0</v>
      </c>
      <c r="AK12" s="2">
        <f>COUNTIF(defects!$V:$V,Weekly_All!AK$3&amp;Weekly_All!$B12&amp;Weekly_All!$B$3&amp;$B$2)</f>
        <v>0</v>
      </c>
      <c r="AL12" s="2">
        <f>COUNTIF(defects!$V:$V,Weekly_All!AL$3&amp;Weekly_All!$B12&amp;Weekly_All!$B$3&amp;$B$2)</f>
        <v>0</v>
      </c>
      <c r="AM12" s="2">
        <f>COUNTIF(defects!$V:$V,Weekly_All!AM$3&amp;Weekly_All!$B12&amp;Weekly_All!$B$3&amp;$B$2)</f>
        <v>0</v>
      </c>
      <c r="AN12" s="2">
        <f>COUNTIF(defects!$V:$V,Weekly_All!AN$3&amp;Weekly_All!$B12&amp;Weekly_All!$B$3&amp;$B$2)</f>
        <v>0</v>
      </c>
      <c r="AO12" s="2">
        <f>COUNTIF(defects!$V:$V,Weekly_All!AO$3&amp;Weekly_All!$B12&amp;Weekly_All!$B$3&amp;$B$2)</f>
        <v>0</v>
      </c>
      <c r="AP12" s="2">
        <f>COUNTIF(defects!$V:$V,Weekly_All!AP$3&amp;Weekly_All!$B12&amp;Weekly_All!$B$3&amp;$B$2)</f>
        <v>0</v>
      </c>
      <c r="AQ12" s="2">
        <f>COUNTIF(defects!$V:$V,Weekly_All!AQ$3&amp;Weekly_All!$B12&amp;Weekly_All!$B$3&amp;$B$2)</f>
        <v>0</v>
      </c>
      <c r="AR12" s="2">
        <f>COUNTIF(defects!$V:$V,Weekly_All!AR$3&amp;Weekly_All!$B12&amp;Weekly_All!$B$3&amp;$B$2)</f>
        <v>0</v>
      </c>
      <c r="AS12" s="2">
        <f>COUNTIF(defects!$V:$V,Weekly_All!AS$3&amp;Weekly_All!$B12&amp;Weekly_All!$B$3&amp;$B$2)</f>
        <v>0</v>
      </c>
      <c r="AT12" s="2">
        <f>COUNTIF(defects!$V:$V,Weekly_All!AT$3&amp;Weekly_All!$B12&amp;Weekly_All!$B$3&amp;$B$2)</f>
        <v>0</v>
      </c>
      <c r="AU12" s="2">
        <f>COUNTIF(defects!$V:$V,Weekly_All!AU$3&amp;Weekly_All!$B12&amp;Weekly_All!$B$3&amp;$B$2)</f>
        <v>0</v>
      </c>
      <c r="AV12" s="2">
        <f>COUNTIF(defects!$V:$V,Weekly_All!AV$3&amp;Weekly_All!$B12&amp;Weekly_All!$B$3&amp;$B$2)</f>
        <v>0</v>
      </c>
      <c r="AW12" s="2">
        <f>COUNTIF(defects!$V:$V,Weekly_All!AW$3&amp;Weekly_All!$B12&amp;Weekly_All!$B$3&amp;$B$2)</f>
        <v>0</v>
      </c>
      <c r="AX12" s="2">
        <f>COUNTIF(defects!$V:$V,Weekly_All!AX$3&amp;Weekly_All!$B12&amp;Weekly_All!$B$3&amp;$B$2)</f>
        <v>0</v>
      </c>
      <c r="AY12" s="2">
        <f>COUNTIF(defects!$V:$V,Weekly_All!AY$3&amp;Weekly_All!$B12&amp;Weekly_All!$B$3&amp;$B$2)</f>
        <v>0</v>
      </c>
      <c r="AZ12" s="2">
        <f>COUNTIF(defects!$V:$V,Weekly_All!AZ$3&amp;Weekly_All!$B12&amp;Weekly_All!$B$3&amp;$B$2)</f>
        <v>0</v>
      </c>
      <c r="BA12" s="2">
        <f>COUNTIF(defects!$V:$V,Weekly_All!BA$3&amp;Weekly_All!$B12&amp;Weekly_All!$B$3&amp;$B$2)</f>
        <v>0</v>
      </c>
      <c r="BB12" s="2">
        <f>COUNTIF(defects!$V:$V,Weekly_All!BB$3&amp;Weekly_All!$B12&amp;Weekly_All!$B$3&amp;$B$2)</f>
        <v>0</v>
      </c>
      <c r="BC12" s="2">
        <f>COUNTIF(defects!$V:$V,Weekly_All!BC$3&amp;Weekly_All!$B12&amp;Weekly_All!$B$3&amp;$B$2)</f>
        <v>0</v>
      </c>
      <c r="BD12" s="2">
        <f>COUNTIF(defects!$V:$V,Weekly_All!BD$3&amp;Weekly_All!$B12&amp;Weekly_All!$B$3&amp;$B$2)</f>
        <v>0</v>
      </c>
      <c r="BE12" s="2">
        <f>COUNTIF(defects!$V:$V,Weekly_All!BE$3&amp;Weekly_All!$B12&amp;Weekly_All!$B$3&amp;$B$2)</f>
        <v>0</v>
      </c>
      <c r="BF12" s="2">
        <f>COUNTIF(defects!$V:$V,Weekly_All!BF$3&amp;Weekly_All!$B12&amp;Weekly_All!$B$3&amp;$B$2)</f>
        <v>0</v>
      </c>
      <c r="BG12" s="2">
        <f>COUNTIF(defects!$V:$V,Weekly_All!BG$3&amp;Weekly_All!$B12&amp;Weekly_All!$B$3&amp;$B$2)</f>
        <v>0</v>
      </c>
      <c r="BH12" s="2">
        <f>COUNTIF(defects!$V:$V,Weekly_All!BH$3&amp;Weekly_All!$B12&amp;Weekly_All!$B$3&amp;$B$2)</f>
        <v>0</v>
      </c>
      <c r="BI12" s="2">
        <f>COUNTIF(defects!$V:$V,Weekly_All!BI$3&amp;Weekly_All!$B12&amp;Weekly_All!$B$3&amp;$B$2)</f>
        <v>0</v>
      </c>
      <c r="BJ12" s="2">
        <f>COUNTIF(defects!$V:$V,Weekly_All!BJ$3&amp;Weekly_All!$B12&amp;Weekly_All!$B$3&amp;$B$2)</f>
        <v>0</v>
      </c>
      <c r="BK12" s="2">
        <f>COUNTIF(defects!$V:$V,Weekly_All!BK$3&amp;Weekly_All!$B12&amp;Weekly_All!$B$3&amp;$B$2)</f>
        <v>0</v>
      </c>
      <c r="BL12" s="2">
        <f>COUNTIF(defects!$V:$V,Weekly_All!BL$3&amp;Weekly_All!$B12&amp;Weekly_All!$B$3&amp;$B$2)</f>
        <v>0</v>
      </c>
      <c r="BM12" s="2">
        <f>COUNTIF(defects!$V:$V,Weekly_All!BM$3&amp;Weekly_All!$B12&amp;Weekly_All!$B$3&amp;$B$2)</f>
        <v>0</v>
      </c>
      <c r="BN12" s="2">
        <f>COUNTIF(defects!$V:$V,Weekly_All!BN$3&amp;Weekly_All!$B12&amp;Weekly_All!$B$3&amp;$B$2)</f>
        <v>0</v>
      </c>
      <c r="BO12" s="2">
        <f>COUNTIF(defects!$V:$V,Weekly_All!BO$3&amp;Weekly_All!$B12&amp;Weekly_All!$B$3&amp;$B$2)</f>
        <v>0</v>
      </c>
      <c r="BP12" s="2">
        <f>COUNTIF(defects!$V:$V,Weekly_All!BP$3&amp;Weekly_All!$B12&amp;Weekly_All!$B$3&amp;$B$2)</f>
        <v>0</v>
      </c>
      <c r="BQ12" s="2">
        <f>COUNTIF(defects!$V:$V,Weekly_All!BQ$3&amp;Weekly_All!$B12&amp;Weekly_All!$B$3&amp;$B$2)</f>
        <v>0</v>
      </c>
      <c r="BR12" s="2">
        <f>COUNTIF(defects!$V:$V,Weekly_All!BR$3&amp;Weekly_All!$B12&amp;Weekly_All!$B$3&amp;$B$2)</f>
        <v>0</v>
      </c>
      <c r="BS12" s="2">
        <f>COUNTIF(defects!$V:$V,Weekly_All!BS$3&amp;Weekly_All!$B12&amp;Weekly_All!$B$3&amp;$B$2)</f>
        <v>0</v>
      </c>
      <c r="BT12" s="2">
        <f>COUNTIF(defects!$V:$V,Weekly_All!BT$3&amp;Weekly_All!$B12&amp;Weekly_All!$B$3&amp;$B$2)</f>
        <v>0</v>
      </c>
      <c r="BU12" s="2">
        <f>COUNTIF(defects!$V:$V,Weekly_All!BU$3&amp;Weekly_All!$B12&amp;Weekly_All!$B$3&amp;$B$2)</f>
        <v>0</v>
      </c>
      <c r="BV12" s="2">
        <f>COUNTIF(defects!$V:$V,Weekly_All!BV$3&amp;Weekly_All!$B12&amp;Weekly_All!$B$3&amp;$B$2)</f>
        <v>0</v>
      </c>
      <c r="BW12" s="2">
        <f>COUNTIF(defects!$V:$V,Weekly_All!BW$3&amp;Weekly_All!$B12&amp;Weekly_All!$B$3&amp;$B$2)</f>
        <v>0</v>
      </c>
      <c r="BX12" s="2">
        <f>COUNTIF(defects!$V:$V,Weekly_All!BX$3&amp;Weekly_All!$B12&amp;Weekly_All!$B$3&amp;$B$2)</f>
        <v>0</v>
      </c>
      <c r="BY12" s="2">
        <f>COUNTIF(defects!$V:$V,Weekly_All!BY$3&amp;Weekly_All!$B12&amp;Weekly_All!$B$3&amp;$B$2)</f>
        <v>0</v>
      </c>
      <c r="BZ12" s="2">
        <f>COUNTIF(defects!$V:$V,Weekly_All!BZ$3&amp;Weekly_All!$B12&amp;Weekly_All!$B$3&amp;$B$2)</f>
        <v>0</v>
      </c>
      <c r="CA12" s="2">
        <f>COUNTIF(defects!$V:$V,Weekly_All!CA$3&amp;Weekly_All!$B12&amp;Weekly_All!$B$3&amp;$B$2)</f>
        <v>0</v>
      </c>
      <c r="CB12" s="2">
        <f>COUNTIF(defects!$V:$V,Weekly_All!CB$3&amp;Weekly_All!$B12&amp;Weekly_All!$B$3&amp;$B$2)</f>
        <v>0</v>
      </c>
      <c r="CC12" s="2">
        <f>COUNTIF(defects!$V:$V,Weekly_All!CC$3&amp;Weekly_All!$B12&amp;Weekly_All!$B$3&amp;$B$2)</f>
        <v>0</v>
      </c>
      <c r="CD12" s="2">
        <f>COUNTIF(defects!$V:$V,Weekly_All!CD$3&amp;Weekly_All!$B12&amp;Weekly_All!$B$3&amp;$B$2)</f>
        <v>0</v>
      </c>
      <c r="CE12" s="2">
        <f>COUNTIF(defects!$V:$V,Weekly_All!CE$3&amp;Weekly_All!$B12&amp;Weekly_All!$B$3&amp;$B$2)</f>
        <v>0</v>
      </c>
      <c r="CF12" s="2">
        <f>COUNTIF(defects!$V:$V,Weekly_All!CF$3&amp;Weekly_All!$B12&amp;Weekly_All!$B$3&amp;$B$2)</f>
        <v>0</v>
      </c>
      <c r="CG12" s="2">
        <f>COUNTIF(defects!$V:$V,Weekly_All!CG$3&amp;Weekly_All!$B12&amp;Weekly_All!$B$3&amp;$B$2)</f>
        <v>0</v>
      </c>
      <c r="CH12" s="2">
        <f>COUNTIF(defects!$V:$V,Weekly_All!CH$3&amp;Weekly_All!$B12&amp;Weekly_All!$B$3&amp;$B$2)</f>
        <v>0</v>
      </c>
      <c r="CI12" s="2">
        <f>COUNTIF(defects!$V:$V,Weekly_All!CI$3&amp;Weekly_All!$B12&amp;Weekly_All!$B$3&amp;$B$2)</f>
        <v>0</v>
      </c>
      <c r="CJ12" s="2">
        <f>COUNTIF(defects!$V:$V,Weekly_All!CJ$3&amp;Weekly_All!$B12&amp;Weekly_All!$B$3&amp;$B$2)</f>
        <v>0</v>
      </c>
      <c r="CK12" s="2">
        <f>COUNTIF(defects!$V:$V,Weekly_All!CK$3&amp;Weekly_All!$B12&amp;Weekly_All!$B$3&amp;$B$2)</f>
        <v>0</v>
      </c>
      <c r="CL12" s="2">
        <f>COUNTIF(defects!$V:$V,Weekly_All!CL$3&amp;Weekly_All!$B12&amp;Weekly_All!$B$3&amp;$B$2)</f>
        <v>0</v>
      </c>
      <c r="CM12" s="2">
        <f>COUNTIF(defects!$V:$V,Weekly_All!CM$3&amp;Weekly_All!$B12&amp;Weekly_All!$B$3&amp;$B$2)</f>
        <v>0</v>
      </c>
      <c r="CN12" s="2">
        <f>COUNTIF(defects!$V:$V,Weekly_All!CN$3&amp;Weekly_All!$B12&amp;Weekly_All!$B$3&amp;$B$2)</f>
        <v>0</v>
      </c>
      <c r="CO12" s="2">
        <f>COUNTIF(defects!$V:$V,Weekly_All!CO$3&amp;Weekly_All!$B12&amp;Weekly_All!$B$3&amp;$B$2)</f>
        <v>0</v>
      </c>
      <c r="CP12" s="2">
        <f>COUNTIF(defects!$V:$V,Weekly_All!CP$3&amp;Weekly_All!$B12&amp;Weekly_All!$B$3&amp;$B$2)</f>
        <v>0</v>
      </c>
      <c r="CQ12" s="2">
        <f>COUNTIF(defects!$V:$V,Weekly_All!CQ$3&amp;Weekly_All!$B12&amp;Weekly_All!$B$3&amp;$B$2)</f>
        <v>0</v>
      </c>
      <c r="CR12" s="2">
        <f>COUNTIF(defects!$V:$V,Weekly_All!CR$3&amp;Weekly_All!$B12&amp;Weekly_All!$B$3&amp;$B$2)</f>
        <v>0</v>
      </c>
      <c r="CS12" s="2">
        <f>COUNTIF(defects!$V:$V,Weekly_All!CS$3&amp;Weekly_All!$B12&amp;Weekly_All!$B$3&amp;$B$2)</f>
        <v>0</v>
      </c>
      <c r="CT12" s="2">
        <f>COUNTIF(defects!$V:$V,Weekly_All!CT$3&amp;Weekly_All!$B12&amp;Weekly_All!$B$3&amp;$B$2)</f>
        <v>0</v>
      </c>
      <c r="CU12" s="2">
        <f>COUNTIF(defects!$V:$V,Weekly_All!CU$3&amp;Weekly_All!$B12&amp;Weekly_All!$B$3&amp;$B$2)</f>
        <v>0</v>
      </c>
      <c r="CV12" s="2">
        <f>COUNTIF(defects!$V:$V,Weekly_All!CV$3&amp;Weekly_All!$B12&amp;Weekly_All!$B$3&amp;$B$2)</f>
        <v>0</v>
      </c>
      <c r="CW12" s="2">
        <f>COUNTIF(defects!$V:$V,Weekly_All!CW$3&amp;Weekly_All!$B12&amp;Weekly_All!$B$3&amp;$B$2)</f>
        <v>0</v>
      </c>
      <c r="CX12" s="2">
        <f>COUNTIF(defects!$V:$V,Weekly_All!CX$3&amp;Weekly_All!$B12&amp;Weekly_All!$B$3&amp;$B$2)</f>
        <v>0</v>
      </c>
      <c r="CY12" s="2">
        <f>COUNTIF(defects!$V:$V,Weekly_All!CY$3&amp;Weekly_All!$B12&amp;Weekly_All!$B$3&amp;$B$2)</f>
        <v>0</v>
      </c>
      <c r="CZ12" s="2">
        <f>COUNTIF(defects!$V:$V,Weekly_All!CZ$3&amp;Weekly_All!$B12&amp;Weekly_All!$B$3&amp;$B$2)</f>
        <v>0</v>
      </c>
      <c r="DA12" s="2">
        <f>COUNTIF(defects!$V:$V,Weekly_All!DA$3&amp;Weekly_All!$B12&amp;Weekly_All!$B$3&amp;$B$2)</f>
        <v>0</v>
      </c>
      <c r="DB12" s="2">
        <f>COUNTIF(defects!$V:$V,Weekly_All!DB$3&amp;Weekly_All!$B12&amp;Weekly_All!$B$3&amp;$B$2)</f>
        <v>0</v>
      </c>
      <c r="DC12" s="2">
        <f>COUNTIF(defects!$V:$V,Weekly_All!DC$3&amp;Weekly_All!$B12&amp;Weekly_All!$B$3&amp;$B$2)</f>
        <v>0</v>
      </c>
      <c r="DD12" s="2">
        <f>COUNTIF(defects!$V:$V,Weekly_All!DD$3&amp;Weekly_All!$B12&amp;Weekly_All!$B$3&amp;$B$2)</f>
        <v>0</v>
      </c>
      <c r="DE12" s="2">
        <f>COUNTIF(defects!$V:$V,Weekly_All!DE$3&amp;Weekly_All!$B12&amp;Weekly_All!$B$3&amp;$B$2)</f>
        <v>0</v>
      </c>
      <c r="DF12" s="2">
        <f>COUNTIF(defects!$V:$V,Weekly_All!DF$3&amp;Weekly_All!$B12&amp;Weekly_All!$B$3&amp;$B$2)</f>
        <v>0</v>
      </c>
      <c r="DG12" s="2">
        <f>COUNTIF(defects!$V:$V,Weekly_All!DG$3&amp;Weekly_All!$B12&amp;Weekly_All!$B$3&amp;$B$2)</f>
        <v>0</v>
      </c>
      <c r="DH12" s="2">
        <f>COUNTIF(defects!$V:$V,Weekly_All!DH$3&amp;Weekly_All!$B12&amp;Weekly_All!$B$3&amp;$B$2)</f>
        <v>0</v>
      </c>
      <c r="DI12" s="2">
        <f>COUNTIF(defects!$V:$V,Weekly_All!DI$3&amp;Weekly_All!$B12&amp;Weekly_All!$B$3&amp;$B$2)</f>
        <v>0</v>
      </c>
      <c r="DJ12" s="2">
        <f>COUNTIF(defects!$V:$V,Weekly_All!DJ$3&amp;Weekly_All!$B12&amp;Weekly_All!$B$3&amp;$B$2)</f>
        <v>0</v>
      </c>
      <c r="DK12" s="2">
        <f>COUNTIF(defects!$V:$V,Weekly_All!DK$3&amp;Weekly_All!$B12&amp;Weekly_All!$B$3&amp;$B$2)</f>
        <v>0</v>
      </c>
      <c r="DL12" s="2">
        <f>COUNTIF(defects!$V:$V,Weekly_All!DL$3&amp;Weekly_All!$B12&amp;Weekly_All!$B$3&amp;$B$2)</f>
        <v>0</v>
      </c>
      <c r="DM12" s="2">
        <f>COUNTIF(defects!$V:$V,Weekly_All!DM$3&amp;Weekly_All!$B12&amp;Weekly_All!$B$3&amp;$B$2)</f>
        <v>0</v>
      </c>
      <c r="DN12" s="2">
        <f>COUNTIF(defects!$V:$V,Weekly_All!DN$3&amp;Weekly_All!$B12&amp;Weekly_All!$B$3&amp;$B$2)</f>
        <v>0</v>
      </c>
      <c r="DO12" s="2">
        <f>COUNTIF(defects!$V:$V,Weekly_All!DO$3&amp;Weekly_All!$B12&amp;Weekly_All!$B$3&amp;$B$2)</f>
        <v>0</v>
      </c>
      <c r="DP12" s="2">
        <f>COUNTIF(defects!$V:$V,Weekly_All!DP$3&amp;Weekly_All!$B12&amp;Weekly_All!$B$3&amp;$B$2)</f>
        <v>0</v>
      </c>
      <c r="DQ12" s="2">
        <f>COUNTIF(defects!$V:$V,Weekly_All!DQ$3&amp;Weekly_All!$B12&amp;Weekly_All!$B$3&amp;$B$2)</f>
        <v>0</v>
      </c>
      <c r="DR12" s="2">
        <f>COUNTIF(defects!$V:$V,Weekly_All!DR$3&amp;Weekly_All!$B12&amp;Weekly_All!$B$3&amp;$B$2)</f>
        <v>0</v>
      </c>
      <c r="DS12" s="2">
        <f>COUNTIF(defects!$V:$V,Weekly_All!DS$3&amp;Weekly_All!$B12&amp;Weekly_All!$B$3&amp;$B$2)</f>
        <v>0</v>
      </c>
      <c r="DT12" s="2">
        <f>COUNTIF(defects!$V:$V,Weekly_All!DT$3&amp;Weekly_All!$B12&amp;Weekly_All!$B$3&amp;$B$2)</f>
        <v>0</v>
      </c>
      <c r="DU12" s="2">
        <f>COUNTIF(defects!$V:$V,Weekly_All!DU$3&amp;Weekly_All!$B12&amp;Weekly_All!$B$3&amp;$B$2)</f>
        <v>0</v>
      </c>
      <c r="DV12" s="2">
        <f>COUNTIF(defects!$V:$V,Weekly_All!DV$3&amp;Weekly_All!$B12&amp;Weekly_All!$B$3&amp;$B$2)</f>
        <v>0</v>
      </c>
      <c r="DW12" s="2">
        <f>COUNTIF(defects!$V:$V,Weekly_All!DW$3&amp;Weekly_All!$B12&amp;Weekly_All!$B$3&amp;$B$2)</f>
        <v>0</v>
      </c>
      <c r="DX12" s="2">
        <f>COUNTIF(defects!$V:$V,Weekly_All!DX$3&amp;Weekly_All!$B12&amp;Weekly_All!$B$3&amp;$B$2)</f>
        <v>0</v>
      </c>
      <c r="DY12" s="2">
        <f>COUNTIF(defects!$V:$V,Weekly_All!DY$3&amp;Weekly_All!$B12&amp;Weekly_All!$B$3&amp;$B$2)</f>
        <v>0</v>
      </c>
      <c r="DZ12" s="2">
        <f>COUNTIF(defects!$V:$V,Weekly_All!DZ$3&amp;Weekly_All!$B12&amp;Weekly_All!$B$3&amp;$B$2)</f>
        <v>0</v>
      </c>
      <c r="EA12" s="2">
        <f>COUNTIF(defects!$V:$V,Weekly_All!EA$3&amp;Weekly_All!$B12&amp;Weekly_All!$B$3&amp;$B$2)</f>
        <v>0</v>
      </c>
      <c r="EB12" s="2">
        <f>COUNTIF(defects!$V:$V,Weekly_All!EB$3&amp;Weekly_All!$B12&amp;Weekly_All!$B$3&amp;$B$2)</f>
        <v>0</v>
      </c>
      <c r="EC12" s="2">
        <f>COUNTIF(defects!$V:$V,Weekly_All!EC$3&amp;Weekly_All!$B12&amp;Weekly_All!$B$3&amp;$B$2)</f>
        <v>0</v>
      </c>
      <c r="ED12" s="2">
        <f>COUNTIF(defects!$V:$V,Weekly_All!ED$3&amp;Weekly_All!$B12&amp;Weekly_All!$B$3&amp;$B$2)</f>
        <v>0</v>
      </c>
      <c r="EE12" s="2">
        <f>COUNTIF(defects!$V:$V,Weekly_All!EE$3&amp;Weekly_All!$B12&amp;Weekly_All!$B$3&amp;$B$2)</f>
        <v>0</v>
      </c>
      <c r="EF12" s="2">
        <f>COUNTIF(defects!$V:$V,Weekly_All!EF$3&amp;Weekly_All!$B12&amp;Weekly_All!$B$3&amp;$B$2)</f>
        <v>0</v>
      </c>
      <c r="EG12" s="2">
        <f>COUNTIF(defects!$V:$V,Weekly_All!EG$3&amp;Weekly_All!$B12&amp;Weekly_All!$B$3&amp;$B$2)</f>
        <v>0</v>
      </c>
      <c r="EH12" s="2">
        <f>COUNTIF(defects!$V:$V,Weekly_All!EH$3&amp;Weekly_All!$B12&amp;Weekly_All!$B$3&amp;$B$2)</f>
        <v>0</v>
      </c>
      <c r="EI12" s="2">
        <f>COUNTIF(defects!$V:$V,Weekly_All!EI$3&amp;Weekly_All!$B12&amp;Weekly_All!$B$3&amp;$B$2)</f>
        <v>0</v>
      </c>
      <c r="EJ12" s="2">
        <f>COUNTIF(defects!$V:$V,Weekly_All!EJ$3&amp;Weekly_All!$B12&amp;Weekly_All!$B$3&amp;$B$2)</f>
        <v>0</v>
      </c>
      <c r="EK12" s="2">
        <f>COUNTIF(defects!$V:$V,Weekly_All!EK$3&amp;Weekly_All!$B12&amp;Weekly_All!$B$3&amp;$B$2)</f>
        <v>0</v>
      </c>
      <c r="EL12" s="2">
        <f>COUNTIF(defects!$V:$V,Weekly_All!EL$3&amp;Weekly_All!$B12&amp;Weekly_All!$B$3&amp;$B$2)</f>
        <v>0</v>
      </c>
      <c r="EM12" s="2">
        <f>COUNTIF(defects!$V:$V,Weekly_All!EM$3&amp;Weekly_All!$B12&amp;Weekly_All!$B$3&amp;$B$2)</f>
        <v>0</v>
      </c>
      <c r="EN12" s="2">
        <f>COUNTIF(defects!$V:$V,Weekly_All!EN$3&amp;Weekly_All!$B12&amp;Weekly_All!$B$3&amp;$B$2)</f>
        <v>0</v>
      </c>
      <c r="EO12" s="2">
        <f>COUNTIF(defects!$V:$V,Weekly_All!EO$3&amp;Weekly_All!$B12&amp;Weekly_All!$B$3&amp;$B$2)</f>
        <v>0</v>
      </c>
      <c r="EP12" s="2">
        <f>COUNTIF(defects!$V:$V,Weekly_All!EP$3&amp;Weekly_All!$B12&amp;Weekly_All!$B$3&amp;$B$2)</f>
        <v>0</v>
      </c>
      <c r="EQ12" s="2">
        <f>COUNTIF(defects!$V:$V,Weekly_All!EQ$3&amp;Weekly_All!$B12&amp;Weekly_All!$B$3&amp;$B$2)</f>
        <v>0</v>
      </c>
      <c r="ER12" s="2">
        <f>COUNTIF(defects!$V:$V,Weekly_All!ER$3&amp;Weekly_All!$B12&amp;Weekly_All!$B$3&amp;$B$2)</f>
        <v>0</v>
      </c>
      <c r="ES12" s="2">
        <f>COUNTIF(defects!$V:$V,Weekly_All!ES$3&amp;Weekly_All!$B12&amp;Weekly_All!$B$3&amp;$B$2)</f>
        <v>0</v>
      </c>
      <c r="ET12" s="2">
        <f>COUNTIF(defects!$V:$V,Weekly_All!ET$3&amp;Weekly_All!$B12&amp;Weekly_All!$B$3&amp;$B$2)</f>
        <v>0</v>
      </c>
      <c r="EU12" s="2">
        <f>COUNTIF(defects!$V:$V,Weekly_All!EU$3&amp;Weekly_All!$B12&amp;Weekly_All!$B$3&amp;$B$2)</f>
        <v>0</v>
      </c>
      <c r="EV12" s="2">
        <f>COUNTIF(defects!$V:$V,Weekly_All!EV$3&amp;Weekly_All!$B12&amp;Weekly_All!$B$3&amp;$B$2)</f>
        <v>0</v>
      </c>
      <c r="EW12" s="2">
        <f>COUNTIF(defects!$V:$V,Weekly_All!EW$3&amp;Weekly_All!$B12&amp;Weekly_All!$B$3&amp;$B$2)</f>
        <v>0</v>
      </c>
      <c r="EX12" s="2">
        <f>COUNTIF(defects!$V:$V,Weekly_All!EX$3&amp;Weekly_All!$B12&amp;Weekly_All!$B$3&amp;$B$2)</f>
        <v>0</v>
      </c>
      <c r="EY12" s="2">
        <f>COUNTIF(defects!$V:$V,Weekly_All!EY$3&amp;Weekly_All!$B12&amp;Weekly_All!$B$3&amp;$B$2)</f>
        <v>0</v>
      </c>
      <c r="EZ12" s="2">
        <f>COUNTIF(defects!$V:$V,Weekly_All!EZ$3&amp;Weekly_All!$B12&amp;Weekly_All!$B$3&amp;$B$2)</f>
        <v>0</v>
      </c>
      <c r="FA12" s="2">
        <f>COUNTIF(defects!$V:$V,Weekly_All!FA$3&amp;Weekly_All!$B12&amp;Weekly_All!$B$3&amp;$B$2)</f>
        <v>0</v>
      </c>
      <c r="FB12" s="2">
        <f>COUNTIF(defects!$V:$V,Weekly_All!FB$3&amp;Weekly_All!$B12&amp;Weekly_All!$B$3&amp;$B$2)</f>
        <v>0</v>
      </c>
      <c r="FC12" s="2">
        <f>COUNTIF(defects!$V:$V,Weekly_All!FC$3&amp;Weekly_All!$B12&amp;Weekly_All!$B$3&amp;$B$2)</f>
        <v>0</v>
      </c>
      <c r="FD12" s="2">
        <f>COUNTIF(defects!$V:$V,Weekly_All!FD$3&amp;Weekly_All!$B12&amp;Weekly_All!$B$3&amp;$B$2)</f>
        <v>0</v>
      </c>
      <c r="FE12" s="2">
        <f>COUNTIF(defects!$V:$V,Weekly_All!FE$3&amp;Weekly_All!$B12&amp;Weekly_All!$B$3&amp;$B$2)</f>
        <v>0</v>
      </c>
    </row>
    <row r="13" spans="2:161">
      <c r="B13" s="2" t="s">
        <v>950</v>
      </c>
      <c r="C13" s="2">
        <f>COUNTIF(defects!$V:$V,Weekly_All!C$3&amp;Weekly_All!$B13&amp;Weekly_All!$B$3&amp;$B$2)</f>
        <v>0</v>
      </c>
      <c r="D13" s="2">
        <f>COUNTIF(defects!$V:$V,Weekly_All!D$3&amp;Weekly_All!$B13&amp;Weekly_All!$B$3&amp;$B$2)</f>
        <v>0</v>
      </c>
      <c r="E13" s="2">
        <f>COUNTIF(defects!$V:$V,Weekly_All!E$3&amp;Weekly_All!$B13&amp;Weekly_All!$B$3&amp;$B$2)</f>
        <v>0</v>
      </c>
      <c r="F13" s="2">
        <f>COUNTIF(defects!$V:$V,Weekly_All!F$3&amp;Weekly_All!$B13&amp;Weekly_All!$B$3&amp;$B$2)</f>
        <v>0</v>
      </c>
      <c r="G13" s="2">
        <f>COUNTIF(defects!$V:$V,Weekly_All!G$3&amp;Weekly_All!$B13&amp;Weekly_All!$B$3&amp;$B$2)</f>
        <v>0</v>
      </c>
      <c r="H13" s="2">
        <f>COUNTIF(defects!$V:$V,Weekly_All!H$3&amp;Weekly_All!$B13&amp;Weekly_All!$B$3&amp;$B$2)</f>
        <v>0</v>
      </c>
      <c r="I13" s="2">
        <f>COUNTIF(defects!$V:$V,Weekly_All!I$3&amp;Weekly_All!$B13&amp;Weekly_All!$B$3&amp;$B$2)</f>
        <v>0</v>
      </c>
      <c r="J13" s="2">
        <f>COUNTIF(defects!$V:$V,Weekly_All!J$3&amp;Weekly_All!$B13&amp;Weekly_All!$B$3&amp;$B$2)</f>
        <v>0</v>
      </c>
      <c r="K13" s="2">
        <f>COUNTIF(defects!$V:$V,Weekly_All!K$3&amp;Weekly_All!$B13&amp;Weekly_All!$B$3&amp;$B$2)</f>
        <v>0</v>
      </c>
      <c r="L13" s="2">
        <f>COUNTIF(defects!$V:$V,Weekly_All!L$3&amp;Weekly_All!$B13&amp;Weekly_All!$B$3&amp;$B$2)</f>
        <v>0</v>
      </c>
      <c r="M13" s="2">
        <f>COUNTIF(defects!$V:$V,Weekly_All!M$3&amp;Weekly_All!$B13&amp;Weekly_All!$B$3&amp;$B$2)</f>
        <v>0</v>
      </c>
      <c r="N13" s="2">
        <f>COUNTIF(defects!$V:$V,Weekly_All!N$3&amp;Weekly_All!$B13&amp;Weekly_All!$B$3&amp;$B$2)</f>
        <v>0</v>
      </c>
      <c r="O13" s="2">
        <f>COUNTIF(defects!$V:$V,Weekly_All!O$3&amp;Weekly_All!$B13&amp;Weekly_All!$B$3&amp;$B$2)</f>
        <v>0</v>
      </c>
      <c r="P13" s="2">
        <f>COUNTIF(defects!$V:$V,Weekly_All!P$3&amp;Weekly_All!$B13&amp;Weekly_All!$B$3&amp;$B$2)</f>
        <v>0</v>
      </c>
      <c r="Q13" s="2">
        <f>COUNTIF(defects!$V:$V,Weekly_All!Q$3&amp;Weekly_All!$B13&amp;Weekly_All!$B$3&amp;$B$2)</f>
        <v>0</v>
      </c>
      <c r="R13" s="2">
        <f>COUNTIF(defects!$V:$V,Weekly_All!R$3&amp;Weekly_All!$B13&amp;Weekly_All!$B$3&amp;$B$2)</f>
        <v>0</v>
      </c>
      <c r="S13" s="2">
        <f>COUNTIF(defects!$V:$V,Weekly_All!S$3&amp;Weekly_All!$B13&amp;Weekly_All!$B$3&amp;$B$2)</f>
        <v>0</v>
      </c>
      <c r="T13" s="2">
        <f>COUNTIF(defects!$V:$V,Weekly_All!T$3&amp;Weekly_All!$B13&amp;Weekly_All!$B$3&amp;$B$2)</f>
        <v>0</v>
      </c>
      <c r="U13" s="2">
        <f>COUNTIF(defects!$V:$V,Weekly_All!U$3&amp;Weekly_All!$B13&amp;Weekly_All!$B$3&amp;$B$2)</f>
        <v>0</v>
      </c>
      <c r="V13" s="2">
        <f>COUNTIF(defects!$V:$V,Weekly_All!V$3&amp;Weekly_All!$B13&amp;Weekly_All!$B$3&amp;$B$2)</f>
        <v>0</v>
      </c>
      <c r="W13" s="2">
        <f>COUNTIF(defects!$V:$V,Weekly_All!W$3&amp;Weekly_All!$B13&amp;Weekly_All!$B$3&amp;$B$2)</f>
        <v>0</v>
      </c>
      <c r="X13" s="2">
        <f>COUNTIF(defects!$V:$V,Weekly_All!X$3&amp;Weekly_All!$B13&amp;Weekly_All!$B$3&amp;$B$2)</f>
        <v>0</v>
      </c>
      <c r="Y13" s="2">
        <f>COUNTIF(defects!$V:$V,Weekly_All!Y$3&amp;Weekly_All!$B13&amp;Weekly_All!$B$3&amp;$B$2)</f>
        <v>0</v>
      </c>
      <c r="Z13" s="2">
        <f>COUNTIF(defects!$V:$V,Weekly_All!Z$3&amp;Weekly_All!$B13&amp;Weekly_All!$B$3&amp;$B$2)</f>
        <v>0</v>
      </c>
      <c r="AA13" s="2">
        <f>COUNTIF(defects!$V:$V,Weekly_All!AA$3&amp;Weekly_All!$B13&amp;Weekly_All!$B$3&amp;$B$2)</f>
        <v>0</v>
      </c>
      <c r="AB13" s="2">
        <f>COUNTIF(defects!$V:$V,Weekly_All!AB$3&amp;Weekly_All!$B13&amp;Weekly_All!$B$3&amp;$B$2)</f>
        <v>0</v>
      </c>
      <c r="AC13" s="2">
        <f>COUNTIF(defects!$V:$V,Weekly_All!AC$3&amp;Weekly_All!$B13&amp;Weekly_All!$B$3&amp;$B$2)</f>
        <v>0</v>
      </c>
      <c r="AD13" s="2">
        <f>COUNTIF(defects!$V:$V,Weekly_All!AD$3&amp;Weekly_All!$B13&amp;Weekly_All!$B$3&amp;$B$2)</f>
        <v>0</v>
      </c>
      <c r="AE13" s="2">
        <f>COUNTIF(defects!$V:$V,Weekly_All!AE$3&amp;Weekly_All!$B13&amp;Weekly_All!$B$3&amp;$B$2)</f>
        <v>0</v>
      </c>
      <c r="AF13" s="2">
        <f>COUNTIF(defects!$V:$V,Weekly_All!AF$3&amp;Weekly_All!$B13&amp;Weekly_All!$B$3&amp;$B$2)</f>
        <v>0</v>
      </c>
      <c r="AG13" s="2">
        <f>COUNTIF(defects!$V:$V,Weekly_All!AG$3&amp;Weekly_All!$B13&amp;Weekly_All!$B$3&amp;$B$2)</f>
        <v>0</v>
      </c>
      <c r="AH13" s="2">
        <f>COUNTIF(defects!$V:$V,Weekly_All!AH$3&amp;Weekly_All!$B13&amp;Weekly_All!$B$3&amp;$B$2)</f>
        <v>0</v>
      </c>
      <c r="AI13" s="2">
        <f>COUNTIF(defects!$V:$V,Weekly_All!AI$3&amp;Weekly_All!$B13&amp;Weekly_All!$B$3&amp;$B$2)</f>
        <v>0</v>
      </c>
      <c r="AJ13" s="2">
        <f>COUNTIF(defects!$V:$V,Weekly_All!AJ$3&amp;Weekly_All!$B13&amp;Weekly_All!$B$3&amp;$B$2)</f>
        <v>0</v>
      </c>
      <c r="AK13" s="2">
        <f>COUNTIF(defects!$V:$V,Weekly_All!AK$3&amp;Weekly_All!$B13&amp;Weekly_All!$B$3&amp;$B$2)</f>
        <v>0</v>
      </c>
      <c r="AL13" s="2">
        <f>COUNTIF(defects!$V:$V,Weekly_All!AL$3&amp;Weekly_All!$B13&amp;Weekly_All!$B$3&amp;$B$2)</f>
        <v>0</v>
      </c>
      <c r="AM13" s="2">
        <f>COUNTIF(defects!$V:$V,Weekly_All!AM$3&amp;Weekly_All!$B13&amp;Weekly_All!$B$3&amp;$B$2)</f>
        <v>0</v>
      </c>
      <c r="AN13" s="2">
        <f>COUNTIF(defects!$V:$V,Weekly_All!AN$3&amp;Weekly_All!$B13&amp;Weekly_All!$B$3&amp;$B$2)</f>
        <v>0</v>
      </c>
      <c r="AO13" s="2">
        <f>COUNTIF(defects!$V:$V,Weekly_All!AO$3&amp;Weekly_All!$B13&amp;Weekly_All!$B$3&amp;$B$2)</f>
        <v>0</v>
      </c>
      <c r="AP13" s="2">
        <f>COUNTIF(defects!$V:$V,Weekly_All!AP$3&amp;Weekly_All!$B13&amp;Weekly_All!$B$3&amp;$B$2)</f>
        <v>0</v>
      </c>
      <c r="AQ13" s="2">
        <f>COUNTIF(defects!$V:$V,Weekly_All!AQ$3&amp;Weekly_All!$B13&amp;Weekly_All!$B$3&amp;$B$2)</f>
        <v>0</v>
      </c>
      <c r="AR13" s="2">
        <f>COUNTIF(defects!$V:$V,Weekly_All!AR$3&amp;Weekly_All!$B13&amp;Weekly_All!$B$3&amp;$B$2)</f>
        <v>0</v>
      </c>
      <c r="AS13" s="2">
        <f>COUNTIF(defects!$V:$V,Weekly_All!AS$3&amp;Weekly_All!$B13&amp;Weekly_All!$B$3&amp;$B$2)</f>
        <v>0</v>
      </c>
      <c r="AT13" s="2">
        <f>COUNTIF(defects!$V:$V,Weekly_All!AT$3&amp;Weekly_All!$B13&amp;Weekly_All!$B$3&amp;$B$2)</f>
        <v>0</v>
      </c>
      <c r="AU13" s="2">
        <f>COUNTIF(defects!$V:$V,Weekly_All!AU$3&amp;Weekly_All!$B13&amp;Weekly_All!$B$3&amp;$B$2)</f>
        <v>0</v>
      </c>
      <c r="AV13" s="2">
        <f>COUNTIF(defects!$V:$V,Weekly_All!AV$3&amp;Weekly_All!$B13&amp;Weekly_All!$B$3&amp;$B$2)</f>
        <v>0</v>
      </c>
      <c r="AW13" s="2">
        <f>COUNTIF(defects!$V:$V,Weekly_All!AW$3&amp;Weekly_All!$B13&amp;Weekly_All!$B$3&amp;$B$2)</f>
        <v>0</v>
      </c>
      <c r="AX13" s="2">
        <f>COUNTIF(defects!$V:$V,Weekly_All!AX$3&amp;Weekly_All!$B13&amp;Weekly_All!$B$3&amp;$B$2)</f>
        <v>0</v>
      </c>
      <c r="AY13" s="2">
        <f>COUNTIF(defects!$V:$V,Weekly_All!AY$3&amp;Weekly_All!$B13&amp;Weekly_All!$B$3&amp;$B$2)</f>
        <v>0</v>
      </c>
      <c r="AZ13" s="2">
        <f>COUNTIF(defects!$V:$V,Weekly_All!AZ$3&amp;Weekly_All!$B13&amp;Weekly_All!$B$3&amp;$B$2)</f>
        <v>0</v>
      </c>
      <c r="BA13" s="2">
        <f>COUNTIF(defects!$V:$V,Weekly_All!BA$3&amp;Weekly_All!$B13&amp;Weekly_All!$B$3&amp;$B$2)</f>
        <v>0</v>
      </c>
      <c r="BB13" s="2">
        <f>COUNTIF(defects!$V:$V,Weekly_All!BB$3&amp;Weekly_All!$B13&amp;Weekly_All!$B$3&amp;$B$2)</f>
        <v>0</v>
      </c>
      <c r="BC13" s="2">
        <f>COUNTIF(defects!$V:$V,Weekly_All!BC$3&amp;Weekly_All!$B13&amp;Weekly_All!$B$3&amp;$B$2)</f>
        <v>0</v>
      </c>
      <c r="BD13" s="2">
        <f>COUNTIF(defects!$V:$V,Weekly_All!BD$3&amp;Weekly_All!$B13&amp;Weekly_All!$B$3&amp;$B$2)</f>
        <v>0</v>
      </c>
      <c r="BE13" s="2">
        <f>COUNTIF(defects!$V:$V,Weekly_All!BE$3&amp;Weekly_All!$B13&amp;Weekly_All!$B$3&amp;$B$2)</f>
        <v>0</v>
      </c>
      <c r="BF13" s="2">
        <f>COUNTIF(defects!$V:$V,Weekly_All!BF$3&amp;Weekly_All!$B13&amp;Weekly_All!$B$3&amp;$B$2)</f>
        <v>0</v>
      </c>
      <c r="BG13" s="2">
        <f>COUNTIF(defects!$V:$V,Weekly_All!BG$3&amp;Weekly_All!$B13&amp;Weekly_All!$B$3&amp;$B$2)</f>
        <v>0</v>
      </c>
      <c r="BH13" s="2">
        <f>COUNTIF(defects!$V:$V,Weekly_All!BH$3&amp;Weekly_All!$B13&amp;Weekly_All!$B$3&amp;$B$2)</f>
        <v>0</v>
      </c>
      <c r="BI13" s="2">
        <f>COUNTIF(defects!$V:$V,Weekly_All!BI$3&amp;Weekly_All!$B13&amp;Weekly_All!$B$3&amp;$B$2)</f>
        <v>0</v>
      </c>
      <c r="BJ13" s="2">
        <f>COUNTIF(defects!$V:$V,Weekly_All!BJ$3&amp;Weekly_All!$B13&amp;Weekly_All!$B$3&amp;$B$2)</f>
        <v>0</v>
      </c>
      <c r="BK13" s="2">
        <f>COUNTIF(defects!$V:$V,Weekly_All!BK$3&amp;Weekly_All!$B13&amp;Weekly_All!$B$3&amp;$B$2)</f>
        <v>0</v>
      </c>
      <c r="BL13" s="2">
        <f>COUNTIF(defects!$V:$V,Weekly_All!BL$3&amp;Weekly_All!$B13&amp;Weekly_All!$B$3&amp;$B$2)</f>
        <v>0</v>
      </c>
      <c r="BM13" s="2">
        <f>COUNTIF(defects!$V:$V,Weekly_All!BM$3&amp;Weekly_All!$B13&amp;Weekly_All!$B$3&amp;$B$2)</f>
        <v>0</v>
      </c>
      <c r="BN13" s="2">
        <f>COUNTIF(defects!$V:$V,Weekly_All!BN$3&amp;Weekly_All!$B13&amp;Weekly_All!$B$3&amp;$B$2)</f>
        <v>0</v>
      </c>
      <c r="BO13" s="2">
        <f>COUNTIF(defects!$V:$V,Weekly_All!BO$3&amp;Weekly_All!$B13&amp;Weekly_All!$B$3&amp;$B$2)</f>
        <v>0</v>
      </c>
      <c r="BP13" s="2">
        <f>COUNTIF(defects!$V:$V,Weekly_All!BP$3&amp;Weekly_All!$B13&amp;Weekly_All!$B$3&amp;$B$2)</f>
        <v>0</v>
      </c>
      <c r="BQ13" s="2">
        <f>COUNTIF(defects!$V:$V,Weekly_All!BQ$3&amp;Weekly_All!$B13&amp;Weekly_All!$B$3&amp;$B$2)</f>
        <v>1</v>
      </c>
      <c r="BR13" s="2">
        <f>COUNTIF(defects!$V:$V,Weekly_All!BR$3&amp;Weekly_All!$B13&amp;Weekly_All!$B$3&amp;$B$2)</f>
        <v>0</v>
      </c>
      <c r="BS13" s="2">
        <f>COUNTIF(defects!$V:$V,Weekly_All!BS$3&amp;Weekly_All!$B13&amp;Weekly_All!$B$3&amp;$B$2)</f>
        <v>0</v>
      </c>
      <c r="BT13" s="2">
        <f>COUNTIF(defects!$V:$V,Weekly_All!BT$3&amp;Weekly_All!$B13&amp;Weekly_All!$B$3&amp;$B$2)</f>
        <v>1</v>
      </c>
      <c r="BU13" s="2">
        <f>COUNTIF(defects!$V:$V,Weekly_All!BU$3&amp;Weekly_All!$B13&amp;Weekly_All!$B$3&amp;$B$2)</f>
        <v>1</v>
      </c>
      <c r="BV13" s="2">
        <f>COUNTIF(defects!$V:$V,Weekly_All!BV$3&amp;Weekly_All!$B13&amp;Weekly_All!$B$3&amp;$B$2)</f>
        <v>0</v>
      </c>
      <c r="BW13" s="2">
        <f>COUNTIF(defects!$V:$V,Weekly_All!BW$3&amp;Weekly_All!$B13&amp;Weekly_All!$B$3&amp;$B$2)</f>
        <v>1</v>
      </c>
      <c r="BX13" s="2">
        <f>COUNTIF(defects!$V:$V,Weekly_All!BX$3&amp;Weekly_All!$B13&amp;Weekly_All!$B$3&amp;$B$2)</f>
        <v>0</v>
      </c>
      <c r="BY13" s="2">
        <f>COUNTIF(defects!$V:$V,Weekly_All!BY$3&amp;Weekly_All!$B13&amp;Weekly_All!$B$3&amp;$B$2)</f>
        <v>3</v>
      </c>
      <c r="BZ13" s="2">
        <f>COUNTIF(defects!$V:$V,Weekly_All!BZ$3&amp;Weekly_All!$B13&amp;Weekly_All!$B$3&amp;$B$2)</f>
        <v>1</v>
      </c>
      <c r="CA13" s="2">
        <f>COUNTIF(defects!$V:$V,Weekly_All!CA$3&amp;Weekly_All!$B13&amp;Weekly_All!$B$3&amp;$B$2)</f>
        <v>0</v>
      </c>
      <c r="CB13" s="2">
        <f>COUNTIF(defects!$V:$V,Weekly_All!CB$3&amp;Weekly_All!$B13&amp;Weekly_All!$B$3&amp;$B$2)</f>
        <v>0</v>
      </c>
      <c r="CC13" s="2">
        <f>COUNTIF(defects!$V:$V,Weekly_All!CC$3&amp;Weekly_All!$B13&amp;Weekly_All!$B$3&amp;$B$2)</f>
        <v>1</v>
      </c>
      <c r="CD13" s="2">
        <f>COUNTIF(defects!$V:$V,Weekly_All!CD$3&amp;Weekly_All!$B13&amp;Weekly_All!$B$3&amp;$B$2)</f>
        <v>1</v>
      </c>
      <c r="CE13" s="2">
        <f>COUNTIF(defects!$V:$V,Weekly_All!CE$3&amp;Weekly_All!$B13&amp;Weekly_All!$B$3&amp;$B$2)</f>
        <v>0</v>
      </c>
      <c r="CF13" s="2">
        <f>COUNTIF(defects!$V:$V,Weekly_All!CF$3&amp;Weekly_All!$B13&amp;Weekly_All!$B$3&amp;$B$2)</f>
        <v>3</v>
      </c>
      <c r="CG13" s="2">
        <f>COUNTIF(defects!$V:$V,Weekly_All!CG$3&amp;Weekly_All!$B13&amp;Weekly_All!$B$3&amp;$B$2)</f>
        <v>3</v>
      </c>
      <c r="CH13" s="2">
        <f>COUNTIF(defects!$V:$V,Weekly_All!CH$3&amp;Weekly_All!$B13&amp;Weekly_All!$B$3&amp;$B$2)</f>
        <v>1</v>
      </c>
      <c r="CI13" s="2">
        <f>COUNTIF(defects!$V:$V,Weekly_All!CI$3&amp;Weekly_All!$B13&amp;Weekly_All!$B$3&amp;$B$2)</f>
        <v>0</v>
      </c>
      <c r="CJ13" s="2">
        <f>COUNTIF(defects!$V:$V,Weekly_All!CJ$3&amp;Weekly_All!$B13&amp;Weekly_All!$B$3&amp;$B$2)</f>
        <v>2</v>
      </c>
      <c r="CK13" s="2">
        <f>COUNTIF(defects!$V:$V,Weekly_All!CK$3&amp;Weekly_All!$B13&amp;Weekly_All!$B$3&amp;$B$2)</f>
        <v>4</v>
      </c>
      <c r="CL13" s="2">
        <f>COUNTIF(defects!$V:$V,Weekly_All!CL$3&amp;Weekly_All!$B13&amp;Weekly_All!$B$3&amp;$B$2)</f>
        <v>1</v>
      </c>
      <c r="CM13" s="2">
        <f>COUNTIF(defects!$V:$V,Weekly_All!CM$3&amp;Weekly_All!$B13&amp;Weekly_All!$B$3&amp;$B$2)</f>
        <v>2</v>
      </c>
      <c r="CN13" s="2">
        <f>COUNTIF(defects!$V:$V,Weekly_All!CN$3&amp;Weekly_All!$B13&amp;Weekly_All!$B$3&amp;$B$2)</f>
        <v>2</v>
      </c>
      <c r="CO13" s="2">
        <f>COUNTIF(defects!$V:$V,Weekly_All!CO$3&amp;Weekly_All!$B13&amp;Weekly_All!$B$3&amp;$B$2)</f>
        <v>0</v>
      </c>
      <c r="CP13" s="2">
        <f>COUNTIF(defects!$V:$V,Weekly_All!CP$3&amp;Weekly_All!$B13&amp;Weekly_All!$B$3&amp;$B$2)</f>
        <v>0</v>
      </c>
      <c r="CQ13" s="2">
        <f>COUNTIF(defects!$V:$V,Weekly_All!CQ$3&amp;Weekly_All!$B13&amp;Weekly_All!$B$3&amp;$B$2)</f>
        <v>1</v>
      </c>
      <c r="CR13" s="2">
        <f>COUNTIF(defects!$V:$V,Weekly_All!CR$3&amp;Weekly_All!$B13&amp;Weekly_All!$B$3&amp;$B$2)</f>
        <v>0</v>
      </c>
      <c r="CS13" s="2">
        <f>COUNTIF(defects!$V:$V,Weekly_All!CS$3&amp;Weekly_All!$B13&amp;Weekly_All!$B$3&amp;$B$2)</f>
        <v>0</v>
      </c>
      <c r="CT13" s="2">
        <f>COUNTIF(defects!$V:$V,Weekly_All!CT$3&amp;Weekly_All!$B13&amp;Weekly_All!$B$3&amp;$B$2)</f>
        <v>0</v>
      </c>
      <c r="CU13" s="2">
        <f>COUNTIF(defects!$V:$V,Weekly_All!CU$3&amp;Weekly_All!$B13&amp;Weekly_All!$B$3&amp;$B$2)</f>
        <v>0</v>
      </c>
      <c r="CV13" s="2">
        <f>COUNTIF(defects!$V:$V,Weekly_All!CV$3&amp;Weekly_All!$B13&amp;Weekly_All!$B$3&amp;$B$2)</f>
        <v>0</v>
      </c>
      <c r="CW13" s="2">
        <f>COUNTIF(defects!$V:$V,Weekly_All!CW$3&amp;Weekly_All!$B13&amp;Weekly_All!$B$3&amp;$B$2)</f>
        <v>1</v>
      </c>
      <c r="CX13" s="2">
        <f>COUNTIF(defects!$V:$V,Weekly_All!CX$3&amp;Weekly_All!$B13&amp;Weekly_All!$B$3&amp;$B$2)</f>
        <v>2</v>
      </c>
      <c r="CY13" s="2">
        <f>COUNTIF(defects!$V:$V,Weekly_All!CY$3&amp;Weekly_All!$B13&amp;Weekly_All!$B$3&amp;$B$2)</f>
        <v>2</v>
      </c>
      <c r="CZ13" s="2">
        <f>COUNTIF(defects!$V:$V,Weekly_All!CZ$3&amp;Weekly_All!$B13&amp;Weekly_All!$B$3&amp;$B$2)</f>
        <v>1</v>
      </c>
      <c r="DA13" s="2">
        <f>COUNTIF(defects!$V:$V,Weekly_All!DA$3&amp;Weekly_All!$B13&amp;Weekly_All!$B$3&amp;$B$2)</f>
        <v>1</v>
      </c>
      <c r="DB13" s="2">
        <f>COUNTIF(defects!$V:$V,Weekly_All!DB$3&amp;Weekly_All!$B13&amp;Weekly_All!$B$3&amp;$B$2)</f>
        <v>1</v>
      </c>
      <c r="DC13" s="2">
        <f>COUNTIF(defects!$V:$V,Weekly_All!DC$3&amp;Weekly_All!$B13&amp;Weekly_All!$B$3&amp;$B$2)</f>
        <v>0</v>
      </c>
      <c r="DD13" s="2">
        <f>COUNTIF(defects!$V:$V,Weekly_All!DD$3&amp;Weekly_All!$B13&amp;Weekly_All!$B$3&amp;$B$2)</f>
        <v>0</v>
      </c>
      <c r="DE13" s="2">
        <f>COUNTIF(defects!$V:$V,Weekly_All!DE$3&amp;Weekly_All!$B13&amp;Weekly_All!$B$3&amp;$B$2)</f>
        <v>0</v>
      </c>
      <c r="DF13" s="2">
        <f>COUNTIF(defects!$V:$V,Weekly_All!DF$3&amp;Weekly_All!$B13&amp;Weekly_All!$B$3&amp;$B$2)</f>
        <v>0</v>
      </c>
      <c r="DG13" s="2">
        <f>COUNTIF(defects!$V:$V,Weekly_All!DG$3&amp;Weekly_All!$B13&amp;Weekly_All!$B$3&amp;$B$2)</f>
        <v>0</v>
      </c>
      <c r="DH13" s="2">
        <f>COUNTIF(defects!$V:$V,Weekly_All!DH$3&amp;Weekly_All!$B13&amp;Weekly_All!$B$3&amp;$B$2)</f>
        <v>0</v>
      </c>
      <c r="DI13" s="2">
        <f>COUNTIF(defects!$V:$V,Weekly_All!DI$3&amp;Weekly_All!$B13&amp;Weekly_All!$B$3&amp;$B$2)</f>
        <v>0</v>
      </c>
      <c r="DJ13" s="2">
        <f>COUNTIF(defects!$V:$V,Weekly_All!DJ$3&amp;Weekly_All!$B13&amp;Weekly_All!$B$3&amp;$B$2)</f>
        <v>0</v>
      </c>
      <c r="DK13" s="2">
        <f>COUNTIF(defects!$V:$V,Weekly_All!DK$3&amp;Weekly_All!$B13&amp;Weekly_All!$B$3&amp;$B$2)</f>
        <v>0</v>
      </c>
      <c r="DL13" s="2">
        <f>COUNTIF(defects!$V:$V,Weekly_All!DL$3&amp;Weekly_All!$B13&amp;Weekly_All!$B$3&amp;$B$2)</f>
        <v>0</v>
      </c>
      <c r="DM13" s="2">
        <f>COUNTIF(defects!$V:$V,Weekly_All!DM$3&amp;Weekly_All!$B13&amp;Weekly_All!$B$3&amp;$B$2)</f>
        <v>0</v>
      </c>
      <c r="DN13" s="2">
        <f>COUNTIF(defects!$V:$V,Weekly_All!DN$3&amp;Weekly_All!$B13&amp;Weekly_All!$B$3&amp;$B$2)</f>
        <v>0</v>
      </c>
      <c r="DO13" s="2">
        <f>COUNTIF(defects!$V:$V,Weekly_All!DO$3&amp;Weekly_All!$B13&amp;Weekly_All!$B$3&amp;$B$2)</f>
        <v>0</v>
      </c>
      <c r="DP13" s="2">
        <f>COUNTIF(defects!$V:$V,Weekly_All!DP$3&amp;Weekly_All!$B13&amp;Weekly_All!$B$3&amp;$B$2)</f>
        <v>0</v>
      </c>
      <c r="DQ13" s="2">
        <f>COUNTIF(defects!$V:$V,Weekly_All!DQ$3&amp;Weekly_All!$B13&amp;Weekly_All!$B$3&amp;$B$2)</f>
        <v>0</v>
      </c>
      <c r="DR13" s="2">
        <f>COUNTIF(defects!$V:$V,Weekly_All!DR$3&amp;Weekly_All!$B13&amp;Weekly_All!$B$3&amp;$B$2)</f>
        <v>0</v>
      </c>
      <c r="DS13" s="2">
        <f>COUNTIF(defects!$V:$V,Weekly_All!DS$3&amp;Weekly_All!$B13&amp;Weekly_All!$B$3&amp;$B$2)</f>
        <v>0</v>
      </c>
      <c r="DT13" s="2">
        <f>COUNTIF(defects!$V:$V,Weekly_All!DT$3&amp;Weekly_All!$B13&amp;Weekly_All!$B$3&amp;$B$2)</f>
        <v>0</v>
      </c>
      <c r="DU13" s="2">
        <f>COUNTIF(defects!$V:$V,Weekly_All!DU$3&amp;Weekly_All!$B13&amp;Weekly_All!$B$3&amp;$B$2)</f>
        <v>0</v>
      </c>
      <c r="DV13" s="2">
        <f>COUNTIF(defects!$V:$V,Weekly_All!DV$3&amp;Weekly_All!$B13&amp;Weekly_All!$B$3&amp;$B$2)</f>
        <v>0</v>
      </c>
      <c r="DW13" s="2">
        <f>COUNTIF(defects!$V:$V,Weekly_All!DW$3&amp;Weekly_All!$B13&amp;Weekly_All!$B$3&amp;$B$2)</f>
        <v>0</v>
      </c>
      <c r="DX13" s="2">
        <f>COUNTIF(defects!$V:$V,Weekly_All!DX$3&amp;Weekly_All!$B13&amp;Weekly_All!$B$3&amp;$B$2)</f>
        <v>0</v>
      </c>
      <c r="DY13" s="2">
        <f>COUNTIF(defects!$V:$V,Weekly_All!DY$3&amp;Weekly_All!$B13&amp;Weekly_All!$B$3&amp;$B$2)</f>
        <v>0</v>
      </c>
      <c r="DZ13" s="2">
        <f>COUNTIF(defects!$V:$V,Weekly_All!DZ$3&amp;Weekly_All!$B13&amp;Weekly_All!$B$3&amp;$B$2)</f>
        <v>0</v>
      </c>
      <c r="EA13" s="2">
        <f>COUNTIF(defects!$V:$V,Weekly_All!EA$3&amp;Weekly_All!$B13&amp;Weekly_All!$B$3&amp;$B$2)</f>
        <v>0</v>
      </c>
      <c r="EB13" s="2">
        <f>COUNTIF(defects!$V:$V,Weekly_All!EB$3&amp;Weekly_All!$B13&amp;Weekly_All!$B$3&amp;$B$2)</f>
        <v>0</v>
      </c>
      <c r="EC13" s="2">
        <f>COUNTIF(defects!$V:$V,Weekly_All!EC$3&amp;Weekly_All!$B13&amp;Weekly_All!$B$3&amp;$B$2)</f>
        <v>0</v>
      </c>
      <c r="ED13" s="2">
        <f>COUNTIF(defects!$V:$V,Weekly_All!ED$3&amp;Weekly_All!$B13&amp;Weekly_All!$B$3&amp;$B$2)</f>
        <v>0</v>
      </c>
      <c r="EE13" s="2">
        <f>COUNTIF(defects!$V:$V,Weekly_All!EE$3&amp;Weekly_All!$B13&amp;Weekly_All!$B$3&amp;$B$2)</f>
        <v>0</v>
      </c>
      <c r="EF13" s="2">
        <f>COUNTIF(defects!$V:$V,Weekly_All!EF$3&amp;Weekly_All!$B13&amp;Weekly_All!$B$3&amp;$B$2)</f>
        <v>0</v>
      </c>
      <c r="EG13" s="2">
        <f>COUNTIF(defects!$V:$V,Weekly_All!EG$3&amp;Weekly_All!$B13&amp;Weekly_All!$B$3&amp;$B$2)</f>
        <v>0</v>
      </c>
      <c r="EH13" s="2">
        <f>COUNTIF(defects!$V:$V,Weekly_All!EH$3&amp;Weekly_All!$B13&amp;Weekly_All!$B$3&amp;$B$2)</f>
        <v>0</v>
      </c>
      <c r="EI13" s="2">
        <f>COUNTIF(defects!$V:$V,Weekly_All!EI$3&amp;Weekly_All!$B13&amp;Weekly_All!$B$3&amp;$B$2)</f>
        <v>0</v>
      </c>
      <c r="EJ13" s="2">
        <f>COUNTIF(defects!$V:$V,Weekly_All!EJ$3&amp;Weekly_All!$B13&amp;Weekly_All!$B$3&amp;$B$2)</f>
        <v>0</v>
      </c>
      <c r="EK13" s="2">
        <f>COUNTIF(defects!$V:$V,Weekly_All!EK$3&amp;Weekly_All!$B13&amp;Weekly_All!$B$3&amp;$B$2)</f>
        <v>0</v>
      </c>
      <c r="EL13" s="2">
        <f>COUNTIF(defects!$V:$V,Weekly_All!EL$3&amp;Weekly_All!$B13&amp;Weekly_All!$B$3&amp;$B$2)</f>
        <v>0</v>
      </c>
      <c r="EM13" s="2">
        <f>COUNTIF(defects!$V:$V,Weekly_All!EM$3&amp;Weekly_All!$B13&amp;Weekly_All!$B$3&amp;$B$2)</f>
        <v>0</v>
      </c>
      <c r="EN13" s="2">
        <f>COUNTIF(defects!$V:$V,Weekly_All!EN$3&amp;Weekly_All!$B13&amp;Weekly_All!$B$3&amp;$B$2)</f>
        <v>0</v>
      </c>
      <c r="EO13" s="2">
        <f>COUNTIF(defects!$V:$V,Weekly_All!EO$3&amp;Weekly_All!$B13&amp;Weekly_All!$B$3&amp;$B$2)</f>
        <v>0</v>
      </c>
      <c r="EP13" s="2">
        <f>COUNTIF(defects!$V:$V,Weekly_All!EP$3&amp;Weekly_All!$B13&amp;Weekly_All!$B$3&amp;$B$2)</f>
        <v>0</v>
      </c>
      <c r="EQ13" s="2">
        <f>COUNTIF(defects!$V:$V,Weekly_All!EQ$3&amp;Weekly_All!$B13&amp;Weekly_All!$B$3&amp;$B$2)</f>
        <v>0</v>
      </c>
      <c r="ER13" s="2">
        <f>COUNTIF(defects!$V:$V,Weekly_All!ER$3&amp;Weekly_All!$B13&amp;Weekly_All!$B$3&amp;$B$2)</f>
        <v>0</v>
      </c>
      <c r="ES13" s="2">
        <f>COUNTIF(defects!$V:$V,Weekly_All!ES$3&amp;Weekly_All!$B13&amp;Weekly_All!$B$3&amp;$B$2)</f>
        <v>0</v>
      </c>
      <c r="ET13" s="2">
        <f>COUNTIF(defects!$V:$V,Weekly_All!ET$3&amp;Weekly_All!$B13&amp;Weekly_All!$B$3&amp;$B$2)</f>
        <v>0</v>
      </c>
      <c r="EU13" s="2">
        <f>COUNTIF(defects!$V:$V,Weekly_All!EU$3&amp;Weekly_All!$B13&amp;Weekly_All!$B$3&amp;$B$2)</f>
        <v>0</v>
      </c>
      <c r="EV13" s="2">
        <f>COUNTIF(defects!$V:$V,Weekly_All!EV$3&amp;Weekly_All!$B13&amp;Weekly_All!$B$3&amp;$B$2)</f>
        <v>0</v>
      </c>
      <c r="EW13" s="2">
        <f>COUNTIF(defects!$V:$V,Weekly_All!EW$3&amp;Weekly_All!$B13&amp;Weekly_All!$B$3&amp;$B$2)</f>
        <v>0</v>
      </c>
      <c r="EX13" s="2">
        <f>COUNTIF(defects!$V:$V,Weekly_All!EX$3&amp;Weekly_All!$B13&amp;Weekly_All!$B$3&amp;$B$2)</f>
        <v>0</v>
      </c>
      <c r="EY13" s="2">
        <f>COUNTIF(defects!$V:$V,Weekly_All!EY$3&amp;Weekly_All!$B13&amp;Weekly_All!$B$3&amp;$B$2)</f>
        <v>0</v>
      </c>
      <c r="EZ13" s="2">
        <f>COUNTIF(defects!$V:$V,Weekly_All!EZ$3&amp;Weekly_All!$B13&amp;Weekly_All!$B$3&amp;$B$2)</f>
        <v>0</v>
      </c>
      <c r="FA13" s="2">
        <f>COUNTIF(defects!$V:$V,Weekly_All!FA$3&amp;Weekly_All!$B13&amp;Weekly_All!$B$3&amp;$B$2)</f>
        <v>0</v>
      </c>
      <c r="FB13" s="2">
        <f>COUNTIF(defects!$V:$V,Weekly_All!FB$3&amp;Weekly_All!$B13&amp;Weekly_All!$B$3&amp;$B$2)</f>
        <v>0</v>
      </c>
      <c r="FC13" s="2">
        <f>COUNTIF(defects!$V:$V,Weekly_All!FC$3&amp;Weekly_All!$B13&amp;Weekly_All!$B$3&amp;$B$2)</f>
        <v>0</v>
      </c>
      <c r="FD13" s="2">
        <f>COUNTIF(defects!$V:$V,Weekly_All!FD$3&amp;Weekly_All!$B13&amp;Weekly_All!$B$3&amp;$B$2)</f>
        <v>0</v>
      </c>
      <c r="FE13" s="2">
        <f>COUNTIF(defects!$V:$V,Weekly_All!FE$3&amp;Weekly_All!$B13&amp;Weekly_All!$B$3&amp;$B$2)</f>
        <v>0</v>
      </c>
    </row>
    <row r="14" spans="2:161">
      <c r="B14" s="2" t="s">
        <v>993</v>
      </c>
      <c r="C14" s="2">
        <f>COUNTIF(defects!$V:$V,Weekly_All!C$3&amp;Weekly_All!$B14&amp;Weekly_All!$B$3&amp;$B$2)</f>
        <v>0</v>
      </c>
      <c r="D14" s="2">
        <f>COUNTIF(defects!$V:$V,Weekly_All!D$3&amp;Weekly_All!$B14&amp;Weekly_All!$B$3&amp;$B$2)</f>
        <v>0</v>
      </c>
      <c r="E14" s="2">
        <f>COUNTIF(defects!$V:$V,Weekly_All!E$3&amp;Weekly_All!$B14&amp;Weekly_All!$B$3&amp;$B$2)</f>
        <v>0</v>
      </c>
      <c r="F14" s="2">
        <f>COUNTIF(defects!$V:$V,Weekly_All!F$3&amp;Weekly_All!$B14&amp;Weekly_All!$B$3&amp;$B$2)</f>
        <v>0</v>
      </c>
      <c r="G14" s="2">
        <f>COUNTIF(defects!$V:$V,Weekly_All!G$3&amp;Weekly_All!$B14&amp;Weekly_All!$B$3&amp;$B$2)</f>
        <v>0</v>
      </c>
      <c r="H14" s="2">
        <f>COUNTIF(defects!$V:$V,Weekly_All!H$3&amp;Weekly_All!$B14&amp;Weekly_All!$B$3&amp;$B$2)</f>
        <v>0</v>
      </c>
      <c r="I14" s="2">
        <f>COUNTIF(defects!$V:$V,Weekly_All!I$3&amp;Weekly_All!$B14&amp;Weekly_All!$B$3&amp;$B$2)</f>
        <v>0</v>
      </c>
      <c r="J14" s="2">
        <f>COUNTIF(defects!$V:$V,Weekly_All!J$3&amp;Weekly_All!$B14&amp;Weekly_All!$B$3&amp;$B$2)</f>
        <v>0</v>
      </c>
      <c r="K14" s="2">
        <f>COUNTIF(defects!$V:$V,Weekly_All!K$3&amp;Weekly_All!$B14&amp;Weekly_All!$B$3&amp;$B$2)</f>
        <v>0</v>
      </c>
      <c r="L14" s="2">
        <f>COUNTIF(defects!$V:$V,Weekly_All!L$3&amp;Weekly_All!$B14&amp;Weekly_All!$B$3&amp;$B$2)</f>
        <v>0</v>
      </c>
      <c r="M14" s="2">
        <f>COUNTIF(defects!$V:$V,Weekly_All!M$3&amp;Weekly_All!$B14&amp;Weekly_All!$B$3&amp;$B$2)</f>
        <v>0</v>
      </c>
      <c r="N14" s="2">
        <f>COUNTIF(defects!$V:$V,Weekly_All!N$3&amp;Weekly_All!$B14&amp;Weekly_All!$B$3&amp;$B$2)</f>
        <v>0</v>
      </c>
      <c r="O14" s="2">
        <f>COUNTIF(defects!$V:$V,Weekly_All!O$3&amp;Weekly_All!$B14&amp;Weekly_All!$B$3&amp;$B$2)</f>
        <v>0</v>
      </c>
      <c r="P14" s="2">
        <f>COUNTIF(defects!$V:$V,Weekly_All!P$3&amp;Weekly_All!$B14&amp;Weekly_All!$B$3&amp;$B$2)</f>
        <v>0</v>
      </c>
      <c r="Q14" s="2">
        <f>COUNTIF(defects!$V:$V,Weekly_All!Q$3&amp;Weekly_All!$B14&amp;Weekly_All!$B$3&amp;$B$2)</f>
        <v>0</v>
      </c>
      <c r="R14" s="2">
        <f>COUNTIF(defects!$V:$V,Weekly_All!R$3&amp;Weekly_All!$B14&amp;Weekly_All!$B$3&amp;$B$2)</f>
        <v>0</v>
      </c>
      <c r="S14" s="2">
        <f>COUNTIF(defects!$V:$V,Weekly_All!S$3&amp;Weekly_All!$B14&amp;Weekly_All!$B$3&amp;$B$2)</f>
        <v>0</v>
      </c>
      <c r="T14" s="2">
        <f>COUNTIF(defects!$V:$V,Weekly_All!T$3&amp;Weekly_All!$B14&amp;Weekly_All!$B$3&amp;$B$2)</f>
        <v>0</v>
      </c>
      <c r="U14" s="2">
        <f>COUNTIF(defects!$V:$V,Weekly_All!U$3&amp;Weekly_All!$B14&amp;Weekly_All!$B$3&amp;$B$2)</f>
        <v>0</v>
      </c>
      <c r="V14" s="2">
        <f>COUNTIF(defects!$V:$V,Weekly_All!V$3&amp;Weekly_All!$B14&amp;Weekly_All!$B$3&amp;$B$2)</f>
        <v>0</v>
      </c>
      <c r="W14" s="2">
        <f>COUNTIF(defects!$V:$V,Weekly_All!W$3&amp;Weekly_All!$B14&amp;Weekly_All!$B$3&amp;$B$2)</f>
        <v>0</v>
      </c>
      <c r="X14" s="2">
        <f>COUNTIF(defects!$V:$V,Weekly_All!X$3&amp;Weekly_All!$B14&amp;Weekly_All!$B$3&amp;$B$2)</f>
        <v>0</v>
      </c>
      <c r="Y14" s="2">
        <f>COUNTIF(defects!$V:$V,Weekly_All!Y$3&amp;Weekly_All!$B14&amp;Weekly_All!$B$3&amp;$B$2)</f>
        <v>0</v>
      </c>
      <c r="Z14" s="2">
        <f>COUNTIF(defects!$V:$V,Weekly_All!Z$3&amp;Weekly_All!$B14&amp;Weekly_All!$B$3&amp;$B$2)</f>
        <v>0</v>
      </c>
      <c r="AA14" s="2">
        <f>COUNTIF(defects!$V:$V,Weekly_All!AA$3&amp;Weekly_All!$B14&amp;Weekly_All!$B$3&amp;$B$2)</f>
        <v>0</v>
      </c>
      <c r="AB14" s="2">
        <f>COUNTIF(defects!$V:$V,Weekly_All!AB$3&amp;Weekly_All!$B14&amp;Weekly_All!$B$3&amp;$B$2)</f>
        <v>0</v>
      </c>
      <c r="AC14" s="2">
        <f>COUNTIF(defects!$V:$V,Weekly_All!AC$3&amp;Weekly_All!$B14&amp;Weekly_All!$B$3&amp;$B$2)</f>
        <v>0</v>
      </c>
      <c r="AD14" s="2">
        <f>COUNTIF(defects!$V:$V,Weekly_All!AD$3&amp;Weekly_All!$B14&amp;Weekly_All!$B$3&amp;$B$2)</f>
        <v>0</v>
      </c>
      <c r="AE14" s="2">
        <f>COUNTIF(defects!$V:$V,Weekly_All!AE$3&amp;Weekly_All!$B14&amp;Weekly_All!$B$3&amp;$B$2)</f>
        <v>0</v>
      </c>
      <c r="AF14" s="2">
        <f>COUNTIF(defects!$V:$V,Weekly_All!AF$3&amp;Weekly_All!$B14&amp;Weekly_All!$B$3&amp;$B$2)</f>
        <v>0</v>
      </c>
      <c r="AG14" s="2">
        <f>COUNTIF(defects!$V:$V,Weekly_All!AG$3&amp;Weekly_All!$B14&amp;Weekly_All!$B$3&amp;$B$2)</f>
        <v>0</v>
      </c>
      <c r="AH14" s="2">
        <f>COUNTIF(defects!$V:$V,Weekly_All!AH$3&amp;Weekly_All!$B14&amp;Weekly_All!$B$3&amp;$B$2)</f>
        <v>0</v>
      </c>
      <c r="AI14" s="2">
        <f>COUNTIF(defects!$V:$V,Weekly_All!AI$3&amp;Weekly_All!$B14&amp;Weekly_All!$B$3&amp;$B$2)</f>
        <v>0</v>
      </c>
      <c r="AJ14" s="2">
        <f>COUNTIF(defects!$V:$V,Weekly_All!AJ$3&amp;Weekly_All!$B14&amp;Weekly_All!$B$3&amp;$B$2)</f>
        <v>0</v>
      </c>
      <c r="AK14" s="2">
        <f>COUNTIF(defects!$V:$V,Weekly_All!AK$3&amp;Weekly_All!$B14&amp;Weekly_All!$B$3&amp;$B$2)</f>
        <v>0</v>
      </c>
      <c r="AL14" s="2">
        <f>COUNTIF(defects!$V:$V,Weekly_All!AL$3&amp;Weekly_All!$B14&amp;Weekly_All!$B$3&amp;$B$2)</f>
        <v>0</v>
      </c>
      <c r="AM14" s="2">
        <f>COUNTIF(defects!$V:$V,Weekly_All!AM$3&amp;Weekly_All!$B14&amp;Weekly_All!$B$3&amp;$B$2)</f>
        <v>0</v>
      </c>
      <c r="AN14" s="2">
        <f>COUNTIF(defects!$V:$V,Weekly_All!AN$3&amp;Weekly_All!$B14&amp;Weekly_All!$B$3&amp;$B$2)</f>
        <v>0</v>
      </c>
      <c r="AO14" s="2">
        <f>COUNTIF(defects!$V:$V,Weekly_All!AO$3&amp;Weekly_All!$B14&amp;Weekly_All!$B$3&amp;$B$2)</f>
        <v>0</v>
      </c>
      <c r="AP14" s="2">
        <f>COUNTIF(defects!$V:$V,Weekly_All!AP$3&amp;Weekly_All!$B14&amp;Weekly_All!$B$3&amp;$B$2)</f>
        <v>0</v>
      </c>
      <c r="AQ14" s="2">
        <f>COUNTIF(defects!$V:$V,Weekly_All!AQ$3&amp;Weekly_All!$B14&amp;Weekly_All!$B$3&amp;$B$2)</f>
        <v>0</v>
      </c>
      <c r="AR14" s="2">
        <f>COUNTIF(defects!$V:$V,Weekly_All!AR$3&amp;Weekly_All!$B14&amp;Weekly_All!$B$3&amp;$B$2)</f>
        <v>0</v>
      </c>
      <c r="AS14" s="2">
        <f>COUNTIF(defects!$V:$V,Weekly_All!AS$3&amp;Weekly_All!$B14&amp;Weekly_All!$B$3&amp;$B$2)</f>
        <v>0</v>
      </c>
      <c r="AT14" s="2">
        <f>COUNTIF(defects!$V:$V,Weekly_All!AT$3&amp;Weekly_All!$B14&amp;Weekly_All!$B$3&amp;$B$2)</f>
        <v>0</v>
      </c>
      <c r="AU14" s="2">
        <f>COUNTIF(defects!$V:$V,Weekly_All!AU$3&amp;Weekly_All!$B14&amp;Weekly_All!$B$3&amp;$B$2)</f>
        <v>0</v>
      </c>
      <c r="AV14" s="2">
        <f>COUNTIF(defects!$V:$V,Weekly_All!AV$3&amp;Weekly_All!$B14&amp;Weekly_All!$B$3&amp;$B$2)</f>
        <v>0</v>
      </c>
      <c r="AW14" s="2">
        <f>COUNTIF(defects!$V:$V,Weekly_All!AW$3&amp;Weekly_All!$B14&amp;Weekly_All!$B$3&amp;$B$2)</f>
        <v>0</v>
      </c>
      <c r="AX14" s="2">
        <f>COUNTIF(defects!$V:$V,Weekly_All!AX$3&amp;Weekly_All!$B14&amp;Weekly_All!$B$3&amp;$B$2)</f>
        <v>0</v>
      </c>
      <c r="AY14" s="2">
        <f>COUNTIF(defects!$V:$V,Weekly_All!AY$3&amp;Weekly_All!$B14&amp;Weekly_All!$B$3&amp;$B$2)</f>
        <v>0</v>
      </c>
      <c r="AZ14" s="2">
        <f>COUNTIF(defects!$V:$V,Weekly_All!AZ$3&amp;Weekly_All!$B14&amp;Weekly_All!$B$3&amp;$B$2)</f>
        <v>0</v>
      </c>
      <c r="BA14" s="2">
        <f>COUNTIF(defects!$V:$V,Weekly_All!BA$3&amp;Weekly_All!$B14&amp;Weekly_All!$B$3&amp;$B$2)</f>
        <v>0</v>
      </c>
      <c r="BB14" s="2">
        <f>COUNTIF(defects!$V:$V,Weekly_All!BB$3&amp;Weekly_All!$B14&amp;Weekly_All!$B$3&amp;$B$2)</f>
        <v>0</v>
      </c>
      <c r="BC14" s="2">
        <f>COUNTIF(defects!$V:$V,Weekly_All!BC$3&amp;Weekly_All!$B14&amp;Weekly_All!$B$3&amp;$B$2)</f>
        <v>0</v>
      </c>
      <c r="BD14" s="2">
        <f>COUNTIF(defects!$V:$V,Weekly_All!BD$3&amp;Weekly_All!$B14&amp;Weekly_All!$B$3&amp;$B$2)</f>
        <v>0</v>
      </c>
      <c r="BE14" s="2">
        <f>COUNTIF(defects!$V:$V,Weekly_All!BE$3&amp;Weekly_All!$B14&amp;Weekly_All!$B$3&amp;$B$2)</f>
        <v>0</v>
      </c>
      <c r="BF14" s="2">
        <f>COUNTIF(defects!$V:$V,Weekly_All!BF$3&amp;Weekly_All!$B14&amp;Weekly_All!$B$3&amp;$B$2)</f>
        <v>0</v>
      </c>
      <c r="BG14" s="2">
        <f>COUNTIF(defects!$V:$V,Weekly_All!BG$3&amp;Weekly_All!$B14&amp;Weekly_All!$B$3&amp;$B$2)</f>
        <v>0</v>
      </c>
      <c r="BH14" s="2">
        <f>COUNTIF(defects!$V:$V,Weekly_All!BH$3&amp;Weekly_All!$B14&amp;Weekly_All!$B$3&amp;$B$2)</f>
        <v>0</v>
      </c>
      <c r="BI14" s="2">
        <f>COUNTIF(defects!$V:$V,Weekly_All!BI$3&amp;Weekly_All!$B14&amp;Weekly_All!$B$3&amp;$B$2)</f>
        <v>0</v>
      </c>
      <c r="BJ14" s="2">
        <f>COUNTIF(defects!$V:$V,Weekly_All!BJ$3&amp;Weekly_All!$B14&amp;Weekly_All!$B$3&amp;$B$2)</f>
        <v>0</v>
      </c>
      <c r="BK14" s="2">
        <f>COUNTIF(defects!$V:$V,Weekly_All!BK$3&amp;Weekly_All!$B14&amp;Weekly_All!$B$3&amp;$B$2)</f>
        <v>0</v>
      </c>
      <c r="BL14" s="2">
        <f>COUNTIF(defects!$V:$V,Weekly_All!BL$3&amp;Weekly_All!$B14&amp;Weekly_All!$B$3&amp;$B$2)</f>
        <v>0</v>
      </c>
      <c r="BM14" s="2">
        <f>COUNTIF(defects!$V:$V,Weekly_All!BM$3&amp;Weekly_All!$B14&amp;Weekly_All!$B$3&amp;$B$2)</f>
        <v>0</v>
      </c>
      <c r="BN14" s="2">
        <f>COUNTIF(defects!$V:$V,Weekly_All!BN$3&amp;Weekly_All!$B14&amp;Weekly_All!$B$3&amp;$B$2)</f>
        <v>0</v>
      </c>
      <c r="BO14" s="2">
        <f>COUNTIF(defects!$V:$V,Weekly_All!BO$3&amp;Weekly_All!$B14&amp;Weekly_All!$B$3&amp;$B$2)</f>
        <v>0</v>
      </c>
      <c r="BP14" s="2">
        <f>COUNTIF(defects!$V:$V,Weekly_All!BP$3&amp;Weekly_All!$B14&amp;Weekly_All!$B$3&amp;$B$2)</f>
        <v>0</v>
      </c>
      <c r="BQ14" s="2">
        <f>COUNTIF(defects!$V:$V,Weekly_All!BQ$3&amp;Weekly_All!$B14&amp;Weekly_All!$B$3&amp;$B$2)</f>
        <v>0</v>
      </c>
      <c r="BR14" s="2">
        <f>COUNTIF(defects!$V:$V,Weekly_All!BR$3&amp;Weekly_All!$B14&amp;Weekly_All!$B$3&amp;$B$2)</f>
        <v>0</v>
      </c>
      <c r="BS14" s="2">
        <f>COUNTIF(defects!$V:$V,Weekly_All!BS$3&amp;Weekly_All!$B14&amp;Weekly_All!$B$3&amp;$B$2)</f>
        <v>0</v>
      </c>
      <c r="BT14" s="2">
        <f>COUNTIF(defects!$V:$V,Weekly_All!BT$3&amp;Weekly_All!$B14&amp;Weekly_All!$B$3&amp;$B$2)</f>
        <v>0</v>
      </c>
      <c r="BU14" s="2">
        <f>COUNTIF(defects!$V:$V,Weekly_All!BU$3&amp;Weekly_All!$B14&amp;Weekly_All!$B$3&amp;$B$2)</f>
        <v>0</v>
      </c>
      <c r="BV14" s="2">
        <f>COUNTIF(defects!$V:$V,Weekly_All!BV$3&amp;Weekly_All!$B14&amp;Weekly_All!$B$3&amp;$B$2)</f>
        <v>0</v>
      </c>
      <c r="BW14" s="2">
        <f>COUNTIF(defects!$V:$V,Weekly_All!BW$3&amp;Weekly_All!$B14&amp;Weekly_All!$B$3&amp;$B$2)</f>
        <v>0</v>
      </c>
      <c r="BX14" s="2">
        <f>COUNTIF(defects!$V:$V,Weekly_All!BX$3&amp;Weekly_All!$B14&amp;Weekly_All!$B$3&amp;$B$2)</f>
        <v>0</v>
      </c>
      <c r="BY14" s="2">
        <f>COUNTIF(defects!$V:$V,Weekly_All!BY$3&amp;Weekly_All!$B14&amp;Weekly_All!$B$3&amp;$B$2)</f>
        <v>0</v>
      </c>
      <c r="BZ14" s="2">
        <f>COUNTIF(defects!$V:$V,Weekly_All!BZ$3&amp;Weekly_All!$B14&amp;Weekly_All!$B$3&amp;$B$2)</f>
        <v>0</v>
      </c>
      <c r="CA14" s="2">
        <f>COUNTIF(defects!$V:$V,Weekly_All!CA$3&amp;Weekly_All!$B14&amp;Weekly_All!$B$3&amp;$B$2)</f>
        <v>0</v>
      </c>
      <c r="CB14" s="2">
        <f>COUNTIF(defects!$V:$V,Weekly_All!CB$3&amp;Weekly_All!$B14&amp;Weekly_All!$B$3&amp;$B$2)</f>
        <v>0</v>
      </c>
      <c r="CC14" s="2">
        <f>COUNTIF(defects!$V:$V,Weekly_All!CC$3&amp;Weekly_All!$B14&amp;Weekly_All!$B$3&amp;$B$2)</f>
        <v>0</v>
      </c>
      <c r="CD14" s="2">
        <f>COUNTIF(defects!$V:$V,Weekly_All!CD$3&amp;Weekly_All!$B14&amp;Weekly_All!$B$3&amp;$B$2)</f>
        <v>0</v>
      </c>
      <c r="CE14" s="2">
        <f>COUNTIF(defects!$V:$V,Weekly_All!CE$3&amp;Weekly_All!$B14&amp;Weekly_All!$B$3&amp;$B$2)</f>
        <v>0</v>
      </c>
      <c r="CF14" s="2">
        <f>COUNTIF(defects!$V:$V,Weekly_All!CF$3&amp;Weekly_All!$B14&amp;Weekly_All!$B$3&amp;$B$2)</f>
        <v>0</v>
      </c>
      <c r="CG14" s="2">
        <f>COUNTIF(defects!$V:$V,Weekly_All!CG$3&amp;Weekly_All!$B14&amp;Weekly_All!$B$3&amp;$B$2)</f>
        <v>0</v>
      </c>
      <c r="CH14" s="2">
        <f>COUNTIF(defects!$V:$V,Weekly_All!CH$3&amp;Weekly_All!$B14&amp;Weekly_All!$B$3&amp;$B$2)</f>
        <v>0</v>
      </c>
      <c r="CI14" s="2">
        <f>COUNTIF(defects!$V:$V,Weekly_All!CI$3&amp;Weekly_All!$B14&amp;Weekly_All!$B$3&amp;$B$2)</f>
        <v>0</v>
      </c>
      <c r="CJ14" s="2">
        <f>COUNTIF(defects!$V:$V,Weekly_All!CJ$3&amp;Weekly_All!$B14&amp;Weekly_All!$B$3&amp;$B$2)</f>
        <v>0</v>
      </c>
      <c r="CK14" s="2">
        <f>COUNTIF(defects!$V:$V,Weekly_All!CK$3&amp;Weekly_All!$B14&amp;Weekly_All!$B$3&amp;$B$2)</f>
        <v>0</v>
      </c>
      <c r="CL14" s="2">
        <f>COUNTIF(defects!$V:$V,Weekly_All!CL$3&amp;Weekly_All!$B14&amp;Weekly_All!$B$3&amp;$B$2)</f>
        <v>0</v>
      </c>
      <c r="CM14" s="2">
        <f>COUNTIF(defects!$V:$V,Weekly_All!CM$3&amp;Weekly_All!$B14&amp;Weekly_All!$B$3&amp;$B$2)</f>
        <v>0</v>
      </c>
      <c r="CN14" s="2">
        <f>COUNTIF(defects!$V:$V,Weekly_All!CN$3&amp;Weekly_All!$B14&amp;Weekly_All!$B$3&amp;$B$2)</f>
        <v>0</v>
      </c>
      <c r="CO14" s="2">
        <f>COUNTIF(defects!$V:$V,Weekly_All!CO$3&amp;Weekly_All!$B14&amp;Weekly_All!$B$3&amp;$B$2)</f>
        <v>0</v>
      </c>
      <c r="CP14" s="2">
        <f>COUNTIF(defects!$V:$V,Weekly_All!CP$3&amp;Weekly_All!$B14&amp;Weekly_All!$B$3&amp;$B$2)</f>
        <v>0</v>
      </c>
      <c r="CQ14" s="2">
        <f>COUNTIF(defects!$V:$V,Weekly_All!CQ$3&amp;Weekly_All!$B14&amp;Weekly_All!$B$3&amp;$B$2)</f>
        <v>0</v>
      </c>
      <c r="CR14" s="2">
        <f>COUNTIF(defects!$V:$V,Weekly_All!CR$3&amp;Weekly_All!$B14&amp;Weekly_All!$B$3&amp;$B$2)</f>
        <v>0</v>
      </c>
      <c r="CS14" s="2">
        <f>COUNTIF(defects!$V:$V,Weekly_All!CS$3&amp;Weekly_All!$B14&amp;Weekly_All!$B$3&amp;$B$2)</f>
        <v>0</v>
      </c>
      <c r="CT14" s="2">
        <f>COUNTIF(defects!$V:$V,Weekly_All!CT$3&amp;Weekly_All!$B14&amp;Weekly_All!$B$3&amp;$B$2)</f>
        <v>0</v>
      </c>
      <c r="CU14" s="2">
        <f>COUNTIF(defects!$V:$V,Weekly_All!CU$3&amp;Weekly_All!$B14&amp;Weekly_All!$B$3&amp;$B$2)</f>
        <v>0</v>
      </c>
      <c r="CV14" s="2">
        <f>COUNTIF(defects!$V:$V,Weekly_All!CV$3&amp;Weekly_All!$B14&amp;Weekly_All!$B$3&amp;$B$2)</f>
        <v>0</v>
      </c>
      <c r="CW14" s="2">
        <f>COUNTIF(defects!$V:$V,Weekly_All!CW$3&amp;Weekly_All!$B14&amp;Weekly_All!$B$3&amp;$B$2)</f>
        <v>0</v>
      </c>
      <c r="CX14" s="2">
        <f>COUNTIF(defects!$V:$V,Weekly_All!CX$3&amp;Weekly_All!$B14&amp;Weekly_All!$B$3&amp;$B$2)</f>
        <v>0</v>
      </c>
      <c r="CY14" s="2">
        <f>COUNTIF(defects!$V:$V,Weekly_All!CY$3&amp;Weekly_All!$B14&amp;Weekly_All!$B$3&amp;$B$2)</f>
        <v>0</v>
      </c>
      <c r="CZ14" s="2">
        <f>COUNTIF(defects!$V:$V,Weekly_All!CZ$3&amp;Weekly_All!$B14&amp;Weekly_All!$B$3&amp;$B$2)</f>
        <v>0</v>
      </c>
      <c r="DA14" s="2">
        <f>COUNTIF(defects!$V:$V,Weekly_All!DA$3&amp;Weekly_All!$B14&amp;Weekly_All!$B$3&amp;$B$2)</f>
        <v>0</v>
      </c>
      <c r="DB14" s="2">
        <f>COUNTIF(defects!$V:$V,Weekly_All!DB$3&amp;Weekly_All!$B14&amp;Weekly_All!$B$3&amp;$B$2)</f>
        <v>0</v>
      </c>
      <c r="DC14" s="2">
        <f>COUNTIF(defects!$V:$V,Weekly_All!DC$3&amp;Weekly_All!$B14&amp;Weekly_All!$B$3&amp;$B$2)</f>
        <v>0</v>
      </c>
      <c r="DD14" s="2">
        <f>COUNTIF(defects!$V:$V,Weekly_All!DD$3&amp;Weekly_All!$B14&amp;Weekly_All!$B$3&amp;$B$2)</f>
        <v>0</v>
      </c>
      <c r="DE14" s="2">
        <f>COUNTIF(defects!$V:$V,Weekly_All!DE$3&amp;Weekly_All!$B14&amp;Weekly_All!$B$3&amp;$B$2)</f>
        <v>0</v>
      </c>
      <c r="DF14" s="2">
        <f>COUNTIF(defects!$V:$V,Weekly_All!DF$3&amp;Weekly_All!$B14&amp;Weekly_All!$B$3&amp;$B$2)</f>
        <v>0</v>
      </c>
      <c r="DG14" s="2">
        <f>COUNTIF(defects!$V:$V,Weekly_All!DG$3&amp;Weekly_All!$B14&amp;Weekly_All!$B$3&amp;$B$2)</f>
        <v>0</v>
      </c>
      <c r="DH14" s="2">
        <f>COUNTIF(defects!$V:$V,Weekly_All!DH$3&amp;Weekly_All!$B14&amp;Weekly_All!$B$3&amp;$B$2)</f>
        <v>0</v>
      </c>
      <c r="DI14" s="2">
        <f>COUNTIF(defects!$V:$V,Weekly_All!DI$3&amp;Weekly_All!$B14&amp;Weekly_All!$B$3&amp;$B$2)</f>
        <v>0</v>
      </c>
      <c r="DJ14" s="2">
        <f>COUNTIF(defects!$V:$V,Weekly_All!DJ$3&amp;Weekly_All!$B14&amp;Weekly_All!$B$3&amp;$B$2)</f>
        <v>0</v>
      </c>
      <c r="DK14" s="2">
        <f>COUNTIF(defects!$V:$V,Weekly_All!DK$3&amp;Weekly_All!$B14&amp;Weekly_All!$B$3&amp;$B$2)</f>
        <v>0</v>
      </c>
      <c r="DL14" s="2">
        <f>COUNTIF(defects!$V:$V,Weekly_All!DL$3&amp;Weekly_All!$B14&amp;Weekly_All!$B$3&amp;$B$2)</f>
        <v>0</v>
      </c>
      <c r="DM14" s="2">
        <f>COUNTIF(defects!$V:$V,Weekly_All!DM$3&amp;Weekly_All!$B14&amp;Weekly_All!$B$3&amp;$B$2)</f>
        <v>0</v>
      </c>
      <c r="DN14" s="2">
        <f>COUNTIF(defects!$V:$V,Weekly_All!DN$3&amp;Weekly_All!$B14&amp;Weekly_All!$B$3&amp;$B$2)</f>
        <v>0</v>
      </c>
      <c r="DO14" s="2">
        <f>COUNTIF(defects!$V:$V,Weekly_All!DO$3&amp;Weekly_All!$B14&amp;Weekly_All!$B$3&amp;$B$2)</f>
        <v>0</v>
      </c>
      <c r="DP14" s="2">
        <f>COUNTIF(defects!$V:$V,Weekly_All!DP$3&amp;Weekly_All!$B14&amp;Weekly_All!$B$3&amp;$B$2)</f>
        <v>0</v>
      </c>
      <c r="DQ14" s="2">
        <f>COUNTIF(defects!$V:$V,Weekly_All!DQ$3&amp;Weekly_All!$B14&amp;Weekly_All!$B$3&amp;$B$2)</f>
        <v>0</v>
      </c>
      <c r="DR14" s="2">
        <f>COUNTIF(defects!$V:$V,Weekly_All!DR$3&amp;Weekly_All!$B14&amp;Weekly_All!$B$3&amp;$B$2)</f>
        <v>0</v>
      </c>
      <c r="DS14" s="2">
        <f>COUNTIF(defects!$V:$V,Weekly_All!DS$3&amp;Weekly_All!$B14&amp;Weekly_All!$B$3&amp;$B$2)</f>
        <v>0</v>
      </c>
      <c r="DT14" s="2">
        <f>COUNTIF(defects!$V:$V,Weekly_All!DT$3&amp;Weekly_All!$B14&amp;Weekly_All!$B$3&amp;$B$2)</f>
        <v>0</v>
      </c>
      <c r="DU14" s="2">
        <f>COUNTIF(defects!$V:$V,Weekly_All!DU$3&amp;Weekly_All!$B14&amp;Weekly_All!$B$3&amp;$B$2)</f>
        <v>0</v>
      </c>
      <c r="DV14" s="2">
        <f>COUNTIF(defects!$V:$V,Weekly_All!DV$3&amp;Weekly_All!$B14&amp;Weekly_All!$B$3&amp;$B$2)</f>
        <v>0</v>
      </c>
      <c r="DW14" s="2">
        <f>COUNTIF(defects!$V:$V,Weekly_All!DW$3&amp;Weekly_All!$B14&amp;Weekly_All!$B$3&amp;$B$2)</f>
        <v>0</v>
      </c>
      <c r="DX14" s="2">
        <f>COUNTIF(defects!$V:$V,Weekly_All!DX$3&amp;Weekly_All!$B14&amp;Weekly_All!$B$3&amp;$B$2)</f>
        <v>0</v>
      </c>
      <c r="DY14" s="2">
        <f>COUNTIF(defects!$V:$V,Weekly_All!DY$3&amp;Weekly_All!$B14&amp;Weekly_All!$B$3&amp;$B$2)</f>
        <v>0</v>
      </c>
      <c r="DZ14" s="2">
        <f>COUNTIF(defects!$V:$V,Weekly_All!DZ$3&amp;Weekly_All!$B14&amp;Weekly_All!$B$3&amp;$B$2)</f>
        <v>0</v>
      </c>
      <c r="EA14" s="2">
        <f>COUNTIF(defects!$V:$V,Weekly_All!EA$3&amp;Weekly_All!$B14&amp;Weekly_All!$B$3&amp;$B$2)</f>
        <v>0</v>
      </c>
      <c r="EB14" s="2">
        <f>COUNTIF(defects!$V:$V,Weekly_All!EB$3&amp;Weekly_All!$B14&amp;Weekly_All!$B$3&amp;$B$2)</f>
        <v>0</v>
      </c>
      <c r="EC14" s="2">
        <f>COUNTIF(defects!$V:$V,Weekly_All!EC$3&amp;Weekly_All!$B14&amp;Weekly_All!$B$3&amp;$B$2)</f>
        <v>0</v>
      </c>
      <c r="ED14" s="2">
        <f>COUNTIF(defects!$V:$V,Weekly_All!ED$3&amp;Weekly_All!$B14&amp;Weekly_All!$B$3&amp;$B$2)</f>
        <v>0</v>
      </c>
      <c r="EE14" s="2">
        <f>COUNTIF(defects!$V:$V,Weekly_All!EE$3&amp;Weekly_All!$B14&amp;Weekly_All!$B$3&amp;$B$2)</f>
        <v>0</v>
      </c>
      <c r="EF14" s="2">
        <f>COUNTIF(defects!$V:$V,Weekly_All!EF$3&amp;Weekly_All!$B14&amp;Weekly_All!$B$3&amp;$B$2)</f>
        <v>0</v>
      </c>
      <c r="EG14" s="2">
        <f>COUNTIF(defects!$V:$V,Weekly_All!EG$3&amp;Weekly_All!$B14&amp;Weekly_All!$B$3&amp;$B$2)</f>
        <v>0</v>
      </c>
      <c r="EH14" s="2">
        <f>COUNTIF(defects!$V:$V,Weekly_All!EH$3&amp;Weekly_All!$B14&amp;Weekly_All!$B$3&amp;$B$2)</f>
        <v>0</v>
      </c>
      <c r="EI14" s="2">
        <f>COUNTIF(defects!$V:$V,Weekly_All!EI$3&amp;Weekly_All!$B14&amp;Weekly_All!$B$3&amp;$B$2)</f>
        <v>0</v>
      </c>
      <c r="EJ14" s="2">
        <f>COUNTIF(defects!$V:$V,Weekly_All!EJ$3&amp;Weekly_All!$B14&amp;Weekly_All!$B$3&amp;$B$2)</f>
        <v>0</v>
      </c>
      <c r="EK14" s="2">
        <f>COUNTIF(defects!$V:$V,Weekly_All!EK$3&amp;Weekly_All!$B14&amp;Weekly_All!$B$3&amp;$B$2)</f>
        <v>0</v>
      </c>
      <c r="EL14" s="2">
        <f>COUNTIF(defects!$V:$V,Weekly_All!EL$3&amp;Weekly_All!$B14&amp;Weekly_All!$B$3&amp;$B$2)</f>
        <v>0</v>
      </c>
      <c r="EM14" s="2">
        <f>COUNTIF(defects!$V:$V,Weekly_All!EM$3&amp;Weekly_All!$B14&amp;Weekly_All!$B$3&amp;$B$2)</f>
        <v>0</v>
      </c>
      <c r="EN14" s="2">
        <f>COUNTIF(defects!$V:$V,Weekly_All!EN$3&amp;Weekly_All!$B14&amp;Weekly_All!$B$3&amp;$B$2)</f>
        <v>0</v>
      </c>
      <c r="EO14" s="2">
        <f>COUNTIF(defects!$V:$V,Weekly_All!EO$3&amp;Weekly_All!$B14&amp;Weekly_All!$B$3&amp;$B$2)</f>
        <v>0</v>
      </c>
      <c r="EP14" s="2">
        <f>COUNTIF(defects!$V:$V,Weekly_All!EP$3&amp;Weekly_All!$B14&amp;Weekly_All!$B$3&amp;$B$2)</f>
        <v>0</v>
      </c>
      <c r="EQ14" s="2">
        <f>COUNTIF(defects!$V:$V,Weekly_All!EQ$3&amp;Weekly_All!$B14&amp;Weekly_All!$B$3&amp;$B$2)</f>
        <v>0</v>
      </c>
      <c r="ER14" s="2">
        <f>COUNTIF(defects!$V:$V,Weekly_All!ER$3&amp;Weekly_All!$B14&amp;Weekly_All!$B$3&amp;$B$2)</f>
        <v>0</v>
      </c>
      <c r="ES14" s="2">
        <f>COUNTIF(defects!$V:$V,Weekly_All!ES$3&amp;Weekly_All!$B14&amp;Weekly_All!$B$3&amp;$B$2)</f>
        <v>0</v>
      </c>
      <c r="ET14" s="2">
        <f>COUNTIF(defects!$V:$V,Weekly_All!ET$3&amp;Weekly_All!$B14&amp;Weekly_All!$B$3&amp;$B$2)</f>
        <v>0</v>
      </c>
      <c r="EU14" s="2">
        <f>COUNTIF(defects!$V:$V,Weekly_All!EU$3&amp;Weekly_All!$B14&amp;Weekly_All!$B$3&amp;$B$2)</f>
        <v>0</v>
      </c>
      <c r="EV14" s="2">
        <f>COUNTIF(defects!$V:$V,Weekly_All!EV$3&amp;Weekly_All!$B14&amp;Weekly_All!$B$3&amp;$B$2)</f>
        <v>0</v>
      </c>
      <c r="EW14" s="2">
        <f>COUNTIF(defects!$V:$V,Weekly_All!EW$3&amp;Weekly_All!$B14&amp;Weekly_All!$B$3&amp;$B$2)</f>
        <v>0</v>
      </c>
      <c r="EX14" s="2">
        <f>COUNTIF(defects!$V:$V,Weekly_All!EX$3&amp;Weekly_All!$B14&amp;Weekly_All!$B$3&amp;$B$2)</f>
        <v>0</v>
      </c>
      <c r="EY14" s="2">
        <f>COUNTIF(defects!$V:$V,Weekly_All!EY$3&amp;Weekly_All!$B14&amp;Weekly_All!$B$3&amp;$B$2)</f>
        <v>0</v>
      </c>
      <c r="EZ14" s="2">
        <f>COUNTIF(defects!$V:$V,Weekly_All!EZ$3&amp;Weekly_All!$B14&amp;Weekly_All!$B$3&amp;$B$2)</f>
        <v>0</v>
      </c>
      <c r="FA14" s="2">
        <f>COUNTIF(defects!$V:$V,Weekly_All!FA$3&amp;Weekly_All!$B14&amp;Weekly_All!$B$3&amp;$B$2)</f>
        <v>0</v>
      </c>
      <c r="FB14" s="2">
        <f>COUNTIF(defects!$V:$V,Weekly_All!FB$3&amp;Weekly_All!$B14&amp;Weekly_All!$B$3&amp;$B$2)</f>
        <v>0</v>
      </c>
      <c r="FC14" s="2">
        <f>COUNTIF(defects!$V:$V,Weekly_All!FC$3&amp;Weekly_All!$B14&amp;Weekly_All!$B$3&amp;$B$2)</f>
        <v>0</v>
      </c>
      <c r="FD14" s="2">
        <f>COUNTIF(defects!$V:$V,Weekly_All!FD$3&amp;Weekly_All!$B14&amp;Weekly_All!$B$3&amp;$B$2)</f>
        <v>0</v>
      </c>
      <c r="FE14" s="2">
        <f>COUNTIF(defects!$V:$V,Weekly_All!FE$3&amp;Weekly_All!$B14&amp;Weekly_All!$B$3&amp;$B$2)</f>
        <v>0</v>
      </c>
    </row>
    <row r="15" spans="2:161">
      <c r="B15" s="2" t="s">
        <v>949</v>
      </c>
      <c r="C15" s="2">
        <f>COUNTIF(defects!$V:$V,Weekly_All!C$3&amp;Weekly_All!$B15&amp;Weekly_All!$B$3&amp;$B$2)</f>
        <v>0</v>
      </c>
      <c r="D15" s="2">
        <f>COUNTIF(defects!$V:$V,Weekly_All!D$3&amp;Weekly_All!$B15&amp;Weekly_All!$B$3&amp;$B$2)</f>
        <v>0</v>
      </c>
      <c r="E15" s="2">
        <f>COUNTIF(defects!$V:$V,Weekly_All!E$3&amp;Weekly_All!$B15&amp;Weekly_All!$B$3&amp;$B$2)</f>
        <v>0</v>
      </c>
      <c r="F15" s="2">
        <f>COUNTIF(defects!$V:$V,Weekly_All!F$3&amp;Weekly_All!$B15&amp;Weekly_All!$B$3&amp;$B$2)</f>
        <v>0</v>
      </c>
      <c r="G15" s="2">
        <f>COUNTIF(defects!$V:$V,Weekly_All!G$3&amp;Weekly_All!$B15&amp;Weekly_All!$B$3&amp;$B$2)</f>
        <v>0</v>
      </c>
      <c r="H15" s="2">
        <f>COUNTIF(defects!$V:$V,Weekly_All!H$3&amp;Weekly_All!$B15&amp;Weekly_All!$B$3&amp;$B$2)</f>
        <v>0</v>
      </c>
      <c r="I15" s="2">
        <f>COUNTIF(defects!$V:$V,Weekly_All!I$3&amp;Weekly_All!$B15&amp;Weekly_All!$B$3&amp;$B$2)</f>
        <v>0</v>
      </c>
      <c r="J15" s="2">
        <f>COUNTIF(defects!$V:$V,Weekly_All!J$3&amp;Weekly_All!$B15&amp;Weekly_All!$B$3&amp;$B$2)</f>
        <v>0</v>
      </c>
      <c r="K15" s="2">
        <f>COUNTIF(defects!$V:$V,Weekly_All!K$3&amp;Weekly_All!$B15&amp;Weekly_All!$B$3&amp;$B$2)</f>
        <v>0</v>
      </c>
      <c r="L15" s="2">
        <f>COUNTIF(defects!$V:$V,Weekly_All!L$3&amp;Weekly_All!$B15&amp;Weekly_All!$B$3&amp;$B$2)</f>
        <v>0</v>
      </c>
      <c r="M15" s="2">
        <f>COUNTIF(defects!$V:$V,Weekly_All!M$3&amp;Weekly_All!$B15&amp;Weekly_All!$B$3&amp;$B$2)</f>
        <v>0</v>
      </c>
      <c r="N15" s="2">
        <f>COUNTIF(defects!$V:$V,Weekly_All!N$3&amp;Weekly_All!$B15&amp;Weekly_All!$B$3&amp;$B$2)</f>
        <v>0</v>
      </c>
      <c r="O15" s="2">
        <f>COUNTIF(defects!$V:$V,Weekly_All!O$3&amp;Weekly_All!$B15&amp;Weekly_All!$B$3&amp;$B$2)</f>
        <v>0</v>
      </c>
      <c r="P15" s="2">
        <f>COUNTIF(defects!$V:$V,Weekly_All!P$3&amp;Weekly_All!$B15&amp;Weekly_All!$B$3&amp;$B$2)</f>
        <v>0</v>
      </c>
      <c r="Q15" s="2">
        <f>COUNTIF(defects!$V:$V,Weekly_All!Q$3&amp;Weekly_All!$B15&amp;Weekly_All!$B$3&amp;$B$2)</f>
        <v>0</v>
      </c>
      <c r="R15" s="2">
        <f>COUNTIF(defects!$V:$V,Weekly_All!R$3&amp;Weekly_All!$B15&amp;Weekly_All!$B$3&amp;$B$2)</f>
        <v>0</v>
      </c>
      <c r="S15" s="2">
        <f>COUNTIF(defects!$V:$V,Weekly_All!S$3&amp;Weekly_All!$B15&amp;Weekly_All!$B$3&amp;$B$2)</f>
        <v>0</v>
      </c>
      <c r="T15" s="2">
        <f>COUNTIF(defects!$V:$V,Weekly_All!T$3&amp;Weekly_All!$B15&amp;Weekly_All!$B$3&amp;$B$2)</f>
        <v>0</v>
      </c>
      <c r="U15" s="2">
        <f>COUNTIF(defects!$V:$V,Weekly_All!U$3&amp;Weekly_All!$B15&amp;Weekly_All!$B$3&amp;$B$2)</f>
        <v>0</v>
      </c>
      <c r="V15" s="2">
        <f>COUNTIF(defects!$V:$V,Weekly_All!V$3&amp;Weekly_All!$B15&amp;Weekly_All!$B$3&amp;$B$2)</f>
        <v>0</v>
      </c>
      <c r="W15" s="2">
        <f>COUNTIF(defects!$V:$V,Weekly_All!W$3&amp;Weekly_All!$B15&amp;Weekly_All!$B$3&amp;$B$2)</f>
        <v>0</v>
      </c>
      <c r="X15" s="2">
        <f>COUNTIF(defects!$V:$V,Weekly_All!X$3&amp;Weekly_All!$B15&amp;Weekly_All!$B$3&amp;$B$2)</f>
        <v>0</v>
      </c>
      <c r="Y15" s="2">
        <f>COUNTIF(defects!$V:$V,Weekly_All!Y$3&amp;Weekly_All!$B15&amp;Weekly_All!$B$3&amp;$B$2)</f>
        <v>0</v>
      </c>
      <c r="Z15" s="2">
        <f>COUNTIF(defects!$V:$V,Weekly_All!Z$3&amp;Weekly_All!$B15&amp;Weekly_All!$B$3&amp;$B$2)</f>
        <v>0</v>
      </c>
      <c r="AA15" s="2">
        <f>COUNTIF(defects!$V:$V,Weekly_All!AA$3&amp;Weekly_All!$B15&amp;Weekly_All!$B$3&amp;$B$2)</f>
        <v>0</v>
      </c>
      <c r="AB15" s="2">
        <f>COUNTIF(defects!$V:$V,Weekly_All!AB$3&amp;Weekly_All!$B15&amp;Weekly_All!$B$3&amp;$B$2)</f>
        <v>0</v>
      </c>
      <c r="AC15" s="2">
        <f>COUNTIF(defects!$V:$V,Weekly_All!AC$3&amp;Weekly_All!$B15&amp;Weekly_All!$B$3&amp;$B$2)</f>
        <v>0</v>
      </c>
      <c r="AD15" s="2">
        <f>COUNTIF(defects!$V:$V,Weekly_All!AD$3&amp;Weekly_All!$B15&amp;Weekly_All!$B$3&amp;$B$2)</f>
        <v>0</v>
      </c>
      <c r="AE15" s="2">
        <f>COUNTIF(defects!$V:$V,Weekly_All!AE$3&amp;Weekly_All!$B15&amp;Weekly_All!$B$3&amp;$B$2)</f>
        <v>0</v>
      </c>
      <c r="AF15" s="2">
        <f>COUNTIF(defects!$V:$V,Weekly_All!AF$3&amp;Weekly_All!$B15&amp;Weekly_All!$B$3&amp;$B$2)</f>
        <v>0</v>
      </c>
      <c r="AG15" s="2">
        <f>COUNTIF(defects!$V:$V,Weekly_All!AG$3&amp;Weekly_All!$B15&amp;Weekly_All!$B$3&amp;$B$2)</f>
        <v>0</v>
      </c>
      <c r="AH15" s="2">
        <f>COUNTIF(defects!$V:$V,Weekly_All!AH$3&amp;Weekly_All!$B15&amp;Weekly_All!$B$3&amp;$B$2)</f>
        <v>0</v>
      </c>
      <c r="AI15" s="2">
        <f>COUNTIF(defects!$V:$V,Weekly_All!AI$3&amp;Weekly_All!$B15&amp;Weekly_All!$B$3&amp;$B$2)</f>
        <v>0</v>
      </c>
      <c r="AJ15" s="2">
        <f>COUNTIF(defects!$V:$V,Weekly_All!AJ$3&amp;Weekly_All!$B15&amp;Weekly_All!$B$3&amp;$B$2)</f>
        <v>0</v>
      </c>
      <c r="AK15" s="2">
        <f>COUNTIF(defects!$V:$V,Weekly_All!AK$3&amp;Weekly_All!$B15&amp;Weekly_All!$B$3&amp;$B$2)</f>
        <v>0</v>
      </c>
      <c r="AL15" s="2">
        <f>COUNTIF(defects!$V:$V,Weekly_All!AL$3&amp;Weekly_All!$B15&amp;Weekly_All!$B$3&amp;$B$2)</f>
        <v>0</v>
      </c>
      <c r="AM15" s="2">
        <f>COUNTIF(defects!$V:$V,Weekly_All!AM$3&amp;Weekly_All!$B15&amp;Weekly_All!$B$3&amp;$B$2)</f>
        <v>0</v>
      </c>
      <c r="AN15" s="2">
        <f>COUNTIF(defects!$V:$V,Weekly_All!AN$3&amp;Weekly_All!$B15&amp;Weekly_All!$B$3&amp;$B$2)</f>
        <v>0</v>
      </c>
      <c r="AO15" s="2">
        <f>COUNTIF(defects!$V:$V,Weekly_All!AO$3&amp;Weekly_All!$B15&amp;Weekly_All!$B$3&amp;$B$2)</f>
        <v>0</v>
      </c>
      <c r="AP15" s="2">
        <f>COUNTIF(defects!$V:$V,Weekly_All!AP$3&amp;Weekly_All!$B15&amp;Weekly_All!$B$3&amp;$B$2)</f>
        <v>0</v>
      </c>
      <c r="AQ15" s="2">
        <f>COUNTIF(defects!$V:$V,Weekly_All!AQ$3&amp;Weekly_All!$B15&amp;Weekly_All!$B$3&amp;$B$2)</f>
        <v>0</v>
      </c>
      <c r="AR15" s="2">
        <f>COUNTIF(defects!$V:$V,Weekly_All!AR$3&amp;Weekly_All!$B15&amp;Weekly_All!$B$3&amp;$B$2)</f>
        <v>0</v>
      </c>
      <c r="AS15" s="2">
        <f>COUNTIF(defects!$V:$V,Weekly_All!AS$3&amp;Weekly_All!$B15&amp;Weekly_All!$B$3&amp;$B$2)</f>
        <v>0</v>
      </c>
      <c r="AT15" s="2">
        <f>COUNTIF(defects!$V:$V,Weekly_All!AT$3&amp;Weekly_All!$B15&amp;Weekly_All!$B$3&amp;$B$2)</f>
        <v>0</v>
      </c>
      <c r="AU15" s="2">
        <f>COUNTIF(defects!$V:$V,Weekly_All!AU$3&amp;Weekly_All!$B15&amp;Weekly_All!$B$3&amp;$B$2)</f>
        <v>0</v>
      </c>
      <c r="AV15" s="2">
        <f>COUNTIF(defects!$V:$V,Weekly_All!AV$3&amp;Weekly_All!$B15&amp;Weekly_All!$B$3&amp;$B$2)</f>
        <v>0</v>
      </c>
      <c r="AW15" s="2">
        <f>COUNTIF(defects!$V:$V,Weekly_All!AW$3&amp;Weekly_All!$B15&amp;Weekly_All!$B$3&amp;$B$2)</f>
        <v>0</v>
      </c>
      <c r="AX15" s="2">
        <f>COUNTIF(defects!$V:$V,Weekly_All!AX$3&amp;Weekly_All!$B15&amp;Weekly_All!$B$3&amp;$B$2)</f>
        <v>0</v>
      </c>
      <c r="AY15" s="2">
        <f>COUNTIF(defects!$V:$V,Weekly_All!AY$3&amp;Weekly_All!$B15&amp;Weekly_All!$B$3&amp;$B$2)</f>
        <v>0</v>
      </c>
      <c r="AZ15" s="2">
        <f>COUNTIF(defects!$V:$V,Weekly_All!AZ$3&amp;Weekly_All!$B15&amp;Weekly_All!$B$3&amp;$B$2)</f>
        <v>0</v>
      </c>
      <c r="BA15" s="2">
        <f>COUNTIF(defects!$V:$V,Weekly_All!BA$3&amp;Weekly_All!$B15&amp;Weekly_All!$B$3&amp;$B$2)</f>
        <v>0</v>
      </c>
      <c r="BB15" s="2">
        <f>COUNTIF(defects!$V:$V,Weekly_All!BB$3&amp;Weekly_All!$B15&amp;Weekly_All!$B$3&amp;$B$2)</f>
        <v>0</v>
      </c>
      <c r="BC15" s="2">
        <f>COUNTIF(defects!$V:$V,Weekly_All!BC$3&amp;Weekly_All!$B15&amp;Weekly_All!$B$3&amp;$B$2)</f>
        <v>0</v>
      </c>
      <c r="BD15" s="2">
        <f>COUNTIF(defects!$V:$V,Weekly_All!BD$3&amp;Weekly_All!$B15&amp;Weekly_All!$B$3&amp;$B$2)</f>
        <v>0</v>
      </c>
      <c r="BE15" s="2">
        <f>COUNTIF(defects!$V:$V,Weekly_All!BE$3&amp;Weekly_All!$B15&amp;Weekly_All!$B$3&amp;$B$2)</f>
        <v>0</v>
      </c>
      <c r="BF15" s="2">
        <f>COUNTIF(defects!$V:$V,Weekly_All!BF$3&amp;Weekly_All!$B15&amp;Weekly_All!$B$3&amp;$B$2)</f>
        <v>0</v>
      </c>
      <c r="BG15" s="2">
        <f>COUNTIF(defects!$V:$V,Weekly_All!BG$3&amp;Weekly_All!$B15&amp;Weekly_All!$B$3&amp;$B$2)</f>
        <v>0</v>
      </c>
      <c r="BH15" s="2">
        <f>COUNTIF(defects!$V:$V,Weekly_All!BH$3&amp;Weekly_All!$B15&amp;Weekly_All!$B$3&amp;$B$2)</f>
        <v>0</v>
      </c>
      <c r="BI15" s="2">
        <f>COUNTIF(defects!$V:$V,Weekly_All!BI$3&amp;Weekly_All!$B15&amp;Weekly_All!$B$3&amp;$B$2)</f>
        <v>0</v>
      </c>
      <c r="BJ15" s="2">
        <f>COUNTIF(defects!$V:$V,Weekly_All!BJ$3&amp;Weekly_All!$B15&amp;Weekly_All!$B$3&amp;$B$2)</f>
        <v>0</v>
      </c>
      <c r="BK15" s="2">
        <f>COUNTIF(defects!$V:$V,Weekly_All!BK$3&amp;Weekly_All!$B15&amp;Weekly_All!$B$3&amp;$B$2)</f>
        <v>0</v>
      </c>
      <c r="BL15" s="2">
        <f>COUNTIF(defects!$V:$V,Weekly_All!BL$3&amp;Weekly_All!$B15&amp;Weekly_All!$B$3&amp;$B$2)</f>
        <v>0</v>
      </c>
      <c r="BM15" s="2">
        <f>COUNTIF(defects!$V:$V,Weekly_All!BM$3&amp;Weekly_All!$B15&amp;Weekly_All!$B$3&amp;$B$2)</f>
        <v>0</v>
      </c>
      <c r="BN15" s="2">
        <f>COUNTIF(defects!$V:$V,Weekly_All!BN$3&amp;Weekly_All!$B15&amp;Weekly_All!$B$3&amp;$B$2)</f>
        <v>0</v>
      </c>
      <c r="BO15" s="2">
        <f>COUNTIF(defects!$V:$V,Weekly_All!BO$3&amp;Weekly_All!$B15&amp;Weekly_All!$B$3&amp;$B$2)</f>
        <v>0</v>
      </c>
      <c r="BP15" s="2">
        <f>COUNTIF(defects!$V:$V,Weekly_All!BP$3&amp;Weekly_All!$B15&amp;Weekly_All!$B$3&amp;$B$2)</f>
        <v>0</v>
      </c>
      <c r="BQ15" s="2">
        <f>COUNTIF(defects!$V:$V,Weekly_All!BQ$3&amp;Weekly_All!$B15&amp;Weekly_All!$B$3&amp;$B$2)</f>
        <v>0</v>
      </c>
      <c r="BR15" s="2">
        <f>COUNTIF(defects!$V:$V,Weekly_All!BR$3&amp;Weekly_All!$B15&amp;Weekly_All!$B$3&amp;$B$2)</f>
        <v>1</v>
      </c>
      <c r="BS15" s="2">
        <f>COUNTIF(defects!$V:$V,Weekly_All!BS$3&amp;Weekly_All!$B15&amp;Weekly_All!$B$3&amp;$B$2)</f>
        <v>0</v>
      </c>
      <c r="BT15" s="2">
        <f>COUNTIF(defects!$V:$V,Weekly_All!BT$3&amp;Weekly_All!$B15&amp;Weekly_All!$B$3&amp;$B$2)</f>
        <v>0</v>
      </c>
      <c r="BU15" s="2">
        <f>COUNTIF(defects!$V:$V,Weekly_All!BU$3&amp;Weekly_All!$B15&amp;Weekly_All!$B$3&amp;$B$2)</f>
        <v>0</v>
      </c>
      <c r="BV15" s="2">
        <f>COUNTIF(defects!$V:$V,Weekly_All!BV$3&amp;Weekly_All!$B15&amp;Weekly_All!$B$3&amp;$B$2)</f>
        <v>0</v>
      </c>
      <c r="BW15" s="2">
        <f>COUNTIF(defects!$V:$V,Weekly_All!BW$3&amp;Weekly_All!$B15&amp;Weekly_All!$B$3&amp;$B$2)</f>
        <v>0</v>
      </c>
      <c r="BX15" s="2">
        <f>COUNTIF(defects!$V:$V,Weekly_All!BX$3&amp;Weekly_All!$B15&amp;Weekly_All!$B$3&amp;$B$2)</f>
        <v>0</v>
      </c>
      <c r="BY15" s="2">
        <f>COUNTIF(defects!$V:$V,Weekly_All!BY$3&amp;Weekly_All!$B15&amp;Weekly_All!$B$3&amp;$B$2)</f>
        <v>1</v>
      </c>
      <c r="BZ15" s="2">
        <f>COUNTIF(defects!$V:$V,Weekly_All!BZ$3&amp;Weekly_All!$B15&amp;Weekly_All!$B$3&amp;$B$2)</f>
        <v>1</v>
      </c>
      <c r="CA15" s="2">
        <f>COUNTIF(defects!$V:$V,Weekly_All!CA$3&amp;Weekly_All!$B15&amp;Weekly_All!$B$3&amp;$B$2)</f>
        <v>0</v>
      </c>
      <c r="CB15" s="2">
        <f>COUNTIF(defects!$V:$V,Weekly_All!CB$3&amp;Weekly_All!$B15&amp;Weekly_All!$B$3&amp;$B$2)</f>
        <v>0</v>
      </c>
      <c r="CC15" s="2">
        <f>COUNTIF(defects!$V:$V,Weekly_All!CC$3&amp;Weekly_All!$B15&amp;Weekly_All!$B$3&amp;$B$2)</f>
        <v>3</v>
      </c>
      <c r="CD15" s="2">
        <f>COUNTIF(defects!$V:$V,Weekly_All!CD$3&amp;Weekly_All!$B15&amp;Weekly_All!$B$3&amp;$B$2)</f>
        <v>3</v>
      </c>
      <c r="CE15" s="2">
        <f>COUNTIF(defects!$V:$V,Weekly_All!CE$3&amp;Weekly_All!$B15&amp;Weekly_All!$B$3&amp;$B$2)</f>
        <v>2</v>
      </c>
      <c r="CF15" s="2">
        <f>COUNTIF(defects!$V:$V,Weekly_All!CF$3&amp;Weekly_All!$B15&amp;Weekly_All!$B$3&amp;$B$2)</f>
        <v>5</v>
      </c>
      <c r="CG15" s="2">
        <f>COUNTIF(defects!$V:$V,Weekly_All!CG$3&amp;Weekly_All!$B15&amp;Weekly_All!$B$3&amp;$B$2)</f>
        <v>0</v>
      </c>
      <c r="CH15" s="2">
        <f>COUNTIF(defects!$V:$V,Weekly_All!CH$3&amp;Weekly_All!$B15&amp;Weekly_All!$B$3&amp;$B$2)</f>
        <v>0</v>
      </c>
      <c r="CI15" s="2">
        <f>COUNTIF(defects!$V:$V,Weekly_All!CI$3&amp;Weekly_All!$B15&amp;Weekly_All!$B$3&amp;$B$2)</f>
        <v>4</v>
      </c>
      <c r="CJ15" s="2">
        <f>COUNTIF(defects!$V:$V,Weekly_All!CJ$3&amp;Weekly_All!$B15&amp;Weekly_All!$B$3&amp;$B$2)</f>
        <v>1</v>
      </c>
      <c r="CK15" s="2">
        <f>COUNTIF(defects!$V:$V,Weekly_All!CK$3&amp;Weekly_All!$B15&amp;Weekly_All!$B$3&amp;$B$2)</f>
        <v>2</v>
      </c>
      <c r="CL15" s="2">
        <f>COUNTIF(defects!$V:$V,Weekly_All!CL$3&amp;Weekly_All!$B15&amp;Weekly_All!$B$3&amp;$B$2)</f>
        <v>1</v>
      </c>
      <c r="CM15" s="2">
        <f>COUNTIF(defects!$V:$V,Weekly_All!CM$3&amp;Weekly_All!$B15&amp;Weekly_All!$B$3&amp;$B$2)</f>
        <v>1</v>
      </c>
      <c r="CN15" s="2">
        <f>COUNTIF(defects!$V:$V,Weekly_All!CN$3&amp;Weekly_All!$B15&amp;Weekly_All!$B$3&amp;$B$2)</f>
        <v>0</v>
      </c>
      <c r="CO15" s="2">
        <f>COUNTIF(defects!$V:$V,Weekly_All!CO$3&amp;Weekly_All!$B15&amp;Weekly_All!$B$3&amp;$B$2)</f>
        <v>2</v>
      </c>
      <c r="CP15" s="2">
        <f>COUNTIF(defects!$V:$V,Weekly_All!CP$3&amp;Weekly_All!$B15&amp;Weekly_All!$B$3&amp;$B$2)</f>
        <v>1</v>
      </c>
      <c r="CQ15" s="2">
        <f>COUNTIF(defects!$V:$V,Weekly_All!CQ$3&amp;Weekly_All!$B15&amp;Weekly_All!$B$3&amp;$B$2)</f>
        <v>0</v>
      </c>
      <c r="CR15" s="2">
        <f>COUNTIF(defects!$V:$V,Weekly_All!CR$3&amp;Weekly_All!$B15&amp;Weekly_All!$B$3&amp;$B$2)</f>
        <v>1</v>
      </c>
      <c r="CS15" s="2">
        <f>COUNTIF(defects!$V:$V,Weekly_All!CS$3&amp;Weekly_All!$B15&amp;Weekly_All!$B$3&amp;$B$2)</f>
        <v>1</v>
      </c>
      <c r="CT15" s="2">
        <f>COUNTIF(defects!$V:$V,Weekly_All!CT$3&amp;Weekly_All!$B15&amp;Weekly_All!$B$3&amp;$B$2)</f>
        <v>3</v>
      </c>
      <c r="CU15" s="2">
        <f>COUNTIF(defects!$V:$V,Weekly_All!CU$3&amp;Weekly_All!$B15&amp;Weekly_All!$B$3&amp;$B$2)</f>
        <v>0</v>
      </c>
      <c r="CV15" s="2">
        <f>COUNTIF(defects!$V:$V,Weekly_All!CV$3&amp;Weekly_All!$B15&amp;Weekly_All!$B$3&amp;$B$2)</f>
        <v>2</v>
      </c>
      <c r="CW15" s="2">
        <f>COUNTIF(defects!$V:$V,Weekly_All!CW$3&amp;Weekly_All!$B15&amp;Weekly_All!$B$3&amp;$B$2)</f>
        <v>0</v>
      </c>
      <c r="CX15" s="2">
        <f>COUNTIF(defects!$V:$V,Weekly_All!CX$3&amp;Weekly_All!$B15&amp;Weekly_All!$B$3&amp;$B$2)</f>
        <v>0</v>
      </c>
      <c r="CY15" s="2">
        <f>COUNTIF(defects!$V:$V,Weekly_All!CY$3&amp;Weekly_All!$B15&amp;Weekly_All!$B$3&amp;$B$2)</f>
        <v>5</v>
      </c>
      <c r="CZ15" s="2">
        <f>COUNTIF(defects!$V:$V,Weekly_All!CZ$3&amp;Weekly_All!$B15&amp;Weekly_All!$B$3&amp;$B$2)</f>
        <v>0</v>
      </c>
      <c r="DA15" s="2">
        <f>COUNTIF(defects!$V:$V,Weekly_All!DA$3&amp;Weekly_All!$B15&amp;Weekly_All!$B$3&amp;$B$2)</f>
        <v>0</v>
      </c>
      <c r="DB15" s="2">
        <f>COUNTIF(defects!$V:$V,Weekly_All!DB$3&amp;Weekly_All!$B15&amp;Weekly_All!$B$3&amp;$B$2)</f>
        <v>0</v>
      </c>
      <c r="DC15" s="2">
        <f>COUNTIF(defects!$V:$V,Weekly_All!DC$3&amp;Weekly_All!$B15&amp;Weekly_All!$B$3&amp;$B$2)</f>
        <v>3</v>
      </c>
      <c r="DD15" s="2">
        <f>COUNTIF(defects!$V:$V,Weekly_All!DD$3&amp;Weekly_All!$B15&amp;Weekly_All!$B$3&amp;$B$2)</f>
        <v>0</v>
      </c>
      <c r="DE15" s="2">
        <f>COUNTIF(defects!$V:$V,Weekly_All!DE$3&amp;Weekly_All!$B15&amp;Weekly_All!$B$3&amp;$B$2)</f>
        <v>0</v>
      </c>
      <c r="DF15" s="2">
        <f>COUNTIF(defects!$V:$V,Weekly_All!DF$3&amp;Weekly_All!$B15&amp;Weekly_All!$B$3&amp;$B$2)</f>
        <v>0</v>
      </c>
      <c r="DG15" s="2">
        <f>COUNTIF(defects!$V:$V,Weekly_All!DG$3&amp;Weekly_All!$B15&amp;Weekly_All!$B$3&amp;$B$2)</f>
        <v>0</v>
      </c>
      <c r="DH15" s="2">
        <f>COUNTIF(defects!$V:$V,Weekly_All!DH$3&amp;Weekly_All!$B15&amp;Weekly_All!$B$3&amp;$B$2)</f>
        <v>0</v>
      </c>
      <c r="DI15" s="2">
        <f>COUNTIF(defects!$V:$V,Weekly_All!DI$3&amp;Weekly_All!$B15&amp;Weekly_All!$B$3&amp;$B$2)</f>
        <v>0</v>
      </c>
      <c r="DJ15" s="2">
        <f>COUNTIF(defects!$V:$V,Weekly_All!DJ$3&amp;Weekly_All!$B15&amp;Weekly_All!$B$3&amp;$B$2)</f>
        <v>0</v>
      </c>
      <c r="DK15" s="2">
        <f>COUNTIF(defects!$V:$V,Weekly_All!DK$3&amp;Weekly_All!$B15&amp;Weekly_All!$B$3&amp;$B$2)</f>
        <v>0</v>
      </c>
      <c r="DL15" s="2">
        <f>COUNTIF(defects!$V:$V,Weekly_All!DL$3&amp;Weekly_All!$B15&amp;Weekly_All!$B$3&amp;$B$2)</f>
        <v>0</v>
      </c>
      <c r="DM15" s="2">
        <f>COUNTIF(defects!$V:$V,Weekly_All!DM$3&amp;Weekly_All!$B15&amp;Weekly_All!$B$3&amp;$B$2)</f>
        <v>0</v>
      </c>
      <c r="DN15" s="2">
        <f>COUNTIF(defects!$V:$V,Weekly_All!DN$3&amp;Weekly_All!$B15&amp;Weekly_All!$B$3&amp;$B$2)</f>
        <v>0</v>
      </c>
      <c r="DO15" s="2">
        <f>COUNTIF(defects!$V:$V,Weekly_All!DO$3&amp;Weekly_All!$B15&amp;Weekly_All!$B$3&amp;$B$2)</f>
        <v>0</v>
      </c>
      <c r="DP15" s="2">
        <f>COUNTIF(defects!$V:$V,Weekly_All!DP$3&amp;Weekly_All!$B15&amp;Weekly_All!$B$3&amp;$B$2)</f>
        <v>0</v>
      </c>
      <c r="DQ15" s="2">
        <f>COUNTIF(defects!$V:$V,Weekly_All!DQ$3&amp;Weekly_All!$B15&amp;Weekly_All!$B$3&amp;$B$2)</f>
        <v>0</v>
      </c>
      <c r="DR15" s="2">
        <f>COUNTIF(defects!$V:$V,Weekly_All!DR$3&amp;Weekly_All!$B15&amp;Weekly_All!$B$3&amp;$B$2)</f>
        <v>0</v>
      </c>
      <c r="DS15" s="2">
        <f>COUNTIF(defects!$V:$V,Weekly_All!DS$3&amp;Weekly_All!$B15&amp;Weekly_All!$B$3&amp;$B$2)</f>
        <v>0</v>
      </c>
      <c r="DT15" s="2">
        <f>COUNTIF(defects!$V:$V,Weekly_All!DT$3&amp;Weekly_All!$B15&amp;Weekly_All!$B$3&amp;$B$2)</f>
        <v>0</v>
      </c>
      <c r="DU15" s="2">
        <f>COUNTIF(defects!$V:$V,Weekly_All!DU$3&amp;Weekly_All!$B15&amp;Weekly_All!$B$3&amp;$B$2)</f>
        <v>0</v>
      </c>
      <c r="DV15" s="2">
        <f>COUNTIF(defects!$V:$V,Weekly_All!DV$3&amp;Weekly_All!$B15&amp;Weekly_All!$B$3&amp;$B$2)</f>
        <v>0</v>
      </c>
      <c r="DW15" s="2">
        <f>COUNTIF(defects!$V:$V,Weekly_All!DW$3&amp;Weekly_All!$B15&amp;Weekly_All!$B$3&amp;$B$2)</f>
        <v>0</v>
      </c>
      <c r="DX15" s="2">
        <f>COUNTIF(defects!$V:$V,Weekly_All!DX$3&amp;Weekly_All!$B15&amp;Weekly_All!$B$3&amp;$B$2)</f>
        <v>0</v>
      </c>
      <c r="DY15" s="2">
        <f>COUNTIF(defects!$V:$V,Weekly_All!DY$3&amp;Weekly_All!$B15&amp;Weekly_All!$B$3&amp;$B$2)</f>
        <v>0</v>
      </c>
      <c r="DZ15" s="2">
        <f>COUNTIF(defects!$V:$V,Weekly_All!DZ$3&amp;Weekly_All!$B15&amp;Weekly_All!$B$3&amp;$B$2)</f>
        <v>0</v>
      </c>
      <c r="EA15" s="2">
        <f>COUNTIF(defects!$V:$V,Weekly_All!EA$3&amp;Weekly_All!$B15&amp;Weekly_All!$B$3&amp;$B$2)</f>
        <v>0</v>
      </c>
      <c r="EB15" s="2">
        <f>COUNTIF(defects!$V:$V,Weekly_All!EB$3&amp;Weekly_All!$B15&amp;Weekly_All!$B$3&amp;$B$2)</f>
        <v>0</v>
      </c>
      <c r="EC15" s="2">
        <f>COUNTIF(defects!$V:$V,Weekly_All!EC$3&amp;Weekly_All!$B15&amp;Weekly_All!$B$3&amp;$B$2)</f>
        <v>0</v>
      </c>
      <c r="ED15" s="2">
        <f>COUNTIF(defects!$V:$V,Weekly_All!ED$3&amp;Weekly_All!$B15&amp;Weekly_All!$B$3&amp;$B$2)</f>
        <v>0</v>
      </c>
      <c r="EE15" s="2">
        <f>COUNTIF(defects!$V:$V,Weekly_All!EE$3&amp;Weekly_All!$B15&amp;Weekly_All!$B$3&amp;$B$2)</f>
        <v>0</v>
      </c>
      <c r="EF15" s="2">
        <f>COUNTIF(defects!$V:$V,Weekly_All!EF$3&amp;Weekly_All!$B15&amp;Weekly_All!$B$3&amp;$B$2)</f>
        <v>0</v>
      </c>
      <c r="EG15" s="2">
        <f>COUNTIF(defects!$V:$V,Weekly_All!EG$3&amp;Weekly_All!$B15&amp;Weekly_All!$B$3&amp;$B$2)</f>
        <v>0</v>
      </c>
      <c r="EH15" s="2">
        <f>COUNTIF(defects!$V:$V,Weekly_All!EH$3&amp;Weekly_All!$B15&amp;Weekly_All!$B$3&amp;$B$2)</f>
        <v>0</v>
      </c>
      <c r="EI15" s="2">
        <f>COUNTIF(defects!$V:$V,Weekly_All!EI$3&amp;Weekly_All!$B15&amp;Weekly_All!$B$3&amp;$B$2)</f>
        <v>0</v>
      </c>
      <c r="EJ15" s="2">
        <f>COUNTIF(defects!$V:$V,Weekly_All!EJ$3&amp;Weekly_All!$B15&amp;Weekly_All!$B$3&amp;$B$2)</f>
        <v>0</v>
      </c>
      <c r="EK15" s="2">
        <f>COUNTIF(defects!$V:$V,Weekly_All!EK$3&amp;Weekly_All!$B15&amp;Weekly_All!$B$3&amp;$B$2)</f>
        <v>0</v>
      </c>
      <c r="EL15" s="2">
        <f>COUNTIF(defects!$V:$V,Weekly_All!EL$3&amp;Weekly_All!$B15&amp;Weekly_All!$B$3&amp;$B$2)</f>
        <v>0</v>
      </c>
      <c r="EM15" s="2">
        <f>COUNTIF(defects!$V:$V,Weekly_All!EM$3&amp;Weekly_All!$B15&amp;Weekly_All!$B$3&amp;$B$2)</f>
        <v>0</v>
      </c>
      <c r="EN15" s="2">
        <f>COUNTIF(defects!$V:$V,Weekly_All!EN$3&amp;Weekly_All!$B15&amp;Weekly_All!$B$3&amp;$B$2)</f>
        <v>0</v>
      </c>
      <c r="EO15" s="2">
        <f>COUNTIF(defects!$V:$V,Weekly_All!EO$3&amp;Weekly_All!$B15&amp;Weekly_All!$B$3&amp;$B$2)</f>
        <v>0</v>
      </c>
      <c r="EP15" s="2">
        <f>COUNTIF(defects!$V:$V,Weekly_All!EP$3&amp;Weekly_All!$B15&amp;Weekly_All!$B$3&amp;$B$2)</f>
        <v>0</v>
      </c>
      <c r="EQ15" s="2">
        <f>COUNTIF(defects!$V:$V,Weekly_All!EQ$3&amp;Weekly_All!$B15&amp;Weekly_All!$B$3&amp;$B$2)</f>
        <v>0</v>
      </c>
      <c r="ER15" s="2">
        <f>COUNTIF(defects!$V:$V,Weekly_All!ER$3&amp;Weekly_All!$B15&amp;Weekly_All!$B$3&amp;$B$2)</f>
        <v>0</v>
      </c>
      <c r="ES15" s="2">
        <f>COUNTIF(defects!$V:$V,Weekly_All!ES$3&amp;Weekly_All!$B15&amp;Weekly_All!$B$3&amp;$B$2)</f>
        <v>0</v>
      </c>
      <c r="ET15" s="2">
        <f>COUNTIF(defects!$V:$V,Weekly_All!ET$3&amp;Weekly_All!$B15&amp;Weekly_All!$B$3&amp;$B$2)</f>
        <v>0</v>
      </c>
      <c r="EU15" s="2">
        <f>COUNTIF(defects!$V:$V,Weekly_All!EU$3&amp;Weekly_All!$B15&amp;Weekly_All!$B$3&amp;$B$2)</f>
        <v>0</v>
      </c>
      <c r="EV15" s="2">
        <f>COUNTIF(defects!$V:$V,Weekly_All!EV$3&amp;Weekly_All!$B15&amp;Weekly_All!$B$3&amp;$B$2)</f>
        <v>0</v>
      </c>
      <c r="EW15" s="2">
        <f>COUNTIF(defects!$V:$V,Weekly_All!EW$3&amp;Weekly_All!$B15&amp;Weekly_All!$B$3&amp;$B$2)</f>
        <v>0</v>
      </c>
      <c r="EX15" s="2">
        <f>COUNTIF(defects!$V:$V,Weekly_All!EX$3&amp;Weekly_All!$B15&amp;Weekly_All!$B$3&amp;$B$2)</f>
        <v>0</v>
      </c>
      <c r="EY15" s="2">
        <f>COUNTIF(defects!$V:$V,Weekly_All!EY$3&amp;Weekly_All!$B15&amp;Weekly_All!$B$3&amp;$B$2)</f>
        <v>0</v>
      </c>
      <c r="EZ15" s="2">
        <f>COUNTIF(defects!$V:$V,Weekly_All!EZ$3&amp;Weekly_All!$B15&amp;Weekly_All!$B$3&amp;$B$2)</f>
        <v>0</v>
      </c>
      <c r="FA15" s="2">
        <f>COUNTIF(defects!$V:$V,Weekly_All!FA$3&amp;Weekly_All!$B15&amp;Weekly_All!$B$3&amp;$B$2)</f>
        <v>0</v>
      </c>
      <c r="FB15" s="2">
        <f>COUNTIF(defects!$V:$V,Weekly_All!FB$3&amp;Weekly_All!$B15&amp;Weekly_All!$B$3&amp;$B$2)</f>
        <v>0</v>
      </c>
      <c r="FC15" s="2">
        <f>COUNTIF(defects!$V:$V,Weekly_All!FC$3&amp;Weekly_All!$B15&amp;Weekly_All!$B$3&amp;$B$2)</f>
        <v>0</v>
      </c>
      <c r="FD15" s="2">
        <f>COUNTIF(defects!$V:$V,Weekly_All!FD$3&amp;Weekly_All!$B15&amp;Weekly_All!$B$3&amp;$B$2)</f>
        <v>0</v>
      </c>
      <c r="FE15" s="2">
        <f>COUNTIF(defects!$V:$V,Weekly_All!FE$3&amp;Weekly_All!$B15&amp;Weekly_All!$B$3&amp;$B$2)</f>
        <v>0</v>
      </c>
    </row>
    <row r="16" spans="2:161">
      <c r="B16" s="2" t="s">
        <v>28</v>
      </c>
      <c r="C16" s="2">
        <f>COUNTIF(defects!$V:$V,Weekly_All!C$3&amp;Weekly_All!$B16&amp;Weekly_All!$B$3&amp;$B$2)</f>
        <v>0</v>
      </c>
      <c r="D16" s="2">
        <f>COUNTIF(defects!$V:$V,Weekly_All!D$3&amp;Weekly_All!$B16&amp;Weekly_All!$B$3&amp;$B$2)</f>
        <v>0</v>
      </c>
      <c r="E16" s="2">
        <f>COUNTIF(defects!$V:$V,Weekly_All!E$3&amp;Weekly_All!$B16&amp;Weekly_All!$B$3&amp;$B$2)</f>
        <v>0</v>
      </c>
      <c r="F16" s="2">
        <f>COUNTIF(defects!$V:$V,Weekly_All!F$3&amp;Weekly_All!$B16&amp;Weekly_All!$B$3&amp;$B$2)</f>
        <v>0</v>
      </c>
      <c r="G16" s="2">
        <f>COUNTIF(defects!$V:$V,Weekly_All!G$3&amp;Weekly_All!$B16&amp;Weekly_All!$B$3&amp;$B$2)</f>
        <v>0</v>
      </c>
      <c r="H16" s="2">
        <f>COUNTIF(defects!$V:$V,Weekly_All!H$3&amp;Weekly_All!$B16&amp;Weekly_All!$B$3&amp;$B$2)</f>
        <v>0</v>
      </c>
      <c r="I16" s="2">
        <f>COUNTIF(defects!$V:$V,Weekly_All!I$3&amp;Weekly_All!$B16&amp;Weekly_All!$B$3&amp;$B$2)</f>
        <v>0</v>
      </c>
      <c r="J16" s="2">
        <f>COUNTIF(defects!$V:$V,Weekly_All!J$3&amp;Weekly_All!$B16&amp;Weekly_All!$B$3&amp;$B$2)</f>
        <v>0</v>
      </c>
      <c r="K16" s="2">
        <f>COUNTIF(defects!$V:$V,Weekly_All!K$3&amp;Weekly_All!$B16&amp;Weekly_All!$B$3&amp;$B$2)</f>
        <v>0</v>
      </c>
      <c r="L16" s="2">
        <f>COUNTIF(defects!$V:$V,Weekly_All!L$3&amp;Weekly_All!$B16&amp;Weekly_All!$B$3&amp;$B$2)</f>
        <v>0</v>
      </c>
      <c r="M16" s="2">
        <f>COUNTIF(defects!$V:$V,Weekly_All!M$3&amp;Weekly_All!$B16&amp;Weekly_All!$B$3&amp;$B$2)</f>
        <v>0</v>
      </c>
      <c r="N16" s="2">
        <f>COUNTIF(defects!$V:$V,Weekly_All!N$3&amp;Weekly_All!$B16&amp;Weekly_All!$B$3&amp;$B$2)</f>
        <v>0</v>
      </c>
      <c r="O16" s="2">
        <f>COUNTIF(defects!$V:$V,Weekly_All!O$3&amp;Weekly_All!$B16&amp;Weekly_All!$B$3&amp;$B$2)</f>
        <v>0</v>
      </c>
      <c r="P16" s="2">
        <f>COUNTIF(defects!$V:$V,Weekly_All!P$3&amp;Weekly_All!$B16&amp;Weekly_All!$B$3&amp;$B$2)</f>
        <v>0</v>
      </c>
      <c r="Q16" s="2">
        <f>COUNTIF(defects!$V:$V,Weekly_All!Q$3&amp;Weekly_All!$B16&amp;Weekly_All!$B$3&amp;$B$2)</f>
        <v>0</v>
      </c>
      <c r="R16" s="2">
        <f>COUNTIF(defects!$V:$V,Weekly_All!R$3&amp;Weekly_All!$B16&amp;Weekly_All!$B$3&amp;$B$2)</f>
        <v>0</v>
      </c>
      <c r="S16" s="2">
        <f>COUNTIF(defects!$V:$V,Weekly_All!S$3&amp;Weekly_All!$B16&amp;Weekly_All!$B$3&amp;$B$2)</f>
        <v>0</v>
      </c>
      <c r="T16" s="2">
        <f>COUNTIF(defects!$V:$V,Weekly_All!T$3&amp;Weekly_All!$B16&amp;Weekly_All!$B$3&amp;$B$2)</f>
        <v>0</v>
      </c>
      <c r="U16" s="2">
        <f>COUNTIF(defects!$V:$V,Weekly_All!U$3&amp;Weekly_All!$B16&amp;Weekly_All!$B$3&amp;$B$2)</f>
        <v>0</v>
      </c>
      <c r="V16" s="2">
        <f>COUNTIF(defects!$V:$V,Weekly_All!V$3&amp;Weekly_All!$B16&amp;Weekly_All!$B$3&amp;$B$2)</f>
        <v>0</v>
      </c>
      <c r="W16" s="2">
        <f>COUNTIF(defects!$V:$V,Weekly_All!W$3&amp;Weekly_All!$B16&amp;Weekly_All!$B$3&amp;$B$2)</f>
        <v>0</v>
      </c>
      <c r="X16" s="2">
        <f>COUNTIF(defects!$V:$V,Weekly_All!X$3&amp;Weekly_All!$B16&amp;Weekly_All!$B$3&amp;$B$2)</f>
        <v>0</v>
      </c>
      <c r="Y16" s="2">
        <f>COUNTIF(defects!$V:$V,Weekly_All!Y$3&amp;Weekly_All!$B16&amp;Weekly_All!$B$3&amp;$B$2)</f>
        <v>0</v>
      </c>
      <c r="Z16" s="2">
        <f>COUNTIF(defects!$V:$V,Weekly_All!Z$3&amp;Weekly_All!$B16&amp;Weekly_All!$B$3&amp;$B$2)</f>
        <v>0</v>
      </c>
      <c r="AA16" s="2">
        <f>COUNTIF(defects!$V:$V,Weekly_All!AA$3&amp;Weekly_All!$B16&amp;Weekly_All!$B$3&amp;$B$2)</f>
        <v>0</v>
      </c>
      <c r="AB16" s="2">
        <f>COUNTIF(defects!$V:$V,Weekly_All!AB$3&amp;Weekly_All!$B16&amp;Weekly_All!$B$3&amp;$B$2)</f>
        <v>0</v>
      </c>
      <c r="AC16" s="2">
        <f>COUNTIF(defects!$V:$V,Weekly_All!AC$3&amp;Weekly_All!$B16&amp;Weekly_All!$B$3&amp;$B$2)</f>
        <v>0</v>
      </c>
      <c r="AD16" s="2">
        <f>COUNTIF(defects!$V:$V,Weekly_All!AD$3&amp;Weekly_All!$B16&amp;Weekly_All!$B$3&amp;$B$2)</f>
        <v>0</v>
      </c>
      <c r="AE16" s="2">
        <f>COUNTIF(defects!$V:$V,Weekly_All!AE$3&amp;Weekly_All!$B16&amp;Weekly_All!$B$3&amp;$B$2)</f>
        <v>0</v>
      </c>
      <c r="AF16" s="2">
        <f>COUNTIF(defects!$V:$V,Weekly_All!AF$3&amp;Weekly_All!$B16&amp;Weekly_All!$B$3&amp;$B$2)</f>
        <v>0</v>
      </c>
      <c r="AG16" s="2">
        <f>COUNTIF(defects!$V:$V,Weekly_All!AG$3&amp;Weekly_All!$B16&amp;Weekly_All!$B$3&amp;$B$2)</f>
        <v>0</v>
      </c>
      <c r="AH16" s="2">
        <f>COUNTIF(defects!$V:$V,Weekly_All!AH$3&amp;Weekly_All!$B16&amp;Weekly_All!$B$3&amp;$B$2)</f>
        <v>0</v>
      </c>
      <c r="AI16" s="2">
        <f>COUNTIF(defects!$V:$V,Weekly_All!AI$3&amp;Weekly_All!$B16&amp;Weekly_All!$B$3&amp;$B$2)</f>
        <v>0</v>
      </c>
      <c r="AJ16" s="2">
        <f>COUNTIF(defects!$V:$V,Weekly_All!AJ$3&amp;Weekly_All!$B16&amp;Weekly_All!$B$3&amp;$B$2)</f>
        <v>0</v>
      </c>
      <c r="AK16" s="2">
        <f>COUNTIF(defects!$V:$V,Weekly_All!AK$3&amp;Weekly_All!$B16&amp;Weekly_All!$B$3&amp;$B$2)</f>
        <v>0</v>
      </c>
      <c r="AL16" s="2">
        <f>COUNTIF(defects!$V:$V,Weekly_All!AL$3&amp;Weekly_All!$B16&amp;Weekly_All!$B$3&amp;$B$2)</f>
        <v>0</v>
      </c>
      <c r="AM16" s="2">
        <f>COUNTIF(defects!$V:$V,Weekly_All!AM$3&amp;Weekly_All!$B16&amp;Weekly_All!$B$3&amp;$B$2)</f>
        <v>0</v>
      </c>
      <c r="AN16" s="2">
        <f>COUNTIF(defects!$V:$V,Weekly_All!AN$3&amp;Weekly_All!$B16&amp;Weekly_All!$B$3&amp;$B$2)</f>
        <v>0</v>
      </c>
      <c r="AO16" s="2">
        <f>COUNTIF(defects!$V:$V,Weekly_All!AO$3&amp;Weekly_All!$B16&amp;Weekly_All!$B$3&amp;$B$2)</f>
        <v>0</v>
      </c>
      <c r="AP16" s="2">
        <f>COUNTIF(defects!$V:$V,Weekly_All!AP$3&amp;Weekly_All!$B16&amp;Weekly_All!$B$3&amp;$B$2)</f>
        <v>0</v>
      </c>
      <c r="AQ16" s="2">
        <f>COUNTIF(defects!$V:$V,Weekly_All!AQ$3&amp;Weekly_All!$B16&amp;Weekly_All!$B$3&amp;$B$2)</f>
        <v>0</v>
      </c>
      <c r="AR16" s="2">
        <f>COUNTIF(defects!$V:$V,Weekly_All!AR$3&amp;Weekly_All!$B16&amp;Weekly_All!$B$3&amp;$B$2)</f>
        <v>0</v>
      </c>
      <c r="AS16" s="2">
        <f>COUNTIF(defects!$V:$V,Weekly_All!AS$3&amp;Weekly_All!$B16&amp;Weekly_All!$B$3&amp;$B$2)</f>
        <v>0</v>
      </c>
      <c r="AT16" s="2">
        <f>COUNTIF(defects!$V:$V,Weekly_All!AT$3&amp;Weekly_All!$B16&amp;Weekly_All!$B$3&amp;$B$2)</f>
        <v>0</v>
      </c>
      <c r="AU16" s="2">
        <f>COUNTIF(defects!$V:$V,Weekly_All!AU$3&amp;Weekly_All!$B16&amp;Weekly_All!$B$3&amp;$B$2)</f>
        <v>0</v>
      </c>
      <c r="AV16" s="2">
        <f>COUNTIF(defects!$V:$V,Weekly_All!AV$3&amp;Weekly_All!$B16&amp;Weekly_All!$B$3&amp;$B$2)</f>
        <v>0</v>
      </c>
      <c r="AW16" s="2">
        <f>COUNTIF(defects!$V:$V,Weekly_All!AW$3&amp;Weekly_All!$B16&amp;Weekly_All!$B$3&amp;$B$2)</f>
        <v>0</v>
      </c>
      <c r="AX16" s="2">
        <f>COUNTIF(defects!$V:$V,Weekly_All!AX$3&amp;Weekly_All!$B16&amp;Weekly_All!$B$3&amp;$B$2)</f>
        <v>0</v>
      </c>
      <c r="AY16" s="2">
        <f>COUNTIF(defects!$V:$V,Weekly_All!AY$3&amp;Weekly_All!$B16&amp;Weekly_All!$B$3&amp;$B$2)</f>
        <v>0</v>
      </c>
      <c r="AZ16" s="2">
        <f>COUNTIF(defects!$V:$V,Weekly_All!AZ$3&amp;Weekly_All!$B16&amp;Weekly_All!$B$3&amp;$B$2)</f>
        <v>0</v>
      </c>
      <c r="BA16" s="2">
        <f>COUNTIF(defects!$V:$V,Weekly_All!BA$3&amp;Weekly_All!$B16&amp;Weekly_All!$B$3&amp;$B$2)</f>
        <v>0</v>
      </c>
      <c r="BB16" s="2">
        <f>COUNTIF(defects!$V:$V,Weekly_All!BB$3&amp;Weekly_All!$B16&amp;Weekly_All!$B$3&amp;$B$2)</f>
        <v>0</v>
      </c>
      <c r="BC16" s="2">
        <f>COUNTIF(defects!$V:$V,Weekly_All!BC$3&amp;Weekly_All!$B16&amp;Weekly_All!$B$3&amp;$B$2)</f>
        <v>0</v>
      </c>
      <c r="BD16" s="2">
        <f>COUNTIF(defects!$V:$V,Weekly_All!BD$3&amp;Weekly_All!$B16&amp;Weekly_All!$B$3&amp;$B$2)</f>
        <v>0</v>
      </c>
      <c r="BE16" s="2">
        <f>COUNTIF(defects!$V:$V,Weekly_All!BE$3&amp;Weekly_All!$B16&amp;Weekly_All!$B$3&amp;$B$2)</f>
        <v>0</v>
      </c>
      <c r="BF16" s="2">
        <f>COUNTIF(defects!$V:$V,Weekly_All!BF$3&amp;Weekly_All!$B16&amp;Weekly_All!$B$3&amp;$B$2)</f>
        <v>0</v>
      </c>
      <c r="BG16" s="2">
        <f>COUNTIF(defects!$V:$V,Weekly_All!BG$3&amp;Weekly_All!$B16&amp;Weekly_All!$B$3&amp;$B$2)</f>
        <v>0</v>
      </c>
      <c r="BH16" s="2">
        <f>COUNTIF(defects!$V:$V,Weekly_All!BH$3&amp;Weekly_All!$B16&amp;Weekly_All!$B$3&amp;$B$2)</f>
        <v>0</v>
      </c>
      <c r="BI16" s="2">
        <f>COUNTIF(defects!$V:$V,Weekly_All!BI$3&amp;Weekly_All!$B16&amp;Weekly_All!$B$3&amp;$B$2)</f>
        <v>0</v>
      </c>
      <c r="BJ16" s="2">
        <f>COUNTIF(defects!$V:$V,Weekly_All!BJ$3&amp;Weekly_All!$B16&amp;Weekly_All!$B$3&amp;$B$2)</f>
        <v>0</v>
      </c>
      <c r="BK16" s="2">
        <f>COUNTIF(defects!$V:$V,Weekly_All!BK$3&amp;Weekly_All!$B16&amp;Weekly_All!$B$3&amp;$B$2)</f>
        <v>0</v>
      </c>
      <c r="BL16" s="2">
        <f>COUNTIF(defects!$V:$V,Weekly_All!BL$3&amp;Weekly_All!$B16&amp;Weekly_All!$B$3&amp;$B$2)</f>
        <v>0</v>
      </c>
      <c r="BM16" s="2">
        <f>COUNTIF(defects!$V:$V,Weekly_All!BM$3&amp;Weekly_All!$B16&amp;Weekly_All!$B$3&amp;$B$2)</f>
        <v>0</v>
      </c>
      <c r="BN16" s="2">
        <f>COUNTIF(defects!$V:$V,Weekly_All!BN$3&amp;Weekly_All!$B16&amp;Weekly_All!$B$3&amp;$B$2)</f>
        <v>0</v>
      </c>
      <c r="BO16" s="2">
        <f>COUNTIF(defects!$V:$V,Weekly_All!BO$3&amp;Weekly_All!$B16&amp;Weekly_All!$B$3&amp;$B$2)</f>
        <v>0</v>
      </c>
      <c r="BP16" s="2">
        <f>COUNTIF(defects!$V:$V,Weekly_All!BP$3&amp;Weekly_All!$B16&amp;Weekly_All!$B$3&amp;$B$2)</f>
        <v>0</v>
      </c>
      <c r="BQ16" s="2">
        <f>COUNTIF(defects!$V:$V,Weekly_All!BQ$3&amp;Weekly_All!$B16&amp;Weekly_All!$B$3&amp;$B$2)</f>
        <v>0</v>
      </c>
      <c r="BR16" s="2">
        <f>COUNTIF(defects!$V:$V,Weekly_All!BR$3&amp;Weekly_All!$B16&amp;Weekly_All!$B$3&amp;$B$2)</f>
        <v>1</v>
      </c>
      <c r="BS16" s="2">
        <f>COUNTIF(defects!$V:$V,Weekly_All!BS$3&amp;Weekly_All!$B16&amp;Weekly_All!$B$3&amp;$B$2)</f>
        <v>1</v>
      </c>
      <c r="BT16" s="2">
        <f>COUNTIF(defects!$V:$V,Weekly_All!BT$3&amp;Weekly_All!$B16&amp;Weekly_All!$B$3&amp;$B$2)</f>
        <v>1</v>
      </c>
      <c r="BU16" s="2">
        <f>COUNTIF(defects!$V:$V,Weekly_All!BU$3&amp;Weekly_All!$B16&amp;Weekly_All!$B$3&amp;$B$2)</f>
        <v>2</v>
      </c>
      <c r="BV16" s="2">
        <f>COUNTIF(defects!$V:$V,Weekly_All!BV$3&amp;Weekly_All!$B16&amp;Weekly_All!$B$3&amp;$B$2)</f>
        <v>0</v>
      </c>
      <c r="BW16" s="2">
        <f>COUNTIF(defects!$V:$V,Weekly_All!BW$3&amp;Weekly_All!$B16&amp;Weekly_All!$B$3&amp;$B$2)</f>
        <v>0</v>
      </c>
      <c r="BX16" s="2">
        <f>COUNTIF(defects!$V:$V,Weekly_All!BX$3&amp;Weekly_All!$B16&amp;Weekly_All!$B$3&amp;$B$2)</f>
        <v>2</v>
      </c>
      <c r="BY16" s="2">
        <f>COUNTIF(defects!$V:$V,Weekly_All!BY$3&amp;Weekly_All!$B16&amp;Weekly_All!$B$3&amp;$B$2)</f>
        <v>1</v>
      </c>
      <c r="BZ16" s="2">
        <f>COUNTIF(defects!$V:$V,Weekly_All!BZ$3&amp;Weekly_All!$B16&amp;Weekly_All!$B$3&amp;$B$2)</f>
        <v>1</v>
      </c>
      <c r="CA16" s="2">
        <f>COUNTIF(defects!$V:$V,Weekly_All!CA$3&amp;Weekly_All!$B16&amp;Weekly_All!$B$3&amp;$B$2)</f>
        <v>1</v>
      </c>
      <c r="CB16" s="2">
        <f>COUNTIF(defects!$V:$V,Weekly_All!CB$3&amp;Weekly_All!$B16&amp;Weekly_All!$B$3&amp;$B$2)</f>
        <v>2</v>
      </c>
      <c r="CC16" s="2">
        <f>COUNTIF(defects!$V:$V,Weekly_All!CC$3&amp;Weekly_All!$B16&amp;Weekly_All!$B$3&amp;$B$2)</f>
        <v>3</v>
      </c>
      <c r="CD16" s="2">
        <f>COUNTIF(defects!$V:$V,Weekly_All!CD$3&amp;Weekly_All!$B16&amp;Weekly_All!$B$3&amp;$B$2)</f>
        <v>1</v>
      </c>
      <c r="CE16" s="2">
        <f>COUNTIF(defects!$V:$V,Weekly_All!CE$3&amp;Weekly_All!$B16&amp;Weekly_All!$B$3&amp;$B$2)</f>
        <v>5</v>
      </c>
      <c r="CF16" s="2">
        <f>COUNTIF(defects!$V:$V,Weekly_All!CF$3&amp;Weekly_All!$B16&amp;Weekly_All!$B$3&amp;$B$2)</f>
        <v>4</v>
      </c>
      <c r="CG16" s="2">
        <f>COUNTIF(defects!$V:$V,Weekly_All!CG$3&amp;Weekly_All!$B16&amp;Weekly_All!$B$3&amp;$B$2)</f>
        <v>3</v>
      </c>
      <c r="CH16" s="2">
        <f>COUNTIF(defects!$V:$V,Weekly_All!CH$3&amp;Weekly_All!$B16&amp;Weekly_All!$B$3&amp;$B$2)</f>
        <v>2</v>
      </c>
      <c r="CI16" s="2">
        <f>COUNTIF(defects!$V:$V,Weekly_All!CI$3&amp;Weekly_All!$B16&amp;Weekly_All!$B$3&amp;$B$2)</f>
        <v>3</v>
      </c>
      <c r="CJ16" s="2">
        <f>COUNTIF(defects!$V:$V,Weekly_All!CJ$3&amp;Weekly_All!$B16&amp;Weekly_All!$B$3&amp;$B$2)</f>
        <v>5</v>
      </c>
      <c r="CK16" s="2">
        <f>COUNTIF(defects!$V:$V,Weekly_All!CK$3&amp;Weekly_All!$B16&amp;Weekly_All!$B$3&amp;$B$2)</f>
        <v>8</v>
      </c>
      <c r="CL16" s="2">
        <f>COUNTIF(defects!$V:$V,Weekly_All!CL$3&amp;Weekly_All!$B16&amp;Weekly_All!$B$3&amp;$B$2)</f>
        <v>2</v>
      </c>
      <c r="CM16" s="2">
        <f>COUNTIF(defects!$V:$V,Weekly_All!CM$3&amp;Weekly_All!$B16&amp;Weekly_All!$B$3&amp;$B$2)</f>
        <v>3</v>
      </c>
      <c r="CN16" s="2">
        <f>COUNTIF(defects!$V:$V,Weekly_All!CN$3&amp;Weekly_All!$B16&amp;Weekly_All!$B$3&amp;$B$2)</f>
        <v>8</v>
      </c>
      <c r="CO16" s="2">
        <f>COUNTIF(defects!$V:$V,Weekly_All!CO$3&amp;Weekly_All!$B16&amp;Weekly_All!$B$3&amp;$B$2)</f>
        <v>6</v>
      </c>
      <c r="CP16" s="2">
        <f>COUNTIF(defects!$V:$V,Weekly_All!CP$3&amp;Weekly_All!$B16&amp;Weekly_All!$B$3&amp;$B$2)</f>
        <v>9</v>
      </c>
      <c r="CQ16" s="2">
        <f>COUNTIF(defects!$V:$V,Weekly_All!CQ$3&amp;Weekly_All!$B16&amp;Weekly_All!$B$3&amp;$B$2)</f>
        <v>6</v>
      </c>
      <c r="CR16" s="2">
        <f>COUNTIF(defects!$V:$V,Weekly_All!CR$3&amp;Weekly_All!$B16&amp;Weekly_All!$B$3&amp;$B$2)</f>
        <v>9</v>
      </c>
      <c r="CS16" s="2">
        <f>COUNTIF(defects!$V:$V,Weekly_All!CS$3&amp;Weekly_All!$B16&amp;Weekly_All!$B$3&amp;$B$2)</f>
        <v>3</v>
      </c>
      <c r="CT16" s="2">
        <f>COUNTIF(defects!$V:$V,Weekly_All!CT$3&amp;Weekly_All!$B16&amp;Weekly_All!$B$3&amp;$B$2)</f>
        <v>5</v>
      </c>
      <c r="CU16" s="2">
        <f>COUNTIF(defects!$V:$V,Weekly_All!CU$3&amp;Weekly_All!$B16&amp;Weekly_All!$B$3&amp;$B$2)</f>
        <v>1</v>
      </c>
      <c r="CV16" s="2">
        <f>COUNTIF(defects!$V:$V,Weekly_All!CV$3&amp;Weekly_All!$B16&amp;Weekly_All!$B$3&amp;$B$2)</f>
        <v>0</v>
      </c>
      <c r="CW16" s="2">
        <f>COUNTIF(defects!$V:$V,Weekly_All!CW$3&amp;Weekly_All!$B16&amp;Weekly_All!$B$3&amp;$B$2)</f>
        <v>1</v>
      </c>
      <c r="CX16" s="2">
        <f>COUNTIF(defects!$V:$V,Weekly_All!CX$3&amp;Weekly_All!$B16&amp;Weekly_All!$B$3&amp;$B$2)</f>
        <v>1</v>
      </c>
      <c r="CY16" s="2">
        <f>COUNTIF(defects!$V:$V,Weekly_All!CY$3&amp;Weekly_All!$B16&amp;Weekly_All!$B$3&amp;$B$2)</f>
        <v>2</v>
      </c>
      <c r="CZ16" s="2">
        <f>COUNTIF(defects!$V:$V,Weekly_All!CZ$3&amp;Weekly_All!$B16&amp;Weekly_All!$B$3&amp;$B$2)</f>
        <v>0</v>
      </c>
      <c r="DA16" s="2">
        <f>COUNTIF(defects!$V:$V,Weekly_All!DA$3&amp;Weekly_All!$B16&amp;Weekly_All!$B$3&amp;$B$2)</f>
        <v>0</v>
      </c>
      <c r="DB16" s="2">
        <f>COUNTIF(defects!$V:$V,Weekly_All!DB$3&amp;Weekly_All!$B16&amp;Weekly_All!$B$3&amp;$B$2)</f>
        <v>0</v>
      </c>
      <c r="DC16" s="2">
        <f>COUNTIF(defects!$V:$V,Weekly_All!DC$3&amp;Weekly_All!$B16&amp;Weekly_All!$B$3&amp;$B$2)</f>
        <v>2</v>
      </c>
      <c r="DD16" s="2">
        <f>COUNTIF(defects!$V:$V,Weekly_All!DD$3&amp;Weekly_All!$B16&amp;Weekly_All!$B$3&amp;$B$2)</f>
        <v>0</v>
      </c>
      <c r="DE16" s="2">
        <f>COUNTIF(defects!$V:$V,Weekly_All!DE$3&amp;Weekly_All!$B16&amp;Weekly_All!$B$3&amp;$B$2)</f>
        <v>0</v>
      </c>
      <c r="DF16" s="2">
        <f>COUNTIF(defects!$V:$V,Weekly_All!DF$3&amp;Weekly_All!$B16&amp;Weekly_All!$B$3&amp;$B$2)</f>
        <v>0</v>
      </c>
      <c r="DG16" s="2">
        <f>COUNTIF(defects!$V:$V,Weekly_All!DG$3&amp;Weekly_All!$B16&amp;Weekly_All!$B$3&amp;$B$2)</f>
        <v>0</v>
      </c>
      <c r="DH16" s="2">
        <f>COUNTIF(defects!$V:$V,Weekly_All!DH$3&amp;Weekly_All!$B16&amp;Weekly_All!$B$3&amp;$B$2)</f>
        <v>0</v>
      </c>
      <c r="DI16" s="2">
        <f>COUNTIF(defects!$V:$V,Weekly_All!DI$3&amp;Weekly_All!$B16&amp;Weekly_All!$B$3&amp;$B$2)</f>
        <v>0</v>
      </c>
      <c r="DJ16" s="2">
        <f>COUNTIF(defects!$V:$V,Weekly_All!DJ$3&amp;Weekly_All!$B16&amp;Weekly_All!$B$3&amp;$B$2)</f>
        <v>0</v>
      </c>
      <c r="DK16" s="2">
        <f>COUNTIF(defects!$V:$V,Weekly_All!DK$3&amp;Weekly_All!$B16&amp;Weekly_All!$B$3&amp;$B$2)</f>
        <v>0</v>
      </c>
      <c r="DL16" s="2">
        <f>COUNTIF(defects!$V:$V,Weekly_All!DL$3&amp;Weekly_All!$B16&amp;Weekly_All!$B$3&amp;$B$2)</f>
        <v>0</v>
      </c>
      <c r="DM16" s="2">
        <f>COUNTIF(defects!$V:$V,Weekly_All!DM$3&amp;Weekly_All!$B16&amp;Weekly_All!$B$3&amp;$B$2)</f>
        <v>0</v>
      </c>
      <c r="DN16" s="2">
        <f>COUNTIF(defects!$V:$V,Weekly_All!DN$3&amp;Weekly_All!$B16&amp;Weekly_All!$B$3&amp;$B$2)</f>
        <v>0</v>
      </c>
      <c r="DO16" s="2">
        <f>COUNTIF(defects!$V:$V,Weekly_All!DO$3&amp;Weekly_All!$B16&amp;Weekly_All!$B$3&amp;$B$2)</f>
        <v>0</v>
      </c>
      <c r="DP16" s="2">
        <f>COUNTIF(defects!$V:$V,Weekly_All!DP$3&amp;Weekly_All!$B16&amp;Weekly_All!$B$3&amp;$B$2)</f>
        <v>0</v>
      </c>
      <c r="DQ16" s="2">
        <f>COUNTIF(defects!$V:$V,Weekly_All!DQ$3&amp;Weekly_All!$B16&amp;Weekly_All!$B$3&amp;$B$2)</f>
        <v>0</v>
      </c>
      <c r="DR16" s="2">
        <f>COUNTIF(defects!$V:$V,Weekly_All!DR$3&amp;Weekly_All!$B16&amp;Weekly_All!$B$3&amp;$B$2)</f>
        <v>0</v>
      </c>
      <c r="DS16" s="2">
        <f>COUNTIF(defects!$V:$V,Weekly_All!DS$3&amp;Weekly_All!$B16&amp;Weekly_All!$B$3&amp;$B$2)</f>
        <v>0</v>
      </c>
      <c r="DT16" s="2">
        <f>COUNTIF(defects!$V:$V,Weekly_All!DT$3&amp;Weekly_All!$B16&amp;Weekly_All!$B$3&amp;$B$2)</f>
        <v>0</v>
      </c>
      <c r="DU16" s="2">
        <f>COUNTIF(defects!$V:$V,Weekly_All!DU$3&amp;Weekly_All!$B16&amp;Weekly_All!$B$3&amp;$B$2)</f>
        <v>0</v>
      </c>
      <c r="DV16" s="2">
        <f>COUNTIF(defects!$V:$V,Weekly_All!DV$3&amp;Weekly_All!$B16&amp;Weekly_All!$B$3&amp;$B$2)</f>
        <v>0</v>
      </c>
      <c r="DW16" s="2">
        <f>COUNTIF(defects!$V:$V,Weekly_All!DW$3&amp;Weekly_All!$B16&amp;Weekly_All!$B$3&amp;$B$2)</f>
        <v>0</v>
      </c>
      <c r="DX16" s="2">
        <f>COUNTIF(defects!$V:$V,Weekly_All!DX$3&amp;Weekly_All!$B16&amp;Weekly_All!$B$3&amp;$B$2)</f>
        <v>0</v>
      </c>
      <c r="DY16" s="2">
        <f>COUNTIF(defects!$V:$V,Weekly_All!DY$3&amp;Weekly_All!$B16&amp;Weekly_All!$B$3&amp;$B$2)</f>
        <v>0</v>
      </c>
      <c r="DZ16" s="2">
        <f>COUNTIF(defects!$V:$V,Weekly_All!DZ$3&amp;Weekly_All!$B16&amp;Weekly_All!$B$3&amp;$B$2)</f>
        <v>0</v>
      </c>
      <c r="EA16" s="2">
        <f>COUNTIF(defects!$V:$V,Weekly_All!EA$3&amp;Weekly_All!$B16&amp;Weekly_All!$B$3&amp;$B$2)</f>
        <v>0</v>
      </c>
      <c r="EB16" s="2">
        <f>COUNTIF(defects!$V:$V,Weekly_All!EB$3&amp;Weekly_All!$B16&amp;Weekly_All!$B$3&amp;$B$2)</f>
        <v>0</v>
      </c>
      <c r="EC16" s="2">
        <f>COUNTIF(defects!$V:$V,Weekly_All!EC$3&amp;Weekly_All!$B16&amp;Weekly_All!$B$3&amp;$B$2)</f>
        <v>0</v>
      </c>
      <c r="ED16" s="2">
        <f>COUNTIF(defects!$V:$V,Weekly_All!ED$3&amp;Weekly_All!$B16&amp;Weekly_All!$B$3&amp;$B$2)</f>
        <v>0</v>
      </c>
      <c r="EE16" s="2">
        <f>COUNTIF(defects!$V:$V,Weekly_All!EE$3&amp;Weekly_All!$B16&amp;Weekly_All!$B$3&amp;$B$2)</f>
        <v>0</v>
      </c>
      <c r="EF16" s="2">
        <f>COUNTIF(defects!$V:$V,Weekly_All!EF$3&amp;Weekly_All!$B16&amp;Weekly_All!$B$3&amp;$B$2)</f>
        <v>0</v>
      </c>
      <c r="EG16" s="2">
        <f>COUNTIF(defects!$V:$V,Weekly_All!EG$3&amp;Weekly_All!$B16&amp;Weekly_All!$B$3&amp;$B$2)</f>
        <v>0</v>
      </c>
      <c r="EH16" s="2">
        <f>COUNTIF(defects!$V:$V,Weekly_All!EH$3&amp;Weekly_All!$B16&amp;Weekly_All!$B$3&amp;$B$2)</f>
        <v>0</v>
      </c>
      <c r="EI16" s="2">
        <f>COUNTIF(defects!$V:$V,Weekly_All!EI$3&amp;Weekly_All!$B16&amp;Weekly_All!$B$3&amp;$B$2)</f>
        <v>0</v>
      </c>
      <c r="EJ16" s="2">
        <f>COUNTIF(defects!$V:$V,Weekly_All!EJ$3&amp;Weekly_All!$B16&amp;Weekly_All!$B$3&amp;$B$2)</f>
        <v>0</v>
      </c>
      <c r="EK16" s="2">
        <f>COUNTIF(defects!$V:$V,Weekly_All!EK$3&amp;Weekly_All!$B16&amp;Weekly_All!$B$3&amp;$B$2)</f>
        <v>0</v>
      </c>
      <c r="EL16" s="2">
        <f>COUNTIF(defects!$V:$V,Weekly_All!EL$3&amp;Weekly_All!$B16&amp;Weekly_All!$B$3&amp;$B$2)</f>
        <v>0</v>
      </c>
      <c r="EM16" s="2">
        <f>COUNTIF(defects!$V:$V,Weekly_All!EM$3&amp;Weekly_All!$B16&amp;Weekly_All!$B$3&amp;$B$2)</f>
        <v>0</v>
      </c>
      <c r="EN16" s="2">
        <f>COUNTIF(defects!$V:$V,Weekly_All!EN$3&amp;Weekly_All!$B16&amp;Weekly_All!$B$3&amp;$B$2)</f>
        <v>0</v>
      </c>
      <c r="EO16" s="2">
        <f>COUNTIF(defects!$V:$V,Weekly_All!EO$3&amp;Weekly_All!$B16&amp;Weekly_All!$B$3&amp;$B$2)</f>
        <v>0</v>
      </c>
      <c r="EP16" s="2">
        <f>COUNTIF(defects!$V:$V,Weekly_All!EP$3&amp;Weekly_All!$B16&amp;Weekly_All!$B$3&amp;$B$2)</f>
        <v>0</v>
      </c>
      <c r="EQ16" s="2">
        <f>COUNTIF(defects!$V:$V,Weekly_All!EQ$3&amp;Weekly_All!$B16&amp;Weekly_All!$B$3&amp;$B$2)</f>
        <v>0</v>
      </c>
      <c r="ER16" s="2">
        <f>COUNTIF(defects!$V:$V,Weekly_All!ER$3&amp;Weekly_All!$B16&amp;Weekly_All!$B$3&amp;$B$2)</f>
        <v>0</v>
      </c>
      <c r="ES16" s="2">
        <f>COUNTIF(defects!$V:$V,Weekly_All!ES$3&amp;Weekly_All!$B16&amp;Weekly_All!$B$3&amp;$B$2)</f>
        <v>0</v>
      </c>
      <c r="ET16" s="2">
        <f>COUNTIF(defects!$V:$V,Weekly_All!ET$3&amp;Weekly_All!$B16&amp;Weekly_All!$B$3&amp;$B$2)</f>
        <v>0</v>
      </c>
      <c r="EU16" s="2">
        <f>COUNTIF(defects!$V:$V,Weekly_All!EU$3&amp;Weekly_All!$B16&amp;Weekly_All!$B$3&amp;$B$2)</f>
        <v>0</v>
      </c>
      <c r="EV16" s="2">
        <f>COUNTIF(defects!$V:$V,Weekly_All!EV$3&amp;Weekly_All!$B16&amp;Weekly_All!$B$3&amp;$B$2)</f>
        <v>0</v>
      </c>
      <c r="EW16" s="2">
        <f>COUNTIF(defects!$V:$V,Weekly_All!EW$3&amp;Weekly_All!$B16&amp;Weekly_All!$B$3&amp;$B$2)</f>
        <v>0</v>
      </c>
      <c r="EX16" s="2">
        <f>COUNTIF(defects!$V:$V,Weekly_All!EX$3&amp;Weekly_All!$B16&amp;Weekly_All!$B$3&amp;$B$2)</f>
        <v>0</v>
      </c>
      <c r="EY16" s="2">
        <f>COUNTIF(defects!$V:$V,Weekly_All!EY$3&amp;Weekly_All!$B16&amp;Weekly_All!$B$3&amp;$B$2)</f>
        <v>0</v>
      </c>
      <c r="EZ16" s="2">
        <f>COUNTIF(defects!$V:$V,Weekly_All!EZ$3&amp;Weekly_All!$B16&amp;Weekly_All!$B$3&amp;$B$2)</f>
        <v>0</v>
      </c>
      <c r="FA16" s="2">
        <f>COUNTIF(defects!$V:$V,Weekly_All!FA$3&amp;Weekly_All!$B16&amp;Weekly_All!$B$3&amp;$B$2)</f>
        <v>0</v>
      </c>
      <c r="FB16" s="2">
        <f>COUNTIF(defects!$V:$V,Weekly_All!FB$3&amp;Weekly_All!$B16&amp;Weekly_All!$B$3&amp;$B$2)</f>
        <v>0</v>
      </c>
      <c r="FC16" s="2">
        <f>COUNTIF(defects!$V:$V,Weekly_All!FC$3&amp;Weekly_All!$B16&amp;Weekly_All!$B$3&amp;$B$2)</f>
        <v>0</v>
      </c>
      <c r="FD16" s="2">
        <f>COUNTIF(defects!$V:$V,Weekly_All!FD$3&amp;Weekly_All!$B16&amp;Weekly_All!$B$3&amp;$B$2)</f>
        <v>0</v>
      </c>
      <c r="FE16" s="2">
        <f>COUNTIF(defects!$V:$V,Weekly_All!FE$3&amp;Weekly_All!$B16&amp;Weekly_All!$B$3&amp;$B$2)</f>
        <v>0</v>
      </c>
    </row>
    <row r="17" spans="2:161">
      <c r="B17" s="2" t="s">
        <v>994</v>
      </c>
      <c r="C17" s="2">
        <f>COUNTIF(defects!$V:$V,Weekly_All!C$3&amp;Weekly_All!$B17&amp;Weekly_All!$B$3&amp;$B$2)</f>
        <v>0</v>
      </c>
      <c r="D17" s="2">
        <f>COUNTIF(defects!$V:$V,Weekly_All!D$3&amp;Weekly_All!$B17&amp;Weekly_All!$B$3&amp;$B$2)</f>
        <v>0</v>
      </c>
      <c r="E17" s="2">
        <f>COUNTIF(defects!$V:$V,Weekly_All!E$3&amp;Weekly_All!$B17&amp;Weekly_All!$B$3&amp;$B$2)</f>
        <v>0</v>
      </c>
      <c r="F17" s="2">
        <f>COUNTIF(defects!$V:$V,Weekly_All!F$3&amp;Weekly_All!$B17&amp;Weekly_All!$B$3&amp;$B$2)</f>
        <v>0</v>
      </c>
      <c r="G17" s="2">
        <f>COUNTIF(defects!$V:$V,Weekly_All!G$3&amp;Weekly_All!$B17&amp;Weekly_All!$B$3&amp;$B$2)</f>
        <v>0</v>
      </c>
      <c r="H17" s="2">
        <f>COUNTIF(defects!$V:$V,Weekly_All!H$3&amp;Weekly_All!$B17&amp;Weekly_All!$B$3&amp;$B$2)</f>
        <v>0</v>
      </c>
      <c r="I17" s="2">
        <f>COUNTIF(defects!$V:$V,Weekly_All!I$3&amp;Weekly_All!$B17&amp;Weekly_All!$B$3&amp;$B$2)</f>
        <v>0</v>
      </c>
      <c r="J17" s="2">
        <f>COUNTIF(defects!$V:$V,Weekly_All!J$3&amp;Weekly_All!$B17&amp;Weekly_All!$B$3&amp;$B$2)</f>
        <v>0</v>
      </c>
      <c r="K17" s="2">
        <f>COUNTIF(defects!$V:$V,Weekly_All!K$3&amp;Weekly_All!$B17&amp;Weekly_All!$B$3&amp;$B$2)</f>
        <v>0</v>
      </c>
      <c r="L17" s="2">
        <f>COUNTIF(defects!$V:$V,Weekly_All!L$3&amp;Weekly_All!$B17&amp;Weekly_All!$B$3&amp;$B$2)</f>
        <v>0</v>
      </c>
      <c r="M17" s="2">
        <f>COUNTIF(defects!$V:$V,Weekly_All!M$3&amp;Weekly_All!$B17&amp;Weekly_All!$B$3&amp;$B$2)</f>
        <v>0</v>
      </c>
      <c r="N17" s="2">
        <f>COUNTIF(defects!$V:$V,Weekly_All!N$3&amp;Weekly_All!$B17&amp;Weekly_All!$B$3&amp;$B$2)</f>
        <v>0</v>
      </c>
      <c r="O17" s="2">
        <f>COUNTIF(defects!$V:$V,Weekly_All!O$3&amp;Weekly_All!$B17&amp;Weekly_All!$B$3&amp;$B$2)</f>
        <v>0</v>
      </c>
      <c r="P17" s="2">
        <f>COUNTIF(defects!$V:$V,Weekly_All!P$3&amp;Weekly_All!$B17&amp;Weekly_All!$B$3&amp;$B$2)</f>
        <v>0</v>
      </c>
      <c r="Q17" s="2">
        <f>COUNTIF(defects!$V:$V,Weekly_All!Q$3&amp;Weekly_All!$B17&amp;Weekly_All!$B$3&amp;$B$2)</f>
        <v>0</v>
      </c>
      <c r="R17" s="2">
        <f>COUNTIF(defects!$V:$V,Weekly_All!R$3&amp;Weekly_All!$B17&amp;Weekly_All!$B$3&amp;$B$2)</f>
        <v>0</v>
      </c>
      <c r="S17" s="2">
        <f>COUNTIF(defects!$V:$V,Weekly_All!S$3&amp;Weekly_All!$B17&amp;Weekly_All!$B$3&amp;$B$2)</f>
        <v>0</v>
      </c>
      <c r="T17" s="2">
        <f>COUNTIF(defects!$V:$V,Weekly_All!T$3&amp;Weekly_All!$B17&amp;Weekly_All!$B$3&amp;$B$2)</f>
        <v>0</v>
      </c>
      <c r="U17" s="2">
        <f>COUNTIF(defects!$V:$V,Weekly_All!U$3&amp;Weekly_All!$B17&amp;Weekly_All!$B$3&amp;$B$2)</f>
        <v>0</v>
      </c>
      <c r="V17" s="2">
        <f>COUNTIF(defects!$V:$V,Weekly_All!V$3&amp;Weekly_All!$B17&amp;Weekly_All!$B$3&amp;$B$2)</f>
        <v>0</v>
      </c>
      <c r="W17" s="2">
        <f>COUNTIF(defects!$V:$V,Weekly_All!W$3&amp;Weekly_All!$B17&amp;Weekly_All!$B$3&amp;$B$2)</f>
        <v>0</v>
      </c>
      <c r="X17" s="2">
        <f>COUNTIF(defects!$V:$V,Weekly_All!X$3&amp;Weekly_All!$B17&amp;Weekly_All!$B$3&amp;$B$2)</f>
        <v>0</v>
      </c>
      <c r="Y17" s="2">
        <f>COUNTIF(defects!$V:$V,Weekly_All!Y$3&amp;Weekly_All!$B17&amp;Weekly_All!$B$3&amp;$B$2)</f>
        <v>0</v>
      </c>
      <c r="Z17" s="2">
        <f>COUNTIF(defects!$V:$V,Weekly_All!Z$3&amp;Weekly_All!$B17&amp;Weekly_All!$B$3&amp;$B$2)</f>
        <v>0</v>
      </c>
      <c r="AA17" s="2">
        <f>COUNTIF(defects!$V:$V,Weekly_All!AA$3&amp;Weekly_All!$B17&amp;Weekly_All!$B$3&amp;$B$2)</f>
        <v>0</v>
      </c>
      <c r="AB17" s="2">
        <f>COUNTIF(defects!$V:$V,Weekly_All!AB$3&amp;Weekly_All!$B17&amp;Weekly_All!$B$3&amp;$B$2)</f>
        <v>0</v>
      </c>
      <c r="AC17" s="2">
        <f>COUNTIF(defects!$V:$V,Weekly_All!AC$3&amp;Weekly_All!$B17&amp;Weekly_All!$B$3&amp;$B$2)</f>
        <v>0</v>
      </c>
      <c r="AD17" s="2">
        <f>COUNTIF(defects!$V:$V,Weekly_All!AD$3&amp;Weekly_All!$B17&amp;Weekly_All!$B$3&amp;$B$2)</f>
        <v>0</v>
      </c>
      <c r="AE17" s="2">
        <f>COUNTIF(defects!$V:$V,Weekly_All!AE$3&amp;Weekly_All!$B17&amp;Weekly_All!$B$3&amp;$B$2)</f>
        <v>0</v>
      </c>
      <c r="AF17" s="2">
        <f>COUNTIF(defects!$V:$V,Weekly_All!AF$3&amp;Weekly_All!$B17&amp;Weekly_All!$B$3&amp;$B$2)</f>
        <v>0</v>
      </c>
      <c r="AG17" s="2">
        <f>COUNTIF(defects!$V:$V,Weekly_All!AG$3&amp;Weekly_All!$B17&amp;Weekly_All!$B$3&amp;$B$2)</f>
        <v>0</v>
      </c>
      <c r="AH17" s="2">
        <f>COUNTIF(defects!$V:$V,Weekly_All!AH$3&amp;Weekly_All!$B17&amp;Weekly_All!$B$3&amp;$B$2)</f>
        <v>0</v>
      </c>
      <c r="AI17" s="2">
        <f>COUNTIF(defects!$V:$V,Weekly_All!AI$3&amp;Weekly_All!$B17&amp;Weekly_All!$B$3&amp;$B$2)</f>
        <v>0</v>
      </c>
      <c r="AJ17" s="2">
        <f>COUNTIF(defects!$V:$V,Weekly_All!AJ$3&amp;Weekly_All!$B17&amp;Weekly_All!$B$3&amp;$B$2)</f>
        <v>0</v>
      </c>
      <c r="AK17" s="2">
        <f>COUNTIF(defects!$V:$V,Weekly_All!AK$3&amp;Weekly_All!$B17&amp;Weekly_All!$B$3&amp;$B$2)</f>
        <v>0</v>
      </c>
      <c r="AL17" s="2">
        <f>COUNTIF(defects!$V:$V,Weekly_All!AL$3&amp;Weekly_All!$B17&amp;Weekly_All!$B$3&amp;$B$2)</f>
        <v>0</v>
      </c>
      <c r="AM17" s="2">
        <f>COUNTIF(defects!$V:$V,Weekly_All!AM$3&amp;Weekly_All!$B17&amp;Weekly_All!$B$3&amp;$B$2)</f>
        <v>0</v>
      </c>
      <c r="AN17" s="2">
        <f>COUNTIF(defects!$V:$V,Weekly_All!AN$3&amp;Weekly_All!$B17&amp;Weekly_All!$B$3&amp;$B$2)</f>
        <v>0</v>
      </c>
      <c r="AO17" s="2">
        <f>COUNTIF(defects!$V:$V,Weekly_All!AO$3&amp;Weekly_All!$B17&amp;Weekly_All!$B$3&amp;$B$2)</f>
        <v>0</v>
      </c>
      <c r="AP17" s="2">
        <f>COUNTIF(defects!$V:$V,Weekly_All!AP$3&amp;Weekly_All!$B17&amp;Weekly_All!$B$3&amp;$B$2)</f>
        <v>0</v>
      </c>
      <c r="AQ17" s="2">
        <f>COUNTIF(defects!$V:$V,Weekly_All!AQ$3&amp;Weekly_All!$B17&amp;Weekly_All!$B$3&amp;$B$2)</f>
        <v>0</v>
      </c>
      <c r="AR17" s="2">
        <f>COUNTIF(defects!$V:$V,Weekly_All!AR$3&amp;Weekly_All!$B17&amp;Weekly_All!$B$3&amp;$B$2)</f>
        <v>0</v>
      </c>
      <c r="AS17" s="2">
        <f>COUNTIF(defects!$V:$V,Weekly_All!AS$3&amp;Weekly_All!$B17&amp;Weekly_All!$B$3&amp;$B$2)</f>
        <v>0</v>
      </c>
      <c r="AT17" s="2">
        <f>COUNTIF(defects!$V:$V,Weekly_All!AT$3&amp;Weekly_All!$B17&amp;Weekly_All!$B$3&amp;$B$2)</f>
        <v>0</v>
      </c>
      <c r="AU17" s="2">
        <f>COUNTIF(defects!$V:$V,Weekly_All!AU$3&amp;Weekly_All!$B17&amp;Weekly_All!$B$3&amp;$B$2)</f>
        <v>0</v>
      </c>
      <c r="AV17" s="2">
        <f>COUNTIF(defects!$V:$V,Weekly_All!AV$3&amp;Weekly_All!$B17&amp;Weekly_All!$B$3&amp;$B$2)</f>
        <v>0</v>
      </c>
      <c r="AW17" s="2">
        <f>COUNTIF(defects!$V:$V,Weekly_All!AW$3&amp;Weekly_All!$B17&amp;Weekly_All!$B$3&amp;$B$2)</f>
        <v>0</v>
      </c>
      <c r="AX17" s="2">
        <f>COUNTIF(defects!$V:$V,Weekly_All!AX$3&amp;Weekly_All!$B17&amp;Weekly_All!$B$3&amp;$B$2)</f>
        <v>0</v>
      </c>
      <c r="AY17" s="2">
        <f>COUNTIF(defects!$V:$V,Weekly_All!AY$3&amp;Weekly_All!$B17&amp;Weekly_All!$B$3&amp;$B$2)</f>
        <v>0</v>
      </c>
      <c r="AZ17" s="2">
        <f>COUNTIF(defects!$V:$V,Weekly_All!AZ$3&amp;Weekly_All!$B17&amp;Weekly_All!$B$3&amp;$B$2)</f>
        <v>0</v>
      </c>
      <c r="BA17" s="2">
        <f>COUNTIF(defects!$V:$V,Weekly_All!BA$3&amp;Weekly_All!$B17&amp;Weekly_All!$B$3&amp;$B$2)</f>
        <v>0</v>
      </c>
      <c r="BB17" s="2">
        <f>COUNTIF(defects!$V:$V,Weekly_All!BB$3&amp;Weekly_All!$B17&amp;Weekly_All!$B$3&amp;$B$2)</f>
        <v>0</v>
      </c>
      <c r="BC17" s="2">
        <f>COUNTIF(defects!$V:$V,Weekly_All!BC$3&amp;Weekly_All!$B17&amp;Weekly_All!$B$3&amp;$B$2)</f>
        <v>0</v>
      </c>
      <c r="BD17" s="2">
        <f>COUNTIF(defects!$V:$V,Weekly_All!BD$3&amp;Weekly_All!$B17&amp;Weekly_All!$B$3&amp;$B$2)</f>
        <v>0</v>
      </c>
      <c r="BE17" s="2">
        <f>COUNTIF(defects!$V:$V,Weekly_All!BE$3&amp;Weekly_All!$B17&amp;Weekly_All!$B$3&amp;$B$2)</f>
        <v>0</v>
      </c>
      <c r="BF17" s="2">
        <f>COUNTIF(defects!$V:$V,Weekly_All!BF$3&amp;Weekly_All!$B17&amp;Weekly_All!$B$3&amp;$B$2)</f>
        <v>0</v>
      </c>
      <c r="BG17" s="2">
        <f>COUNTIF(defects!$V:$V,Weekly_All!BG$3&amp;Weekly_All!$B17&amp;Weekly_All!$B$3&amp;$B$2)</f>
        <v>0</v>
      </c>
      <c r="BH17" s="2">
        <f>COUNTIF(defects!$V:$V,Weekly_All!BH$3&amp;Weekly_All!$B17&amp;Weekly_All!$B$3&amp;$B$2)</f>
        <v>0</v>
      </c>
      <c r="BI17" s="2">
        <f>COUNTIF(defects!$V:$V,Weekly_All!BI$3&amp;Weekly_All!$B17&amp;Weekly_All!$B$3&amp;$B$2)</f>
        <v>0</v>
      </c>
      <c r="BJ17" s="2">
        <f>COUNTIF(defects!$V:$V,Weekly_All!BJ$3&amp;Weekly_All!$B17&amp;Weekly_All!$B$3&amp;$B$2)</f>
        <v>0</v>
      </c>
      <c r="BK17" s="2">
        <f>COUNTIF(defects!$V:$V,Weekly_All!BK$3&amp;Weekly_All!$B17&amp;Weekly_All!$B$3&amp;$B$2)</f>
        <v>0</v>
      </c>
      <c r="BL17" s="2">
        <f>COUNTIF(defects!$V:$V,Weekly_All!BL$3&amp;Weekly_All!$B17&amp;Weekly_All!$B$3&amp;$B$2)</f>
        <v>0</v>
      </c>
      <c r="BM17" s="2">
        <f>COUNTIF(defects!$V:$V,Weekly_All!BM$3&amp;Weekly_All!$B17&amp;Weekly_All!$B$3&amp;$B$2)</f>
        <v>0</v>
      </c>
      <c r="BN17" s="2">
        <f>COUNTIF(defects!$V:$V,Weekly_All!BN$3&amp;Weekly_All!$B17&amp;Weekly_All!$B$3&amp;$B$2)</f>
        <v>0</v>
      </c>
      <c r="BO17" s="2">
        <f>COUNTIF(defects!$V:$V,Weekly_All!BO$3&amp;Weekly_All!$B17&amp;Weekly_All!$B$3&amp;$B$2)</f>
        <v>0</v>
      </c>
      <c r="BP17" s="2">
        <f>COUNTIF(defects!$V:$V,Weekly_All!BP$3&amp;Weekly_All!$B17&amp;Weekly_All!$B$3&amp;$B$2)</f>
        <v>0</v>
      </c>
      <c r="BQ17" s="2">
        <f>COUNTIF(defects!$V:$V,Weekly_All!BQ$3&amp;Weekly_All!$B17&amp;Weekly_All!$B$3&amp;$B$2)</f>
        <v>0</v>
      </c>
      <c r="BR17" s="2">
        <f>COUNTIF(defects!$V:$V,Weekly_All!BR$3&amp;Weekly_All!$B17&amp;Weekly_All!$B$3&amp;$B$2)</f>
        <v>0</v>
      </c>
      <c r="BS17" s="2">
        <f>COUNTIF(defects!$V:$V,Weekly_All!BS$3&amp;Weekly_All!$B17&amp;Weekly_All!$B$3&amp;$B$2)</f>
        <v>0</v>
      </c>
      <c r="BT17" s="2">
        <f>COUNTIF(defects!$V:$V,Weekly_All!BT$3&amp;Weekly_All!$B17&amp;Weekly_All!$B$3&amp;$B$2)</f>
        <v>0</v>
      </c>
      <c r="BU17" s="2">
        <f>COUNTIF(defects!$V:$V,Weekly_All!BU$3&amp;Weekly_All!$B17&amp;Weekly_All!$B$3&amp;$B$2)</f>
        <v>0</v>
      </c>
      <c r="BV17" s="2">
        <f>COUNTIF(defects!$V:$V,Weekly_All!BV$3&amp;Weekly_All!$B17&amp;Weekly_All!$B$3&amp;$B$2)</f>
        <v>0</v>
      </c>
      <c r="BW17" s="2">
        <f>COUNTIF(defects!$V:$V,Weekly_All!BW$3&amp;Weekly_All!$B17&amp;Weekly_All!$B$3&amp;$B$2)</f>
        <v>0</v>
      </c>
      <c r="BX17" s="2">
        <f>COUNTIF(defects!$V:$V,Weekly_All!BX$3&amp;Weekly_All!$B17&amp;Weekly_All!$B$3&amp;$B$2)</f>
        <v>0</v>
      </c>
      <c r="BY17" s="2">
        <f>COUNTIF(defects!$V:$V,Weekly_All!BY$3&amp;Weekly_All!$B17&amp;Weekly_All!$B$3&amp;$B$2)</f>
        <v>0</v>
      </c>
      <c r="BZ17" s="2">
        <f>COUNTIF(defects!$V:$V,Weekly_All!BZ$3&amp;Weekly_All!$B17&amp;Weekly_All!$B$3&amp;$B$2)</f>
        <v>0</v>
      </c>
      <c r="CA17" s="2">
        <f>COUNTIF(defects!$V:$V,Weekly_All!CA$3&amp;Weekly_All!$B17&amp;Weekly_All!$B$3&amp;$B$2)</f>
        <v>0</v>
      </c>
      <c r="CB17" s="2">
        <f>COUNTIF(defects!$V:$V,Weekly_All!CB$3&amp;Weekly_All!$B17&amp;Weekly_All!$B$3&amp;$B$2)</f>
        <v>0</v>
      </c>
      <c r="CC17" s="2">
        <f>COUNTIF(defects!$V:$V,Weekly_All!CC$3&amp;Weekly_All!$B17&amp;Weekly_All!$B$3&amp;$B$2)</f>
        <v>0</v>
      </c>
      <c r="CD17" s="2">
        <f>COUNTIF(defects!$V:$V,Weekly_All!CD$3&amp;Weekly_All!$B17&amp;Weekly_All!$B$3&amp;$B$2)</f>
        <v>0</v>
      </c>
      <c r="CE17" s="2">
        <f>COUNTIF(defects!$V:$V,Weekly_All!CE$3&amp;Weekly_All!$B17&amp;Weekly_All!$B$3&amp;$B$2)</f>
        <v>0</v>
      </c>
      <c r="CF17" s="2">
        <f>COUNTIF(defects!$V:$V,Weekly_All!CF$3&amp;Weekly_All!$B17&amp;Weekly_All!$B$3&amp;$B$2)</f>
        <v>0</v>
      </c>
      <c r="CG17" s="2">
        <f>COUNTIF(defects!$V:$V,Weekly_All!CG$3&amp;Weekly_All!$B17&amp;Weekly_All!$B$3&amp;$B$2)</f>
        <v>0</v>
      </c>
      <c r="CH17" s="2">
        <f>COUNTIF(defects!$V:$V,Weekly_All!CH$3&amp;Weekly_All!$B17&amp;Weekly_All!$B$3&amp;$B$2)</f>
        <v>0</v>
      </c>
      <c r="CI17" s="2">
        <f>COUNTIF(defects!$V:$V,Weekly_All!CI$3&amp;Weekly_All!$B17&amp;Weekly_All!$B$3&amp;$B$2)</f>
        <v>0</v>
      </c>
      <c r="CJ17" s="2">
        <f>COUNTIF(defects!$V:$V,Weekly_All!CJ$3&amp;Weekly_All!$B17&amp;Weekly_All!$B$3&amp;$B$2)</f>
        <v>0</v>
      </c>
      <c r="CK17" s="2">
        <f>COUNTIF(defects!$V:$V,Weekly_All!CK$3&amp;Weekly_All!$B17&amp;Weekly_All!$B$3&amp;$B$2)</f>
        <v>0</v>
      </c>
      <c r="CL17" s="2">
        <f>COUNTIF(defects!$V:$V,Weekly_All!CL$3&amp;Weekly_All!$B17&amp;Weekly_All!$B$3&amp;$B$2)</f>
        <v>0</v>
      </c>
      <c r="CM17" s="2">
        <f>COUNTIF(defects!$V:$V,Weekly_All!CM$3&amp;Weekly_All!$B17&amp;Weekly_All!$B$3&amp;$B$2)</f>
        <v>0</v>
      </c>
      <c r="CN17" s="2">
        <f>COUNTIF(defects!$V:$V,Weekly_All!CN$3&amp;Weekly_All!$B17&amp;Weekly_All!$B$3&amp;$B$2)</f>
        <v>0</v>
      </c>
      <c r="CO17" s="2">
        <f>COUNTIF(defects!$V:$V,Weekly_All!CO$3&amp;Weekly_All!$B17&amp;Weekly_All!$B$3&amp;$B$2)</f>
        <v>0</v>
      </c>
      <c r="CP17" s="2">
        <f>COUNTIF(defects!$V:$V,Weekly_All!CP$3&amp;Weekly_All!$B17&amp;Weekly_All!$B$3&amp;$B$2)</f>
        <v>0</v>
      </c>
      <c r="CQ17" s="2">
        <f>COUNTIF(defects!$V:$V,Weekly_All!CQ$3&amp;Weekly_All!$B17&amp;Weekly_All!$B$3&amp;$B$2)</f>
        <v>0</v>
      </c>
      <c r="CR17" s="2">
        <f>COUNTIF(defects!$V:$V,Weekly_All!CR$3&amp;Weekly_All!$B17&amp;Weekly_All!$B$3&amp;$B$2)</f>
        <v>0</v>
      </c>
      <c r="CS17" s="2">
        <f>COUNTIF(defects!$V:$V,Weekly_All!CS$3&amp;Weekly_All!$B17&amp;Weekly_All!$B$3&amp;$B$2)</f>
        <v>0</v>
      </c>
      <c r="CT17" s="2">
        <f>COUNTIF(defects!$V:$V,Weekly_All!CT$3&amp;Weekly_All!$B17&amp;Weekly_All!$B$3&amp;$B$2)</f>
        <v>0</v>
      </c>
      <c r="CU17" s="2">
        <f>COUNTIF(defects!$V:$V,Weekly_All!CU$3&amp;Weekly_All!$B17&amp;Weekly_All!$B$3&amp;$B$2)</f>
        <v>0</v>
      </c>
      <c r="CV17" s="2">
        <f>COUNTIF(defects!$V:$V,Weekly_All!CV$3&amp;Weekly_All!$B17&amp;Weekly_All!$B$3&amp;$B$2)</f>
        <v>0</v>
      </c>
      <c r="CW17" s="2">
        <f>COUNTIF(defects!$V:$V,Weekly_All!CW$3&amp;Weekly_All!$B17&amp;Weekly_All!$B$3&amp;$B$2)</f>
        <v>0</v>
      </c>
      <c r="CX17" s="2">
        <f>COUNTIF(defects!$V:$V,Weekly_All!CX$3&amp;Weekly_All!$B17&amp;Weekly_All!$B$3&amp;$B$2)</f>
        <v>0</v>
      </c>
      <c r="CY17" s="2">
        <f>COUNTIF(defects!$V:$V,Weekly_All!CY$3&amp;Weekly_All!$B17&amp;Weekly_All!$B$3&amp;$B$2)</f>
        <v>0</v>
      </c>
      <c r="CZ17" s="2">
        <f>COUNTIF(defects!$V:$V,Weekly_All!CZ$3&amp;Weekly_All!$B17&amp;Weekly_All!$B$3&amp;$B$2)</f>
        <v>0</v>
      </c>
      <c r="DA17" s="2">
        <f>COUNTIF(defects!$V:$V,Weekly_All!DA$3&amp;Weekly_All!$B17&amp;Weekly_All!$B$3&amp;$B$2)</f>
        <v>0</v>
      </c>
      <c r="DB17" s="2">
        <f>COUNTIF(defects!$V:$V,Weekly_All!DB$3&amp;Weekly_All!$B17&amp;Weekly_All!$B$3&amp;$B$2)</f>
        <v>0</v>
      </c>
      <c r="DC17" s="2">
        <f>COUNTIF(defects!$V:$V,Weekly_All!DC$3&amp;Weekly_All!$B17&amp;Weekly_All!$B$3&amp;$B$2)</f>
        <v>0</v>
      </c>
      <c r="DD17" s="2">
        <f>COUNTIF(defects!$V:$V,Weekly_All!DD$3&amp;Weekly_All!$B17&amp;Weekly_All!$B$3&amp;$B$2)</f>
        <v>0</v>
      </c>
      <c r="DE17" s="2">
        <f>COUNTIF(defects!$V:$V,Weekly_All!DE$3&amp;Weekly_All!$B17&amp;Weekly_All!$B$3&amp;$B$2)</f>
        <v>0</v>
      </c>
      <c r="DF17" s="2">
        <f>COUNTIF(defects!$V:$V,Weekly_All!DF$3&amp;Weekly_All!$B17&amp;Weekly_All!$B$3&amp;$B$2)</f>
        <v>0</v>
      </c>
      <c r="DG17" s="2">
        <f>COUNTIF(defects!$V:$V,Weekly_All!DG$3&amp;Weekly_All!$B17&amp;Weekly_All!$B$3&amp;$B$2)</f>
        <v>0</v>
      </c>
      <c r="DH17" s="2">
        <f>COUNTIF(defects!$V:$V,Weekly_All!DH$3&amp;Weekly_All!$B17&amp;Weekly_All!$B$3&amp;$B$2)</f>
        <v>0</v>
      </c>
      <c r="DI17" s="2">
        <f>COUNTIF(defects!$V:$V,Weekly_All!DI$3&amp;Weekly_All!$B17&amp;Weekly_All!$B$3&amp;$B$2)</f>
        <v>0</v>
      </c>
      <c r="DJ17" s="2">
        <f>COUNTIF(defects!$V:$V,Weekly_All!DJ$3&amp;Weekly_All!$B17&amp;Weekly_All!$B$3&amp;$B$2)</f>
        <v>0</v>
      </c>
      <c r="DK17" s="2">
        <f>COUNTIF(defects!$V:$V,Weekly_All!DK$3&amp;Weekly_All!$B17&amp;Weekly_All!$B$3&amp;$B$2)</f>
        <v>0</v>
      </c>
      <c r="DL17" s="2">
        <f>COUNTIF(defects!$V:$V,Weekly_All!DL$3&amp;Weekly_All!$B17&amp;Weekly_All!$B$3&amp;$B$2)</f>
        <v>0</v>
      </c>
      <c r="DM17" s="2">
        <f>COUNTIF(defects!$V:$V,Weekly_All!DM$3&amp;Weekly_All!$B17&amp;Weekly_All!$B$3&amp;$B$2)</f>
        <v>0</v>
      </c>
      <c r="DN17" s="2">
        <f>COUNTIF(defects!$V:$V,Weekly_All!DN$3&amp;Weekly_All!$B17&amp;Weekly_All!$B$3&amp;$B$2)</f>
        <v>0</v>
      </c>
      <c r="DO17" s="2">
        <f>COUNTIF(defects!$V:$V,Weekly_All!DO$3&amp;Weekly_All!$B17&amp;Weekly_All!$B$3&amp;$B$2)</f>
        <v>0</v>
      </c>
      <c r="DP17" s="2">
        <f>COUNTIF(defects!$V:$V,Weekly_All!DP$3&amp;Weekly_All!$B17&amp;Weekly_All!$B$3&amp;$B$2)</f>
        <v>0</v>
      </c>
      <c r="DQ17" s="2">
        <f>COUNTIF(defects!$V:$V,Weekly_All!DQ$3&amp;Weekly_All!$B17&amp;Weekly_All!$B$3&amp;$B$2)</f>
        <v>0</v>
      </c>
      <c r="DR17" s="2">
        <f>COUNTIF(defects!$V:$V,Weekly_All!DR$3&amp;Weekly_All!$B17&amp;Weekly_All!$B$3&amp;$B$2)</f>
        <v>0</v>
      </c>
      <c r="DS17" s="2">
        <f>COUNTIF(defects!$V:$V,Weekly_All!DS$3&amp;Weekly_All!$B17&amp;Weekly_All!$B$3&amp;$B$2)</f>
        <v>0</v>
      </c>
      <c r="DT17" s="2">
        <f>COUNTIF(defects!$V:$V,Weekly_All!DT$3&amp;Weekly_All!$B17&amp;Weekly_All!$B$3&amp;$B$2)</f>
        <v>0</v>
      </c>
      <c r="DU17" s="2">
        <f>COUNTIF(defects!$V:$V,Weekly_All!DU$3&amp;Weekly_All!$B17&amp;Weekly_All!$B$3&amp;$B$2)</f>
        <v>0</v>
      </c>
      <c r="DV17" s="2">
        <f>COUNTIF(defects!$V:$V,Weekly_All!DV$3&amp;Weekly_All!$B17&amp;Weekly_All!$B$3&amp;$B$2)</f>
        <v>0</v>
      </c>
      <c r="DW17" s="2">
        <f>COUNTIF(defects!$V:$V,Weekly_All!DW$3&amp;Weekly_All!$B17&amp;Weekly_All!$B$3&amp;$B$2)</f>
        <v>0</v>
      </c>
      <c r="DX17" s="2">
        <f>COUNTIF(defects!$V:$V,Weekly_All!DX$3&amp;Weekly_All!$B17&amp;Weekly_All!$B$3&amp;$B$2)</f>
        <v>0</v>
      </c>
      <c r="DY17" s="2">
        <f>COUNTIF(defects!$V:$V,Weekly_All!DY$3&amp;Weekly_All!$B17&amp;Weekly_All!$B$3&amp;$B$2)</f>
        <v>0</v>
      </c>
      <c r="DZ17" s="2">
        <f>COUNTIF(defects!$V:$V,Weekly_All!DZ$3&amp;Weekly_All!$B17&amp;Weekly_All!$B$3&amp;$B$2)</f>
        <v>0</v>
      </c>
      <c r="EA17" s="2">
        <f>COUNTIF(defects!$V:$V,Weekly_All!EA$3&amp;Weekly_All!$B17&amp;Weekly_All!$B$3&amp;$B$2)</f>
        <v>0</v>
      </c>
      <c r="EB17" s="2">
        <f>COUNTIF(defects!$V:$V,Weekly_All!EB$3&amp;Weekly_All!$B17&amp;Weekly_All!$B$3&amp;$B$2)</f>
        <v>0</v>
      </c>
      <c r="EC17" s="2">
        <f>COUNTIF(defects!$V:$V,Weekly_All!EC$3&amp;Weekly_All!$B17&amp;Weekly_All!$B$3&amp;$B$2)</f>
        <v>0</v>
      </c>
      <c r="ED17" s="2">
        <f>COUNTIF(defects!$V:$V,Weekly_All!ED$3&amp;Weekly_All!$B17&amp;Weekly_All!$B$3&amp;$B$2)</f>
        <v>0</v>
      </c>
      <c r="EE17" s="2">
        <f>COUNTIF(defects!$V:$V,Weekly_All!EE$3&amp;Weekly_All!$B17&amp;Weekly_All!$B$3&amp;$B$2)</f>
        <v>0</v>
      </c>
      <c r="EF17" s="2">
        <f>COUNTIF(defects!$V:$V,Weekly_All!EF$3&amp;Weekly_All!$B17&amp;Weekly_All!$B$3&amp;$B$2)</f>
        <v>0</v>
      </c>
      <c r="EG17" s="2">
        <f>COUNTIF(defects!$V:$V,Weekly_All!EG$3&amp;Weekly_All!$B17&amp;Weekly_All!$B$3&amp;$B$2)</f>
        <v>0</v>
      </c>
      <c r="EH17" s="2">
        <f>COUNTIF(defects!$V:$V,Weekly_All!EH$3&amp;Weekly_All!$B17&amp;Weekly_All!$B$3&amp;$B$2)</f>
        <v>0</v>
      </c>
      <c r="EI17" s="2">
        <f>COUNTIF(defects!$V:$V,Weekly_All!EI$3&amp;Weekly_All!$B17&amp;Weekly_All!$B$3&amp;$B$2)</f>
        <v>0</v>
      </c>
      <c r="EJ17" s="2">
        <f>COUNTIF(defects!$V:$V,Weekly_All!EJ$3&amp;Weekly_All!$B17&amp;Weekly_All!$B$3&amp;$B$2)</f>
        <v>0</v>
      </c>
      <c r="EK17" s="2">
        <f>COUNTIF(defects!$V:$V,Weekly_All!EK$3&amp;Weekly_All!$B17&amp;Weekly_All!$B$3&amp;$B$2)</f>
        <v>0</v>
      </c>
      <c r="EL17" s="2">
        <f>COUNTIF(defects!$V:$V,Weekly_All!EL$3&amp;Weekly_All!$B17&amp;Weekly_All!$B$3&amp;$B$2)</f>
        <v>0</v>
      </c>
      <c r="EM17" s="2">
        <f>COUNTIF(defects!$V:$V,Weekly_All!EM$3&amp;Weekly_All!$B17&amp;Weekly_All!$B$3&amp;$B$2)</f>
        <v>0</v>
      </c>
      <c r="EN17" s="2">
        <f>COUNTIF(defects!$V:$V,Weekly_All!EN$3&amp;Weekly_All!$B17&amp;Weekly_All!$B$3&amp;$B$2)</f>
        <v>0</v>
      </c>
      <c r="EO17" s="2">
        <f>COUNTIF(defects!$V:$V,Weekly_All!EO$3&amp;Weekly_All!$B17&amp;Weekly_All!$B$3&amp;$B$2)</f>
        <v>0</v>
      </c>
      <c r="EP17" s="2">
        <f>COUNTIF(defects!$V:$V,Weekly_All!EP$3&amp;Weekly_All!$B17&amp;Weekly_All!$B$3&amp;$B$2)</f>
        <v>0</v>
      </c>
      <c r="EQ17" s="2">
        <f>COUNTIF(defects!$V:$V,Weekly_All!EQ$3&amp;Weekly_All!$B17&amp;Weekly_All!$B$3&amp;$B$2)</f>
        <v>0</v>
      </c>
      <c r="ER17" s="2">
        <f>COUNTIF(defects!$V:$V,Weekly_All!ER$3&amp;Weekly_All!$B17&amp;Weekly_All!$B$3&amp;$B$2)</f>
        <v>0</v>
      </c>
      <c r="ES17" s="2">
        <f>COUNTIF(defects!$V:$V,Weekly_All!ES$3&amp;Weekly_All!$B17&amp;Weekly_All!$B$3&amp;$B$2)</f>
        <v>0</v>
      </c>
      <c r="ET17" s="2">
        <f>COUNTIF(defects!$V:$V,Weekly_All!ET$3&amp;Weekly_All!$B17&amp;Weekly_All!$B$3&amp;$B$2)</f>
        <v>0</v>
      </c>
      <c r="EU17" s="2">
        <f>COUNTIF(defects!$V:$V,Weekly_All!EU$3&amp;Weekly_All!$B17&amp;Weekly_All!$B$3&amp;$B$2)</f>
        <v>0</v>
      </c>
      <c r="EV17" s="2">
        <f>COUNTIF(defects!$V:$V,Weekly_All!EV$3&amp;Weekly_All!$B17&amp;Weekly_All!$B$3&amp;$B$2)</f>
        <v>0</v>
      </c>
      <c r="EW17" s="2">
        <f>COUNTIF(defects!$V:$V,Weekly_All!EW$3&amp;Weekly_All!$B17&amp;Weekly_All!$B$3&amp;$B$2)</f>
        <v>0</v>
      </c>
      <c r="EX17" s="2">
        <f>COUNTIF(defects!$V:$V,Weekly_All!EX$3&amp;Weekly_All!$B17&amp;Weekly_All!$B$3&amp;$B$2)</f>
        <v>0</v>
      </c>
      <c r="EY17" s="2">
        <f>COUNTIF(defects!$V:$V,Weekly_All!EY$3&amp;Weekly_All!$B17&amp;Weekly_All!$B$3&amp;$B$2)</f>
        <v>0</v>
      </c>
      <c r="EZ17" s="2">
        <f>COUNTIF(defects!$V:$V,Weekly_All!EZ$3&amp;Weekly_All!$B17&amp;Weekly_All!$B$3&amp;$B$2)</f>
        <v>0</v>
      </c>
      <c r="FA17" s="2">
        <f>COUNTIF(defects!$V:$V,Weekly_All!FA$3&amp;Weekly_All!$B17&amp;Weekly_All!$B$3&amp;$B$2)</f>
        <v>0</v>
      </c>
      <c r="FB17" s="2">
        <f>COUNTIF(defects!$V:$V,Weekly_All!FB$3&amp;Weekly_All!$B17&amp;Weekly_All!$B$3&amp;$B$2)</f>
        <v>0</v>
      </c>
      <c r="FC17" s="2">
        <f>COUNTIF(defects!$V:$V,Weekly_All!FC$3&amp;Weekly_All!$B17&amp;Weekly_All!$B$3&amp;$B$2)</f>
        <v>0</v>
      </c>
      <c r="FD17" s="2">
        <f>COUNTIF(defects!$V:$V,Weekly_All!FD$3&amp;Weekly_All!$B17&amp;Weekly_All!$B$3&amp;$B$2)</f>
        <v>0</v>
      </c>
      <c r="FE17" s="2">
        <f>COUNTIF(defects!$V:$V,Weekly_All!FE$3&amp;Weekly_All!$B17&amp;Weekly_All!$B$3&amp;$B$2)</f>
        <v>0</v>
      </c>
    </row>
    <row r="18" spans="2:161">
      <c r="B18" s="2" t="s">
        <v>891</v>
      </c>
      <c r="C18" s="2">
        <f>COUNTIF(defects!$V:$V,Weekly_All!C$3&amp;Weekly_All!$B18&amp;Weekly_All!$B$3&amp;$B$2)</f>
        <v>0</v>
      </c>
      <c r="D18" s="2">
        <f>COUNTIF(defects!$V:$V,Weekly_All!D$3&amp;Weekly_All!$B18&amp;Weekly_All!$B$3&amp;$B$2)</f>
        <v>0</v>
      </c>
      <c r="E18" s="2">
        <f>COUNTIF(defects!$V:$V,Weekly_All!E$3&amp;Weekly_All!$B18&amp;Weekly_All!$B$3&amp;$B$2)</f>
        <v>0</v>
      </c>
      <c r="F18" s="2">
        <f>COUNTIF(defects!$V:$V,Weekly_All!F$3&amp;Weekly_All!$B18&amp;Weekly_All!$B$3&amp;$B$2)</f>
        <v>0</v>
      </c>
      <c r="G18" s="2">
        <f>COUNTIF(defects!$V:$V,Weekly_All!G$3&amp;Weekly_All!$B18&amp;Weekly_All!$B$3&amp;$B$2)</f>
        <v>0</v>
      </c>
      <c r="H18" s="2">
        <f>COUNTIF(defects!$V:$V,Weekly_All!H$3&amp;Weekly_All!$B18&amp;Weekly_All!$B$3&amp;$B$2)</f>
        <v>0</v>
      </c>
      <c r="I18" s="2">
        <f>COUNTIF(defects!$V:$V,Weekly_All!I$3&amp;Weekly_All!$B18&amp;Weekly_All!$B$3&amp;$B$2)</f>
        <v>0</v>
      </c>
      <c r="J18" s="2">
        <f>COUNTIF(defects!$V:$V,Weekly_All!J$3&amp;Weekly_All!$B18&amp;Weekly_All!$B$3&amp;$B$2)</f>
        <v>0</v>
      </c>
      <c r="K18" s="2">
        <f>COUNTIF(defects!$V:$V,Weekly_All!K$3&amp;Weekly_All!$B18&amp;Weekly_All!$B$3&amp;$B$2)</f>
        <v>0</v>
      </c>
      <c r="L18" s="2">
        <f>COUNTIF(defects!$V:$V,Weekly_All!L$3&amp;Weekly_All!$B18&amp;Weekly_All!$B$3&amp;$B$2)</f>
        <v>0</v>
      </c>
      <c r="M18" s="2">
        <f>COUNTIF(defects!$V:$V,Weekly_All!M$3&amp;Weekly_All!$B18&amp;Weekly_All!$B$3&amp;$B$2)</f>
        <v>0</v>
      </c>
      <c r="N18" s="2">
        <f>COUNTIF(defects!$V:$V,Weekly_All!N$3&amp;Weekly_All!$B18&amp;Weekly_All!$B$3&amp;$B$2)</f>
        <v>0</v>
      </c>
      <c r="O18" s="2">
        <f>COUNTIF(defects!$V:$V,Weekly_All!O$3&amp;Weekly_All!$B18&amp;Weekly_All!$B$3&amp;$B$2)</f>
        <v>0</v>
      </c>
      <c r="P18" s="2">
        <f>COUNTIF(defects!$V:$V,Weekly_All!P$3&amp;Weekly_All!$B18&amp;Weekly_All!$B$3&amp;$B$2)</f>
        <v>0</v>
      </c>
      <c r="Q18" s="2">
        <f>COUNTIF(defects!$V:$V,Weekly_All!Q$3&amp;Weekly_All!$B18&amp;Weekly_All!$B$3&amp;$B$2)</f>
        <v>0</v>
      </c>
      <c r="R18" s="2">
        <f>COUNTIF(defects!$V:$V,Weekly_All!R$3&amp;Weekly_All!$B18&amp;Weekly_All!$B$3&amp;$B$2)</f>
        <v>0</v>
      </c>
      <c r="S18" s="2">
        <f>COUNTIF(defects!$V:$V,Weekly_All!S$3&amp;Weekly_All!$B18&amp;Weekly_All!$B$3&amp;$B$2)</f>
        <v>0</v>
      </c>
      <c r="T18" s="2">
        <f>COUNTIF(defects!$V:$V,Weekly_All!T$3&amp;Weekly_All!$B18&amp;Weekly_All!$B$3&amp;$B$2)</f>
        <v>0</v>
      </c>
      <c r="U18" s="2">
        <f>COUNTIF(defects!$V:$V,Weekly_All!U$3&amp;Weekly_All!$B18&amp;Weekly_All!$B$3&amp;$B$2)</f>
        <v>0</v>
      </c>
      <c r="V18" s="2">
        <f>COUNTIF(defects!$V:$V,Weekly_All!V$3&amp;Weekly_All!$B18&amp;Weekly_All!$B$3&amp;$B$2)</f>
        <v>0</v>
      </c>
      <c r="W18" s="2">
        <f>COUNTIF(defects!$V:$V,Weekly_All!W$3&amp;Weekly_All!$B18&amp;Weekly_All!$B$3&amp;$B$2)</f>
        <v>0</v>
      </c>
      <c r="X18" s="2">
        <f>COUNTIF(defects!$V:$V,Weekly_All!X$3&amp;Weekly_All!$B18&amp;Weekly_All!$B$3&amp;$B$2)</f>
        <v>0</v>
      </c>
      <c r="Y18" s="2">
        <f>COUNTIF(defects!$V:$V,Weekly_All!Y$3&amp;Weekly_All!$B18&amp;Weekly_All!$B$3&amp;$B$2)</f>
        <v>0</v>
      </c>
      <c r="Z18" s="2">
        <f>COUNTIF(defects!$V:$V,Weekly_All!Z$3&amp;Weekly_All!$B18&amp;Weekly_All!$B$3&amp;$B$2)</f>
        <v>0</v>
      </c>
      <c r="AA18" s="2">
        <f>COUNTIF(defects!$V:$V,Weekly_All!AA$3&amp;Weekly_All!$B18&amp;Weekly_All!$B$3&amp;$B$2)</f>
        <v>0</v>
      </c>
      <c r="AB18" s="2">
        <f>COUNTIF(defects!$V:$V,Weekly_All!AB$3&amp;Weekly_All!$B18&amp;Weekly_All!$B$3&amp;$B$2)</f>
        <v>0</v>
      </c>
      <c r="AC18" s="2">
        <f>COUNTIF(defects!$V:$V,Weekly_All!AC$3&amp;Weekly_All!$B18&amp;Weekly_All!$B$3&amp;$B$2)</f>
        <v>0</v>
      </c>
      <c r="AD18" s="2">
        <f>COUNTIF(defects!$V:$V,Weekly_All!AD$3&amp;Weekly_All!$B18&amp;Weekly_All!$B$3&amp;$B$2)</f>
        <v>0</v>
      </c>
      <c r="AE18" s="2">
        <f>COUNTIF(defects!$V:$V,Weekly_All!AE$3&amp;Weekly_All!$B18&amp;Weekly_All!$B$3&amp;$B$2)</f>
        <v>0</v>
      </c>
      <c r="AF18" s="2">
        <f>COUNTIF(defects!$V:$V,Weekly_All!AF$3&amp;Weekly_All!$B18&amp;Weekly_All!$B$3&amp;$B$2)</f>
        <v>0</v>
      </c>
      <c r="AG18" s="2">
        <f>COUNTIF(defects!$V:$V,Weekly_All!AG$3&amp;Weekly_All!$B18&amp;Weekly_All!$B$3&amp;$B$2)</f>
        <v>0</v>
      </c>
      <c r="AH18" s="2">
        <f>COUNTIF(defects!$V:$V,Weekly_All!AH$3&amp;Weekly_All!$B18&amp;Weekly_All!$B$3&amp;$B$2)</f>
        <v>0</v>
      </c>
      <c r="AI18" s="2">
        <f>COUNTIF(defects!$V:$V,Weekly_All!AI$3&amp;Weekly_All!$B18&amp;Weekly_All!$B$3&amp;$B$2)</f>
        <v>0</v>
      </c>
      <c r="AJ18" s="2">
        <f>COUNTIF(defects!$V:$V,Weekly_All!AJ$3&amp;Weekly_All!$B18&amp;Weekly_All!$B$3&amp;$B$2)</f>
        <v>0</v>
      </c>
      <c r="AK18" s="2">
        <f>COUNTIF(defects!$V:$V,Weekly_All!AK$3&amp;Weekly_All!$B18&amp;Weekly_All!$B$3&amp;$B$2)</f>
        <v>0</v>
      </c>
      <c r="AL18" s="2">
        <f>COUNTIF(defects!$V:$V,Weekly_All!AL$3&amp;Weekly_All!$B18&amp;Weekly_All!$B$3&amp;$B$2)</f>
        <v>0</v>
      </c>
      <c r="AM18" s="2">
        <f>COUNTIF(defects!$V:$V,Weekly_All!AM$3&amp;Weekly_All!$B18&amp;Weekly_All!$B$3&amp;$B$2)</f>
        <v>0</v>
      </c>
      <c r="AN18" s="2">
        <f>COUNTIF(defects!$V:$V,Weekly_All!AN$3&amp;Weekly_All!$B18&amp;Weekly_All!$B$3&amp;$B$2)</f>
        <v>0</v>
      </c>
      <c r="AO18" s="2">
        <f>COUNTIF(defects!$V:$V,Weekly_All!AO$3&amp;Weekly_All!$B18&amp;Weekly_All!$B$3&amp;$B$2)</f>
        <v>0</v>
      </c>
      <c r="AP18" s="2">
        <f>COUNTIF(defects!$V:$V,Weekly_All!AP$3&amp;Weekly_All!$B18&amp;Weekly_All!$B$3&amp;$B$2)</f>
        <v>0</v>
      </c>
      <c r="AQ18" s="2">
        <f>COUNTIF(defects!$V:$V,Weekly_All!AQ$3&amp;Weekly_All!$B18&amp;Weekly_All!$B$3&amp;$B$2)</f>
        <v>0</v>
      </c>
      <c r="AR18" s="2">
        <f>COUNTIF(defects!$V:$V,Weekly_All!AR$3&amp;Weekly_All!$B18&amp;Weekly_All!$B$3&amp;$B$2)</f>
        <v>0</v>
      </c>
      <c r="AS18" s="2">
        <f>COUNTIF(defects!$V:$V,Weekly_All!AS$3&amp;Weekly_All!$B18&amp;Weekly_All!$B$3&amp;$B$2)</f>
        <v>0</v>
      </c>
      <c r="AT18" s="2">
        <f>COUNTIF(defects!$V:$V,Weekly_All!AT$3&amp;Weekly_All!$B18&amp;Weekly_All!$B$3&amp;$B$2)</f>
        <v>0</v>
      </c>
      <c r="AU18" s="2">
        <f>COUNTIF(defects!$V:$V,Weekly_All!AU$3&amp;Weekly_All!$B18&amp;Weekly_All!$B$3&amp;$B$2)</f>
        <v>0</v>
      </c>
      <c r="AV18" s="2">
        <f>COUNTIF(defects!$V:$V,Weekly_All!AV$3&amp;Weekly_All!$B18&amp;Weekly_All!$B$3&amp;$B$2)</f>
        <v>0</v>
      </c>
      <c r="AW18" s="2">
        <f>COUNTIF(defects!$V:$V,Weekly_All!AW$3&amp;Weekly_All!$B18&amp;Weekly_All!$B$3&amp;$B$2)</f>
        <v>0</v>
      </c>
      <c r="AX18" s="2">
        <f>COUNTIF(defects!$V:$V,Weekly_All!AX$3&amp;Weekly_All!$B18&amp;Weekly_All!$B$3&amp;$B$2)</f>
        <v>0</v>
      </c>
      <c r="AY18" s="2">
        <f>COUNTIF(defects!$V:$V,Weekly_All!AY$3&amp;Weekly_All!$B18&amp;Weekly_All!$B$3&amp;$B$2)</f>
        <v>0</v>
      </c>
      <c r="AZ18" s="2">
        <f>COUNTIF(defects!$V:$V,Weekly_All!AZ$3&amp;Weekly_All!$B18&amp;Weekly_All!$B$3&amp;$B$2)</f>
        <v>0</v>
      </c>
      <c r="BA18" s="2">
        <f>COUNTIF(defects!$V:$V,Weekly_All!BA$3&amp;Weekly_All!$B18&amp;Weekly_All!$B$3&amp;$B$2)</f>
        <v>0</v>
      </c>
      <c r="BB18" s="2">
        <f>COUNTIF(defects!$V:$V,Weekly_All!BB$3&amp;Weekly_All!$B18&amp;Weekly_All!$B$3&amp;$B$2)</f>
        <v>0</v>
      </c>
      <c r="BC18" s="2">
        <f>COUNTIF(defects!$V:$V,Weekly_All!BC$3&amp;Weekly_All!$B18&amp;Weekly_All!$B$3&amp;$B$2)</f>
        <v>0</v>
      </c>
      <c r="BD18" s="2">
        <f>COUNTIF(defects!$V:$V,Weekly_All!BD$3&amp;Weekly_All!$B18&amp;Weekly_All!$B$3&amp;$B$2)</f>
        <v>0</v>
      </c>
      <c r="BE18" s="2">
        <f>COUNTIF(defects!$V:$V,Weekly_All!BE$3&amp;Weekly_All!$B18&amp;Weekly_All!$B$3&amp;$B$2)</f>
        <v>0</v>
      </c>
      <c r="BF18" s="2">
        <f>COUNTIF(defects!$V:$V,Weekly_All!BF$3&amp;Weekly_All!$B18&amp;Weekly_All!$B$3&amp;$B$2)</f>
        <v>0</v>
      </c>
      <c r="BG18" s="2">
        <f>COUNTIF(defects!$V:$V,Weekly_All!BG$3&amp;Weekly_All!$B18&amp;Weekly_All!$B$3&amp;$B$2)</f>
        <v>0</v>
      </c>
      <c r="BH18" s="2">
        <f>COUNTIF(defects!$V:$V,Weekly_All!BH$3&amp;Weekly_All!$B18&amp;Weekly_All!$B$3&amp;$B$2)</f>
        <v>0</v>
      </c>
      <c r="BI18" s="2">
        <f>COUNTIF(defects!$V:$V,Weekly_All!BI$3&amp;Weekly_All!$B18&amp;Weekly_All!$B$3&amp;$B$2)</f>
        <v>0</v>
      </c>
      <c r="BJ18" s="2">
        <f>COUNTIF(defects!$V:$V,Weekly_All!BJ$3&amp;Weekly_All!$B18&amp;Weekly_All!$B$3&amp;$B$2)</f>
        <v>0</v>
      </c>
      <c r="BK18" s="2">
        <f>COUNTIF(defects!$V:$V,Weekly_All!BK$3&amp;Weekly_All!$B18&amp;Weekly_All!$B$3&amp;$B$2)</f>
        <v>0</v>
      </c>
      <c r="BL18" s="2">
        <f>COUNTIF(defects!$V:$V,Weekly_All!BL$3&amp;Weekly_All!$B18&amp;Weekly_All!$B$3&amp;$B$2)</f>
        <v>0</v>
      </c>
      <c r="BM18" s="2">
        <f>COUNTIF(defects!$V:$V,Weekly_All!BM$3&amp;Weekly_All!$B18&amp;Weekly_All!$B$3&amp;$B$2)</f>
        <v>0</v>
      </c>
      <c r="BN18" s="2">
        <f>COUNTIF(defects!$V:$V,Weekly_All!BN$3&amp;Weekly_All!$B18&amp;Weekly_All!$B$3&amp;$B$2)</f>
        <v>0</v>
      </c>
      <c r="BO18" s="2">
        <f>COUNTIF(defects!$V:$V,Weekly_All!BO$3&amp;Weekly_All!$B18&amp;Weekly_All!$B$3&amp;$B$2)</f>
        <v>0</v>
      </c>
      <c r="BP18" s="2">
        <f>COUNTIF(defects!$V:$V,Weekly_All!BP$3&amp;Weekly_All!$B18&amp;Weekly_All!$B$3&amp;$B$2)</f>
        <v>0</v>
      </c>
      <c r="BQ18" s="2">
        <f>COUNTIF(defects!$V:$V,Weekly_All!BQ$3&amp;Weekly_All!$B18&amp;Weekly_All!$B$3&amp;$B$2)</f>
        <v>0</v>
      </c>
      <c r="BR18" s="2">
        <f>COUNTIF(defects!$V:$V,Weekly_All!BR$3&amp;Weekly_All!$B18&amp;Weekly_All!$B$3&amp;$B$2)</f>
        <v>0</v>
      </c>
      <c r="BS18" s="2">
        <f>COUNTIF(defects!$V:$V,Weekly_All!BS$3&amp;Weekly_All!$B18&amp;Weekly_All!$B$3&amp;$B$2)</f>
        <v>0</v>
      </c>
      <c r="BT18" s="2">
        <f>COUNTIF(defects!$V:$V,Weekly_All!BT$3&amp;Weekly_All!$B18&amp;Weekly_All!$B$3&amp;$B$2)</f>
        <v>0</v>
      </c>
      <c r="BU18" s="2">
        <f>COUNTIF(defects!$V:$V,Weekly_All!BU$3&amp;Weekly_All!$B18&amp;Weekly_All!$B$3&amp;$B$2)</f>
        <v>0</v>
      </c>
      <c r="BV18" s="2">
        <f>COUNTIF(defects!$V:$V,Weekly_All!BV$3&amp;Weekly_All!$B18&amp;Weekly_All!$B$3&amp;$B$2)</f>
        <v>0</v>
      </c>
      <c r="BW18" s="2">
        <f>COUNTIF(defects!$V:$V,Weekly_All!BW$3&amp;Weekly_All!$B18&amp;Weekly_All!$B$3&amp;$B$2)</f>
        <v>1</v>
      </c>
      <c r="BX18" s="2">
        <f>COUNTIF(defects!$V:$V,Weekly_All!BX$3&amp;Weekly_All!$B18&amp;Weekly_All!$B$3&amp;$B$2)</f>
        <v>0</v>
      </c>
      <c r="BY18" s="2">
        <f>COUNTIF(defects!$V:$V,Weekly_All!BY$3&amp;Weekly_All!$B18&amp;Weekly_All!$B$3&amp;$B$2)</f>
        <v>0</v>
      </c>
      <c r="BZ18" s="2">
        <f>COUNTIF(defects!$V:$V,Weekly_All!BZ$3&amp;Weekly_All!$B18&amp;Weekly_All!$B$3&amp;$B$2)</f>
        <v>2</v>
      </c>
      <c r="CA18" s="2">
        <f>COUNTIF(defects!$V:$V,Weekly_All!CA$3&amp;Weekly_All!$B18&amp;Weekly_All!$B$3&amp;$B$2)</f>
        <v>0</v>
      </c>
      <c r="CB18" s="2">
        <f>COUNTIF(defects!$V:$V,Weekly_All!CB$3&amp;Weekly_All!$B18&amp;Weekly_All!$B$3&amp;$B$2)</f>
        <v>0</v>
      </c>
      <c r="CC18" s="2">
        <f>COUNTIF(defects!$V:$V,Weekly_All!CC$3&amp;Weekly_All!$B18&amp;Weekly_All!$B$3&amp;$B$2)</f>
        <v>2</v>
      </c>
      <c r="CD18" s="2">
        <f>COUNTIF(defects!$V:$V,Weekly_All!CD$3&amp;Weekly_All!$B18&amp;Weekly_All!$B$3&amp;$B$2)</f>
        <v>0</v>
      </c>
      <c r="CE18" s="2">
        <f>COUNTIF(defects!$V:$V,Weekly_All!CE$3&amp;Weekly_All!$B18&amp;Weekly_All!$B$3&amp;$B$2)</f>
        <v>0</v>
      </c>
      <c r="CF18" s="2">
        <f>COUNTIF(defects!$V:$V,Weekly_All!CF$3&amp;Weekly_All!$B18&amp;Weekly_All!$B$3&amp;$B$2)</f>
        <v>1</v>
      </c>
      <c r="CG18" s="2">
        <f>COUNTIF(defects!$V:$V,Weekly_All!CG$3&amp;Weekly_All!$B18&amp;Weekly_All!$B$3&amp;$B$2)</f>
        <v>1</v>
      </c>
      <c r="CH18" s="2">
        <f>COUNTIF(defects!$V:$V,Weekly_All!CH$3&amp;Weekly_All!$B18&amp;Weekly_All!$B$3&amp;$B$2)</f>
        <v>1</v>
      </c>
      <c r="CI18" s="2">
        <f>COUNTIF(defects!$V:$V,Weekly_All!CI$3&amp;Weekly_All!$B18&amp;Weekly_All!$B$3&amp;$B$2)</f>
        <v>1</v>
      </c>
      <c r="CJ18" s="2">
        <f>COUNTIF(defects!$V:$V,Weekly_All!CJ$3&amp;Weekly_All!$B18&amp;Weekly_All!$B$3&amp;$B$2)</f>
        <v>2</v>
      </c>
      <c r="CK18" s="2">
        <f>COUNTIF(defects!$V:$V,Weekly_All!CK$3&amp;Weekly_All!$B18&amp;Weekly_All!$B$3&amp;$B$2)</f>
        <v>0</v>
      </c>
      <c r="CL18" s="2">
        <f>COUNTIF(defects!$V:$V,Weekly_All!CL$3&amp;Weekly_All!$B18&amp;Weekly_All!$B$3&amp;$B$2)</f>
        <v>1</v>
      </c>
      <c r="CM18" s="2">
        <f>COUNTIF(defects!$V:$V,Weekly_All!CM$3&amp;Weekly_All!$B18&amp;Weekly_All!$B$3&amp;$B$2)</f>
        <v>2</v>
      </c>
      <c r="CN18" s="2">
        <f>COUNTIF(defects!$V:$V,Weekly_All!CN$3&amp;Weekly_All!$B18&amp;Weekly_All!$B$3&amp;$B$2)</f>
        <v>1</v>
      </c>
      <c r="CO18" s="2">
        <f>COUNTIF(defects!$V:$V,Weekly_All!CO$3&amp;Weekly_All!$B18&amp;Weekly_All!$B$3&amp;$B$2)</f>
        <v>3</v>
      </c>
      <c r="CP18" s="2">
        <f>COUNTIF(defects!$V:$V,Weekly_All!CP$3&amp;Weekly_All!$B18&amp;Weekly_All!$B$3&amp;$B$2)</f>
        <v>0</v>
      </c>
      <c r="CQ18" s="2">
        <f>COUNTIF(defects!$V:$V,Weekly_All!CQ$3&amp;Weekly_All!$B18&amp;Weekly_All!$B$3&amp;$B$2)</f>
        <v>1</v>
      </c>
      <c r="CR18" s="2">
        <f>COUNTIF(defects!$V:$V,Weekly_All!CR$3&amp;Weekly_All!$B18&amp;Weekly_All!$B$3&amp;$B$2)</f>
        <v>1</v>
      </c>
      <c r="CS18" s="2">
        <f>COUNTIF(defects!$V:$V,Weekly_All!CS$3&amp;Weekly_All!$B18&amp;Weekly_All!$B$3&amp;$B$2)</f>
        <v>1</v>
      </c>
      <c r="CT18" s="2">
        <f>COUNTIF(defects!$V:$V,Weekly_All!CT$3&amp;Weekly_All!$B18&amp;Weekly_All!$B$3&amp;$B$2)</f>
        <v>2</v>
      </c>
      <c r="CU18" s="2">
        <f>COUNTIF(defects!$V:$V,Weekly_All!CU$3&amp;Weekly_All!$B18&amp;Weekly_All!$B$3&amp;$B$2)</f>
        <v>0</v>
      </c>
      <c r="CV18" s="2">
        <f>COUNTIF(defects!$V:$V,Weekly_All!CV$3&amp;Weekly_All!$B18&amp;Weekly_All!$B$3&amp;$B$2)</f>
        <v>1</v>
      </c>
      <c r="CW18" s="2">
        <f>COUNTIF(defects!$V:$V,Weekly_All!CW$3&amp;Weekly_All!$B18&amp;Weekly_All!$B$3&amp;$B$2)</f>
        <v>2</v>
      </c>
      <c r="CX18" s="2">
        <f>COUNTIF(defects!$V:$V,Weekly_All!CX$3&amp;Weekly_All!$B18&amp;Weekly_All!$B$3&amp;$B$2)</f>
        <v>0</v>
      </c>
      <c r="CY18" s="2">
        <f>COUNTIF(defects!$V:$V,Weekly_All!CY$3&amp;Weekly_All!$B18&amp;Weekly_All!$B$3&amp;$B$2)</f>
        <v>0</v>
      </c>
      <c r="CZ18" s="2">
        <f>COUNTIF(defects!$V:$V,Weekly_All!CZ$3&amp;Weekly_All!$B18&amp;Weekly_All!$B$3&amp;$B$2)</f>
        <v>0</v>
      </c>
      <c r="DA18" s="2">
        <f>COUNTIF(defects!$V:$V,Weekly_All!DA$3&amp;Weekly_All!$B18&amp;Weekly_All!$B$3&amp;$B$2)</f>
        <v>0</v>
      </c>
      <c r="DB18" s="2">
        <f>COUNTIF(defects!$V:$V,Weekly_All!DB$3&amp;Weekly_All!$B18&amp;Weekly_All!$B$3&amp;$B$2)</f>
        <v>0</v>
      </c>
      <c r="DC18" s="2">
        <f>COUNTIF(defects!$V:$V,Weekly_All!DC$3&amp;Weekly_All!$B18&amp;Weekly_All!$B$3&amp;$B$2)</f>
        <v>0</v>
      </c>
      <c r="DD18" s="2">
        <f>COUNTIF(defects!$V:$V,Weekly_All!DD$3&amp;Weekly_All!$B18&amp;Weekly_All!$B$3&amp;$B$2)</f>
        <v>0</v>
      </c>
      <c r="DE18" s="2">
        <f>COUNTIF(defects!$V:$V,Weekly_All!DE$3&amp;Weekly_All!$B18&amp;Weekly_All!$B$3&amp;$B$2)</f>
        <v>0</v>
      </c>
      <c r="DF18" s="2">
        <f>COUNTIF(defects!$V:$V,Weekly_All!DF$3&amp;Weekly_All!$B18&amp;Weekly_All!$B$3&amp;$B$2)</f>
        <v>0</v>
      </c>
      <c r="DG18" s="2">
        <f>COUNTIF(defects!$V:$V,Weekly_All!DG$3&amp;Weekly_All!$B18&amp;Weekly_All!$B$3&amp;$B$2)</f>
        <v>0</v>
      </c>
      <c r="DH18" s="2">
        <f>COUNTIF(defects!$V:$V,Weekly_All!DH$3&amp;Weekly_All!$B18&amp;Weekly_All!$B$3&amp;$B$2)</f>
        <v>0</v>
      </c>
      <c r="DI18" s="2">
        <f>COUNTIF(defects!$V:$V,Weekly_All!DI$3&amp;Weekly_All!$B18&amp;Weekly_All!$B$3&amp;$B$2)</f>
        <v>0</v>
      </c>
      <c r="DJ18" s="2">
        <f>COUNTIF(defects!$V:$V,Weekly_All!DJ$3&amp;Weekly_All!$B18&amp;Weekly_All!$B$3&amp;$B$2)</f>
        <v>0</v>
      </c>
      <c r="DK18" s="2">
        <f>COUNTIF(defects!$V:$V,Weekly_All!DK$3&amp;Weekly_All!$B18&amp;Weekly_All!$B$3&amp;$B$2)</f>
        <v>0</v>
      </c>
      <c r="DL18" s="2">
        <f>COUNTIF(defects!$V:$V,Weekly_All!DL$3&amp;Weekly_All!$B18&amp;Weekly_All!$B$3&amp;$B$2)</f>
        <v>0</v>
      </c>
      <c r="DM18" s="2">
        <f>COUNTIF(defects!$V:$V,Weekly_All!DM$3&amp;Weekly_All!$B18&amp;Weekly_All!$B$3&amp;$B$2)</f>
        <v>0</v>
      </c>
      <c r="DN18" s="2">
        <f>COUNTIF(defects!$V:$V,Weekly_All!DN$3&amp;Weekly_All!$B18&amp;Weekly_All!$B$3&amp;$B$2)</f>
        <v>0</v>
      </c>
      <c r="DO18" s="2">
        <f>COUNTIF(defects!$V:$V,Weekly_All!DO$3&amp;Weekly_All!$B18&amp;Weekly_All!$B$3&amp;$B$2)</f>
        <v>0</v>
      </c>
      <c r="DP18" s="2">
        <f>COUNTIF(defects!$V:$V,Weekly_All!DP$3&amp;Weekly_All!$B18&amp;Weekly_All!$B$3&amp;$B$2)</f>
        <v>0</v>
      </c>
      <c r="DQ18" s="2">
        <f>COUNTIF(defects!$V:$V,Weekly_All!DQ$3&amp;Weekly_All!$B18&amp;Weekly_All!$B$3&amp;$B$2)</f>
        <v>0</v>
      </c>
      <c r="DR18" s="2">
        <f>COUNTIF(defects!$V:$V,Weekly_All!DR$3&amp;Weekly_All!$B18&amp;Weekly_All!$B$3&amp;$B$2)</f>
        <v>0</v>
      </c>
      <c r="DS18" s="2">
        <f>COUNTIF(defects!$V:$V,Weekly_All!DS$3&amp;Weekly_All!$B18&amp;Weekly_All!$B$3&amp;$B$2)</f>
        <v>0</v>
      </c>
      <c r="DT18" s="2">
        <f>COUNTIF(defects!$V:$V,Weekly_All!DT$3&amp;Weekly_All!$B18&amp;Weekly_All!$B$3&amp;$B$2)</f>
        <v>0</v>
      </c>
      <c r="DU18" s="2">
        <f>COUNTIF(defects!$V:$V,Weekly_All!DU$3&amp;Weekly_All!$B18&amp;Weekly_All!$B$3&amp;$B$2)</f>
        <v>0</v>
      </c>
      <c r="DV18" s="2">
        <f>COUNTIF(defects!$V:$V,Weekly_All!DV$3&amp;Weekly_All!$B18&amp;Weekly_All!$B$3&amp;$B$2)</f>
        <v>0</v>
      </c>
      <c r="DW18" s="2">
        <f>COUNTIF(defects!$V:$V,Weekly_All!DW$3&amp;Weekly_All!$B18&amp;Weekly_All!$B$3&amp;$B$2)</f>
        <v>0</v>
      </c>
      <c r="DX18" s="2">
        <f>COUNTIF(defects!$V:$V,Weekly_All!DX$3&amp;Weekly_All!$B18&amp;Weekly_All!$B$3&amp;$B$2)</f>
        <v>0</v>
      </c>
      <c r="DY18" s="2">
        <f>COUNTIF(defects!$V:$V,Weekly_All!DY$3&amp;Weekly_All!$B18&amp;Weekly_All!$B$3&amp;$B$2)</f>
        <v>0</v>
      </c>
      <c r="DZ18" s="2">
        <f>COUNTIF(defects!$V:$V,Weekly_All!DZ$3&amp;Weekly_All!$B18&amp;Weekly_All!$B$3&amp;$B$2)</f>
        <v>0</v>
      </c>
      <c r="EA18" s="2">
        <f>COUNTIF(defects!$V:$V,Weekly_All!EA$3&amp;Weekly_All!$B18&amp;Weekly_All!$B$3&amp;$B$2)</f>
        <v>0</v>
      </c>
      <c r="EB18" s="2">
        <f>COUNTIF(defects!$V:$V,Weekly_All!EB$3&amp;Weekly_All!$B18&amp;Weekly_All!$B$3&amp;$B$2)</f>
        <v>0</v>
      </c>
      <c r="EC18" s="2">
        <f>COUNTIF(defects!$V:$V,Weekly_All!EC$3&amp;Weekly_All!$B18&amp;Weekly_All!$B$3&amp;$B$2)</f>
        <v>0</v>
      </c>
      <c r="ED18" s="2">
        <f>COUNTIF(defects!$V:$V,Weekly_All!ED$3&amp;Weekly_All!$B18&amp;Weekly_All!$B$3&amp;$B$2)</f>
        <v>0</v>
      </c>
      <c r="EE18" s="2">
        <f>COUNTIF(defects!$V:$V,Weekly_All!EE$3&amp;Weekly_All!$B18&amp;Weekly_All!$B$3&amp;$B$2)</f>
        <v>0</v>
      </c>
      <c r="EF18" s="2">
        <f>COUNTIF(defects!$V:$V,Weekly_All!EF$3&amp;Weekly_All!$B18&amp;Weekly_All!$B$3&amp;$B$2)</f>
        <v>0</v>
      </c>
      <c r="EG18" s="2">
        <f>COUNTIF(defects!$V:$V,Weekly_All!EG$3&amp;Weekly_All!$B18&amp;Weekly_All!$B$3&amp;$B$2)</f>
        <v>0</v>
      </c>
      <c r="EH18" s="2">
        <f>COUNTIF(defects!$V:$V,Weekly_All!EH$3&amp;Weekly_All!$B18&amp;Weekly_All!$B$3&amp;$B$2)</f>
        <v>0</v>
      </c>
      <c r="EI18" s="2">
        <f>COUNTIF(defects!$V:$V,Weekly_All!EI$3&amp;Weekly_All!$B18&amp;Weekly_All!$B$3&amp;$B$2)</f>
        <v>0</v>
      </c>
      <c r="EJ18" s="2">
        <f>COUNTIF(defects!$V:$V,Weekly_All!EJ$3&amp;Weekly_All!$B18&amp;Weekly_All!$B$3&amp;$B$2)</f>
        <v>0</v>
      </c>
      <c r="EK18" s="2">
        <f>COUNTIF(defects!$V:$V,Weekly_All!EK$3&amp;Weekly_All!$B18&amp;Weekly_All!$B$3&amp;$B$2)</f>
        <v>0</v>
      </c>
      <c r="EL18" s="2">
        <f>COUNTIF(defects!$V:$V,Weekly_All!EL$3&amp;Weekly_All!$B18&amp;Weekly_All!$B$3&amp;$B$2)</f>
        <v>0</v>
      </c>
      <c r="EM18" s="2">
        <f>COUNTIF(defects!$V:$V,Weekly_All!EM$3&amp;Weekly_All!$B18&amp;Weekly_All!$B$3&amp;$B$2)</f>
        <v>0</v>
      </c>
      <c r="EN18" s="2">
        <f>COUNTIF(defects!$V:$V,Weekly_All!EN$3&amp;Weekly_All!$B18&amp;Weekly_All!$B$3&amp;$B$2)</f>
        <v>0</v>
      </c>
      <c r="EO18" s="2">
        <f>COUNTIF(defects!$V:$V,Weekly_All!EO$3&amp;Weekly_All!$B18&amp;Weekly_All!$B$3&amp;$B$2)</f>
        <v>0</v>
      </c>
      <c r="EP18" s="2">
        <f>COUNTIF(defects!$V:$V,Weekly_All!EP$3&amp;Weekly_All!$B18&amp;Weekly_All!$B$3&amp;$B$2)</f>
        <v>0</v>
      </c>
      <c r="EQ18" s="2">
        <f>COUNTIF(defects!$V:$V,Weekly_All!EQ$3&amp;Weekly_All!$B18&amp;Weekly_All!$B$3&amp;$B$2)</f>
        <v>0</v>
      </c>
      <c r="ER18" s="2">
        <f>COUNTIF(defects!$V:$V,Weekly_All!ER$3&amp;Weekly_All!$B18&amp;Weekly_All!$B$3&amp;$B$2)</f>
        <v>0</v>
      </c>
      <c r="ES18" s="2">
        <f>COUNTIF(defects!$V:$V,Weekly_All!ES$3&amp;Weekly_All!$B18&amp;Weekly_All!$B$3&amp;$B$2)</f>
        <v>0</v>
      </c>
      <c r="ET18" s="2">
        <f>COUNTIF(defects!$V:$V,Weekly_All!ET$3&amp;Weekly_All!$B18&amp;Weekly_All!$B$3&amp;$B$2)</f>
        <v>0</v>
      </c>
      <c r="EU18" s="2">
        <f>COUNTIF(defects!$V:$V,Weekly_All!EU$3&amp;Weekly_All!$B18&amp;Weekly_All!$B$3&amp;$B$2)</f>
        <v>0</v>
      </c>
      <c r="EV18" s="2">
        <f>COUNTIF(defects!$V:$V,Weekly_All!EV$3&amp;Weekly_All!$B18&amp;Weekly_All!$B$3&amp;$B$2)</f>
        <v>0</v>
      </c>
      <c r="EW18" s="2">
        <f>COUNTIF(defects!$V:$V,Weekly_All!EW$3&amp;Weekly_All!$B18&amp;Weekly_All!$B$3&amp;$B$2)</f>
        <v>0</v>
      </c>
      <c r="EX18" s="2">
        <f>COUNTIF(defects!$V:$V,Weekly_All!EX$3&amp;Weekly_All!$B18&amp;Weekly_All!$B$3&amp;$B$2)</f>
        <v>0</v>
      </c>
      <c r="EY18" s="2">
        <f>COUNTIF(defects!$V:$V,Weekly_All!EY$3&amp;Weekly_All!$B18&amp;Weekly_All!$B$3&amp;$B$2)</f>
        <v>0</v>
      </c>
      <c r="EZ18" s="2">
        <f>COUNTIF(defects!$V:$V,Weekly_All!EZ$3&amp;Weekly_All!$B18&amp;Weekly_All!$B$3&amp;$B$2)</f>
        <v>0</v>
      </c>
      <c r="FA18" s="2">
        <f>COUNTIF(defects!$V:$V,Weekly_All!FA$3&amp;Weekly_All!$B18&amp;Weekly_All!$B$3&amp;$B$2)</f>
        <v>0</v>
      </c>
      <c r="FB18" s="2">
        <f>COUNTIF(defects!$V:$V,Weekly_All!FB$3&amp;Weekly_All!$B18&amp;Weekly_All!$B$3&amp;$B$2)</f>
        <v>0</v>
      </c>
      <c r="FC18" s="2">
        <f>COUNTIF(defects!$V:$V,Weekly_All!FC$3&amp;Weekly_All!$B18&amp;Weekly_All!$B$3&amp;$B$2)</f>
        <v>0</v>
      </c>
      <c r="FD18" s="2">
        <f>COUNTIF(defects!$V:$V,Weekly_All!FD$3&amp;Weekly_All!$B18&amp;Weekly_All!$B$3&amp;$B$2)</f>
        <v>0</v>
      </c>
      <c r="FE18" s="2">
        <f>COUNTIF(defects!$V:$V,Weekly_All!FE$3&amp;Weekly_All!$B18&amp;Weekly_All!$B$3&amp;$B$2)</f>
        <v>0</v>
      </c>
    </row>
    <row r="19" spans="2:161">
      <c r="B19" s="3" t="s">
        <v>995</v>
      </c>
      <c r="C19" s="2">
        <f>COUNTIF(defects!$V:$V,Weekly_All!C$3&amp;Weekly_All!$B19&amp;Weekly_All!$B$3&amp;$B$2)</f>
        <v>0</v>
      </c>
      <c r="D19" s="2">
        <f>COUNTIF(defects!$V:$V,Weekly_All!D$3&amp;Weekly_All!$B19&amp;Weekly_All!$B$3&amp;$B$2)</f>
        <v>0</v>
      </c>
      <c r="E19" s="2">
        <f>COUNTIF(defects!$V:$V,Weekly_All!E$3&amp;Weekly_All!$B19&amp;Weekly_All!$B$3&amp;$B$2)</f>
        <v>0</v>
      </c>
      <c r="F19" s="2">
        <f>COUNTIF(defects!$V:$V,Weekly_All!F$3&amp;Weekly_All!$B19&amp;Weekly_All!$B$3&amp;$B$2)</f>
        <v>0</v>
      </c>
      <c r="G19" s="2">
        <f>COUNTIF(defects!$V:$V,Weekly_All!G$3&amp;Weekly_All!$B19&amp;Weekly_All!$B$3&amp;$B$2)</f>
        <v>0</v>
      </c>
      <c r="H19" s="2">
        <f>COUNTIF(defects!$V:$V,Weekly_All!H$3&amp;Weekly_All!$B19&amp;Weekly_All!$B$3&amp;$B$2)</f>
        <v>0</v>
      </c>
      <c r="I19" s="2">
        <f>COUNTIF(defects!$V:$V,Weekly_All!I$3&amp;Weekly_All!$B19&amp;Weekly_All!$B$3&amp;$B$2)</f>
        <v>0</v>
      </c>
      <c r="J19" s="2">
        <f>COUNTIF(defects!$V:$V,Weekly_All!J$3&amp;Weekly_All!$B19&amp;Weekly_All!$B$3&amp;$B$2)</f>
        <v>0</v>
      </c>
      <c r="K19" s="2">
        <f>COUNTIF(defects!$V:$V,Weekly_All!K$3&amp;Weekly_All!$B19&amp;Weekly_All!$B$3&amp;$B$2)</f>
        <v>0</v>
      </c>
      <c r="L19" s="2">
        <f>COUNTIF(defects!$V:$V,Weekly_All!L$3&amp;Weekly_All!$B19&amp;Weekly_All!$B$3&amp;$B$2)</f>
        <v>0</v>
      </c>
      <c r="M19" s="2">
        <f>COUNTIF(defects!$V:$V,Weekly_All!M$3&amp;Weekly_All!$B19&amp;Weekly_All!$B$3&amp;$B$2)</f>
        <v>0</v>
      </c>
      <c r="N19" s="2">
        <f>COUNTIF(defects!$V:$V,Weekly_All!N$3&amp;Weekly_All!$B19&amp;Weekly_All!$B$3&amp;$B$2)</f>
        <v>0</v>
      </c>
      <c r="O19" s="2">
        <f>COUNTIF(defects!$V:$V,Weekly_All!O$3&amp;Weekly_All!$B19&amp;Weekly_All!$B$3&amp;$B$2)</f>
        <v>0</v>
      </c>
      <c r="P19" s="2">
        <f>COUNTIF(defects!$V:$V,Weekly_All!P$3&amp;Weekly_All!$B19&amp;Weekly_All!$B$3&amp;$B$2)</f>
        <v>0</v>
      </c>
      <c r="Q19" s="2">
        <f>COUNTIF(defects!$V:$V,Weekly_All!Q$3&amp;Weekly_All!$B19&amp;Weekly_All!$B$3&amp;$B$2)</f>
        <v>0</v>
      </c>
      <c r="R19" s="2">
        <f>COUNTIF(defects!$V:$V,Weekly_All!R$3&amp;Weekly_All!$B19&amp;Weekly_All!$B$3&amp;$B$2)</f>
        <v>0</v>
      </c>
      <c r="S19" s="2">
        <f>COUNTIF(defects!$V:$V,Weekly_All!S$3&amp;Weekly_All!$B19&amp;Weekly_All!$B$3&amp;$B$2)</f>
        <v>0</v>
      </c>
      <c r="T19" s="2">
        <f>COUNTIF(defects!$V:$V,Weekly_All!T$3&amp;Weekly_All!$B19&amp;Weekly_All!$B$3&amp;$B$2)</f>
        <v>0</v>
      </c>
      <c r="U19" s="2">
        <f>COUNTIF(defects!$V:$V,Weekly_All!U$3&amp;Weekly_All!$B19&amp;Weekly_All!$B$3&amp;$B$2)</f>
        <v>0</v>
      </c>
      <c r="V19" s="2">
        <f>COUNTIF(defects!$V:$V,Weekly_All!V$3&amp;Weekly_All!$B19&amp;Weekly_All!$B$3&amp;$B$2)</f>
        <v>0</v>
      </c>
      <c r="W19" s="2">
        <f>COUNTIF(defects!$V:$V,Weekly_All!W$3&amp;Weekly_All!$B19&amp;Weekly_All!$B$3&amp;$B$2)</f>
        <v>0</v>
      </c>
      <c r="X19" s="2">
        <f>COUNTIF(defects!$V:$V,Weekly_All!X$3&amp;Weekly_All!$B19&amp;Weekly_All!$B$3&amp;$B$2)</f>
        <v>0</v>
      </c>
      <c r="Y19" s="2">
        <f>COUNTIF(defects!$V:$V,Weekly_All!Y$3&amp;Weekly_All!$B19&amp;Weekly_All!$B$3&amp;$B$2)</f>
        <v>0</v>
      </c>
      <c r="Z19" s="2">
        <f>COUNTIF(defects!$V:$V,Weekly_All!Z$3&amp;Weekly_All!$B19&amp;Weekly_All!$B$3&amp;$B$2)</f>
        <v>0</v>
      </c>
      <c r="AA19" s="2">
        <f>COUNTIF(defects!$V:$V,Weekly_All!AA$3&amp;Weekly_All!$B19&amp;Weekly_All!$B$3&amp;$B$2)</f>
        <v>0</v>
      </c>
      <c r="AB19" s="2">
        <f>COUNTIF(defects!$V:$V,Weekly_All!AB$3&amp;Weekly_All!$B19&amp;Weekly_All!$B$3&amp;$B$2)</f>
        <v>0</v>
      </c>
      <c r="AC19" s="2">
        <f>COUNTIF(defects!$V:$V,Weekly_All!AC$3&amp;Weekly_All!$B19&amp;Weekly_All!$B$3&amp;$B$2)</f>
        <v>0</v>
      </c>
      <c r="AD19" s="2">
        <f>COUNTIF(defects!$V:$V,Weekly_All!AD$3&amp;Weekly_All!$B19&amp;Weekly_All!$B$3&amp;$B$2)</f>
        <v>0</v>
      </c>
      <c r="AE19" s="2">
        <f>COUNTIF(defects!$V:$V,Weekly_All!AE$3&amp;Weekly_All!$B19&amp;Weekly_All!$B$3&amp;$B$2)</f>
        <v>0</v>
      </c>
      <c r="AF19" s="2">
        <f>COUNTIF(defects!$V:$V,Weekly_All!AF$3&amp;Weekly_All!$B19&amp;Weekly_All!$B$3&amp;$B$2)</f>
        <v>0</v>
      </c>
      <c r="AG19" s="2">
        <f>COUNTIF(defects!$V:$V,Weekly_All!AG$3&amp;Weekly_All!$B19&amp;Weekly_All!$B$3&amp;$B$2)</f>
        <v>0</v>
      </c>
      <c r="AH19" s="2">
        <f>COUNTIF(defects!$V:$V,Weekly_All!AH$3&amp;Weekly_All!$B19&amp;Weekly_All!$B$3&amp;$B$2)</f>
        <v>0</v>
      </c>
      <c r="AI19" s="2">
        <f>COUNTIF(defects!$V:$V,Weekly_All!AI$3&amp;Weekly_All!$B19&amp;Weekly_All!$B$3&amp;$B$2)</f>
        <v>0</v>
      </c>
      <c r="AJ19" s="2">
        <f>COUNTIF(defects!$V:$V,Weekly_All!AJ$3&amp;Weekly_All!$B19&amp;Weekly_All!$B$3&amp;$B$2)</f>
        <v>0</v>
      </c>
      <c r="AK19" s="2">
        <f>COUNTIF(defects!$V:$V,Weekly_All!AK$3&amp;Weekly_All!$B19&amp;Weekly_All!$B$3&amp;$B$2)</f>
        <v>0</v>
      </c>
      <c r="AL19" s="2">
        <f>COUNTIF(defects!$V:$V,Weekly_All!AL$3&amp;Weekly_All!$B19&amp;Weekly_All!$B$3&amp;$B$2)</f>
        <v>0</v>
      </c>
      <c r="AM19" s="2">
        <f>COUNTIF(defects!$V:$V,Weekly_All!AM$3&amp;Weekly_All!$B19&amp;Weekly_All!$B$3&amp;$B$2)</f>
        <v>0</v>
      </c>
      <c r="AN19" s="2">
        <f>COUNTIF(defects!$V:$V,Weekly_All!AN$3&amp;Weekly_All!$B19&amp;Weekly_All!$B$3&amp;$B$2)</f>
        <v>0</v>
      </c>
      <c r="AO19" s="2">
        <f>COUNTIF(defects!$V:$V,Weekly_All!AO$3&amp;Weekly_All!$B19&amp;Weekly_All!$B$3&amp;$B$2)</f>
        <v>0</v>
      </c>
      <c r="AP19" s="2">
        <f>COUNTIF(defects!$V:$V,Weekly_All!AP$3&amp;Weekly_All!$B19&amp;Weekly_All!$B$3&amp;$B$2)</f>
        <v>0</v>
      </c>
      <c r="AQ19" s="2">
        <f>COUNTIF(defects!$V:$V,Weekly_All!AQ$3&amp;Weekly_All!$B19&amp;Weekly_All!$B$3&amp;$B$2)</f>
        <v>0</v>
      </c>
      <c r="AR19" s="2">
        <f>COUNTIF(defects!$V:$V,Weekly_All!AR$3&amp;Weekly_All!$B19&amp;Weekly_All!$B$3&amp;$B$2)</f>
        <v>0</v>
      </c>
      <c r="AS19" s="2">
        <f>COUNTIF(defects!$V:$V,Weekly_All!AS$3&amp;Weekly_All!$B19&amp;Weekly_All!$B$3&amp;$B$2)</f>
        <v>0</v>
      </c>
      <c r="AT19" s="2">
        <f>COUNTIF(defects!$V:$V,Weekly_All!AT$3&amp;Weekly_All!$B19&amp;Weekly_All!$B$3&amp;$B$2)</f>
        <v>0</v>
      </c>
      <c r="AU19" s="2">
        <f>COUNTIF(defects!$V:$V,Weekly_All!AU$3&amp;Weekly_All!$B19&amp;Weekly_All!$B$3&amp;$B$2)</f>
        <v>0</v>
      </c>
      <c r="AV19" s="2">
        <f>COUNTIF(defects!$V:$V,Weekly_All!AV$3&amp;Weekly_All!$B19&amp;Weekly_All!$B$3&amp;$B$2)</f>
        <v>0</v>
      </c>
      <c r="AW19" s="2">
        <f>COUNTIF(defects!$V:$V,Weekly_All!AW$3&amp;Weekly_All!$B19&amp;Weekly_All!$B$3&amp;$B$2)</f>
        <v>0</v>
      </c>
      <c r="AX19" s="2">
        <f>COUNTIF(defects!$V:$V,Weekly_All!AX$3&amp;Weekly_All!$B19&amp;Weekly_All!$B$3&amp;$B$2)</f>
        <v>0</v>
      </c>
      <c r="AY19" s="2">
        <f>COUNTIF(defects!$V:$V,Weekly_All!AY$3&amp;Weekly_All!$B19&amp;Weekly_All!$B$3&amp;$B$2)</f>
        <v>0</v>
      </c>
      <c r="AZ19" s="2">
        <f>COUNTIF(defects!$V:$V,Weekly_All!AZ$3&amp;Weekly_All!$B19&amp;Weekly_All!$B$3&amp;$B$2)</f>
        <v>0</v>
      </c>
      <c r="BA19" s="2">
        <f>COUNTIF(defects!$V:$V,Weekly_All!BA$3&amp;Weekly_All!$B19&amp;Weekly_All!$B$3&amp;$B$2)</f>
        <v>0</v>
      </c>
      <c r="BB19" s="2">
        <f>COUNTIF(defects!$V:$V,Weekly_All!BB$3&amp;Weekly_All!$B19&amp;Weekly_All!$B$3&amp;$B$2)</f>
        <v>0</v>
      </c>
      <c r="BC19" s="2">
        <f>COUNTIF(defects!$V:$V,Weekly_All!BC$3&amp;Weekly_All!$B19&amp;Weekly_All!$B$3&amp;$B$2)</f>
        <v>0</v>
      </c>
      <c r="BD19" s="2">
        <f>COUNTIF(defects!$V:$V,Weekly_All!BD$3&amp;Weekly_All!$B19&amp;Weekly_All!$B$3&amp;$B$2)</f>
        <v>0</v>
      </c>
      <c r="BE19" s="2">
        <f>COUNTIF(defects!$V:$V,Weekly_All!BE$3&amp;Weekly_All!$B19&amp;Weekly_All!$B$3&amp;$B$2)</f>
        <v>0</v>
      </c>
      <c r="BF19" s="2">
        <f>COUNTIF(defects!$V:$V,Weekly_All!BF$3&amp;Weekly_All!$B19&amp;Weekly_All!$B$3&amp;$B$2)</f>
        <v>0</v>
      </c>
      <c r="BG19" s="2">
        <f>COUNTIF(defects!$V:$V,Weekly_All!BG$3&amp;Weekly_All!$B19&amp;Weekly_All!$B$3&amp;$B$2)</f>
        <v>0</v>
      </c>
      <c r="BH19" s="2">
        <f>COUNTIF(defects!$V:$V,Weekly_All!BH$3&amp;Weekly_All!$B19&amp;Weekly_All!$B$3&amp;$B$2)</f>
        <v>0</v>
      </c>
      <c r="BI19" s="2">
        <f>COUNTIF(defects!$V:$V,Weekly_All!BI$3&amp;Weekly_All!$B19&amp;Weekly_All!$B$3&amp;$B$2)</f>
        <v>0</v>
      </c>
      <c r="BJ19" s="2">
        <f>COUNTIF(defects!$V:$V,Weekly_All!BJ$3&amp;Weekly_All!$B19&amp;Weekly_All!$B$3&amp;$B$2)</f>
        <v>0</v>
      </c>
      <c r="BK19" s="2">
        <f>COUNTIF(defects!$V:$V,Weekly_All!BK$3&amp;Weekly_All!$B19&amp;Weekly_All!$B$3&amp;$B$2)</f>
        <v>0</v>
      </c>
      <c r="BL19" s="2">
        <f>COUNTIF(defects!$V:$V,Weekly_All!BL$3&amp;Weekly_All!$B19&amp;Weekly_All!$B$3&amp;$B$2)</f>
        <v>0</v>
      </c>
      <c r="BM19" s="2">
        <f>COUNTIF(defects!$V:$V,Weekly_All!BM$3&amp;Weekly_All!$B19&amp;Weekly_All!$B$3&amp;$B$2)</f>
        <v>0</v>
      </c>
      <c r="BN19" s="2">
        <f>COUNTIF(defects!$V:$V,Weekly_All!BN$3&amp;Weekly_All!$B19&amp;Weekly_All!$B$3&amp;$B$2)</f>
        <v>0</v>
      </c>
      <c r="BO19" s="2">
        <f>COUNTIF(defects!$V:$V,Weekly_All!BO$3&amp;Weekly_All!$B19&amp;Weekly_All!$B$3&amp;$B$2)</f>
        <v>0</v>
      </c>
      <c r="BP19" s="2">
        <f>COUNTIF(defects!$V:$V,Weekly_All!BP$3&amp;Weekly_All!$B19&amp;Weekly_All!$B$3&amp;$B$2)</f>
        <v>0</v>
      </c>
      <c r="BQ19" s="2">
        <f>COUNTIF(defects!$V:$V,Weekly_All!BQ$3&amp;Weekly_All!$B19&amp;Weekly_All!$B$3&amp;$B$2)</f>
        <v>0</v>
      </c>
      <c r="BR19" s="2">
        <f>COUNTIF(defects!$V:$V,Weekly_All!BR$3&amp;Weekly_All!$B19&amp;Weekly_All!$B$3&amp;$B$2)</f>
        <v>0</v>
      </c>
      <c r="BS19" s="2">
        <f>COUNTIF(defects!$V:$V,Weekly_All!BS$3&amp;Weekly_All!$B19&amp;Weekly_All!$B$3&amp;$B$2)</f>
        <v>0</v>
      </c>
      <c r="BT19" s="2">
        <f>COUNTIF(defects!$V:$V,Weekly_All!BT$3&amp;Weekly_All!$B19&amp;Weekly_All!$B$3&amp;$B$2)</f>
        <v>0</v>
      </c>
      <c r="BU19" s="2">
        <f>COUNTIF(defects!$V:$V,Weekly_All!BU$3&amp;Weekly_All!$B19&amp;Weekly_All!$B$3&amp;$B$2)</f>
        <v>0</v>
      </c>
      <c r="BV19" s="2">
        <f>COUNTIF(defects!$V:$V,Weekly_All!BV$3&amp;Weekly_All!$B19&amp;Weekly_All!$B$3&amp;$B$2)</f>
        <v>0</v>
      </c>
      <c r="BW19" s="2">
        <f>COUNTIF(defects!$V:$V,Weekly_All!BW$3&amp;Weekly_All!$B19&amp;Weekly_All!$B$3&amp;$B$2)</f>
        <v>0</v>
      </c>
      <c r="BX19" s="2">
        <f>COUNTIF(defects!$V:$V,Weekly_All!BX$3&amp;Weekly_All!$B19&amp;Weekly_All!$B$3&amp;$B$2)</f>
        <v>0</v>
      </c>
      <c r="BY19" s="2">
        <f>COUNTIF(defects!$V:$V,Weekly_All!BY$3&amp;Weekly_All!$B19&amp;Weekly_All!$B$3&amp;$B$2)</f>
        <v>0</v>
      </c>
      <c r="BZ19" s="2">
        <f>COUNTIF(defects!$V:$V,Weekly_All!BZ$3&amp;Weekly_All!$B19&amp;Weekly_All!$B$3&amp;$B$2)</f>
        <v>0</v>
      </c>
      <c r="CA19" s="2">
        <f>COUNTIF(defects!$V:$V,Weekly_All!CA$3&amp;Weekly_All!$B19&amp;Weekly_All!$B$3&amp;$B$2)</f>
        <v>0</v>
      </c>
      <c r="CB19" s="2">
        <f>COUNTIF(defects!$V:$V,Weekly_All!CB$3&amp;Weekly_All!$B19&amp;Weekly_All!$B$3&amp;$B$2)</f>
        <v>0</v>
      </c>
      <c r="CC19" s="2">
        <f>COUNTIF(defects!$V:$V,Weekly_All!CC$3&amp;Weekly_All!$B19&amp;Weekly_All!$B$3&amp;$B$2)</f>
        <v>0</v>
      </c>
      <c r="CD19" s="2">
        <f>COUNTIF(defects!$V:$V,Weekly_All!CD$3&amp;Weekly_All!$B19&amp;Weekly_All!$B$3&amp;$B$2)</f>
        <v>0</v>
      </c>
      <c r="CE19" s="2">
        <f>COUNTIF(defects!$V:$V,Weekly_All!CE$3&amp;Weekly_All!$B19&amp;Weekly_All!$B$3&amp;$B$2)</f>
        <v>0</v>
      </c>
      <c r="CF19" s="2">
        <f>COUNTIF(defects!$V:$V,Weekly_All!CF$3&amp;Weekly_All!$B19&amp;Weekly_All!$B$3&amp;$B$2)</f>
        <v>0</v>
      </c>
      <c r="CG19" s="2">
        <f>COUNTIF(defects!$V:$V,Weekly_All!CG$3&amp;Weekly_All!$B19&amp;Weekly_All!$B$3&amp;$B$2)</f>
        <v>0</v>
      </c>
      <c r="CH19" s="2">
        <f>COUNTIF(defects!$V:$V,Weekly_All!CH$3&amp;Weekly_All!$B19&amp;Weekly_All!$B$3&amp;$B$2)</f>
        <v>0</v>
      </c>
      <c r="CI19" s="2">
        <f>COUNTIF(defects!$V:$V,Weekly_All!CI$3&amp;Weekly_All!$B19&amp;Weekly_All!$B$3&amp;$B$2)</f>
        <v>0</v>
      </c>
      <c r="CJ19" s="2">
        <f>COUNTIF(defects!$V:$V,Weekly_All!CJ$3&amp;Weekly_All!$B19&amp;Weekly_All!$B$3&amp;$B$2)</f>
        <v>0</v>
      </c>
      <c r="CK19" s="2">
        <f>COUNTIF(defects!$V:$V,Weekly_All!CK$3&amp;Weekly_All!$B19&amp;Weekly_All!$B$3&amp;$B$2)</f>
        <v>0</v>
      </c>
      <c r="CL19" s="2">
        <f>COUNTIF(defects!$V:$V,Weekly_All!CL$3&amp;Weekly_All!$B19&amp;Weekly_All!$B$3&amp;$B$2)</f>
        <v>0</v>
      </c>
      <c r="CM19" s="2">
        <f>COUNTIF(defects!$V:$V,Weekly_All!CM$3&amp;Weekly_All!$B19&amp;Weekly_All!$B$3&amp;$B$2)</f>
        <v>0</v>
      </c>
      <c r="CN19" s="2">
        <f>COUNTIF(defects!$V:$V,Weekly_All!CN$3&amp;Weekly_All!$B19&amp;Weekly_All!$B$3&amp;$B$2)</f>
        <v>0</v>
      </c>
      <c r="CO19" s="2">
        <f>COUNTIF(defects!$V:$V,Weekly_All!CO$3&amp;Weekly_All!$B19&amp;Weekly_All!$B$3&amp;$B$2)</f>
        <v>0</v>
      </c>
      <c r="CP19" s="2">
        <f>COUNTIF(defects!$V:$V,Weekly_All!CP$3&amp;Weekly_All!$B19&amp;Weekly_All!$B$3&amp;$B$2)</f>
        <v>5</v>
      </c>
      <c r="CQ19" s="2">
        <f>COUNTIF(defects!$V:$V,Weekly_All!CQ$3&amp;Weekly_All!$B19&amp;Weekly_All!$B$3&amp;$B$2)</f>
        <v>0</v>
      </c>
      <c r="CR19" s="2">
        <f>COUNTIF(defects!$V:$V,Weekly_All!CR$3&amp;Weekly_All!$B19&amp;Weekly_All!$B$3&amp;$B$2)</f>
        <v>0</v>
      </c>
      <c r="CS19" s="2">
        <f>COUNTIF(defects!$V:$V,Weekly_All!CS$3&amp;Weekly_All!$B19&amp;Weekly_All!$B$3&amp;$B$2)</f>
        <v>0</v>
      </c>
      <c r="CT19" s="2">
        <f>COUNTIF(defects!$V:$V,Weekly_All!CT$3&amp;Weekly_All!$B19&amp;Weekly_All!$B$3&amp;$B$2)</f>
        <v>0</v>
      </c>
      <c r="CU19" s="2">
        <f>COUNTIF(defects!$V:$V,Weekly_All!CU$3&amp;Weekly_All!$B19&amp;Weekly_All!$B$3&amp;$B$2)</f>
        <v>0</v>
      </c>
      <c r="CV19" s="2">
        <f>COUNTIF(defects!$V:$V,Weekly_All!CV$3&amp;Weekly_All!$B19&amp;Weekly_All!$B$3&amp;$B$2)</f>
        <v>0</v>
      </c>
      <c r="CW19" s="2">
        <f>COUNTIF(defects!$V:$V,Weekly_All!CW$3&amp;Weekly_All!$B19&amp;Weekly_All!$B$3&amp;$B$2)</f>
        <v>0</v>
      </c>
      <c r="CX19" s="2">
        <f>COUNTIF(defects!$V:$V,Weekly_All!CX$3&amp;Weekly_All!$B19&amp;Weekly_All!$B$3&amp;$B$2)</f>
        <v>0</v>
      </c>
      <c r="CY19" s="2">
        <f>COUNTIF(defects!$V:$V,Weekly_All!CY$3&amp;Weekly_All!$B19&amp;Weekly_All!$B$3&amp;$B$2)</f>
        <v>0</v>
      </c>
      <c r="CZ19" s="2">
        <f>COUNTIF(defects!$V:$V,Weekly_All!CZ$3&amp;Weekly_All!$B19&amp;Weekly_All!$B$3&amp;$B$2)</f>
        <v>0</v>
      </c>
      <c r="DA19" s="2">
        <f>COUNTIF(defects!$V:$V,Weekly_All!DA$3&amp;Weekly_All!$B19&amp;Weekly_All!$B$3&amp;$B$2)</f>
        <v>0</v>
      </c>
      <c r="DB19" s="2">
        <f>COUNTIF(defects!$V:$V,Weekly_All!DB$3&amp;Weekly_All!$B19&amp;Weekly_All!$B$3&amp;$B$2)</f>
        <v>0</v>
      </c>
      <c r="DC19" s="2">
        <f>COUNTIF(defects!$V:$V,Weekly_All!DC$3&amp;Weekly_All!$B19&amp;Weekly_All!$B$3&amp;$B$2)</f>
        <v>0</v>
      </c>
      <c r="DD19" s="2">
        <f>COUNTIF(defects!$V:$V,Weekly_All!DD$3&amp;Weekly_All!$B19&amp;Weekly_All!$B$3&amp;$B$2)</f>
        <v>0</v>
      </c>
      <c r="DE19" s="2">
        <f>COUNTIF(defects!$V:$V,Weekly_All!DE$3&amp;Weekly_All!$B19&amp;Weekly_All!$B$3&amp;$B$2)</f>
        <v>0</v>
      </c>
      <c r="DF19" s="2">
        <f>COUNTIF(defects!$V:$V,Weekly_All!DF$3&amp;Weekly_All!$B19&amp;Weekly_All!$B$3&amp;$B$2)</f>
        <v>0</v>
      </c>
      <c r="DG19" s="2">
        <f>COUNTIF(defects!$V:$V,Weekly_All!DG$3&amp;Weekly_All!$B19&amp;Weekly_All!$B$3&amp;$B$2)</f>
        <v>0</v>
      </c>
      <c r="DH19" s="2">
        <f>COUNTIF(defects!$V:$V,Weekly_All!DH$3&amp;Weekly_All!$B19&amp;Weekly_All!$B$3&amp;$B$2)</f>
        <v>0</v>
      </c>
      <c r="DI19" s="2">
        <f>COUNTIF(defects!$V:$V,Weekly_All!DI$3&amp;Weekly_All!$B19&amp;Weekly_All!$B$3&amp;$B$2)</f>
        <v>0</v>
      </c>
      <c r="DJ19" s="2">
        <f>COUNTIF(defects!$V:$V,Weekly_All!DJ$3&amp;Weekly_All!$B19&amp;Weekly_All!$B$3&amp;$B$2)</f>
        <v>0</v>
      </c>
      <c r="DK19" s="2">
        <f>COUNTIF(defects!$V:$V,Weekly_All!DK$3&amp;Weekly_All!$B19&amp;Weekly_All!$B$3&amp;$B$2)</f>
        <v>0</v>
      </c>
      <c r="DL19" s="2">
        <f>COUNTIF(defects!$V:$V,Weekly_All!DL$3&amp;Weekly_All!$B19&amp;Weekly_All!$B$3&amp;$B$2)</f>
        <v>0</v>
      </c>
      <c r="DM19" s="2">
        <f>COUNTIF(defects!$V:$V,Weekly_All!DM$3&amp;Weekly_All!$B19&amp;Weekly_All!$B$3&amp;$B$2)</f>
        <v>0</v>
      </c>
      <c r="DN19" s="2">
        <f>COUNTIF(defects!$V:$V,Weekly_All!DN$3&amp;Weekly_All!$B19&amp;Weekly_All!$B$3&amp;$B$2)</f>
        <v>0</v>
      </c>
      <c r="DO19" s="2">
        <f>COUNTIF(defects!$V:$V,Weekly_All!DO$3&amp;Weekly_All!$B19&amp;Weekly_All!$B$3&amp;$B$2)</f>
        <v>0</v>
      </c>
      <c r="DP19" s="2">
        <f>COUNTIF(defects!$V:$V,Weekly_All!DP$3&amp;Weekly_All!$B19&amp;Weekly_All!$B$3&amp;$B$2)</f>
        <v>0</v>
      </c>
      <c r="DQ19" s="2">
        <f>COUNTIF(defects!$V:$V,Weekly_All!DQ$3&amp;Weekly_All!$B19&amp;Weekly_All!$B$3&amp;$B$2)</f>
        <v>0</v>
      </c>
      <c r="DR19" s="2">
        <f>COUNTIF(defects!$V:$V,Weekly_All!DR$3&amp;Weekly_All!$B19&amp;Weekly_All!$B$3&amp;$B$2)</f>
        <v>0</v>
      </c>
      <c r="DS19" s="2">
        <f>COUNTIF(defects!$V:$V,Weekly_All!DS$3&amp;Weekly_All!$B19&amp;Weekly_All!$B$3&amp;$B$2)</f>
        <v>0</v>
      </c>
      <c r="DT19" s="2">
        <f>COUNTIF(defects!$V:$V,Weekly_All!DT$3&amp;Weekly_All!$B19&amp;Weekly_All!$B$3&amp;$B$2)</f>
        <v>0</v>
      </c>
      <c r="DU19" s="2">
        <f>COUNTIF(defects!$V:$V,Weekly_All!DU$3&amp;Weekly_All!$B19&amp;Weekly_All!$B$3&amp;$B$2)</f>
        <v>0</v>
      </c>
      <c r="DV19" s="2">
        <f>COUNTIF(defects!$V:$V,Weekly_All!DV$3&amp;Weekly_All!$B19&amp;Weekly_All!$B$3&amp;$B$2)</f>
        <v>0</v>
      </c>
      <c r="DW19" s="2">
        <f>COUNTIF(defects!$V:$V,Weekly_All!DW$3&amp;Weekly_All!$B19&amp;Weekly_All!$B$3&amp;$B$2)</f>
        <v>0</v>
      </c>
      <c r="DX19" s="2">
        <f>COUNTIF(defects!$V:$V,Weekly_All!DX$3&amp;Weekly_All!$B19&amp;Weekly_All!$B$3&amp;$B$2)</f>
        <v>0</v>
      </c>
      <c r="DY19" s="2">
        <f>COUNTIF(defects!$V:$V,Weekly_All!DY$3&amp;Weekly_All!$B19&amp;Weekly_All!$B$3&amp;$B$2)</f>
        <v>0</v>
      </c>
      <c r="DZ19" s="2">
        <f>COUNTIF(defects!$V:$V,Weekly_All!DZ$3&amp;Weekly_All!$B19&amp;Weekly_All!$B$3&amp;$B$2)</f>
        <v>0</v>
      </c>
      <c r="EA19" s="2">
        <f>COUNTIF(defects!$V:$V,Weekly_All!EA$3&amp;Weekly_All!$B19&amp;Weekly_All!$B$3&amp;$B$2)</f>
        <v>0</v>
      </c>
      <c r="EB19" s="2">
        <f>COUNTIF(defects!$V:$V,Weekly_All!EB$3&amp;Weekly_All!$B19&amp;Weekly_All!$B$3&amp;$B$2)</f>
        <v>0</v>
      </c>
      <c r="EC19" s="2">
        <f>COUNTIF(defects!$V:$V,Weekly_All!EC$3&amp;Weekly_All!$B19&amp;Weekly_All!$B$3&amp;$B$2)</f>
        <v>0</v>
      </c>
      <c r="ED19" s="2">
        <f>COUNTIF(defects!$V:$V,Weekly_All!ED$3&amp;Weekly_All!$B19&amp;Weekly_All!$B$3&amp;$B$2)</f>
        <v>0</v>
      </c>
      <c r="EE19" s="2">
        <f>COUNTIF(defects!$V:$V,Weekly_All!EE$3&amp;Weekly_All!$B19&amp;Weekly_All!$B$3&amp;$B$2)</f>
        <v>0</v>
      </c>
      <c r="EF19" s="2">
        <f>COUNTIF(defects!$V:$V,Weekly_All!EF$3&amp;Weekly_All!$B19&amp;Weekly_All!$B$3&amp;$B$2)</f>
        <v>0</v>
      </c>
      <c r="EG19" s="2">
        <f>COUNTIF(defects!$V:$V,Weekly_All!EG$3&amp;Weekly_All!$B19&amp;Weekly_All!$B$3&amp;$B$2)</f>
        <v>0</v>
      </c>
      <c r="EH19" s="2">
        <f>COUNTIF(defects!$V:$V,Weekly_All!EH$3&amp;Weekly_All!$B19&amp;Weekly_All!$B$3&amp;$B$2)</f>
        <v>0</v>
      </c>
      <c r="EI19" s="2">
        <f>COUNTIF(defects!$V:$V,Weekly_All!EI$3&amp;Weekly_All!$B19&amp;Weekly_All!$B$3&amp;$B$2)</f>
        <v>0</v>
      </c>
      <c r="EJ19" s="2">
        <f>COUNTIF(defects!$V:$V,Weekly_All!EJ$3&amp;Weekly_All!$B19&amp;Weekly_All!$B$3&amp;$B$2)</f>
        <v>0</v>
      </c>
      <c r="EK19" s="2">
        <f>COUNTIF(defects!$V:$V,Weekly_All!EK$3&amp;Weekly_All!$B19&amp;Weekly_All!$B$3&amp;$B$2)</f>
        <v>0</v>
      </c>
      <c r="EL19" s="2">
        <f>COUNTIF(defects!$V:$V,Weekly_All!EL$3&amp;Weekly_All!$B19&amp;Weekly_All!$B$3&amp;$B$2)</f>
        <v>0</v>
      </c>
      <c r="EM19" s="2">
        <f>COUNTIF(defects!$V:$V,Weekly_All!EM$3&amp;Weekly_All!$B19&amp;Weekly_All!$B$3&amp;$B$2)</f>
        <v>0</v>
      </c>
      <c r="EN19" s="2">
        <f>COUNTIF(defects!$V:$V,Weekly_All!EN$3&amp;Weekly_All!$B19&amp;Weekly_All!$B$3&amp;$B$2)</f>
        <v>0</v>
      </c>
      <c r="EO19" s="2">
        <f>COUNTIF(defects!$V:$V,Weekly_All!EO$3&amp;Weekly_All!$B19&amp;Weekly_All!$B$3&amp;$B$2)</f>
        <v>0</v>
      </c>
      <c r="EP19" s="2">
        <f>COUNTIF(defects!$V:$V,Weekly_All!EP$3&amp;Weekly_All!$B19&amp;Weekly_All!$B$3&amp;$B$2)</f>
        <v>0</v>
      </c>
      <c r="EQ19" s="2">
        <f>COUNTIF(defects!$V:$V,Weekly_All!EQ$3&amp;Weekly_All!$B19&amp;Weekly_All!$B$3&amp;$B$2)</f>
        <v>0</v>
      </c>
      <c r="ER19" s="2">
        <f>COUNTIF(defects!$V:$V,Weekly_All!ER$3&amp;Weekly_All!$B19&amp;Weekly_All!$B$3&amp;$B$2)</f>
        <v>0</v>
      </c>
      <c r="ES19" s="2">
        <f>COUNTIF(defects!$V:$V,Weekly_All!ES$3&amp;Weekly_All!$B19&amp;Weekly_All!$B$3&amp;$B$2)</f>
        <v>0</v>
      </c>
      <c r="ET19" s="2">
        <f>COUNTIF(defects!$V:$V,Weekly_All!ET$3&amp;Weekly_All!$B19&amp;Weekly_All!$B$3&amp;$B$2)</f>
        <v>0</v>
      </c>
      <c r="EU19" s="2">
        <f>COUNTIF(defects!$V:$V,Weekly_All!EU$3&amp;Weekly_All!$B19&amp;Weekly_All!$B$3&amp;$B$2)</f>
        <v>0</v>
      </c>
      <c r="EV19" s="2">
        <f>COUNTIF(defects!$V:$V,Weekly_All!EV$3&amp;Weekly_All!$B19&amp;Weekly_All!$B$3&amp;$B$2)</f>
        <v>0</v>
      </c>
      <c r="EW19" s="2">
        <f>COUNTIF(defects!$V:$V,Weekly_All!EW$3&amp;Weekly_All!$B19&amp;Weekly_All!$B$3&amp;$B$2)</f>
        <v>0</v>
      </c>
      <c r="EX19" s="2">
        <f>COUNTIF(defects!$V:$V,Weekly_All!EX$3&amp;Weekly_All!$B19&amp;Weekly_All!$B$3&amp;$B$2)</f>
        <v>0</v>
      </c>
      <c r="EY19" s="2">
        <f>COUNTIF(defects!$V:$V,Weekly_All!EY$3&amp;Weekly_All!$B19&amp;Weekly_All!$B$3&amp;$B$2)</f>
        <v>0</v>
      </c>
      <c r="EZ19" s="2">
        <f>COUNTIF(defects!$V:$V,Weekly_All!EZ$3&amp;Weekly_All!$B19&amp;Weekly_All!$B$3&amp;$B$2)</f>
        <v>0</v>
      </c>
      <c r="FA19" s="2">
        <f>COUNTIF(defects!$V:$V,Weekly_All!FA$3&amp;Weekly_All!$B19&amp;Weekly_All!$B$3&amp;$B$2)</f>
        <v>0</v>
      </c>
      <c r="FB19" s="2">
        <f>COUNTIF(defects!$V:$V,Weekly_All!FB$3&amp;Weekly_All!$B19&amp;Weekly_All!$B$3&amp;$B$2)</f>
        <v>0</v>
      </c>
      <c r="FC19" s="2">
        <f>COUNTIF(defects!$V:$V,Weekly_All!FC$3&amp;Weekly_All!$B19&amp;Weekly_All!$B$3&amp;$B$2)</f>
        <v>0</v>
      </c>
      <c r="FD19" s="2">
        <f>COUNTIF(defects!$V:$V,Weekly_All!FD$3&amp;Weekly_All!$B19&amp;Weekly_All!$B$3&amp;$B$2)</f>
        <v>0</v>
      </c>
      <c r="FE19" s="2">
        <f>COUNTIF(defects!$V:$V,Weekly_All!FE$3&amp;Weekly_All!$B19&amp;Weekly_All!$B$3&amp;$B$2)</f>
        <v>0</v>
      </c>
    </row>
    <row r="20" spans="2:161">
      <c r="B20" s="3" t="s">
        <v>952</v>
      </c>
      <c r="C20" s="2">
        <f>COUNTIF(defects!$V:$V,Weekly_All!C$3&amp;Weekly_All!$B20&amp;Weekly_All!$B$3&amp;$B$2)</f>
        <v>0</v>
      </c>
      <c r="D20" s="2">
        <f>COUNTIF(defects!$V:$V,Weekly_All!D$3&amp;Weekly_All!$B20&amp;Weekly_All!$B$3&amp;$B$2)</f>
        <v>0</v>
      </c>
      <c r="E20" s="2">
        <f>COUNTIF(defects!$V:$V,Weekly_All!E$3&amp;Weekly_All!$B20&amp;Weekly_All!$B$3&amp;$B$2)</f>
        <v>0</v>
      </c>
      <c r="F20" s="2">
        <f>COUNTIF(defects!$V:$V,Weekly_All!F$3&amp;Weekly_All!$B20&amp;Weekly_All!$B$3&amp;$B$2)</f>
        <v>0</v>
      </c>
      <c r="G20" s="2">
        <f>COUNTIF(defects!$V:$V,Weekly_All!G$3&amp;Weekly_All!$B20&amp;Weekly_All!$B$3&amp;$B$2)</f>
        <v>0</v>
      </c>
      <c r="H20" s="2">
        <f>COUNTIF(defects!$V:$V,Weekly_All!H$3&amp;Weekly_All!$B20&amp;Weekly_All!$B$3&amp;$B$2)</f>
        <v>0</v>
      </c>
      <c r="I20" s="2">
        <f>COUNTIF(defects!$V:$V,Weekly_All!I$3&amp;Weekly_All!$B20&amp;Weekly_All!$B$3&amp;$B$2)</f>
        <v>0</v>
      </c>
      <c r="J20" s="2">
        <f>COUNTIF(defects!$V:$V,Weekly_All!J$3&amp;Weekly_All!$B20&amp;Weekly_All!$B$3&amp;$B$2)</f>
        <v>0</v>
      </c>
      <c r="K20" s="2">
        <f>COUNTIF(defects!$V:$V,Weekly_All!K$3&amp;Weekly_All!$B20&amp;Weekly_All!$B$3&amp;$B$2)</f>
        <v>0</v>
      </c>
      <c r="L20" s="2">
        <f>COUNTIF(defects!$V:$V,Weekly_All!L$3&amp;Weekly_All!$B20&amp;Weekly_All!$B$3&amp;$B$2)</f>
        <v>0</v>
      </c>
      <c r="M20" s="2">
        <f>COUNTIF(defects!$V:$V,Weekly_All!M$3&amp;Weekly_All!$B20&amp;Weekly_All!$B$3&amp;$B$2)</f>
        <v>0</v>
      </c>
      <c r="N20" s="2">
        <f>COUNTIF(defects!$V:$V,Weekly_All!N$3&amp;Weekly_All!$B20&amp;Weekly_All!$B$3&amp;$B$2)</f>
        <v>0</v>
      </c>
      <c r="O20" s="2">
        <f>COUNTIF(defects!$V:$V,Weekly_All!O$3&amp;Weekly_All!$B20&amp;Weekly_All!$B$3&amp;$B$2)</f>
        <v>0</v>
      </c>
      <c r="P20" s="2">
        <f>COUNTIF(defects!$V:$V,Weekly_All!P$3&amp;Weekly_All!$B20&amp;Weekly_All!$B$3&amp;$B$2)</f>
        <v>0</v>
      </c>
      <c r="Q20" s="2">
        <f>COUNTIF(defects!$V:$V,Weekly_All!Q$3&amp;Weekly_All!$B20&amp;Weekly_All!$B$3&amp;$B$2)</f>
        <v>0</v>
      </c>
      <c r="R20" s="2">
        <f>COUNTIF(defects!$V:$V,Weekly_All!R$3&amp;Weekly_All!$B20&amp;Weekly_All!$B$3&amp;$B$2)</f>
        <v>0</v>
      </c>
      <c r="S20" s="2">
        <f>COUNTIF(defects!$V:$V,Weekly_All!S$3&amp;Weekly_All!$B20&amp;Weekly_All!$B$3&amp;$B$2)</f>
        <v>0</v>
      </c>
      <c r="T20" s="2">
        <f>COUNTIF(defects!$V:$V,Weekly_All!T$3&amp;Weekly_All!$B20&amp;Weekly_All!$B$3&amp;$B$2)</f>
        <v>0</v>
      </c>
      <c r="U20" s="2">
        <f>COUNTIF(defects!$V:$V,Weekly_All!U$3&amp;Weekly_All!$B20&amp;Weekly_All!$B$3&amp;$B$2)</f>
        <v>0</v>
      </c>
      <c r="V20" s="2">
        <f>COUNTIF(defects!$V:$V,Weekly_All!V$3&amp;Weekly_All!$B20&amp;Weekly_All!$B$3&amp;$B$2)</f>
        <v>0</v>
      </c>
      <c r="W20" s="2">
        <f>COUNTIF(defects!$V:$V,Weekly_All!W$3&amp;Weekly_All!$B20&amp;Weekly_All!$B$3&amp;$B$2)</f>
        <v>0</v>
      </c>
      <c r="X20" s="2">
        <f>COUNTIF(defects!$V:$V,Weekly_All!X$3&amp;Weekly_All!$B20&amp;Weekly_All!$B$3&amp;$B$2)</f>
        <v>0</v>
      </c>
      <c r="Y20" s="2">
        <f>COUNTIF(defects!$V:$V,Weekly_All!Y$3&amp;Weekly_All!$B20&amp;Weekly_All!$B$3&amp;$B$2)</f>
        <v>0</v>
      </c>
      <c r="Z20" s="2">
        <f>COUNTIF(defects!$V:$V,Weekly_All!Z$3&amp;Weekly_All!$B20&amp;Weekly_All!$B$3&amp;$B$2)</f>
        <v>0</v>
      </c>
      <c r="AA20" s="2">
        <f>COUNTIF(defects!$V:$V,Weekly_All!AA$3&amp;Weekly_All!$B20&amp;Weekly_All!$B$3&amp;$B$2)</f>
        <v>0</v>
      </c>
      <c r="AB20" s="2">
        <f>COUNTIF(defects!$V:$V,Weekly_All!AB$3&amp;Weekly_All!$B20&amp;Weekly_All!$B$3&amp;$B$2)</f>
        <v>0</v>
      </c>
      <c r="AC20" s="2">
        <f>COUNTIF(defects!$V:$V,Weekly_All!AC$3&amp;Weekly_All!$B20&amp;Weekly_All!$B$3&amp;$B$2)</f>
        <v>0</v>
      </c>
      <c r="AD20" s="2">
        <f>COUNTIF(defects!$V:$V,Weekly_All!AD$3&amp;Weekly_All!$B20&amp;Weekly_All!$B$3&amp;$B$2)</f>
        <v>0</v>
      </c>
      <c r="AE20" s="2">
        <f>COUNTIF(defects!$V:$V,Weekly_All!AE$3&amp;Weekly_All!$B20&amp;Weekly_All!$B$3&amp;$B$2)</f>
        <v>0</v>
      </c>
      <c r="AF20" s="2">
        <f>COUNTIF(defects!$V:$V,Weekly_All!AF$3&amp;Weekly_All!$B20&amp;Weekly_All!$B$3&amp;$B$2)</f>
        <v>0</v>
      </c>
      <c r="AG20" s="2">
        <f>COUNTIF(defects!$V:$V,Weekly_All!AG$3&amp;Weekly_All!$B20&amp;Weekly_All!$B$3&amp;$B$2)</f>
        <v>0</v>
      </c>
      <c r="AH20" s="2">
        <f>COUNTIF(defects!$V:$V,Weekly_All!AH$3&amp;Weekly_All!$B20&amp;Weekly_All!$B$3&amp;$B$2)</f>
        <v>0</v>
      </c>
      <c r="AI20" s="2">
        <f>COUNTIF(defects!$V:$V,Weekly_All!AI$3&amp;Weekly_All!$B20&amp;Weekly_All!$B$3&amp;$B$2)</f>
        <v>0</v>
      </c>
      <c r="AJ20" s="2">
        <f>COUNTIF(defects!$V:$V,Weekly_All!AJ$3&amp;Weekly_All!$B20&amp;Weekly_All!$B$3&amp;$B$2)</f>
        <v>0</v>
      </c>
      <c r="AK20" s="2">
        <f>COUNTIF(defects!$V:$V,Weekly_All!AK$3&amp;Weekly_All!$B20&amp;Weekly_All!$B$3&amp;$B$2)</f>
        <v>0</v>
      </c>
      <c r="AL20" s="2">
        <f>COUNTIF(defects!$V:$V,Weekly_All!AL$3&amp;Weekly_All!$B20&amp;Weekly_All!$B$3&amp;$B$2)</f>
        <v>0</v>
      </c>
      <c r="AM20" s="2">
        <f>COUNTIF(defects!$V:$V,Weekly_All!AM$3&amp;Weekly_All!$B20&amp;Weekly_All!$B$3&amp;$B$2)</f>
        <v>0</v>
      </c>
      <c r="AN20" s="2">
        <f>COUNTIF(defects!$V:$V,Weekly_All!AN$3&amp;Weekly_All!$B20&amp;Weekly_All!$B$3&amp;$B$2)</f>
        <v>0</v>
      </c>
      <c r="AO20" s="2">
        <f>COUNTIF(defects!$V:$V,Weekly_All!AO$3&amp;Weekly_All!$B20&amp;Weekly_All!$B$3&amp;$B$2)</f>
        <v>0</v>
      </c>
      <c r="AP20" s="2">
        <f>COUNTIF(defects!$V:$V,Weekly_All!AP$3&amp;Weekly_All!$B20&amp;Weekly_All!$B$3&amp;$B$2)</f>
        <v>0</v>
      </c>
      <c r="AQ20" s="2">
        <f>COUNTIF(defects!$V:$V,Weekly_All!AQ$3&amp;Weekly_All!$B20&amp;Weekly_All!$B$3&amp;$B$2)</f>
        <v>0</v>
      </c>
      <c r="AR20" s="2">
        <f>COUNTIF(defects!$V:$V,Weekly_All!AR$3&amp;Weekly_All!$B20&amp;Weekly_All!$B$3&amp;$B$2)</f>
        <v>0</v>
      </c>
      <c r="AS20" s="2">
        <f>COUNTIF(defects!$V:$V,Weekly_All!AS$3&amp;Weekly_All!$B20&amp;Weekly_All!$B$3&amp;$B$2)</f>
        <v>0</v>
      </c>
      <c r="AT20" s="2">
        <f>COUNTIF(defects!$V:$V,Weekly_All!AT$3&amp;Weekly_All!$B20&amp;Weekly_All!$B$3&amp;$B$2)</f>
        <v>0</v>
      </c>
      <c r="AU20" s="2">
        <f>COUNTIF(defects!$V:$V,Weekly_All!AU$3&amp;Weekly_All!$B20&amp;Weekly_All!$B$3&amp;$B$2)</f>
        <v>0</v>
      </c>
      <c r="AV20" s="2">
        <f>COUNTIF(defects!$V:$V,Weekly_All!AV$3&amp;Weekly_All!$B20&amp;Weekly_All!$B$3&amp;$B$2)</f>
        <v>0</v>
      </c>
      <c r="AW20" s="2">
        <f>COUNTIF(defects!$V:$V,Weekly_All!AW$3&amp;Weekly_All!$B20&amp;Weekly_All!$B$3&amp;$B$2)</f>
        <v>0</v>
      </c>
      <c r="AX20" s="2">
        <f>COUNTIF(defects!$V:$V,Weekly_All!AX$3&amp;Weekly_All!$B20&amp;Weekly_All!$B$3&amp;$B$2)</f>
        <v>0</v>
      </c>
      <c r="AY20" s="2">
        <f>COUNTIF(defects!$V:$V,Weekly_All!AY$3&amp;Weekly_All!$B20&amp;Weekly_All!$B$3&amp;$B$2)</f>
        <v>0</v>
      </c>
      <c r="AZ20" s="2">
        <f>COUNTIF(defects!$V:$V,Weekly_All!AZ$3&amp;Weekly_All!$B20&amp;Weekly_All!$B$3&amp;$B$2)</f>
        <v>0</v>
      </c>
      <c r="BA20" s="2">
        <f>COUNTIF(defects!$V:$V,Weekly_All!BA$3&amp;Weekly_All!$B20&amp;Weekly_All!$B$3&amp;$B$2)</f>
        <v>0</v>
      </c>
      <c r="BB20" s="2">
        <f>COUNTIF(defects!$V:$V,Weekly_All!BB$3&amp;Weekly_All!$B20&amp;Weekly_All!$B$3&amp;$B$2)</f>
        <v>0</v>
      </c>
      <c r="BC20" s="2">
        <f>COUNTIF(defects!$V:$V,Weekly_All!BC$3&amp;Weekly_All!$B20&amp;Weekly_All!$B$3&amp;$B$2)</f>
        <v>0</v>
      </c>
      <c r="BD20" s="2">
        <f>COUNTIF(defects!$V:$V,Weekly_All!BD$3&amp;Weekly_All!$B20&amp;Weekly_All!$B$3&amp;$B$2)</f>
        <v>0</v>
      </c>
      <c r="BE20" s="2">
        <f>COUNTIF(defects!$V:$V,Weekly_All!BE$3&amp;Weekly_All!$B20&amp;Weekly_All!$B$3&amp;$B$2)</f>
        <v>0</v>
      </c>
      <c r="BF20" s="2">
        <f>COUNTIF(defects!$V:$V,Weekly_All!BF$3&amp;Weekly_All!$B20&amp;Weekly_All!$B$3&amp;$B$2)</f>
        <v>0</v>
      </c>
      <c r="BG20" s="2">
        <f>COUNTIF(defects!$V:$V,Weekly_All!BG$3&amp;Weekly_All!$B20&amp;Weekly_All!$B$3&amp;$B$2)</f>
        <v>0</v>
      </c>
      <c r="BH20" s="2">
        <f>COUNTIF(defects!$V:$V,Weekly_All!BH$3&amp;Weekly_All!$B20&amp;Weekly_All!$B$3&amp;$B$2)</f>
        <v>0</v>
      </c>
      <c r="BI20" s="2">
        <f>COUNTIF(defects!$V:$V,Weekly_All!BI$3&amp;Weekly_All!$B20&amp;Weekly_All!$B$3&amp;$B$2)</f>
        <v>0</v>
      </c>
      <c r="BJ20" s="2">
        <f>COUNTIF(defects!$V:$V,Weekly_All!BJ$3&amp;Weekly_All!$B20&amp;Weekly_All!$B$3&amp;$B$2)</f>
        <v>0</v>
      </c>
      <c r="BK20" s="2">
        <f>COUNTIF(defects!$V:$V,Weekly_All!BK$3&amp;Weekly_All!$B20&amp;Weekly_All!$B$3&amp;$B$2)</f>
        <v>0</v>
      </c>
      <c r="BL20" s="2">
        <f>COUNTIF(defects!$V:$V,Weekly_All!BL$3&amp;Weekly_All!$B20&amp;Weekly_All!$B$3&amp;$B$2)</f>
        <v>0</v>
      </c>
      <c r="BM20" s="2">
        <f>COUNTIF(defects!$V:$V,Weekly_All!BM$3&amp;Weekly_All!$B20&amp;Weekly_All!$B$3&amp;$B$2)</f>
        <v>0</v>
      </c>
      <c r="BN20" s="2">
        <f>COUNTIF(defects!$V:$V,Weekly_All!BN$3&amp;Weekly_All!$B20&amp;Weekly_All!$B$3&amp;$B$2)</f>
        <v>0</v>
      </c>
      <c r="BO20" s="2">
        <f>COUNTIF(defects!$V:$V,Weekly_All!BO$3&amp;Weekly_All!$B20&amp;Weekly_All!$B$3&amp;$B$2)</f>
        <v>0</v>
      </c>
      <c r="BP20" s="2">
        <f>COUNTIF(defects!$V:$V,Weekly_All!BP$3&amp;Weekly_All!$B20&amp;Weekly_All!$B$3&amp;$B$2)</f>
        <v>0</v>
      </c>
      <c r="BQ20" s="2">
        <f>COUNTIF(defects!$V:$V,Weekly_All!BQ$3&amp;Weekly_All!$B20&amp;Weekly_All!$B$3&amp;$B$2)</f>
        <v>0</v>
      </c>
      <c r="BR20" s="2">
        <f>COUNTIF(defects!$V:$V,Weekly_All!BR$3&amp;Weekly_All!$B20&amp;Weekly_All!$B$3&amp;$B$2)</f>
        <v>0</v>
      </c>
      <c r="BS20" s="2">
        <f>COUNTIF(defects!$V:$V,Weekly_All!BS$3&amp;Weekly_All!$B20&amp;Weekly_All!$B$3&amp;$B$2)</f>
        <v>0</v>
      </c>
      <c r="BT20" s="2">
        <f>COUNTIF(defects!$V:$V,Weekly_All!BT$3&amp;Weekly_All!$B20&amp;Weekly_All!$B$3&amp;$B$2)</f>
        <v>0</v>
      </c>
      <c r="BU20" s="2">
        <f>COUNTIF(defects!$V:$V,Weekly_All!BU$3&amp;Weekly_All!$B20&amp;Weekly_All!$B$3&amp;$B$2)</f>
        <v>0</v>
      </c>
      <c r="BV20" s="2">
        <f>COUNTIF(defects!$V:$V,Weekly_All!BV$3&amp;Weekly_All!$B20&amp;Weekly_All!$B$3&amp;$B$2)</f>
        <v>0</v>
      </c>
      <c r="BW20" s="2">
        <f>COUNTIF(defects!$V:$V,Weekly_All!BW$3&amp;Weekly_All!$B20&amp;Weekly_All!$B$3&amp;$B$2)</f>
        <v>1</v>
      </c>
      <c r="BX20" s="2">
        <f>COUNTIF(defects!$V:$V,Weekly_All!BX$3&amp;Weekly_All!$B20&amp;Weekly_All!$B$3&amp;$B$2)</f>
        <v>0</v>
      </c>
      <c r="BY20" s="2">
        <f>COUNTIF(defects!$V:$V,Weekly_All!BY$3&amp;Weekly_All!$B20&amp;Weekly_All!$B$3&amp;$B$2)</f>
        <v>0</v>
      </c>
      <c r="BZ20" s="2">
        <f>COUNTIF(defects!$V:$V,Weekly_All!BZ$3&amp;Weekly_All!$B20&amp;Weekly_All!$B$3&amp;$B$2)</f>
        <v>0</v>
      </c>
      <c r="CA20" s="2">
        <f>COUNTIF(defects!$V:$V,Weekly_All!CA$3&amp;Weekly_All!$B20&amp;Weekly_All!$B$3&amp;$B$2)</f>
        <v>0</v>
      </c>
      <c r="CB20" s="2">
        <f>COUNTIF(defects!$V:$V,Weekly_All!CB$3&amp;Weekly_All!$B20&amp;Weekly_All!$B$3&amp;$B$2)</f>
        <v>0</v>
      </c>
      <c r="CC20" s="2">
        <f>COUNTIF(defects!$V:$V,Weekly_All!CC$3&amp;Weekly_All!$B20&amp;Weekly_All!$B$3&amp;$B$2)</f>
        <v>0</v>
      </c>
      <c r="CD20" s="2">
        <f>COUNTIF(defects!$V:$V,Weekly_All!CD$3&amp;Weekly_All!$B20&amp;Weekly_All!$B$3&amp;$B$2)</f>
        <v>0</v>
      </c>
      <c r="CE20" s="2">
        <f>COUNTIF(defects!$V:$V,Weekly_All!CE$3&amp;Weekly_All!$B20&amp;Weekly_All!$B$3&amp;$B$2)</f>
        <v>0</v>
      </c>
      <c r="CF20" s="2">
        <f>COUNTIF(defects!$V:$V,Weekly_All!CF$3&amp;Weekly_All!$B20&amp;Weekly_All!$B$3&amp;$B$2)</f>
        <v>0</v>
      </c>
      <c r="CG20" s="2">
        <f>COUNTIF(defects!$V:$V,Weekly_All!CG$3&amp;Weekly_All!$B20&amp;Weekly_All!$B$3&amp;$B$2)</f>
        <v>1</v>
      </c>
      <c r="CH20" s="2">
        <f>COUNTIF(defects!$V:$V,Weekly_All!CH$3&amp;Weekly_All!$B20&amp;Weekly_All!$B$3&amp;$B$2)</f>
        <v>0</v>
      </c>
      <c r="CI20" s="2">
        <f>COUNTIF(defects!$V:$V,Weekly_All!CI$3&amp;Weekly_All!$B20&amp;Weekly_All!$B$3&amp;$B$2)</f>
        <v>0</v>
      </c>
      <c r="CJ20" s="2">
        <f>COUNTIF(defects!$V:$V,Weekly_All!CJ$3&amp;Weekly_All!$B20&amp;Weekly_All!$B$3&amp;$B$2)</f>
        <v>1</v>
      </c>
      <c r="CK20" s="2">
        <f>COUNTIF(defects!$V:$V,Weekly_All!CK$3&amp;Weekly_All!$B20&amp;Weekly_All!$B$3&amp;$B$2)</f>
        <v>0</v>
      </c>
      <c r="CL20" s="2">
        <f>COUNTIF(defects!$V:$V,Weekly_All!CL$3&amp;Weekly_All!$B20&amp;Weekly_All!$B$3&amp;$B$2)</f>
        <v>1</v>
      </c>
      <c r="CM20" s="2">
        <f>COUNTIF(defects!$V:$V,Weekly_All!CM$3&amp;Weekly_All!$B20&amp;Weekly_All!$B$3&amp;$B$2)</f>
        <v>0</v>
      </c>
      <c r="CN20" s="2">
        <f>COUNTIF(defects!$V:$V,Weekly_All!CN$3&amp;Weekly_All!$B20&amp;Weekly_All!$B$3&amp;$B$2)</f>
        <v>0</v>
      </c>
      <c r="CO20" s="2">
        <f>COUNTIF(defects!$V:$V,Weekly_All!CO$3&amp;Weekly_All!$B20&amp;Weekly_All!$B$3&amp;$B$2)</f>
        <v>0</v>
      </c>
      <c r="CP20" s="2">
        <f>COUNTIF(defects!$V:$V,Weekly_All!CP$3&amp;Weekly_All!$B20&amp;Weekly_All!$B$3&amp;$B$2)</f>
        <v>0</v>
      </c>
      <c r="CQ20" s="2">
        <f>COUNTIF(defects!$V:$V,Weekly_All!CQ$3&amp;Weekly_All!$B20&amp;Weekly_All!$B$3&amp;$B$2)</f>
        <v>0</v>
      </c>
      <c r="CR20" s="2">
        <f>COUNTIF(defects!$V:$V,Weekly_All!CR$3&amp;Weekly_All!$B20&amp;Weekly_All!$B$3&amp;$B$2)</f>
        <v>0</v>
      </c>
      <c r="CS20" s="2">
        <f>COUNTIF(defects!$V:$V,Weekly_All!CS$3&amp;Weekly_All!$B20&amp;Weekly_All!$B$3&amp;$B$2)</f>
        <v>0</v>
      </c>
      <c r="CT20" s="2">
        <f>COUNTIF(defects!$V:$V,Weekly_All!CT$3&amp;Weekly_All!$B20&amp;Weekly_All!$B$3&amp;$B$2)</f>
        <v>0</v>
      </c>
      <c r="CU20" s="2">
        <f>COUNTIF(defects!$V:$V,Weekly_All!CU$3&amp;Weekly_All!$B20&amp;Weekly_All!$B$3&amp;$B$2)</f>
        <v>0</v>
      </c>
      <c r="CV20" s="2">
        <f>COUNTIF(defects!$V:$V,Weekly_All!CV$3&amp;Weekly_All!$B20&amp;Weekly_All!$B$3&amp;$B$2)</f>
        <v>0</v>
      </c>
      <c r="CW20" s="2">
        <f>COUNTIF(defects!$V:$V,Weekly_All!CW$3&amp;Weekly_All!$B20&amp;Weekly_All!$B$3&amp;$B$2)</f>
        <v>0</v>
      </c>
      <c r="CX20" s="2">
        <f>COUNTIF(defects!$V:$V,Weekly_All!CX$3&amp;Weekly_All!$B20&amp;Weekly_All!$B$3&amp;$B$2)</f>
        <v>0</v>
      </c>
      <c r="CY20" s="2">
        <f>COUNTIF(defects!$V:$V,Weekly_All!CY$3&amp;Weekly_All!$B20&amp;Weekly_All!$B$3&amp;$B$2)</f>
        <v>0</v>
      </c>
      <c r="CZ20" s="2">
        <f>COUNTIF(defects!$V:$V,Weekly_All!CZ$3&amp;Weekly_All!$B20&amp;Weekly_All!$B$3&amp;$B$2)</f>
        <v>1</v>
      </c>
      <c r="DA20" s="2">
        <f>COUNTIF(defects!$V:$V,Weekly_All!DA$3&amp;Weekly_All!$B20&amp;Weekly_All!$B$3&amp;$B$2)</f>
        <v>0</v>
      </c>
      <c r="DB20" s="2">
        <f>COUNTIF(defects!$V:$V,Weekly_All!DB$3&amp;Weekly_All!$B20&amp;Weekly_All!$B$3&amp;$B$2)</f>
        <v>0</v>
      </c>
      <c r="DC20" s="2">
        <f>COUNTIF(defects!$V:$V,Weekly_All!DC$3&amp;Weekly_All!$B20&amp;Weekly_All!$B$3&amp;$B$2)</f>
        <v>1</v>
      </c>
      <c r="DD20" s="2">
        <f>COUNTIF(defects!$V:$V,Weekly_All!DD$3&amp;Weekly_All!$B20&amp;Weekly_All!$B$3&amp;$B$2)</f>
        <v>0</v>
      </c>
      <c r="DE20" s="2">
        <f>COUNTIF(defects!$V:$V,Weekly_All!DE$3&amp;Weekly_All!$B20&amp;Weekly_All!$B$3&amp;$B$2)</f>
        <v>0</v>
      </c>
      <c r="DF20" s="2">
        <f>COUNTIF(defects!$V:$V,Weekly_All!DF$3&amp;Weekly_All!$B20&amp;Weekly_All!$B$3&amp;$B$2)</f>
        <v>0</v>
      </c>
      <c r="DG20" s="2">
        <f>COUNTIF(defects!$V:$V,Weekly_All!DG$3&amp;Weekly_All!$B20&amp;Weekly_All!$B$3&amp;$B$2)</f>
        <v>0</v>
      </c>
      <c r="DH20" s="2">
        <f>COUNTIF(defects!$V:$V,Weekly_All!DH$3&amp;Weekly_All!$B20&amp;Weekly_All!$B$3&amp;$B$2)</f>
        <v>0</v>
      </c>
      <c r="DI20" s="2">
        <f>COUNTIF(defects!$V:$V,Weekly_All!DI$3&amp;Weekly_All!$B20&amp;Weekly_All!$B$3&amp;$B$2)</f>
        <v>0</v>
      </c>
      <c r="DJ20" s="2">
        <f>COUNTIF(defects!$V:$V,Weekly_All!DJ$3&amp;Weekly_All!$B20&amp;Weekly_All!$B$3&amp;$B$2)</f>
        <v>0</v>
      </c>
      <c r="DK20" s="2">
        <f>COUNTIF(defects!$V:$V,Weekly_All!DK$3&amp;Weekly_All!$B20&amp;Weekly_All!$B$3&amp;$B$2)</f>
        <v>0</v>
      </c>
      <c r="DL20" s="2">
        <f>COUNTIF(defects!$V:$V,Weekly_All!DL$3&amp;Weekly_All!$B20&amp;Weekly_All!$B$3&amp;$B$2)</f>
        <v>0</v>
      </c>
      <c r="DM20" s="2">
        <f>COUNTIF(defects!$V:$V,Weekly_All!DM$3&amp;Weekly_All!$B20&amp;Weekly_All!$B$3&amp;$B$2)</f>
        <v>0</v>
      </c>
      <c r="DN20" s="2">
        <f>COUNTIF(defects!$V:$V,Weekly_All!DN$3&amp;Weekly_All!$B20&amp;Weekly_All!$B$3&amp;$B$2)</f>
        <v>0</v>
      </c>
      <c r="DO20" s="2">
        <f>COUNTIF(defects!$V:$V,Weekly_All!DO$3&amp;Weekly_All!$B20&amp;Weekly_All!$B$3&amp;$B$2)</f>
        <v>0</v>
      </c>
      <c r="DP20" s="2">
        <f>COUNTIF(defects!$V:$V,Weekly_All!DP$3&amp;Weekly_All!$B20&amp;Weekly_All!$B$3&amp;$B$2)</f>
        <v>0</v>
      </c>
      <c r="DQ20" s="2">
        <f>COUNTIF(defects!$V:$V,Weekly_All!DQ$3&amp;Weekly_All!$B20&amp;Weekly_All!$B$3&amp;$B$2)</f>
        <v>0</v>
      </c>
      <c r="DR20" s="2">
        <f>COUNTIF(defects!$V:$V,Weekly_All!DR$3&amp;Weekly_All!$B20&amp;Weekly_All!$B$3&amp;$B$2)</f>
        <v>0</v>
      </c>
      <c r="DS20" s="2">
        <f>COUNTIF(defects!$V:$V,Weekly_All!DS$3&amp;Weekly_All!$B20&amp;Weekly_All!$B$3&amp;$B$2)</f>
        <v>0</v>
      </c>
      <c r="DT20" s="2">
        <f>COUNTIF(defects!$V:$V,Weekly_All!DT$3&amp;Weekly_All!$B20&amp;Weekly_All!$B$3&amp;$B$2)</f>
        <v>0</v>
      </c>
      <c r="DU20" s="2">
        <f>COUNTIF(defects!$V:$V,Weekly_All!DU$3&amp;Weekly_All!$B20&amp;Weekly_All!$B$3&amp;$B$2)</f>
        <v>0</v>
      </c>
      <c r="DV20" s="2">
        <f>COUNTIF(defects!$V:$V,Weekly_All!DV$3&amp;Weekly_All!$B20&amp;Weekly_All!$B$3&amp;$B$2)</f>
        <v>0</v>
      </c>
      <c r="DW20" s="2">
        <f>COUNTIF(defects!$V:$V,Weekly_All!DW$3&amp;Weekly_All!$B20&amp;Weekly_All!$B$3&amp;$B$2)</f>
        <v>0</v>
      </c>
      <c r="DX20" s="2">
        <f>COUNTIF(defects!$V:$V,Weekly_All!DX$3&amp;Weekly_All!$B20&amp;Weekly_All!$B$3&amp;$B$2)</f>
        <v>0</v>
      </c>
      <c r="DY20" s="2">
        <f>COUNTIF(defects!$V:$V,Weekly_All!DY$3&amp;Weekly_All!$B20&amp;Weekly_All!$B$3&amp;$B$2)</f>
        <v>0</v>
      </c>
      <c r="DZ20" s="2">
        <f>COUNTIF(defects!$V:$V,Weekly_All!DZ$3&amp;Weekly_All!$B20&amp;Weekly_All!$B$3&amp;$B$2)</f>
        <v>0</v>
      </c>
      <c r="EA20" s="2">
        <f>COUNTIF(defects!$V:$V,Weekly_All!EA$3&amp;Weekly_All!$B20&amp;Weekly_All!$B$3&amp;$B$2)</f>
        <v>0</v>
      </c>
      <c r="EB20" s="2">
        <f>COUNTIF(defects!$V:$V,Weekly_All!EB$3&amp;Weekly_All!$B20&amp;Weekly_All!$B$3&amp;$B$2)</f>
        <v>0</v>
      </c>
      <c r="EC20" s="2">
        <f>COUNTIF(defects!$V:$V,Weekly_All!EC$3&amp;Weekly_All!$B20&amp;Weekly_All!$B$3&amp;$B$2)</f>
        <v>0</v>
      </c>
      <c r="ED20" s="2">
        <f>COUNTIF(defects!$V:$V,Weekly_All!ED$3&amp;Weekly_All!$B20&amp;Weekly_All!$B$3&amp;$B$2)</f>
        <v>0</v>
      </c>
      <c r="EE20" s="2">
        <f>COUNTIF(defects!$V:$V,Weekly_All!EE$3&amp;Weekly_All!$B20&amp;Weekly_All!$B$3&amp;$B$2)</f>
        <v>0</v>
      </c>
      <c r="EF20" s="2">
        <f>COUNTIF(defects!$V:$V,Weekly_All!EF$3&amp;Weekly_All!$B20&amp;Weekly_All!$B$3&amp;$B$2)</f>
        <v>0</v>
      </c>
      <c r="EG20" s="2">
        <f>COUNTIF(defects!$V:$V,Weekly_All!EG$3&amp;Weekly_All!$B20&amp;Weekly_All!$B$3&amp;$B$2)</f>
        <v>0</v>
      </c>
      <c r="EH20" s="2">
        <f>COUNTIF(defects!$V:$V,Weekly_All!EH$3&amp;Weekly_All!$B20&amp;Weekly_All!$B$3&amp;$B$2)</f>
        <v>0</v>
      </c>
      <c r="EI20" s="2">
        <f>COUNTIF(defects!$V:$V,Weekly_All!EI$3&amp;Weekly_All!$B20&amp;Weekly_All!$B$3&amp;$B$2)</f>
        <v>0</v>
      </c>
      <c r="EJ20" s="2">
        <f>COUNTIF(defects!$V:$V,Weekly_All!EJ$3&amp;Weekly_All!$B20&amp;Weekly_All!$B$3&amp;$B$2)</f>
        <v>0</v>
      </c>
      <c r="EK20" s="2">
        <f>COUNTIF(defects!$V:$V,Weekly_All!EK$3&amp;Weekly_All!$B20&amp;Weekly_All!$B$3&amp;$B$2)</f>
        <v>0</v>
      </c>
      <c r="EL20" s="2">
        <f>COUNTIF(defects!$V:$V,Weekly_All!EL$3&amp;Weekly_All!$B20&amp;Weekly_All!$B$3&amp;$B$2)</f>
        <v>0</v>
      </c>
      <c r="EM20" s="2">
        <f>COUNTIF(defects!$V:$V,Weekly_All!EM$3&amp;Weekly_All!$B20&amp;Weekly_All!$B$3&amp;$B$2)</f>
        <v>0</v>
      </c>
      <c r="EN20" s="2">
        <f>COUNTIF(defects!$V:$V,Weekly_All!EN$3&amp;Weekly_All!$B20&amp;Weekly_All!$B$3&amp;$B$2)</f>
        <v>0</v>
      </c>
      <c r="EO20" s="2">
        <f>COUNTIF(defects!$V:$V,Weekly_All!EO$3&amp;Weekly_All!$B20&amp;Weekly_All!$B$3&amp;$B$2)</f>
        <v>0</v>
      </c>
      <c r="EP20" s="2">
        <f>COUNTIF(defects!$V:$V,Weekly_All!EP$3&amp;Weekly_All!$B20&amp;Weekly_All!$B$3&amp;$B$2)</f>
        <v>0</v>
      </c>
      <c r="EQ20" s="2">
        <f>COUNTIF(defects!$V:$V,Weekly_All!EQ$3&amp;Weekly_All!$B20&amp;Weekly_All!$B$3&amp;$B$2)</f>
        <v>0</v>
      </c>
      <c r="ER20" s="2">
        <f>COUNTIF(defects!$V:$V,Weekly_All!ER$3&amp;Weekly_All!$B20&amp;Weekly_All!$B$3&amp;$B$2)</f>
        <v>0</v>
      </c>
      <c r="ES20" s="2">
        <f>COUNTIF(defects!$V:$V,Weekly_All!ES$3&amp;Weekly_All!$B20&amp;Weekly_All!$B$3&amp;$B$2)</f>
        <v>0</v>
      </c>
      <c r="ET20" s="2">
        <f>COUNTIF(defects!$V:$V,Weekly_All!ET$3&amp;Weekly_All!$B20&amp;Weekly_All!$B$3&amp;$B$2)</f>
        <v>0</v>
      </c>
      <c r="EU20" s="2">
        <f>COUNTIF(defects!$V:$V,Weekly_All!EU$3&amp;Weekly_All!$B20&amp;Weekly_All!$B$3&amp;$B$2)</f>
        <v>0</v>
      </c>
      <c r="EV20" s="2">
        <f>COUNTIF(defects!$V:$V,Weekly_All!EV$3&amp;Weekly_All!$B20&amp;Weekly_All!$B$3&amp;$B$2)</f>
        <v>0</v>
      </c>
      <c r="EW20" s="2">
        <f>COUNTIF(defects!$V:$V,Weekly_All!EW$3&amp;Weekly_All!$B20&amp;Weekly_All!$B$3&amp;$B$2)</f>
        <v>0</v>
      </c>
      <c r="EX20" s="2">
        <f>COUNTIF(defects!$V:$V,Weekly_All!EX$3&amp;Weekly_All!$B20&amp;Weekly_All!$B$3&amp;$B$2)</f>
        <v>0</v>
      </c>
      <c r="EY20" s="2">
        <f>COUNTIF(defects!$V:$V,Weekly_All!EY$3&amp;Weekly_All!$B20&amp;Weekly_All!$B$3&amp;$B$2)</f>
        <v>0</v>
      </c>
      <c r="EZ20" s="2">
        <f>COUNTIF(defects!$V:$V,Weekly_All!EZ$3&amp;Weekly_All!$B20&amp;Weekly_All!$B$3&amp;$B$2)</f>
        <v>0</v>
      </c>
      <c r="FA20" s="2">
        <f>COUNTIF(defects!$V:$V,Weekly_All!FA$3&amp;Weekly_All!$B20&amp;Weekly_All!$B$3&amp;$B$2)</f>
        <v>0</v>
      </c>
      <c r="FB20" s="2">
        <f>COUNTIF(defects!$V:$V,Weekly_All!FB$3&amp;Weekly_All!$B20&amp;Weekly_All!$B$3&amp;$B$2)</f>
        <v>0</v>
      </c>
      <c r="FC20" s="2">
        <f>COUNTIF(defects!$V:$V,Weekly_All!FC$3&amp;Weekly_All!$B20&amp;Weekly_All!$B$3&amp;$B$2)</f>
        <v>0</v>
      </c>
      <c r="FD20" s="2">
        <f>COUNTIF(defects!$V:$V,Weekly_All!FD$3&amp;Weekly_All!$B20&amp;Weekly_All!$B$3&amp;$B$2)</f>
        <v>0</v>
      </c>
      <c r="FE20" s="2">
        <f>COUNTIF(defects!$V:$V,Weekly_All!FE$3&amp;Weekly_All!$B20&amp;Weekly_All!$B$3&amp;$B$2)</f>
        <v>0</v>
      </c>
    </row>
    <row r="21" spans="2:161">
      <c r="B21" s="3" t="s">
        <v>948</v>
      </c>
      <c r="C21" s="2">
        <f>COUNTIF(defects!$V:$V,Weekly_All!C$3&amp;Weekly_All!$B21&amp;Weekly_All!$B$3&amp;$B$2)</f>
        <v>0</v>
      </c>
      <c r="D21" s="2">
        <f>COUNTIF(defects!$V:$V,Weekly_All!D$3&amp;Weekly_All!$B21&amp;Weekly_All!$B$3&amp;$B$2)</f>
        <v>0</v>
      </c>
      <c r="E21" s="2">
        <f>COUNTIF(defects!$V:$V,Weekly_All!E$3&amp;Weekly_All!$B21&amp;Weekly_All!$B$3&amp;$B$2)</f>
        <v>0</v>
      </c>
      <c r="F21" s="2">
        <f>COUNTIF(defects!$V:$V,Weekly_All!F$3&amp;Weekly_All!$B21&amp;Weekly_All!$B$3&amp;$B$2)</f>
        <v>0</v>
      </c>
      <c r="G21" s="2">
        <f>COUNTIF(defects!$V:$V,Weekly_All!G$3&amp;Weekly_All!$B21&amp;Weekly_All!$B$3&amp;$B$2)</f>
        <v>0</v>
      </c>
      <c r="H21" s="2">
        <f>COUNTIF(defects!$V:$V,Weekly_All!H$3&amp;Weekly_All!$B21&amp;Weekly_All!$B$3&amp;$B$2)</f>
        <v>0</v>
      </c>
      <c r="I21" s="2">
        <f>COUNTIF(defects!$V:$V,Weekly_All!I$3&amp;Weekly_All!$B21&amp;Weekly_All!$B$3&amp;$B$2)</f>
        <v>0</v>
      </c>
      <c r="J21" s="2">
        <f>COUNTIF(defects!$V:$V,Weekly_All!J$3&amp;Weekly_All!$B21&amp;Weekly_All!$B$3&amp;$B$2)</f>
        <v>0</v>
      </c>
      <c r="K21" s="2">
        <f>COUNTIF(defects!$V:$V,Weekly_All!K$3&amp;Weekly_All!$B21&amp;Weekly_All!$B$3&amp;$B$2)</f>
        <v>0</v>
      </c>
      <c r="L21" s="2">
        <f>COUNTIF(defects!$V:$V,Weekly_All!L$3&amp;Weekly_All!$B21&amp;Weekly_All!$B$3&amp;$B$2)</f>
        <v>0</v>
      </c>
      <c r="M21" s="2">
        <f>COUNTIF(defects!$V:$V,Weekly_All!M$3&amp;Weekly_All!$B21&amp;Weekly_All!$B$3&amp;$B$2)</f>
        <v>0</v>
      </c>
      <c r="N21" s="2">
        <f>COUNTIF(defects!$V:$V,Weekly_All!N$3&amp;Weekly_All!$B21&amp;Weekly_All!$B$3&amp;$B$2)</f>
        <v>0</v>
      </c>
      <c r="O21" s="2">
        <f>COUNTIF(defects!$V:$V,Weekly_All!O$3&amp;Weekly_All!$B21&amp;Weekly_All!$B$3&amp;$B$2)</f>
        <v>0</v>
      </c>
      <c r="P21" s="2">
        <f>COUNTIF(defects!$V:$V,Weekly_All!P$3&amp;Weekly_All!$B21&amp;Weekly_All!$B$3&amp;$B$2)</f>
        <v>0</v>
      </c>
      <c r="Q21" s="2">
        <f>COUNTIF(defects!$V:$V,Weekly_All!Q$3&amp;Weekly_All!$B21&amp;Weekly_All!$B$3&amp;$B$2)</f>
        <v>0</v>
      </c>
      <c r="R21" s="2">
        <f>COUNTIF(defects!$V:$V,Weekly_All!R$3&amp;Weekly_All!$B21&amp;Weekly_All!$B$3&amp;$B$2)</f>
        <v>0</v>
      </c>
      <c r="S21" s="2">
        <f>COUNTIF(defects!$V:$V,Weekly_All!S$3&amp;Weekly_All!$B21&amp;Weekly_All!$B$3&amp;$B$2)</f>
        <v>0</v>
      </c>
      <c r="T21" s="2">
        <f>COUNTIF(defects!$V:$V,Weekly_All!T$3&amp;Weekly_All!$B21&amp;Weekly_All!$B$3&amp;$B$2)</f>
        <v>0</v>
      </c>
      <c r="U21" s="2">
        <f>COUNTIF(defects!$V:$V,Weekly_All!U$3&amp;Weekly_All!$B21&amp;Weekly_All!$B$3&amp;$B$2)</f>
        <v>0</v>
      </c>
      <c r="V21" s="2">
        <f>COUNTIF(defects!$V:$V,Weekly_All!V$3&amp;Weekly_All!$B21&amp;Weekly_All!$B$3&amp;$B$2)</f>
        <v>0</v>
      </c>
      <c r="W21" s="2">
        <f>COUNTIF(defects!$V:$V,Weekly_All!W$3&amp;Weekly_All!$B21&amp;Weekly_All!$B$3&amp;$B$2)</f>
        <v>0</v>
      </c>
      <c r="X21" s="2">
        <f>COUNTIF(defects!$V:$V,Weekly_All!X$3&amp;Weekly_All!$B21&amp;Weekly_All!$B$3&amp;$B$2)</f>
        <v>0</v>
      </c>
      <c r="Y21" s="2">
        <f>COUNTIF(defects!$V:$V,Weekly_All!Y$3&amp;Weekly_All!$B21&amp;Weekly_All!$B$3&amp;$B$2)</f>
        <v>0</v>
      </c>
      <c r="Z21" s="2">
        <f>COUNTIF(defects!$V:$V,Weekly_All!Z$3&amp;Weekly_All!$B21&amp;Weekly_All!$B$3&amp;$B$2)</f>
        <v>0</v>
      </c>
      <c r="AA21" s="2">
        <f>COUNTIF(defects!$V:$V,Weekly_All!AA$3&amp;Weekly_All!$B21&amp;Weekly_All!$B$3&amp;$B$2)</f>
        <v>0</v>
      </c>
      <c r="AB21" s="2">
        <f>COUNTIF(defects!$V:$V,Weekly_All!AB$3&amp;Weekly_All!$B21&amp;Weekly_All!$B$3&amp;$B$2)</f>
        <v>0</v>
      </c>
      <c r="AC21" s="2">
        <f>COUNTIF(defects!$V:$V,Weekly_All!AC$3&amp;Weekly_All!$B21&amp;Weekly_All!$B$3&amp;$B$2)</f>
        <v>0</v>
      </c>
      <c r="AD21" s="2">
        <f>COUNTIF(defects!$V:$V,Weekly_All!AD$3&amp;Weekly_All!$B21&amp;Weekly_All!$B$3&amp;$B$2)</f>
        <v>0</v>
      </c>
      <c r="AE21" s="2">
        <f>COUNTIF(defects!$V:$V,Weekly_All!AE$3&amp;Weekly_All!$B21&amp;Weekly_All!$B$3&amp;$B$2)</f>
        <v>0</v>
      </c>
      <c r="AF21" s="2">
        <f>COUNTIF(defects!$V:$V,Weekly_All!AF$3&amp;Weekly_All!$B21&amp;Weekly_All!$B$3&amp;$B$2)</f>
        <v>0</v>
      </c>
      <c r="AG21" s="2">
        <f>COUNTIF(defects!$V:$V,Weekly_All!AG$3&amp;Weekly_All!$B21&amp;Weekly_All!$B$3&amp;$B$2)</f>
        <v>0</v>
      </c>
      <c r="AH21" s="2">
        <f>COUNTIF(defects!$V:$V,Weekly_All!AH$3&amp;Weekly_All!$B21&amp;Weekly_All!$B$3&amp;$B$2)</f>
        <v>0</v>
      </c>
      <c r="AI21" s="2">
        <f>COUNTIF(defects!$V:$V,Weekly_All!AI$3&amp;Weekly_All!$B21&amp;Weekly_All!$B$3&amp;$B$2)</f>
        <v>0</v>
      </c>
      <c r="AJ21" s="2">
        <f>COUNTIF(defects!$V:$V,Weekly_All!AJ$3&amp;Weekly_All!$B21&amp;Weekly_All!$B$3&amp;$B$2)</f>
        <v>0</v>
      </c>
      <c r="AK21" s="2">
        <f>COUNTIF(defects!$V:$V,Weekly_All!AK$3&amp;Weekly_All!$B21&amp;Weekly_All!$B$3&amp;$B$2)</f>
        <v>0</v>
      </c>
      <c r="AL21" s="2">
        <f>COUNTIF(defects!$V:$V,Weekly_All!AL$3&amp;Weekly_All!$B21&amp;Weekly_All!$B$3&amp;$B$2)</f>
        <v>0</v>
      </c>
      <c r="AM21" s="2">
        <f>COUNTIF(defects!$V:$V,Weekly_All!AM$3&amp;Weekly_All!$B21&amp;Weekly_All!$B$3&amp;$B$2)</f>
        <v>0</v>
      </c>
      <c r="AN21" s="2">
        <f>COUNTIF(defects!$V:$V,Weekly_All!AN$3&amp;Weekly_All!$B21&amp;Weekly_All!$B$3&amp;$B$2)</f>
        <v>0</v>
      </c>
      <c r="AO21" s="2">
        <f>COUNTIF(defects!$V:$V,Weekly_All!AO$3&amp;Weekly_All!$B21&amp;Weekly_All!$B$3&amp;$B$2)</f>
        <v>0</v>
      </c>
      <c r="AP21" s="2">
        <f>COUNTIF(defects!$V:$V,Weekly_All!AP$3&amp;Weekly_All!$B21&amp;Weekly_All!$B$3&amp;$B$2)</f>
        <v>0</v>
      </c>
      <c r="AQ21" s="2">
        <f>COUNTIF(defects!$V:$V,Weekly_All!AQ$3&amp;Weekly_All!$B21&amp;Weekly_All!$B$3&amp;$B$2)</f>
        <v>0</v>
      </c>
      <c r="AR21" s="2">
        <f>COUNTIF(defects!$V:$V,Weekly_All!AR$3&amp;Weekly_All!$B21&amp;Weekly_All!$B$3&amp;$B$2)</f>
        <v>0</v>
      </c>
      <c r="AS21" s="2">
        <f>COUNTIF(defects!$V:$V,Weekly_All!AS$3&amp;Weekly_All!$B21&amp;Weekly_All!$B$3&amp;$B$2)</f>
        <v>0</v>
      </c>
      <c r="AT21" s="2">
        <f>COUNTIF(defects!$V:$V,Weekly_All!AT$3&amp;Weekly_All!$B21&amp;Weekly_All!$B$3&amp;$B$2)</f>
        <v>0</v>
      </c>
      <c r="AU21" s="2">
        <f>COUNTIF(defects!$V:$V,Weekly_All!AU$3&amp;Weekly_All!$B21&amp;Weekly_All!$B$3&amp;$B$2)</f>
        <v>0</v>
      </c>
      <c r="AV21" s="2">
        <f>COUNTIF(defects!$V:$V,Weekly_All!AV$3&amp;Weekly_All!$B21&amp;Weekly_All!$B$3&amp;$B$2)</f>
        <v>0</v>
      </c>
      <c r="AW21" s="2">
        <f>COUNTIF(defects!$V:$V,Weekly_All!AW$3&amp;Weekly_All!$B21&amp;Weekly_All!$B$3&amp;$B$2)</f>
        <v>0</v>
      </c>
      <c r="AX21" s="2">
        <f>COUNTIF(defects!$V:$V,Weekly_All!AX$3&amp;Weekly_All!$B21&amp;Weekly_All!$B$3&amp;$B$2)</f>
        <v>0</v>
      </c>
      <c r="AY21" s="2">
        <f>COUNTIF(defects!$V:$V,Weekly_All!AY$3&amp;Weekly_All!$B21&amp;Weekly_All!$B$3&amp;$B$2)</f>
        <v>0</v>
      </c>
      <c r="AZ21" s="2">
        <f>COUNTIF(defects!$V:$V,Weekly_All!AZ$3&amp;Weekly_All!$B21&amp;Weekly_All!$B$3&amp;$B$2)</f>
        <v>0</v>
      </c>
      <c r="BA21" s="2">
        <f>COUNTIF(defects!$V:$V,Weekly_All!BA$3&amp;Weekly_All!$B21&amp;Weekly_All!$B$3&amp;$B$2)</f>
        <v>0</v>
      </c>
      <c r="BB21" s="2">
        <f>COUNTIF(defects!$V:$V,Weekly_All!BB$3&amp;Weekly_All!$B21&amp;Weekly_All!$B$3&amp;$B$2)</f>
        <v>0</v>
      </c>
      <c r="BC21" s="2">
        <f>COUNTIF(defects!$V:$V,Weekly_All!BC$3&amp;Weekly_All!$B21&amp;Weekly_All!$B$3&amp;$B$2)</f>
        <v>0</v>
      </c>
      <c r="BD21" s="2">
        <f>COUNTIF(defects!$V:$V,Weekly_All!BD$3&amp;Weekly_All!$B21&amp;Weekly_All!$B$3&amp;$B$2)</f>
        <v>0</v>
      </c>
      <c r="BE21" s="2">
        <f>COUNTIF(defects!$V:$V,Weekly_All!BE$3&amp;Weekly_All!$B21&amp;Weekly_All!$B$3&amp;$B$2)</f>
        <v>0</v>
      </c>
      <c r="BF21" s="2">
        <f>COUNTIF(defects!$V:$V,Weekly_All!BF$3&amp;Weekly_All!$B21&amp;Weekly_All!$B$3&amp;$B$2)</f>
        <v>0</v>
      </c>
      <c r="BG21" s="2">
        <f>COUNTIF(defects!$V:$V,Weekly_All!BG$3&amp;Weekly_All!$B21&amp;Weekly_All!$B$3&amp;$B$2)</f>
        <v>0</v>
      </c>
      <c r="BH21" s="2">
        <f>COUNTIF(defects!$V:$V,Weekly_All!BH$3&amp;Weekly_All!$B21&amp;Weekly_All!$B$3&amp;$B$2)</f>
        <v>0</v>
      </c>
      <c r="BI21" s="2">
        <f>COUNTIF(defects!$V:$V,Weekly_All!BI$3&amp;Weekly_All!$B21&amp;Weekly_All!$B$3&amp;$B$2)</f>
        <v>0</v>
      </c>
      <c r="BJ21" s="2">
        <f>COUNTIF(defects!$V:$V,Weekly_All!BJ$3&amp;Weekly_All!$B21&amp;Weekly_All!$B$3&amp;$B$2)</f>
        <v>0</v>
      </c>
      <c r="BK21" s="2">
        <f>COUNTIF(defects!$V:$V,Weekly_All!BK$3&amp;Weekly_All!$B21&amp;Weekly_All!$B$3&amp;$B$2)</f>
        <v>0</v>
      </c>
      <c r="BL21" s="2">
        <f>COUNTIF(defects!$V:$V,Weekly_All!BL$3&amp;Weekly_All!$B21&amp;Weekly_All!$B$3&amp;$B$2)</f>
        <v>0</v>
      </c>
      <c r="BM21" s="2">
        <f>COUNTIF(defects!$V:$V,Weekly_All!BM$3&amp;Weekly_All!$B21&amp;Weekly_All!$B$3&amp;$B$2)</f>
        <v>0</v>
      </c>
      <c r="BN21" s="2">
        <f>COUNTIF(defects!$V:$V,Weekly_All!BN$3&amp;Weekly_All!$B21&amp;Weekly_All!$B$3&amp;$B$2)</f>
        <v>0</v>
      </c>
      <c r="BO21" s="2">
        <f>COUNTIF(defects!$V:$V,Weekly_All!BO$3&amp;Weekly_All!$B21&amp;Weekly_All!$B$3&amp;$B$2)</f>
        <v>0</v>
      </c>
      <c r="BP21" s="2">
        <f>COUNTIF(defects!$V:$V,Weekly_All!BP$3&amp;Weekly_All!$B21&amp;Weekly_All!$B$3&amp;$B$2)</f>
        <v>0</v>
      </c>
      <c r="BQ21" s="2">
        <f>COUNTIF(defects!$V:$V,Weekly_All!BQ$3&amp;Weekly_All!$B21&amp;Weekly_All!$B$3&amp;$B$2)</f>
        <v>0</v>
      </c>
      <c r="BR21" s="2">
        <f>COUNTIF(defects!$V:$V,Weekly_All!BR$3&amp;Weekly_All!$B21&amp;Weekly_All!$B$3&amp;$B$2)</f>
        <v>0</v>
      </c>
      <c r="BS21" s="2">
        <f>COUNTIF(defects!$V:$V,Weekly_All!BS$3&amp;Weekly_All!$B21&amp;Weekly_All!$B$3&amp;$B$2)</f>
        <v>0</v>
      </c>
      <c r="BT21" s="2">
        <f>COUNTIF(defects!$V:$V,Weekly_All!BT$3&amp;Weekly_All!$B21&amp;Weekly_All!$B$3&amp;$B$2)</f>
        <v>1</v>
      </c>
      <c r="BU21" s="2">
        <f>COUNTIF(defects!$V:$V,Weekly_All!BU$3&amp;Weekly_All!$B21&amp;Weekly_All!$B$3&amp;$B$2)</f>
        <v>1</v>
      </c>
      <c r="BV21" s="2">
        <f>COUNTIF(defects!$V:$V,Weekly_All!BV$3&amp;Weekly_All!$B21&amp;Weekly_All!$B$3&amp;$B$2)</f>
        <v>0</v>
      </c>
      <c r="BW21" s="2">
        <f>COUNTIF(defects!$V:$V,Weekly_All!BW$3&amp;Weekly_All!$B21&amp;Weekly_All!$B$3&amp;$B$2)</f>
        <v>0</v>
      </c>
      <c r="BX21" s="2">
        <f>COUNTIF(defects!$V:$V,Weekly_All!BX$3&amp;Weekly_All!$B21&amp;Weekly_All!$B$3&amp;$B$2)</f>
        <v>0</v>
      </c>
      <c r="BY21" s="2">
        <f>COUNTIF(defects!$V:$V,Weekly_All!BY$3&amp;Weekly_All!$B21&amp;Weekly_All!$B$3&amp;$B$2)</f>
        <v>1</v>
      </c>
      <c r="BZ21" s="2">
        <f>COUNTIF(defects!$V:$V,Weekly_All!BZ$3&amp;Weekly_All!$B21&amp;Weekly_All!$B$3&amp;$B$2)</f>
        <v>0</v>
      </c>
      <c r="CA21" s="2">
        <f>COUNTIF(defects!$V:$V,Weekly_All!CA$3&amp;Weekly_All!$B21&amp;Weekly_All!$B$3&amp;$B$2)</f>
        <v>0</v>
      </c>
      <c r="CB21" s="2">
        <f>COUNTIF(defects!$V:$V,Weekly_All!CB$3&amp;Weekly_All!$B21&amp;Weekly_All!$B$3&amp;$B$2)</f>
        <v>0</v>
      </c>
      <c r="CC21" s="2">
        <f>COUNTIF(defects!$V:$V,Weekly_All!CC$3&amp;Weekly_All!$B21&amp;Weekly_All!$B$3&amp;$B$2)</f>
        <v>1</v>
      </c>
      <c r="CD21" s="2">
        <f>COUNTIF(defects!$V:$V,Weekly_All!CD$3&amp;Weekly_All!$B21&amp;Weekly_All!$B$3&amp;$B$2)</f>
        <v>0</v>
      </c>
      <c r="CE21" s="2">
        <f>COUNTIF(defects!$V:$V,Weekly_All!CE$3&amp;Weekly_All!$B21&amp;Weekly_All!$B$3&amp;$B$2)</f>
        <v>0</v>
      </c>
      <c r="CF21" s="2">
        <f>COUNTIF(defects!$V:$V,Weekly_All!CF$3&amp;Weekly_All!$B21&amp;Weekly_All!$B$3&amp;$B$2)</f>
        <v>0</v>
      </c>
      <c r="CG21" s="2">
        <f>COUNTIF(defects!$V:$V,Weekly_All!CG$3&amp;Weekly_All!$B21&amp;Weekly_All!$B$3&amp;$B$2)</f>
        <v>0</v>
      </c>
      <c r="CH21" s="2">
        <f>COUNTIF(defects!$V:$V,Weekly_All!CH$3&amp;Weekly_All!$B21&amp;Weekly_All!$B$3&amp;$B$2)</f>
        <v>0</v>
      </c>
      <c r="CI21" s="2">
        <f>COUNTIF(defects!$V:$V,Weekly_All!CI$3&amp;Weekly_All!$B21&amp;Weekly_All!$B$3&amp;$B$2)</f>
        <v>0</v>
      </c>
      <c r="CJ21" s="2">
        <f>COUNTIF(defects!$V:$V,Weekly_All!CJ$3&amp;Weekly_All!$B21&amp;Weekly_All!$B$3&amp;$B$2)</f>
        <v>3</v>
      </c>
      <c r="CK21" s="2">
        <f>COUNTIF(defects!$V:$V,Weekly_All!CK$3&amp;Weekly_All!$B21&amp;Weekly_All!$B$3&amp;$B$2)</f>
        <v>0</v>
      </c>
      <c r="CL21" s="2">
        <f>COUNTIF(defects!$V:$V,Weekly_All!CL$3&amp;Weekly_All!$B21&amp;Weekly_All!$B$3&amp;$B$2)</f>
        <v>2</v>
      </c>
      <c r="CM21" s="2">
        <f>COUNTIF(defects!$V:$V,Weekly_All!CM$3&amp;Weekly_All!$B21&amp;Weekly_All!$B$3&amp;$B$2)</f>
        <v>0</v>
      </c>
      <c r="CN21" s="2">
        <f>COUNTIF(defects!$V:$V,Weekly_All!CN$3&amp;Weekly_All!$B21&amp;Weekly_All!$B$3&amp;$B$2)</f>
        <v>5</v>
      </c>
      <c r="CO21" s="2">
        <f>COUNTIF(defects!$V:$V,Weekly_All!CO$3&amp;Weekly_All!$B21&amp;Weekly_All!$B$3&amp;$B$2)</f>
        <v>5</v>
      </c>
      <c r="CP21" s="2">
        <f>COUNTIF(defects!$V:$V,Weekly_All!CP$3&amp;Weekly_All!$B21&amp;Weekly_All!$B$3&amp;$B$2)</f>
        <v>1</v>
      </c>
      <c r="CQ21" s="2">
        <f>COUNTIF(defects!$V:$V,Weekly_All!CQ$3&amp;Weekly_All!$B21&amp;Weekly_All!$B$3&amp;$B$2)</f>
        <v>0</v>
      </c>
      <c r="CR21" s="2">
        <f>COUNTIF(defects!$V:$V,Weekly_All!CR$3&amp;Weekly_All!$B21&amp;Weekly_All!$B$3&amp;$B$2)</f>
        <v>1</v>
      </c>
      <c r="CS21" s="2">
        <f>COUNTIF(defects!$V:$V,Weekly_All!CS$3&amp;Weekly_All!$B21&amp;Weekly_All!$B$3&amp;$B$2)</f>
        <v>4</v>
      </c>
      <c r="CT21" s="2">
        <f>COUNTIF(defects!$V:$V,Weekly_All!CT$3&amp;Weekly_All!$B21&amp;Weekly_All!$B$3&amp;$B$2)</f>
        <v>0</v>
      </c>
      <c r="CU21" s="2">
        <f>COUNTIF(defects!$V:$V,Weekly_All!CU$3&amp;Weekly_All!$B21&amp;Weekly_All!$B$3&amp;$B$2)</f>
        <v>0</v>
      </c>
      <c r="CV21" s="2">
        <f>COUNTIF(defects!$V:$V,Weekly_All!CV$3&amp;Weekly_All!$B21&amp;Weekly_All!$B$3&amp;$B$2)</f>
        <v>0</v>
      </c>
      <c r="CW21" s="2">
        <f>COUNTIF(defects!$V:$V,Weekly_All!CW$3&amp;Weekly_All!$B21&amp;Weekly_All!$B$3&amp;$B$2)</f>
        <v>0</v>
      </c>
      <c r="CX21" s="2">
        <f>COUNTIF(defects!$V:$V,Weekly_All!CX$3&amp;Weekly_All!$B21&amp;Weekly_All!$B$3&amp;$B$2)</f>
        <v>0</v>
      </c>
      <c r="CY21" s="2">
        <f>COUNTIF(defects!$V:$V,Weekly_All!CY$3&amp;Weekly_All!$B21&amp;Weekly_All!$B$3&amp;$B$2)</f>
        <v>0</v>
      </c>
      <c r="CZ21" s="2">
        <f>COUNTIF(defects!$V:$V,Weekly_All!CZ$3&amp;Weekly_All!$B21&amp;Weekly_All!$B$3&amp;$B$2)</f>
        <v>0</v>
      </c>
      <c r="DA21" s="2">
        <f>COUNTIF(defects!$V:$V,Weekly_All!DA$3&amp;Weekly_All!$B21&amp;Weekly_All!$B$3&amp;$B$2)</f>
        <v>0</v>
      </c>
      <c r="DB21" s="2">
        <f>COUNTIF(defects!$V:$V,Weekly_All!DB$3&amp;Weekly_All!$B21&amp;Weekly_All!$B$3&amp;$B$2)</f>
        <v>0</v>
      </c>
      <c r="DC21" s="2">
        <f>COUNTIF(defects!$V:$V,Weekly_All!DC$3&amp;Weekly_All!$B21&amp;Weekly_All!$B$3&amp;$B$2)</f>
        <v>0</v>
      </c>
      <c r="DD21" s="2">
        <f>COUNTIF(defects!$V:$V,Weekly_All!DD$3&amp;Weekly_All!$B21&amp;Weekly_All!$B$3&amp;$B$2)</f>
        <v>0</v>
      </c>
      <c r="DE21" s="2">
        <f>COUNTIF(defects!$V:$V,Weekly_All!DE$3&amp;Weekly_All!$B21&amp;Weekly_All!$B$3&amp;$B$2)</f>
        <v>0</v>
      </c>
      <c r="DF21" s="2">
        <f>COUNTIF(defects!$V:$V,Weekly_All!DF$3&amp;Weekly_All!$B21&amp;Weekly_All!$B$3&amp;$B$2)</f>
        <v>0</v>
      </c>
      <c r="DG21" s="2">
        <f>COUNTIF(defects!$V:$V,Weekly_All!DG$3&amp;Weekly_All!$B21&amp;Weekly_All!$B$3&amp;$B$2)</f>
        <v>0</v>
      </c>
      <c r="DH21" s="2">
        <f>COUNTIF(defects!$V:$V,Weekly_All!DH$3&amp;Weekly_All!$B21&amp;Weekly_All!$B$3&amp;$B$2)</f>
        <v>0</v>
      </c>
      <c r="DI21" s="2">
        <f>COUNTIF(defects!$V:$V,Weekly_All!DI$3&amp;Weekly_All!$B21&amp;Weekly_All!$B$3&amp;$B$2)</f>
        <v>0</v>
      </c>
      <c r="DJ21" s="2">
        <f>COUNTIF(defects!$V:$V,Weekly_All!DJ$3&amp;Weekly_All!$B21&amp;Weekly_All!$B$3&amp;$B$2)</f>
        <v>0</v>
      </c>
      <c r="DK21" s="2">
        <f>COUNTIF(defects!$V:$V,Weekly_All!DK$3&amp;Weekly_All!$B21&amp;Weekly_All!$B$3&amp;$B$2)</f>
        <v>0</v>
      </c>
      <c r="DL21" s="2">
        <f>COUNTIF(defects!$V:$V,Weekly_All!DL$3&amp;Weekly_All!$B21&amp;Weekly_All!$B$3&amp;$B$2)</f>
        <v>0</v>
      </c>
      <c r="DM21" s="2">
        <f>COUNTIF(defects!$V:$V,Weekly_All!DM$3&amp;Weekly_All!$B21&amp;Weekly_All!$B$3&amp;$B$2)</f>
        <v>0</v>
      </c>
      <c r="DN21" s="2">
        <f>COUNTIF(defects!$V:$V,Weekly_All!DN$3&amp;Weekly_All!$B21&amp;Weekly_All!$B$3&amp;$B$2)</f>
        <v>0</v>
      </c>
      <c r="DO21" s="2">
        <f>COUNTIF(defects!$V:$V,Weekly_All!DO$3&amp;Weekly_All!$B21&amp;Weekly_All!$B$3&amp;$B$2)</f>
        <v>0</v>
      </c>
      <c r="DP21" s="2">
        <f>COUNTIF(defects!$V:$V,Weekly_All!DP$3&amp;Weekly_All!$B21&amp;Weekly_All!$B$3&amp;$B$2)</f>
        <v>0</v>
      </c>
      <c r="DQ21" s="2">
        <f>COUNTIF(defects!$V:$V,Weekly_All!DQ$3&amp;Weekly_All!$B21&amp;Weekly_All!$B$3&amp;$B$2)</f>
        <v>0</v>
      </c>
      <c r="DR21" s="2">
        <f>COUNTIF(defects!$V:$V,Weekly_All!DR$3&amp;Weekly_All!$B21&amp;Weekly_All!$B$3&amp;$B$2)</f>
        <v>0</v>
      </c>
      <c r="DS21" s="2">
        <f>COUNTIF(defects!$V:$V,Weekly_All!DS$3&amp;Weekly_All!$B21&amp;Weekly_All!$B$3&amp;$B$2)</f>
        <v>0</v>
      </c>
      <c r="DT21" s="2">
        <f>COUNTIF(defects!$V:$V,Weekly_All!DT$3&amp;Weekly_All!$B21&amp;Weekly_All!$B$3&amp;$B$2)</f>
        <v>0</v>
      </c>
      <c r="DU21" s="2">
        <f>COUNTIF(defects!$V:$V,Weekly_All!DU$3&amp;Weekly_All!$B21&amp;Weekly_All!$B$3&amp;$B$2)</f>
        <v>0</v>
      </c>
      <c r="DV21" s="2">
        <f>COUNTIF(defects!$V:$V,Weekly_All!DV$3&amp;Weekly_All!$B21&amp;Weekly_All!$B$3&amp;$B$2)</f>
        <v>0</v>
      </c>
      <c r="DW21" s="2">
        <f>COUNTIF(defects!$V:$V,Weekly_All!DW$3&amp;Weekly_All!$B21&amp;Weekly_All!$B$3&amp;$B$2)</f>
        <v>0</v>
      </c>
      <c r="DX21" s="2">
        <f>COUNTIF(defects!$V:$V,Weekly_All!DX$3&amp;Weekly_All!$B21&amp;Weekly_All!$B$3&amp;$B$2)</f>
        <v>0</v>
      </c>
      <c r="DY21" s="2">
        <f>COUNTIF(defects!$V:$V,Weekly_All!DY$3&amp;Weekly_All!$B21&amp;Weekly_All!$B$3&amp;$B$2)</f>
        <v>0</v>
      </c>
      <c r="DZ21" s="2">
        <f>COUNTIF(defects!$V:$V,Weekly_All!DZ$3&amp;Weekly_All!$B21&amp;Weekly_All!$B$3&amp;$B$2)</f>
        <v>0</v>
      </c>
      <c r="EA21" s="2">
        <f>COUNTIF(defects!$V:$V,Weekly_All!EA$3&amp;Weekly_All!$B21&amp;Weekly_All!$B$3&amp;$B$2)</f>
        <v>0</v>
      </c>
      <c r="EB21" s="2">
        <f>COUNTIF(defects!$V:$V,Weekly_All!EB$3&amp;Weekly_All!$B21&amp;Weekly_All!$B$3&amp;$B$2)</f>
        <v>0</v>
      </c>
      <c r="EC21" s="2">
        <f>COUNTIF(defects!$V:$V,Weekly_All!EC$3&amp;Weekly_All!$B21&amp;Weekly_All!$B$3&amp;$B$2)</f>
        <v>0</v>
      </c>
      <c r="ED21" s="2">
        <f>COUNTIF(defects!$V:$V,Weekly_All!ED$3&amp;Weekly_All!$B21&amp;Weekly_All!$B$3&amp;$B$2)</f>
        <v>0</v>
      </c>
      <c r="EE21" s="2">
        <f>COUNTIF(defects!$V:$V,Weekly_All!EE$3&amp;Weekly_All!$B21&amp;Weekly_All!$B$3&amp;$B$2)</f>
        <v>0</v>
      </c>
      <c r="EF21" s="2">
        <f>COUNTIF(defects!$V:$V,Weekly_All!EF$3&amp;Weekly_All!$B21&amp;Weekly_All!$B$3&amp;$B$2)</f>
        <v>0</v>
      </c>
      <c r="EG21" s="2">
        <f>COUNTIF(defects!$V:$V,Weekly_All!EG$3&amp;Weekly_All!$B21&amp;Weekly_All!$B$3&amp;$B$2)</f>
        <v>0</v>
      </c>
      <c r="EH21" s="2">
        <f>COUNTIF(defects!$V:$V,Weekly_All!EH$3&amp;Weekly_All!$B21&amp;Weekly_All!$B$3&amp;$B$2)</f>
        <v>0</v>
      </c>
      <c r="EI21" s="2">
        <f>COUNTIF(defects!$V:$V,Weekly_All!EI$3&amp;Weekly_All!$B21&amp;Weekly_All!$B$3&amp;$B$2)</f>
        <v>0</v>
      </c>
      <c r="EJ21" s="2">
        <f>COUNTIF(defects!$V:$V,Weekly_All!EJ$3&amp;Weekly_All!$B21&amp;Weekly_All!$B$3&amp;$B$2)</f>
        <v>0</v>
      </c>
      <c r="EK21" s="2">
        <f>COUNTIF(defects!$V:$V,Weekly_All!EK$3&amp;Weekly_All!$B21&amp;Weekly_All!$B$3&amp;$B$2)</f>
        <v>0</v>
      </c>
      <c r="EL21" s="2">
        <f>COUNTIF(defects!$V:$V,Weekly_All!EL$3&amp;Weekly_All!$B21&amp;Weekly_All!$B$3&amp;$B$2)</f>
        <v>0</v>
      </c>
      <c r="EM21" s="2">
        <f>COUNTIF(defects!$V:$V,Weekly_All!EM$3&amp;Weekly_All!$B21&amp;Weekly_All!$B$3&amp;$B$2)</f>
        <v>0</v>
      </c>
      <c r="EN21" s="2">
        <f>COUNTIF(defects!$V:$V,Weekly_All!EN$3&amp;Weekly_All!$B21&amp;Weekly_All!$B$3&amp;$B$2)</f>
        <v>0</v>
      </c>
      <c r="EO21" s="2">
        <f>COUNTIF(defects!$V:$V,Weekly_All!EO$3&amp;Weekly_All!$B21&amp;Weekly_All!$B$3&amp;$B$2)</f>
        <v>0</v>
      </c>
      <c r="EP21" s="2">
        <f>COUNTIF(defects!$V:$V,Weekly_All!EP$3&amp;Weekly_All!$B21&amp;Weekly_All!$B$3&amp;$B$2)</f>
        <v>0</v>
      </c>
      <c r="EQ21" s="2">
        <f>COUNTIF(defects!$V:$V,Weekly_All!EQ$3&amp;Weekly_All!$B21&amp;Weekly_All!$B$3&amp;$B$2)</f>
        <v>0</v>
      </c>
      <c r="ER21" s="2">
        <f>COUNTIF(defects!$V:$V,Weekly_All!ER$3&amp;Weekly_All!$B21&amp;Weekly_All!$B$3&amp;$B$2)</f>
        <v>0</v>
      </c>
      <c r="ES21" s="2">
        <f>COUNTIF(defects!$V:$V,Weekly_All!ES$3&amp;Weekly_All!$B21&amp;Weekly_All!$B$3&amp;$B$2)</f>
        <v>0</v>
      </c>
      <c r="ET21" s="2">
        <f>COUNTIF(defects!$V:$V,Weekly_All!ET$3&amp;Weekly_All!$B21&amp;Weekly_All!$B$3&amp;$B$2)</f>
        <v>0</v>
      </c>
      <c r="EU21" s="2">
        <f>COUNTIF(defects!$V:$V,Weekly_All!EU$3&amp;Weekly_All!$B21&amp;Weekly_All!$B$3&amp;$B$2)</f>
        <v>0</v>
      </c>
      <c r="EV21" s="2">
        <f>COUNTIF(defects!$V:$V,Weekly_All!EV$3&amp;Weekly_All!$B21&amp;Weekly_All!$B$3&amp;$B$2)</f>
        <v>0</v>
      </c>
      <c r="EW21" s="2">
        <f>COUNTIF(defects!$V:$V,Weekly_All!EW$3&amp;Weekly_All!$B21&amp;Weekly_All!$B$3&amp;$B$2)</f>
        <v>0</v>
      </c>
      <c r="EX21" s="2">
        <f>COUNTIF(defects!$V:$V,Weekly_All!EX$3&amp;Weekly_All!$B21&amp;Weekly_All!$B$3&amp;$B$2)</f>
        <v>0</v>
      </c>
      <c r="EY21" s="2">
        <f>COUNTIF(defects!$V:$V,Weekly_All!EY$3&amp;Weekly_All!$B21&amp;Weekly_All!$B$3&amp;$B$2)</f>
        <v>0</v>
      </c>
      <c r="EZ21" s="2">
        <f>COUNTIF(defects!$V:$V,Weekly_All!EZ$3&amp;Weekly_All!$B21&amp;Weekly_All!$B$3&amp;$B$2)</f>
        <v>0</v>
      </c>
      <c r="FA21" s="2">
        <f>COUNTIF(defects!$V:$V,Weekly_All!FA$3&amp;Weekly_All!$B21&amp;Weekly_All!$B$3&amp;$B$2)</f>
        <v>0</v>
      </c>
      <c r="FB21" s="2">
        <f>COUNTIF(defects!$V:$V,Weekly_All!FB$3&amp;Weekly_All!$B21&amp;Weekly_All!$B$3&amp;$B$2)</f>
        <v>0</v>
      </c>
      <c r="FC21" s="2">
        <f>COUNTIF(defects!$V:$V,Weekly_All!FC$3&amp;Weekly_All!$B21&amp;Weekly_All!$B$3&amp;$B$2)</f>
        <v>0</v>
      </c>
      <c r="FD21" s="2">
        <f>COUNTIF(defects!$V:$V,Weekly_All!FD$3&amp;Weekly_All!$B21&amp;Weekly_All!$B$3&amp;$B$2)</f>
        <v>0</v>
      </c>
      <c r="FE21" s="2">
        <f>COUNTIF(defects!$V:$V,Weekly_All!FE$3&amp;Weekly_All!$B21&amp;Weekly_All!$B$3&amp;$B$2)</f>
        <v>0</v>
      </c>
    </row>
    <row r="22" spans="2:161">
      <c r="B22" s="3" t="s">
        <v>959</v>
      </c>
      <c r="C22" s="2">
        <f>COUNTIF(defects!$V:$V,Weekly_All!C$3&amp;Weekly_All!$B22&amp;Weekly_All!$B$3&amp;$B$2)</f>
        <v>0</v>
      </c>
      <c r="D22" s="2">
        <f>COUNTIF(defects!$V:$V,Weekly_All!D$3&amp;Weekly_All!$B22&amp;Weekly_All!$B$3&amp;$B$2)</f>
        <v>0</v>
      </c>
      <c r="E22" s="2">
        <f>COUNTIF(defects!$V:$V,Weekly_All!E$3&amp;Weekly_All!$B22&amp;Weekly_All!$B$3&amp;$B$2)</f>
        <v>0</v>
      </c>
      <c r="F22" s="2">
        <f>COUNTIF(defects!$V:$V,Weekly_All!F$3&amp;Weekly_All!$B22&amp;Weekly_All!$B$3&amp;$B$2)</f>
        <v>0</v>
      </c>
      <c r="G22" s="2">
        <f>COUNTIF(defects!$V:$V,Weekly_All!G$3&amp;Weekly_All!$B22&amp;Weekly_All!$B$3&amp;$B$2)</f>
        <v>0</v>
      </c>
      <c r="H22" s="2">
        <f>COUNTIF(defects!$V:$V,Weekly_All!H$3&amp;Weekly_All!$B22&amp;Weekly_All!$B$3&amp;$B$2)</f>
        <v>0</v>
      </c>
      <c r="I22" s="2">
        <f>COUNTIF(defects!$V:$V,Weekly_All!I$3&amp;Weekly_All!$B22&amp;Weekly_All!$B$3&amp;$B$2)</f>
        <v>0</v>
      </c>
      <c r="J22" s="2">
        <f>COUNTIF(defects!$V:$V,Weekly_All!J$3&amp;Weekly_All!$B22&amp;Weekly_All!$B$3&amp;$B$2)</f>
        <v>0</v>
      </c>
      <c r="K22" s="2">
        <f>COUNTIF(defects!$V:$V,Weekly_All!K$3&amp;Weekly_All!$B22&amp;Weekly_All!$B$3&amp;$B$2)</f>
        <v>0</v>
      </c>
      <c r="L22" s="2">
        <f>COUNTIF(defects!$V:$V,Weekly_All!L$3&amp;Weekly_All!$B22&amp;Weekly_All!$B$3&amp;$B$2)</f>
        <v>0</v>
      </c>
      <c r="M22" s="2">
        <f>COUNTIF(defects!$V:$V,Weekly_All!M$3&amp;Weekly_All!$B22&amp;Weekly_All!$B$3&amp;$B$2)</f>
        <v>0</v>
      </c>
      <c r="N22" s="2">
        <f>COUNTIF(defects!$V:$V,Weekly_All!N$3&amp;Weekly_All!$B22&amp;Weekly_All!$B$3&amp;$B$2)</f>
        <v>0</v>
      </c>
      <c r="O22" s="2">
        <f>COUNTIF(defects!$V:$V,Weekly_All!O$3&amp;Weekly_All!$B22&amp;Weekly_All!$B$3&amp;$B$2)</f>
        <v>0</v>
      </c>
      <c r="P22" s="2">
        <f>COUNTIF(defects!$V:$V,Weekly_All!P$3&amp;Weekly_All!$B22&amp;Weekly_All!$B$3&amp;$B$2)</f>
        <v>0</v>
      </c>
      <c r="Q22" s="2">
        <f>COUNTIF(defects!$V:$V,Weekly_All!Q$3&amp;Weekly_All!$B22&amp;Weekly_All!$B$3&amp;$B$2)</f>
        <v>0</v>
      </c>
      <c r="R22" s="2">
        <f>COUNTIF(defects!$V:$V,Weekly_All!R$3&amp;Weekly_All!$B22&amp;Weekly_All!$B$3&amp;$B$2)</f>
        <v>0</v>
      </c>
      <c r="S22" s="2">
        <f>COUNTIF(defects!$V:$V,Weekly_All!S$3&amp;Weekly_All!$B22&amp;Weekly_All!$B$3&amp;$B$2)</f>
        <v>0</v>
      </c>
      <c r="T22" s="2">
        <f>COUNTIF(defects!$V:$V,Weekly_All!T$3&amp;Weekly_All!$B22&amp;Weekly_All!$B$3&amp;$B$2)</f>
        <v>0</v>
      </c>
      <c r="U22" s="2">
        <f>COUNTIF(defects!$V:$V,Weekly_All!U$3&amp;Weekly_All!$B22&amp;Weekly_All!$B$3&amp;$B$2)</f>
        <v>0</v>
      </c>
      <c r="V22" s="2">
        <f>COUNTIF(defects!$V:$V,Weekly_All!V$3&amp;Weekly_All!$B22&amp;Weekly_All!$B$3&amp;$B$2)</f>
        <v>0</v>
      </c>
      <c r="W22" s="2">
        <f>COUNTIF(defects!$V:$V,Weekly_All!W$3&amp;Weekly_All!$B22&amp;Weekly_All!$B$3&amp;$B$2)</f>
        <v>0</v>
      </c>
      <c r="X22" s="2">
        <f>COUNTIF(defects!$V:$V,Weekly_All!X$3&amp;Weekly_All!$B22&amp;Weekly_All!$B$3&amp;$B$2)</f>
        <v>0</v>
      </c>
      <c r="Y22" s="2">
        <f>COUNTIF(defects!$V:$V,Weekly_All!Y$3&amp;Weekly_All!$B22&amp;Weekly_All!$B$3&amp;$B$2)</f>
        <v>0</v>
      </c>
      <c r="Z22" s="2">
        <f>COUNTIF(defects!$V:$V,Weekly_All!Z$3&amp;Weekly_All!$B22&amp;Weekly_All!$B$3&amp;$B$2)</f>
        <v>0</v>
      </c>
      <c r="AA22" s="2">
        <f>COUNTIF(defects!$V:$V,Weekly_All!AA$3&amp;Weekly_All!$B22&amp;Weekly_All!$B$3&amp;$B$2)</f>
        <v>0</v>
      </c>
      <c r="AB22" s="2">
        <f>COUNTIF(defects!$V:$V,Weekly_All!AB$3&amp;Weekly_All!$B22&amp;Weekly_All!$B$3&amp;$B$2)</f>
        <v>0</v>
      </c>
      <c r="AC22" s="2">
        <f>COUNTIF(defects!$V:$V,Weekly_All!AC$3&amp;Weekly_All!$B22&amp;Weekly_All!$B$3&amp;$B$2)</f>
        <v>0</v>
      </c>
      <c r="AD22" s="2">
        <f>COUNTIF(defects!$V:$V,Weekly_All!AD$3&amp;Weekly_All!$B22&amp;Weekly_All!$B$3&amp;$B$2)</f>
        <v>0</v>
      </c>
      <c r="AE22" s="2">
        <f>COUNTIF(defects!$V:$V,Weekly_All!AE$3&amp;Weekly_All!$B22&amp;Weekly_All!$B$3&amp;$B$2)</f>
        <v>0</v>
      </c>
      <c r="AF22" s="2">
        <f>COUNTIF(defects!$V:$V,Weekly_All!AF$3&amp;Weekly_All!$B22&amp;Weekly_All!$B$3&amp;$B$2)</f>
        <v>0</v>
      </c>
      <c r="AG22" s="2">
        <f>COUNTIF(defects!$V:$V,Weekly_All!AG$3&amp;Weekly_All!$B22&amp;Weekly_All!$B$3&amp;$B$2)</f>
        <v>0</v>
      </c>
      <c r="AH22" s="2">
        <f>COUNTIF(defects!$V:$V,Weekly_All!AH$3&amp;Weekly_All!$B22&amp;Weekly_All!$B$3&amp;$B$2)</f>
        <v>0</v>
      </c>
      <c r="AI22" s="2">
        <f>COUNTIF(defects!$V:$V,Weekly_All!AI$3&amp;Weekly_All!$B22&amp;Weekly_All!$B$3&amp;$B$2)</f>
        <v>0</v>
      </c>
      <c r="AJ22" s="2">
        <f>COUNTIF(defects!$V:$V,Weekly_All!AJ$3&amp;Weekly_All!$B22&amp;Weekly_All!$B$3&amp;$B$2)</f>
        <v>0</v>
      </c>
      <c r="AK22" s="2">
        <f>COUNTIF(defects!$V:$V,Weekly_All!AK$3&amp;Weekly_All!$B22&amp;Weekly_All!$B$3&amp;$B$2)</f>
        <v>0</v>
      </c>
      <c r="AL22" s="2">
        <f>COUNTIF(defects!$V:$V,Weekly_All!AL$3&amp;Weekly_All!$B22&amp;Weekly_All!$B$3&amp;$B$2)</f>
        <v>0</v>
      </c>
      <c r="AM22" s="2">
        <f>COUNTIF(defects!$V:$V,Weekly_All!AM$3&amp;Weekly_All!$B22&amp;Weekly_All!$B$3&amp;$B$2)</f>
        <v>0</v>
      </c>
      <c r="AN22" s="2">
        <f>COUNTIF(defects!$V:$V,Weekly_All!AN$3&amp;Weekly_All!$B22&amp;Weekly_All!$B$3&amp;$B$2)</f>
        <v>0</v>
      </c>
      <c r="AO22" s="2">
        <f>COUNTIF(defects!$V:$V,Weekly_All!AO$3&amp;Weekly_All!$B22&amp;Weekly_All!$B$3&amp;$B$2)</f>
        <v>0</v>
      </c>
      <c r="AP22" s="2">
        <f>COUNTIF(defects!$V:$V,Weekly_All!AP$3&amp;Weekly_All!$B22&amp;Weekly_All!$B$3&amp;$B$2)</f>
        <v>0</v>
      </c>
      <c r="AQ22" s="2">
        <f>COUNTIF(defects!$V:$V,Weekly_All!AQ$3&amp;Weekly_All!$B22&amp;Weekly_All!$B$3&amp;$B$2)</f>
        <v>0</v>
      </c>
      <c r="AR22" s="2">
        <f>COUNTIF(defects!$V:$V,Weekly_All!AR$3&amp;Weekly_All!$B22&amp;Weekly_All!$B$3&amp;$B$2)</f>
        <v>0</v>
      </c>
      <c r="AS22" s="2">
        <f>COUNTIF(defects!$V:$V,Weekly_All!AS$3&amp;Weekly_All!$B22&amp;Weekly_All!$B$3&amp;$B$2)</f>
        <v>0</v>
      </c>
      <c r="AT22" s="2">
        <f>COUNTIF(defects!$V:$V,Weekly_All!AT$3&amp;Weekly_All!$B22&amp;Weekly_All!$B$3&amp;$B$2)</f>
        <v>0</v>
      </c>
      <c r="AU22" s="2">
        <f>COUNTIF(defects!$V:$V,Weekly_All!AU$3&amp;Weekly_All!$B22&amp;Weekly_All!$B$3&amp;$B$2)</f>
        <v>0</v>
      </c>
      <c r="AV22" s="2">
        <f>COUNTIF(defects!$V:$V,Weekly_All!AV$3&amp;Weekly_All!$B22&amp;Weekly_All!$B$3&amp;$B$2)</f>
        <v>0</v>
      </c>
      <c r="AW22" s="2">
        <f>COUNTIF(defects!$V:$V,Weekly_All!AW$3&amp;Weekly_All!$B22&amp;Weekly_All!$B$3&amp;$B$2)</f>
        <v>0</v>
      </c>
      <c r="AX22" s="2">
        <f>COUNTIF(defects!$V:$V,Weekly_All!AX$3&amp;Weekly_All!$B22&amp;Weekly_All!$B$3&amp;$B$2)</f>
        <v>0</v>
      </c>
      <c r="AY22" s="2">
        <f>COUNTIF(defects!$V:$V,Weekly_All!AY$3&amp;Weekly_All!$B22&amp;Weekly_All!$B$3&amp;$B$2)</f>
        <v>0</v>
      </c>
      <c r="AZ22" s="2">
        <f>COUNTIF(defects!$V:$V,Weekly_All!AZ$3&amp;Weekly_All!$B22&amp;Weekly_All!$B$3&amp;$B$2)</f>
        <v>0</v>
      </c>
      <c r="BA22" s="2">
        <f>COUNTIF(defects!$V:$V,Weekly_All!BA$3&amp;Weekly_All!$B22&amp;Weekly_All!$B$3&amp;$B$2)</f>
        <v>0</v>
      </c>
      <c r="BB22" s="2">
        <f>COUNTIF(defects!$V:$V,Weekly_All!BB$3&amp;Weekly_All!$B22&amp;Weekly_All!$B$3&amp;$B$2)</f>
        <v>0</v>
      </c>
      <c r="BC22" s="2">
        <f>COUNTIF(defects!$V:$V,Weekly_All!BC$3&amp;Weekly_All!$B22&amp;Weekly_All!$B$3&amp;$B$2)</f>
        <v>0</v>
      </c>
      <c r="BD22" s="2">
        <f>COUNTIF(defects!$V:$V,Weekly_All!BD$3&amp;Weekly_All!$B22&amp;Weekly_All!$B$3&amp;$B$2)</f>
        <v>0</v>
      </c>
      <c r="BE22" s="2">
        <f>COUNTIF(defects!$V:$V,Weekly_All!BE$3&amp;Weekly_All!$B22&amp;Weekly_All!$B$3&amp;$B$2)</f>
        <v>0</v>
      </c>
      <c r="BF22" s="2">
        <f>COUNTIF(defects!$V:$V,Weekly_All!BF$3&amp;Weekly_All!$B22&amp;Weekly_All!$B$3&amp;$B$2)</f>
        <v>0</v>
      </c>
      <c r="BG22" s="2">
        <f>COUNTIF(defects!$V:$V,Weekly_All!BG$3&amp;Weekly_All!$B22&amp;Weekly_All!$B$3&amp;$B$2)</f>
        <v>0</v>
      </c>
      <c r="BH22" s="2">
        <f>COUNTIF(defects!$V:$V,Weekly_All!BH$3&amp;Weekly_All!$B22&amp;Weekly_All!$B$3&amp;$B$2)</f>
        <v>0</v>
      </c>
      <c r="BI22" s="2">
        <f>COUNTIF(defects!$V:$V,Weekly_All!BI$3&amp;Weekly_All!$B22&amp;Weekly_All!$B$3&amp;$B$2)</f>
        <v>0</v>
      </c>
      <c r="BJ22" s="2">
        <f>COUNTIF(defects!$V:$V,Weekly_All!BJ$3&amp;Weekly_All!$B22&amp;Weekly_All!$B$3&amp;$B$2)</f>
        <v>0</v>
      </c>
      <c r="BK22" s="2">
        <f>COUNTIF(defects!$V:$V,Weekly_All!BK$3&amp;Weekly_All!$B22&amp;Weekly_All!$B$3&amp;$B$2)</f>
        <v>0</v>
      </c>
      <c r="BL22" s="2">
        <f>COUNTIF(defects!$V:$V,Weekly_All!BL$3&amp;Weekly_All!$B22&amp;Weekly_All!$B$3&amp;$B$2)</f>
        <v>0</v>
      </c>
      <c r="BM22" s="2">
        <f>COUNTIF(defects!$V:$V,Weekly_All!BM$3&amp;Weekly_All!$B22&amp;Weekly_All!$B$3&amp;$B$2)</f>
        <v>0</v>
      </c>
      <c r="BN22" s="2">
        <f>COUNTIF(defects!$V:$V,Weekly_All!BN$3&amp;Weekly_All!$B22&amp;Weekly_All!$B$3&amp;$B$2)</f>
        <v>0</v>
      </c>
      <c r="BO22" s="2">
        <f>COUNTIF(defects!$V:$V,Weekly_All!BO$3&amp;Weekly_All!$B22&amp;Weekly_All!$B$3&amp;$B$2)</f>
        <v>1</v>
      </c>
      <c r="BP22" s="2">
        <f>COUNTIF(defects!$V:$V,Weekly_All!BP$3&amp;Weekly_All!$B22&amp;Weekly_All!$B$3&amp;$B$2)</f>
        <v>0</v>
      </c>
      <c r="BQ22" s="2">
        <f>COUNTIF(defects!$V:$V,Weekly_All!BQ$3&amp;Weekly_All!$B22&amp;Weekly_All!$B$3&amp;$B$2)</f>
        <v>0</v>
      </c>
      <c r="BR22" s="2">
        <f>COUNTIF(defects!$V:$V,Weekly_All!BR$3&amp;Weekly_All!$B22&amp;Weekly_All!$B$3&amp;$B$2)</f>
        <v>0</v>
      </c>
      <c r="BS22" s="2">
        <f>COUNTIF(defects!$V:$V,Weekly_All!BS$3&amp;Weekly_All!$B22&amp;Weekly_All!$B$3&amp;$B$2)</f>
        <v>0</v>
      </c>
      <c r="BT22" s="2">
        <f>COUNTIF(defects!$V:$V,Weekly_All!BT$3&amp;Weekly_All!$B22&amp;Weekly_All!$B$3&amp;$B$2)</f>
        <v>0</v>
      </c>
      <c r="BU22" s="2">
        <f>COUNTIF(defects!$V:$V,Weekly_All!BU$3&amp;Weekly_All!$B22&amp;Weekly_All!$B$3&amp;$B$2)</f>
        <v>1</v>
      </c>
      <c r="BV22" s="2">
        <f>COUNTIF(defects!$V:$V,Weekly_All!BV$3&amp;Weekly_All!$B22&amp;Weekly_All!$B$3&amp;$B$2)</f>
        <v>0</v>
      </c>
      <c r="BW22" s="2">
        <f>COUNTIF(defects!$V:$V,Weekly_All!BW$3&amp;Weekly_All!$B22&amp;Weekly_All!$B$3&amp;$B$2)</f>
        <v>0</v>
      </c>
      <c r="BX22" s="2">
        <f>COUNTIF(defects!$V:$V,Weekly_All!BX$3&amp;Weekly_All!$B22&amp;Weekly_All!$B$3&amp;$B$2)</f>
        <v>1</v>
      </c>
      <c r="BY22" s="2">
        <f>COUNTIF(defects!$V:$V,Weekly_All!BY$3&amp;Weekly_All!$B22&amp;Weekly_All!$B$3&amp;$B$2)</f>
        <v>0</v>
      </c>
      <c r="BZ22" s="2">
        <f>COUNTIF(defects!$V:$V,Weekly_All!BZ$3&amp;Weekly_All!$B22&amp;Weekly_All!$B$3&amp;$B$2)</f>
        <v>0</v>
      </c>
      <c r="CA22" s="2">
        <f>COUNTIF(defects!$V:$V,Weekly_All!CA$3&amp;Weekly_All!$B22&amp;Weekly_All!$B$3&amp;$B$2)</f>
        <v>1</v>
      </c>
      <c r="CB22" s="2">
        <f>COUNTIF(defects!$V:$V,Weekly_All!CB$3&amp;Weekly_All!$B22&amp;Weekly_All!$B$3&amp;$B$2)</f>
        <v>1</v>
      </c>
      <c r="CC22" s="2">
        <f>COUNTIF(defects!$V:$V,Weekly_All!CC$3&amp;Weekly_All!$B22&amp;Weekly_All!$B$3&amp;$B$2)</f>
        <v>1</v>
      </c>
      <c r="CD22" s="2">
        <f>COUNTIF(defects!$V:$V,Weekly_All!CD$3&amp;Weekly_All!$B22&amp;Weekly_All!$B$3&amp;$B$2)</f>
        <v>2</v>
      </c>
      <c r="CE22" s="2">
        <f>COUNTIF(defects!$V:$V,Weekly_All!CE$3&amp;Weekly_All!$B22&amp;Weekly_All!$B$3&amp;$B$2)</f>
        <v>0</v>
      </c>
      <c r="CF22" s="2">
        <f>COUNTIF(defects!$V:$V,Weekly_All!CF$3&amp;Weekly_All!$B22&amp;Weekly_All!$B$3&amp;$B$2)</f>
        <v>2</v>
      </c>
      <c r="CG22" s="2">
        <f>COUNTIF(defects!$V:$V,Weekly_All!CG$3&amp;Weekly_All!$B22&amp;Weekly_All!$B$3&amp;$B$2)</f>
        <v>3</v>
      </c>
      <c r="CH22" s="2">
        <f>COUNTIF(defects!$V:$V,Weekly_All!CH$3&amp;Weekly_All!$B22&amp;Weekly_All!$B$3&amp;$B$2)</f>
        <v>0</v>
      </c>
      <c r="CI22" s="2">
        <f>COUNTIF(defects!$V:$V,Weekly_All!CI$3&amp;Weekly_All!$B22&amp;Weekly_All!$B$3&amp;$B$2)</f>
        <v>2</v>
      </c>
      <c r="CJ22" s="2">
        <f>COUNTIF(defects!$V:$V,Weekly_All!CJ$3&amp;Weekly_All!$B22&amp;Weekly_All!$B$3&amp;$B$2)</f>
        <v>3</v>
      </c>
      <c r="CK22" s="2">
        <f>COUNTIF(defects!$V:$V,Weekly_All!CK$3&amp;Weekly_All!$B22&amp;Weekly_All!$B$3&amp;$B$2)</f>
        <v>2</v>
      </c>
      <c r="CL22" s="2">
        <f>COUNTIF(defects!$V:$V,Weekly_All!CL$3&amp;Weekly_All!$B22&amp;Weekly_All!$B$3&amp;$B$2)</f>
        <v>2</v>
      </c>
      <c r="CM22" s="2">
        <f>COUNTIF(defects!$V:$V,Weekly_All!CM$3&amp;Weekly_All!$B22&amp;Weekly_All!$B$3&amp;$B$2)</f>
        <v>1</v>
      </c>
      <c r="CN22" s="2">
        <f>COUNTIF(defects!$V:$V,Weekly_All!CN$3&amp;Weekly_All!$B22&amp;Weekly_All!$B$3&amp;$B$2)</f>
        <v>2</v>
      </c>
      <c r="CO22" s="2">
        <f>COUNTIF(defects!$V:$V,Weekly_All!CO$3&amp;Weekly_All!$B22&amp;Weekly_All!$B$3&amp;$B$2)</f>
        <v>3</v>
      </c>
      <c r="CP22" s="2">
        <f>COUNTIF(defects!$V:$V,Weekly_All!CP$3&amp;Weekly_All!$B22&amp;Weekly_All!$B$3&amp;$B$2)</f>
        <v>3</v>
      </c>
      <c r="CQ22" s="2">
        <f>COUNTIF(defects!$V:$V,Weekly_All!CQ$3&amp;Weekly_All!$B22&amp;Weekly_All!$B$3&amp;$B$2)</f>
        <v>0</v>
      </c>
      <c r="CR22" s="2">
        <f>COUNTIF(defects!$V:$V,Weekly_All!CR$3&amp;Weekly_All!$B22&amp;Weekly_All!$B$3&amp;$B$2)</f>
        <v>1</v>
      </c>
      <c r="CS22" s="2">
        <f>COUNTIF(defects!$V:$V,Weekly_All!CS$3&amp;Weekly_All!$B22&amp;Weekly_All!$B$3&amp;$B$2)</f>
        <v>2</v>
      </c>
      <c r="CT22" s="2">
        <f>COUNTIF(defects!$V:$V,Weekly_All!CT$3&amp;Weekly_All!$B22&amp;Weekly_All!$B$3&amp;$B$2)</f>
        <v>5</v>
      </c>
      <c r="CU22" s="2">
        <f>COUNTIF(defects!$V:$V,Weekly_All!CU$3&amp;Weekly_All!$B22&amp;Weekly_All!$B$3&amp;$B$2)</f>
        <v>0</v>
      </c>
      <c r="CV22" s="2">
        <f>COUNTIF(defects!$V:$V,Weekly_All!CV$3&amp;Weekly_All!$B22&amp;Weekly_All!$B$3&amp;$B$2)</f>
        <v>1</v>
      </c>
      <c r="CW22" s="2">
        <f>COUNTIF(defects!$V:$V,Weekly_All!CW$3&amp;Weekly_All!$B22&amp;Weekly_All!$B$3&amp;$B$2)</f>
        <v>0</v>
      </c>
      <c r="CX22" s="2">
        <f>COUNTIF(defects!$V:$V,Weekly_All!CX$3&amp;Weekly_All!$B22&amp;Weekly_All!$B$3&amp;$B$2)</f>
        <v>4</v>
      </c>
      <c r="CY22" s="2">
        <f>COUNTIF(defects!$V:$V,Weekly_All!CY$3&amp;Weekly_All!$B22&amp;Weekly_All!$B$3&amp;$B$2)</f>
        <v>3</v>
      </c>
      <c r="CZ22" s="2">
        <f>COUNTIF(defects!$V:$V,Weekly_All!CZ$3&amp;Weekly_All!$B22&amp;Weekly_All!$B$3&amp;$B$2)</f>
        <v>0</v>
      </c>
      <c r="DA22" s="2">
        <f>COUNTIF(defects!$V:$V,Weekly_All!DA$3&amp;Weekly_All!$B22&amp;Weekly_All!$B$3&amp;$B$2)</f>
        <v>0</v>
      </c>
      <c r="DB22" s="2">
        <f>COUNTIF(defects!$V:$V,Weekly_All!DB$3&amp;Weekly_All!$B22&amp;Weekly_All!$B$3&amp;$B$2)</f>
        <v>1</v>
      </c>
      <c r="DC22" s="2">
        <f>COUNTIF(defects!$V:$V,Weekly_All!DC$3&amp;Weekly_All!$B22&amp;Weekly_All!$B$3&amp;$B$2)</f>
        <v>1</v>
      </c>
      <c r="DD22" s="2">
        <f>COUNTIF(defects!$V:$V,Weekly_All!DD$3&amp;Weekly_All!$B22&amp;Weekly_All!$B$3&amp;$B$2)</f>
        <v>0</v>
      </c>
      <c r="DE22" s="2">
        <f>COUNTIF(defects!$V:$V,Weekly_All!DE$3&amp;Weekly_All!$B22&amp;Weekly_All!$B$3&amp;$B$2)</f>
        <v>0</v>
      </c>
      <c r="DF22" s="2">
        <f>COUNTIF(defects!$V:$V,Weekly_All!DF$3&amp;Weekly_All!$B22&amp;Weekly_All!$B$3&amp;$B$2)</f>
        <v>0</v>
      </c>
      <c r="DG22" s="2">
        <f>COUNTIF(defects!$V:$V,Weekly_All!DG$3&amp;Weekly_All!$B22&amp;Weekly_All!$B$3&amp;$B$2)</f>
        <v>0</v>
      </c>
      <c r="DH22" s="2">
        <f>COUNTIF(defects!$V:$V,Weekly_All!DH$3&amp;Weekly_All!$B22&amp;Weekly_All!$B$3&amp;$B$2)</f>
        <v>0</v>
      </c>
      <c r="DI22" s="2">
        <f>COUNTIF(defects!$V:$V,Weekly_All!DI$3&amp;Weekly_All!$B22&amp;Weekly_All!$B$3&amp;$B$2)</f>
        <v>0</v>
      </c>
      <c r="DJ22" s="2">
        <f>COUNTIF(defects!$V:$V,Weekly_All!DJ$3&amp;Weekly_All!$B22&amp;Weekly_All!$B$3&amp;$B$2)</f>
        <v>0</v>
      </c>
      <c r="DK22" s="2">
        <f>COUNTIF(defects!$V:$V,Weekly_All!DK$3&amp;Weekly_All!$B22&amp;Weekly_All!$B$3&amp;$B$2)</f>
        <v>0</v>
      </c>
      <c r="DL22" s="2">
        <f>COUNTIF(defects!$V:$V,Weekly_All!DL$3&amp;Weekly_All!$B22&amp;Weekly_All!$B$3&amp;$B$2)</f>
        <v>0</v>
      </c>
      <c r="DM22" s="2">
        <f>COUNTIF(defects!$V:$V,Weekly_All!DM$3&amp;Weekly_All!$B22&amp;Weekly_All!$B$3&amp;$B$2)</f>
        <v>0</v>
      </c>
      <c r="DN22" s="2">
        <f>COUNTIF(defects!$V:$V,Weekly_All!DN$3&amp;Weekly_All!$B22&amp;Weekly_All!$B$3&amp;$B$2)</f>
        <v>0</v>
      </c>
      <c r="DO22" s="2">
        <f>COUNTIF(defects!$V:$V,Weekly_All!DO$3&amp;Weekly_All!$B22&amp;Weekly_All!$B$3&amp;$B$2)</f>
        <v>0</v>
      </c>
      <c r="DP22" s="2">
        <f>COUNTIF(defects!$V:$V,Weekly_All!DP$3&amp;Weekly_All!$B22&amp;Weekly_All!$B$3&amp;$B$2)</f>
        <v>0</v>
      </c>
      <c r="DQ22" s="2">
        <f>COUNTIF(defects!$V:$V,Weekly_All!DQ$3&amp;Weekly_All!$B22&amp;Weekly_All!$B$3&amp;$B$2)</f>
        <v>0</v>
      </c>
      <c r="DR22" s="2">
        <f>COUNTIF(defects!$V:$V,Weekly_All!DR$3&amp;Weekly_All!$B22&amp;Weekly_All!$B$3&amp;$B$2)</f>
        <v>0</v>
      </c>
      <c r="DS22" s="2">
        <f>COUNTIF(defects!$V:$V,Weekly_All!DS$3&amp;Weekly_All!$B22&amp;Weekly_All!$B$3&amp;$B$2)</f>
        <v>0</v>
      </c>
      <c r="DT22" s="2">
        <f>COUNTIF(defects!$V:$V,Weekly_All!DT$3&amp;Weekly_All!$B22&amp;Weekly_All!$B$3&amp;$B$2)</f>
        <v>0</v>
      </c>
      <c r="DU22" s="2">
        <f>COUNTIF(defects!$V:$V,Weekly_All!DU$3&amp;Weekly_All!$B22&amp;Weekly_All!$B$3&amp;$B$2)</f>
        <v>0</v>
      </c>
      <c r="DV22" s="2">
        <f>COUNTIF(defects!$V:$V,Weekly_All!DV$3&amp;Weekly_All!$B22&amp;Weekly_All!$B$3&amp;$B$2)</f>
        <v>0</v>
      </c>
      <c r="DW22" s="2">
        <f>COUNTIF(defects!$V:$V,Weekly_All!DW$3&amp;Weekly_All!$B22&amp;Weekly_All!$B$3&amp;$B$2)</f>
        <v>0</v>
      </c>
      <c r="DX22" s="2">
        <f>COUNTIF(defects!$V:$V,Weekly_All!DX$3&amp;Weekly_All!$B22&amp;Weekly_All!$B$3&amp;$B$2)</f>
        <v>0</v>
      </c>
      <c r="DY22" s="2">
        <f>COUNTIF(defects!$V:$V,Weekly_All!DY$3&amp;Weekly_All!$B22&amp;Weekly_All!$B$3&amp;$B$2)</f>
        <v>0</v>
      </c>
      <c r="DZ22" s="2">
        <f>COUNTIF(defects!$V:$V,Weekly_All!DZ$3&amp;Weekly_All!$B22&amp;Weekly_All!$B$3&amp;$B$2)</f>
        <v>0</v>
      </c>
      <c r="EA22" s="2">
        <f>COUNTIF(defects!$V:$V,Weekly_All!EA$3&amp;Weekly_All!$B22&amp;Weekly_All!$B$3&amp;$B$2)</f>
        <v>0</v>
      </c>
      <c r="EB22" s="2">
        <f>COUNTIF(defects!$V:$V,Weekly_All!EB$3&amp;Weekly_All!$B22&amp;Weekly_All!$B$3&amp;$B$2)</f>
        <v>0</v>
      </c>
      <c r="EC22" s="2">
        <f>COUNTIF(defects!$V:$V,Weekly_All!EC$3&amp;Weekly_All!$B22&amp;Weekly_All!$B$3&amp;$B$2)</f>
        <v>0</v>
      </c>
      <c r="ED22" s="2">
        <f>COUNTIF(defects!$V:$V,Weekly_All!ED$3&amp;Weekly_All!$B22&amp;Weekly_All!$B$3&amp;$B$2)</f>
        <v>0</v>
      </c>
      <c r="EE22" s="2">
        <f>COUNTIF(defects!$V:$V,Weekly_All!EE$3&amp;Weekly_All!$B22&amp;Weekly_All!$B$3&amp;$B$2)</f>
        <v>0</v>
      </c>
      <c r="EF22" s="2">
        <f>COUNTIF(defects!$V:$V,Weekly_All!EF$3&amp;Weekly_All!$B22&amp;Weekly_All!$B$3&amp;$B$2)</f>
        <v>0</v>
      </c>
      <c r="EG22" s="2">
        <f>COUNTIF(defects!$V:$V,Weekly_All!EG$3&amp;Weekly_All!$B22&amp;Weekly_All!$B$3&amp;$B$2)</f>
        <v>0</v>
      </c>
      <c r="EH22" s="2">
        <f>COUNTIF(defects!$V:$V,Weekly_All!EH$3&amp;Weekly_All!$B22&amp;Weekly_All!$B$3&amp;$B$2)</f>
        <v>0</v>
      </c>
      <c r="EI22" s="2">
        <f>COUNTIF(defects!$V:$V,Weekly_All!EI$3&amp;Weekly_All!$B22&amp;Weekly_All!$B$3&amp;$B$2)</f>
        <v>0</v>
      </c>
      <c r="EJ22" s="2">
        <f>COUNTIF(defects!$V:$V,Weekly_All!EJ$3&amp;Weekly_All!$B22&amp;Weekly_All!$B$3&amp;$B$2)</f>
        <v>0</v>
      </c>
      <c r="EK22" s="2">
        <f>COUNTIF(defects!$V:$V,Weekly_All!EK$3&amp;Weekly_All!$B22&amp;Weekly_All!$B$3&amp;$B$2)</f>
        <v>0</v>
      </c>
      <c r="EL22" s="2">
        <f>COUNTIF(defects!$V:$V,Weekly_All!EL$3&amp;Weekly_All!$B22&amp;Weekly_All!$B$3&amp;$B$2)</f>
        <v>0</v>
      </c>
      <c r="EM22" s="2">
        <f>COUNTIF(defects!$V:$V,Weekly_All!EM$3&amp;Weekly_All!$B22&amp;Weekly_All!$B$3&amp;$B$2)</f>
        <v>0</v>
      </c>
      <c r="EN22" s="2">
        <f>COUNTIF(defects!$V:$V,Weekly_All!EN$3&amp;Weekly_All!$B22&amp;Weekly_All!$B$3&amp;$B$2)</f>
        <v>0</v>
      </c>
      <c r="EO22" s="2">
        <f>COUNTIF(defects!$V:$V,Weekly_All!EO$3&amp;Weekly_All!$B22&amp;Weekly_All!$B$3&amp;$B$2)</f>
        <v>0</v>
      </c>
      <c r="EP22" s="2">
        <f>COUNTIF(defects!$V:$V,Weekly_All!EP$3&amp;Weekly_All!$B22&amp;Weekly_All!$B$3&amp;$B$2)</f>
        <v>0</v>
      </c>
      <c r="EQ22" s="2">
        <f>COUNTIF(defects!$V:$V,Weekly_All!EQ$3&amp;Weekly_All!$B22&amp;Weekly_All!$B$3&amp;$B$2)</f>
        <v>0</v>
      </c>
      <c r="ER22" s="2">
        <f>COUNTIF(defects!$V:$V,Weekly_All!ER$3&amp;Weekly_All!$B22&amp;Weekly_All!$B$3&amp;$B$2)</f>
        <v>0</v>
      </c>
      <c r="ES22" s="2">
        <f>COUNTIF(defects!$V:$V,Weekly_All!ES$3&amp;Weekly_All!$B22&amp;Weekly_All!$B$3&amp;$B$2)</f>
        <v>0</v>
      </c>
      <c r="ET22" s="2">
        <f>COUNTIF(defects!$V:$V,Weekly_All!ET$3&amp;Weekly_All!$B22&amp;Weekly_All!$B$3&amp;$B$2)</f>
        <v>0</v>
      </c>
      <c r="EU22" s="2">
        <f>COUNTIF(defects!$V:$V,Weekly_All!EU$3&amp;Weekly_All!$B22&amp;Weekly_All!$B$3&amp;$B$2)</f>
        <v>0</v>
      </c>
      <c r="EV22" s="2">
        <f>COUNTIF(defects!$V:$V,Weekly_All!EV$3&amp;Weekly_All!$B22&amp;Weekly_All!$B$3&amp;$B$2)</f>
        <v>0</v>
      </c>
      <c r="EW22" s="2">
        <f>COUNTIF(defects!$V:$V,Weekly_All!EW$3&amp;Weekly_All!$B22&amp;Weekly_All!$B$3&amp;$B$2)</f>
        <v>0</v>
      </c>
      <c r="EX22" s="2">
        <f>COUNTIF(defects!$V:$V,Weekly_All!EX$3&amp;Weekly_All!$B22&amp;Weekly_All!$B$3&amp;$B$2)</f>
        <v>0</v>
      </c>
      <c r="EY22" s="2">
        <f>COUNTIF(defects!$V:$V,Weekly_All!EY$3&amp;Weekly_All!$B22&amp;Weekly_All!$B$3&amp;$B$2)</f>
        <v>0</v>
      </c>
      <c r="EZ22" s="2">
        <f>COUNTIF(defects!$V:$V,Weekly_All!EZ$3&amp;Weekly_All!$B22&amp;Weekly_All!$B$3&amp;$B$2)</f>
        <v>0</v>
      </c>
      <c r="FA22" s="2">
        <f>COUNTIF(defects!$V:$V,Weekly_All!FA$3&amp;Weekly_All!$B22&amp;Weekly_All!$B$3&amp;$B$2)</f>
        <v>0</v>
      </c>
      <c r="FB22" s="2">
        <f>COUNTIF(defects!$V:$V,Weekly_All!FB$3&amp;Weekly_All!$B22&amp;Weekly_All!$B$3&amp;$B$2)</f>
        <v>0</v>
      </c>
      <c r="FC22" s="2">
        <f>COUNTIF(defects!$V:$V,Weekly_All!FC$3&amp;Weekly_All!$B22&amp;Weekly_All!$B$3&amp;$B$2)</f>
        <v>0</v>
      </c>
      <c r="FD22" s="2">
        <f>COUNTIF(defects!$V:$V,Weekly_All!FD$3&amp;Weekly_All!$B22&amp;Weekly_All!$B$3&amp;$B$2)</f>
        <v>0</v>
      </c>
      <c r="FE22" s="2">
        <f>COUNTIF(defects!$V:$V,Weekly_All!FE$3&amp;Weekly_All!$B22&amp;Weekly_All!$B$3&amp;$B$2)</f>
        <v>0</v>
      </c>
    </row>
    <row r="23" spans="2:161">
      <c r="B23" s="3" t="s">
        <v>951</v>
      </c>
      <c r="C23" s="2">
        <f>COUNTIF(defects!$V:$V,Weekly_All!C$3&amp;Weekly_All!$B23&amp;Weekly_All!$B$3&amp;$B$2)</f>
        <v>0</v>
      </c>
      <c r="D23" s="2">
        <f>COUNTIF(defects!$V:$V,Weekly_All!D$3&amp;Weekly_All!$B23&amp;Weekly_All!$B$3&amp;$B$2)</f>
        <v>0</v>
      </c>
      <c r="E23" s="2">
        <f>COUNTIF(defects!$V:$V,Weekly_All!E$3&amp;Weekly_All!$B23&amp;Weekly_All!$B$3&amp;$B$2)</f>
        <v>0</v>
      </c>
      <c r="F23" s="2">
        <f>COUNTIF(defects!$V:$V,Weekly_All!F$3&amp;Weekly_All!$B23&amp;Weekly_All!$B$3&amp;$B$2)</f>
        <v>0</v>
      </c>
      <c r="G23" s="2">
        <f>COUNTIF(defects!$V:$V,Weekly_All!G$3&amp;Weekly_All!$B23&amp;Weekly_All!$B$3&amp;$B$2)</f>
        <v>0</v>
      </c>
      <c r="H23" s="2">
        <f>COUNTIF(defects!$V:$V,Weekly_All!H$3&amp;Weekly_All!$B23&amp;Weekly_All!$B$3&amp;$B$2)</f>
        <v>0</v>
      </c>
      <c r="I23" s="2">
        <f>COUNTIF(defects!$V:$V,Weekly_All!I$3&amp;Weekly_All!$B23&amp;Weekly_All!$B$3&amp;$B$2)</f>
        <v>0</v>
      </c>
      <c r="J23" s="2">
        <f>COUNTIF(defects!$V:$V,Weekly_All!J$3&amp;Weekly_All!$B23&amp;Weekly_All!$B$3&amp;$B$2)</f>
        <v>0</v>
      </c>
      <c r="K23" s="2">
        <f>COUNTIF(defects!$V:$V,Weekly_All!K$3&amp;Weekly_All!$B23&amp;Weekly_All!$B$3&amp;$B$2)</f>
        <v>0</v>
      </c>
      <c r="L23" s="2">
        <f>COUNTIF(defects!$V:$V,Weekly_All!L$3&amp;Weekly_All!$B23&amp;Weekly_All!$B$3&amp;$B$2)</f>
        <v>0</v>
      </c>
      <c r="M23" s="2">
        <f>COUNTIF(defects!$V:$V,Weekly_All!M$3&amp;Weekly_All!$B23&amp;Weekly_All!$B$3&amp;$B$2)</f>
        <v>0</v>
      </c>
      <c r="N23" s="2">
        <f>COUNTIF(defects!$V:$V,Weekly_All!N$3&amp;Weekly_All!$B23&amp;Weekly_All!$B$3&amp;$B$2)</f>
        <v>0</v>
      </c>
      <c r="O23" s="2">
        <f>COUNTIF(defects!$V:$V,Weekly_All!O$3&amp;Weekly_All!$B23&amp;Weekly_All!$B$3&amp;$B$2)</f>
        <v>0</v>
      </c>
      <c r="P23" s="2">
        <f>COUNTIF(defects!$V:$V,Weekly_All!P$3&amp;Weekly_All!$B23&amp;Weekly_All!$B$3&amp;$B$2)</f>
        <v>0</v>
      </c>
      <c r="Q23" s="2">
        <f>COUNTIF(defects!$V:$V,Weekly_All!Q$3&amp;Weekly_All!$B23&amp;Weekly_All!$B$3&amp;$B$2)</f>
        <v>0</v>
      </c>
      <c r="R23" s="2">
        <f>COUNTIF(defects!$V:$V,Weekly_All!R$3&amp;Weekly_All!$B23&amp;Weekly_All!$B$3&amp;$B$2)</f>
        <v>0</v>
      </c>
      <c r="S23" s="2">
        <f>COUNTIF(defects!$V:$V,Weekly_All!S$3&amp;Weekly_All!$B23&amp;Weekly_All!$B$3&amp;$B$2)</f>
        <v>0</v>
      </c>
      <c r="T23" s="2">
        <f>COUNTIF(defects!$V:$V,Weekly_All!T$3&amp;Weekly_All!$B23&amp;Weekly_All!$B$3&amp;$B$2)</f>
        <v>0</v>
      </c>
      <c r="U23" s="2">
        <f>COUNTIF(defects!$V:$V,Weekly_All!U$3&amp;Weekly_All!$B23&amp;Weekly_All!$B$3&amp;$B$2)</f>
        <v>0</v>
      </c>
      <c r="V23" s="2">
        <f>COUNTIF(defects!$V:$V,Weekly_All!V$3&amp;Weekly_All!$B23&amp;Weekly_All!$B$3&amp;$B$2)</f>
        <v>0</v>
      </c>
      <c r="W23" s="2">
        <f>COUNTIF(defects!$V:$V,Weekly_All!W$3&amp;Weekly_All!$B23&amp;Weekly_All!$B$3&amp;$B$2)</f>
        <v>0</v>
      </c>
      <c r="X23" s="2">
        <f>COUNTIF(defects!$V:$V,Weekly_All!X$3&amp;Weekly_All!$B23&amp;Weekly_All!$B$3&amp;$B$2)</f>
        <v>0</v>
      </c>
      <c r="Y23" s="2">
        <f>COUNTIF(defects!$V:$V,Weekly_All!Y$3&amp;Weekly_All!$B23&amp;Weekly_All!$B$3&amp;$B$2)</f>
        <v>0</v>
      </c>
      <c r="Z23" s="2">
        <f>COUNTIF(defects!$V:$V,Weekly_All!Z$3&amp;Weekly_All!$B23&amp;Weekly_All!$B$3&amp;$B$2)</f>
        <v>0</v>
      </c>
      <c r="AA23" s="2">
        <f>COUNTIF(defects!$V:$V,Weekly_All!AA$3&amp;Weekly_All!$B23&amp;Weekly_All!$B$3&amp;$B$2)</f>
        <v>0</v>
      </c>
      <c r="AB23" s="2">
        <f>COUNTIF(defects!$V:$V,Weekly_All!AB$3&amp;Weekly_All!$B23&amp;Weekly_All!$B$3&amp;$B$2)</f>
        <v>0</v>
      </c>
      <c r="AC23" s="2">
        <f>COUNTIF(defects!$V:$V,Weekly_All!AC$3&amp;Weekly_All!$B23&amp;Weekly_All!$B$3&amp;$B$2)</f>
        <v>0</v>
      </c>
      <c r="AD23" s="2">
        <f>COUNTIF(defects!$V:$V,Weekly_All!AD$3&amp;Weekly_All!$B23&amp;Weekly_All!$B$3&amp;$B$2)</f>
        <v>0</v>
      </c>
      <c r="AE23" s="2">
        <f>COUNTIF(defects!$V:$V,Weekly_All!AE$3&amp;Weekly_All!$B23&amp;Weekly_All!$B$3&amp;$B$2)</f>
        <v>0</v>
      </c>
      <c r="AF23" s="2">
        <f>COUNTIF(defects!$V:$V,Weekly_All!AF$3&amp;Weekly_All!$B23&amp;Weekly_All!$B$3&amp;$B$2)</f>
        <v>0</v>
      </c>
      <c r="AG23" s="2">
        <f>COUNTIF(defects!$V:$V,Weekly_All!AG$3&amp;Weekly_All!$B23&amp;Weekly_All!$B$3&amp;$B$2)</f>
        <v>0</v>
      </c>
      <c r="AH23" s="2">
        <f>COUNTIF(defects!$V:$V,Weekly_All!AH$3&amp;Weekly_All!$B23&amp;Weekly_All!$B$3&amp;$B$2)</f>
        <v>0</v>
      </c>
      <c r="AI23" s="2">
        <f>COUNTIF(defects!$V:$V,Weekly_All!AI$3&amp;Weekly_All!$B23&amp;Weekly_All!$B$3&amp;$B$2)</f>
        <v>0</v>
      </c>
      <c r="AJ23" s="2">
        <f>COUNTIF(defects!$V:$V,Weekly_All!AJ$3&amp;Weekly_All!$B23&amp;Weekly_All!$B$3&amp;$B$2)</f>
        <v>0</v>
      </c>
      <c r="AK23" s="2">
        <f>COUNTIF(defects!$V:$V,Weekly_All!AK$3&amp;Weekly_All!$B23&amp;Weekly_All!$B$3&amp;$B$2)</f>
        <v>0</v>
      </c>
      <c r="AL23" s="2">
        <f>COUNTIF(defects!$V:$V,Weekly_All!AL$3&amp;Weekly_All!$B23&amp;Weekly_All!$B$3&amp;$B$2)</f>
        <v>0</v>
      </c>
      <c r="AM23" s="2">
        <f>COUNTIF(defects!$V:$V,Weekly_All!AM$3&amp;Weekly_All!$B23&amp;Weekly_All!$B$3&amp;$B$2)</f>
        <v>0</v>
      </c>
      <c r="AN23" s="2">
        <f>COUNTIF(defects!$V:$V,Weekly_All!AN$3&amp;Weekly_All!$B23&amp;Weekly_All!$B$3&amp;$B$2)</f>
        <v>0</v>
      </c>
      <c r="AO23" s="2">
        <f>COUNTIF(defects!$V:$V,Weekly_All!AO$3&amp;Weekly_All!$B23&amp;Weekly_All!$B$3&amp;$B$2)</f>
        <v>0</v>
      </c>
      <c r="AP23" s="2">
        <f>COUNTIF(defects!$V:$V,Weekly_All!AP$3&amp;Weekly_All!$B23&amp;Weekly_All!$B$3&amp;$B$2)</f>
        <v>0</v>
      </c>
      <c r="AQ23" s="2">
        <f>COUNTIF(defects!$V:$V,Weekly_All!AQ$3&amp;Weekly_All!$B23&amp;Weekly_All!$B$3&amp;$B$2)</f>
        <v>0</v>
      </c>
      <c r="AR23" s="2">
        <f>COUNTIF(defects!$V:$V,Weekly_All!AR$3&amp;Weekly_All!$B23&amp;Weekly_All!$B$3&amp;$B$2)</f>
        <v>0</v>
      </c>
      <c r="AS23" s="2">
        <f>COUNTIF(defects!$V:$V,Weekly_All!AS$3&amp;Weekly_All!$B23&amp;Weekly_All!$B$3&amp;$B$2)</f>
        <v>0</v>
      </c>
      <c r="AT23" s="2">
        <f>COUNTIF(defects!$V:$V,Weekly_All!AT$3&amp;Weekly_All!$B23&amp;Weekly_All!$B$3&amp;$B$2)</f>
        <v>0</v>
      </c>
      <c r="AU23" s="2">
        <f>COUNTIF(defects!$V:$V,Weekly_All!AU$3&amp;Weekly_All!$B23&amp;Weekly_All!$B$3&amp;$B$2)</f>
        <v>0</v>
      </c>
      <c r="AV23" s="2">
        <f>COUNTIF(defects!$V:$V,Weekly_All!AV$3&amp;Weekly_All!$B23&amp;Weekly_All!$B$3&amp;$B$2)</f>
        <v>0</v>
      </c>
      <c r="AW23" s="2">
        <f>COUNTIF(defects!$V:$V,Weekly_All!AW$3&amp;Weekly_All!$B23&amp;Weekly_All!$B$3&amp;$B$2)</f>
        <v>0</v>
      </c>
      <c r="AX23" s="2">
        <f>COUNTIF(defects!$V:$V,Weekly_All!AX$3&amp;Weekly_All!$B23&amp;Weekly_All!$B$3&amp;$B$2)</f>
        <v>0</v>
      </c>
      <c r="AY23" s="2">
        <f>COUNTIF(defects!$V:$V,Weekly_All!AY$3&amp;Weekly_All!$B23&amp;Weekly_All!$B$3&amp;$B$2)</f>
        <v>0</v>
      </c>
      <c r="AZ23" s="2">
        <f>COUNTIF(defects!$V:$V,Weekly_All!AZ$3&amp;Weekly_All!$B23&amp;Weekly_All!$B$3&amp;$B$2)</f>
        <v>0</v>
      </c>
      <c r="BA23" s="2">
        <f>COUNTIF(defects!$V:$V,Weekly_All!BA$3&amp;Weekly_All!$B23&amp;Weekly_All!$B$3&amp;$B$2)</f>
        <v>0</v>
      </c>
      <c r="BB23" s="2">
        <f>COUNTIF(defects!$V:$V,Weekly_All!BB$3&amp;Weekly_All!$B23&amp;Weekly_All!$B$3&amp;$B$2)</f>
        <v>0</v>
      </c>
      <c r="BC23" s="2">
        <f>COUNTIF(defects!$V:$V,Weekly_All!BC$3&amp;Weekly_All!$B23&amp;Weekly_All!$B$3&amp;$B$2)</f>
        <v>0</v>
      </c>
      <c r="BD23" s="2">
        <f>COUNTIF(defects!$V:$V,Weekly_All!BD$3&amp;Weekly_All!$B23&amp;Weekly_All!$B$3&amp;$B$2)</f>
        <v>0</v>
      </c>
      <c r="BE23" s="2">
        <f>COUNTIF(defects!$V:$V,Weekly_All!BE$3&amp;Weekly_All!$B23&amp;Weekly_All!$B$3&amp;$B$2)</f>
        <v>0</v>
      </c>
      <c r="BF23" s="2">
        <f>COUNTIF(defects!$V:$V,Weekly_All!BF$3&amp;Weekly_All!$B23&amp;Weekly_All!$B$3&amp;$B$2)</f>
        <v>0</v>
      </c>
      <c r="BG23" s="2">
        <f>COUNTIF(defects!$V:$V,Weekly_All!BG$3&amp;Weekly_All!$B23&amp;Weekly_All!$B$3&amp;$B$2)</f>
        <v>0</v>
      </c>
      <c r="BH23" s="2">
        <f>COUNTIF(defects!$V:$V,Weekly_All!BH$3&amp;Weekly_All!$B23&amp;Weekly_All!$B$3&amp;$B$2)</f>
        <v>0</v>
      </c>
      <c r="BI23" s="2">
        <f>COUNTIF(defects!$V:$V,Weekly_All!BI$3&amp;Weekly_All!$B23&amp;Weekly_All!$B$3&amp;$B$2)</f>
        <v>0</v>
      </c>
      <c r="BJ23" s="2">
        <f>COUNTIF(defects!$V:$V,Weekly_All!BJ$3&amp;Weekly_All!$B23&amp;Weekly_All!$B$3&amp;$B$2)</f>
        <v>0</v>
      </c>
      <c r="BK23" s="2">
        <f>COUNTIF(defects!$V:$V,Weekly_All!BK$3&amp;Weekly_All!$B23&amp;Weekly_All!$B$3&amp;$B$2)</f>
        <v>0</v>
      </c>
      <c r="BL23" s="2">
        <f>COUNTIF(defects!$V:$V,Weekly_All!BL$3&amp;Weekly_All!$B23&amp;Weekly_All!$B$3&amp;$B$2)</f>
        <v>0</v>
      </c>
      <c r="BM23" s="2">
        <f>COUNTIF(defects!$V:$V,Weekly_All!BM$3&amp;Weekly_All!$B23&amp;Weekly_All!$B$3&amp;$B$2)</f>
        <v>0</v>
      </c>
      <c r="BN23" s="2">
        <f>COUNTIF(defects!$V:$V,Weekly_All!BN$3&amp;Weekly_All!$B23&amp;Weekly_All!$B$3&amp;$B$2)</f>
        <v>0</v>
      </c>
      <c r="BO23" s="2">
        <f>COUNTIF(defects!$V:$V,Weekly_All!BO$3&amp;Weekly_All!$B23&amp;Weekly_All!$B$3&amp;$B$2)</f>
        <v>0</v>
      </c>
      <c r="BP23" s="2">
        <f>COUNTIF(defects!$V:$V,Weekly_All!BP$3&amp;Weekly_All!$B23&amp;Weekly_All!$B$3&amp;$B$2)</f>
        <v>0</v>
      </c>
      <c r="BQ23" s="2">
        <f>COUNTIF(defects!$V:$V,Weekly_All!BQ$3&amp;Weekly_All!$B23&amp;Weekly_All!$B$3&amp;$B$2)</f>
        <v>0</v>
      </c>
      <c r="BR23" s="2">
        <f>COUNTIF(defects!$V:$V,Weekly_All!BR$3&amp;Weekly_All!$B23&amp;Weekly_All!$B$3&amp;$B$2)</f>
        <v>0</v>
      </c>
      <c r="BS23" s="2">
        <f>COUNTIF(defects!$V:$V,Weekly_All!BS$3&amp;Weekly_All!$B23&amp;Weekly_All!$B$3&amp;$B$2)</f>
        <v>0</v>
      </c>
      <c r="BT23" s="2">
        <f>COUNTIF(defects!$V:$V,Weekly_All!BT$3&amp;Weekly_All!$B23&amp;Weekly_All!$B$3&amp;$B$2)</f>
        <v>0</v>
      </c>
      <c r="BU23" s="2">
        <f>COUNTIF(defects!$V:$V,Weekly_All!BU$3&amp;Weekly_All!$B23&amp;Weekly_All!$B$3&amp;$B$2)</f>
        <v>1</v>
      </c>
      <c r="BV23" s="2">
        <f>COUNTIF(defects!$V:$V,Weekly_All!BV$3&amp;Weekly_All!$B23&amp;Weekly_All!$B$3&amp;$B$2)</f>
        <v>0</v>
      </c>
      <c r="BW23" s="2">
        <f>COUNTIF(defects!$V:$V,Weekly_All!BW$3&amp;Weekly_All!$B23&amp;Weekly_All!$B$3&amp;$B$2)</f>
        <v>0</v>
      </c>
      <c r="BX23" s="2">
        <f>COUNTIF(defects!$V:$V,Weekly_All!BX$3&amp;Weekly_All!$B23&amp;Weekly_All!$B$3&amp;$B$2)</f>
        <v>0</v>
      </c>
      <c r="BY23" s="2">
        <f>COUNTIF(defects!$V:$V,Weekly_All!BY$3&amp;Weekly_All!$B23&amp;Weekly_All!$B$3&amp;$B$2)</f>
        <v>1</v>
      </c>
      <c r="BZ23" s="2">
        <f>COUNTIF(defects!$V:$V,Weekly_All!BZ$3&amp;Weekly_All!$B23&amp;Weekly_All!$B$3&amp;$B$2)</f>
        <v>0</v>
      </c>
      <c r="CA23" s="2">
        <f>COUNTIF(defects!$V:$V,Weekly_All!CA$3&amp;Weekly_All!$B23&amp;Weekly_All!$B$3&amp;$B$2)</f>
        <v>0</v>
      </c>
      <c r="CB23" s="2">
        <f>COUNTIF(defects!$V:$V,Weekly_All!CB$3&amp;Weekly_All!$B23&amp;Weekly_All!$B$3&amp;$B$2)</f>
        <v>0</v>
      </c>
      <c r="CC23" s="2">
        <f>COUNTIF(defects!$V:$V,Weekly_All!CC$3&amp;Weekly_All!$B23&amp;Weekly_All!$B$3&amp;$B$2)</f>
        <v>0</v>
      </c>
      <c r="CD23" s="2">
        <f>COUNTIF(defects!$V:$V,Weekly_All!CD$3&amp;Weekly_All!$B23&amp;Weekly_All!$B$3&amp;$B$2)</f>
        <v>0</v>
      </c>
      <c r="CE23" s="2">
        <f>COUNTIF(defects!$V:$V,Weekly_All!CE$3&amp;Weekly_All!$B23&amp;Weekly_All!$B$3&amp;$B$2)</f>
        <v>0</v>
      </c>
      <c r="CF23" s="2">
        <f>COUNTIF(defects!$V:$V,Weekly_All!CF$3&amp;Weekly_All!$B23&amp;Weekly_All!$B$3&amp;$B$2)</f>
        <v>0</v>
      </c>
      <c r="CG23" s="2">
        <f>COUNTIF(defects!$V:$V,Weekly_All!CG$3&amp;Weekly_All!$B23&amp;Weekly_All!$B$3&amp;$B$2)</f>
        <v>0</v>
      </c>
      <c r="CH23" s="2">
        <f>COUNTIF(defects!$V:$V,Weekly_All!CH$3&amp;Weekly_All!$B23&amp;Weekly_All!$B$3&amp;$B$2)</f>
        <v>0</v>
      </c>
      <c r="CI23" s="2">
        <f>COUNTIF(defects!$V:$V,Weekly_All!CI$3&amp;Weekly_All!$B23&amp;Weekly_All!$B$3&amp;$B$2)</f>
        <v>0</v>
      </c>
      <c r="CJ23" s="2">
        <f>COUNTIF(defects!$V:$V,Weekly_All!CJ$3&amp;Weekly_All!$B23&amp;Weekly_All!$B$3&amp;$B$2)</f>
        <v>0</v>
      </c>
      <c r="CK23" s="2">
        <f>COUNTIF(defects!$V:$V,Weekly_All!CK$3&amp;Weekly_All!$B23&amp;Weekly_All!$B$3&amp;$B$2)</f>
        <v>0</v>
      </c>
      <c r="CL23" s="2">
        <f>COUNTIF(defects!$V:$V,Weekly_All!CL$3&amp;Weekly_All!$B23&amp;Weekly_All!$B$3&amp;$B$2)</f>
        <v>0</v>
      </c>
      <c r="CM23" s="2">
        <f>COUNTIF(defects!$V:$V,Weekly_All!CM$3&amp;Weekly_All!$B23&amp;Weekly_All!$B$3&amp;$B$2)</f>
        <v>0</v>
      </c>
      <c r="CN23" s="2">
        <f>COUNTIF(defects!$V:$V,Weekly_All!CN$3&amp;Weekly_All!$B23&amp;Weekly_All!$B$3&amp;$B$2)</f>
        <v>1</v>
      </c>
      <c r="CO23" s="2">
        <f>COUNTIF(defects!$V:$V,Weekly_All!CO$3&amp;Weekly_All!$B23&amp;Weekly_All!$B$3&amp;$B$2)</f>
        <v>1</v>
      </c>
      <c r="CP23" s="2">
        <f>COUNTIF(defects!$V:$V,Weekly_All!CP$3&amp;Weekly_All!$B23&amp;Weekly_All!$B$3&amp;$B$2)</f>
        <v>0</v>
      </c>
      <c r="CQ23" s="2">
        <f>COUNTIF(defects!$V:$V,Weekly_All!CQ$3&amp;Weekly_All!$B23&amp;Weekly_All!$B$3&amp;$B$2)</f>
        <v>0</v>
      </c>
      <c r="CR23" s="2">
        <f>COUNTIF(defects!$V:$V,Weekly_All!CR$3&amp;Weekly_All!$B23&amp;Weekly_All!$B$3&amp;$B$2)</f>
        <v>1</v>
      </c>
      <c r="CS23" s="2">
        <f>COUNTIF(defects!$V:$V,Weekly_All!CS$3&amp;Weekly_All!$B23&amp;Weekly_All!$B$3&amp;$B$2)</f>
        <v>0</v>
      </c>
      <c r="CT23" s="2">
        <f>COUNTIF(defects!$V:$V,Weekly_All!CT$3&amp;Weekly_All!$B23&amp;Weekly_All!$B$3&amp;$B$2)</f>
        <v>37</v>
      </c>
      <c r="CU23" s="2">
        <f>COUNTIF(defects!$V:$V,Weekly_All!CU$3&amp;Weekly_All!$B23&amp;Weekly_All!$B$3&amp;$B$2)</f>
        <v>15</v>
      </c>
      <c r="CV23" s="2">
        <f>COUNTIF(defects!$V:$V,Weekly_All!CV$3&amp;Weekly_All!$B23&amp;Weekly_All!$B$3&amp;$B$2)</f>
        <v>0</v>
      </c>
      <c r="CW23" s="2">
        <f>COUNTIF(defects!$V:$V,Weekly_All!CW$3&amp;Weekly_All!$B23&amp;Weekly_All!$B$3&amp;$B$2)</f>
        <v>0</v>
      </c>
      <c r="CX23" s="2">
        <f>COUNTIF(defects!$V:$V,Weekly_All!CX$3&amp;Weekly_All!$B23&amp;Weekly_All!$B$3&amp;$B$2)</f>
        <v>2</v>
      </c>
      <c r="CY23" s="2">
        <f>COUNTIF(defects!$V:$V,Weekly_All!CY$3&amp;Weekly_All!$B23&amp;Weekly_All!$B$3&amp;$B$2)</f>
        <v>1</v>
      </c>
      <c r="CZ23" s="2">
        <f>COUNTIF(defects!$V:$V,Weekly_All!CZ$3&amp;Weekly_All!$B23&amp;Weekly_All!$B$3&amp;$B$2)</f>
        <v>0</v>
      </c>
      <c r="DA23" s="2">
        <f>COUNTIF(defects!$V:$V,Weekly_All!DA$3&amp;Weekly_All!$B23&amp;Weekly_All!$B$3&amp;$B$2)</f>
        <v>0</v>
      </c>
      <c r="DB23" s="2">
        <f>COUNTIF(defects!$V:$V,Weekly_All!DB$3&amp;Weekly_All!$B23&amp;Weekly_All!$B$3&amp;$B$2)</f>
        <v>0</v>
      </c>
      <c r="DC23" s="2">
        <f>COUNTIF(defects!$V:$V,Weekly_All!DC$3&amp;Weekly_All!$B23&amp;Weekly_All!$B$3&amp;$B$2)</f>
        <v>0</v>
      </c>
      <c r="DD23" s="2">
        <f>COUNTIF(defects!$V:$V,Weekly_All!DD$3&amp;Weekly_All!$B23&amp;Weekly_All!$B$3&amp;$B$2)</f>
        <v>0</v>
      </c>
      <c r="DE23" s="2">
        <f>COUNTIF(defects!$V:$V,Weekly_All!DE$3&amp;Weekly_All!$B23&amp;Weekly_All!$B$3&amp;$B$2)</f>
        <v>0</v>
      </c>
      <c r="DF23" s="2">
        <f>COUNTIF(defects!$V:$V,Weekly_All!DF$3&amp;Weekly_All!$B23&amp;Weekly_All!$B$3&amp;$B$2)</f>
        <v>0</v>
      </c>
      <c r="DG23" s="2">
        <f>COUNTIF(defects!$V:$V,Weekly_All!DG$3&amp;Weekly_All!$B23&amp;Weekly_All!$B$3&amp;$B$2)</f>
        <v>0</v>
      </c>
      <c r="DH23" s="2">
        <f>COUNTIF(defects!$V:$V,Weekly_All!DH$3&amp;Weekly_All!$B23&amp;Weekly_All!$B$3&amp;$B$2)</f>
        <v>0</v>
      </c>
      <c r="DI23" s="2">
        <f>COUNTIF(defects!$V:$V,Weekly_All!DI$3&amp;Weekly_All!$B23&amp;Weekly_All!$B$3&amp;$B$2)</f>
        <v>0</v>
      </c>
      <c r="DJ23" s="2">
        <f>COUNTIF(defects!$V:$V,Weekly_All!DJ$3&amp;Weekly_All!$B23&amp;Weekly_All!$B$3&amp;$B$2)</f>
        <v>0</v>
      </c>
      <c r="DK23" s="2">
        <f>COUNTIF(defects!$V:$V,Weekly_All!DK$3&amp;Weekly_All!$B23&amp;Weekly_All!$B$3&amp;$B$2)</f>
        <v>0</v>
      </c>
      <c r="DL23" s="2">
        <f>COUNTIF(defects!$V:$V,Weekly_All!DL$3&amp;Weekly_All!$B23&amp;Weekly_All!$B$3&amp;$B$2)</f>
        <v>0</v>
      </c>
      <c r="DM23" s="2">
        <f>COUNTIF(defects!$V:$V,Weekly_All!DM$3&amp;Weekly_All!$B23&amp;Weekly_All!$B$3&amp;$B$2)</f>
        <v>0</v>
      </c>
      <c r="DN23" s="2">
        <f>COUNTIF(defects!$V:$V,Weekly_All!DN$3&amp;Weekly_All!$B23&amp;Weekly_All!$B$3&amp;$B$2)</f>
        <v>0</v>
      </c>
      <c r="DO23" s="2">
        <f>COUNTIF(defects!$V:$V,Weekly_All!DO$3&amp;Weekly_All!$B23&amp;Weekly_All!$B$3&amp;$B$2)</f>
        <v>0</v>
      </c>
      <c r="DP23" s="2">
        <f>COUNTIF(defects!$V:$V,Weekly_All!DP$3&amp;Weekly_All!$B23&amp;Weekly_All!$B$3&amp;$B$2)</f>
        <v>0</v>
      </c>
      <c r="DQ23" s="2">
        <f>COUNTIF(defects!$V:$V,Weekly_All!DQ$3&amp;Weekly_All!$B23&amp;Weekly_All!$B$3&amp;$B$2)</f>
        <v>0</v>
      </c>
      <c r="DR23" s="2">
        <f>COUNTIF(defects!$V:$V,Weekly_All!DR$3&amp;Weekly_All!$B23&amp;Weekly_All!$B$3&amp;$B$2)</f>
        <v>0</v>
      </c>
      <c r="DS23" s="2">
        <f>COUNTIF(defects!$V:$V,Weekly_All!DS$3&amp;Weekly_All!$B23&amp;Weekly_All!$B$3&amp;$B$2)</f>
        <v>0</v>
      </c>
      <c r="DT23" s="2">
        <f>COUNTIF(defects!$V:$V,Weekly_All!DT$3&amp;Weekly_All!$B23&amp;Weekly_All!$B$3&amp;$B$2)</f>
        <v>0</v>
      </c>
      <c r="DU23" s="2">
        <f>COUNTIF(defects!$V:$V,Weekly_All!DU$3&amp;Weekly_All!$B23&amp;Weekly_All!$B$3&amp;$B$2)</f>
        <v>0</v>
      </c>
      <c r="DV23" s="2">
        <f>COUNTIF(defects!$V:$V,Weekly_All!DV$3&amp;Weekly_All!$B23&amp;Weekly_All!$B$3&amp;$B$2)</f>
        <v>0</v>
      </c>
      <c r="DW23" s="2">
        <f>COUNTIF(defects!$V:$V,Weekly_All!DW$3&amp;Weekly_All!$B23&amp;Weekly_All!$B$3&amp;$B$2)</f>
        <v>0</v>
      </c>
      <c r="DX23" s="2">
        <f>COUNTIF(defects!$V:$V,Weekly_All!DX$3&amp;Weekly_All!$B23&amp;Weekly_All!$B$3&amp;$B$2)</f>
        <v>0</v>
      </c>
      <c r="DY23" s="2">
        <f>COUNTIF(defects!$V:$V,Weekly_All!DY$3&amp;Weekly_All!$B23&amp;Weekly_All!$B$3&amp;$B$2)</f>
        <v>0</v>
      </c>
      <c r="DZ23" s="2">
        <f>COUNTIF(defects!$V:$V,Weekly_All!DZ$3&amp;Weekly_All!$B23&amp;Weekly_All!$B$3&amp;$B$2)</f>
        <v>0</v>
      </c>
      <c r="EA23" s="2">
        <f>COUNTIF(defects!$V:$V,Weekly_All!EA$3&amp;Weekly_All!$B23&amp;Weekly_All!$B$3&amp;$B$2)</f>
        <v>0</v>
      </c>
      <c r="EB23" s="2">
        <f>COUNTIF(defects!$V:$V,Weekly_All!EB$3&amp;Weekly_All!$B23&amp;Weekly_All!$B$3&amp;$B$2)</f>
        <v>0</v>
      </c>
      <c r="EC23" s="2">
        <f>COUNTIF(defects!$V:$V,Weekly_All!EC$3&amp;Weekly_All!$B23&amp;Weekly_All!$B$3&amp;$B$2)</f>
        <v>0</v>
      </c>
      <c r="ED23" s="2">
        <f>COUNTIF(defects!$V:$V,Weekly_All!ED$3&amp;Weekly_All!$B23&amp;Weekly_All!$B$3&amp;$B$2)</f>
        <v>0</v>
      </c>
      <c r="EE23" s="2">
        <f>COUNTIF(defects!$V:$V,Weekly_All!EE$3&amp;Weekly_All!$B23&amp;Weekly_All!$B$3&amp;$B$2)</f>
        <v>0</v>
      </c>
      <c r="EF23" s="2">
        <f>COUNTIF(defects!$V:$V,Weekly_All!EF$3&amp;Weekly_All!$B23&amp;Weekly_All!$B$3&amp;$B$2)</f>
        <v>0</v>
      </c>
      <c r="EG23" s="2">
        <f>COUNTIF(defects!$V:$V,Weekly_All!EG$3&amp;Weekly_All!$B23&amp;Weekly_All!$B$3&amp;$B$2)</f>
        <v>0</v>
      </c>
      <c r="EH23" s="2">
        <f>COUNTIF(defects!$V:$V,Weekly_All!EH$3&amp;Weekly_All!$B23&amp;Weekly_All!$B$3&amp;$B$2)</f>
        <v>0</v>
      </c>
      <c r="EI23" s="2">
        <f>COUNTIF(defects!$V:$V,Weekly_All!EI$3&amp;Weekly_All!$B23&amp;Weekly_All!$B$3&amp;$B$2)</f>
        <v>0</v>
      </c>
      <c r="EJ23" s="2">
        <f>COUNTIF(defects!$V:$V,Weekly_All!EJ$3&amp;Weekly_All!$B23&amp;Weekly_All!$B$3&amp;$B$2)</f>
        <v>0</v>
      </c>
      <c r="EK23" s="2">
        <f>COUNTIF(defects!$V:$V,Weekly_All!EK$3&amp;Weekly_All!$B23&amp;Weekly_All!$B$3&amp;$B$2)</f>
        <v>0</v>
      </c>
      <c r="EL23" s="2">
        <f>COUNTIF(defects!$V:$V,Weekly_All!EL$3&amp;Weekly_All!$B23&amp;Weekly_All!$B$3&amp;$B$2)</f>
        <v>0</v>
      </c>
      <c r="EM23" s="2">
        <f>COUNTIF(defects!$V:$V,Weekly_All!EM$3&amp;Weekly_All!$B23&amp;Weekly_All!$B$3&amp;$B$2)</f>
        <v>0</v>
      </c>
      <c r="EN23" s="2">
        <f>COUNTIF(defects!$V:$V,Weekly_All!EN$3&amp;Weekly_All!$B23&amp;Weekly_All!$B$3&amp;$B$2)</f>
        <v>0</v>
      </c>
      <c r="EO23" s="2">
        <f>COUNTIF(defects!$V:$V,Weekly_All!EO$3&amp;Weekly_All!$B23&amp;Weekly_All!$B$3&amp;$B$2)</f>
        <v>0</v>
      </c>
      <c r="EP23" s="2">
        <f>COUNTIF(defects!$V:$V,Weekly_All!EP$3&amp;Weekly_All!$B23&amp;Weekly_All!$B$3&amp;$B$2)</f>
        <v>0</v>
      </c>
      <c r="EQ23" s="2">
        <f>COUNTIF(defects!$V:$V,Weekly_All!EQ$3&amp;Weekly_All!$B23&amp;Weekly_All!$B$3&amp;$B$2)</f>
        <v>0</v>
      </c>
      <c r="ER23" s="2">
        <f>COUNTIF(defects!$V:$V,Weekly_All!ER$3&amp;Weekly_All!$B23&amp;Weekly_All!$B$3&amp;$B$2)</f>
        <v>0</v>
      </c>
      <c r="ES23" s="2">
        <f>COUNTIF(defects!$V:$V,Weekly_All!ES$3&amp;Weekly_All!$B23&amp;Weekly_All!$B$3&amp;$B$2)</f>
        <v>0</v>
      </c>
      <c r="ET23" s="2">
        <f>COUNTIF(defects!$V:$V,Weekly_All!ET$3&amp;Weekly_All!$B23&amp;Weekly_All!$B$3&amp;$B$2)</f>
        <v>0</v>
      </c>
      <c r="EU23" s="2">
        <f>COUNTIF(defects!$V:$V,Weekly_All!EU$3&amp;Weekly_All!$B23&amp;Weekly_All!$B$3&amp;$B$2)</f>
        <v>0</v>
      </c>
      <c r="EV23" s="2">
        <f>COUNTIF(defects!$V:$V,Weekly_All!EV$3&amp;Weekly_All!$B23&amp;Weekly_All!$B$3&amp;$B$2)</f>
        <v>0</v>
      </c>
      <c r="EW23" s="2">
        <f>COUNTIF(defects!$V:$V,Weekly_All!EW$3&amp;Weekly_All!$B23&amp;Weekly_All!$B$3&amp;$B$2)</f>
        <v>0</v>
      </c>
      <c r="EX23" s="2">
        <f>COUNTIF(defects!$V:$V,Weekly_All!EX$3&amp;Weekly_All!$B23&amp;Weekly_All!$B$3&amp;$B$2)</f>
        <v>0</v>
      </c>
      <c r="EY23" s="2">
        <f>COUNTIF(defects!$V:$V,Weekly_All!EY$3&amp;Weekly_All!$B23&amp;Weekly_All!$B$3&amp;$B$2)</f>
        <v>0</v>
      </c>
      <c r="EZ23" s="2">
        <f>COUNTIF(defects!$V:$V,Weekly_All!EZ$3&amp;Weekly_All!$B23&amp;Weekly_All!$B$3&amp;$B$2)</f>
        <v>0</v>
      </c>
      <c r="FA23" s="2">
        <f>COUNTIF(defects!$V:$V,Weekly_All!FA$3&amp;Weekly_All!$B23&amp;Weekly_All!$B$3&amp;$B$2)</f>
        <v>0</v>
      </c>
      <c r="FB23" s="2">
        <f>COUNTIF(defects!$V:$V,Weekly_All!FB$3&amp;Weekly_All!$B23&amp;Weekly_All!$B$3&amp;$B$2)</f>
        <v>0</v>
      </c>
      <c r="FC23" s="2">
        <f>COUNTIF(defects!$V:$V,Weekly_All!FC$3&amp;Weekly_All!$B23&amp;Weekly_All!$B$3&amp;$B$2)</f>
        <v>0</v>
      </c>
      <c r="FD23" s="2">
        <f>COUNTIF(defects!$V:$V,Weekly_All!FD$3&amp;Weekly_All!$B23&amp;Weekly_All!$B$3&amp;$B$2)</f>
        <v>0</v>
      </c>
      <c r="FE23" s="2">
        <f>COUNTIF(defects!$V:$V,Weekly_All!FE$3&amp;Weekly_All!$B23&amp;Weekly_All!$B$3&amp;$B$2)</f>
        <v>0</v>
      </c>
    </row>
    <row r="24" spans="2:161">
      <c r="B24" s="3" t="s">
        <v>996</v>
      </c>
      <c r="C24" s="2">
        <f>COUNTIF(defects!$V:$V,Weekly_All!C$3&amp;Weekly_All!$B24&amp;Weekly_All!$B$3&amp;$B$2)</f>
        <v>0</v>
      </c>
      <c r="D24" s="2">
        <f>COUNTIF(defects!$V:$V,Weekly_All!D$3&amp;Weekly_All!$B24&amp;Weekly_All!$B$3&amp;$B$2)</f>
        <v>0</v>
      </c>
      <c r="E24" s="2">
        <f>COUNTIF(defects!$V:$V,Weekly_All!E$3&amp;Weekly_All!$B24&amp;Weekly_All!$B$3&amp;$B$2)</f>
        <v>0</v>
      </c>
      <c r="F24" s="2">
        <f>COUNTIF(defects!$V:$V,Weekly_All!F$3&amp;Weekly_All!$B24&amp;Weekly_All!$B$3&amp;$B$2)</f>
        <v>0</v>
      </c>
      <c r="G24" s="2">
        <f>COUNTIF(defects!$V:$V,Weekly_All!G$3&amp;Weekly_All!$B24&amp;Weekly_All!$B$3&amp;$B$2)</f>
        <v>0</v>
      </c>
      <c r="H24" s="2">
        <f>COUNTIF(defects!$V:$V,Weekly_All!H$3&amp;Weekly_All!$B24&amp;Weekly_All!$B$3&amp;$B$2)</f>
        <v>0</v>
      </c>
      <c r="I24" s="2">
        <f>COUNTIF(defects!$V:$V,Weekly_All!I$3&amp;Weekly_All!$B24&amp;Weekly_All!$B$3&amp;$B$2)</f>
        <v>0</v>
      </c>
      <c r="J24" s="2">
        <f>COUNTIF(defects!$V:$V,Weekly_All!J$3&amp;Weekly_All!$B24&amp;Weekly_All!$B$3&amp;$B$2)</f>
        <v>0</v>
      </c>
      <c r="K24" s="2">
        <f>COUNTIF(defects!$V:$V,Weekly_All!K$3&amp;Weekly_All!$B24&amp;Weekly_All!$B$3&amp;$B$2)</f>
        <v>0</v>
      </c>
      <c r="L24" s="2">
        <f>COUNTIF(defects!$V:$V,Weekly_All!L$3&amp;Weekly_All!$B24&amp;Weekly_All!$B$3&amp;$B$2)</f>
        <v>0</v>
      </c>
      <c r="M24" s="2">
        <f>COUNTIF(defects!$V:$V,Weekly_All!M$3&amp;Weekly_All!$B24&amp;Weekly_All!$B$3&amp;$B$2)</f>
        <v>0</v>
      </c>
      <c r="N24" s="2">
        <f>COUNTIF(defects!$V:$V,Weekly_All!N$3&amp;Weekly_All!$B24&amp;Weekly_All!$B$3&amp;$B$2)</f>
        <v>0</v>
      </c>
      <c r="O24" s="2">
        <f>COUNTIF(defects!$V:$V,Weekly_All!O$3&amp;Weekly_All!$B24&amp;Weekly_All!$B$3&amp;$B$2)</f>
        <v>0</v>
      </c>
      <c r="P24" s="2">
        <f>COUNTIF(defects!$V:$V,Weekly_All!P$3&amp;Weekly_All!$B24&amp;Weekly_All!$B$3&amp;$B$2)</f>
        <v>0</v>
      </c>
      <c r="Q24" s="2">
        <f>COUNTIF(defects!$V:$V,Weekly_All!Q$3&amp;Weekly_All!$B24&amp;Weekly_All!$B$3&amp;$B$2)</f>
        <v>0</v>
      </c>
      <c r="R24" s="2">
        <f>COUNTIF(defects!$V:$V,Weekly_All!R$3&amp;Weekly_All!$B24&amp;Weekly_All!$B$3&amp;$B$2)</f>
        <v>0</v>
      </c>
      <c r="S24" s="2">
        <f>COUNTIF(defects!$V:$V,Weekly_All!S$3&amp;Weekly_All!$B24&amp;Weekly_All!$B$3&amp;$B$2)</f>
        <v>0</v>
      </c>
      <c r="T24" s="2">
        <f>COUNTIF(defects!$V:$V,Weekly_All!T$3&amp;Weekly_All!$B24&amp;Weekly_All!$B$3&amp;$B$2)</f>
        <v>0</v>
      </c>
      <c r="U24" s="2">
        <f>COUNTIF(defects!$V:$V,Weekly_All!U$3&amp;Weekly_All!$B24&amp;Weekly_All!$B$3&amp;$B$2)</f>
        <v>0</v>
      </c>
      <c r="V24" s="2">
        <f>COUNTIF(defects!$V:$V,Weekly_All!V$3&amp;Weekly_All!$B24&amp;Weekly_All!$B$3&amp;$B$2)</f>
        <v>0</v>
      </c>
      <c r="W24" s="2">
        <f>COUNTIF(defects!$V:$V,Weekly_All!W$3&amp;Weekly_All!$B24&amp;Weekly_All!$B$3&amp;$B$2)</f>
        <v>0</v>
      </c>
      <c r="X24" s="2">
        <f>COUNTIF(defects!$V:$V,Weekly_All!X$3&amp;Weekly_All!$B24&amp;Weekly_All!$B$3&amp;$B$2)</f>
        <v>0</v>
      </c>
      <c r="Y24" s="2">
        <f>COUNTIF(defects!$V:$V,Weekly_All!Y$3&amp;Weekly_All!$B24&amp;Weekly_All!$B$3&amp;$B$2)</f>
        <v>0</v>
      </c>
      <c r="Z24" s="2">
        <f>COUNTIF(defects!$V:$V,Weekly_All!Z$3&amp;Weekly_All!$B24&amp;Weekly_All!$B$3&amp;$B$2)</f>
        <v>0</v>
      </c>
      <c r="AA24" s="2">
        <f>COUNTIF(defects!$V:$V,Weekly_All!AA$3&amp;Weekly_All!$B24&amp;Weekly_All!$B$3&amp;$B$2)</f>
        <v>0</v>
      </c>
      <c r="AB24" s="2">
        <f>COUNTIF(defects!$V:$V,Weekly_All!AB$3&amp;Weekly_All!$B24&amp;Weekly_All!$B$3&amp;$B$2)</f>
        <v>0</v>
      </c>
      <c r="AC24" s="2">
        <f>COUNTIF(defects!$V:$V,Weekly_All!AC$3&amp;Weekly_All!$B24&amp;Weekly_All!$B$3&amp;$B$2)</f>
        <v>0</v>
      </c>
      <c r="AD24" s="2">
        <f>COUNTIF(defects!$V:$V,Weekly_All!AD$3&amp;Weekly_All!$B24&amp;Weekly_All!$B$3&amp;$B$2)</f>
        <v>0</v>
      </c>
      <c r="AE24" s="2">
        <f>COUNTIF(defects!$V:$V,Weekly_All!AE$3&amp;Weekly_All!$B24&amp;Weekly_All!$B$3&amp;$B$2)</f>
        <v>0</v>
      </c>
      <c r="AF24" s="2">
        <f>COUNTIF(defects!$V:$V,Weekly_All!AF$3&amp;Weekly_All!$B24&amp;Weekly_All!$B$3&amp;$B$2)</f>
        <v>0</v>
      </c>
      <c r="AG24" s="2">
        <f>COUNTIF(defects!$V:$V,Weekly_All!AG$3&amp;Weekly_All!$B24&amp;Weekly_All!$B$3&amp;$B$2)</f>
        <v>0</v>
      </c>
      <c r="AH24" s="2">
        <f>COUNTIF(defects!$V:$V,Weekly_All!AH$3&amp;Weekly_All!$B24&amp;Weekly_All!$B$3&amp;$B$2)</f>
        <v>0</v>
      </c>
      <c r="AI24" s="2">
        <f>COUNTIF(defects!$V:$V,Weekly_All!AI$3&amp;Weekly_All!$B24&amp;Weekly_All!$B$3&amp;$B$2)</f>
        <v>0</v>
      </c>
      <c r="AJ24" s="2">
        <f>COUNTIF(defects!$V:$V,Weekly_All!AJ$3&amp;Weekly_All!$B24&amp;Weekly_All!$B$3&amp;$B$2)</f>
        <v>0</v>
      </c>
      <c r="AK24" s="2">
        <f>COUNTIF(defects!$V:$V,Weekly_All!AK$3&amp;Weekly_All!$B24&amp;Weekly_All!$B$3&amp;$B$2)</f>
        <v>0</v>
      </c>
      <c r="AL24" s="2">
        <f>COUNTIF(defects!$V:$V,Weekly_All!AL$3&amp;Weekly_All!$B24&amp;Weekly_All!$B$3&amp;$B$2)</f>
        <v>0</v>
      </c>
      <c r="AM24" s="2">
        <f>COUNTIF(defects!$V:$V,Weekly_All!AM$3&amp;Weekly_All!$B24&amp;Weekly_All!$B$3&amp;$B$2)</f>
        <v>0</v>
      </c>
      <c r="AN24" s="2">
        <f>COUNTIF(defects!$V:$V,Weekly_All!AN$3&amp;Weekly_All!$B24&amp;Weekly_All!$B$3&amp;$B$2)</f>
        <v>0</v>
      </c>
      <c r="AO24" s="2">
        <f>COUNTIF(defects!$V:$V,Weekly_All!AO$3&amp;Weekly_All!$B24&amp;Weekly_All!$B$3&amp;$B$2)</f>
        <v>0</v>
      </c>
      <c r="AP24" s="2">
        <f>COUNTIF(defects!$V:$V,Weekly_All!AP$3&amp;Weekly_All!$B24&amp;Weekly_All!$B$3&amp;$B$2)</f>
        <v>0</v>
      </c>
      <c r="AQ24" s="2">
        <f>COUNTIF(defects!$V:$V,Weekly_All!AQ$3&amp;Weekly_All!$B24&amp;Weekly_All!$B$3&amp;$B$2)</f>
        <v>0</v>
      </c>
      <c r="AR24" s="2">
        <f>COUNTIF(defects!$V:$V,Weekly_All!AR$3&amp;Weekly_All!$B24&amp;Weekly_All!$B$3&amp;$B$2)</f>
        <v>0</v>
      </c>
      <c r="AS24" s="2">
        <f>COUNTIF(defects!$V:$V,Weekly_All!AS$3&amp;Weekly_All!$B24&amp;Weekly_All!$B$3&amp;$B$2)</f>
        <v>0</v>
      </c>
      <c r="AT24" s="2">
        <f>COUNTIF(defects!$V:$V,Weekly_All!AT$3&amp;Weekly_All!$B24&amp;Weekly_All!$B$3&amp;$B$2)</f>
        <v>0</v>
      </c>
      <c r="AU24" s="2">
        <f>COUNTIF(defects!$V:$V,Weekly_All!AU$3&amp;Weekly_All!$B24&amp;Weekly_All!$B$3&amp;$B$2)</f>
        <v>0</v>
      </c>
      <c r="AV24" s="2">
        <f>COUNTIF(defects!$V:$V,Weekly_All!AV$3&amp;Weekly_All!$B24&amp;Weekly_All!$B$3&amp;$B$2)</f>
        <v>0</v>
      </c>
      <c r="AW24" s="2">
        <f>COUNTIF(defects!$V:$V,Weekly_All!AW$3&amp;Weekly_All!$B24&amp;Weekly_All!$B$3&amp;$B$2)</f>
        <v>0</v>
      </c>
      <c r="AX24" s="2">
        <f>COUNTIF(defects!$V:$V,Weekly_All!AX$3&amp;Weekly_All!$B24&amp;Weekly_All!$B$3&amp;$B$2)</f>
        <v>0</v>
      </c>
      <c r="AY24" s="2">
        <f>COUNTIF(defects!$V:$V,Weekly_All!AY$3&amp;Weekly_All!$B24&amp;Weekly_All!$B$3&amp;$B$2)</f>
        <v>0</v>
      </c>
      <c r="AZ24" s="2">
        <f>COUNTIF(defects!$V:$V,Weekly_All!AZ$3&amp;Weekly_All!$B24&amp;Weekly_All!$B$3&amp;$B$2)</f>
        <v>0</v>
      </c>
      <c r="BA24" s="2">
        <f>COUNTIF(defects!$V:$V,Weekly_All!BA$3&amp;Weekly_All!$B24&amp;Weekly_All!$B$3&amp;$B$2)</f>
        <v>0</v>
      </c>
      <c r="BB24" s="2">
        <f>COUNTIF(defects!$V:$V,Weekly_All!BB$3&amp;Weekly_All!$B24&amp;Weekly_All!$B$3&amp;$B$2)</f>
        <v>0</v>
      </c>
      <c r="BC24" s="2">
        <f>COUNTIF(defects!$V:$V,Weekly_All!BC$3&amp;Weekly_All!$B24&amp;Weekly_All!$B$3&amp;$B$2)</f>
        <v>0</v>
      </c>
      <c r="BD24" s="2">
        <f>COUNTIF(defects!$V:$V,Weekly_All!BD$3&amp;Weekly_All!$B24&amp;Weekly_All!$B$3&amp;$B$2)</f>
        <v>0</v>
      </c>
      <c r="BE24" s="2">
        <f>COUNTIF(defects!$V:$V,Weekly_All!BE$3&amp;Weekly_All!$B24&amp;Weekly_All!$B$3&amp;$B$2)</f>
        <v>0</v>
      </c>
      <c r="BF24" s="2">
        <f>COUNTIF(defects!$V:$V,Weekly_All!BF$3&amp;Weekly_All!$B24&amp;Weekly_All!$B$3&amp;$B$2)</f>
        <v>0</v>
      </c>
      <c r="BG24" s="2">
        <f>COUNTIF(defects!$V:$V,Weekly_All!BG$3&amp;Weekly_All!$B24&amp;Weekly_All!$B$3&amp;$B$2)</f>
        <v>0</v>
      </c>
      <c r="BH24" s="2">
        <f>COUNTIF(defects!$V:$V,Weekly_All!BH$3&amp;Weekly_All!$B24&amp;Weekly_All!$B$3&amp;$B$2)</f>
        <v>0</v>
      </c>
      <c r="BI24" s="2">
        <f>COUNTIF(defects!$V:$V,Weekly_All!BI$3&amp;Weekly_All!$B24&amp;Weekly_All!$B$3&amp;$B$2)</f>
        <v>0</v>
      </c>
      <c r="BJ24" s="2">
        <f>COUNTIF(defects!$V:$V,Weekly_All!BJ$3&amp;Weekly_All!$B24&amp;Weekly_All!$B$3&amp;$B$2)</f>
        <v>0</v>
      </c>
      <c r="BK24" s="2">
        <f>COUNTIF(defects!$V:$V,Weekly_All!BK$3&amp;Weekly_All!$B24&amp;Weekly_All!$B$3&amp;$B$2)</f>
        <v>0</v>
      </c>
      <c r="BL24" s="2">
        <f>COUNTIF(defects!$V:$V,Weekly_All!BL$3&amp;Weekly_All!$B24&amp;Weekly_All!$B$3&amp;$B$2)</f>
        <v>0</v>
      </c>
      <c r="BM24" s="2">
        <f>COUNTIF(defects!$V:$V,Weekly_All!BM$3&amp;Weekly_All!$B24&amp;Weekly_All!$B$3&amp;$B$2)</f>
        <v>0</v>
      </c>
      <c r="BN24" s="2">
        <f>COUNTIF(defects!$V:$V,Weekly_All!BN$3&amp;Weekly_All!$B24&amp;Weekly_All!$B$3&amp;$B$2)</f>
        <v>0</v>
      </c>
      <c r="BO24" s="2">
        <f>COUNTIF(defects!$V:$V,Weekly_All!BO$3&amp;Weekly_All!$B24&amp;Weekly_All!$B$3&amp;$B$2)</f>
        <v>0</v>
      </c>
      <c r="BP24" s="2">
        <f>COUNTIF(defects!$V:$V,Weekly_All!BP$3&amp;Weekly_All!$B24&amp;Weekly_All!$B$3&amp;$B$2)</f>
        <v>0</v>
      </c>
      <c r="BQ24" s="2">
        <f>COUNTIF(defects!$V:$V,Weekly_All!BQ$3&amp;Weekly_All!$B24&amp;Weekly_All!$B$3&amp;$B$2)</f>
        <v>0</v>
      </c>
      <c r="BR24" s="2">
        <f>COUNTIF(defects!$V:$V,Weekly_All!BR$3&amp;Weekly_All!$B24&amp;Weekly_All!$B$3&amp;$B$2)</f>
        <v>0</v>
      </c>
      <c r="BS24" s="2">
        <f>COUNTIF(defects!$V:$V,Weekly_All!BS$3&amp;Weekly_All!$B24&amp;Weekly_All!$B$3&amp;$B$2)</f>
        <v>0</v>
      </c>
      <c r="BT24" s="2">
        <f>COUNTIF(defects!$V:$V,Weekly_All!BT$3&amp;Weekly_All!$B24&amp;Weekly_All!$B$3&amp;$B$2)</f>
        <v>0</v>
      </c>
      <c r="BU24" s="2">
        <f>COUNTIF(defects!$V:$V,Weekly_All!BU$3&amp;Weekly_All!$B24&amp;Weekly_All!$B$3&amp;$B$2)</f>
        <v>0</v>
      </c>
      <c r="BV24" s="2">
        <f>COUNTIF(defects!$V:$V,Weekly_All!BV$3&amp;Weekly_All!$B24&amp;Weekly_All!$B$3&amp;$B$2)</f>
        <v>0</v>
      </c>
      <c r="BW24" s="2">
        <f>COUNTIF(defects!$V:$V,Weekly_All!BW$3&amp;Weekly_All!$B24&amp;Weekly_All!$B$3&amp;$B$2)</f>
        <v>0</v>
      </c>
      <c r="BX24" s="2">
        <f>COUNTIF(defects!$V:$V,Weekly_All!BX$3&amp;Weekly_All!$B24&amp;Weekly_All!$B$3&amp;$B$2)</f>
        <v>0</v>
      </c>
      <c r="BY24" s="2">
        <f>COUNTIF(defects!$V:$V,Weekly_All!BY$3&amp;Weekly_All!$B24&amp;Weekly_All!$B$3&amp;$B$2)</f>
        <v>0</v>
      </c>
      <c r="BZ24" s="2">
        <f>COUNTIF(defects!$V:$V,Weekly_All!BZ$3&amp;Weekly_All!$B24&amp;Weekly_All!$B$3&amp;$B$2)</f>
        <v>0</v>
      </c>
      <c r="CA24" s="2">
        <f>COUNTIF(defects!$V:$V,Weekly_All!CA$3&amp;Weekly_All!$B24&amp;Weekly_All!$B$3&amp;$B$2)</f>
        <v>0</v>
      </c>
      <c r="CB24" s="2">
        <f>COUNTIF(defects!$V:$V,Weekly_All!CB$3&amp;Weekly_All!$B24&amp;Weekly_All!$B$3&amp;$B$2)</f>
        <v>0</v>
      </c>
      <c r="CC24" s="2">
        <f>COUNTIF(defects!$V:$V,Weekly_All!CC$3&amp;Weekly_All!$B24&amp;Weekly_All!$B$3&amp;$B$2)</f>
        <v>0</v>
      </c>
      <c r="CD24" s="2">
        <f>COUNTIF(defects!$V:$V,Weekly_All!CD$3&amp;Weekly_All!$B24&amp;Weekly_All!$B$3&amp;$B$2)</f>
        <v>0</v>
      </c>
      <c r="CE24" s="2">
        <f>COUNTIF(defects!$V:$V,Weekly_All!CE$3&amp;Weekly_All!$B24&amp;Weekly_All!$B$3&amp;$B$2)</f>
        <v>0</v>
      </c>
      <c r="CF24" s="2">
        <f>COUNTIF(defects!$V:$V,Weekly_All!CF$3&amp;Weekly_All!$B24&amp;Weekly_All!$B$3&amp;$B$2)</f>
        <v>0</v>
      </c>
      <c r="CG24" s="2">
        <f>COUNTIF(defects!$V:$V,Weekly_All!CG$3&amp;Weekly_All!$B24&amp;Weekly_All!$B$3&amp;$B$2)</f>
        <v>0</v>
      </c>
      <c r="CH24" s="2">
        <f>COUNTIF(defects!$V:$V,Weekly_All!CH$3&amp;Weekly_All!$B24&amp;Weekly_All!$B$3&amp;$B$2)</f>
        <v>0</v>
      </c>
      <c r="CI24" s="2">
        <f>COUNTIF(defects!$V:$V,Weekly_All!CI$3&amp;Weekly_All!$B24&amp;Weekly_All!$B$3&amp;$B$2)</f>
        <v>0</v>
      </c>
      <c r="CJ24" s="2">
        <f>COUNTIF(defects!$V:$V,Weekly_All!CJ$3&amp;Weekly_All!$B24&amp;Weekly_All!$B$3&amp;$B$2)</f>
        <v>0</v>
      </c>
      <c r="CK24" s="2">
        <f>COUNTIF(defects!$V:$V,Weekly_All!CK$3&amp;Weekly_All!$B24&amp;Weekly_All!$B$3&amp;$B$2)</f>
        <v>0</v>
      </c>
      <c r="CL24" s="2">
        <f>COUNTIF(defects!$V:$V,Weekly_All!CL$3&amp;Weekly_All!$B24&amp;Weekly_All!$B$3&amp;$B$2)</f>
        <v>0</v>
      </c>
      <c r="CM24" s="2">
        <f>COUNTIF(defects!$V:$V,Weekly_All!CM$3&amp;Weekly_All!$B24&amp;Weekly_All!$B$3&amp;$B$2)</f>
        <v>0</v>
      </c>
      <c r="CN24" s="2">
        <f>COUNTIF(defects!$V:$V,Weekly_All!CN$3&amp;Weekly_All!$B24&amp;Weekly_All!$B$3&amp;$B$2)</f>
        <v>0</v>
      </c>
      <c r="CO24" s="2">
        <f>COUNTIF(defects!$V:$V,Weekly_All!CO$3&amp;Weekly_All!$B24&amp;Weekly_All!$B$3&amp;$B$2)</f>
        <v>0</v>
      </c>
      <c r="CP24" s="2">
        <f>COUNTIF(defects!$V:$V,Weekly_All!CP$3&amp;Weekly_All!$B24&amp;Weekly_All!$B$3&amp;$B$2)</f>
        <v>0</v>
      </c>
      <c r="CQ24" s="2">
        <f>COUNTIF(defects!$V:$V,Weekly_All!CQ$3&amp;Weekly_All!$B24&amp;Weekly_All!$B$3&amp;$B$2)</f>
        <v>0</v>
      </c>
      <c r="CR24" s="2">
        <f>COUNTIF(defects!$V:$V,Weekly_All!CR$3&amp;Weekly_All!$B24&amp;Weekly_All!$B$3&amp;$B$2)</f>
        <v>0</v>
      </c>
      <c r="CS24" s="2">
        <f>COUNTIF(defects!$V:$V,Weekly_All!CS$3&amp;Weekly_All!$B24&amp;Weekly_All!$B$3&amp;$B$2)</f>
        <v>0</v>
      </c>
      <c r="CT24" s="2">
        <f>COUNTIF(defects!$V:$V,Weekly_All!CT$3&amp;Weekly_All!$B24&amp;Weekly_All!$B$3&amp;$B$2)</f>
        <v>0</v>
      </c>
      <c r="CU24" s="2">
        <f>COUNTIF(defects!$V:$V,Weekly_All!CU$3&amp;Weekly_All!$B24&amp;Weekly_All!$B$3&amp;$B$2)</f>
        <v>0</v>
      </c>
      <c r="CV24" s="2">
        <f>COUNTIF(defects!$V:$V,Weekly_All!CV$3&amp;Weekly_All!$B24&amp;Weekly_All!$B$3&amp;$B$2)</f>
        <v>0</v>
      </c>
      <c r="CW24" s="2">
        <f>COUNTIF(defects!$V:$V,Weekly_All!CW$3&amp;Weekly_All!$B24&amp;Weekly_All!$B$3&amp;$B$2)</f>
        <v>0</v>
      </c>
      <c r="CX24" s="2">
        <f>COUNTIF(defects!$V:$V,Weekly_All!CX$3&amp;Weekly_All!$B24&amp;Weekly_All!$B$3&amp;$B$2)</f>
        <v>0</v>
      </c>
      <c r="CY24" s="2">
        <f>COUNTIF(defects!$V:$V,Weekly_All!CY$3&amp;Weekly_All!$B24&amp;Weekly_All!$B$3&amp;$B$2)</f>
        <v>0</v>
      </c>
      <c r="CZ24" s="2">
        <f>COUNTIF(defects!$V:$V,Weekly_All!CZ$3&amp;Weekly_All!$B24&amp;Weekly_All!$B$3&amp;$B$2)</f>
        <v>0</v>
      </c>
      <c r="DA24" s="2">
        <f>COUNTIF(defects!$V:$V,Weekly_All!DA$3&amp;Weekly_All!$B24&amp;Weekly_All!$B$3&amp;$B$2)</f>
        <v>0</v>
      </c>
      <c r="DB24" s="2">
        <f>COUNTIF(defects!$V:$V,Weekly_All!DB$3&amp;Weekly_All!$B24&amp;Weekly_All!$B$3&amp;$B$2)</f>
        <v>0</v>
      </c>
      <c r="DC24" s="2">
        <f>COUNTIF(defects!$V:$V,Weekly_All!DC$3&amp;Weekly_All!$B24&amp;Weekly_All!$B$3&amp;$B$2)</f>
        <v>0</v>
      </c>
      <c r="DD24" s="2">
        <f>COUNTIF(defects!$V:$V,Weekly_All!DD$3&amp;Weekly_All!$B24&amp;Weekly_All!$B$3&amp;$B$2)</f>
        <v>0</v>
      </c>
      <c r="DE24" s="2">
        <f>COUNTIF(defects!$V:$V,Weekly_All!DE$3&amp;Weekly_All!$B24&amp;Weekly_All!$B$3&amp;$B$2)</f>
        <v>0</v>
      </c>
      <c r="DF24" s="2">
        <f>COUNTIF(defects!$V:$V,Weekly_All!DF$3&amp;Weekly_All!$B24&amp;Weekly_All!$B$3&amp;$B$2)</f>
        <v>0</v>
      </c>
      <c r="DG24" s="2">
        <f>COUNTIF(defects!$V:$V,Weekly_All!DG$3&amp;Weekly_All!$B24&amp;Weekly_All!$B$3&amp;$B$2)</f>
        <v>0</v>
      </c>
      <c r="DH24" s="2">
        <f>COUNTIF(defects!$V:$V,Weekly_All!DH$3&amp;Weekly_All!$B24&amp;Weekly_All!$B$3&amp;$B$2)</f>
        <v>0</v>
      </c>
      <c r="DI24" s="2">
        <f>COUNTIF(defects!$V:$V,Weekly_All!DI$3&amp;Weekly_All!$B24&amp;Weekly_All!$B$3&amp;$B$2)</f>
        <v>0</v>
      </c>
      <c r="DJ24" s="2">
        <f>COUNTIF(defects!$V:$V,Weekly_All!DJ$3&amp;Weekly_All!$B24&amp;Weekly_All!$B$3&amp;$B$2)</f>
        <v>0</v>
      </c>
      <c r="DK24" s="2">
        <f>COUNTIF(defects!$V:$V,Weekly_All!DK$3&amp;Weekly_All!$B24&amp;Weekly_All!$B$3&amp;$B$2)</f>
        <v>0</v>
      </c>
      <c r="DL24" s="2">
        <f>COUNTIF(defects!$V:$V,Weekly_All!DL$3&amp;Weekly_All!$B24&amp;Weekly_All!$B$3&amp;$B$2)</f>
        <v>0</v>
      </c>
      <c r="DM24" s="2">
        <f>COUNTIF(defects!$V:$V,Weekly_All!DM$3&amp;Weekly_All!$B24&amp;Weekly_All!$B$3&amp;$B$2)</f>
        <v>0</v>
      </c>
      <c r="DN24" s="2">
        <f>COUNTIF(defects!$V:$V,Weekly_All!DN$3&amp;Weekly_All!$B24&amp;Weekly_All!$B$3&amp;$B$2)</f>
        <v>0</v>
      </c>
      <c r="DO24" s="2">
        <f>COUNTIF(defects!$V:$V,Weekly_All!DO$3&amp;Weekly_All!$B24&amp;Weekly_All!$B$3&amp;$B$2)</f>
        <v>0</v>
      </c>
      <c r="DP24" s="2">
        <f>COUNTIF(defects!$V:$V,Weekly_All!DP$3&amp;Weekly_All!$B24&amp;Weekly_All!$B$3&amp;$B$2)</f>
        <v>0</v>
      </c>
      <c r="DQ24" s="2">
        <f>COUNTIF(defects!$V:$V,Weekly_All!DQ$3&amp;Weekly_All!$B24&amp;Weekly_All!$B$3&amp;$B$2)</f>
        <v>0</v>
      </c>
      <c r="DR24" s="2">
        <f>COUNTIF(defects!$V:$V,Weekly_All!DR$3&amp;Weekly_All!$B24&amp;Weekly_All!$B$3&amp;$B$2)</f>
        <v>0</v>
      </c>
      <c r="DS24" s="2">
        <f>COUNTIF(defects!$V:$V,Weekly_All!DS$3&amp;Weekly_All!$B24&amp;Weekly_All!$B$3&amp;$B$2)</f>
        <v>0</v>
      </c>
      <c r="DT24" s="2">
        <f>COUNTIF(defects!$V:$V,Weekly_All!DT$3&amp;Weekly_All!$B24&amp;Weekly_All!$B$3&amp;$B$2)</f>
        <v>0</v>
      </c>
      <c r="DU24" s="2">
        <f>COUNTIF(defects!$V:$V,Weekly_All!DU$3&amp;Weekly_All!$B24&amp;Weekly_All!$B$3&amp;$B$2)</f>
        <v>0</v>
      </c>
      <c r="DV24" s="2">
        <f>COUNTIF(defects!$V:$V,Weekly_All!DV$3&amp;Weekly_All!$B24&amp;Weekly_All!$B$3&amp;$B$2)</f>
        <v>0</v>
      </c>
      <c r="DW24" s="2">
        <f>COUNTIF(defects!$V:$V,Weekly_All!DW$3&amp;Weekly_All!$B24&amp;Weekly_All!$B$3&amp;$B$2)</f>
        <v>0</v>
      </c>
      <c r="DX24" s="2">
        <f>COUNTIF(defects!$V:$V,Weekly_All!DX$3&amp;Weekly_All!$B24&amp;Weekly_All!$B$3&amp;$B$2)</f>
        <v>0</v>
      </c>
      <c r="DY24" s="2">
        <f>COUNTIF(defects!$V:$V,Weekly_All!DY$3&amp;Weekly_All!$B24&amp;Weekly_All!$B$3&amp;$B$2)</f>
        <v>0</v>
      </c>
      <c r="DZ24" s="2">
        <f>COUNTIF(defects!$V:$V,Weekly_All!DZ$3&amp;Weekly_All!$B24&amp;Weekly_All!$B$3&amp;$B$2)</f>
        <v>0</v>
      </c>
      <c r="EA24" s="2">
        <f>COUNTIF(defects!$V:$V,Weekly_All!EA$3&amp;Weekly_All!$B24&amp;Weekly_All!$B$3&amp;$B$2)</f>
        <v>0</v>
      </c>
      <c r="EB24" s="2">
        <f>COUNTIF(defects!$V:$V,Weekly_All!EB$3&amp;Weekly_All!$B24&amp;Weekly_All!$B$3&amp;$B$2)</f>
        <v>0</v>
      </c>
      <c r="EC24" s="2">
        <f>COUNTIF(defects!$V:$V,Weekly_All!EC$3&amp;Weekly_All!$B24&amp;Weekly_All!$B$3&amp;$B$2)</f>
        <v>0</v>
      </c>
      <c r="ED24" s="2">
        <f>COUNTIF(defects!$V:$V,Weekly_All!ED$3&amp;Weekly_All!$B24&amp;Weekly_All!$B$3&amp;$B$2)</f>
        <v>0</v>
      </c>
      <c r="EE24" s="2">
        <f>COUNTIF(defects!$V:$V,Weekly_All!EE$3&amp;Weekly_All!$B24&amp;Weekly_All!$B$3&amp;$B$2)</f>
        <v>0</v>
      </c>
      <c r="EF24" s="2">
        <f>COUNTIF(defects!$V:$V,Weekly_All!EF$3&amp;Weekly_All!$B24&amp;Weekly_All!$B$3&amp;$B$2)</f>
        <v>0</v>
      </c>
      <c r="EG24" s="2">
        <f>COUNTIF(defects!$V:$V,Weekly_All!EG$3&amp;Weekly_All!$B24&amp;Weekly_All!$B$3&amp;$B$2)</f>
        <v>0</v>
      </c>
      <c r="EH24" s="2">
        <f>COUNTIF(defects!$V:$V,Weekly_All!EH$3&amp;Weekly_All!$B24&amp;Weekly_All!$B$3&amp;$B$2)</f>
        <v>0</v>
      </c>
      <c r="EI24" s="2">
        <f>COUNTIF(defects!$V:$V,Weekly_All!EI$3&amp;Weekly_All!$B24&amp;Weekly_All!$B$3&amp;$B$2)</f>
        <v>0</v>
      </c>
      <c r="EJ24" s="2">
        <f>COUNTIF(defects!$V:$V,Weekly_All!EJ$3&amp;Weekly_All!$B24&amp;Weekly_All!$B$3&amp;$B$2)</f>
        <v>0</v>
      </c>
      <c r="EK24" s="2">
        <f>COUNTIF(defects!$V:$V,Weekly_All!EK$3&amp;Weekly_All!$B24&amp;Weekly_All!$B$3&amp;$B$2)</f>
        <v>0</v>
      </c>
      <c r="EL24" s="2">
        <f>COUNTIF(defects!$V:$V,Weekly_All!EL$3&amp;Weekly_All!$B24&amp;Weekly_All!$B$3&amp;$B$2)</f>
        <v>0</v>
      </c>
      <c r="EM24" s="2">
        <f>COUNTIF(defects!$V:$V,Weekly_All!EM$3&amp;Weekly_All!$B24&amp;Weekly_All!$B$3&amp;$B$2)</f>
        <v>0</v>
      </c>
      <c r="EN24" s="2">
        <f>COUNTIF(defects!$V:$V,Weekly_All!EN$3&amp;Weekly_All!$B24&amp;Weekly_All!$B$3&amp;$B$2)</f>
        <v>0</v>
      </c>
      <c r="EO24" s="2">
        <f>COUNTIF(defects!$V:$V,Weekly_All!EO$3&amp;Weekly_All!$B24&amp;Weekly_All!$B$3&amp;$B$2)</f>
        <v>0</v>
      </c>
      <c r="EP24" s="2">
        <f>COUNTIF(defects!$V:$V,Weekly_All!EP$3&amp;Weekly_All!$B24&amp;Weekly_All!$B$3&amp;$B$2)</f>
        <v>0</v>
      </c>
      <c r="EQ24" s="2">
        <f>COUNTIF(defects!$V:$V,Weekly_All!EQ$3&amp;Weekly_All!$B24&amp;Weekly_All!$B$3&amp;$B$2)</f>
        <v>0</v>
      </c>
      <c r="ER24" s="2">
        <f>COUNTIF(defects!$V:$V,Weekly_All!ER$3&amp;Weekly_All!$B24&amp;Weekly_All!$B$3&amp;$B$2)</f>
        <v>0</v>
      </c>
      <c r="ES24" s="2">
        <f>COUNTIF(defects!$V:$V,Weekly_All!ES$3&amp;Weekly_All!$B24&amp;Weekly_All!$B$3&amp;$B$2)</f>
        <v>0</v>
      </c>
      <c r="ET24" s="2">
        <f>COUNTIF(defects!$V:$V,Weekly_All!ET$3&amp;Weekly_All!$B24&amp;Weekly_All!$B$3&amp;$B$2)</f>
        <v>0</v>
      </c>
      <c r="EU24" s="2">
        <f>COUNTIF(defects!$V:$V,Weekly_All!EU$3&amp;Weekly_All!$B24&amp;Weekly_All!$B$3&amp;$B$2)</f>
        <v>0</v>
      </c>
      <c r="EV24" s="2">
        <f>COUNTIF(defects!$V:$V,Weekly_All!EV$3&amp;Weekly_All!$B24&amp;Weekly_All!$B$3&amp;$B$2)</f>
        <v>0</v>
      </c>
      <c r="EW24" s="2">
        <f>COUNTIF(defects!$V:$V,Weekly_All!EW$3&amp;Weekly_All!$B24&amp;Weekly_All!$B$3&amp;$B$2)</f>
        <v>0</v>
      </c>
      <c r="EX24" s="2">
        <f>COUNTIF(defects!$V:$V,Weekly_All!EX$3&amp;Weekly_All!$B24&amp;Weekly_All!$B$3&amp;$B$2)</f>
        <v>0</v>
      </c>
      <c r="EY24" s="2">
        <f>COUNTIF(defects!$V:$V,Weekly_All!EY$3&amp;Weekly_All!$B24&amp;Weekly_All!$B$3&amp;$B$2)</f>
        <v>0</v>
      </c>
      <c r="EZ24" s="2">
        <f>COUNTIF(defects!$V:$V,Weekly_All!EZ$3&amp;Weekly_All!$B24&amp;Weekly_All!$B$3&amp;$B$2)</f>
        <v>0</v>
      </c>
      <c r="FA24" s="2">
        <f>COUNTIF(defects!$V:$V,Weekly_All!FA$3&amp;Weekly_All!$B24&amp;Weekly_All!$B$3&amp;$B$2)</f>
        <v>0</v>
      </c>
      <c r="FB24" s="2">
        <f>COUNTIF(defects!$V:$V,Weekly_All!FB$3&amp;Weekly_All!$B24&amp;Weekly_All!$B$3&amp;$B$2)</f>
        <v>0</v>
      </c>
      <c r="FC24" s="2">
        <f>COUNTIF(defects!$V:$V,Weekly_All!FC$3&amp;Weekly_All!$B24&amp;Weekly_All!$B$3&amp;$B$2)</f>
        <v>0</v>
      </c>
      <c r="FD24" s="2">
        <f>COUNTIF(defects!$V:$V,Weekly_All!FD$3&amp;Weekly_All!$B24&amp;Weekly_All!$B$3&amp;$B$2)</f>
        <v>0</v>
      </c>
      <c r="FE24" s="2">
        <f>COUNTIF(defects!$V:$V,Weekly_All!FE$3&amp;Weekly_All!$B24&amp;Weekly_All!$B$3&amp;$B$2)</f>
        <v>0</v>
      </c>
    </row>
    <row r="25" spans="2:161">
      <c r="C25" s="2"/>
    </row>
  </sheetData>
  <phoneticPr fontId="7" type="noConversion"/>
  <conditionalFormatting sqref="C6:C25 D6:FE24 C4:FE5">
    <cfRule type="cellIs" dxfId="5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832AF-02B6-4753-8DB8-2F34330F007A}">
  <sheetPr codeName="wsMonthly">
    <tabColor rgb="FF00CC99"/>
  </sheetPr>
  <dimension ref="B2:AV48"/>
  <sheetViews>
    <sheetView zoomScale="85" zoomScaleNormal="85" workbookViewId="0">
      <selection activeCell="AR4" sqref="AR4"/>
    </sheetView>
  </sheetViews>
  <sheetFormatPr defaultColWidth="8.90625" defaultRowHeight="14.5"/>
  <cols>
    <col min="1" max="1" width="3" style="3" customWidth="1"/>
    <col min="2" max="5" width="11.08984375" style="3" customWidth="1"/>
    <col min="6" max="29" width="9.453125" style="3" hidden="1" customWidth="1"/>
    <col min="30" max="31" width="9.453125" style="3" customWidth="1"/>
    <col min="32" max="42" width="9.453125" style="3" hidden="1" customWidth="1"/>
    <col min="43" max="48" width="9.453125" style="3" customWidth="1"/>
    <col min="49" max="16384" width="8.90625" style="3"/>
  </cols>
  <sheetData>
    <row r="2" spans="2:48">
      <c r="B2" s="3" t="s">
        <v>28</v>
      </c>
      <c r="C2" s="3" t="str">
        <f>B3</f>
        <v>FY21</v>
      </c>
      <c r="D2" s="3" t="str">
        <f>"FY" &amp; (RIGHT(B3,2)+1)</f>
        <v>FY22</v>
      </c>
      <c r="F2" s="3" t="s">
        <v>961</v>
      </c>
      <c r="G2" s="3" t="s">
        <v>961</v>
      </c>
      <c r="H2" s="3" t="s">
        <v>961</v>
      </c>
      <c r="I2" s="3" t="s">
        <v>961</v>
      </c>
      <c r="J2" s="3" t="s">
        <v>961</v>
      </c>
      <c r="K2" s="3" t="s">
        <v>961</v>
      </c>
      <c r="L2" s="3" t="s">
        <v>961</v>
      </c>
      <c r="M2" s="3" t="s">
        <v>961</v>
      </c>
      <c r="N2" s="3" t="s">
        <v>961</v>
      </c>
      <c r="O2" s="3" t="s">
        <v>961</v>
      </c>
      <c r="P2" s="3" t="s">
        <v>961</v>
      </c>
      <c r="Q2" s="3" t="s">
        <v>961</v>
      </c>
      <c r="R2" s="3" t="s">
        <v>960</v>
      </c>
      <c r="S2" s="3" t="s">
        <v>960</v>
      </c>
      <c r="T2" s="3" t="s">
        <v>960</v>
      </c>
      <c r="U2" s="3" t="s">
        <v>960</v>
      </c>
      <c r="V2" s="3" t="s">
        <v>960</v>
      </c>
      <c r="W2" s="3" t="s">
        <v>960</v>
      </c>
      <c r="X2" s="3" t="s">
        <v>960</v>
      </c>
      <c r="Y2" s="3" t="s">
        <v>960</v>
      </c>
      <c r="Z2" s="3" t="s">
        <v>960</v>
      </c>
      <c r="AA2" s="3" t="s">
        <v>960</v>
      </c>
      <c r="AB2" s="3" t="s">
        <v>960</v>
      </c>
      <c r="AC2" s="3" t="s">
        <v>960</v>
      </c>
      <c r="AD2" s="3" t="s">
        <v>1025</v>
      </c>
      <c r="AE2" s="3" t="s">
        <v>1025</v>
      </c>
      <c r="AF2" s="3" t="s">
        <v>1025</v>
      </c>
      <c r="AG2" s="3" t="s">
        <v>1025</v>
      </c>
      <c r="AH2" s="3" t="s">
        <v>1025</v>
      </c>
      <c r="AI2" s="3" t="s">
        <v>1025</v>
      </c>
      <c r="AJ2" s="3" t="s">
        <v>1025</v>
      </c>
      <c r="AK2" s="3" t="s">
        <v>1025</v>
      </c>
      <c r="AL2" s="3" t="s">
        <v>1025</v>
      </c>
      <c r="AM2" s="3" t="s">
        <v>1025</v>
      </c>
      <c r="AN2" s="3" t="s">
        <v>1025</v>
      </c>
      <c r="AO2" s="3" t="s">
        <v>1025</v>
      </c>
      <c r="AP2" s="3" t="s">
        <v>6951</v>
      </c>
    </row>
    <row r="3" spans="2:48">
      <c r="B3" s="9" t="str">
        <f>Report!D2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988</v>
      </c>
      <c r="G3" s="10" t="s">
        <v>987</v>
      </c>
      <c r="H3" s="10" t="s">
        <v>986</v>
      </c>
      <c r="I3" s="10" t="s">
        <v>977</v>
      </c>
      <c r="J3" s="10" t="s">
        <v>978</v>
      </c>
      <c r="K3" s="10" t="s">
        <v>979</v>
      </c>
      <c r="L3" s="10" t="s">
        <v>980</v>
      </c>
      <c r="M3" s="10" t="s">
        <v>981</v>
      </c>
      <c r="N3" s="10" t="s">
        <v>982</v>
      </c>
      <c r="O3" s="10" t="s">
        <v>983</v>
      </c>
      <c r="P3" s="10" t="s">
        <v>984</v>
      </c>
      <c r="Q3" s="10" t="s">
        <v>985</v>
      </c>
      <c r="R3" s="10" t="s">
        <v>976</v>
      </c>
      <c r="S3" s="10" t="s">
        <v>975</v>
      </c>
      <c r="T3" s="10" t="s">
        <v>969</v>
      </c>
      <c r="U3" s="10" t="s">
        <v>970</v>
      </c>
      <c r="V3" s="10" t="s">
        <v>971</v>
      </c>
      <c r="W3" s="10" t="s">
        <v>972</v>
      </c>
      <c r="X3" s="10" t="s">
        <v>973</v>
      </c>
      <c r="Y3" s="10" t="s">
        <v>974</v>
      </c>
      <c r="Z3" s="10" t="s">
        <v>997</v>
      </c>
      <c r="AA3" s="10" t="s">
        <v>998</v>
      </c>
      <c r="AB3" s="10" t="s">
        <v>999</v>
      </c>
      <c r="AC3" s="10" t="s">
        <v>1000</v>
      </c>
      <c r="AD3" s="10" t="s">
        <v>1001</v>
      </c>
      <c r="AE3" s="10" t="s">
        <v>1002</v>
      </c>
      <c r="AF3" s="10" t="s">
        <v>1003</v>
      </c>
      <c r="AG3" s="10" t="s">
        <v>1004</v>
      </c>
      <c r="AH3" s="10" t="s">
        <v>1005</v>
      </c>
      <c r="AI3" s="10" t="s">
        <v>1006</v>
      </c>
      <c r="AJ3" s="10" t="s">
        <v>1007</v>
      </c>
      <c r="AK3" s="10" t="s">
        <v>1008</v>
      </c>
      <c r="AL3" s="10" t="s">
        <v>1009</v>
      </c>
      <c r="AM3" s="10" t="s">
        <v>1010</v>
      </c>
      <c r="AN3" s="10" t="s">
        <v>1011</v>
      </c>
      <c r="AO3" s="10" t="s">
        <v>1012</v>
      </c>
      <c r="AP3" s="10" t="s">
        <v>1013</v>
      </c>
      <c r="AQ3" s="10"/>
      <c r="AR3" s="11" cm="1">
        <f t="array" ref="AR3">GetPreviousWkNo(AS3)</f>
        <v>2151</v>
      </c>
      <c r="AS3" s="11" cm="1">
        <f t="array" ref="AS3">GetPreviousWkNo(AT3)</f>
        <v>2152</v>
      </c>
      <c r="AT3" s="16">
        <f>Report!E2</f>
        <v>2201</v>
      </c>
      <c r="AU3" s="10"/>
      <c r="AV3" s="12" t="s">
        <v>1024</v>
      </c>
    </row>
    <row r="4" spans="2:48">
      <c r="B4" s="12" t="s">
        <v>989</v>
      </c>
      <c r="C4" s="12">
        <f>SUMIF($F$2:$AP$2,C$2,$F4:$AP4)</f>
        <v>256896</v>
      </c>
      <c r="D4" s="12">
        <f>SUMIF($F$2:$AP$2,D$2,$F4:$AP4)</f>
        <v>0</v>
      </c>
      <c r="E4" s="12"/>
      <c r="F4" s="12">
        <f>SUMIF(inputs!$H:$H,$B$3&amp;F$3,inputs!$D:$D)</f>
        <v>0</v>
      </c>
      <c r="G4" s="12">
        <f>SUMIF(inputs!$H:$H,$B$3&amp;G$3,inputs!$D:$D)</f>
        <v>0</v>
      </c>
      <c r="H4" s="12">
        <f>SUMIF(inputs!$H:$H,$B$3&amp;H$3,inputs!$D:$D)</f>
        <v>0</v>
      </c>
      <c r="I4" s="12">
        <f>SUMIF(inputs!$H:$H,$B$3&amp;I$3,inputs!$D:$D)</f>
        <v>0</v>
      </c>
      <c r="J4" s="12">
        <f>SUMIF(inputs!$H:$H,$B$3&amp;J$3,inputs!$D:$D)</f>
        <v>0</v>
      </c>
      <c r="K4" s="12">
        <f>SUMIF(inputs!$H:$H,$B$3&amp;K$3,inputs!$D:$D)</f>
        <v>0</v>
      </c>
      <c r="L4" s="12">
        <f>SUMIF(inputs!$H:$H,$B$3&amp;L$3,inputs!$D:$D)</f>
        <v>0</v>
      </c>
      <c r="M4" s="12">
        <f>SUMIF(inputs!$H:$H,$B$3&amp;M$3,inputs!$D:$D)</f>
        <v>0</v>
      </c>
      <c r="N4" s="12">
        <f>SUMIF(inputs!$H:$H,$B$3&amp;N$3,inputs!$D:$D)</f>
        <v>0</v>
      </c>
      <c r="O4" s="12">
        <f>SUMIF(inputs!$H:$H,$B$3&amp;O$3,inputs!$D:$D)</f>
        <v>0</v>
      </c>
      <c r="P4" s="12">
        <f>SUMIF(inputs!$H:$H,$B$3&amp;P$3,inputs!$D:$D)</f>
        <v>0</v>
      </c>
      <c r="Q4" s="12">
        <f>SUMIF(inputs!$H:$H,$B$3&amp;Q$3,inputs!$D:$D)</f>
        <v>0</v>
      </c>
      <c r="R4" s="12">
        <f>SUMIF(inputs!$H:$H,$B$3&amp;R$3,inputs!$D:$D)</f>
        <v>0</v>
      </c>
      <c r="S4" s="12">
        <f>SUMIF(inputs!$H:$H,$B$3&amp;S$3,inputs!$D:$D)</f>
        <v>2</v>
      </c>
      <c r="T4" s="12">
        <f>SUMIF(inputs!$H:$H,$B$3&amp;T$3,inputs!$D:$D)</f>
        <v>2084</v>
      </c>
      <c r="U4" s="12">
        <f>SUMIF(inputs!$H:$H,$B$3&amp;U$3,inputs!$D:$D)</f>
        <v>8453</v>
      </c>
      <c r="V4" s="12">
        <f>SUMIF(inputs!$H:$H,$B$3&amp;V$3,inputs!$D:$D)</f>
        <v>24701</v>
      </c>
      <c r="W4" s="12">
        <f>SUMIF(inputs!$H:$H,$B$3&amp;W$3,inputs!$D:$D)</f>
        <v>26591</v>
      </c>
      <c r="X4" s="12">
        <f>SUMIF(inputs!$H:$H,$B$3&amp;X$3,inputs!$D:$D)</f>
        <v>25909</v>
      </c>
      <c r="Y4" s="12">
        <f>SUMIF(inputs!$H:$H,$B$3&amp;Y$3,inputs!$D:$D)</f>
        <v>46313</v>
      </c>
      <c r="Z4" s="12">
        <f>SUMIF(inputs!$H:$H,$B$3&amp;Z$3,inputs!$D:$D)</f>
        <v>45799</v>
      </c>
      <c r="AA4" s="12">
        <f>SUMIF(inputs!$H:$H,$B$3&amp;AA$3,inputs!$D:$D)</f>
        <v>33031</v>
      </c>
      <c r="AB4" s="12">
        <f>SUMIF(inputs!$H:$H,$B$3&amp;AB$3,inputs!$D:$D)</f>
        <v>30912</v>
      </c>
      <c r="AC4" s="12">
        <f>SUMIF(inputs!$H:$H,$B$3&amp;AC$3,inputs!$D:$D)</f>
        <v>13101</v>
      </c>
      <c r="AD4" s="12">
        <f>SUMIF(inputs!$H:$H,$B$3&amp;AD$3,inputs!$D:$D)</f>
        <v>0</v>
      </c>
      <c r="AE4" s="12">
        <f>SUMIF(inputs!$H:$H,$B$3&amp;AE$3,inputs!$D:$D)</f>
        <v>0</v>
      </c>
      <c r="AF4" s="12">
        <f>SUMIF(inputs!$H:$H,$B$3&amp;AF$3,inputs!$D:$D)</f>
        <v>0</v>
      </c>
      <c r="AG4" s="12">
        <f>SUMIF(inputs!$H:$H,$B$3&amp;AG$3,inputs!$D:$D)</f>
        <v>0</v>
      </c>
      <c r="AH4" s="12">
        <f>SUMIF(inputs!$H:$H,$B$3&amp;AH$3,inputs!$D:$D)</f>
        <v>0</v>
      </c>
      <c r="AI4" s="12">
        <f>SUMIF(inputs!$H:$H,$B$3&amp;AI$3,inputs!$D:$D)</f>
        <v>0</v>
      </c>
      <c r="AJ4" s="12">
        <f>SUMIF(inputs!$H:$H,$B$3&amp;AJ$3,inputs!$D:$D)</f>
        <v>0</v>
      </c>
      <c r="AK4" s="12">
        <f>SUMIF(inputs!$H:$H,$B$3&amp;AK$3,inputs!$D:$D)</f>
        <v>0</v>
      </c>
      <c r="AL4" s="12">
        <f>SUMIF(inputs!$H:$H,$B$3&amp;AL$3,inputs!$D:$D)</f>
        <v>0</v>
      </c>
      <c r="AM4" s="12">
        <f>SUMIF(inputs!$H:$H,$B$3&amp;AM$3,inputs!$D:$D)</f>
        <v>0</v>
      </c>
      <c r="AN4" s="12">
        <f>SUMIF(inputs!$H:$H,$B$3&amp;AN$3,inputs!$D:$D)</f>
        <v>0</v>
      </c>
      <c r="AO4" s="12">
        <f>SUMIF(inputs!$H:$H,$B$3&amp;AO$3,inputs!$D:$D)</f>
        <v>0</v>
      </c>
      <c r="AP4" s="12">
        <f>SUMIF(inputs!$H:$H,$B$3&amp;AP$3,inputs!$D:$D)</f>
        <v>0</v>
      </c>
      <c r="AQ4" s="12"/>
      <c r="AR4" s="12">
        <f>HLOOKUP(AR$3,Weekly_All!$3:$24,MATCH($B4,Weekly_All!$B$3:$B$24,0),0)</f>
        <v>987</v>
      </c>
      <c r="AS4" s="12">
        <f>HLOOKUP(AS$3,Weekly_All!$3:$24,MATCH($B4,Weekly_All!$B$3:$B$24,0),0)</f>
        <v>3028</v>
      </c>
      <c r="AT4" s="12">
        <f>HLOOKUP(AT$3,Weekly_All!$3:$24,MATCH($B4,Weekly_All!$B$3:$B$24,0),0)</f>
        <v>0</v>
      </c>
      <c r="AU4" s="12"/>
      <c r="AV4" s="12">
        <f>SUM(F4:AP4)</f>
        <v>256896</v>
      </c>
    </row>
    <row r="5" spans="2:48">
      <c r="B5" s="12" t="s">
        <v>990</v>
      </c>
      <c r="C5" s="12">
        <f t="shared" ref="C5:D24" si="0">SUMIF($F$2:$AP$2,C$2,$F5:$AP5)</f>
        <v>457</v>
      </c>
      <c r="D5" s="12">
        <f t="shared" si="0"/>
        <v>0</v>
      </c>
      <c r="E5" s="12"/>
      <c r="F5" s="12">
        <f>SUM(F6:F24)</f>
        <v>0</v>
      </c>
      <c r="G5" s="12">
        <f>SUM(G6:G24)</f>
        <v>0</v>
      </c>
      <c r="H5" s="12">
        <f t="shared" ref="H5:AP5" si="1">SUM(H6:H24)</f>
        <v>0</v>
      </c>
      <c r="I5" s="12">
        <f t="shared" si="1"/>
        <v>0</v>
      </c>
      <c r="J5" s="12">
        <f t="shared" si="1"/>
        <v>0</v>
      </c>
      <c r="K5" s="12">
        <f t="shared" si="1"/>
        <v>0</v>
      </c>
      <c r="L5" s="12">
        <f t="shared" si="1"/>
        <v>0</v>
      </c>
      <c r="M5" s="12">
        <f t="shared" si="1"/>
        <v>0</v>
      </c>
      <c r="N5" s="12">
        <f t="shared" si="1"/>
        <v>0</v>
      </c>
      <c r="O5" s="12">
        <f t="shared" si="1"/>
        <v>0</v>
      </c>
      <c r="P5" s="12">
        <f t="shared" si="1"/>
        <v>0</v>
      </c>
      <c r="Q5" s="12">
        <f t="shared" si="1"/>
        <v>0</v>
      </c>
      <c r="R5" s="12">
        <f t="shared" si="1"/>
        <v>0</v>
      </c>
      <c r="S5" s="12">
        <f t="shared" si="1"/>
        <v>0</v>
      </c>
      <c r="T5" s="12">
        <f t="shared" si="1"/>
        <v>2</v>
      </c>
      <c r="U5" s="12">
        <f t="shared" si="1"/>
        <v>9</v>
      </c>
      <c r="V5" s="12">
        <f t="shared" si="1"/>
        <v>26</v>
      </c>
      <c r="W5" s="12">
        <f t="shared" si="1"/>
        <v>30</v>
      </c>
      <c r="X5" s="12">
        <f t="shared" si="1"/>
        <v>45</v>
      </c>
      <c r="Y5" s="12">
        <f t="shared" si="1"/>
        <v>88</v>
      </c>
      <c r="Z5" s="12">
        <f t="shared" si="1"/>
        <v>82</v>
      </c>
      <c r="AA5" s="12">
        <f t="shared" si="1"/>
        <v>112</v>
      </c>
      <c r="AB5" s="12">
        <f t="shared" si="1"/>
        <v>49</v>
      </c>
      <c r="AC5" s="12">
        <f t="shared" si="1"/>
        <v>14</v>
      </c>
      <c r="AD5" s="12">
        <f t="shared" si="1"/>
        <v>0</v>
      </c>
      <c r="AE5" s="12">
        <f t="shared" si="1"/>
        <v>0</v>
      </c>
      <c r="AF5" s="12">
        <f t="shared" si="1"/>
        <v>0</v>
      </c>
      <c r="AG5" s="12">
        <f t="shared" si="1"/>
        <v>0</v>
      </c>
      <c r="AH5" s="12">
        <f t="shared" si="1"/>
        <v>0</v>
      </c>
      <c r="AI5" s="12">
        <f t="shared" si="1"/>
        <v>0</v>
      </c>
      <c r="AJ5" s="12">
        <f t="shared" si="1"/>
        <v>0</v>
      </c>
      <c r="AK5" s="12">
        <f t="shared" si="1"/>
        <v>0</v>
      </c>
      <c r="AL5" s="12">
        <f t="shared" si="1"/>
        <v>0</v>
      </c>
      <c r="AM5" s="12">
        <f t="shared" si="1"/>
        <v>0</v>
      </c>
      <c r="AN5" s="12">
        <f t="shared" si="1"/>
        <v>0</v>
      </c>
      <c r="AO5" s="12">
        <f t="shared" si="1"/>
        <v>0</v>
      </c>
      <c r="AP5" s="12">
        <f t="shared" si="1"/>
        <v>0</v>
      </c>
      <c r="AQ5" s="12"/>
      <c r="AR5" s="12">
        <f>HLOOKUP(AR$3,Weekly_All!$3:$24,MATCH($B5,Weekly_All!$B$3:$B$24,0),0)</f>
        <v>2</v>
      </c>
      <c r="AS5" s="12">
        <f>HLOOKUP(AS$3,Weekly_All!$3:$24,MATCH($B5,Weekly_All!$B$3:$B$24,0),0)</f>
        <v>8</v>
      </c>
      <c r="AT5" s="12">
        <f>HLOOKUP(AT$3,Weekly_All!$3:$24,MATCH($B5,Weekly_All!$B$3:$B$24,0),0)</f>
        <v>0</v>
      </c>
      <c r="AU5" s="12"/>
      <c r="AV5" s="12">
        <f>SUM(F5:AP5)</f>
        <v>457</v>
      </c>
    </row>
    <row r="6" spans="2:48">
      <c r="B6" s="12" t="s">
        <v>991</v>
      </c>
      <c r="C6" s="12">
        <f>SUMIF($F$2:$AP$2,C$2,$F6:$AP6)</f>
        <v>0</v>
      </c>
      <c r="D6" s="12">
        <f t="shared" si="0"/>
        <v>0</v>
      </c>
      <c r="E6" s="12"/>
      <c r="F6" s="12">
        <f>COUNTIF(defects!$W:$W,Monthly_All!$B6&amp;Monthly_All!$B$3&amp;$B$2&amp;Monthly_All!F$3)</f>
        <v>0</v>
      </c>
      <c r="G6" s="12">
        <f>COUNTIF(defects!$W:$W,Monthly_All!$B6&amp;Monthly_All!$B$3&amp;$B$2&amp;Monthly_All!G$3)</f>
        <v>0</v>
      </c>
      <c r="H6" s="12">
        <f>COUNTIF(defects!$W:$W,Monthly_All!$B6&amp;Monthly_All!$B$3&amp;$B$2&amp;Monthly_All!H$3)</f>
        <v>0</v>
      </c>
      <c r="I6" s="12">
        <f>COUNTIF(defects!$W:$W,Monthly_All!$B6&amp;Monthly_All!$B$3&amp;$B$2&amp;Monthly_All!I$3)</f>
        <v>0</v>
      </c>
      <c r="J6" s="12">
        <f>COUNTIF(defects!$W:$W,Monthly_All!$B6&amp;Monthly_All!$B$3&amp;$B$2&amp;Monthly_All!J$3)</f>
        <v>0</v>
      </c>
      <c r="K6" s="12">
        <f>COUNTIF(defects!$W:$W,Monthly_All!$B6&amp;Monthly_All!$B$3&amp;$B$2&amp;Monthly_All!K$3)</f>
        <v>0</v>
      </c>
      <c r="L6" s="12">
        <f>COUNTIF(defects!$W:$W,Monthly_All!$B6&amp;Monthly_All!$B$3&amp;$B$2&amp;Monthly_All!L$3)</f>
        <v>0</v>
      </c>
      <c r="M6" s="12">
        <f>COUNTIF(defects!$W:$W,Monthly_All!$B6&amp;Monthly_All!$B$3&amp;$B$2&amp;Monthly_All!M$3)</f>
        <v>0</v>
      </c>
      <c r="N6" s="12">
        <f>COUNTIF(defects!$W:$W,Monthly_All!$B6&amp;Monthly_All!$B$3&amp;$B$2&amp;Monthly_All!N$3)</f>
        <v>0</v>
      </c>
      <c r="O6" s="12">
        <f>COUNTIF(defects!$W:$W,Monthly_All!$B6&amp;Monthly_All!$B$3&amp;$B$2&amp;Monthly_All!O$3)</f>
        <v>0</v>
      </c>
      <c r="P6" s="12">
        <f>COUNTIF(defects!$W:$W,Monthly_All!$B6&amp;Monthly_All!$B$3&amp;$B$2&amp;Monthly_All!P$3)</f>
        <v>0</v>
      </c>
      <c r="Q6" s="12">
        <f>COUNTIF(defects!$W:$W,Monthly_All!$B6&amp;Monthly_All!$B$3&amp;$B$2&amp;Monthly_All!Q$3)</f>
        <v>0</v>
      </c>
      <c r="R6" s="12">
        <f>COUNTIF(defects!$W:$W,Monthly_All!$B6&amp;Monthly_All!$B$3&amp;$B$2&amp;Monthly_All!R$3)</f>
        <v>0</v>
      </c>
      <c r="S6" s="12">
        <f>COUNTIF(defects!$W:$W,Monthly_All!$B6&amp;Monthly_All!$B$3&amp;$B$2&amp;Monthly_All!S$3)</f>
        <v>0</v>
      </c>
      <c r="T6" s="12">
        <f>COUNTIF(defects!$W:$W,Monthly_All!$B6&amp;Monthly_All!$B$3&amp;$B$2&amp;Monthly_All!T$3)</f>
        <v>0</v>
      </c>
      <c r="U6" s="12">
        <f>COUNTIF(defects!$W:$W,Monthly_All!$B6&amp;Monthly_All!$B$3&amp;$B$2&amp;Monthly_All!U$3)</f>
        <v>0</v>
      </c>
      <c r="V6" s="12">
        <f>COUNTIF(defects!$W:$W,Monthly_All!$B6&amp;Monthly_All!$B$3&amp;$B$2&amp;Monthly_All!V$3)</f>
        <v>0</v>
      </c>
      <c r="W6" s="12">
        <f>COUNTIF(defects!$W:$W,Monthly_All!$B6&amp;Monthly_All!$B$3&amp;$B$2&amp;Monthly_All!W$3)</f>
        <v>0</v>
      </c>
      <c r="X6" s="12">
        <f>COUNTIF(defects!$W:$W,Monthly_All!$B6&amp;Monthly_All!$B$3&amp;$B$2&amp;Monthly_All!X$3)</f>
        <v>0</v>
      </c>
      <c r="Y6" s="12">
        <f>COUNTIF(defects!$W:$W,Monthly_All!$B6&amp;Monthly_All!$B$3&amp;$B$2&amp;Monthly_All!Y$3)</f>
        <v>0</v>
      </c>
      <c r="Z6" s="12">
        <f>COUNTIF(defects!$W:$W,Monthly_All!$B6&amp;Monthly_All!$B$3&amp;$B$2&amp;Monthly_All!Z$3)</f>
        <v>0</v>
      </c>
      <c r="AA6" s="12">
        <f>COUNTIF(defects!$W:$W,Monthly_All!$B6&amp;Monthly_All!$B$3&amp;$B$2&amp;Monthly_All!AA$3)</f>
        <v>0</v>
      </c>
      <c r="AB6" s="12">
        <f>COUNTIF(defects!$W:$W,Monthly_All!$B6&amp;Monthly_All!$B$3&amp;$B$2&amp;Monthly_All!AB$3)</f>
        <v>0</v>
      </c>
      <c r="AC6" s="12">
        <f>COUNTIF(defects!$W:$W,Monthly_All!$B6&amp;Monthly_All!$B$3&amp;$B$2&amp;Monthly_All!AC$3)</f>
        <v>0</v>
      </c>
      <c r="AD6" s="12">
        <f>COUNTIF(defects!$W:$W,Monthly_All!$B6&amp;Monthly_All!$B$3&amp;$B$2&amp;Monthly_All!AD$3)</f>
        <v>0</v>
      </c>
      <c r="AE6" s="12">
        <f>COUNTIF(defects!$W:$W,Monthly_All!$B6&amp;Monthly_All!$B$3&amp;$B$2&amp;Monthly_All!AE$3)</f>
        <v>0</v>
      </c>
      <c r="AF6" s="12">
        <f>COUNTIF(defects!$W:$W,Monthly_All!$B6&amp;Monthly_All!$B$3&amp;$B$2&amp;Monthly_All!AF$3)</f>
        <v>0</v>
      </c>
      <c r="AG6" s="12">
        <f>COUNTIF(defects!$W:$W,Monthly_All!$B6&amp;Monthly_All!$B$3&amp;$B$2&amp;Monthly_All!AG$3)</f>
        <v>0</v>
      </c>
      <c r="AH6" s="12">
        <f>COUNTIF(defects!$W:$W,Monthly_All!$B6&amp;Monthly_All!$B$3&amp;$B$2&amp;Monthly_All!AH$3)</f>
        <v>0</v>
      </c>
      <c r="AI6" s="12">
        <f>COUNTIF(defects!$W:$W,Monthly_All!$B6&amp;Monthly_All!$B$3&amp;$B$2&amp;Monthly_All!AI$3)</f>
        <v>0</v>
      </c>
      <c r="AJ6" s="12">
        <f>COUNTIF(defects!$W:$W,Monthly_All!$B6&amp;Monthly_All!$B$3&amp;$B$2&amp;Monthly_All!AJ$3)</f>
        <v>0</v>
      </c>
      <c r="AK6" s="12">
        <f>COUNTIF(defects!$W:$W,Monthly_All!$B6&amp;Monthly_All!$B$3&amp;$B$2&amp;Monthly_All!AK$3)</f>
        <v>0</v>
      </c>
      <c r="AL6" s="12">
        <f>COUNTIF(defects!$W:$W,Monthly_All!$B6&amp;Monthly_All!$B$3&amp;$B$2&amp;Monthly_All!AL$3)</f>
        <v>0</v>
      </c>
      <c r="AM6" s="12">
        <f>COUNTIF(defects!$W:$W,Monthly_All!$B6&amp;Monthly_All!$B$3&amp;$B$2&amp;Monthly_All!AM$3)</f>
        <v>0</v>
      </c>
      <c r="AN6" s="12">
        <f>COUNTIF(defects!$W:$W,Monthly_All!$B6&amp;Monthly_All!$B$3&amp;$B$2&amp;Monthly_All!AN$3)</f>
        <v>0</v>
      </c>
      <c r="AO6" s="12">
        <f>COUNTIF(defects!$W:$W,Monthly_All!$B6&amp;Monthly_All!$B$3&amp;$B$2&amp;Monthly_All!AO$3)</f>
        <v>0</v>
      </c>
      <c r="AP6" s="12">
        <f>COUNTIF(defects!$W:$W,Monthly_All!$B6&amp;Monthly_All!$B$3&amp;$B$2&amp;Monthly_All!AP$3)</f>
        <v>0</v>
      </c>
      <c r="AQ6" s="12"/>
      <c r="AR6" s="12">
        <f>HLOOKUP(AR$3,Weekly_All!$3:$24,MATCH($B6,Weekly_All!$B$3:$B$24,0),0)</f>
        <v>0</v>
      </c>
      <c r="AS6" s="12">
        <f>HLOOKUP(AS$3,Weekly_All!$3:$24,MATCH($B6,Weekly_All!$B$3:$B$24,0),0)</f>
        <v>0</v>
      </c>
      <c r="AT6" s="12">
        <f>HLOOKUP(AT$3,Weekly_All!$3:$24,MATCH($B6,Weekly_All!$B$3:$B$24,0),0)</f>
        <v>0</v>
      </c>
      <c r="AU6" s="12"/>
      <c r="AV6" s="12">
        <f>SUM(F6:AP6)</f>
        <v>0</v>
      </c>
    </row>
    <row r="7" spans="2:48">
      <c r="B7" s="12" t="s">
        <v>957</v>
      </c>
      <c r="C7" s="12">
        <f t="shared" si="0"/>
        <v>4</v>
      </c>
      <c r="D7" s="12">
        <f>SUMIF($F$2:$AP$2,D$2,$F7:$AP7)</f>
        <v>0</v>
      </c>
      <c r="E7" s="12"/>
      <c r="F7" s="12">
        <f>COUNTIF(defects!$W:$W,Monthly_All!$B7&amp;Monthly_All!$B$3&amp;$B$2&amp;Monthly_All!F$3)</f>
        <v>0</v>
      </c>
      <c r="G7" s="12">
        <f>COUNTIF(defects!$W:$W,Monthly_All!$B7&amp;Monthly_All!$B$3&amp;$B$2&amp;Monthly_All!G$3)</f>
        <v>0</v>
      </c>
      <c r="H7" s="12">
        <f>COUNTIF(defects!$W:$W,Monthly_All!$B7&amp;Monthly_All!$B$3&amp;$B$2&amp;Monthly_All!H$3)</f>
        <v>0</v>
      </c>
      <c r="I7" s="12">
        <f>COUNTIF(defects!$W:$W,Monthly_All!$B7&amp;Monthly_All!$B$3&amp;$B$2&amp;Monthly_All!I$3)</f>
        <v>0</v>
      </c>
      <c r="J7" s="12">
        <f>COUNTIF(defects!$W:$W,Monthly_All!$B7&amp;Monthly_All!$B$3&amp;$B$2&amp;Monthly_All!J$3)</f>
        <v>0</v>
      </c>
      <c r="K7" s="12">
        <f>COUNTIF(defects!$W:$W,Monthly_All!$B7&amp;Monthly_All!$B$3&amp;$B$2&amp;Monthly_All!K$3)</f>
        <v>0</v>
      </c>
      <c r="L7" s="12">
        <f>COUNTIF(defects!$W:$W,Monthly_All!$B7&amp;Monthly_All!$B$3&amp;$B$2&amp;Monthly_All!L$3)</f>
        <v>0</v>
      </c>
      <c r="M7" s="12">
        <f>COUNTIF(defects!$W:$W,Monthly_All!$B7&amp;Monthly_All!$B$3&amp;$B$2&amp;Monthly_All!M$3)</f>
        <v>0</v>
      </c>
      <c r="N7" s="12">
        <f>COUNTIF(defects!$W:$W,Monthly_All!$B7&amp;Monthly_All!$B$3&amp;$B$2&amp;Monthly_All!N$3)</f>
        <v>0</v>
      </c>
      <c r="O7" s="12">
        <f>COUNTIF(defects!$W:$W,Monthly_All!$B7&amp;Monthly_All!$B$3&amp;$B$2&amp;Monthly_All!O$3)</f>
        <v>0</v>
      </c>
      <c r="P7" s="12">
        <f>COUNTIF(defects!$W:$W,Monthly_All!$B7&amp;Monthly_All!$B$3&amp;$B$2&amp;Monthly_All!P$3)</f>
        <v>0</v>
      </c>
      <c r="Q7" s="12">
        <f>COUNTIF(defects!$W:$W,Monthly_All!$B7&amp;Monthly_All!$B$3&amp;$B$2&amp;Monthly_All!Q$3)</f>
        <v>0</v>
      </c>
      <c r="R7" s="12">
        <f>COUNTIF(defects!$W:$W,Monthly_All!$B7&amp;Monthly_All!$B$3&amp;$B$2&amp;Monthly_All!R$3)</f>
        <v>0</v>
      </c>
      <c r="S7" s="12">
        <f>COUNTIF(defects!$W:$W,Monthly_All!$B7&amp;Monthly_All!$B$3&amp;$B$2&amp;Monthly_All!S$3)</f>
        <v>0</v>
      </c>
      <c r="T7" s="12">
        <f>COUNTIF(defects!$W:$W,Monthly_All!$B7&amp;Monthly_All!$B$3&amp;$B$2&amp;Monthly_All!T$3)</f>
        <v>0</v>
      </c>
      <c r="U7" s="12">
        <f>COUNTIF(defects!$W:$W,Monthly_All!$B7&amp;Monthly_All!$B$3&amp;$B$2&amp;Monthly_All!U$3)</f>
        <v>0</v>
      </c>
      <c r="V7" s="12">
        <f>COUNTIF(defects!$W:$W,Monthly_All!$B7&amp;Monthly_All!$B$3&amp;$B$2&amp;Monthly_All!V$3)</f>
        <v>0</v>
      </c>
      <c r="W7" s="12">
        <f>COUNTIF(defects!$W:$W,Monthly_All!$B7&amp;Monthly_All!$B$3&amp;$B$2&amp;Monthly_All!W$3)</f>
        <v>1</v>
      </c>
      <c r="X7" s="12">
        <f>COUNTIF(defects!$W:$W,Monthly_All!$B7&amp;Monthly_All!$B$3&amp;$B$2&amp;Monthly_All!X$3)</f>
        <v>1</v>
      </c>
      <c r="Y7" s="12">
        <f>COUNTIF(defects!$W:$W,Monthly_All!$B7&amp;Monthly_All!$B$3&amp;$B$2&amp;Monthly_All!Y$3)</f>
        <v>0</v>
      </c>
      <c r="Z7" s="12">
        <f>COUNTIF(defects!$W:$W,Monthly_All!$B7&amp;Monthly_All!$B$3&amp;$B$2&amp;Monthly_All!Z$3)</f>
        <v>1</v>
      </c>
      <c r="AA7" s="12">
        <f>COUNTIF(defects!$W:$W,Monthly_All!$B7&amp;Monthly_All!$B$3&amp;$B$2&amp;Monthly_All!AA$3)</f>
        <v>0</v>
      </c>
      <c r="AB7" s="12">
        <f>COUNTIF(defects!$W:$W,Monthly_All!$B7&amp;Monthly_All!$B$3&amp;$B$2&amp;Monthly_All!AB$3)</f>
        <v>1</v>
      </c>
      <c r="AC7" s="12">
        <f>COUNTIF(defects!$W:$W,Monthly_All!$B7&amp;Monthly_All!$B$3&amp;$B$2&amp;Monthly_All!AC$3)</f>
        <v>0</v>
      </c>
      <c r="AD7" s="12">
        <f>COUNTIF(defects!$W:$W,Monthly_All!$B7&amp;Monthly_All!$B$3&amp;$B$2&amp;Monthly_All!AD$3)</f>
        <v>0</v>
      </c>
      <c r="AE7" s="12">
        <f>COUNTIF(defects!$W:$W,Monthly_All!$B7&amp;Monthly_All!$B$3&amp;$B$2&amp;Monthly_All!AE$3)</f>
        <v>0</v>
      </c>
      <c r="AF7" s="12">
        <f>COUNTIF(defects!$W:$W,Monthly_All!$B7&amp;Monthly_All!$B$3&amp;$B$2&amp;Monthly_All!AF$3)</f>
        <v>0</v>
      </c>
      <c r="AG7" s="12">
        <f>COUNTIF(defects!$W:$W,Monthly_All!$B7&amp;Monthly_All!$B$3&amp;$B$2&amp;Monthly_All!AG$3)</f>
        <v>0</v>
      </c>
      <c r="AH7" s="12">
        <f>COUNTIF(defects!$W:$W,Monthly_All!$B7&amp;Monthly_All!$B$3&amp;$B$2&amp;Monthly_All!AH$3)</f>
        <v>0</v>
      </c>
      <c r="AI7" s="12">
        <f>COUNTIF(defects!$W:$W,Monthly_All!$B7&amp;Monthly_All!$B$3&amp;$B$2&amp;Monthly_All!AI$3)</f>
        <v>0</v>
      </c>
      <c r="AJ7" s="12">
        <f>COUNTIF(defects!$W:$W,Monthly_All!$B7&amp;Monthly_All!$B$3&amp;$B$2&amp;Monthly_All!AJ$3)</f>
        <v>0</v>
      </c>
      <c r="AK7" s="12">
        <f>COUNTIF(defects!$W:$W,Monthly_All!$B7&amp;Monthly_All!$B$3&amp;$B$2&amp;Monthly_All!AK$3)</f>
        <v>0</v>
      </c>
      <c r="AL7" s="12">
        <f>COUNTIF(defects!$W:$W,Monthly_All!$B7&amp;Monthly_All!$B$3&amp;$B$2&amp;Monthly_All!AL$3)</f>
        <v>0</v>
      </c>
      <c r="AM7" s="12">
        <f>COUNTIF(defects!$W:$W,Monthly_All!$B7&amp;Monthly_All!$B$3&amp;$B$2&amp;Monthly_All!AM$3)</f>
        <v>0</v>
      </c>
      <c r="AN7" s="12">
        <f>COUNTIF(defects!$W:$W,Monthly_All!$B7&amp;Monthly_All!$B$3&amp;$B$2&amp;Monthly_All!AN$3)</f>
        <v>0</v>
      </c>
      <c r="AO7" s="12">
        <f>COUNTIF(defects!$W:$W,Monthly_All!$B7&amp;Monthly_All!$B$3&amp;$B$2&amp;Monthly_All!AO$3)</f>
        <v>0</v>
      </c>
      <c r="AP7" s="12">
        <f>COUNTIF(defects!$W:$W,Monthly_All!$B7&amp;Monthly_All!$B$3&amp;$B$2&amp;Monthly_All!AP$3)</f>
        <v>0</v>
      </c>
      <c r="AQ7" s="12"/>
      <c r="AR7" s="12">
        <f>HLOOKUP(AR$3,Weekly_All!$3:$24,MATCH($B7,Weekly_All!$B$3:$B$24,0),0)</f>
        <v>0</v>
      </c>
      <c r="AS7" s="12">
        <f>HLOOKUP(AS$3,Weekly_All!$3:$24,MATCH($B7,Weekly_All!$B$3:$B$24,0),0)</f>
        <v>0</v>
      </c>
      <c r="AT7" s="12">
        <f>HLOOKUP(AT$3,Weekly_All!$3:$24,MATCH($B7,Weekly_All!$B$3:$B$24,0),0)</f>
        <v>0</v>
      </c>
      <c r="AU7" s="12"/>
      <c r="AV7" s="12">
        <f t="shared" ref="AV7:AV24" si="2">SUM(F7:AP7)</f>
        <v>4</v>
      </c>
    </row>
    <row r="8" spans="2:48">
      <c r="B8" s="12" t="s">
        <v>955</v>
      </c>
      <c r="C8" s="12">
        <f t="shared" si="0"/>
        <v>19</v>
      </c>
      <c r="D8" s="12">
        <f t="shared" si="0"/>
        <v>0</v>
      </c>
      <c r="E8" s="12"/>
      <c r="F8" s="12">
        <f>COUNTIF(defects!$W:$W,Monthly_All!$B8&amp;Monthly_All!$B$3&amp;$B$2&amp;Monthly_All!F$3)</f>
        <v>0</v>
      </c>
      <c r="G8" s="12">
        <f>COUNTIF(defects!$W:$W,Monthly_All!$B8&amp;Monthly_All!$B$3&amp;$B$2&amp;Monthly_All!G$3)</f>
        <v>0</v>
      </c>
      <c r="H8" s="12">
        <f>COUNTIF(defects!$W:$W,Monthly_All!$B8&amp;Monthly_All!$B$3&amp;$B$2&amp;Monthly_All!H$3)</f>
        <v>0</v>
      </c>
      <c r="I8" s="12">
        <f>COUNTIF(defects!$W:$W,Monthly_All!$B8&amp;Monthly_All!$B$3&amp;$B$2&amp;Monthly_All!I$3)</f>
        <v>0</v>
      </c>
      <c r="J8" s="12">
        <f>COUNTIF(defects!$W:$W,Monthly_All!$B8&amp;Monthly_All!$B$3&amp;$B$2&amp;Monthly_All!J$3)</f>
        <v>0</v>
      </c>
      <c r="K8" s="12">
        <f>COUNTIF(defects!$W:$W,Monthly_All!$B8&amp;Monthly_All!$B$3&amp;$B$2&amp;Monthly_All!K$3)</f>
        <v>0</v>
      </c>
      <c r="L8" s="12">
        <f>COUNTIF(defects!$W:$W,Monthly_All!$B8&amp;Monthly_All!$B$3&amp;$B$2&amp;Monthly_All!L$3)</f>
        <v>0</v>
      </c>
      <c r="M8" s="12">
        <f>COUNTIF(defects!$W:$W,Monthly_All!$B8&amp;Monthly_All!$B$3&amp;$B$2&amp;Monthly_All!M$3)</f>
        <v>0</v>
      </c>
      <c r="N8" s="12">
        <f>COUNTIF(defects!$W:$W,Monthly_All!$B8&amp;Monthly_All!$B$3&amp;$B$2&amp;Monthly_All!N$3)</f>
        <v>0</v>
      </c>
      <c r="O8" s="12">
        <f>COUNTIF(defects!$W:$W,Monthly_All!$B8&amp;Monthly_All!$B$3&amp;$B$2&amp;Monthly_All!O$3)</f>
        <v>0</v>
      </c>
      <c r="P8" s="12">
        <f>COUNTIF(defects!$W:$W,Monthly_All!$B8&amp;Monthly_All!$B$3&amp;$B$2&amp;Monthly_All!P$3)</f>
        <v>0</v>
      </c>
      <c r="Q8" s="12">
        <f>COUNTIF(defects!$W:$W,Monthly_All!$B8&amp;Monthly_All!$B$3&amp;$B$2&amp;Monthly_All!Q$3)</f>
        <v>0</v>
      </c>
      <c r="R8" s="12">
        <f>COUNTIF(defects!$W:$W,Monthly_All!$B8&amp;Monthly_All!$B$3&amp;$B$2&amp;Monthly_All!R$3)</f>
        <v>0</v>
      </c>
      <c r="S8" s="12">
        <f>COUNTIF(defects!$W:$W,Monthly_All!$B8&amp;Monthly_All!$B$3&amp;$B$2&amp;Monthly_All!S$3)</f>
        <v>0</v>
      </c>
      <c r="T8" s="12">
        <f>COUNTIF(defects!$W:$W,Monthly_All!$B8&amp;Monthly_All!$B$3&amp;$B$2&amp;Monthly_All!T$3)</f>
        <v>1</v>
      </c>
      <c r="U8" s="12">
        <f>COUNTIF(defects!$W:$W,Monthly_All!$B8&amp;Monthly_All!$B$3&amp;$B$2&amp;Monthly_All!U$3)</f>
        <v>1</v>
      </c>
      <c r="V8" s="12">
        <f>COUNTIF(defects!$W:$W,Monthly_All!$B8&amp;Monthly_All!$B$3&amp;$B$2&amp;Monthly_All!V$3)</f>
        <v>2</v>
      </c>
      <c r="W8" s="12">
        <f>COUNTIF(defects!$W:$W,Monthly_All!$B8&amp;Monthly_All!$B$3&amp;$B$2&amp;Monthly_All!W$3)</f>
        <v>3</v>
      </c>
      <c r="X8" s="12">
        <f>COUNTIF(defects!$W:$W,Monthly_All!$B8&amp;Monthly_All!$B$3&amp;$B$2&amp;Monthly_All!X$3)</f>
        <v>3</v>
      </c>
      <c r="Y8" s="12">
        <f>COUNTIF(defects!$W:$W,Monthly_All!$B8&amp;Monthly_All!$B$3&amp;$B$2&amp;Monthly_All!Y$3)</f>
        <v>3</v>
      </c>
      <c r="Z8" s="12">
        <f>COUNTIF(defects!$W:$W,Monthly_All!$B8&amp;Monthly_All!$B$3&amp;$B$2&amp;Monthly_All!Z$3)</f>
        <v>5</v>
      </c>
      <c r="AA8" s="12">
        <f>COUNTIF(defects!$W:$W,Monthly_All!$B8&amp;Monthly_All!$B$3&amp;$B$2&amp;Monthly_All!AA$3)</f>
        <v>1</v>
      </c>
      <c r="AB8" s="12">
        <f>COUNTIF(defects!$W:$W,Monthly_All!$B8&amp;Monthly_All!$B$3&amp;$B$2&amp;Monthly_All!AB$3)</f>
        <v>0</v>
      </c>
      <c r="AC8" s="12">
        <f>COUNTIF(defects!$W:$W,Monthly_All!$B8&amp;Monthly_All!$B$3&amp;$B$2&amp;Monthly_All!AC$3)</f>
        <v>0</v>
      </c>
      <c r="AD8" s="12">
        <f>COUNTIF(defects!$W:$W,Monthly_All!$B8&amp;Monthly_All!$B$3&amp;$B$2&amp;Monthly_All!AD$3)</f>
        <v>0</v>
      </c>
      <c r="AE8" s="12">
        <f>COUNTIF(defects!$W:$W,Monthly_All!$B8&amp;Monthly_All!$B$3&amp;$B$2&amp;Monthly_All!AE$3)</f>
        <v>0</v>
      </c>
      <c r="AF8" s="12">
        <f>COUNTIF(defects!$W:$W,Monthly_All!$B8&amp;Monthly_All!$B$3&amp;$B$2&amp;Monthly_All!AF$3)</f>
        <v>0</v>
      </c>
      <c r="AG8" s="12">
        <f>COUNTIF(defects!$W:$W,Monthly_All!$B8&amp;Monthly_All!$B$3&amp;$B$2&amp;Monthly_All!AG$3)</f>
        <v>0</v>
      </c>
      <c r="AH8" s="12">
        <f>COUNTIF(defects!$W:$W,Monthly_All!$B8&amp;Monthly_All!$B$3&amp;$B$2&amp;Monthly_All!AH$3)</f>
        <v>0</v>
      </c>
      <c r="AI8" s="12">
        <f>COUNTIF(defects!$W:$W,Monthly_All!$B8&amp;Monthly_All!$B$3&amp;$B$2&amp;Monthly_All!AI$3)</f>
        <v>0</v>
      </c>
      <c r="AJ8" s="12">
        <f>COUNTIF(defects!$W:$W,Monthly_All!$B8&amp;Monthly_All!$B$3&amp;$B$2&amp;Monthly_All!AJ$3)</f>
        <v>0</v>
      </c>
      <c r="AK8" s="12">
        <f>COUNTIF(defects!$W:$W,Monthly_All!$B8&amp;Monthly_All!$B$3&amp;$B$2&amp;Monthly_All!AK$3)</f>
        <v>0</v>
      </c>
      <c r="AL8" s="12">
        <f>COUNTIF(defects!$W:$W,Monthly_All!$B8&amp;Monthly_All!$B$3&amp;$B$2&amp;Monthly_All!AL$3)</f>
        <v>0</v>
      </c>
      <c r="AM8" s="12">
        <f>COUNTIF(defects!$W:$W,Monthly_All!$B8&amp;Monthly_All!$B$3&amp;$B$2&amp;Monthly_All!AM$3)</f>
        <v>0</v>
      </c>
      <c r="AN8" s="12">
        <f>COUNTIF(defects!$W:$W,Monthly_All!$B8&amp;Monthly_All!$B$3&amp;$B$2&amp;Monthly_All!AN$3)</f>
        <v>0</v>
      </c>
      <c r="AO8" s="12">
        <f>COUNTIF(defects!$W:$W,Monthly_All!$B8&amp;Monthly_All!$B$3&amp;$B$2&amp;Monthly_All!AO$3)</f>
        <v>0</v>
      </c>
      <c r="AP8" s="12">
        <f>COUNTIF(defects!$W:$W,Monthly_All!$B8&amp;Monthly_All!$B$3&amp;$B$2&amp;Monthly_All!AP$3)</f>
        <v>0</v>
      </c>
      <c r="AQ8" s="12"/>
      <c r="AR8" s="12">
        <f>HLOOKUP(AR$3,Weekly_All!$3:$24,MATCH($B8,Weekly_All!$B$3:$B$24,0),0)</f>
        <v>0</v>
      </c>
      <c r="AS8" s="12">
        <f>HLOOKUP(AS$3,Weekly_All!$3:$24,MATCH($B8,Weekly_All!$B$3:$B$24,0),0)</f>
        <v>0</v>
      </c>
      <c r="AT8" s="12">
        <f>HLOOKUP(AT$3,Weekly_All!$3:$24,MATCH($B8,Weekly_All!$B$3:$B$24,0),0)</f>
        <v>0</v>
      </c>
      <c r="AU8" s="12"/>
      <c r="AV8" s="12">
        <f t="shared" si="2"/>
        <v>19</v>
      </c>
    </row>
    <row r="9" spans="2:48">
      <c r="B9" s="12" t="s">
        <v>953</v>
      </c>
      <c r="C9" s="12">
        <f t="shared" si="0"/>
        <v>3</v>
      </c>
      <c r="D9" s="12">
        <f t="shared" si="0"/>
        <v>0</v>
      </c>
      <c r="E9" s="12"/>
      <c r="F9" s="12">
        <f>COUNTIF(defects!$W:$W,Monthly_All!$B9&amp;Monthly_All!$B$3&amp;$B$2&amp;Monthly_All!F$3)</f>
        <v>0</v>
      </c>
      <c r="G9" s="12">
        <f>COUNTIF(defects!$W:$W,Monthly_All!$B9&amp;Monthly_All!$B$3&amp;$B$2&amp;Monthly_All!G$3)</f>
        <v>0</v>
      </c>
      <c r="H9" s="12">
        <f>COUNTIF(defects!$W:$W,Monthly_All!$B9&amp;Monthly_All!$B$3&amp;$B$2&amp;Monthly_All!H$3)</f>
        <v>0</v>
      </c>
      <c r="I9" s="12">
        <f>COUNTIF(defects!$W:$W,Monthly_All!$B9&amp;Monthly_All!$B$3&amp;$B$2&amp;Monthly_All!I$3)</f>
        <v>0</v>
      </c>
      <c r="J9" s="12">
        <f>COUNTIF(defects!$W:$W,Monthly_All!$B9&amp;Monthly_All!$B$3&amp;$B$2&amp;Monthly_All!J$3)</f>
        <v>0</v>
      </c>
      <c r="K9" s="12">
        <f>COUNTIF(defects!$W:$W,Monthly_All!$B9&amp;Monthly_All!$B$3&amp;$B$2&amp;Monthly_All!K$3)</f>
        <v>0</v>
      </c>
      <c r="L9" s="12">
        <f>COUNTIF(defects!$W:$W,Monthly_All!$B9&amp;Monthly_All!$B$3&amp;$B$2&amp;Monthly_All!L$3)</f>
        <v>0</v>
      </c>
      <c r="M9" s="12">
        <f>COUNTIF(defects!$W:$W,Monthly_All!$B9&amp;Monthly_All!$B$3&amp;$B$2&amp;Monthly_All!M$3)</f>
        <v>0</v>
      </c>
      <c r="N9" s="12">
        <f>COUNTIF(defects!$W:$W,Monthly_All!$B9&amp;Monthly_All!$B$3&amp;$B$2&amp;Monthly_All!N$3)</f>
        <v>0</v>
      </c>
      <c r="O9" s="12">
        <f>COUNTIF(defects!$W:$W,Monthly_All!$B9&amp;Monthly_All!$B$3&amp;$B$2&amp;Monthly_All!O$3)</f>
        <v>0</v>
      </c>
      <c r="P9" s="12">
        <f>COUNTIF(defects!$W:$W,Monthly_All!$B9&amp;Monthly_All!$B$3&amp;$B$2&amp;Monthly_All!P$3)</f>
        <v>0</v>
      </c>
      <c r="Q9" s="12">
        <f>COUNTIF(defects!$W:$W,Monthly_All!$B9&amp;Monthly_All!$B$3&amp;$B$2&amp;Monthly_All!Q$3)</f>
        <v>0</v>
      </c>
      <c r="R9" s="12">
        <f>COUNTIF(defects!$W:$W,Monthly_All!$B9&amp;Monthly_All!$B$3&amp;$B$2&amp;Monthly_All!R$3)</f>
        <v>0</v>
      </c>
      <c r="S9" s="12">
        <f>COUNTIF(defects!$W:$W,Monthly_All!$B9&amp;Monthly_All!$B$3&amp;$B$2&amp;Monthly_All!S$3)</f>
        <v>0</v>
      </c>
      <c r="T9" s="12">
        <f>COUNTIF(defects!$W:$W,Monthly_All!$B9&amp;Monthly_All!$B$3&amp;$B$2&amp;Monthly_All!T$3)</f>
        <v>0</v>
      </c>
      <c r="U9" s="12">
        <f>COUNTIF(defects!$W:$W,Monthly_All!$B9&amp;Monthly_All!$B$3&amp;$B$2&amp;Monthly_All!U$3)</f>
        <v>1</v>
      </c>
      <c r="V9" s="12">
        <f>COUNTIF(defects!$W:$W,Monthly_All!$B9&amp;Monthly_All!$B$3&amp;$B$2&amp;Monthly_All!V$3)</f>
        <v>0</v>
      </c>
      <c r="W9" s="12">
        <f>COUNTIF(defects!$W:$W,Monthly_All!$B9&amp;Monthly_All!$B$3&amp;$B$2&amp;Monthly_All!W$3)</f>
        <v>0</v>
      </c>
      <c r="X9" s="12">
        <f>COUNTIF(defects!$W:$W,Monthly_All!$B9&amp;Monthly_All!$B$3&amp;$B$2&amp;Monthly_All!X$3)</f>
        <v>1</v>
      </c>
      <c r="Y9" s="12">
        <f>COUNTIF(defects!$W:$W,Monthly_All!$B9&amp;Monthly_All!$B$3&amp;$B$2&amp;Monthly_All!Y$3)</f>
        <v>1</v>
      </c>
      <c r="Z9" s="12">
        <f>COUNTIF(defects!$W:$W,Monthly_All!$B9&amp;Monthly_All!$B$3&amp;$B$2&amp;Monthly_All!Z$3)</f>
        <v>0</v>
      </c>
      <c r="AA9" s="12">
        <f>COUNTIF(defects!$W:$W,Monthly_All!$B9&amp;Monthly_All!$B$3&amp;$B$2&amp;Monthly_All!AA$3)</f>
        <v>0</v>
      </c>
      <c r="AB9" s="12">
        <f>COUNTIF(defects!$W:$W,Monthly_All!$B9&amp;Monthly_All!$B$3&amp;$B$2&amp;Monthly_All!AB$3)</f>
        <v>0</v>
      </c>
      <c r="AC9" s="12">
        <f>COUNTIF(defects!$W:$W,Monthly_All!$B9&amp;Monthly_All!$B$3&amp;$B$2&amp;Monthly_All!AC$3)</f>
        <v>0</v>
      </c>
      <c r="AD9" s="12">
        <f>COUNTIF(defects!$W:$W,Monthly_All!$B9&amp;Monthly_All!$B$3&amp;$B$2&amp;Monthly_All!AD$3)</f>
        <v>0</v>
      </c>
      <c r="AE9" s="12">
        <f>COUNTIF(defects!$W:$W,Monthly_All!$B9&amp;Monthly_All!$B$3&amp;$B$2&amp;Monthly_All!AE$3)</f>
        <v>0</v>
      </c>
      <c r="AF9" s="12">
        <f>COUNTIF(defects!$W:$W,Monthly_All!$B9&amp;Monthly_All!$B$3&amp;$B$2&amp;Monthly_All!AF$3)</f>
        <v>0</v>
      </c>
      <c r="AG9" s="12">
        <f>COUNTIF(defects!$W:$W,Monthly_All!$B9&amp;Monthly_All!$B$3&amp;$B$2&amp;Monthly_All!AG$3)</f>
        <v>0</v>
      </c>
      <c r="AH9" s="12">
        <f>COUNTIF(defects!$W:$W,Monthly_All!$B9&amp;Monthly_All!$B$3&amp;$B$2&amp;Monthly_All!AH$3)</f>
        <v>0</v>
      </c>
      <c r="AI9" s="12">
        <f>COUNTIF(defects!$W:$W,Monthly_All!$B9&amp;Monthly_All!$B$3&amp;$B$2&amp;Monthly_All!AI$3)</f>
        <v>0</v>
      </c>
      <c r="AJ9" s="12">
        <f>COUNTIF(defects!$W:$W,Monthly_All!$B9&amp;Monthly_All!$B$3&amp;$B$2&amp;Monthly_All!AJ$3)</f>
        <v>0</v>
      </c>
      <c r="AK9" s="12">
        <f>COUNTIF(defects!$W:$W,Monthly_All!$B9&amp;Monthly_All!$B$3&amp;$B$2&amp;Monthly_All!AK$3)</f>
        <v>0</v>
      </c>
      <c r="AL9" s="12">
        <f>COUNTIF(defects!$W:$W,Monthly_All!$B9&amp;Monthly_All!$B$3&amp;$B$2&amp;Monthly_All!AL$3)</f>
        <v>0</v>
      </c>
      <c r="AM9" s="12">
        <f>COUNTIF(defects!$W:$W,Monthly_All!$B9&amp;Monthly_All!$B$3&amp;$B$2&amp;Monthly_All!AM$3)</f>
        <v>0</v>
      </c>
      <c r="AN9" s="12">
        <f>COUNTIF(defects!$W:$W,Monthly_All!$B9&amp;Monthly_All!$B$3&amp;$B$2&amp;Monthly_All!AN$3)</f>
        <v>0</v>
      </c>
      <c r="AO9" s="12">
        <f>COUNTIF(defects!$W:$W,Monthly_All!$B9&amp;Monthly_All!$B$3&amp;$B$2&amp;Monthly_All!AO$3)</f>
        <v>0</v>
      </c>
      <c r="AP9" s="12">
        <f>COUNTIF(defects!$W:$W,Monthly_All!$B9&amp;Monthly_All!$B$3&amp;$B$2&amp;Monthly_All!AP$3)</f>
        <v>0</v>
      </c>
      <c r="AQ9" s="12"/>
      <c r="AR9" s="12">
        <f>HLOOKUP(AR$3,Weekly_All!$3:$24,MATCH($B9,Weekly_All!$B$3:$B$24,0),0)</f>
        <v>0</v>
      </c>
      <c r="AS9" s="12">
        <f>HLOOKUP(AS$3,Weekly_All!$3:$24,MATCH($B9,Weekly_All!$B$3:$B$24,0),0)</f>
        <v>0</v>
      </c>
      <c r="AT9" s="12">
        <f>HLOOKUP(AT$3,Weekly_All!$3:$24,MATCH($B9,Weekly_All!$B$3:$B$24,0),0)</f>
        <v>0</v>
      </c>
      <c r="AU9" s="12"/>
      <c r="AV9" s="12">
        <f t="shared" si="2"/>
        <v>3</v>
      </c>
    </row>
    <row r="10" spans="2:48">
      <c r="B10" s="12" t="s">
        <v>954</v>
      </c>
      <c r="C10" s="12">
        <f t="shared" si="0"/>
        <v>69</v>
      </c>
      <c r="D10" s="12">
        <f t="shared" si="0"/>
        <v>0</v>
      </c>
      <c r="E10" s="12"/>
      <c r="F10" s="12">
        <f>COUNTIF(defects!$W:$W,Monthly_All!$B10&amp;Monthly_All!$B$3&amp;$B$2&amp;Monthly_All!F$3)</f>
        <v>0</v>
      </c>
      <c r="G10" s="12">
        <f>COUNTIF(defects!$W:$W,Monthly_All!$B10&amp;Monthly_All!$B$3&amp;$B$2&amp;Monthly_All!G$3)</f>
        <v>0</v>
      </c>
      <c r="H10" s="12">
        <f>COUNTIF(defects!$W:$W,Monthly_All!$B10&amp;Monthly_All!$B$3&amp;$B$2&amp;Monthly_All!H$3)</f>
        <v>0</v>
      </c>
      <c r="I10" s="12">
        <f>COUNTIF(defects!$W:$W,Monthly_All!$B10&amp;Monthly_All!$B$3&amp;$B$2&amp;Monthly_All!I$3)</f>
        <v>0</v>
      </c>
      <c r="J10" s="12">
        <f>COUNTIF(defects!$W:$W,Monthly_All!$B10&amp;Monthly_All!$B$3&amp;$B$2&amp;Monthly_All!J$3)</f>
        <v>0</v>
      </c>
      <c r="K10" s="12">
        <f>COUNTIF(defects!$W:$W,Monthly_All!$B10&amp;Monthly_All!$B$3&amp;$B$2&amp;Monthly_All!K$3)</f>
        <v>0</v>
      </c>
      <c r="L10" s="12">
        <f>COUNTIF(defects!$W:$W,Monthly_All!$B10&amp;Monthly_All!$B$3&amp;$B$2&amp;Monthly_All!L$3)</f>
        <v>0</v>
      </c>
      <c r="M10" s="12">
        <f>COUNTIF(defects!$W:$W,Monthly_All!$B10&amp;Monthly_All!$B$3&amp;$B$2&amp;Monthly_All!M$3)</f>
        <v>0</v>
      </c>
      <c r="N10" s="12">
        <f>COUNTIF(defects!$W:$W,Monthly_All!$B10&amp;Monthly_All!$B$3&amp;$B$2&amp;Monthly_All!N$3)</f>
        <v>0</v>
      </c>
      <c r="O10" s="12">
        <f>COUNTIF(defects!$W:$W,Monthly_All!$B10&amp;Monthly_All!$B$3&amp;$B$2&amp;Monthly_All!O$3)</f>
        <v>0</v>
      </c>
      <c r="P10" s="12">
        <f>COUNTIF(defects!$W:$W,Monthly_All!$B10&amp;Monthly_All!$B$3&amp;$B$2&amp;Monthly_All!P$3)</f>
        <v>0</v>
      </c>
      <c r="Q10" s="12">
        <f>COUNTIF(defects!$W:$W,Monthly_All!$B10&amp;Monthly_All!$B$3&amp;$B$2&amp;Monthly_All!Q$3)</f>
        <v>0</v>
      </c>
      <c r="R10" s="12">
        <f>COUNTIF(defects!$W:$W,Monthly_All!$B10&amp;Monthly_All!$B$3&amp;$B$2&amp;Monthly_All!R$3)</f>
        <v>0</v>
      </c>
      <c r="S10" s="12">
        <f>COUNTIF(defects!$W:$W,Monthly_All!$B10&amp;Monthly_All!$B$3&amp;$B$2&amp;Monthly_All!S$3)</f>
        <v>0</v>
      </c>
      <c r="T10" s="12">
        <f>COUNTIF(defects!$W:$W,Monthly_All!$B10&amp;Monthly_All!$B$3&amp;$B$2&amp;Monthly_All!T$3)</f>
        <v>0</v>
      </c>
      <c r="U10" s="12">
        <f>COUNTIF(defects!$W:$W,Monthly_All!$B10&amp;Monthly_All!$B$3&amp;$B$2&amp;Monthly_All!U$3)</f>
        <v>0</v>
      </c>
      <c r="V10" s="12">
        <f>COUNTIF(defects!$W:$W,Monthly_All!$B10&amp;Monthly_All!$B$3&amp;$B$2&amp;Monthly_All!V$3)</f>
        <v>5</v>
      </c>
      <c r="W10" s="12">
        <f>COUNTIF(defects!$W:$W,Monthly_All!$B10&amp;Monthly_All!$B$3&amp;$B$2&amp;Monthly_All!W$3)</f>
        <v>4</v>
      </c>
      <c r="X10" s="12">
        <f>COUNTIF(defects!$W:$W,Monthly_All!$B10&amp;Monthly_All!$B$3&amp;$B$2&amp;Monthly_All!X$3)</f>
        <v>0</v>
      </c>
      <c r="Y10" s="12">
        <f>COUNTIF(defects!$W:$W,Monthly_All!$B10&amp;Monthly_All!$B$3&amp;$B$2&amp;Monthly_All!Y$3)</f>
        <v>25</v>
      </c>
      <c r="Z10" s="12">
        <f>COUNTIF(defects!$W:$W,Monthly_All!$B10&amp;Monthly_All!$B$3&amp;$B$2&amp;Monthly_All!Z$3)</f>
        <v>6</v>
      </c>
      <c r="AA10" s="12">
        <f>COUNTIF(defects!$W:$W,Monthly_All!$B10&amp;Monthly_All!$B$3&amp;$B$2&amp;Monthly_All!AA$3)</f>
        <v>25</v>
      </c>
      <c r="AB10" s="12">
        <f>COUNTIF(defects!$W:$W,Monthly_All!$B10&amp;Monthly_All!$B$3&amp;$B$2&amp;Monthly_All!AB$3)</f>
        <v>2</v>
      </c>
      <c r="AC10" s="12">
        <f>COUNTIF(defects!$W:$W,Monthly_All!$B10&amp;Monthly_All!$B$3&amp;$B$2&amp;Monthly_All!AC$3)</f>
        <v>2</v>
      </c>
      <c r="AD10" s="12">
        <f>COUNTIF(defects!$W:$W,Monthly_All!$B10&amp;Monthly_All!$B$3&amp;$B$2&amp;Monthly_All!AD$3)</f>
        <v>0</v>
      </c>
      <c r="AE10" s="12">
        <f>COUNTIF(defects!$W:$W,Monthly_All!$B10&amp;Monthly_All!$B$3&amp;$B$2&amp;Monthly_All!AE$3)</f>
        <v>0</v>
      </c>
      <c r="AF10" s="12">
        <f>COUNTIF(defects!$W:$W,Monthly_All!$B10&amp;Monthly_All!$B$3&amp;$B$2&amp;Monthly_All!AF$3)</f>
        <v>0</v>
      </c>
      <c r="AG10" s="12">
        <f>COUNTIF(defects!$W:$W,Monthly_All!$B10&amp;Monthly_All!$B$3&amp;$B$2&amp;Monthly_All!AG$3)</f>
        <v>0</v>
      </c>
      <c r="AH10" s="12">
        <f>COUNTIF(defects!$W:$W,Monthly_All!$B10&amp;Monthly_All!$B$3&amp;$B$2&amp;Monthly_All!AH$3)</f>
        <v>0</v>
      </c>
      <c r="AI10" s="12">
        <f>COUNTIF(defects!$W:$W,Monthly_All!$B10&amp;Monthly_All!$B$3&amp;$B$2&amp;Monthly_All!AI$3)</f>
        <v>0</v>
      </c>
      <c r="AJ10" s="12">
        <f>COUNTIF(defects!$W:$W,Monthly_All!$B10&amp;Monthly_All!$B$3&amp;$B$2&amp;Monthly_All!AJ$3)</f>
        <v>0</v>
      </c>
      <c r="AK10" s="12">
        <f>COUNTIF(defects!$W:$W,Monthly_All!$B10&amp;Monthly_All!$B$3&amp;$B$2&amp;Monthly_All!AK$3)</f>
        <v>0</v>
      </c>
      <c r="AL10" s="12">
        <f>COUNTIF(defects!$W:$W,Monthly_All!$B10&amp;Monthly_All!$B$3&amp;$B$2&amp;Monthly_All!AL$3)</f>
        <v>0</v>
      </c>
      <c r="AM10" s="12">
        <f>COUNTIF(defects!$W:$W,Monthly_All!$B10&amp;Monthly_All!$B$3&amp;$B$2&amp;Monthly_All!AM$3)</f>
        <v>0</v>
      </c>
      <c r="AN10" s="12">
        <f>COUNTIF(defects!$W:$W,Monthly_All!$B10&amp;Monthly_All!$B$3&amp;$B$2&amp;Monthly_All!AN$3)</f>
        <v>0</v>
      </c>
      <c r="AO10" s="12">
        <f>COUNTIF(defects!$W:$W,Monthly_All!$B10&amp;Monthly_All!$B$3&amp;$B$2&amp;Monthly_All!AO$3)</f>
        <v>0</v>
      </c>
      <c r="AP10" s="12">
        <f>COUNTIF(defects!$W:$W,Monthly_All!$B10&amp;Monthly_All!$B$3&amp;$B$2&amp;Monthly_All!AP$3)</f>
        <v>0</v>
      </c>
      <c r="AQ10" s="12"/>
      <c r="AR10" s="12">
        <f>HLOOKUP(AR$3,Weekly_All!$3:$24,MATCH($B10,Weekly_All!$B$3:$B$24,0),0)</f>
        <v>0</v>
      </c>
      <c r="AS10" s="12">
        <f>HLOOKUP(AS$3,Weekly_All!$3:$24,MATCH($B10,Weekly_All!$B$3:$B$24,0),0)</f>
        <v>1</v>
      </c>
      <c r="AT10" s="12">
        <f>HLOOKUP(AT$3,Weekly_All!$3:$24,MATCH($B10,Weekly_All!$B$3:$B$24,0),0)</f>
        <v>0</v>
      </c>
      <c r="AU10" s="12"/>
      <c r="AV10" s="12">
        <f t="shared" si="2"/>
        <v>69</v>
      </c>
    </row>
    <row r="11" spans="2:48">
      <c r="B11" s="12" t="s">
        <v>956</v>
      </c>
      <c r="C11" s="12">
        <f t="shared" si="0"/>
        <v>7</v>
      </c>
      <c r="D11" s="12">
        <f t="shared" si="0"/>
        <v>0</v>
      </c>
      <c r="E11" s="12"/>
      <c r="F11" s="12">
        <f>COUNTIF(defects!$W:$W,Monthly_All!$B11&amp;Monthly_All!$B$3&amp;$B$2&amp;Monthly_All!F$3)</f>
        <v>0</v>
      </c>
      <c r="G11" s="12">
        <f>COUNTIF(defects!$W:$W,Monthly_All!$B11&amp;Monthly_All!$B$3&amp;$B$2&amp;Monthly_All!G$3)</f>
        <v>0</v>
      </c>
      <c r="H11" s="12">
        <f>COUNTIF(defects!$W:$W,Monthly_All!$B11&amp;Monthly_All!$B$3&amp;$B$2&amp;Monthly_All!H$3)</f>
        <v>0</v>
      </c>
      <c r="I11" s="12">
        <f>COUNTIF(defects!$W:$W,Monthly_All!$B11&amp;Monthly_All!$B$3&amp;$B$2&amp;Monthly_All!I$3)</f>
        <v>0</v>
      </c>
      <c r="J11" s="12">
        <f>COUNTIF(defects!$W:$W,Monthly_All!$B11&amp;Monthly_All!$B$3&amp;$B$2&amp;Monthly_All!J$3)</f>
        <v>0</v>
      </c>
      <c r="K11" s="12">
        <f>COUNTIF(defects!$W:$W,Monthly_All!$B11&amp;Monthly_All!$B$3&amp;$B$2&amp;Monthly_All!K$3)</f>
        <v>0</v>
      </c>
      <c r="L11" s="12">
        <f>COUNTIF(defects!$W:$W,Monthly_All!$B11&amp;Monthly_All!$B$3&amp;$B$2&amp;Monthly_All!L$3)</f>
        <v>0</v>
      </c>
      <c r="M11" s="12">
        <f>COUNTIF(defects!$W:$W,Monthly_All!$B11&amp;Monthly_All!$B$3&amp;$B$2&amp;Monthly_All!M$3)</f>
        <v>0</v>
      </c>
      <c r="N11" s="12">
        <f>COUNTIF(defects!$W:$W,Monthly_All!$B11&amp;Monthly_All!$B$3&amp;$B$2&amp;Monthly_All!N$3)</f>
        <v>0</v>
      </c>
      <c r="O11" s="12">
        <f>COUNTIF(defects!$W:$W,Monthly_All!$B11&amp;Monthly_All!$B$3&amp;$B$2&amp;Monthly_All!O$3)</f>
        <v>0</v>
      </c>
      <c r="P11" s="12">
        <f>COUNTIF(defects!$W:$W,Monthly_All!$B11&amp;Monthly_All!$B$3&amp;$B$2&amp;Monthly_All!P$3)</f>
        <v>0</v>
      </c>
      <c r="Q11" s="12">
        <f>COUNTIF(defects!$W:$W,Monthly_All!$B11&amp;Monthly_All!$B$3&amp;$B$2&amp;Monthly_All!Q$3)</f>
        <v>0</v>
      </c>
      <c r="R11" s="12">
        <f>COUNTIF(defects!$W:$W,Monthly_All!$B11&amp;Monthly_All!$B$3&amp;$B$2&amp;Monthly_All!R$3)</f>
        <v>0</v>
      </c>
      <c r="S11" s="12">
        <f>COUNTIF(defects!$W:$W,Monthly_All!$B11&amp;Monthly_All!$B$3&amp;$B$2&amp;Monthly_All!S$3)</f>
        <v>0</v>
      </c>
      <c r="T11" s="12">
        <f>COUNTIF(defects!$W:$W,Monthly_All!$B11&amp;Monthly_All!$B$3&amp;$B$2&amp;Monthly_All!T$3)</f>
        <v>0</v>
      </c>
      <c r="U11" s="12">
        <f>COUNTIF(defects!$W:$W,Monthly_All!$B11&amp;Monthly_All!$B$3&amp;$B$2&amp;Monthly_All!U$3)</f>
        <v>0</v>
      </c>
      <c r="V11" s="12">
        <f>COUNTIF(defects!$W:$W,Monthly_All!$B11&amp;Monthly_All!$B$3&amp;$B$2&amp;Monthly_All!V$3)</f>
        <v>0</v>
      </c>
      <c r="W11" s="12">
        <f>COUNTIF(defects!$W:$W,Monthly_All!$B11&amp;Monthly_All!$B$3&amp;$B$2&amp;Monthly_All!W$3)</f>
        <v>1</v>
      </c>
      <c r="X11" s="12">
        <f>COUNTIF(defects!$W:$W,Monthly_All!$B11&amp;Monthly_All!$B$3&amp;$B$2&amp;Monthly_All!X$3)</f>
        <v>0</v>
      </c>
      <c r="Y11" s="12">
        <f>COUNTIF(defects!$W:$W,Monthly_All!$B11&amp;Monthly_All!$B$3&amp;$B$2&amp;Monthly_All!Y$3)</f>
        <v>2</v>
      </c>
      <c r="Z11" s="12">
        <f>COUNTIF(defects!$W:$W,Monthly_All!$B11&amp;Monthly_All!$B$3&amp;$B$2&amp;Monthly_All!Z$3)</f>
        <v>3</v>
      </c>
      <c r="AA11" s="12">
        <f>COUNTIF(defects!$W:$W,Monthly_All!$B11&amp;Monthly_All!$B$3&amp;$B$2&amp;Monthly_All!AA$3)</f>
        <v>1</v>
      </c>
      <c r="AB11" s="12">
        <f>COUNTIF(defects!$W:$W,Monthly_All!$B11&amp;Monthly_All!$B$3&amp;$B$2&amp;Monthly_All!AB$3)</f>
        <v>0</v>
      </c>
      <c r="AC11" s="12">
        <f>COUNTIF(defects!$W:$W,Monthly_All!$B11&amp;Monthly_All!$B$3&amp;$B$2&amp;Monthly_All!AC$3)</f>
        <v>0</v>
      </c>
      <c r="AD11" s="12">
        <f>COUNTIF(defects!$W:$W,Monthly_All!$B11&amp;Monthly_All!$B$3&amp;$B$2&amp;Monthly_All!AD$3)</f>
        <v>0</v>
      </c>
      <c r="AE11" s="12">
        <f>COUNTIF(defects!$W:$W,Monthly_All!$B11&amp;Monthly_All!$B$3&amp;$B$2&amp;Monthly_All!AE$3)</f>
        <v>0</v>
      </c>
      <c r="AF11" s="12">
        <f>COUNTIF(defects!$W:$W,Monthly_All!$B11&amp;Monthly_All!$B$3&amp;$B$2&amp;Monthly_All!AF$3)</f>
        <v>0</v>
      </c>
      <c r="AG11" s="12">
        <f>COUNTIF(defects!$W:$W,Monthly_All!$B11&amp;Monthly_All!$B$3&amp;$B$2&amp;Monthly_All!AG$3)</f>
        <v>0</v>
      </c>
      <c r="AH11" s="12">
        <f>COUNTIF(defects!$W:$W,Monthly_All!$B11&amp;Monthly_All!$B$3&amp;$B$2&amp;Monthly_All!AH$3)</f>
        <v>0</v>
      </c>
      <c r="AI11" s="12">
        <f>COUNTIF(defects!$W:$W,Monthly_All!$B11&amp;Monthly_All!$B$3&amp;$B$2&amp;Monthly_All!AI$3)</f>
        <v>0</v>
      </c>
      <c r="AJ11" s="12">
        <f>COUNTIF(defects!$W:$W,Monthly_All!$B11&amp;Monthly_All!$B$3&amp;$B$2&amp;Monthly_All!AJ$3)</f>
        <v>0</v>
      </c>
      <c r="AK11" s="12">
        <f>COUNTIF(defects!$W:$W,Monthly_All!$B11&amp;Monthly_All!$B$3&amp;$B$2&amp;Monthly_All!AK$3)</f>
        <v>0</v>
      </c>
      <c r="AL11" s="12">
        <f>COUNTIF(defects!$W:$W,Monthly_All!$B11&amp;Monthly_All!$B$3&amp;$B$2&amp;Monthly_All!AL$3)</f>
        <v>0</v>
      </c>
      <c r="AM11" s="12">
        <f>COUNTIF(defects!$W:$W,Monthly_All!$B11&amp;Monthly_All!$B$3&amp;$B$2&amp;Monthly_All!AM$3)</f>
        <v>0</v>
      </c>
      <c r="AN11" s="12">
        <f>COUNTIF(defects!$W:$W,Monthly_All!$B11&amp;Monthly_All!$B$3&amp;$B$2&amp;Monthly_All!AN$3)</f>
        <v>0</v>
      </c>
      <c r="AO11" s="12">
        <f>COUNTIF(defects!$W:$W,Monthly_All!$B11&amp;Monthly_All!$B$3&amp;$B$2&amp;Monthly_All!AO$3)</f>
        <v>0</v>
      </c>
      <c r="AP11" s="12">
        <f>COUNTIF(defects!$W:$W,Monthly_All!$B11&amp;Monthly_All!$B$3&amp;$B$2&amp;Monthly_All!AP$3)</f>
        <v>0</v>
      </c>
      <c r="AQ11" s="12"/>
      <c r="AR11" s="12">
        <f>HLOOKUP(AR$3,Weekly_All!$3:$24,MATCH($B11,Weekly_All!$B$3:$B$24,0),0)</f>
        <v>0</v>
      </c>
      <c r="AS11" s="12">
        <f>HLOOKUP(AS$3,Weekly_All!$3:$24,MATCH($B11,Weekly_All!$B$3:$B$24,0),0)</f>
        <v>0</v>
      </c>
      <c r="AT11" s="12">
        <f>HLOOKUP(AT$3,Weekly_All!$3:$24,MATCH($B11,Weekly_All!$B$3:$B$24,0),0)</f>
        <v>0</v>
      </c>
      <c r="AU11" s="12"/>
      <c r="AV11" s="12">
        <f t="shared" si="2"/>
        <v>7</v>
      </c>
    </row>
    <row r="12" spans="2:48">
      <c r="B12" s="12" t="s">
        <v>992</v>
      </c>
      <c r="C12" s="12">
        <f t="shared" si="0"/>
        <v>0</v>
      </c>
      <c r="D12" s="12">
        <f t="shared" si="0"/>
        <v>0</v>
      </c>
      <c r="E12" s="12"/>
      <c r="F12" s="12">
        <f>COUNTIF(defects!$W:$W,Monthly_All!$B12&amp;Monthly_All!$B$3&amp;$B$2&amp;Monthly_All!F$3)</f>
        <v>0</v>
      </c>
      <c r="G12" s="12">
        <f>COUNTIF(defects!$W:$W,Monthly_All!$B12&amp;Monthly_All!$B$3&amp;$B$2&amp;Monthly_All!G$3)</f>
        <v>0</v>
      </c>
      <c r="H12" s="12">
        <f>COUNTIF(defects!$W:$W,Monthly_All!$B12&amp;Monthly_All!$B$3&amp;$B$2&amp;Monthly_All!H$3)</f>
        <v>0</v>
      </c>
      <c r="I12" s="12">
        <f>COUNTIF(defects!$W:$W,Monthly_All!$B12&amp;Monthly_All!$B$3&amp;$B$2&amp;Monthly_All!I$3)</f>
        <v>0</v>
      </c>
      <c r="J12" s="12">
        <f>COUNTIF(defects!$W:$W,Monthly_All!$B12&amp;Monthly_All!$B$3&amp;$B$2&amp;Monthly_All!J$3)</f>
        <v>0</v>
      </c>
      <c r="K12" s="12">
        <f>COUNTIF(defects!$W:$W,Monthly_All!$B12&amp;Monthly_All!$B$3&amp;$B$2&amp;Monthly_All!K$3)</f>
        <v>0</v>
      </c>
      <c r="L12" s="12">
        <f>COUNTIF(defects!$W:$W,Monthly_All!$B12&amp;Monthly_All!$B$3&amp;$B$2&amp;Monthly_All!L$3)</f>
        <v>0</v>
      </c>
      <c r="M12" s="12">
        <f>COUNTIF(defects!$W:$W,Monthly_All!$B12&amp;Monthly_All!$B$3&amp;$B$2&amp;Monthly_All!M$3)</f>
        <v>0</v>
      </c>
      <c r="N12" s="12">
        <f>COUNTIF(defects!$W:$W,Monthly_All!$B12&amp;Monthly_All!$B$3&amp;$B$2&amp;Monthly_All!N$3)</f>
        <v>0</v>
      </c>
      <c r="O12" s="12">
        <f>COUNTIF(defects!$W:$W,Monthly_All!$B12&amp;Monthly_All!$B$3&amp;$B$2&amp;Monthly_All!O$3)</f>
        <v>0</v>
      </c>
      <c r="P12" s="12">
        <f>COUNTIF(defects!$W:$W,Monthly_All!$B12&amp;Monthly_All!$B$3&amp;$B$2&amp;Monthly_All!P$3)</f>
        <v>0</v>
      </c>
      <c r="Q12" s="12">
        <f>COUNTIF(defects!$W:$W,Monthly_All!$B12&amp;Monthly_All!$B$3&amp;$B$2&amp;Monthly_All!Q$3)</f>
        <v>0</v>
      </c>
      <c r="R12" s="12">
        <f>COUNTIF(defects!$W:$W,Monthly_All!$B12&amp;Monthly_All!$B$3&amp;$B$2&amp;Monthly_All!R$3)</f>
        <v>0</v>
      </c>
      <c r="S12" s="12">
        <f>COUNTIF(defects!$W:$W,Monthly_All!$B12&amp;Monthly_All!$B$3&amp;$B$2&amp;Monthly_All!S$3)</f>
        <v>0</v>
      </c>
      <c r="T12" s="12">
        <f>COUNTIF(defects!$W:$W,Monthly_All!$B12&amp;Monthly_All!$B$3&amp;$B$2&amp;Monthly_All!T$3)</f>
        <v>0</v>
      </c>
      <c r="U12" s="12">
        <f>COUNTIF(defects!$W:$W,Monthly_All!$B12&amp;Monthly_All!$B$3&amp;$B$2&amp;Monthly_All!U$3)</f>
        <v>0</v>
      </c>
      <c r="V12" s="12">
        <f>COUNTIF(defects!$W:$W,Monthly_All!$B12&amp;Monthly_All!$B$3&amp;$B$2&amp;Monthly_All!V$3)</f>
        <v>0</v>
      </c>
      <c r="W12" s="12">
        <f>COUNTIF(defects!$W:$W,Monthly_All!$B12&amp;Monthly_All!$B$3&amp;$B$2&amp;Monthly_All!W$3)</f>
        <v>0</v>
      </c>
      <c r="X12" s="12">
        <f>COUNTIF(defects!$W:$W,Monthly_All!$B12&amp;Monthly_All!$B$3&amp;$B$2&amp;Monthly_All!X$3)</f>
        <v>0</v>
      </c>
      <c r="Y12" s="12">
        <f>COUNTIF(defects!$W:$W,Monthly_All!$B12&amp;Monthly_All!$B$3&amp;$B$2&amp;Monthly_All!Y$3)</f>
        <v>0</v>
      </c>
      <c r="Z12" s="12">
        <f>COUNTIF(defects!$W:$W,Monthly_All!$B12&amp;Monthly_All!$B$3&amp;$B$2&amp;Monthly_All!Z$3)</f>
        <v>0</v>
      </c>
      <c r="AA12" s="12">
        <f>COUNTIF(defects!$W:$W,Monthly_All!$B12&amp;Monthly_All!$B$3&amp;$B$2&amp;Monthly_All!AA$3)</f>
        <v>0</v>
      </c>
      <c r="AB12" s="12">
        <f>COUNTIF(defects!$W:$W,Monthly_All!$B12&amp;Monthly_All!$B$3&amp;$B$2&amp;Monthly_All!AB$3)</f>
        <v>0</v>
      </c>
      <c r="AC12" s="12">
        <f>COUNTIF(defects!$W:$W,Monthly_All!$B12&amp;Monthly_All!$B$3&amp;$B$2&amp;Monthly_All!AC$3)</f>
        <v>0</v>
      </c>
      <c r="AD12" s="12">
        <f>COUNTIF(defects!$W:$W,Monthly_All!$B12&amp;Monthly_All!$B$3&amp;$B$2&amp;Monthly_All!AD$3)</f>
        <v>0</v>
      </c>
      <c r="AE12" s="12">
        <f>COUNTIF(defects!$W:$W,Monthly_All!$B12&amp;Monthly_All!$B$3&amp;$B$2&amp;Monthly_All!AE$3)</f>
        <v>0</v>
      </c>
      <c r="AF12" s="12">
        <f>COUNTIF(defects!$W:$W,Monthly_All!$B12&amp;Monthly_All!$B$3&amp;$B$2&amp;Monthly_All!AF$3)</f>
        <v>0</v>
      </c>
      <c r="AG12" s="12">
        <f>COUNTIF(defects!$W:$W,Monthly_All!$B12&amp;Monthly_All!$B$3&amp;$B$2&amp;Monthly_All!AG$3)</f>
        <v>0</v>
      </c>
      <c r="AH12" s="12">
        <f>COUNTIF(defects!$W:$W,Monthly_All!$B12&amp;Monthly_All!$B$3&amp;$B$2&amp;Monthly_All!AH$3)</f>
        <v>0</v>
      </c>
      <c r="AI12" s="12">
        <f>COUNTIF(defects!$W:$W,Monthly_All!$B12&amp;Monthly_All!$B$3&amp;$B$2&amp;Monthly_All!AI$3)</f>
        <v>0</v>
      </c>
      <c r="AJ12" s="12">
        <f>COUNTIF(defects!$W:$W,Monthly_All!$B12&amp;Monthly_All!$B$3&amp;$B$2&amp;Monthly_All!AJ$3)</f>
        <v>0</v>
      </c>
      <c r="AK12" s="12">
        <f>COUNTIF(defects!$W:$W,Monthly_All!$B12&amp;Monthly_All!$B$3&amp;$B$2&amp;Monthly_All!AK$3)</f>
        <v>0</v>
      </c>
      <c r="AL12" s="12">
        <f>COUNTIF(defects!$W:$W,Monthly_All!$B12&amp;Monthly_All!$B$3&amp;$B$2&amp;Monthly_All!AL$3)</f>
        <v>0</v>
      </c>
      <c r="AM12" s="12">
        <f>COUNTIF(defects!$W:$W,Monthly_All!$B12&amp;Monthly_All!$B$3&amp;$B$2&amp;Monthly_All!AM$3)</f>
        <v>0</v>
      </c>
      <c r="AN12" s="12">
        <f>COUNTIF(defects!$W:$W,Monthly_All!$B12&amp;Monthly_All!$B$3&amp;$B$2&amp;Monthly_All!AN$3)</f>
        <v>0</v>
      </c>
      <c r="AO12" s="12">
        <f>COUNTIF(defects!$W:$W,Monthly_All!$B12&amp;Monthly_All!$B$3&amp;$B$2&amp;Monthly_All!AO$3)</f>
        <v>0</v>
      </c>
      <c r="AP12" s="12">
        <f>COUNTIF(defects!$W:$W,Monthly_All!$B12&amp;Monthly_All!$B$3&amp;$B$2&amp;Monthly_All!AP$3)</f>
        <v>0</v>
      </c>
      <c r="AQ12" s="12"/>
      <c r="AR12" s="12">
        <f>HLOOKUP(AR$3,Weekly_All!$3:$24,MATCH($B12,Weekly_All!$B$3:$B$24,0),0)</f>
        <v>0</v>
      </c>
      <c r="AS12" s="12">
        <f>HLOOKUP(AS$3,Weekly_All!$3:$24,MATCH($B12,Weekly_All!$B$3:$B$24,0),0)</f>
        <v>0</v>
      </c>
      <c r="AT12" s="12">
        <f>HLOOKUP(AT$3,Weekly_All!$3:$24,MATCH($B12,Weekly_All!$B$3:$B$24,0),0)</f>
        <v>0</v>
      </c>
      <c r="AU12" s="12"/>
      <c r="AV12" s="12">
        <f t="shared" si="2"/>
        <v>0</v>
      </c>
    </row>
    <row r="13" spans="2:48">
      <c r="B13" s="12" t="s">
        <v>950</v>
      </c>
      <c r="C13" s="12">
        <f t="shared" si="0"/>
        <v>37</v>
      </c>
      <c r="D13" s="12">
        <f t="shared" si="0"/>
        <v>0</v>
      </c>
      <c r="E13" s="12"/>
      <c r="F13" s="12">
        <f>COUNTIF(defects!$W:$W,Monthly_All!$B13&amp;Monthly_All!$B$3&amp;$B$2&amp;Monthly_All!F$3)</f>
        <v>0</v>
      </c>
      <c r="G13" s="12">
        <f>COUNTIF(defects!$W:$W,Monthly_All!$B13&amp;Monthly_All!$B$3&amp;$B$2&amp;Monthly_All!G$3)</f>
        <v>0</v>
      </c>
      <c r="H13" s="12">
        <f>COUNTIF(defects!$W:$W,Monthly_All!$B13&amp;Monthly_All!$B$3&amp;$B$2&amp;Monthly_All!H$3)</f>
        <v>0</v>
      </c>
      <c r="I13" s="12">
        <f>COUNTIF(defects!$W:$W,Monthly_All!$B13&amp;Monthly_All!$B$3&amp;$B$2&amp;Monthly_All!I$3)</f>
        <v>0</v>
      </c>
      <c r="J13" s="12">
        <f>COUNTIF(defects!$W:$W,Monthly_All!$B13&amp;Monthly_All!$B$3&amp;$B$2&amp;Monthly_All!J$3)</f>
        <v>0</v>
      </c>
      <c r="K13" s="12">
        <f>COUNTIF(defects!$W:$W,Monthly_All!$B13&amp;Monthly_All!$B$3&amp;$B$2&amp;Monthly_All!K$3)</f>
        <v>0</v>
      </c>
      <c r="L13" s="12">
        <f>COUNTIF(defects!$W:$W,Monthly_All!$B13&amp;Monthly_All!$B$3&amp;$B$2&amp;Monthly_All!L$3)</f>
        <v>0</v>
      </c>
      <c r="M13" s="12">
        <f>COUNTIF(defects!$W:$W,Monthly_All!$B13&amp;Monthly_All!$B$3&amp;$B$2&amp;Monthly_All!M$3)</f>
        <v>0</v>
      </c>
      <c r="N13" s="12">
        <f>COUNTIF(defects!$W:$W,Monthly_All!$B13&amp;Monthly_All!$B$3&amp;$B$2&amp;Monthly_All!N$3)</f>
        <v>0</v>
      </c>
      <c r="O13" s="12">
        <f>COUNTIF(defects!$W:$W,Monthly_All!$B13&amp;Monthly_All!$B$3&amp;$B$2&amp;Monthly_All!O$3)</f>
        <v>0</v>
      </c>
      <c r="P13" s="12">
        <f>COUNTIF(defects!$W:$W,Monthly_All!$B13&amp;Monthly_All!$B$3&amp;$B$2&amp;Monthly_All!P$3)</f>
        <v>0</v>
      </c>
      <c r="Q13" s="12">
        <f>COUNTIF(defects!$W:$W,Monthly_All!$B13&amp;Monthly_All!$B$3&amp;$B$2&amp;Monthly_All!Q$3)</f>
        <v>0</v>
      </c>
      <c r="R13" s="12">
        <f>COUNTIF(defects!$W:$W,Monthly_All!$B13&amp;Monthly_All!$B$3&amp;$B$2&amp;Monthly_All!R$3)</f>
        <v>0</v>
      </c>
      <c r="S13" s="12">
        <f>COUNTIF(defects!$W:$W,Monthly_All!$B13&amp;Monthly_All!$B$3&amp;$B$2&amp;Monthly_All!S$3)</f>
        <v>0</v>
      </c>
      <c r="T13" s="12">
        <f>COUNTIF(defects!$W:$W,Monthly_All!$B13&amp;Monthly_All!$B$3&amp;$B$2&amp;Monthly_All!T$3)</f>
        <v>0</v>
      </c>
      <c r="U13" s="12">
        <f>COUNTIF(defects!$W:$W,Monthly_All!$B13&amp;Monthly_All!$B$3&amp;$B$2&amp;Monthly_All!U$3)</f>
        <v>2</v>
      </c>
      <c r="V13" s="12">
        <f>COUNTIF(defects!$W:$W,Monthly_All!$B13&amp;Monthly_All!$B$3&amp;$B$2&amp;Monthly_All!V$3)</f>
        <v>5</v>
      </c>
      <c r="W13" s="12">
        <f>COUNTIF(defects!$W:$W,Monthly_All!$B13&amp;Monthly_All!$B$3&amp;$B$2&amp;Monthly_All!W$3)</f>
        <v>2</v>
      </c>
      <c r="X13" s="12">
        <f>COUNTIF(defects!$W:$W,Monthly_All!$B13&amp;Monthly_All!$B$3&amp;$B$2&amp;Monthly_All!X$3)</f>
        <v>7</v>
      </c>
      <c r="Y13" s="12">
        <f>COUNTIF(defects!$W:$W,Monthly_All!$B13&amp;Monthly_All!$B$3&amp;$B$2&amp;Monthly_All!Y$3)</f>
        <v>8</v>
      </c>
      <c r="Z13" s="12">
        <f>COUNTIF(defects!$W:$W,Monthly_All!$B13&amp;Monthly_All!$B$3&amp;$B$2&amp;Monthly_All!Z$3)</f>
        <v>4</v>
      </c>
      <c r="AA13" s="12">
        <f>COUNTIF(defects!$W:$W,Monthly_All!$B13&amp;Monthly_All!$B$3&amp;$B$2&amp;Monthly_All!AA$3)</f>
        <v>1</v>
      </c>
      <c r="AB13" s="12">
        <f>COUNTIF(defects!$W:$W,Monthly_All!$B13&amp;Monthly_All!$B$3&amp;$B$2&amp;Monthly_All!AB$3)</f>
        <v>5</v>
      </c>
      <c r="AC13" s="12">
        <f>COUNTIF(defects!$W:$W,Monthly_All!$B13&amp;Monthly_All!$B$3&amp;$B$2&amp;Monthly_All!AC$3)</f>
        <v>3</v>
      </c>
      <c r="AD13" s="12">
        <f>COUNTIF(defects!$W:$W,Monthly_All!$B13&amp;Monthly_All!$B$3&amp;$B$2&amp;Monthly_All!AD$3)</f>
        <v>0</v>
      </c>
      <c r="AE13" s="12">
        <f>COUNTIF(defects!$W:$W,Monthly_All!$B13&amp;Monthly_All!$B$3&amp;$B$2&amp;Monthly_All!AE$3)</f>
        <v>0</v>
      </c>
      <c r="AF13" s="12">
        <f>COUNTIF(defects!$W:$W,Monthly_All!$B13&amp;Monthly_All!$B$3&amp;$B$2&amp;Monthly_All!AF$3)</f>
        <v>0</v>
      </c>
      <c r="AG13" s="12">
        <f>COUNTIF(defects!$W:$W,Monthly_All!$B13&amp;Monthly_All!$B$3&amp;$B$2&amp;Monthly_All!AG$3)</f>
        <v>0</v>
      </c>
      <c r="AH13" s="12">
        <f>COUNTIF(defects!$W:$W,Monthly_All!$B13&amp;Monthly_All!$B$3&amp;$B$2&amp;Monthly_All!AH$3)</f>
        <v>0</v>
      </c>
      <c r="AI13" s="12">
        <f>COUNTIF(defects!$W:$W,Monthly_All!$B13&amp;Monthly_All!$B$3&amp;$B$2&amp;Monthly_All!AI$3)</f>
        <v>0</v>
      </c>
      <c r="AJ13" s="12">
        <f>COUNTIF(defects!$W:$W,Monthly_All!$B13&amp;Monthly_All!$B$3&amp;$B$2&amp;Monthly_All!AJ$3)</f>
        <v>0</v>
      </c>
      <c r="AK13" s="12">
        <f>COUNTIF(defects!$W:$W,Monthly_All!$B13&amp;Monthly_All!$B$3&amp;$B$2&amp;Monthly_All!AK$3)</f>
        <v>0</v>
      </c>
      <c r="AL13" s="12">
        <f>COUNTIF(defects!$W:$W,Monthly_All!$B13&amp;Monthly_All!$B$3&amp;$B$2&amp;Monthly_All!AL$3)</f>
        <v>0</v>
      </c>
      <c r="AM13" s="12">
        <f>COUNTIF(defects!$W:$W,Monthly_All!$B13&amp;Monthly_All!$B$3&amp;$B$2&amp;Monthly_All!AM$3)</f>
        <v>0</v>
      </c>
      <c r="AN13" s="12">
        <f>COUNTIF(defects!$W:$W,Monthly_All!$B13&amp;Monthly_All!$B$3&amp;$B$2&amp;Monthly_All!AN$3)</f>
        <v>0</v>
      </c>
      <c r="AO13" s="12">
        <f>COUNTIF(defects!$W:$W,Monthly_All!$B13&amp;Monthly_All!$B$3&amp;$B$2&amp;Monthly_All!AO$3)</f>
        <v>0</v>
      </c>
      <c r="AP13" s="12">
        <f>COUNTIF(defects!$W:$W,Monthly_All!$B13&amp;Monthly_All!$B$3&amp;$B$2&amp;Monthly_All!AP$3)</f>
        <v>0</v>
      </c>
      <c r="AQ13" s="12"/>
      <c r="AR13" s="12">
        <f>HLOOKUP(AR$3,Weekly_All!$3:$24,MATCH($B13,Weekly_All!$B$3:$B$24,0),0)</f>
        <v>1</v>
      </c>
      <c r="AS13" s="12">
        <f>HLOOKUP(AS$3,Weekly_All!$3:$24,MATCH($B13,Weekly_All!$B$3:$B$24,0),0)</f>
        <v>0</v>
      </c>
      <c r="AT13" s="12">
        <f>HLOOKUP(AT$3,Weekly_All!$3:$24,MATCH($B13,Weekly_All!$B$3:$B$24,0),0)</f>
        <v>0</v>
      </c>
      <c r="AU13" s="12"/>
      <c r="AV13" s="12">
        <f t="shared" si="2"/>
        <v>37</v>
      </c>
    </row>
    <row r="14" spans="2:48">
      <c r="B14" s="12" t="s">
        <v>993</v>
      </c>
      <c r="C14" s="12">
        <f t="shared" si="0"/>
        <v>0</v>
      </c>
      <c r="D14" s="12">
        <f t="shared" si="0"/>
        <v>0</v>
      </c>
      <c r="E14" s="12"/>
      <c r="F14" s="12">
        <f>COUNTIF(defects!$W:$W,Monthly_All!$B14&amp;Monthly_All!$B$3&amp;$B$2&amp;Monthly_All!F$3)</f>
        <v>0</v>
      </c>
      <c r="G14" s="12">
        <f>COUNTIF(defects!$W:$W,Monthly_All!$B14&amp;Monthly_All!$B$3&amp;$B$2&amp;Monthly_All!G$3)</f>
        <v>0</v>
      </c>
      <c r="H14" s="12">
        <f>COUNTIF(defects!$W:$W,Monthly_All!$B14&amp;Monthly_All!$B$3&amp;$B$2&amp;Monthly_All!H$3)</f>
        <v>0</v>
      </c>
      <c r="I14" s="12">
        <f>COUNTIF(defects!$W:$W,Monthly_All!$B14&amp;Monthly_All!$B$3&amp;$B$2&amp;Monthly_All!I$3)</f>
        <v>0</v>
      </c>
      <c r="J14" s="12">
        <f>COUNTIF(defects!$W:$W,Monthly_All!$B14&amp;Monthly_All!$B$3&amp;$B$2&amp;Monthly_All!J$3)</f>
        <v>0</v>
      </c>
      <c r="K14" s="12">
        <f>COUNTIF(defects!$W:$W,Monthly_All!$B14&amp;Monthly_All!$B$3&amp;$B$2&amp;Monthly_All!K$3)</f>
        <v>0</v>
      </c>
      <c r="L14" s="12">
        <f>COUNTIF(defects!$W:$W,Monthly_All!$B14&amp;Monthly_All!$B$3&amp;$B$2&amp;Monthly_All!L$3)</f>
        <v>0</v>
      </c>
      <c r="M14" s="12">
        <f>COUNTIF(defects!$W:$W,Monthly_All!$B14&amp;Monthly_All!$B$3&amp;$B$2&amp;Monthly_All!M$3)</f>
        <v>0</v>
      </c>
      <c r="N14" s="12">
        <f>COUNTIF(defects!$W:$W,Monthly_All!$B14&amp;Monthly_All!$B$3&amp;$B$2&amp;Monthly_All!N$3)</f>
        <v>0</v>
      </c>
      <c r="O14" s="12">
        <f>COUNTIF(defects!$W:$W,Monthly_All!$B14&amp;Monthly_All!$B$3&amp;$B$2&amp;Monthly_All!O$3)</f>
        <v>0</v>
      </c>
      <c r="P14" s="12">
        <f>COUNTIF(defects!$W:$W,Monthly_All!$B14&amp;Monthly_All!$B$3&amp;$B$2&amp;Monthly_All!P$3)</f>
        <v>0</v>
      </c>
      <c r="Q14" s="12">
        <f>COUNTIF(defects!$W:$W,Monthly_All!$B14&amp;Monthly_All!$B$3&amp;$B$2&amp;Monthly_All!Q$3)</f>
        <v>0</v>
      </c>
      <c r="R14" s="12">
        <f>COUNTIF(defects!$W:$W,Monthly_All!$B14&amp;Monthly_All!$B$3&amp;$B$2&amp;Monthly_All!R$3)</f>
        <v>0</v>
      </c>
      <c r="S14" s="12">
        <f>COUNTIF(defects!$W:$W,Monthly_All!$B14&amp;Monthly_All!$B$3&amp;$B$2&amp;Monthly_All!S$3)</f>
        <v>0</v>
      </c>
      <c r="T14" s="12">
        <f>COUNTIF(defects!$W:$W,Monthly_All!$B14&amp;Monthly_All!$B$3&amp;$B$2&amp;Monthly_All!T$3)</f>
        <v>0</v>
      </c>
      <c r="U14" s="12">
        <f>COUNTIF(defects!$W:$W,Monthly_All!$B14&amp;Monthly_All!$B$3&amp;$B$2&amp;Monthly_All!U$3)</f>
        <v>0</v>
      </c>
      <c r="V14" s="12">
        <f>COUNTIF(defects!$W:$W,Monthly_All!$B14&amp;Monthly_All!$B$3&amp;$B$2&amp;Monthly_All!V$3)</f>
        <v>0</v>
      </c>
      <c r="W14" s="12">
        <f>COUNTIF(defects!$W:$W,Monthly_All!$B14&amp;Monthly_All!$B$3&amp;$B$2&amp;Monthly_All!W$3)</f>
        <v>0</v>
      </c>
      <c r="X14" s="12">
        <f>COUNTIF(defects!$W:$W,Monthly_All!$B14&amp;Monthly_All!$B$3&amp;$B$2&amp;Monthly_All!X$3)</f>
        <v>0</v>
      </c>
      <c r="Y14" s="12">
        <f>COUNTIF(defects!$W:$W,Monthly_All!$B14&amp;Monthly_All!$B$3&amp;$B$2&amp;Monthly_All!Y$3)</f>
        <v>0</v>
      </c>
      <c r="Z14" s="12">
        <f>COUNTIF(defects!$W:$W,Monthly_All!$B14&amp;Monthly_All!$B$3&amp;$B$2&amp;Monthly_All!Z$3)</f>
        <v>0</v>
      </c>
      <c r="AA14" s="12">
        <f>COUNTIF(defects!$W:$W,Monthly_All!$B14&amp;Monthly_All!$B$3&amp;$B$2&amp;Monthly_All!AA$3)</f>
        <v>0</v>
      </c>
      <c r="AB14" s="12">
        <f>COUNTIF(defects!$W:$W,Monthly_All!$B14&amp;Monthly_All!$B$3&amp;$B$2&amp;Monthly_All!AB$3)</f>
        <v>0</v>
      </c>
      <c r="AC14" s="12">
        <f>COUNTIF(defects!$W:$W,Monthly_All!$B14&amp;Monthly_All!$B$3&amp;$B$2&amp;Monthly_All!AC$3)</f>
        <v>0</v>
      </c>
      <c r="AD14" s="12">
        <f>COUNTIF(defects!$W:$W,Monthly_All!$B14&amp;Monthly_All!$B$3&amp;$B$2&amp;Monthly_All!AD$3)</f>
        <v>0</v>
      </c>
      <c r="AE14" s="12">
        <f>COUNTIF(defects!$W:$W,Monthly_All!$B14&amp;Monthly_All!$B$3&amp;$B$2&amp;Monthly_All!AE$3)</f>
        <v>0</v>
      </c>
      <c r="AF14" s="12">
        <f>COUNTIF(defects!$W:$W,Monthly_All!$B14&amp;Monthly_All!$B$3&amp;$B$2&amp;Monthly_All!AF$3)</f>
        <v>0</v>
      </c>
      <c r="AG14" s="12">
        <f>COUNTIF(defects!$W:$W,Monthly_All!$B14&amp;Monthly_All!$B$3&amp;$B$2&amp;Monthly_All!AG$3)</f>
        <v>0</v>
      </c>
      <c r="AH14" s="12">
        <f>COUNTIF(defects!$W:$W,Monthly_All!$B14&amp;Monthly_All!$B$3&amp;$B$2&amp;Monthly_All!AH$3)</f>
        <v>0</v>
      </c>
      <c r="AI14" s="12">
        <f>COUNTIF(defects!$W:$W,Monthly_All!$B14&amp;Monthly_All!$B$3&amp;$B$2&amp;Monthly_All!AI$3)</f>
        <v>0</v>
      </c>
      <c r="AJ14" s="12">
        <f>COUNTIF(defects!$W:$W,Monthly_All!$B14&amp;Monthly_All!$B$3&amp;$B$2&amp;Monthly_All!AJ$3)</f>
        <v>0</v>
      </c>
      <c r="AK14" s="12">
        <f>COUNTIF(defects!$W:$W,Monthly_All!$B14&amp;Monthly_All!$B$3&amp;$B$2&amp;Monthly_All!AK$3)</f>
        <v>0</v>
      </c>
      <c r="AL14" s="12">
        <f>COUNTIF(defects!$W:$W,Monthly_All!$B14&amp;Monthly_All!$B$3&amp;$B$2&amp;Monthly_All!AL$3)</f>
        <v>0</v>
      </c>
      <c r="AM14" s="12">
        <f>COUNTIF(defects!$W:$W,Monthly_All!$B14&amp;Monthly_All!$B$3&amp;$B$2&amp;Monthly_All!AM$3)</f>
        <v>0</v>
      </c>
      <c r="AN14" s="12">
        <f>COUNTIF(defects!$W:$W,Monthly_All!$B14&amp;Monthly_All!$B$3&amp;$B$2&amp;Monthly_All!AN$3)</f>
        <v>0</v>
      </c>
      <c r="AO14" s="12">
        <f>COUNTIF(defects!$W:$W,Monthly_All!$B14&amp;Monthly_All!$B$3&amp;$B$2&amp;Monthly_All!AO$3)</f>
        <v>0</v>
      </c>
      <c r="AP14" s="12">
        <f>COUNTIF(defects!$W:$W,Monthly_All!$B14&amp;Monthly_All!$B$3&amp;$B$2&amp;Monthly_All!AP$3)</f>
        <v>0</v>
      </c>
      <c r="AQ14" s="12"/>
      <c r="AR14" s="12">
        <f>HLOOKUP(AR$3,Weekly_All!$3:$24,MATCH($B14,Weekly_All!$B$3:$B$24,0),0)</f>
        <v>0</v>
      </c>
      <c r="AS14" s="12">
        <f>HLOOKUP(AS$3,Weekly_All!$3:$24,MATCH($B14,Weekly_All!$B$3:$B$24,0),0)</f>
        <v>0</v>
      </c>
      <c r="AT14" s="12">
        <f>HLOOKUP(AT$3,Weekly_All!$3:$24,MATCH($B14,Weekly_All!$B$3:$B$24,0),0)</f>
        <v>0</v>
      </c>
      <c r="AU14" s="12"/>
      <c r="AV14" s="12">
        <f t="shared" si="2"/>
        <v>0</v>
      </c>
    </row>
    <row r="15" spans="2:48">
      <c r="B15" s="12" t="s">
        <v>949</v>
      </c>
      <c r="C15" s="12">
        <f t="shared" si="0"/>
        <v>43</v>
      </c>
      <c r="D15" s="12">
        <f t="shared" si="0"/>
        <v>0</v>
      </c>
      <c r="E15" s="12"/>
      <c r="F15" s="12">
        <f>COUNTIF(defects!$W:$W,Monthly_All!$B15&amp;Monthly_All!$B$3&amp;$B$2&amp;Monthly_All!F$3)</f>
        <v>0</v>
      </c>
      <c r="G15" s="12">
        <f>COUNTIF(defects!$W:$W,Monthly_All!$B15&amp;Monthly_All!$B$3&amp;$B$2&amp;Monthly_All!G$3)</f>
        <v>0</v>
      </c>
      <c r="H15" s="12">
        <f>COUNTIF(defects!$W:$W,Monthly_All!$B15&amp;Monthly_All!$B$3&amp;$B$2&amp;Monthly_All!H$3)</f>
        <v>0</v>
      </c>
      <c r="I15" s="12">
        <f>COUNTIF(defects!$W:$W,Monthly_All!$B15&amp;Monthly_All!$B$3&amp;$B$2&amp;Monthly_All!I$3)</f>
        <v>0</v>
      </c>
      <c r="J15" s="12">
        <f>COUNTIF(defects!$W:$W,Monthly_All!$B15&amp;Monthly_All!$B$3&amp;$B$2&amp;Monthly_All!J$3)</f>
        <v>0</v>
      </c>
      <c r="K15" s="12">
        <f>COUNTIF(defects!$W:$W,Monthly_All!$B15&amp;Monthly_All!$B$3&amp;$B$2&amp;Monthly_All!K$3)</f>
        <v>0</v>
      </c>
      <c r="L15" s="12">
        <f>COUNTIF(defects!$W:$W,Monthly_All!$B15&amp;Monthly_All!$B$3&amp;$B$2&amp;Monthly_All!L$3)</f>
        <v>0</v>
      </c>
      <c r="M15" s="12">
        <f>COUNTIF(defects!$W:$W,Monthly_All!$B15&amp;Monthly_All!$B$3&amp;$B$2&amp;Monthly_All!M$3)</f>
        <v>0</v>
      </c>
      <c r="N15" s="12">
        <f>COUNTIF(defects!$W:$W,Monthly_All!$B15&amp;Monthly_All!$B$3&amp;$B$2&amp;Monthly_All!N$3)</f>
        <v>0</v>
      </c>
      <c r="O15" s="12">
        <f>COUNTIF(defects!$W:$W,Monthly_All!$B15&amp;Monthly_All!$B$3&amp;$B$2&amp;Monthly_All!O$3)</f>
        <v>0</v>
      </c>
      <c r="P15" s="12">
        <f>COUNTIF(defects!$W:$W,Monthly_All!$B15&amp;Monthly_All!$B$3&amp;$B$2&amp;Monthly_All!P$3)</f>
        <v>0</v>
      </c>
      <c r="Q15" s="12">
        <f>COUNTIF(defects!$W:$W,Monthly_All!$B15&amp;Monthly_All!$B$3&amp;$B$2&amp;Monthly_All!Q$3)</f>
        <v>0</v>
      </c>
      <c r="R15" s="12">
        <f>COUNTIF(defects!$W:$W,Monthly_All!$B15&amp;Monthly_All!$B$3&amp;$B$2&amp;Monthly_All!R$3)</f>
        <v>0</v>
      </c>
      <c r="S15" s="12">
        <f>COUNTIF(defects!$W:$W,Monthly_All!$B15&amp;Monthly_All!$B$3&amp;$B$2&amp;Monthly_All!S$3)</f>
        <v>0</v>
      </c>
      <c r="T15" s="12">
        <f>COUNTIF(defects!$W:$W,Monthly_All!$B15&amp;Monthly_All!$B$3&amp;$B$2&amp;Monthly_All!T$3)</f>
        <v>0</v>
      </c>
      <c r="U15" s="12">
        <f>COUNTIF(defects!$W:$W,Monthly_All!$B15&amp;Monthly_All!$B$3&amp;$B$2&amp;Monthly_All!U$3)</f>
        <v>1</v>
      </c>
      <c r="V15" s="12">
        <f>COUNTIF(defects!$W:$W,Monthly_All!$B15&amp;Monthly_All!$B$3&amp;$B$2&amp;Monthly_All!V$3)</f>
        <v>1</v>
      </c>
      <c r="W15" s="12">
        <f>COUNTIF(defects!$W:$W,Monthly_All!$B15&amp;Monthly_All!$B$3&amp;$B$2&amp;Monthly_All!W$3)</f>
        <v>4</v>
      </c>
      <c r="X15" s="12">
        <f>COUNTIF(defects!$W:$W,Monthly_All!$B15&amp;Monthly_All!$B$3&amp;$B$2&amp;Monthly_All!X$3)</f>
        <v>10</v>
      </c>
      <c r="Y15" s="12">
        <f>COUNTIF(defects!$W:$W,Monthly_All!$B15&amp;Monthly_All!$B$3&amp;$B$2&amp;Monthly_All!Y$3)</f>
        <v>8</v>
      </c>
      <c r="Z15" s="12">
        <f>COUNTIF(defects!$W:$W,Monthly_All!$B15&amp;Monthly_All!$B$3&amp;$B$2&amp;Monthly_All!Z$3)</f>
        <v>4</v>
      </c>
      <c r="AA15" s="12">
        <f>COUNTIF(defects!$W:$W,Monthly_All!$B15&amp;Monthly_All!$B$3&amp;$B$2&amp;Monthly_All!AA$3)</f>
        <v>5</v>
      </c>
      <c r="AB15" s="12">
        <f>COUNTIF(defects!$W:$W,Monthly_All!$B15&amp;Monthly_All!$B$3&amp;$B$2&amp;Monthly_All!AB$3)</f>
        <v>7</v>
      </c>
      <c r="AC15" s="12">
        <f>COUNTIF(defects!$W:$W,Monthly_All!$B15&amp;Monthly_All!$B$3&amp;$B$2&amp;Monthly_All!AC$3)</f>
        <v>3</v>
      </c>
      <c r="AD15" s="12">
        <f>COUNTIF(defects!$W:$W,Monthly_All!$B15&amp;Monthly_All!$B$3&amp;$B$2&amp;Monthly_All!AD$3)</f>
        <v>0</v>
      </c>
      <c r="AE15" s="12">
        <f>COUNTIF(defects!$W:$W,Monthly_All!$B15&amp;Monthly_All!$B$3&amp;$B$2&amp;Monthly_All!AE$3)</f>
        <v>0</v>
      </c>
      <c r="AF15" s="12">
        <f>COUNTIF(defects!$W:$W,Monthly_All!$B15&amp;Monthly_All!$B$3&amp;$B$2&amp;Monthly_All!AF$3)</f>
        <v>0</v>
      </c>
      <c r="AG15" s="12">
        <f>COUNTIF(defects!$W:$W,Monthly_All!$B15&amp;Monthly_All!$B$3&amp;$B$2&amp;Monthly_All!AG$3)</f>
        <v>0</v>
      </c>
      <c r="AH15" s="12">
        <f>COUNTIF(defects!$W:$W,Monthly_All!$B15&amp;Monthly_All!$B$3&amp;$B$2&amp;Monthly_All!AH$3)</f>
        <v>0</v>
      </c>
      <c r="AI15" s="12">
        <f>COUNTIF(defects!$W:$W,Monthly_All!$B15&amp;Monthly_All!$B$3&amp;$B$2&amp;Monthly_All!AI$3)</f>
        <v>0</v>
      </c>
      <c r="AJ15" s="12">
        <f>COUNTIF(defects!$W:$W,Monthly_All!$B15&amp;Monthly_All!$B$3&amp;$B$2&amp;Monthly_All!AJ$3)</f>
        <v>0</v>
      </c>
      <c r="AK15" s="12">
        <f>COUNTIF(defects!$W:$W,Monthly_All!$B15&amp;Monthly_All!$B$3&amp;$B$2&amp;Monthly_All!AK$3)</f>
        <v>0</v>
      </c>
      <c r="AL15" s="12">
        <f>COUNTIF(defects!$W:$W,Monthly_All!$B15&amp;Monthly_All!$B$3&amp;$B$2&amp;Monthly_All!AL$3)</f>
        <v>0</v>
      </c>
      <c r="AM15" s="12">
        <f>COUNTIF(defects!$W:$W,Monthly_All!$B15&amp;Monthly_All!$B$3&amp;$B$2&amp;Monthly_All!AM$3)</f>
        <v>0</v>
      </c>
      <c r="AN15" s="12">
        <f>COUNTIF(defects!$W:$W,Monthly_All!$B15&amp;Monthly_All!$B$3&amp;$B$2&amp;Monthly_All!AN$3)</f>
        <v>0</v>
      </c>
      <c r="AO15" s="12">
        <f>COUNTIF(defects!$W:$W,Monthly_All!$B15&amp;Monthly_All!$B$3&amp;$B$2&amp;Monthly_All!AO$3)</f>
        <v>0</v>
      </c>
      <c r="AP15" s="12">
        <f>COUNTIF(defects!$W:$W,Monthly_All!$B15&amp;Monthly_All!$B$3&amp;$B$2&amp;Monthly_All!AP$3)</f>
        <v>0</v>
      </c>
      <c r="AQ15" s="12"/>
      <c r="AR15" s="12">
        <f>HLOOKUP(AR$3,Weekly_All!$3:$24,MATCH($B15,Weekly_All!$B$3:$B$24,0),0)</f>
        <v>0</v>
      </c>
      <c r="AS15" s="12">
        <f>HLOOKUP(AS$3,Weekly_All!$3:$24,MATCH($B15,Weekly_All!$B$3:$B$24,0),0)</f>
        <v>3</v>
      </c>
      <c r="AT15" s="12">
        <f>HLOOKUP(AT$3,Weekly_All!$3:$24,MATCH($B15,Weekly_All!$B$3:$B$24,0),0)</f>
        <v>0</v>
      </c>
      <c r="AU15" s="12"/>
      <c r="AV15" s="12">
        <f t="shared" si="2"/>
        <v>43</v>
      </c>
    </row>
    <row r="16" spans="2:48">
      <c r="B16" s="12" t="s">
        <v>28</v>
      </c>
      <c r="C16" s="12">
        <f t="shared" si="0"/>
        <v>104</v>
      </c>
      <c r="D16" s="12">
        <f t="shared" si="0"/>
        <v>0</v>
      </c>
      <c r="E16" s="12"/>
      <c r="F16" s="12">
        <f>COUNTIF(defects!$W:$W,Monthly_All!$B16&amp;Monthly_All!$B$3&amp;$B$2&amp;Monthly_All!F$3)</f>
        <v>0</v>
      </c>
      <c r="G16" s="12">
        <f>COUNTIF(defects!$W:$W,Monthly_All!$B16&amp;Monthly_All!$B$3&amp;$B$2&amp;Monthly_All!G$3)</f>
        <v>0</v>
      </c>
      <c r="H16" s="12">
        <f>COUNTIF(defects!$W:$W,Monthly_All!$B16&amp;Monthly_All!$B$3&amp;$B$2&amp;Monthly_All!H$3)</f>
        <v>0</v>
      </c>
      <c r="I16" s="12">
        <f>COUNTIF(defects!$W:$W,Monthly_All!$B16&amp;Monthly_All!$B$3&amp;$B$2&amp;Monthly_All!I$3)</f>
        <v>0</v>
      </c>
      <c r="J16" s="12">
        <f>COUNTIF(defects!$W:$W,Monthly_All!$B16&amp;Monthly_All!$B$3&amp;$B$2&amp;Monthly_All!J$3)</f>
        <v>0</v>
      </c>
      <c r="K16" s="12">
        <f>COUNTIF(defects!$W:$W,Monthly_All!$B16&amp;Monthly_All!$B$3&amp;$B$2&amp;Monthly_All!K$3)</f>
        <v>0</v>
      </c>
      <c r="L16" s="12">
        <f>COUNTIF(defects!$W:$W,Monthly_All!$B16&amp;Monthly_All!$B$3&amp;$B$2&amp;Monthly_All!L$3)</f>
        <v>0</v>
      </c>
      <c r="M16" s="12">
        <f>COUNTIF(defects!$W:$W,Monthly_All!$B16&amp;Monthly_All!$B$3&amp;$B$2&amp;Monthly_All!M$3)</f>
        <v>0</v>
      </c>
      <c r="N16" s="12">
        <f>COUNTIF(defects!$W:$W,Monthly_All!$B16&amp;Monthly_All!$B$3&amp;$B$2&amp;Monthly_All!N$3)</f>
        <v>0</v>
      </c>
      <c r="O16" s="12">
        <f>COUNTIF(defects!$W:$W,Monthly_All!$B16&amp;Monthly_All!$B$3&amp;$B$2&amp;Monthly_All!O$3)</f>
        <v>0</v>
      </c>
      <c r="P16" s="12">
        <f>COUNTIF(defects!$W:$W,Monthly_All!$B16&amp;Monthly_All!$B$3&amp;$B$2&amp;Monthly_All!P$3)</f>
        <v>0</v>
      </c>
      <c r="Q16" s="12">
        <f>COUNTIF(defects!$W:$W,Monthly_All!$B16&amp;Monthly_All!$B$3&amp;$B$2&amp;Monthly_All!Q$3)</f>
        <v>0</v>
      </c>
      <c r="R16" s="12">
        <f>COUNTIF(defects!$W:$W,Monthly_All!$B16&amp;Monthly_All!$B$3&amp;$B$2&amp;Monthly_All!R$3)</f>
        <v>0</v>
      </c>
      <c r="S16" s="12">
        <f>COUNTIF(defects!$W:$W,Monthly_All!$B16&amp;Monthly_All!$B$3&amp;$B$2&amp;Monthly_All!S$3)</f>
        <v>0</v>
      </c>
      <c r="T16" s="12">
        <f>COUNTIF(defects!$W:$W,Monthly_All!$B16&amp;Monthly_All!$B$3&amp;$B$2&amp;Monthly_All!T$3)</f>
        <v>0</v>
      </c>
      <c r="U16" s="12">
        <f>COUNTIF(defects!$W:$W,Monthly_All!$B16&amp;Monthly_All!$B$3&amp;$B$2&amp;Monthly_All!U$3)</f>
        <v>3</v>
      </c>
      <c r="V16" s="12">
        <f>COUNTIF(defects!$W:$W,Monthly_All!$B16&amp;Monthly_All!$B$3&amp;$B$2&amp;Monthly_All!V$3)</f>
        <v>5</v>
      </c>
      <c r="W16" s="12">
        <f>COUNTIF(defects!$W:$W,Monthly_All!$B16&amp;Monthly_All!$B$3&amp;$B$2&amp;Monthly_All!W$3)</f>
        <v>7</v>
      </c>
      <c r="X16" s="12">
        <f>COUNTIF(defects!$W:$W,Monthly_All!$B16&amp;Monthly_All!$B$3&amp;$B$2&amp;Monthly_All!X$3)</f>
        <v>13</v>
      </c>
      <c r="Y16" s="12">
        <f>COUNTIF(defects!$W:$W,Monthly_All!$B16&amp;Monthly_All!$B$3&amp;$B$2&amp;Monthly_All!Y$3)</f>
        <v>20</v>
      </c>
      <c r="Z16" s="12">
        <f>COUNTIF(defects!$W:$W,Monthly_All!$B16&amp;Monthly_All!$B$3&amp;$B$2&amp;Monthly_All!Z$3)</f>
        <v>26</v>
      </c>
      <c r="AA16" s="12">
        <f>COUNTIF(defects!$W:$W,Monthly_All!$B16&amp;Monthly_All!$B$3&amp;$B$2&amp;Monthly_All!AA$3)</f>
        <v>23</v>
      </c>
      <c r="AB16" s="12">
        <f>COUNTIF(defects!$W:$W,Monthly_All!$B16&amp;Monthly_All!$B$3&amp;$B$2&amp;Monthly_All!AB$3)</f>
        <v>5</v>
      </c>
      <c r="AC16" s="12">
        <f>COUNTIF(defects!$W:$W,Monthly_All!$B16&amp;Monthly_All!$B$3&amp;$B$2&amp;Monthly_All!AC$3)</f>
        <v>2</v>
      </c>
      <c r="AD16" s="12">
        <f>COUNTIF(defects!$W:$W,Monthly_All!$B16&amp;Monthly_All!$B$3&amp;$B$2&amp;Monthly_All!AD$3)</f>
        <v>0</v>
      </c>
      <c r="AE16" s="12">
        <f>COUNTIF(defects!$W:$W,Monthly_All!$B16&amp;Monthly_All!$B$3&amp;$B$2&amp;Monthly_All!AE$3)</f>
        <v>0</v>
      </c>
      <c r="AF16" s="12">
        <f>COUNTIF(defects!$W:$W,Monthly_All!$B16&amp;Monthly_All!$B$3&amp;$B$2&amp;Monthly_All!AF$3)</f>
        <v>0</v>
      </c>
      <c r="AG16" s="12">
        <f>COUNTIF(defects!$W:$W,Monthly_All!$B16&amp;Monthly_All!$B$3&amp;$B$2&amp;Monthly_All!AG$3)</f>
        <v>0</v>
      </c>
      <c r="AH16" s="12">
        <f>COUNTIF(defects!$W:$W,Monthly_All!$B16&amp;Monthly_All!$B$3&amp;$B$2&amp;Monthly_All!AH$3)</f>
        <v>0</v>
      </c>
      <c r="AI16" s="12">
        <f>COUNTIF(defects!$W:$W,Monthly_All!$B16&amp;Monthly_All!$B$3&amp;$B$2&amp;Monthly_All!AI$3)</f>
        <v>0</v>
      </c>
      <c r="AJ16" s="12">
        <f>COUNTIF(defects!$W:$W,Monthly_All!$B16&amp;Monthly_All!$B$3&amp;$B$2&amp;Monthly_All!AJ$3)</f>
        <v>0</v>
      </c>
      <c r="AK16" s="12">
        <f>COUNTIF(defects!$W:$W,Monthly_All!$B16&amp;Monthly_All!$B$3&amp;$B$2&amp;Monthly_All!AK$3)</f>
        <v>0</v>
      </c>
      <c r="AL16" s="12">
        <f>COUNTIF(defects!$W:$W,Monthly_All!$B16&amp;Monthly_All!$B$3&amp;$B$2&amp;Monthly_All!AL$3)</f>
        <v>0</v>
      </c>
      <c r="AM16" s="12">
        <f>COUNTIF(defects!$W:$W,Monthly_All!$B16&amp;Monthly_All!$B$3&amp;$B$2&amp;Monthly_All!AM$3)</f>
        <v>0</v>
      </c>
      <c r="AN16" s="12">
        <f>COUNTIF(defects!$W:$W,Monthly_All!$B16&amp;Monthly_All!$B$3&amp;$B$2&amp;Monthly_All!AN$3)</f>
        <v>0</v>
      </c>
      <c r="AO16" s="12">
        <f>COUNTIF(defects!$W:$W,Monthly_All!$B16&amp;Monthly_All!$B$3&amp;$B$2&amp;Monthly_All!AO$3)</f>
        <v>0</v>
      </c>
      <c r="AP16" s="12">
        <f>COUNTIF(defects!$W:$W,Monthly_All!$B16&amp;Monthly_All!$B$3&amp;$B$2&amp;Monthly_All!AP$3)</f>
        <v>0</v>
      </c>
      <c r="AQ16" s="12"/>
      <c r="AR16" s="12">
        <f>HLOOKUP(AR$3,Weekly_All!$3:$24,MATCH($B16,Weekly_All!$B$3:$B$24,0),0)</f>
        <v>0</v>
      </c>
      <c r="AS16" s="12">
        <f>HLOOKUP(AS$3,Weekly_All!$3:$24,MATCH($B16,Weekly_All!$B$3:$B$24,0),0)</f>
        <v>2</v>
      </c>
      <c r="AT16" s="12">
        <f>HLOOKUP(AT$3,Weekly_All!$3:$24,MATCH($B16,Weekly_All!$B$3:$B$24,0),0)</f>
        <v>0</v>
      </c>
      <c r="AU16" s="12"/>
      <c r="AV16" s="12">
        <f t="shared" si="2"/>
        <v>104</v>
      </c>
    </row>
    <row r="17" spans="2:48">
      <c r="B17" s="12" t="s">
        <v>994</v>
      </c>
      <c r="C17" s="12">
        <f t="shared" si="0"/>
        <v>0</v>
      </c>
      <c r="D17" s="12">
        <f t="shared" si="0"/>
        <v>0</v>
      </c>
      <c r="E17" s="12"/>
      <c r="F17" s="12">
        <f>COUNTIF(defects!$W:$W,Monthly_All!$B17&amp;Monthly_All!$B$3&amp;$B$2&amp;Monthly_All!F$3)</f>
        <v>0</v>
      </c>
      <c r="G17" s="12">
        <f>COUNTIF(defects!$W:$W,Monthly_All!$B17&amp;Monthly_All!$B$3&amp;$B$2&amp;Monthly_All!G$3)</f>
        <v>0</v>
      </c>
      <c r="H17" s="12">
        <f>COUNTIF(defects!$W:$W,Monthly_All!$B17&amp;Monthly_All!$B$3&amp;$B$2&amp;Monthly_All!H$3)</f>
        <v>0</v>
      </c>
      <c r="I17" s="12">
        <f>COUNTIF(defects!$W:$W,Monthly_All!$B17&amp;Monthly_All!$B$3&amp;$B$2&amp;Monthly_All!I$3)</f>
        <v>0</v>
      </c>
      <c r="J17" s="12">
        <f>COUNTIF(defects!$W:$W,Monthly_All!$B17&amp;Monthly_All!$B$3&amp;$B$2&amp;Monthly_All!J$3)</f>
        <v>0</v>
      </c>
      <c r="K17" s="12">
        <f>COUNTIF(defects!$W:$W,Monthly_All!$B17&amp;Monthly_All!$B$3&amp;$B$2&amp;Monthly_All!K$3)</f>
        <v>0</v>
      </c>
      <c r="L17" s="12">
        <f>COUNTIF(defects!$W:$W,Monthly_All!$B17&amp;Monthly_All!$B$3&amp;$B$2&amp;Monthly_All!L$3)</f>
        <v>0</v>
      </c>
      <c r="M17" s="12">
        <f>COUNTIF(defects!$W:$W,Monthly_All!$B17&amp;Monthly_All!$B$3&amp;$B$2&amp;Monthly_All!M$3)</f>
        <v>0</v>
      </c>
      <c r="N17" s="12">
        <f>COUNTIF(defects!$W:$W,Monthly_All!$B17&amp;Monthly_All!$B$3&amp;$B$2&amp;Monthly_All!N$3)</f>
        <v>0</v>
      </c>
      <c r="O17" s="12">
        <f>COUNTIF(defects!$W:$W,Monthly_All!$B17&amp;Monthly_All!$B$3&amp;$B$2&amp;Monthly_All!O$3)</f>
        <v>0</v>
      </c>
      <c r="P17" s="12">
        <f>COUNTIF(defects!$W:$W,Monthly_All!$B17&amp;Monthly_All!$B$3&amp;$B$2&amp;Monthly_All!P$3)</f>
        <v>0</v>
      </c>
      <c r="Q17" s="12">
        <f>COUNTIF(defects!$W:$W,Monthly_All!$B17&amp;Monthly_All!$B$3&amp;$B$2&amp;Monthly_All!Q$3)</f>
        <v>0</v>
      </c>
      <c r="R17" s="12">
        <f>COUNTIF(defects!$W:$W,Monthly_All!$B17&amp;Monthly_All!$B$3&amp;$B$2&amp;Monthly_All!R$3)</f>
        <v>0</v>
      </c>
      <c r="S17" s="12">
        <f>COUNTIF(defects!$W:$W,Monthly_All!$B17&amp;Monthly_All!$B$3&amp;$B$2&amp;Monthly_All!S$3)</f>
        <v>0</v>
      </c>
      <c r="T17" s="12">
        <f>COUNTIF(defects!$W:$W,Monthly_All!$B17&amp;Monthly_All!$B$3&amp;$B$2&amp;Monthly_All!T$3)</f>
        <v>0</v>
      </c>
      <c r="U17" s="12">
        <f>COUNTIF(defects!$W:$W,Monthly_All!$B17&amp;Monthly_All!$B$3&amp;$B$2&amp;Monthly_All!U$3)</f>
        <v>0</v>
      </c>
      <c r="V17" s="12">
        <f>COUNTIF(defects!$W:$W,Monthly_All!$B17&amp;Monthly_All!$B$3&amp;$B$2&amp;Monthly_All!V$3)</f>
        <v>0</v>
      </c>
      <c r="W17" s="12">
        <f>COUNTIF(defects!$W:$W,Monthly_All!$B17&amp;Monthly_All!$B$3&amp;$B$2&amp;Monthly_All!W$3)</f>
        <v>0</v>
      </c>
      <c r="X17" s="12">
        <f>COUNTIF(defects!$W:$W,Monthly_All!$B17&amp;Monthly_All!$B$3&amp;$B$2&amp;Monthly_All!X$3)</f>
        <v>0</v>
      </c>
      <c r="Y17" s="12">
        <f>COUNTIF(defects!$W:$W,Monthly_All!$B17&amp;Monthly_All!$B$3&amp;$B$2&amp;Monthly_All!Y$3)</f>
        <v>0</v>
      </c>
      <c r="Z17" s="12">
        <f>COUNTIF(defects!$W:$W,Monthly_All!$B17&amp;Monthly_All!$B$3&amp;$B$2&amp;Monthly_All!Z$3)</f>
        <v>0</v>
      </c>
      <c r="AA17" s="12">
        <f>COUNTIF(defects!$W:$W,Monthly_All!$B17&amp;Monthly_All!$B$3&amp;$B$2&amp;Monthly_All!AA$3)</f>
        <v>0</v>
      </c>
      <c r="AB17" s="12">
        <f>COUNTIF(defects!$W:$W,Monthly_All!$B17&amp;Monthly_All!$B$3&amp;$B$2&amp;Monthly_All!AB$3)</f>
        <v>0</v>
      </c>
      <c r="AC17" s="12">
        <f>COUNTIF(defects!$W:$W,Monthly_All!$B17&amp;Monthly_All!$B$3&amp;$B$2&amp;Monthly_All!AC$3)</f>
        <v>0</v>
      </c>
      <c r="AD17" s="12">
        <f>COUNTIF(defects!$W:$W,Monthly_All!$B17&amp;Monthly_All!$B$3&amp;$B$2&amp;Monthly_All!AD$3)</f>
        <v>0</v>
      </c>
      <c r="AE17" s="12">
        <f>COUNTIF(defects!$W:$W,Monthly_All!$B17&amp;Monthly_All!$B$3&amp;$B$2&amp;Monthly_All!AE$3)</f>
        <v>0</v>
      </c>
      <c r="AF17" s="12">
        <f>COUNTIF(defects!$W:$W,Monthly_All!$B17&amp;Monthly_All!$B$3&amp;$B$2&amp;Monthly_All!AF$3)</f>
        <v>0</v>
      </c>
      <c r="AG17" s="12">
        <f>COUNTIF(defects!$W:$W,Monthly_All!$B17&amp;Monthly_All!$B$3&amp;$B$2&amp;Monthly_All!AG$3)</f>
        <v>0</v>
      </c>
      <c r="AH17" s="12">
        <f>COUNTIF(defects!$W:$W,Monthly_All!$B17&amp;Monthly_All!$B$3&amp;$B$2&amp;Monthly_All!AH$3)</f>
        <v>0</v>
      </c>
      <c r="AI17" s="12">
        <f>COUNTIF(defects!$W:$W,Monthly_All!$B17&amp;Monthly_All!$B$3&amp;$B$2&amp;Monthly_All!AI$3)</f>
        <v>0</v>
      </c>
      <c r="AJ17" s="12">
        <f>COUNTIF(defects!$W:$W,Monthly_All!$B17&amp;Monthly_All!$B$3&amp;$B$2&amp;Monthly_All!AJ$3)</f>
        <v>0</v>
      </c>
      <c r="AK17" s="12">
        <f>COUNTIF(defects!$W:$W,Monthly_All!$B17&amp;Monthly_All!$B$3&amp;$B$2&amp;Monthly_All!AK$3)</f>
        <v>0</v>
      </c>
      <c r="AL17" s="12">
        <f>COUNTIF(defects!$W:$W,Monthly_All!$B17&amp;Monthly_All!$B$3&amp;$B$2&amp;Monthly_All!AL$3)</f>
        <v>0</v>
      </c>
      <c r="AM17" s="12">
        <f>COUNTIF(defects!$W:$W,Monthly_All!$B17&amp;Monthly_All!$B$3&amp;$B$2&amp;Monthly_All!AM$3)</f>
        <v>0</v>
      </c>
      <c r="AN17" s="12">
        <f>COUNTIF(defects!$W:$W,Monthly_All!$B17&amp;Monthly_All!$B$3&amp;$B$2&amp;Monthly_All!AN$3)</f>
        <v>0</v>
      </c>
      <c r="AO17" s="12">
        <f>COUNTIF(defects!$W:$W,Monthly_All!$B17&amp;Monthly_All!$B$3&amp;$B$2&amp;Monthly_All!AO$3)</f>
        <v>0</v>
      </c>
      <c r="AP17" s="12">
        <f>COUNTIF(defects!$W:$W,Monthly_All!$B17&amp;Monthly_All!$B$3&amp;$B$2&amp;Monthly_All!AP$3)</f>
        <v>0</v>
      </c>
      <c r="AQ17" s="12"/>
      <c r="AR17" s="12">
        <f>HLOOKUP(AR$3,Weekly_All!$3:$24,MATCH($B17,Weekly_All!$B$3:$B$24,0),0)</f>
        <v>0</v>
      </c>
      <c r="AS17" s="12">
        <f>HLOOKUP(AS$3,Weekly_All!$3:$24,MATCH($B17,Weekly_All!$B$3:$B$24,0),0)</f>
        <v>0</v>
      </c>
      <c r="AT17" s="12">
        <f>HLOOKUP(AT$3,Weekly_All!$3:$24,MATCH($B17,Weekly_All!$B$3:$B$24,0),0)</f>
        <v>0</v>
      </c>
      <c r="AU17" s="12"/>
      <c r="AV17" s="12">
        <f t="shared" si="2"/>
        <v>0</v>
      </c>
    </row>
    <row r="18" spans="2:48">
      <c r="B18" s="12" t="s">
        <v>891</v>
      </c>
      <c r="C18" s="12">
        <f t="shared" si="0"/>
        <v>26</v>
      </c>
      <c r="D18" s="12">
        <f t="shared" si="0"/>
        <v>0</v>
      </c>
      <c r="E18" s="12"/>
      <c r="F18" s="12">
        <f>COUNTIF(defects!$W:$W,Monthly_All!$B18&amp;Monthly_All!$B$3&amp;$B$2&amp;Monthly_All!F$3)</f>
        <v>0</v>
      </c>
      <c r="G18" s="12">
        <f>COUNTIF(defects!$W:$W,Monthly_All!$B18&amp;Monthly_All!$B$3&amp;$B$2&amp;Monthly_All!G$3)</f>
        <v>0</v>
      </c>
      <c r="H18" s="12">
        <f>COUNTIF(defects!$W:$W,Monthly_All!$B18&amp;Monthly_All!$B$3&amp;$B$2&amp;Monthly_All!H$3)</f>
        <v>0</v>
      </c>
      <c r="I18" s="12">
        <f>COUNTIF(defects!$W:$W,Monthly_All!$B18&amp;Monthly_All!$B$3&amp;$B$2&amp;Monthly_All!I$3)</f>
        <v>0</v>
      </c>
      <c r="J18" s="12">
        <f>COUNTIF(defects!$W:$W,Monthly_All!$B18&amp;Monthly_All!$B$3&amp;$B$2&amp;Monthly_All!J$3)</f>
        <v>0</v>
      </c>
      <c r="K18" s="12">
        <f>COUNTIF(defects!$W:$W,Monthly_All!$B18&amp;Monthly_All!$B$3&amp;$B$2&amp;Monthly_All!K$3)</f>
        <v>0</v>
      </c>
      <c r="L18" s="12">
        <f>COUNTIF(defects!$W:$W,Monthly_All!$B18&amp;Monthly_All!$B$3&amp;$B$2&amp;Monthly_All!L$3)</f>
        <v>0</v>
      </c>
      <c r="M18" s="12">
        <f>COUNTIF(defects!$W:$W,Monthly_All!$B18&amp;Monthly_All!$B$3&amp;$B$2&amp;Monthly_All!M$3)</f>
        <v>0</v>
      </c>
      <c r="N18" s="12">
        <f>COUNTIF(defects!$W:$W,Monthly_All!$B18&amp;Monthly_All!$B$3&amp;$B$2&amp;Monthly_All!N$3)</f>
        <v>0</v>
      </c>
      <c r="O18" s="12">
        <f>COUNTIF(defects!$W:$W,Monthly_All!$B18&amp;Monthly_All!$B$3&amp;$B$2&amp;Monthly_All!O$3)</f>
        <v>0</v>
      </c>
      <c r="P18" s="12">
        <f>COUNTIF(defects!$W:$W,Monthly_All!$B18&amp;Monthly_All!$B$3&amp;$B$2&amp;Monthly_All!P$3)</f>
        <v>0</v>
      </c>
      <c r="Q18" s="12">
        <f>COUNTIF(defects!$W:$W,Monthly_All!$B18&amp;Monthly_All!$B$3&amp;$B$2&amp;Monthly_All!Q$3)</f>
        <v>0</v>
      </c>
      <c r="R18" s="12">
        <f>COUNTIF(defects!$W:$W,Monthly_All!$B18&amp;Monthly_All!$B$3&amp;$B$2&amp;Monthly_All!R$3)</f>
        <v>0</v>
      </c>
      <c r="S18" s="12">
        <f>COUNTIF(defects!$W:$W,Monthly_All!$B18&amp;Monthly_All!$B$3&amp;$B$2&amp;Monthly_All!S$3)</f>
        <v>0</v>
      </c>
      <c r="T18" s="12">
        <f>COUNTIF(defects!$W:$W,Monthly_All!$B18&amp;Monthly_All!$B$3&amp;$B$2&amp;Monthly_All!T$3)</f>
        <v>0</v>
      </c>
      <c r="U18" s="12">
        <f>COUNTIF(defects!$W:$W,Monthly_All!$B18&amp;Monthly_All!$B$3&amp;$B$2&amp;Monthly_All!U$3)</f>
        <v>0</v>
      </c>
      <c r="V18" s="12">
        <f>COUNTIF(defects!$W:$W,Monthly_All!$B18&amp;Monthly_All!$B$3&amp;$B$2&amp;Monthly_All!V$3)</f>
        <v>1</v>
      </c>
      <c r="W18" s="12">
        <f>COUNTIF(defects!$W:$W,Monthly_All!$B18&amp;Monthly_All!$B$3&amp;$B$2&amp;Monthly_All!W$3)</f>
        <v>4</v>
      </c>
      <c r="X18" s="12">
        <f>COUNTIF(defects!$W:$W,Monthly_All!$B18&amp;Monthly_All!$B$3&amp;$B$2&amp;Monthly_All!X$3)</f>
        <v>2</v>
      </c>
      <c r="Y18" s="12">
        <f>COUNTIF(defects!$W:$W,Monthly_All!$B18&amp;Monthly_All!$B$3&amp;$B$2&amp;Monthly_All!Y$3)</f>
        <v>5</v>
      </c>
      <c r="Z18" s="12">
        <f>COUNTIF(defects!$W:$W,Monthly_All!$B18&amp;Monthly_All!$B$3&amp;$B$2&amp;Monthly_All!Z$3)</f>
        <v>6</v>
      </c>
      <c r="AA18" s="12">
        <f>COUNTIF(defects!$W:$W,Monthly_All!$B18&amp;Monthly_All!$B$3&amp;$B$2&amp;Monthly_All!AA$3)</f>
        <v>5</v>
      </c>
      <c r="AB18" s="12">
        <f>COUNTIF(defects!$W:$W,Monthly_All!$B18&amp;Monthly_All!$B$3&amp;$B$2&amp;Monthly_All!AB$3)</f>
        <v>3</v>
      </c>
      <c r="AC18" s="12">
        <f>COUNTIF(defects!$W:$W,Monthly_All!$B18&amp;Monthly_All!$B$3&amp;$B$2&amp;Monthly_All!AC$3)</f>
        <v>0</v>
      </c>
      <c r="AD18" s="12">
        <f>COUNTIF(defects!$W:$W,Monthly_All!$B18&amp;Monthly_All!$B$3&amp;$B$2&amp;Monthly_All!AD$3)</f>
        <v>0</v>
      </c>
      <c r="AE18" s="12">
        <f>COUNTIF(defects!$W:$W,Monthly_All!$B18&amp;Monthly_All!$B$3&amp;$B$2&amp;Monthly_All!AE$3)</f>
        <v>0</v>
      </c>
      <c r="AF18" s="12">
        <f>COUNTIF(defects!$W:$W,Monthly_All!$B18&amp;Monthly_All!$B$3&amp;$B$2&amp;Monthly_All!AF$3)</f>
        <v>0</v>
      </c>
      <c r="AG18" s="12">
        <f>COUNTIF(defects!$W:$W,Monthly_All!$B18&amp;Monthly_All!$B$3&amp;$B$2&amp;Monthly_All!AG$3)</f>
        <v>0</v>
      </c>
      <c r="AH18" s="12">
        <f>COUNTIF(defects!$W:$W,Monthly_All!$B18&amp;Monthly_All!$B$3&amp;$B$2&amp;Monthly_All!AH$3)</f>
        <v>0</v>
      </c>
      <c r="AI18" s="12">
        <f>COUNTIF(defects!$W:$W,Monthly_All!$B18&amp;Monthly_All!$B$3&amp;$B$2&amp;Monthly_All!AI$3)</f>
        <v>0</v>
      </c>
      <c r="AJ18" s="12">
        <f>COUNTIF(defects!$W:$W,Monthly_All!$B18&amp;Monthly_All!$B$3&amp;$B$2&amp;Monthly_All!AJ$3)</f>
        <v>0</v>
      </c>
      <c r="AK18" s="12">
        <f>COUNTIF(defects!$W:$W,Monthly_All!$B18&amp;Monthly_All!$B$3&amp;$B$2&amp;Monthly_All!AK$3)</f>
        <v>0</v>
      </c>
      <c r="AL18" s="12">
        <f>COUNTIF(defects!$W:$W,Monthly_All!$B18&amp;Monthly_All!$B$3&amp;$B$2&amp;Monthly_All!AL$3)</f>
        <v>0</v>
      </c>
      <c r="AM18" s="12">
        <f>COUNTIF(defects!$W:$W,Monthly_All!$B18&amp;Monthly_All!$B$3&amp;$B$2&amp;Monthly_All!AM$3)</f>
        <v>0</v>
      </c>
      <c r="AN18" s="12">
        <f>COUNTIF(defects!$W:$W,Monthly_All!$B18&amp;Monthly_All!$B$3&amp;$B$2&amp;Monthly_All!AN$3)</f>
        <v>0</v>
      </c>
      <c r="AO18" s="12">
        <f>COUNTIF(defects!$W:$W,Monthly_All!$B18&amp;Monthly_All!$B$3&amp;$B$2&amp;Monthly_All!AO$3)</f>
        <v>0</v>
      </c>
      <c r="AP18" s="12">
        <f>COUNTIF(defects!$W:$W,Monthly_All!$B18&amp;Monthly_All!$B$3&amp;$B$2&amp;Monthly_All!AP$3)</f>
        <v>0</v>
      </c>
      <c r="AQ18" s="12"/>
      <c r="AR18" s="12">
        <f>HLOOKUP(AR$3,Weekly_All!$3:$24,MATCH($B18,Weekly_All!$B$3:$B$24,0),0)</f>
        <v>0</v>
      </c>
      <c r="AS18" s="12">
        <f>HLOOKUP(AS$3,Weekly_All!$3:$24,MATCH($B18,Weekly_All!$B$3:$B$24,0),0)</f>
        <v>0</v>
      </c>
      <c r="AT18" s="12">
        <f>HLOOKUP(AT$3,Weekly_All!$3:$24,MATCH($B18,Weekly_All!$B$3:$B$24,0),0)</f>
        <v>0</v>
      </c>
      <c r="AU18" s="12"/>
      <c r="AV18" s="12">
        <f t="shared" si="2"/>
        <v>26</v>
      </c>
    </row>
    <row r="19" spans="2:48">
      <c r="B19" s="12" t="s">
        <v>995</v>
      </c>
      <c r="C19" s="12">
        <f t="shared" si="0"/>
        <v>5</v>
      </c>
      <c r="D19" s="12">
        <f t="shared" si="0"/>
        <v>0</v>
      </c>
      <c r="E19" s="12"/>
      <c r="F19" s="12">
        <f>COUNTIF(defects!$W:$W,Monthly_All!$B19&amp;Monthly_All!$B$3&amp;$B$2&amp;Monthly_All!F$3)</f>
        <v>0</v>
      </c>
      <c r="G19" s="12">
        <f>COUNTIF(defects!$W:$W,Monthly_All!$B19&amp;Monthly_All!$B$3&amp;$B$2&amp;Monthly_All!G$3)</f>
        <v>0</v>
      </c>
      <c r="H19" s="12">
        <f>COUNTIF(defects!$W:$W,Monthly_All!$B19&amp;Monthly_All!$B$3&amp;$B$2&amp;Monthly_All!H$3)</f>
        <v>0</v>
      </c>
      <c r="I19" s="12">
        <f>COUNTIF(defects!$W:$W,Monthly_All!$B19&amp;Monthly_All!$B$3&amp;$B$2&amp;Monthly_All!I$3)</f>
        <v>0</v>
      </c>
      <c r="J19" s="12">
        <f>COUNTIF(defects!$W:$W,Monthly_All!$B19&amp;Monthly_All!$B$3&amp;$B$2&amp;Monthly_All!J$3)</f>
        <v>0</v>
      </c>
      <c r="K19" s="12">
        <f>COUNTIF(defects!$W:$W,Monthly_All!$B19&amp;Monthly_All!$B$3&amp;$B$2&amp;Monthly_All!K$3)</f>
        <v>0</v>
      </c>
      <c r="L19" s="12">
        <f>COUNTIF(defects!$W:$W,Monthly_All!$B19&amp;Monthly_All!$B$3&amp;$B$2&amp;Monthly_All!L$3)</f>
        <v>0</v>
      </c>
      <c r="M19" s="12">
        <f>COUNTIF(defects!$W:$W,Monthly_All!$B19&amp;Monthly_All!$B$3&amp;$B$2&amp;Monthly_All!M$3)</f>
        <v>0</v>
      </c>
      <c r="N19" s="12">
        <f>COUNTIF(defects!$W:$W,Monthly_All!$B19&amp;Monthly_All!$B$3&amp;$B$2&amp;Monthly_All!N$3)</f>
        <v>0</v>
      </c>
      <c r="O19" s="12">
        <f>COUNTIF(defects!$W:$W,Monthly_All!$B19&amp;Monthly_All!$B$3&amp;$B$2&amp;Monthly_All!O$3)</f>
        <v>0</v>
      </c>
      <c r="P19" s="12">
        <f>COUNTIF(defects!$W:$W,Monthly_All!$B19&amp;Monthly_All!$B$3&amp;$B$2&amp;Monthly_All!P$3)</f>
        <v>0</v>
      </c>
      <c r="Q19" s="12">
        <f>COUNTIF(defects!$W:$W,Monthly_All!$B19&amp;Monthly_All!$B$3&amp;$B$2&amp;Monthly_All!Q$3)</f>
        <v>0</v>
      </c>
      <c r="R19" s="12">
        <f>COUNTIF(defects!$W:$W,Monthly_All!$B19&amp;Monthly_All!$B$3&amp;$B$2&amp;Monthly_All!R$3)</f>
        <v>0</v>
      </c>
      <c r="S19" s="12">
        <f>COUNTIF(defects!$W:$W,Monthly_All!$B19&amp;Monthly_All!$B$3&amp;$B$2&amp;Monthly_All!S$3)</f>
        <v>0</v>
      </c>
      <c r="T19" s="12">
        <f>COUNTIF(defects!$W:$W,Monthly_All!$B19&amp;Monthly_All!$B$3&amp;$B$2&amp;Monthly_All!T$3)</f>
        <v>0</v>
      </c>
      <c r="U19" s="12">
        <f>COUNTIF(defects!$W:$W,Monthly_All!$B19&amp;Monthly_All!$B$3&amp;$B$2&amp;Monthly_All!U$3)</f>
        <v>0</v>
      </c>
      <c r="V19" s="12">
        <f>COUNTIF(defects!$W:$W,Monthly_All!$B19&amp;Monthly_All!$B$3&amp;$B$2&amp;Monthly_All!V$3)</f>
        <v>0</v>
      </c>
      <c r="W19" s="12">
        <f>COUNTIF(defects!$W:$W,Monthly_All!$B19&amp;Monthly_All!$B$3&amp;$B$2&amp;Monthly_All!W$3)</f>
        <v>0</v>
      </c>
      <c r="X19" s="12">
        <f>COUNTIF(defects!$W:$W,Monthly_All!$B19&amp;Monthly_All!$B$3&amp;$B$2&amp;Monthly_All!X$3)</f>
        <v>0</v>
      </c>
      <c r="Y19" s="12">
        <f>COUNTIF(defects!$W:$W,Monthly_All!$B19&amp;Monthly_All!$B$3&amp;$B$2&amp;Monthly_All!Y$3)</f>
        <v>0</v>
      </c>
      <c r="Z19" s="12">
        <f>COUNTIF(defects!$W:$W,Monthly_All!$B19&amp;Monthly_All!$B$3&amp;$B$2&amp;Monthly_All!Z$3)</f>
        <v>5</v>
      </c>
      <c r="AA19" s="12">
        <f>COUNTIF(defects!$W:$W,Monthly_All!$B19&amp;Monthly_All!$B$3&amp;$B$2&amp;Monthly_All!AA$3)</f>
        <v>0</v>
      </c>
      <c r="AB19" s="12">
        <f>COUNTIF(defects!$W:$W,Monthly_All!$B19&amp;Monthly_All!$B$3&amp;$B$2&amp;Monthly_All!AB$3)</f>
        <v>0</v>
      </c>
      <c r="AC19" s="12">
        <f>COUNTIF(defects!$W:$W,Monthly_All!$B19&amp;Monthly_All!$B$3&amp;$B$2&amp;Monthly_All!AC$3)</f>
        <v>0</v>
      </c>
      <c r="AD19" s="12">
        <f>COUNTIF(defects!$W:$W,Monthly_All!$B19&amp;Monthly_All!$B$3&amp;$B$2&amp;Monthly_All!AD$3)</f>
        <v>0</v>
      </c>
      <c r="AE19" s="12">
        <f>COUNTIF(defects!$W:$W,Monthly_All!$B19&amp;Monthly_All!$B$3&amp;$B$2&amp;Monthly_All!AE$3)</f>
        <v>0</v>
      </c>
      <c r="AF19" s="12">
        <f>COUNTIF(defects!$W:$W,Monthly_All!$B19&amp;Monthly_All!$B$3&amp;$B$2&amp;Monthly_All!AF$3)</f>
        <v>0</v>
      </c>
      <c r="AG19" s="12">
        <f>COUNTIF(defects!$W:$W,Monthly_All!$B19&amp;Monthly_All!$B$3&amp;$B$2&amp;Monthly_All!AG$3)</f>
        <v>0</v>
      </c>
      <c r="AH19" s="12">
        <f>COUNTIF(defects!$W:$W,Monthly_All!$B19&amp;Monthly_All!$B$3&amp;$B$2&amp;Monthly_All!AH$3)</f>
        <v>0</v>
      </c>
      <c r="AI19" s="12">
        <f>COUNTIF(defects!$W:$W,Monthly_All!$B19&amp;Monthly_All!$B$3&amp;$B$2&amp;Monthly_All!AI$3)</f>
        <v>0</v>
      </c>
      <c r="AJ19" s="12">
        <f>COUNTIF(defects!$W:$W,Monthly_All!$B19&amp;Monthly_All!$B$3&amp;$B$2&amp;Monthly_All!AJ$3)</f>
        <v>0</v>
      </c>
      <c r="AK19" s="12">
        <f>COUNTIF(defects!$W:$W,Monthly_All!$B19&amp;Monthly_All!$B$3&amp;$B$2&amp;Monthly_All!AK$3)</f>
        <v>0</v>
      </c>
      <c r="AL19" s="12">
        <f>COUNTIF(defects!$W:$W,Monthly_All!$B19&amp;Monthly_All!$B$3&amp;$B$2&amp;Monthly_All!AL$3)</f>
        <v>0</v>
      </c>
      <c r="AM19" s="12">
        <f>COUNTIF(defects!$W:$W,Monthly_All!$B19&amp;Monthly_All!$B$3&amp;$B$2&amp;Monthly_All!AM$3)</f>
        <v>0</v>
      </c>
      <c r="AN19" s="12">
        <f>COUNTIF(defects!$W:$W,Monthly_All!$B19&amp;Monthly_All!$B$3&amp;$B$2&amp;Monthly_All!AN$3)</f>
        <v>0</v>
      </c>
      <c r="AO19" s="12">
        <f>COUNTIF(defects!$W:$W,Monthly_All!$B19&amp;Monthly_All!$B$3&amp;$B$2&amp;Monthly_All!AO$3)</f>
        <v>0</v>
      </c>
      <c r="AP19" s="12">
        <f>COUNTIF(defects!$W:$W,Monthly_All!$B19&amp;Monthly_All!$B$3&amp;$B$2&amp;Monthly_All!AP$3)</f>
        <v>0</v>
      </c>
      <c r="AQ19" s="12"/>
      <c r="AR19" s="12">
        <f>HLOOKUP(AR$3,Weekly_All!$3:$24,MATCH($B19,Weekly_All!$B$3:$B$24,0),0)</f>
        <v>0</v>
      </c>
      <c r="AS19" s="12">
        <f>HLOOKUP(AS$3,Weekly_All!$3:$24,MATCH($B19,Weekly_All!$B$3:$B$24,0),0)</f>
        <v>0</v>
      </c>
      <c r="AT19" s="12">
        <f>HLOOKUP(AT$3,Weekly_All!$3:$24,MATCH($B19,Weekly_All!$B$3:$B$24,0),0)</f>
        <v>0</v>
      </c>
      <c r="AU19" s="12"/>
      <c r="AV19" s="12">
        <f t="shared" si="2"/>
        <v>5</v>
      </c>
    </row>
    <row r="20" spans="2:48">
      <c r="B20" s="12" t="s">
        <v>952</v>
      </c>
      <c r="C20" s="12">
        <f t="shared" si="0"/>
        <v>6</v>
      </c>
      <c r="D20" s="12">
        <f t="shared" si="0"/>
        <v>0</v>
      </c>
      <c r="E20" s="12"/>
      <c r="F20" s="12">
        <f>COUNTIF(defects!$W:$W,Monthly_All!$B20&amp;Monthly_All!$B$3&amp;$B$2&amp;Monthly_All!F$3)</f>
        <v>0</v>
      </c>
      <c r="G20" s="12">
        <f>COUNTIF(defects!$W:$W,Monthly_All!$B20&amp;Monthly_All!$B$3&amp;$B$2&amp;Monthly_All!G$3)</f>
        <v>0</v>
      </c>
      <c r="H20" s="12">
        <f>COUNTIF(defects!$W:$W,Monthly_All!$B20&amp;Monthly_All!$B$3&amp;$B$2&amp;Monthly_All!H$3)</f>
        <v>0</v>
      </c>
      <c r="I20" s="12">
        <f>COUNTIF(defects!$W:$W,Monthly_All!$B20&amp;Monthly_All!$B$3&amp;$B$2&amp;Monthly_All!I$3)</f>
        <v>0</v>
      </c>
      <c r="J20" s="12">
        <f>COUNTIF(defects!$W:$W,Monthly_All!$B20&amp;Monthly_All!$B$3&amp;$B$2&amp;Monthly_All!J$3)</f>
        <v>0</v>
      </c>
      <c r="K20" s="12">
        <f>COUNTIF(defects!$W:$W,Monthly_All!$B20&amp;Monthly_All!$B$3&amp;$B$2&amp;Monthly_All!K$3)</f>
        <v>0</v>
      </c>
      <c r="L20" s="12">
        <f>COUNTIF(defects!$W:$W,Monthly_All!$B20&amp;Monthly_All!$B$3&amp;$B$2&amp;Monthly_All!L$3)</f>
        <v>0</v>
      </c>
      <c r="M20" s="12">
        <f>COUNTIF(defects!$W:$W,Monthly_All!$B20&amp;Monthly_All!$B$3&amp;$B$2&amp;Monthly_All!M$3)</f>
        <v>0</v>
      </c>
      <c r="N20" s="12">
        <f>COUNTIF(defects!$W:$W,Monthly_All!$B20&amp;Monthly_All!$B$3&amp;$B$2&amp;Monthly_All!N$3)</f>
        <v>0</v>
      </c>
      <c r="O20" s="12">
        <f>COUNTIF(defects!$W:$W,Monthly_All!$B20&amp;Monthly_All!$B$3&amp;$B$2&amp;Monthly_All!O$3)</f>
        <v>0</v>
      </c>
      <c r="P20" s="12">
        <f>COUNTIF(defects!$W:$W,Monthly_All!$B20&amp;Monthly_All!$B$3&amp;$B$2&amp;Monthly_All!P$3)</f>
        <v>0</v>
      </c>
      <c r="Q20" s="12">
        <f>COUNTIF(defects!$W:$W,Monthly_All!$B20&amp;Monthly_All!$B$3&amp;$B$2&amp;Monthly_All!Q$3)</f>
        <v>0</v>
      </c>
      <c r="R20" s="12">
        <f>COUNTIF(defects!$W:$W,Monthly_All!$B20&amp;Monthly_All!$B$3&amp;$B$2&amp;Monthly_All!R$3)</f>
        <v>0</v>
      </c>
      <c r="S20" s="12">
        <f>COUNTIF(defects!$W:$W,Monthly_All!$B20&amp;Monthly_All!$B$3&amp;$B$2&amp;Monthly_All!S$3)</f>
        <v>0</v>
      </c>
      <c r="T20" s="12">
        <f>COUNTIF(defects!$W:$W,Monthly_All!$B20&amp;Monthly_All!$B$3&amp;$B$2&amp;Monthly_All!T$3)</f>
        <v>0</v>
      </c>
      <c r="U20" s="12">
        <f>COUNTIF(defects!$W:$W,Monthly_All!$B20&amp;Monthly_All!$B$3&amp;$B$2&amp;Monthly_All!U$3)</f>
        <v>0</v>
      </c>
      <c r="V20" s="12">
        <f>COUNTIF(defects!$W:$W,Monthly_All!$B20&amp;Monthly_All!$B$3&amp;$B$2&amp;Monthly_All!V$3)</f>
        <v>1</v>
      </c>
      <c r="W20" s="12">
        <f>COUNTIF(defects!$W:$W,Monthly_All!$B20&amp;Monthly_All!$B$3&amp;$B$2&amp;Monthly_All!W$3)</f>
        <v>0</v>
      </c>
      <c r="X20" s="12">
        <f>COUNTIF(defects!$W:$W,Monthly_All!$B20&amp;Monthly_All!$B$3&amp;$B$2&amp;Monthly_All!X$3)</f>
        <v>1</v>
      </c>
      <c r="Y20" s="12">
        <f>COUNTIF(defects!$W:$W,Monthly_All!$B20&amp;Monthly_All!$B$3&amp;$B$2&amp;Monthly_All!Y$3)</f>
        <v>2</v>
      </c>
      <c r="Z20" s="12">
        <f>COUNTIF(defects!$W:$W,Monthly_All!$B20&amp;Monthly_All!$B$3&amp;$B$2&amp;Monthly_All!Z$3)</f>
        <v>0</v>
      </c>
      <c r="AA20" s="12">
        <f>COUNTIF(defects!$W:$W,Monthly_All!$B20&amp;Monthly_All!$B$3&amp;$B$2&amp;Monthly_All!AA$3)</f>
        <v>0</v>
      </c>
      <c r="AB20" s="12">
        <f>COUNTIF(defects!$W:$W,Monthly_All!$B20&amp;Monthly_All!$B$3&amp;$B$2&amp;Monthly_All!AB$3)</f>
        <v>0</v>
      </c>
      <c r="AC20" s="12">
        <f>COUNTIF(defects!$W:$W,Monthly_All!$B20&amp;Monthly_All!$B$3&amp;$B$2&amp;Monthly_All!AC$3)</f>
        <v>2</v>
      </c>
      <c r="AD20" s="12">
        <f>COUNTIF(defects!$W:$W,Monthly_All!$B20&amp;Monthly_All!$B$3&amp;$B$2&amp;Monthly_All!AD$3)</f>
        <v>0</v>
      </c>
      <c r="AE20" s="12">
        <f>COUNTIF(defects!$W:$W,Monthly_All!$B20&amp;Monthly_All!$B$3&amp;$B$2&amp;Monthly_All!AE$3)</f>
        <v>0</v>
      </c>
      <c r="AF20" s="12">
        <f>COUNTIF(defects!$W:$W,Monthly_All!$B20&amp;Monthly_All!$B$3&amp;$B$2&amp;Monthly_All!AF$3)</f>
        <v>0</v>
      </c>
      <c r="AG20" s="12">
        <f>COUNTIF(defects!$W:$W,Monthly_All!$B20&amp;Monthly_All!$B$3&amp;$B$2&amp;Monthly_All!AG$3)</f>
        <v>0</v>
      </c>
      <c r="AH20" s="12">
        <f>COUNTIF(defects!$W:$W,Monthly_All!$B20&amp;Monthly_All!$B$3&amp;$B$2&amp;Monthly_All!AH$3)</f>
        <v>0</v>
      </c>
      <c r="AI20" s="12">
        <f>COUNTIF(defects!$W:$W,Monthly_All!$B20&amp;Monthly_All!$B$3&amp;$B$2&amp;Monthly_All!AI$3)</f>
        <v>0</v>
      </c>
      <c r="AJ20" s="12">
        <f>COUNTIF(defects!$W:$W,Monthly_All!$B20&amp;Monthly_All!$B$3&amp;$B$2&amp;Monthly_All!AJ$3)</f>
        <v>0</v>
      </c>
      <c r="AK20" s="12">
        <f>COUNTIF(defects!$W:$W,Monthly_All!$B20&amp;Monthly_All!$B$3&amp;$B$2&amp;Monthly_All!AK$3)</f>
        <v>0</v>
      </c>
      <c r="AL20" s="12">
        <f>COUNTIF(defects!$W:$W,Monthly_All!$B20&amp;Monthly_All!$B$3&amp;$B$2&amp;Monthly_All!AL$3)</f>
        <v>0</v>
      </c>
      <c r="AM20" s="12">
        <f>COUNTIF(defects!$W:$W,Monthly_All!$B20&amp;Monthly_All!$B$3&amp;$B$2&amp;Monthly_All!AM$3)</f>
        <v>0</v>
      </c>
      <c r="AN20" s="12">
        <f>COUNTIF(defects!$W:$W,Monthly_All!$B20&amp;Monthly_All!$B$3&amp;$B$2&amp;Monthly_All!AN$3)</f>
        <v>0</v>
      </c>
      <c r="AO20" s="12">
        <f>COUNTIF(defects!$W:$W,Monthly_All!$B20&amp;Monthly_All!$B$3&amp;$B$2&amp;Monthly_All!AO$3)</f>
        <v>0</v>
      </c>
      <c r="AP20" s="12">
        <f>COUNTIF(defects!$W:$W,Monthly_All!$B20&amp;Monthly_All!$B$3&amp;$B$2&amp;Monthly_All!AP$3)</f>
        <v>0</v>
      </c>
      <c r="AQ20" s="12"/>
      <c r="AR20" s="12">
        <f>HLOOKUP(AR$3,Weekly_All!$3:$24,MATCH($B20,Weekly_All!$B$3:$B$24,0),0)</f>
        <v>0</v>
      </c>
      <c r="AS20" s="12">
        <f>HLOOKUP(AS$3,Weekly_All!$3:$24,MATCH($B20,Weekly_All!$B$3:$B$24,0),0)</f>
        <v>1</v>
      </c>
      <c r="AT20" s="12">
        <f>HLOOKUP(AT$3,Weekly_All!$3:$24,MATCH($B20,Weekly_All!$B$3:$B$24,0),0)</f>
        <v>0</v>
      </c>
      <c r="AU20" s="12"/>
      <c r="AV20" s="12">
        <f t="shared" si="2"/>
        <v>6</v>
      </c>
    </row>
    <row r="21" spans="2:48">
      <c r="B21" s="12" t="s">
        <v>948</v>
      </c>
      <c r="C21" s="12">
        <f t="shared" si="0"/>
        <v>25</v>
      </c>
      <c r="D21" s="12">
        <f t="shared" si="0"/>
        <v>0</v>
      </c>
      <c r="E21" s="12"/>
      <c r="F21" s="12">
        <f>COUNTIF(defects!$W:$W,Monthly_All!$B21&amp;Monthly_All!$B$3&amp;$B$2&amp;Monthly_All!F$3)</f>
        <v>0</v>
      </c>
      <c r="G21" s="12">
        <f>COUNTIF(defects!$W:$W,Monthly_All!$B21&amp;Monthly_All!$B$3&amp;$B$2&amp;Monthly_All!G$3)</f>
        <v>0</v>
      </c>
      <c r="H21" s="12">
        <f>COUNTIF(defects!$W:$W,Monthly_All!$B21&amp;Monthly_All!$B$3&amp;$B$2&amp;Monthly_All!H$3)</f>
        <v>0</v>
      </c>
      <c r="I21" s="12">
        <f>COUNTIF(defects!$W:$W,Monthly_All!$B21&amp;Monthly_All!$B$3&amp;$B$2&amp;Monthly_All!I$3)</f>
        <v>0</v>
      </c>
      <c r="J21" s="12">
        <f>COUNTIF(defects!$W:$W,Monthly_All!$B21&amp;Monthly_All!$B$3&amp;$B$2&amp;Monthly_All!J$3)</f>
        <v>0</v>
      </c>
      <c r="K21" s="12">
        <f>COUNTIF(defects!$W:$W,Monthly_All!$B21&amp;Monthly_All!$B$3&amp;$B$2&amp;Monthly_All!K$3)</f>
        <v>0</v>
      </c>
      <c r="L21" s="12">
        <f>COUNTIF(defects!$W:$W,Monthly_All!$B21&amp;Monthly_All!$B$3&amp;$B$2&amp;Monthly_All!L$3)</f>
        <v>0</v>
      </c>
      <c r="M21" s="12">
        <f>COUNTIF(defects!$W:$W,Monthly_All!$B21&amp;Monthly_All!$B$3&amp;$B$2&amp;Monthly_All!M$3)</f>
        <v>0</v>
      </c>
      <c r="N21" s="12">
        <f>COUNTIF(defects!$W:$W,Monthly_All!$B21&amp;Monthly_All!$B$3&amp;$B$2&amp;Monthly_All!N$3)</f>
        <v>0</v>
      </c>
      <c r="O21" s="12">
        <f>COUNTIF(defects!$W:$W,Monthly_All!$B21&amp;Monthly_All!$B$3&amp;$B$2&amp;Monthly_All!O$3)</f>
        <v>0</v>
      </c>
      <c r="P21" s="12">
        <f>COUNTIF(defects!$W:$W,Monthly_All!$B21&amp;Monthly_All!$B$3&amp;$B$2&amp;Monthly_All!P$3)</f>
        <v>0</v>
      </c>
      <c r="Q21" s="12">
        <f>COUNTIF(defects!$W:$W,Monthly_All!$B21&amp;Monthly_All!$B$3&amp;$B$2&amp;Monthly_All!Q$3)</f>
        <v>0</v>
      </c>
      <c r="R21" s="12">
        <f>COUNTIF(defects!$W:$W,Monthly_All!$B21&amp;Monthly_All!$B$3&amp;$B$2&amp;Monthly_All!R$3)</f>
        <v>0</v>
      </c>
      <c r="S21" s="12">
        <f>COUNTIF(defects!$W:$W,Monthly_All!$B21&amp;Monthly_All!$B$3&amp;$B$2&amp;Monthly_All!S$3)</f>
        <v>0</v>
      </c>
      <c r="T21" s="12">
        <f>COUNTIF(defects!$W:$W,Monthly_All!$B21&amp;Monthly_All!$B$3&amp;$B$2&amp;Monthly_All!T$3)</f>
        <v>0</v>
      </c>
      <c r="U21" s="12">
        <f>COUNTIF(defects!$W:$W,Monthly_All!$B21&amp;Monthly_All!$B$3&amp;$B$2&amp;Monthly_All!U$3)</f>
        <v>1</v>
      </c>
      <c r="V21" s="12">
        <f>COUNTIF(defects!$W:$W,Monthly_All!$B21&amp;Monthly_All!$B$3&amp;$B$2&amp;Monthly_All!V$3)</f>
        <v>2</v>
      </c>
      <c r="W21" s="12">
        <f>COUNTIF(defects!$W:$W,Monthly_All!$B21&amp;Monthly_All!$B$3&amp;$B$2&amp;Monthly_All!W$3)</f>
        <v>1</v>
      </c>
      <c r="X21" s="12">
        <f>COUNTIF(defects!$W:$W,Monthly_All!$B21&amp;Monthly_All!$B$3&amp;$B$2&amp;Monthly_All!X$3)</f>
        <v>0</v>
      </c>
      <c r="Y21" s="12">
        <f>COUNTIF(defects!$W:$W,Monthly_All!$B21&amp;Monthly_All!$B$3&amp;$B$2&amp;Monthly_All!Y$3)</f>
        <v>5</v>
      </c>
      <c r="Z21" s="12">
        <f>COUNTIF(defects!$W:$W,Monthly_All!$B21&amp;Monthly_All!$B$3&amp;$B$2&amp;Monthly_All!Z$3)</f>
        <v>11</v>
      </c>
      <c r="AA21" s="12">
        <f>COUNTIF(defects!$W:$W,Monthly_All!$B21&amp;Monthly_All!$B$3&amp;$B$2&amp;Monthly_All!AA$3)</f>
        <v>5</v>
      </c>
      <c r="AB21" s="12">
        <f>COUNTIF(defects!$W:$W,Monthly_All!$B21&amp;Monthly_All!$B$3&amp;$B$2&amp;Monthly_All!AB$3)</f>
        <v>0</v>
      </c>
      <c r="AC21" s="12">
        <f>COUNTIF(defects!$W:$W,Monthly_All!$B21&amp;Monthly_All!$B$3&amp;$B$2&amp;Monthly_All!AC$3)</f>
        <v>0</v>
      </c>
      <c r="AD21" s="12">
        <f>COUNTIF(defects!$W:$W,Monthly_All!$B21&amp;Monthly_All!$B$3&amp;$B$2&amp;Monthly_All!AD$3)</f>
        <v>0</v>
      </c>
      <c r="AE21" s="12">
        <f>COUNTIF(defects!$W:$W,Monthly_All!$B21&amp;Monthly_All!$B$3&amp;$B$2&amp;Monthly_All!AE$3)</f>
        <v>0</v>
      </c>
      <c r="AF21" s="12">
        <f>COUNTIF(defects!$W:$W,Monthly_All!$B21&amp;Monthly_All!$B$3&amp;$B$2&amp;Monthly_All!AF$3)</f>
        <v>0</v>
      </c>
      <c r="AG21" s="12">
        <f>COUNTIF(defects!$W:$W,Monthly_All!$B21&amp;Monthly_All!$B$3&amp;$B$2&amp;Monthly_All!AG$3)</f>
        <v>0</v>
      </c>
      <c r="AH21" s="12">
        <f>COUNTIF(defects!$W:$W,Monthly_All!$B21&amp;Monthly_All!$B$3&amp;$B$2&amp;Monthly_All!AH$3)</f>
        <v>0</v>
      </c>
      <c r="AI21" s="12">
        <f>COUNTIF(defects!$W:$W,Monthly_All!$B21&amp;Monthly_All!$B$3&amp;$B$2&amp;Monthly_All!AI$3)</f>
        <v>0</v>
      </c>
      <c r="AJ21" s="12">
        <f>COUNTIF(defects!$W:$W,Monthly_All!$B21&amp;Monthly_All!$B$3&amp;$B$2&amp;Monthly_All!AJ$3)</f>
        <v>0</v>
      </c>
      <c r="AK21" s="12">
        <f>COUNTIF(defects!$W:$W,Monthly_All!$B21&amp;Monthly_All!$B$3&amp;$B$2&amp;Monthly_All!AK$3)</f>
        <v>0</v>
      </c>
      <c r="AL21" s="12">
        <f>COUNTIF(defects!$W:$W,Monthly_All!$B21&amp;Monthly_All!$B$3&amp;$B$2&amp;Monthly_All!AL$3)</f>
        <v>0</v>
      </c>
      <c r="AM21" s="12">
        <f>COUNTIF(defects!$W:$W,Monthly_All!$B21&amp;Monthly_All!$B$3&amp;$B$2&amp;Monthly_All!AM$3)</f>
        <v>0</v>
      </c>
      <c r="AN21" s="12">
        <f>COUNTIF(defects!$W:$W,Monthly_All!$B21&amp;Monthly_All!$B$3&amp;$B$2&amp;Monthly_All!AN$3)</f>
        <v>0</v>
      </c>
      <c r="AO21" s="12">
        <f>COUNTIF(defects!$W:$W,Monthly_All!$B21&amp;Monthly_All!$B$3&amp;$B$2&amp;Monthly_All!AO$3)</f>
        <v>0</v>
      </c>
      <c r="AP21" s="12">
        <f>COUNTIF(defects!$W:$W,Monthly_All!$B21&amp;Monthly_All!$B$3&amp;$B$2&amp;Monthly_All!AP$3)</f>
        <v>0</v>
      </c>
      <c r="AQ21" s="12"/>
      <c r="AR21" s="12">
        <f>HLOOKUP(AR$3,Weekly_All!$3:$24,MATCH($B21,Weekly_All!$B$3:$B$24,0),0)</f>
        <v>0</v>
      </c>
      <c r="AS21" s="12">
        <f>HLOOKUP(AS$3,Weekly_All!$3:$24,MATCH($B21,Weekly_All!$B$3:$B$24,0),0)</f>
        <v>0</v>
      </c>
      <c r="AT21" s="12">
        <f>HLOOKUP(AT$3,Weekly_All!$3:$24,MATCH($B21,Weekly_All!$B$3:$B$24,0),0)</f>
        <v>0</v>
      </c>
      <c r="AU21" s="12"/>
      <c r="AV21" s="12">
        <f t="shared" si="2"/>
        <v>25</v>
      </c>
    </row>
    <row r="22" spans="2:48">
      <c r="B22" s="12" t="s">
        <v>959</v>
      </c>
      <c r="C22" s="12">
        <f t="shared" si="0"/>
        <v>49</v>
      </c>
      <c r="D22" s="12">
        <f t="shared" si="0"/>
        <v>0</v>
      </c>
      <c r="E22" s="12"/>
      <c r="F22" s="12">
        <f>COUNTIF(defects!$W:$W,Monthly_All!$B22&amp;Monthly_All!$B$3&amp;$B$2&amp;Monthly_All!F$3)</f>
        <v>0</v>
      </c>
      <c r="G22" s="12">
        <f>COUNTIF(defects!$W:$W,Monthly_All!$B22&amp;Monthly_All!$B$3&amp;$B$2&amp;Monthly_All!G$3)</f>
        <v>0</v>
      </c>
      <c r="H22" s="12">
        <f>COUNTIF(defects!$W:$W,Monthly_All!$B22&amp;Monthly_All!$B$3&amp;$B$2&amp;Monthly_All!H$3)</f>
        <v>0</v>
      </c>
      <c r="I22" s="12">
        <f>COUNTIF(defects!$W:$W,Monthly_All!$B22&amp;Monthly_All!$B$3&amp;$B$2&amp;Monthly_All!I$3)</f>
        <v>0</v>
      </c>
      <c r="J22" s="12">
        <f>COUNTIF(defects!$W:$W,Monthly_All!$B22&amp;Monthly_All!$B$3&amp;$B$2&amp;Monthly_All!J$3)</f>
        <v>0</v>
      </c>
      <c r="K22" s="12">
        <f>COUNTIF(defects!$W:$W,Monthly_All!$B22&amp;Monthly_All!$B$3&amp;$B$2&amp;Monthly_All!K$3)</f>
        <v>0</v>
      </c>
      <c r="L22" s="12">
        <f>COUNTIF(defects!$W:$W,Monthly_All!$B22&amp;Monthly_All!$B$3&amp;$B$2&amp;Monthly_All!L$3)</f>
        <v>0</v>
      </c>
      <c r="M22" s="12">
        <f>COUNTIF(defects!$W:$W,Monthly_All!$B22&amp;Monthly_All!$B$3&amp;$B$2&amp;Monthly_All!M$3)</f>
        <v>0</v>
      </c>
      <c r="N22" s="12">
        <f>COUNTIF(defects!$W:$W,Monthly_All!$B22&amp;Monthly_All!$B$3&amp;$B$2&amp;Monthly_All!N$3)</f>
        <v>0</v>
      </c>
      <c r="O22" s="12">
        <f>COUNTIF(defects!$W:$W,Monthly_All!$B22&amp;Monthly_All!$B$3&amp;$B$2&amp;Monthly_All!O$3)</f>
        <v>0</v>
      </c>
      <c r="P22" s="12">
        <f>COUNTIF(defects!$W:$W,Monthly_All!$B22&amp;Monthly_All!$B$3&amp;$B$2&amp;Monthly_All!P$3)</f>
        <v>0</v>
      </c>
      <c r="Q22" s="12">
        <f>COUNTIF(defects!$W:$W,Monthly_All!$B22&amp;Monthly_All!$B$3&amp;$B$2&amp;Monthly_All!Q$3)</f>
        <v>0</v>
      </c>
      <c r="R22" s="12">
        <f>COUNTIF(defects!$W:$W,Monthly_All!$B22&amp;Monthly_All!$B$3&amp;$B$2&amp;Monthly_All!R$3)</f>
        <v>0</v>
      </c>
      <c r="S22" s="12">
        <f>COUNTIF(defects!$W:$W,Monthly_All!$B22&amp;Monthly_All!$B$3&amp;$B$2&amp;Monthly_All!S$3)</f>
        <v>0</v>
      </c>
      <c r="T22" s="12">
        <f>COUNTIF(defects!$W:$W,Monthly_All!$B22&amp;Monthly_All!$B$3&amp;$B$2&amp;Monthly_All!T$3)</f>
        <v>1</v>
      </c>
      <c r="U22" s="12">
        <f>COUNTIF(defects!$W:$W,Monthly_All!$B22&amp;Monthly_All!$B$3&amp;$B$2&amp;Monthly_All!U$3)</f>
        <v>0</v>
      </c>
      <c r="V22" s="12">
        <f>COUNTIF(defects!$W:$W,Monthly_All!$B22&amp;Monthly_All!$B$3&amp;$B$2&amp;Monthly_All!V$3)</f>
        <v>2</v>
      </c>
      <c r="W22" s="12">
        <f>COUNTIF(defects!$W:$W,Monthly_All!$B22&amp;Monthly_All!$B$3&amp;$B$2&amp;Monthly_All!W$3)</f>
        <v>3</v>
      </c>
      <c r="X22" s="12">
        <f>COUNTIF(defects!$W:$W,Monthly_All!$B22&amp;Monthly_All!$B$3&amp;$B$2&amp;Monthly_All!X$3)</f>
        <v>7</v>
      </c>
      <c r="Y22" s="12">
        <f>COUNTIF(defects!$W:$W,Monthly_All!$B22&amp;Monthly_All!$B$3&amp;$B$2&amp;Monthly_All!Y$3)</f>
        <v>9</v>
      </c>
      <c r="Z22" s="12">
        <f>COUNTIF(defects!$W:$W,Monthly_All!$B22&amp;Monthly_All!$B$3&amp;$B$2&amp;Monthly_All!Z$3)</f>
        <v>9</v>
      </c>
      <c r="AA22" s="12">
        <f>COUNTIF(defects!$W:$W,Monthly_All!$B22&amp;Monthly_All!$B$3&amp;$B$2&amp;Monthly_All!AA$3)</f>
        <v>8</v>
      </c>
      <c r="AB22" s="12">
        <f>COUNTIF(defects!$W:$W,Monthly_All!$B22&amp;Monthly_All!$B$3&amp;$B$2&amp;Monthly_All!AB$3)</f>
        <v>8</v>
      </c>
      <c r="AC22" s="12">
        <f>COUNTIF(defects!$W:$W,Monthly_All!$B22&amp;Monthly_All!$B$3&amp;$B$2&amp;Monthly_All!AC$3)</f>
        <v>2</v>
      </c>
      <c r="AD22" s="12">
        <f>COUNTIF(defects!$W:$W,Monthly_All!$B22&amp;Monthly_All!$B$3&amp;$B$2&amp;Monthly_All!AD$3)</f>
        <v>0</v>
      </c>
      <c r="AE22" s="12">
        <f>COUNTIF(defects!$W:$W,Monthly_All!$B22&amp;Monthly_All!$B$3&amp;$B$2&amp;Monthly_All!AE$3)</f>
        <v>0</v>
      </c>
      <c r="AF22" s="12">
        <f>COUNTIF(defects!$W:$W,Monthly_All!$B22&amp;Monthly_All!$B$3&amp;$B$2&amp;Monthly_All!AF$3)</f>
        <v>0</v>
      </c>
      <c r="AG22" s="12">
        <f>COUNTIF(defects!$W:$W,Monthly_All!$B22&amp;Monthly_All!$B$3&amp;$B$2&amp;Monthly_All!AG$3)</f>
        <v>0</v>
      </c>
      <c r="AH22" s="12">
        <f>COUNTIF(defects!$W:$W,Monthly_All!$B22&amp;Monthly_All!$B$3&amp;$B$2&amp;Monthly_All!AH$3)</f>
        <v>0</v>
      </c>
      <c r="AI22" s="12">
        <f>COUNTIF(defects!$W:$W,Monthly_All!$B22&amp;Monthly_All!$B$3&amp;$B$2&amp;Monthly_All!AI$3)</f>
        <v>0</v>
      </c>
      <c r="AJ22" s="12">
        <f>COUNTIF(defects!$W:$W,Monthly_All!$B22&amp;Monthly_All!$B$3&amp;$B$2&amp;Monthly_All!AJ$3)</f>
        <v>0</v>
      </c>
      <c r="AK22" s="12">
        <f>COUNTIF(defects!$W:$W,Monthly_All!$B22&amp;Monthly_All!$B$3&amp;$B$2&amp;Monthly_All!AK$3)</f>
        <v>0</v>
      </c>
      <c r="AL22" s="12">
        <f>COUNTIF(defects!$W:$W,Monthly_All!$B22&amp;Monthly_All!$B$3&amp;$B$2&amp;Monthly_All!AL$3)</f>
        <v>0</v>
      </c>
      <c r="AM22" s="12">
        <f>COUNTIF(defects!$W:$W,Monthly_All!$B22&amp;Monthly_All!$B$3&amp;$B$2&amp;Monthly_All!AM$3)</f>
        <v>0</v>
      </c>
      <c r="AN22" s="12">
        <f>COUNTIF(defects!$W:$W,Monthly_All!$B22&amp;Monthly_All!$B$3&amp;$B$2&amp;Monthly_All!AN$3)</f>
        <v>0</v>
      </c>
      <c r="AO22" s="12">
        <f>COUNTIF(defects!$W:$W,Monthly_All!$B22&amp;Monthly_All!$B$3&amp;$B$2&amp;Monthly_All!AO$3)</f>
        <v>0</v>
      </c>
      <c r="AP22" s="12">
        <f>COUNTIF(defects!$W:$W,Monthly_All!$B22&amp;Monthly_All!$B$3&amp;$B$2&amp;Monthly_All!AP$3)</f>
        <v>0</v>
      </c>
      <c r="AQ22" s="12"/>
      <c r="AR22" s="12">
        <f>HLOOKUP(AR$3,Weekly_All!$3:$24,MATCH($B22,Weekly_All!$B$3:$B$24,0),0)</f>
        <v>1</v>
      </c>
      <c r="AS22" s="12">
        <f>HLOOKUP(AS$3,Weekly_All!$3:$24,MATCH($B22,Weekly_All!$B$3:$B$24,0),0)</f>
        <v>1</v>
      </c>
      <c r="AT22" s="12">
        <f>HLOOKUP(AT$3,Weekly_All!$3:$24,MATCH($B22,Weekly_All!$B$3:$B$24,0),0)</f>
        <v>0</v>
      </c>
      <c r="AU22" s="12"/>
      <c r="AV22" s="12">
        <f t="shared" si="2"/>
        <v>49</v>
      </c>
    </row>
    <row r="23" spans="2:48">
      <c r="B23" s="12" t="s">
        <v>951</v>
      </c>
      <c r="C23" s="12">
        <f t="shared" si="0"/>
        <v>60</v>
      </c>
      <c r="D23" s="12">
        <f t="shared" si="0"/>
        <v>0</v>
      </c>
      <c r="E23" s="12"/>
      <c r="F23" s="12">
        <f>COUNTIF(defects!$W:$W,Monthly_All!$B23&amp;Monthly_All!$B$3&amp;$B$2&amp;Monthly_All!F$3)</f>
        <v>0</v>
      </c>
      <c r="G23" s="12">
        <f>COUNTIF(defects!$W:$W,Monthly_All!$B23&amp;Monthly_All!$B$3&amp;$B$2&amp;Monthly_All!G$3)</f>
        <v>0</v>
      </c>
      <c r="H23" s="12">
        <f>COUNTIF(defects!$W:$W,Monthly_All!$B23&amp;Monthly_All!$B$3&amp;$B$2&amp;Monthly_All!H$3)</f>
        <v>0</v>
      </c>
      <c r="I23" s="12">
        <f>COUNTIF(defects!$W:$W,Monthly_All!$B23&amp;Monthly_All!$B$3&amp;$B$2&amp;Monthly_All!I$3)</f>
        <v>0</v>
      </c>
      <c r="J23" s="12">
        <f>COUNTIF(defects!$W:$W,Monthly_All!$B23&amp;Monthly_All!$B$3&amp;$B$2&amp;Monthly_All!J$3)</f>
        <v>0</v>
      </c>
      <c r="K23" s="12">
        <f>COUNTIF(defects!$W:$W,Monthly_All!$B23&amp;Monthly_All!$B$3&amp;$B$2&amp;Monthly_All!K$3)</f>
        <v>0</v>
      </c>
      <c r="L23" s="12">
        <f>COUNTIF(defects!$W:$W,Monthly_All!$B23&amp;Monthly_All!$B$3&amp;$B$2&amp;Monthly_All!L$3)</f>
        <v>0</v>
      </c>
      <c r="M23" s="12">
        <f>COUNTIF(defects!$W:$W,Monthly_All!$B23&amp;Monthly_All!$B$3&amp;$B$2&amp;Monthly_All!M$3)</f>
        <v>0</v>
      </c>
      <c r="N23" s="12">
        <f>COUNTIF(defects!$W:$W,Monthly_All!$B23&amp;Monthly_All!$B$3&amp;$B$2&amp;Monthly_All!N$3)</f>
        <v>0</v>
      </c>
      <c r="O23" s="12">
        <f>COUNTIF(defects!$W:$W,Monthly_All!$B23&amp;Monthly_All!$B$3&amp;$B$2&amp;Monthly_All!O$3)</f>
        <v>0</v>
      </c>
      <c r="P23" s="12">
        <f>COUNTIF(defects!$W:$W,Monthly_All!$B23&amp;Monthly_All!$B$3&amp;$B$2&amp;Monthly_All!P$3)</f>
        <v>0</v>
      </c>
      <c r="Q23" s="12">
        <f>COUNTIF(defects!$W:$W,Monthly_All!$B23&amp;Monthly_All!$B$3&amp;$B$2&amp;Monthly_All!Q$3)</f>
        <v>0</v>
      </c>
      <c r="R23" s="12">
        <f>COUNTIF(defects!$W:$W,Monthly_All!$B23&amp;Monthly_All!$B$3&amp;$B$2&amp;Monthly_All!R$3)</f>
        <v>0</v>
      </c>
      <c r="S23" s="12">
        <f>COUNTIF(defects!$W:$W,Monthly_All!$B23&amp;Monthly_All!$B$3&amp;$B$2&amp;Monthly_All!S$3)</f>
        <v>0</v>
      </c>
      <c r="T23" s="12">
        <f>COUNTIF(defects!$W:$W,Monthly_All!$B23&amp;Monthly_All!$B$3&amp;$B$2&amp;Monthly_All!T$3)</f>
        <v>0</v>
      </c>
      <c r="U23" s="12">
        <f>COUNTIF(defects!$W:$W,Monthly_All!$B23&amp;Monthly_All!$B$3&amp;$B$2&amp;Monthly_All!U$3)</f>
        <v>0</v>
      </c>
      <c r="V23" s="12">
        <f>COUNTIF(defects!$W:$W,Monthly_All!$B23&amp;Monthly_All!$B$3&amp;$B$2&amp;Monthly_All!V$3)</f>
        <v>2</v>
      </c>
      <c r="W23" s="12">
        <f>COUNTIF(defects!$W:$W,Monthly_All!$B23&amp;Monthly_All!$B$3&amp;$B$2&amp;Monthly_All!W$3)</f>
        <v>0</v>
      </c>
      <c r="X23" s="12">
        <f>COUNTIF(defects!$W:$W,Monthly_All!$B23&amp;Monthly_All!$B$3&amp;$B$2&amp;Monthly_All!X$3)</f>
        <v>0</v>
      </c>
      <c r="Y23" s="12">
        <f>COUNTIF(defects!$W:$W,Monthly_All!$B23&amp;Monthly_All!$B$3&amp;$B$2&amp;Monthly_All!Y$3)</f>
        <v>0</v>
      </c>
      <c r="Z23" s="12">
        <f>COUNTIF(defects!$W:$W,Monthly_All!$B23&amp;Monthly_All!$B$3&amp;$B$2&amp;Monthly_All!Z$3)</f>
        <v>2</v>
      </c>
      <c r="AA23" s="12">
        <f>COUNTIF(defects!$W:$W,Monthly_All!$B23&amp;Monthly_All!$B$3&amp;$B$2&amp;Monthly_All!AA$3)</f>
        <v>38</v>
      </c>
      <c r="AB23" s="12">
        <f>COUNTIF(defects!$W:$W,Monthly_All!$B23&amp;Monthly_All!$B$3&amp;$B$2&amp;Monthly_All!AB$3)</f>
        <v>18</v>
      </c>
      <c r="AC23" s="12">
        <f>COUNTIF(defects!$W:$W,Monthly_All!$B23&amp;Monthly_All!$B$3&amp;$B$2&amp;Monthly_All!AC$3)</f>
        <v>0</v>
      </c>
      <c r="AD23" s="12">
        <f>COUNTIF(defects!$W:$W,Monthly_All!$B23&amp;Monthly_All!$B$3&amp;$B$2&amp;Monthly_All!AD$3)</f>
        <v>0</v>
      </c>
      <c r="AE23" s="12">
        <f>COUNTIF(defects!$W:$W,Monthly_All!$B23&amp;Monthly_All!$B$3&amp;$B$2&amp;Monthly_All!AE$3)</f>
        <v>0</v>
      </c>
      <c r="AF23" s="12">
        <f>COUNTIF(defects!$W:$W,Monthly_All!$B23&amp;Monthly_All!$B$3&amp;$B$2&amp;Monthly_All!AF$3)</f>
        <v>0</v>
      </c>
      <c r="AG23" s="12">
        <f>COUNTIF(defects!$W:$W,Monthly_All!$B23&amp;Monthly_All!$B$3&amp;$B$2&amp;Monthly_All!AG$3)</f>
        <v>0</v>
      </c>
      <c r="AH23" s="12">
        <f>COUNTIF(defects!$W:$W,Monthly_All!$B23&amp;Monthly_All!$B$3&amp;$B$2&amp;Monthly_All!AH$3)</f>
        <v>0</v>
      </c>
      <c r="AI23" s="12">
        <f>COUNTIF(defects!$W:$W,Monthly_All!$B23&amp;Monthly_All!$B$3&amp;$B$2&amp;Monthly_All!AI$3)</f>
        <v>0</v>
      </c>
      <c r="AJ23" s="12">
        <f>COUNTIF(defects!$W:$W,Monthly_All!$B23&amp;Monthly_All!$B$3&amp;$B$2&amp;Monthly_All!AJ$3)</f>
        <v>0</v>
      </c>
      <c r="AK23" s="12">
        <f>COUNTIF(defects!$W:$W,Monthly_All!$B23&amp;Monthly_All!$B$3&amp;$B$2&amp;Monthly_All!AK$3)</f>
        <v>0</v>
      </c>
      <c r="AL23" s="12">
        <f>COUNTIF(defects!$W:$W,Monthly_All!$B23&amp;Monthly_All!$B$3&amp;$B$2&amp;Monthly_All!AL$3)</f>
        <v>0</v>
      </c>
      <c r="AM23" s="12">
        <f>COUNTIF(defects!$W:$W,Monthly_All!$B23&amp;Monthly_All!$B$3&amp;$B$2&amp;Monthly_All!AM$3)</f>
        <v>0</v>
      </c>
      <c r="AN23" s="12">
        <f>COUNTIF(defects!$W:$W,Monthly_All!$B23&amp;Monthly_All!$B$3&amp;$B$2&amp;Monthly_All!AN$3)</f>
        <v>0</v>
      </c>
      <c r="AO23" s="12">
        <f>COUNTIF(defects!$W:$W,Monthly_All!$B23&amp;Monthly_All!$B$3&amp;$B$2&amp;Monthly_All!AO$3)</f>
        <v>0</v>
      </c>
      <c r="AP23" s="12">
        <f>COUNTIF(defects!$W:$W,Monthly_All!$B23&amp;Monthly_All!$B$3&amp;$B$2&amp;Monthly_All!AP$3)</f>
        <v>0</v>
      </c>
      <c r="AQ23" s="12"/>
      <c r="AR23" s="12">
        <f>HLOOKUP(AR$3,Weekly_All!$3:$24,MATCH($B23,Weekly_All!$B$3:$B$24,0),0)</f>
        <v>0</v>
      </c>
      <c r="AS23" s="12">
        <f>HLOOKUP(AS$3,Weekly_All!$3:$24,MATCH($B23,Weekly_All!$B$3:$B$24,0),0)</f>
        <v>0</v>
      </c>
      <c r="AT23" s="12">
        <f>HLOOKUP(AT$3,Weekly_All!$3:$24,MATCH($B23,Weekly_All!$B$3:$B$24,0),0)</f>
        <v>0</v>
      </c>
      <c r="AU23" s="12"/>
      <c r="AV23" s="12">
        <f t="shared" si="2"/>
        <v>60</v>
      </c>
    </row>
    <row r="24" spans="2:48">
      <c r="B24" s="12" t="s">
        <v>996</v>
      </c>
      <c r="C24" s="12">
        <f t="shared" si="0"/>
        <v>0</v>
      </c>
      <c r="D24" s="12">
        <f t="shared" si="0"/>
        <v>0</v>
      </c>
      <c r="E24" s="12"/>
      <c r="F24" s="12">
        <f>COUNTIF(defects!$W:$W,Monthly_All!$B24&amp;Monthly_All!$B$3&amp;$B$2&amp;Monthly_All!F$3)</f>
        <v>0</v>
      </c>
      <c r="G24" s="12">
        <f>COUNTIF(defects!$W:$W,Monthly_All!$B24&amp;Monthly_All!$B$3&amp;$B$2&amp;Monthly_All!G$3)</f>
        <v>0</v>
      </c>
      <c r="H24" s="12">
        <f>COUNTIF(defects!$W:$W,Monthly_All!$B24&amp;Monthly_All!$B$3&amp;$B$2&amp;Monthly_All!H$3)</f>
        <v>0</v>
      </c>
      <c r="I24" s="12">
        <f>COUNTIF(defects!$W:$W,Monthly_All!$B24&amp;Monthly_All!$B$3&amp;$B$2&amp;Monthly_All!I$3)</f>
        <v>0</v>
      </c>
      <c r="J24" s="12">
        <f>COUNTIF(defects!$W:$W,Monthly_All!$B24&amp;Monthly_All!$B$3&amp;$B$2&amp;Monthly_All!J$3)</f>
        <v>0</v>
      </c>
      <c r="K24" s="12">
        <f>COUNTIF(defects!$W:$W,Monthly_All!$B24&amp;Monthly_All!$B$3&amp;$B$2&amp;Monthly_All!K$3)</f>
        <v>0</v>
      </c>
      <c r="L24" s="12">
        <f>COUNTIF(defects!$W:$W,Monthly_All!$B24&amp;Monthly_All!$B$3&amp;$B$2&amp;Monthly_All!L$3)</f>
        <v>0</v>
      </c>
      <c r="M24" s="12">
        <f>COUNTIF(defects!$W:$W,Monthly_All!$B24&amp;Monthly_All!$B$3&amp;$B$2&amp;Monthly_All!M$3)</f>
        <v>0</v>
      </c>
      <c r="N24" s="12">
        <f>COUNTIF(defects!$W:$W,Monthly_All!$B24&amp;Monthly_All!$B$3&amp;$B$2&amp;Monthly_All!N$3)</f>
        <v>0</v>
      </c>
      <c r="O24" s="12">
        <f>COUNTIF(defects!$W:$W,Monthly_All!$B24&amp;Monthly_All!$B$3&amp;$B$2&amp;Monthly_All!O$3)</f>
        <v>0</v>
      </c>
      <c r="P24" s="12">
        <f>COUNTIF(defects!$W:$W,Monthly_All!$B24&amp;Monthly_All!$B$3&amp;$B$2&amp;Monthly_All!P$3)</f>
        <v>0</v>
      </c>
      <c r="Q24" s="12">
        <f>COUNTIF(defects!$W:$W,Monthly_All!$B24&amp;Monthly_All!$B$3&amp;$B$2&amp;Monthly_All!Q$3)</f>
        <v>0</v>
      </c>
      <c r="R24" s="12">
        <f>COUNTIF(defects!$W:$W,Monthly_All!$B24&amp;Monthly_All!$B$3&amp;$B$2&amp;Monthly_All!R$3)</f>
        <v>0</v>
      </c>
      <c r="S24" s="12">
        <f>COUNTIF(defects!$W:$W,Monthly_All!$B24&amp;Monthly_All!$B$3&amp;$B$2&amp;Monthly_All!S$3)</f>
        <v>0</v>
      </c>
      <c r="T24" s="12">
        <f>COUNTIF(defects!$W:$W,Monthly_All!$B24&amp;Monthly_All!$B$3&amp;$B$2&amp;Monthly_All!T$3)</f>
        <v>0</v>
      </c>
      <c r="U24" s="12">
        <f>COUNTIF(defects!$W:$W,Monthly_All!$B24&amp;Monthly_All!$B$3&amp;$B$2&amp;Monthly_All!U$3)</f>
        <v>0</v>
      </c>
      <c r="V24" s="12">
        <f>COUNTIF(defects!$W:$W,Monthly_All!$B24&amp;Monthly_All!$B$3&amp;$B$2&amp;Monthly_All!V$3)</f>
        <v>0</v>
      </c>
      <c r="W24" s="12">
        <f>COUNTIF(defects!$W:$W,Monthly_All!$B24&amp;Monthly_All!$B$3&amp;$B$2&amp;Monthly_All!W$3)</f>
        <v>0</v>
      </c>
      <c r="X24" s="12">
        <f>COUNTIF(defects!$W:$W,Monthly_All!$B24&amp;Monthly_All!$B$3&amp;$B$2&amp;Monthly_All!X$3)</f>
        <v>0</v>
      </c>
      <c r="Y24" s="12">
        <f>COUNTIF(defects!$W:$W,Monthly_All!$B24&amp;Monthly_All!$B$3&amp;$B$2&amp;Monthly_All!Y$3)</f>
        <v>0</v>
      </c>
      <c r="Z24" s="12">
        <f>COUNTIF(defects!$W:$W,Monthly_All!$B24&amp;Monthly_All!$B$3&amp;$B$2&amp;Monthly_All!Z$3)</f>
        <v>0</v>
      </c>
      <c r="AA24" s="12">
        <f>COUNTIF(defects!$W:$W,Monthly_All!$B24&amp;Monthly_All!$B$3&amp;$B$2&amp;Monthly_All!AA$3)</f>
        <v>0</v>
      </c>
      <c r="AB24" s="12">
        <f>COUNTIF(defects!$W:$W,Monthly_All!$B24&amp;Monthly_All!$B$3&amp;$B$2&amp;Monthly_All!AB$3)</f>
        <v>0</v>
      </c>
      <c r="AC24" s="12">
        <f>COUNTIF(defects!$W:$W,Monthly_All!$B24&amp;Monthly_All!$B$3&amp;$B$2&amp;Monthly_All!AC$3)</f>
        <v>0</v>
      </c>
      <c r="AD24" s="12">
        <f>COUNTIF(defects!$W:$W,Monthly_All!$B24&amp;Monthly_All!$B$3&amp;$B$2&amp;Monthly_All!AD$3)</f>
        <v>0</v>
      </c>
      <c r="AE24" s="12">
        <f>COUNTIF(defects!$W:$W,Monthly_All!$B24&amp;Monthly_All!$B$3&amp;$B$2&amp;Monthly_All!AE$3)</f>
        <v>0</v>
      </c>
      <c r="AF24" s="12">
        <f>COUNTIF(defects!$W:$W,Monthly_All!$B24&amp;Monthly_All!$B$3&amp;$B$2&amp;Monthly_All!AF$3)</f>
        <v>0</v>
      </c>
      <c r="AG24" s="12">
        <f>COUNTIF(defects!$W:$W,Monthly_All!$B24&amp;Monthly_All!$B$3&amp;$B$2&amp;Monthly_All!AG$3)</f>
        <v>0</v>
      </c>
      <c r="AH24" s="12">
        <f>COUNTIF(defects!$W:$W,Monthly_All!$B24&amp;Monthly_All!$B$3&amp;$B$2&amp;Monthly_All!AH$3)</f>
        <v>0</v>
      </c>
      <c r="AI24" s="12">
        <f>COUNTIF(defects!$W:$W,Monthly_All!$B24&amp;Monthly_All!$B$3&amp;$B$2&amp;Monthly_All!AI$3)</f>
        <v>0</v>
      </c>
      <c r="AJ24" s="12">
        <f>COUNTIF(defects!$W:$W,Monthly_All!$B24&amp;Monthly_All!$B$3&amp;$B$2&amp;Monthly_All!AJ$3)</f>
        <v>0</v>
      </c>
      <c r="AK24" s="12">
        <f>COUNTIF(defects!$W:$W,Monthly_All!$B24&amp;Monthly_All!$B$3&amp;$B$2&amp;Monthly_All!AK$3)</f>
        <v>0</v>
      </c>
      <c r="AL24" s="12">
        <f>COUNTIF(defects!$W:$W,Monthly_All!$B24&amp;Monthly_All!$B$3&amp;$B$2&amp;Monthly_All!AL$3)</f>
        <v>0</v>
      </c>
      <c r="AM24" s="12">
        <f>COUNTIF(defects!$W:$W,Monthly_All!$B24&amp;Monthly_All!$B$3&amp;$B$2&amp;Monthly_All!AM$3)</f>
        <v>0</v>
      </c>
      <c r="AN24" s="12">
        <f>COUNTIF(defects!$W:$W,Monthly_All!$B24&amp;Monthly_All!$B$3&amp;$B$2&amp;Monthly_All!AN$3)</f>
        <v>0</v>
      </c>
      <c r="AO24" s="12">
        <f>COUNTIF(defects!$W:$W,Monthly_All!$B24&amp;Monthly_All!$B$3&amp;$B$2&amp;Monthly_All!AO$3)</f>
        <v>0</v>
      </c>
      <c r="AP24" s="12">
        <f>COUNTIF(defects!$W:$W,Monthly_All!$B24&amp;Monthly_All!$B$3&amp;$B$2&amp;Monthly_All!AP$3)</f>
        <v>0</v>
      </c>
      <c r="AQ24" s="12"/>
      <c r="AR24" s="12">
        <f>HLOOKUP(AR$3,Weekly_All!$3:$24,MATCH($B24,Weekly_All!$B$3:$B$24,0),0)</f>
        <v>0</v>
      </c>
      <c r="AS24" s="12">
        <f>HLOOKUP(AS$3,Weekly_All!$3:$24,MATCH($B24,Weekly_All!$B$3:$B$24,0),0)</f>
        <v>0</v>
      </c>
      <c r="AT24" s="12">
        <f>HLOOKUP(AT$3,Weekly_All!$3:$24,MATCH($B24,Weekly_All!$B$3:$B$24,0),0)</f>
        <v>0</v>
      </c>
      <c r="AU24" s="12"/>
      <c r="AV24" s="12">
        <f t="shared" si="2"/>
        <v>0</v>
      </c>
    </row>
    <row r="25" spans="2:48" ht="14.15" customHeight="1"/>
    <row r="26" spans="2:48">
      <c r="B26" s="12"/>
      <c r="C26" s="10" t="str">
        <f t="shared" ref="C26:D26" si="3">C3</f>
        <v>FY21 TTL</v>
      </c>
      <c r="D26" s="10" t="str">
        <f t="shared" si="3"/>
        <v>FY22 TTL</v>
      </c>
      <c r="E26" s="10"/>
      <c r="F26" s="10" t="str">
        <f>F3</f>
        <v>20 Jan</v>
      </c>
      <c r="G26" s="10" t="str">
        <f t="shared" ref="G26:AV26" si="4">G3</f>
        <v>20 Feb</v>
      </c>
      <c r="H26" s="10" t="str">
        <f t="shared" si="4"/>
        <v>20 Mar</v>
      </c>
      <c r="I26" s="10" t="str">
        <f t="shared" si="4"/>
        <v>20 Apr</v>
      </c>
      <c r="J26" s="10" t="str">
        <f t="shared" si="4"/>
        <v>20 May</v>
      </c>
      <c r="K26" s="10" t="str">
        <f t="shared" si="4"/>
        <v>20 Jun</v>
      </c>
      <c r="L26" s="10" t="str">
        <f t="shared" si="4"/>
        <v>20 Jul</v>
      </c>
      <c r="M26" s="10" t="str">
        <f t="shared" si="4"/>
        <v>20 Aug</v>
      </c>
      <c r="N26" s="10" t="str">
        <f t="shared" si="4"/>
        <v>20 Sep</v>
      </c>
      <c r="O26" s="10" t="str">
        <f t="shared" si="4"/>
        <v>20 Oct</v>
      </c>
      <c r="P26" s="10" t="str">
        <f t="shared" si="4"/>
        <v>20 Nov</v>
      </c>
      <c r="Q26" s="10" t="str">
        <f t="shared" si="4"/>
        <v>20 Dec</v>
      </c>
      <c r="R26" s="10" t="str">
        <f t="shared" si="4"/>
        <v>21 Jan</v>
      </c>
      <c r="S26" s="10" t="str">
        <f t="shared" si="4"/>
        <v>21 Feb</v>
      </c>
      <c r="T26" s="10" t="str">
        <f t="shared" si="4"/>
        <v>21 Mar</v>
      </c>
      <c r="U26" s="10" t="str">
        <f t="shared" si="4"/>
        <v>21 Apr</v>
      </c>
      <c r="V26" s="10" t="str">
        <f t="shared" si="4"/>
        <v>21 May</v>
      </c>
      <c r="W26" s="10" t="str">
        <f t="shared" si="4"/>
        <v>21 Jun</v>
      </c>
      <c r="X26" s="10" t="str">
        <f t="shared" si="4"/>
        <v>21 Jul</v>
      </c>
      <c r="Y26" s="10" t="str">
        <f t="shared" si="4"/>
        <v>21 Aug</v>
      </c>
      <c r="Z26" s="10" t="str">
        <f t="shared" si="4"/>
        <v>21 Sep</v>
      </c>
      <c r="AA26" s="10" t="str">
        <f t="shared" si="4"/>
        <v>21 Oct</v>
      </c>
      <c r="AB26" s="10" t="str">
        <f t="shared" si="4"/>
        <v>21 Nov</v>
      </c>
      <c r="AC26" s="10" t="str">
        <f t="shared" si="4"/>
        <v>21 Dec</v>
      </c>
      <c r="AD26" s="10" t="str">
        <f t="shared" si="4"/>
        <v>22 Jan</v>
      </c>
      <c r="AE26" s="10" t="str">
        <f t="shared" si="4"/>
        <v>22 Feb</v>
      </c>
      <c r="AF26" s="10" t="str">
        <f t="shared" si="4"/>
        <v>22 Mar</v>
      </c>
      <c r="AG26" s="10" t="str">
        <f t="shared" si="4"/>
        <v>22 Apr</v>
      </c>
      <c r="AH26" s="10" t="str">
        <f t="shared" si="4"/>
        <v>22 May</v>
      </c>
      <c r="AI26" s="10" t="str">
        <f t="shared" si="4"/>
        <v>22 Jun</v>
      </c>
      <c r="AJ26" s="10" t="str">
        <f t="shared" si="4"/>
        <v>22 Jul</v>
      </c>
      <c r="AK26" s="10" t="str">
        <f t="shared" si="4"/>
        <v>22 Aug</v>
      </c>
      <c r="AL26" s="10" t="str">
        <f t="shared" si="4"/>
        <v>22 Sep</v>
      </c>
      <c r="AM26" s="10" t="str">
        <f t="shared" si="4"/>
        <v>22 Oct</v>
      </c>
      <c r="AN26" s="10" t="str">
        <f t="shared" si="4"/>
        <v>22 Nov</v>
      </c>
      <c r="AO26" s="10" t="str">
        <f t="shared" si="4"/>
        <v>22 Dec</v>
      </c>
      <c r="AP26" s="10" t="str">
        <f t="shared" si="4"/>
        <v>23 Jan</v>
      </c>
      <c r="AQ26" s="10"/>
      <c r="AR26" s="11">
        <f t="shared" si="4"/>
        <v>2151</v>
      </c>
      <c r="AS26" s="11">
        <f t="shared" si="4"/>
        <v>2152</v>
      </c>
      <c r="AT26" s="11">
        <f t="shared" si="4"/>
        <v>2201</v>
      </c>
      <c r="AU26" s="10"/>
      <c r="AV26" s="10" t="str">
        <f t="shared" si="4"/>
        <v>TTL</v>
      </c>
    </row>
    <row r="27" spans="2:48" s="7" customFormat="1">
      <c r="B27" s="13" t="s">
        <v>1014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>
      <c r="B28" s="13" t="s">
        <v>989</v>
      </c>
      <c r="C28" s="11">
        <f t="shared" ref="C28:D28" si="5">C4</f>
        <v>256896</v>
      </c>
      <c r="D28" s="11">
        <f t="shared" si="5"/>
        <v>0</v>
      </c>
      <c r="E28" s="11"/>
      <c r="F28" s="11">
        <f t="shared" ref="F28:AP28" si="6">F4</f>
        <v>0</v>
      </c>
      <c r="G28" s="11">
        <f t="shared" si="6"/>
        <v>0</v>
      </c>
      <c r="H28" s="11">
        <f t="shared" si="6"/>
        <v>0</v>
      </c>
      <c r="I28" s="11">
        <f t="shared" si="6"/>
        <v>0</v>
      </c>
      <c r="J28" s="11">
        <f t="shared" si="6"/>
        <v>0</v>
      </c>
      <c r="K28" s="11">
        <f t="shared" si="6"/>
        <v>0</v>
      </c>
      <c r="L28" s="11">
        <f t="shared" si="6"/>
        <v>0</v>
      </c>
      <c r="M28" s="11">
        <f t="shared" si="6"/>
        <v>0</v>
      </c>
      <c r="N28" s="11">
        <f t="shared" si="6"/>
        <v>0</v>
      </c>
      <c r="O28" s="11">
        <f t="shared" si="6"/>
        <v>0</v>
      </c>
      <c r="P28" s="11">
        <f t="shared" si="6"/>
        <v>0</v>
      </c>
      <c r="Q28" s="11">
        <f t="shared" si="6"/>
        <v>0</v>
      </c>
      <c r="R28" s="11">
        <f t="shared" si="6"/>
        <v>0</v>
      </c>
      <c r="S28" s="11">
        <f t="shared" si="6"/>
        <v>2</v>
      </c>
      <c r="T28" s="11">
        <f t="shared" si="6"/>
        <v>2084</v>
      </c>
      <c r="U28" s="11">
        <f t="shared" si="6"/>
        <v>8453</v>
      </c>
      <c r="V28" s="11">
        <f t="shared" si="6"/>
        <v>24701</v>
      </c>
      <c r="W28" s="11">
        <f t="shared" si="6"/>
        <v>26591</v>
      </c>
      <c r="X28" s="11">
        <f t="shared" si="6"/>
        <v>25909</v>
      </c>
      <c r="Y28" s="11">
        <f t="shared" si="6"/>
        <v>46313</v>
      </c>
      <c r="Z28" s="11">
        <f t="shared" si="6"/>
        <v>45799</v>
      </c>
      <c r="AA28" s="11">
        <f t="shared" si="6"/>
        <v>33031</v>
      </c>
      <c r="AB28" s="11">
        <f t="shared" si="6"/>
        <v>30912</v>
      </c>
      <c r="AC28" s="11">
        <f t="shared" si="6"/>
        <v>13101</v>
      </c>
      <c r="AD28" s="11">
        <f t="shared" si="6"/>
        <v>0</v>
      </c>
      <c r="AE28" s="11">
        <f t="shared" si="6"/>
        <v>0</v>
      </c>
      <c r="AF28" s="11">
        <f t="shared" si="6"/>
        <v>0</v>
      </c>
      <c r="AG28" s="11">
        <f t="shared" si="6"/>
        <v>0</v>
      </c>
      <c r="AH28" s="11">
        <f t="shared" si="6"/>
        <v>0</v>
      </c>
      <c r="AI28" s="11">
        <f t="shared" si="6"/>
        <v>0</v>
      </c>
      <c r="AJ28" s="11">
        <f t="shared" si="6"/>
        <v>0</v>
      </c>
      <c r="AK28" s="11">
        <f t="shared" si="6"/>
        <v>0</v>
      </c>
      <c r="AL28" s="11">
        <f t="shared" si="6"/>
        <v>0</v>
      </c>
      <c r="AM28" s="11">
        <f t="shared" si="6"/>
        <v>0</v>
      </c>
      <c r="AN28" s="11">
        <f t="shared" si="6"/>
        <v>0</v>
      </c>
      <c r="AO28" s="11">
        <f t="shared" si="6"/>
        <v>0</v>
      </c>
      <c r="AP28" s="11">
        <f t="shared" si="6"/>
        <v>0</v>
      </c>
      <c r="AQ28" s="11"/>
      <c r="AR28" s="11">
        <f>AR4</f>
        <v>987</v>
      </c>
      <c r="AS28" s="11">
        <f>AS4</f>
        <v>3028</v>
      </c>
      <c r="AT28" s="11">
        <f>AT4</f>
        <v>0</v>
      </c>
      <c r="AU28" s="11"/>
      <c r="AV28" s="11">
        <f>AV4</f>
        <v>256896</v>
      </c>
    </row>
    <row r="29" spans="2:48">
      <c r="B29" s="12" t="s">
        <v>1018</v>
      </c>
      <c r="C29" s="12">
        <f t="shared" ref="C29:D29" si="7">IFERROR(ROUNDUP(C5/C$4*10^6,0),0)</f>
        <v>1779</v>
      </c>
      <c r="D29" s="12">
        <f t="shared" si="7"/>
        <v>0</v>
      </c>
      <c r="E29" s="12"/>
      <c r="F29" s="12">
        <f t="shared" ref="F29:U30" si="8">IFERROR(ROUNDUP(F5/F$4*10^6,0),0)</f>
        <v>0</v>
      </c>
      <c r="G29" s="12">
        <f t="shared" si="8"/>
        <v>0</v>
      </c>
      <c r="H29" s="12">
        <f t="shared" si="8"/>
        <v>0</v>
      </c>
      <c r="I29" s="12">
        <f t="shared" si="8"/>
        <v>0</v>
      </c>
      <c r="J29" s="12">
        <f t="shared" si="8"/>
        <v>0</v>
      </c>
      <c r="K29" s="12">
        <f t="shared" si="8"/>
        <v>0</v>
      </c>
      <c r="L29" s="12">
        <f t="shared" si="8"/>
        <v>0</v>
      </c>
      <c r="M29" s="12">
        <f t="shared" si="8"/>
        <v>0</v>
      </c>
      <c r="N29" s="12">
        <f t="shared" si="8"/>
        <v>0</v>
      </c>
      <c r="O29" s="12">
        <f t="shared" si="8"/>
        <v>0</v>
      </c>
      <c r="P29" s="12">
        <f t="shared" si="8"/>
        <v>0</v>
      </c>
      <c r="Q29" s="12">
        <f t="shared" si="8"/>
        <v>0</v>
      </c>
      <c r="R29" s="12">
        <f t="shared" si="8"/>
        <v>0</v>
      </c>
      <c r="S29" s="12">
        <f>IFERROR(ROUNDUP(S5/S$4*10^6,0),0)</f>
        <v>0</v>
      </c>
      <c r="T29" s="12">
        <f t="shared" ref="T29:AP30" si="9">IFERROR(ROUNDUP(T5/T$4*10^6,0),0)</f>
        <v>960</v>
      </c>
      <c r="U29" s="12">
        <f t="shared" si="9"/>
        <v>1065</v>
      </c>
      <c r="V29" s="12">
        <f t="shared" si="9"/>
        <v>1053</v>
      </c>
      <c r="W29" s="12">
        <f t="shared" si="9"/>
        <v>1129</v>
      </c>
      <c r="X29" s="12">
        <f t="shared" si="9"/>
        <v>1737</v>
      </c>
      <c r="Y29" s="12">
        <f t="shared" si="9"/>
        <v>1901</v>
      </c>
      <c r="Z29" s="12">
        <f t="shared" si="9"/>
        <v>1791</v>
      </c>
      <c r="AA29" s="12">
        <f t="shared" si="9"/>
        <v>3391</v>
      </c>
      <c r="AB29" s="12">
        <f t="shared" si="9"/>
        <v>1586</v>
      </c>
      <c r="AC29" s="12">
        <f t="shared" si="9"/>
        <v>1069</v>
      </c>
      <c r="AD29" s="12">
        <f t="shared" si="9"/>
        <v>0</v>
      </c>
      <c r="AE29" s="12">
        <f t="shared" si="9"/>
        <v>0</v>
      </c>
      <c r="AF29" s="12">
        <f t="shared" si="9"/>
        <v>0</v>
      </c>
      <c r="AG29" s="12">
        <f t="shared" si="9"/>
        <v>0</v>
      </c>
      <c r="AH29" s="12">
        <f t="shared" si="9"/>
        <v>0</v>
      </c>
      <c r="AI29" s="12">
        <f t="shared" si="9"/>
        <v>0</v>
      </c>
      <c r="AJ29" s="12">
        <f t="shared" si="9"/>
        <v>0</v>
      </c>
      <c r="AK29" s="12">
        <f t="shared" si="9"/>
        <v>0</v>
      </c>
      <c r="AL29" s="12">
        <f t="shared" si="9"/>
        <v>0</v>
      </c>
      <c r="AM29" s="12">
        <f t="shared" si="9"/>
        <v>0</v>
      </c>
      <c r="AN29" s="12">
        <f t="shared" si="9"/>
        <v>0</v>
      </c>
      <c r="AO29" s="12">
        <f t="shared" si="9"/>
        <v>0</v>
      </c>
      <c r="AP29" s="12">
        <f t="shared" si="9"/>
        <v>0</v>
      </c>
      <c r="AQ29" s="12"/>
      <c r="AR29" s="12">
        <f>IFERROR(ROUNDUP(AR5/AR$4*10^6,0),0)</f>
        <v>2027</v>
      </c>
      <c r="AS29" s="12">
        <f>IFERROR(ROUNDUP(AS5/AS$4*10^6,0),0)</f>
        <v>2643</v>
      </c>
      <c r="AT29" s="12">
        <f>IFERROR(ROUNDUP(AT5/AT$4*10^6,0),0)</f>
        <v>0</v>
      </c>
      <c r="AU29" s="12"/>
      <c r="AV29" s="12">
        <f>IFERROR(ROUNDUP(AV5/$AV$4*10^6,0),0)</f>
        <v>1779</v>
      </c>
    </row>
    <row r="30" spans="2:48">
      <c r="B30" s="12" t="s">
        <v>991</v>
      </c>
      <c r="C30" s="12">
        <f t="shared" ref="C30:E30" si="10">IFERROR(ROUNDUP(C6/C$4*10^6,0),0)</f>
        <v>0</v>
      </c>
      <c r="D30" s="12">
        <f t="shared" si="10"/>
        <v>0</v>
      </c>
      <c r="E30" s="12">
        <f t="shared" si="10"/>
        <v>0</v>
      </c>
      <c r="F30" s="12">
        <f>IFERROR(ROUNDUP(F6/F$4*10^6,0),0)</f>
        <v>0</v>
      </c>
      <c r="G30" s="12">
        <f t="shared" si="8"/>
        <v>0</v>
      </c>
      <c r="H30" s="12">
        <f t="shared" si="8"/>
        <v>0</v>
      </c>
      <c r="I30" s="12">
        <f t="shared" si="8"/>
        <v>0</v>
      </c>
      <c r="J30" s="12">
        <f t="shared" si="8"/>
        <v>0</v>
      </c>
      <c r="K30" s="12">
        <f t="shared" si="8"/>
        <v>0</v>
      </c>
      <c r="L30" s="12">
        <f t="shared" si="8"/>
        <v>0</v>
      </c>
      <c r="M30" s="12">
        <f t="shared" si="8"/>
        <v>0</v>
      </c>
      <c r="N30" s="12">
        <f t="shared" si="8"/>
        <v>0</v>
      </c>
      <c r="O30" s="12">
        <f t="shared" si="8"/>
        <v>0</v>
      </c>
      <c r="P30" s="12">
        <f t="shared" si="8"/>
        <v>0</v>
      </c>
      <c r="Q30" s="12">
        <f t="shared" si="8"/>
        <v>0</v>
      </c>
      <c r="R30" s="12">
        <f t="shared" si="8"/>
        <v>0</v>
      </c>
      <c r="S30" s="12">
        <f t="shared" si="8"/>
        <v>0</v>
      </c>
      <c r="T30" s="12">
        <f t="shared" si="8"/>
        <v>0</v>
      </c>
      <c r="U30" s="12">
        <f t="shared" si="8"/>
        <v>0</v>
      </c>
      <c r="V30" s="12">
        <f t="shared" si="9"/>
        <v>0</v>
      </c>
      <c r="W30" s="12">
        <f t="shared" si="9"/>
        <v>0</v>
      </c>
      <c r="X30" s="12">
        <f t="shared" si="9"/>
        <v>0</v>
      </c>
      <c r="Y30" s="12">
        <f t="shared" si="9"/>
        <v>0</v>
      </c>
      <c r="Z30" s="12">
        <f t="shared" si="9"/>
        <v>0</v>
      </c>
      <c r="AA30" s="12">
        <f t="shared" si="9"/>
        <v>0</v>
      </c>
      <c r="AB30" s="12">
        <f t="shared" si="9"/>
        <v>0</v>
      </c>
      <c r="AC30" s="12">
        <f t="shared" si="9"/>
        <v>0</v>
      </c>
      <c r="AD30" s="12">
        <f t="shared" si="9"/>
        <v>0</v>
      </c>
      <c r="AE30" s="12">
        <f t="shared" si="9"/>
        <v>0</v>
      </c>
      <c r="AF30" s="12">
        <f t="shared" si="9"/>
        <v>0</v>
      </c>
      <c r="AG30" s="12">
        <f t="shared" si="9"/>
        <v>0</v>
      </c>
      <c r="AH30" s="12">
        <f t="shared" si="9"/>
        <v>0</v>
      </c>
      <c r="AI30" s="12">
        <f t="shared" si="9"/>
        <v>0</v>
      </c>
      <c r="AJ30" s="12">
        <f t="shared" si="9"/>
        <v>0</v>
      </c>
      <c r="AK30" s="12">
        <f t="shared" si="9"/>
        <v>0</v>
      </c>
      <c r="AL30" s="12">
        <f t="shared" si="9"/>
        <v>0</v>
      </c>
      <c r="AM30" s="12">
        <f t="shared" si="9"/>
        <v>0</v>
      </c>
      <c r="AN30" s="12">
        <f t="shared" si="9"/>
        <v>0</v>
      </c>
      <c r="AO30" s="12">
        <f t="shared" si="9"/>
        <v>0</v>
      </c>
      <c r="AP30" s="12">
        <f t="shared" si="9"/>
        <v>0</v>
      </c>
      <c r="AQ30" s="12">
        <f t="shared" ref="V30:AT41" si="11">IFERROR(ROUNDUP(AQ6/AQ$4*10^6,0),0)</f>
        <v>0</v>
      </c>
      <c r="AR30" s="12">
        <f t="shared" si="11"/>
        <v>0</v>
      </c>
      <c r="AS30" s="12">
        <f t="shared" si="11"/>
        <v>0</v>
      </c>
      <c r="AT30" s="12">
        <f t="shared" si="11"/>
        <v>0</v>
      </c>
      <c r="AU30" s="12"/>
      <c r="AV30" s="12">
        <f t="shared" ref="AV30:AV48" si="12">IFERROR(ROUNDUP(AV6/$AV$4*10^6,0),0)</f>
        <v>0</v>
      </c>
    </row>
    <row r="31" spans="2:48">
      <c r="B31" s="12" t="s">
        <v>957</v>
      </c>
      <c r="C31" s="12">
        <f t="shared" ref="C31:E31" si="13">IFERROR(ROUNDUP(C7/C$4*10^6,0),0)</f>
        <v>16</v>
      </c>
      <c r="D31" s="12">
        <f t="shared" si="13"/>
        <v>0</v>
      </c>
      <c r="E31" s="12">
        <f t="shared" si="13"/>
        <v>0</v>
      </c>
      <c r="F31" s="12">
        <f t="shared" ref="F31:U46" si="14">IFERROR(ROUNDUP(F7/F$4*10^6,0),0)</f>
        <v>0</v>
      </c>
      <c r="G31" s="12">
        <f t="shared" si="14"/>
        <v>0</v>
      </c>
      <c r="H31" s="12">
        <f t="shared" si="14"/>
        <v>0</v>
      </c>
      <c r="I31" s="12">
        <f t="shared" si="14"/>
        <v>0</v>
      </c>
      <c r="J31" s="12">
        <f t="shared" si="14"/>
        <v>0</v>
      </c>
      <c r="K31" s="12">
        <f t="shared" si="14"/>
        <v>0</v>
      </c>
      <c r="L31" s="12">
        <f t="shared" si="14"/>
        <v>0</v>
      </c>
      <c r="M31" s="12">
        <f t="shared" si="14"/>
        <v>0</v>
      </c>
      <c r="N31" s="12">
        <f t="shared" si="14"/>
        <v>0</v>
      </c>
      <c r="O31" s="12">
        <f t="shared" si="14"/>
        <v>0</v>
      </c>
      <c r="P31" s="12">
        <f t="shared" si="14"/>
        <v>0</v>
      </c>
      <c r="Q31" s="12">
        <f t="shared" si="14"/>
        <v>0</v>
      </c>
      <c r="R31" s="12">
        <f t="shared" si="14"/>
        <v>0</v>
      </c>
      <c r="S31" s="12">
        <f t="shared" si="14"/>
        <v>0</v>
      </c>
      <c r="T31" s="12">
        <f t="shared" si="14"/>
        <v>0</v>
      </c>
      <c r="U31" s="12">
        <f t="shared" si="14"/>
        <v>0</v>
      </c>
      <c r="V31" s="12">
        <f t="shared" si="11"/>
        <v>0</v>
      </c>
      <c r="W31" s="12">
        <f t="shared" si="11"/>
        <v>38</v>
      </c>
      <c r="X31" s="12">
        <f t="shared" si="11"/>
        <v>39</v>
      </c>
      <c r="Y31" s="12">
        <f t="shared" si="11"/>
        <v>0</v>
      </c>
      <c r="Z31" s="12">
        <f t="shared" si="11"/>
        <v>22</v>
      </c>
      <c r="AA31" s="12">
        <f t="shared" si="11"/>
        <v>0</v>
      </c>
      <c r="AB31" s="12">
        <f t="shared" si="11"/>
        <v>33</v>
      </c>
      <c r="AC31" s="12">
        <f t="shared" si="11"/>
        <v>0</v>
      </c>
      <c r="AD31" s="12">
        <f t="shared" si="11"/>
        <v>0</v>
      </c>
      <c r="AE31" s="12">
        <f t="shared" si="11"/>
        <v>0</v>
      </c>
      <c r="AF31" s="12">
        <f t="shared" si="11"/>
        <v>0</v>
      </c>
      <c r="AG31" s="12">
        <f t="shared" si="11"/>
        <v>0</v>
      </c>
      <c r="AH31" s="12">
        <f t="shared" si="11"/>
        <v>0</v>
      </c>
      <c r="AI31" s="12">
        <f t="shared" si="11"/>
        <v>0</v>
      </c>
      <c r="AJ31" s="12">
        <f t="shared" si="11"/>
        <v>0</v>
      </c>
      <c r="AK31" s="12">
        <f t="shared" si="11"/>
        <v>0</v>
      </c>
      <c r="AL31" s="12">
        <f t="shared" si="11"/>
        <v>0</v>
      </c>
      <c r="AM31" s="12">
        <f t="shared" si="11"/>
        <v>0</v>
      </c>
      <c r="AN31" s="12">
        <f t="shared" si="11"/>
        <v>0</v>
      </c>
      <c r="AO31" s="12">
        <f t="shared" si="11"/>
        <v>0</v>
      </c>
      <c r="AP31" s="12">
        <f t="shared" si="11"/>
        <v>0</v>
      </c>
      <c r="AQ31" s="12">
        <f t="shared" si="11"/>
        <v>0</v>
      </c>
      <c r="AR31" s="12">
        <f t="shared" si="11"/>
        <v>0</v>
      </c>
      <c r="AS31" s="12">
        <f t="shared" si="11"/>
        <v>0</v>
      </c>
      <c r="AT31" s="12">
        <f t="shared" si="11"/>
        <v>0</v>
      </c>
      <c r="AU31" s="12"/>
      <c r="AV31" s="12">
        <f t="shared" si="12"/>
        <v>16</v>
      </c>
    </row>
    <row r="32" spans="2:48">
      <c r="B32" s="12" t="s">
        <v>955</v>
      </c>
      <c r="C32" s="12">
        <f t="shared" ref="C32:E32" si="15">IFERROR(ROUNDUP(C8/C$4*10^6,0),0)</f>
        <v>74</v>
      </c>
      <c r="D32" s="12">
        <f t="shared" si="15"/>
        <v>0</v>
      </c>
      <c r="E32" s="12">
        <f t="shared" si="15"/>
        <v>0</v>
      </c>
      <c r="F32" s="12">
        <f t="shared" si="14"/>
        <v>0</v>
      </c>
      <c r="G32" s="12">
        <f t="shared" si="14"/>
        <v>0</v>
      </c>
      <c r="H32" s="12">
        <f t="shared" si="14"/>
        <v>0</v>
      </c>
      <c r="I32" s="12">
        <f t="shared" si="14"/>
        <v>0</v>
      </c>
      <c r="J32" s="12">
        <f t="shared" si="14"/>
        <v>0</v>
      </c>
      <c r="K32" s="12">
        <f t="shared" si="14"/>
        <v>0</v>
      </c>
      <c r="L32" s="12">
        <f t="shared" si="14"/>
        <v>0</v>
      </c>
      <c r="M32" s="12">
        <f t="shared" si="14"/>
        <v>0</v>
      </c>
      <c r="N32" s="12">
        <f t="shared" si="14"/>
        <v>0</v>
      </c>
      <c r="O32" s="12">
        <f t="shared" si="14"/>
        <v>0</v>
      </c>
      <c r="P32" s="12">
        <f t="shared" si="14"/>
        <v>0</v>
      </c>
      <c r="Q32" s="12">
        <f t="shared" si="14"/>
        <v>0</v>
      </c>
      <c r="R32" s="12">
        <f t="shared" si="14"/>
        <v>0</v>
      </c>
      <c r="S32" s="12">
        <f t="shared" si="14"/>
        <v>0</v>
      </c>
      <c r="T32" s="12">
        <f t="shared" si="14"/>
        <v>480</v>
      </c>
      <c r="U32" s="12">
        <f t="shared" si="14"/>
        <v>119</v>
      </c>
      <c r="V32" s="12">
        <f t="shared" si="11"/>
        <v>81</v>
      </c>
      <c r="W32" s="12">
        <f t="shared" si="11"/>
        <v>113</v>
      </c>
      <c r="X32" s="12">
        <f t="shared" si="11"/>
        <v>116</v>
      </c>
      <c r="Y32" s="12">
        <f t="shared" si="11"/>
        <v>65</v>
      </c>
      <c r="Z32" s="12">
        <f t="shared" si="11"/>
        <v>110</v>
      </c>
      <c r="AA32" s="12">
        <f t="shared" si="11"/>
        <v>31</v>
      </c>
      <c r="AB32" s="12">
        <f t="shared" si="11"/>
        <v>0</v>
      </c>
      <c r="AC32" s="12">
        <f t="shared" si="11"/>
        <v>0</v>
      </c>
      <c r="AD32" s="12">
        <f t="shared" si="11"/>
        <v>0</v>
      </c>
      <c r="AE32" s="12">
        <f t="shared" si="11"/>
        <v>0</v>
      </c>
      <c r="AF32" s="12">
        <f t="shared" si="11"/>
        <v>0</v>
      </c>
      <c r="AG32" s="12">
        <f t="shared" si="11"/>
        <v>0</v>
      </c>
      <c r="AH32" s="12">
        <f t="shared" si="11"/>
        <v>0</v>
      </c>
      <c r="AI32" s="12">
        <f t="shared" si="11"/>
        <v>0</v>
      </c>
      <c r="AJ32" s="12">
        <f t="shared" si="11"/>
        <v>0</v>
      </c>
      <c r="AK32" s="12">
        <f t="shared" si="11"/>
        <v>0</v>
      </c>
      <c r="AL32" s="12">
        <f t="shared" si="11"/>
        <v>0</v>
      </c>
      <c r="AM32" s="12">
        <f t="shared" si="11"/>
        <v>0</v>
      </c>
      <c r="AN32" s="12">
        <f t="shared" si="11"/>
        <v>0</v>
      </c>
      <c r="AO32" s="12">
        <f t="shared" si="11"/>
        <v>0</v>
      </c>
      <c r="AP32" s="12">
        <f t="shared" si="11"/>
        <v>0</v>
      </c>
      <c r="AQ32" s="12">
        <f t="shared" si="11"/>
        <v>0</v>
      </c>
      <c r="AR32" s="12">
        <f t="shared" si="11"/>
        <v>0</v>
      </c>
      <c r="AS32" s="12">
        <f t="shared" si="11"/>
        <v>0</v>
      </c>
      <c r="AT32" s="12">
        <f t="shared" si="11"/>
        <v>0</v>
      </c>
      <c r="AU32" s="12"/>
      <c r="AV32" s="12">
        <f t="shared" si="12"/>
        <v>74</v>
      </c>
    </row>
    <row r="33" spans="2:48">
      <c r="B33" s="12" t="s">
        <v>953</v>
      </c>
      <c r="C33" s="12">
        <f t="shared" ref="C33:E33" si="16">IFERROR(ROUNDUP(C9/C$4*10^6,0),0)</f>
        <v>12</v>
      </c>
      <c r="D33" s="12">
        <f t="shared" si="16"/>
        <v>0</v>
      </c>
      <c r="E33" s="12">
        <f t="shared" si="16"/>
        <v>0</v>
      </c>
      <c r="F33" s="12">
        <f t="shared" si="14"/>
        <v>0</v>
      </c>
      <c r="G33" s="12">
        <f t="shared" si="14"/>
        <v>0</v>
      </c>
      <c r="H33" s="12">
        <f t="shared" si="14"/>
        <v>0</v>
      </c>
      <c r="I33" s="12">
        <f t="shared" si="14"/>
        <v>0</v>
      </c>
      <c r="J33" s="12">
        <f t="shared" si="14"/>
        <v>0</v>
      </c>
      <c r="K33" s="12">
        <f t="shared" si="14"/>
        <v>0</v>
      </c>
      <c r="L33" s="12">
        <f t="shared" si="14"/>
        <v>0</v>
      </c>
      <c r="M33" s="12">
        <f t="shared" si="14"/>
        <v>0</v>
      </c>
      <c r="N33" s="12">
        <f t="shared" si="14"/>
        <v>0</v>
      </c>
      <c r="O33" s="12">
        <f t="shared" si="14"/>
        <v>0</v>
      </c>
      <c r="P33" s="12">
        <f t="shared" si="14"/>
        <v>0</v>
      </c>
      <c r="Q33" s="12">
        <f t="shared" si="14"/>
        <v>0</v>
      </c>
      <c r="R33" s="12">
        <f t="shared" si="14"/>
        <v>0</v>
      </c>
      <c r="S33" s="12">
        <f t="shared" si="14"/>
        <v>0</v>
      </c>
      <c r="T33" s="12">
        <f t="shared" si="14"/>
        <v>0</v>
      </c>
      <c r="U33" s="12">
        <f t="shared" si="14"/>
        <v>119</v>
      </c>
      <c r="V33" s="12">
        <f t="shared" si="11"/>
        <v>0</v>
      </c>
      <c r="W33" s="12">
        <f t="shared" si="11"/>
        <v>0</v>
      </c>
      <c r="X33" s="12">
        <f t="shared" si="11"/>
        <v>39</v>
      </c>
      <c r="Y33" s="12">
        <f t="shared" si="11"/>
        <v>22</v>
      </c>
      <c r="Z33" s="12">
        <f t="shared" si="11"/>
        <v>0</v>
      </c>
      <c r="AA33" s="12">
        <f t="shared" si="11"/>
        <v>0</v>
      </c>
      <c r="AB33" s="12">
        <f t="shared" si="11"/>
        <v>0</v>
      </c>
      <c r="AC33" s="12">
        <f t="shared" si="11"/>
        <v>0</v>
      </c>
      <c r="AD33" s="12">
        <f t="shared" si="11"/>
        <v>0</v>
      </c>
      <c r="AE33" s="12">
        <f t="shared" si="11"/>
        <v>0</v>
      </c>
      <c r="AF33" s="12">
        <f t="shared" si="11"/>
        <v>0</v>
      </c>
      <c r="AG33" s="12">
        <f t="shared" si="11"/>
        <v>0</v>
      </c>
      <c r="AH33" s="12">
        <f t="shared" si="11"/>
        <v>0</v>
      </c>
      <c r="AI33" s="12">
        <f t="shared" si="11"/>
        <v>0</v>
      </c>
      <c r="AJ33" s="12">
        <f t="shared" si="11"/>
        <v>0</v>
      </c>
      <c r="AK33" s="12">
        <f t="shared" si="11"/>
        <v>0</v>
      </c>
      <c r="AL33" s="12">
        <f t="shared" si="11"/>
        <v>0</v>
      </c>
      <c r="AM33" s="12">
        <f t="shared" si="11"/>
        <v>0</v>
      </c>
      <c r="AN33" s="12">
        <f t="shared" si="11"/>
        <v>0</v>
      </c>
      <c r="AO33" s="12">
        <f t="shared" si="11"/>
        <v>0</v>
      </c>
      <c r="AP33" s="12">
        <f t="shared" si="11"/>
        <v>0</v>
      </c>
      <c r="AQ33" s="12">
        <f t="shared" si="11"/>
        <v>0</v>
      </c>
      <c r="AR33" s="12">
        <f t="shared" si="11"/>
        <v>0</v>
      </c>
      <c r="AS33" s="12">
        <f t="shared" si="11"/>
        <v>0</v>
      </c>
      <c r="AT33" s="12">
        <f t="shared" si="11"/>
        <v>0</v>
      </c>
      <c r="AU33" s="12"/>
      <c r="AV33" s="12">
        <f t="shared" si="12"/>
        <v>12</v>
      </c>
    </row>
    <row r="34" spans="2:48">
      <c r="B34" s="12" t="s">
        <v>954</v>
      </c>
      <c r="C34" s="12">
        <f t="shared" ref="C34:E34" si="17">IFERROR(ROUNDUP(C10/C$4*10^6,0),0)</f>
        <v>269</v>
      </c>
      <c r="D34" s="12">
        <f t="shared" si="17"/>
        <v>0</v>
      </c>
      <c r="E34" s="12">
        <f t="shared" si="17"/>
        <v>0</v>
      </c>
      <c r="F34" s="12">
        <f t="shared" si="14"/>
        <v>0</v>
      </c>
      <c r="G34" s="12">
        <f t="shared" si="14"/>
        <v>0</v>
      </c>
      <c r="H34" s="12">
        <f t="shared" si="14"/>
        <v>0</v>
      </c>
      <c r="I34" s="12">
        <f t="shared" si="14"/>
        <v>0</v>
      </c>
      <c r="J34" s="12">
        <f t="shared" si="14"/>
        <v>0</v>
      </c>
      <c r="K34" s="12">
        <f t="shared" si="14"/>
        <v>0</v>
      </c>
      <c r="L34" s="12">
        <f t="shared" si="14"/>
        <v>0</v>
      </c>
      <c r="M34" s="12">
        <f t="shared" si="14"/>
        <v>0</v>
      </c>
      <c r="N34" s="12">
        <f t="shared" si="14"/>
        <v>0</v>
      </c>
      <c r="O34" s="12">
        <f t="shared" si="14"/>
        <v>0</v>
      </c>
      <c r="P34" s="12">
        <f t="shared" si="14"/>
        <v>0</v>
      </c>
      <c r="Q34" s="12">
        <f t="shared" si="14"/>
        <v>0</v>
      </c>
      <c r="R34" s="12">
        <f t="shared" si="14"/>
        <v>0</v>
      </c>
      <c r="S34" s="12">
        <f t="shared" si="14"/>
        <v>0</v>
      </c>
      <c r="T34" s="12">
        <f t="shared" si="14"/>
        <v>0</v>
      </c>
      <c r="U34" s="12">
        <f t="shared" si="14"/>
        <v>0</v>
      </c>
      <c r="V34" s="12">
        <f t="shared" si="11"/>
        <v>203</v>
      </c>
      <c r="W34" s="12">
        <f t="shared" si="11"/>
        <v>151</v>
      </c>
      <c r="X34" s="12">
        <f t="shared" si="11"/>
        <v>0</v>
      </c>
      <c r="Y34" s="12">
        <f t="shared" si="11"/>
        <v>540</v>
      </c>
      <c r="Z34" s="12">
        <f t="shared" si="11"/>
        <v>132</v>
      </c>
      <c r="AA34" s="12">
        <f t="shared" si="11"/>
        <v>757</v>
      </c>
      <c r="AB34" s="12">
        <f t="shared" si="11"/>
        <v>65</v>
      </c>
      <c r="AC34" s="12">
        <f t="shared" si="11"/>
        <v>153</v>
      </c>
      <c r="AD34" s="12">
        <f t="shared" si="11"/>
        <v>0</v>
      </c>
      <c r="AE34" s="12">
        <f t="shared" si="11"/>
        <v>0</v>
      </c>
      <c r="AF34" s="12">
        <f t="shared" si="11"/>
        <v>0</v>
      </c>
      <c r="AG34" s="12">
        <f t="shared" si="11"/>
        <v>0</v>
      </c>
      <c r="AH34" s="12">
        <f t="shared" si="11"/>
        <v>0</v>
      </c>
      <c r="AI34" s="12">
        <f t="shared" si="11"/>
        <v>0</v>
      </c>
      <c r="AJ34" s="12">
        <f t="shared" si="11"/>
        <v>0</v>
      </c>
      <c r="AK34" s="12">
        <f t="shared" si="11"/>
        <v>0</v>
      </c>
      <c r="AL34" s="12">
        <f t="shared" si="11"/>
        <v>0</v>
      </c>
      <c r="AM34" s="12">
        <f t="shared" si="11"/>
        <v>0</v>
      </c>
      <c r="AN34" s="12">
        <f t="shared" si="11"/>
        <v>0</v>
      </c>
      <c r="AO34" s="12">
        <f t="shared" si="11"/>
        <v>0</v>
      </c>
      <c r="AP34" s="12">
        <f t="shared" si="11"/>
        <v>0</v>
      </c>
      <c r="AQ34" s="12">
        <f t="shared" si="11"/>
        <v>0</v>
      </c>
      <c r="AR34" s="12">
        <f t="shared" si="11"/>
        <v>0</v>
      </c>
      <c r="AS34" s="12">
        <f t="shared" si="11"/>
        <v>331</v>
      </c>
      <c r="AT34" s="12">
        <f t="shared" si="11"/>
        <v>0</v>
      </c>
      <c r="AU34" s="12"/>
      <c r="AV34" s="12">
        <f t="shared" si="12"/>
        <v>269</v>
      </c>
    </row>
    <row r="35" spans="2:48">
      <c r="B35" s="12" t="s">
        <v>956</v>
      </c>
      <c r="C35" s="12">
        <f t="shared" ref="C35:E35" si="18">IFERROR(ROUNDUP(C11/C$4*10^6,0),0)</f>
        <v>28</v>
      </c>
      <c r="D35" s="12">
        <f t="shared" si="18"/>
        <v>0</v>
      </c>
      <c r="E35" s="12">
        <f t="shared" si="18"/>
        <v>0</v>
      </c>
      <c r="F35" s="12">
        <f t="shared" si="14"/>
        <v>0</v>
      </c>
      <c r="G35" s="12">
        <f t="shared" si="14"/>
        <v>0</v>
      </c>
      <c r="H35" s="12">
        <f t="shared" si="14"/>
        <v>0</v>
      </c>
      <c r="I35" s="12">
        <f t="shared" si="14"/>
        <v>0</v>
      </c>
      <c r="J35" s="12">
        <f t="shared" si="14"/>
        <v>0</v>
      </c>
      <c r="K35" s="12">
        <f t="shared" si="14"/>
        <v>0</v>
      </c>
      <c r="L35" s="12">
        <f t="shared" si="14"/>
        <v>0</v>
      </c>
      <c r="M35" s="12">
        <f t="shared" si="14"/>
        <v>0</v>
      </c>
      <c r="N35" s="12">
        <f t="shared" si="14"/>
        <v>0</v>
      </c>
      <c r="O35" s="12">
        <f t="shared" si="14"/>
        <v>0</v>
      </c>
      <c r="P35" s="12">
        <f t="shared" si="14"/>
        <v>0</v>
      </c>
      <c r="Q35" s="12">
        <f t="shared" si="14"/>
        <v>0</v>
      </c>
      <c r="R35" s="12">
        <f t="shared" si="14"/>
        <v>0</v>
      </c>
      <c r="S35" s="12">
        <f t="shared" si="14"/>
        <v>0</v>
      </c>
      <c r="T35" s="12">
        <f t="shared" si="14"/>
        <v>0</v>
      </c>
      <c r="U35" s="12">
        <f t="shared" si="14"/>
        <v>0</v>
      </c>
      <c r="V35" s="12">
        <f t="shared" si="11"/>
        <v>0</v>
      </c>
      <c r="W35" s="12">
        <f t="shared" si="11"/>
        <v>38</v>
      </c>
      <c r="X35" s="12">
        <f t="shared" si="11"/>
        <v>0</v>
      </c>
      <c r="Y35" s="12">
        <f t="shared" si="11"/>
        <v>44</v>
      </c>
      <c r="Z35" s="12">
        <f t="shared" si="11"/>
        <v>66</v>
      </c>
      <c r="AA35" s="12">
        <f t="shared" si="11"/>
        <v>31</v>
      </c>
      <c r="AB35" s="12">
        <f t="shared" si="11"/>
        <v>0</v>
      </c>
      <c r="AC35" s="12">
        <f t="shared" si="11"/>
        <v>0</v>
      </c>
      <c r="AD35" s="12">
        <f t="shared" si="11"/>
        <v>0</v>
      </c>
      <c r="AE35" s="12">
        <f t="shared" si="11"/>
        <v>0</v>
      </c>
      <c r="AF35" s="12">
        <f t="shared" si="11"/>
        <v>0</v>
      </c>
      <c r="AG35" s="12">
        <f t="shared" si="11"/>
        <v>0</v>
      </c>
      <c r="AH35" s="12">
        <f t="shared" si="11"/>
        <v>0</v>
      </c>
      <c r="AI35" s="12">
        <f t="shared" si="11"/>
        <v>0</v>
      </c>
      <c r="AJ35" s="12">
        <f t="shared" si="11"/>
        <v>0</v>
      </c>
      <c r="AK35" s="12">
        <f t="shared" si="11"/>
        <v>0</v>
      </c>
      <c r="AL35" s="12">
        <f t="shared" si="11"/>
        <v>0</v>
      </c>
      <c r="AM35" s="12">
        <f t="shared" si="11"/>
        <v>0</v>
      </c>
      <c r="AN35" s="12">
        <f t="shared" si="11"/>
        <v>0</v>
      </c>
      <c r="AO35" s="12">
        <f t="shared" si="11"/>
        <v>0</v>
      </c>
      <c r="AP35" s="12">
        <f t="shared" si="11"/>
        <v>0</v>
      </c>
      <c r="AQ35" s="12">
        <f t="shared" si="11"/>
        <v>0</v>
      </c>
      <c r="AR35" s="12">
        <f t="shared" si="11"/>
        <v>0</v>
      </c>
      <c r="AS35" s="12">
        <f t="shared" si="11"/>
        <v>0</v>
      </c>
      <c r="AT35" s="12">
        <f t="shared" si="11"/>
        <v>0</v>
      </c>
      <c r="AU35" s="12"/>
      <c r="AV35" s="12">
        <f t="shared" si="12"/>
        <v>28</v>
      </c>
    </row>
    <row r="36" spans="2:48">
      <c r="B36" s="12" t="s">
        <v>992</v>
      </c>
      <c r="C36" s="12">
        <f t="shared" ref="C36:E36" si="19">IFERROR(ROUNDUP(C12/C$4*10^6,0),0)</f>
        <v>0</v>
      </c>
      <c r="D36" s="12">
        <f t="shared" si="19"/>
        <v>0</v>
      </c>
      <c r="E36" s="12">
        <f t="shared" si="19"/>
        <v>0</v>
      </c>
      <c r="F36" s="12">
        <f t="shared" si="14"/>
        <v>0</v>
      </c>
      <c r="G36" s="12">
        <f t="shared" si="14"/>
        <v>0</v>
      </c>
      <c r="H36" s="12">
        <f t="shared" si="14"/>
        <v>0</v>
      </c>
      <c r="I36" s="12">
        <f t="shared" si="14"/>
        <v>0</v>
      </c>
      <c r="J36" s="12">
        <f t="shared" si="14"/>
        <v>0</v>
      </c>
      <c r="K36" s="12">
        <f t="shared" si="14"/>
        <v>0</v>
      </c>
      <c r="L36" s="12">
        <f t="shared" si="14"/>
        <v>0</v>
      </c>
      <c r="M36" s="12">
        <f t="shared" si="14"/>
        <v>0</v>
      </c>
      <c r="N36" s="12">
        <f t="shared" si="14"/>
        <v>0</v>
      </c>
      <c r="O36" s="12">
        <f t="shared" si="14"/>
        <v>0</v>
      </c>
      <c r="P36" s="12">
        <f t="shared" si="14"/>
        <v>0</v>
      </c>
      <c r="Q36" s="12">
        <f t="shared" si="14"/>
        <v>0</v>
      </c>
      <c r="R36" s="12">
        <f t="shared" si="14"/>
        <v>0</v>
      </c>
      <c r="S36" s="12">
        <f t="shared" si="14"/>
        <v>0</v>
      </c>
      <c r="T36" s="12">
        <f t="shared" si="14"/>
        <v>0</v>
      </c>
      <c r="U36" s="12">
        <f t="shared" si="14"/>
        <v>0</v>
      </c>
      <c r="V36" s="12">
        <f t="shared" si="11"/>
        <v>0</v>
      </c>
      <c r="W36" s="12">
        <f t="shared" si="11"/>
        <v>0</v>
      </c>
      <c r="X36" s="12">
        <f t="shared" si="11"/>
        <v>0</v>
      </c>
      <c r="Y36" s="12">
        <f t="shared" si="11"/>
        <v>0</v>
      </c>
      <c r="Z36" s="12">
        <f t="shared" si="11"/>
        <v>0</v>
      </c>
      <c r="AA36" s="12">
        <f t="shared" si="11"/>
        <v>0</v>
      </c>
      <c r="AB36" s="12">
        <f t="shared" si="11"/>
        <v>0</v>
      </c>
      <c r="AC36" s="12">
        <f t="shared" si="11"/>
        <v>0</v>
      </c>
      <c r="AD36" s="12">
        <f t="shared" si="11"/>
        <v>0</v>
      </c>
      <c r="AE36" s="12">
        <f t="shared" si="11"/>
        <v>0</v>
      </c>
      <c r="AF36" s="12">
        <f t="shared" si="11"/>
        <v>0</v>
      </c>
      <c r="AG36" s="12">
        <f t="shared" si="11"/>
        <v>0</v>
      </c>
      <c r="AH36" s="12">
        <f t="shared" si="11"/>
        <v>0</v>
      </c>
      <c r="AI36" s="12">
        <f t="shared" si="11"/>
        <v>0</v>
      </c>
      <c r="AJ36" s="12">
        <f t="shared" si="11"/>
        <v>0</v>
      </c>
      <c r="AK36" s="12">
        <f t="shared" si="11"/>
        <v>0</v>
      </c>
      <c r="AL36" s="12">
        <f t="shared" si="11"/>
        <v>0</v>
      </c>
      <c r="AM36" s="12">
        <f t="shared" si="11"/>
        <v>0</v>
      </c>
      <c r="AN36" s="12">
        <f t="shared" si="11"/>
        <v>0</v>
      </c>
      <c r="AO36" s="12">
        <f t="shared" si="11"/>
        <v>0</v>
      </c>
      <c r="AP36" s="12">
        <f t="shared" si="11"/>
        <v>0</v>
      </c>
      <c r="AQ36" s="12">
        <f t="shared" si="11"/>
        <v>0</v>
      </c>
      <c r="AR36" s="12">
        <f t="shared" si="11"/>
        <v>0</v>
      </c>
      <c r="AS36" s="12">
        <f t="shared" si="11"/>
        <v>0</v>
      </c>
      <c r="AT36" s="12">
        <f t="shared" si="11"/>
        <v>0</v>
      </c>
      <c r="AU36" s="12"/>
      <c r="AV36" s="12">
        <f t="shared" si="12"/>
        <v>0</v>
      </c>
    </row>
    <row r="37" spans="2:48">
      <c r="B37" s="12" t="s">
        <v>950</v>
      </c>
      <c r="C37" s="12">
        <f t="shared" ref="C37:E37" si="20">IFERROR(ROUNDUP(C13/C$4*10^6,0),0)</f>
        <v>145</v>
      </c>
      <c r="D37" s="12">
        <f t="shared" si="20"/>
        <v>0</v>
      </c>
      <c r="E37" s="12">
        <f t="shared" si="20"/>
        <v>0</v>
      </c>
      <c r="F37" s="12">
        <f t="shared" si="14"/>
        <v>0</v>
      </c>
      <c r="G37" s="12">
        <f t="shared" si="14"/>
        <v>0</v>
      </c>
      <c r="H37" s="12">
        <f t="shared" si="14"/>
        <v>0</v>
      </c>
      <c r="I37" s="12">
        <f t="shared" si="14"/>
        <v>0</v>
      </c>
      <c r="J37" s="12">
        <f t="shared" si="14"/>
        <v>0</v>
      </c>
      <c r="K37" s="12">
        <f t="shared" si="14"/>
        <v>0</v>
      </c>
      <c r="L37" s="12">
        <f t="shared" si="14"/>
        <v>0</v>
      </c>
      <c r="M37" s="12">
        <f t="shared" si="14"/>
        <v>0</v>
      </c>
      <c r="N37" s="12">
        <f t="shared" si="14"/>
        <v>0</v>
      </c>
      <c r="O37" s="12">
        <f t="shared" si="14"/>
        <v>0</v>
      </c>
      <c r="P37" s="12">
        <f t="shared" si="14"/>
        <v>0</v>
      </c>
      <c r="Q37" s="12">
        <f t="shared" si="14"/>
        <v>0</v>
      </c>
      <c r="R37" s="12">
        <f t="shared" si="14"/>
        <v>0</v>
      </c>
      <c r="S37" s="12">
        <f t="shared" si="14"/>
        <v>0</v>
      </c>
      <c r="T37" s="12">
        <f t="shared" si="14"/>
        <v>0</v>
      </c>
      <c r="U37" s="12">
        <f t="shared" si="14"/>
        <v>237</v>
      </c>
      <c r="V37" s="12">
        <f t="shared" si="11"/>
        <v>203</v>
      </c>
      <c r="W37" s="12">
        <f t="shared" si="11"/>
        <v>76</v>
      </c>
      <c r="X37" s="12">
        <f t="shared" si="11"/>
        <v>271</v>
      </c>
      <c r="Y37" s="12">
        <f t="shared" si="11"/>
        <v>173</v>
      </c>
      <c r="Z37" s="12">
        <f t="shared" si="11"/>
        <v>88</v>
      </c>
      <c r="AA37" s="12">
        <f t="shared" si="11"/>
        <v>31</v>
      </c>
      <c r="AB37" s="12">
        <f t="shared" si="11"/>
        <v>162</v>
      </c>
      <c r="AC37" s="12">
        <f t="shared" si="11"/>
        <v>229</v>
      </c>
      <c r="AD37" s="12">
        <f t="shared" si="11"/>
        <v>0</v>
      </c>
      <c r="AE37" s="12">
        <f t="shared" si="11"/>
        <v>0</v>
      </c>
      <c r="AF37" s="12">
        <f t="shared" si="11"/>
        <v>0</v>
      </c>
      <c r="AG37" s="12">
        <f t="shared" si="11"/>
        <v>0</v>
      </c>
      <c r="AH37" s="12">
        <f t="shared" si="11"/>
        <v>0</v>
      </c>
      <c r="AI37" s="12">
        <f t="shared" si="11"/>
        <v>0</v>
      </c>
      <c r="AJ37" s="12">
        <f t="shared" si="11"/>
        <v>0</v>
      </c>
      <c r="AK37" s="12">
        <f t="shared" si="11"/>
        <v>0</v>
      </c>
      <c r="AL37" s="12">
        <f t="shared" si="11"/>
        <v>0</v>
      </c>
      <c r="AM37" s="12">
        <f t="shared" si="11"/>
        <v>0</v>
      </c>
      <c r="AN37" s="12">
        <f t="shared" si="11"/>
        <v>0</v>
      </c>
      <c r="AO37" s="12">
        <f t="shared" si="11"/>
        <v>0</v>
      </c>
      <c r="AP37" s="12">
        <f t="shared" si="11"/>
        <v>0</v>
      </c>
      <c r="AQ37" s="12">
        <f t="shared" si="11"/>
        <v>0</v>
      </c>
      <c r="AR37" s="12">
        <f>IFERROR(ROUNDUP(AR13/AR$4*10^6,0),0)</f>
        <v>1014</v>
      </c>
      <c r="AS37" s="12">
        <f t="shared" si="11"/>
        <v>0</v>
      </c>
      <c r="AT37" s="12">
        <f t="shared" si="11"/>
        <v>0</v>
      </c>
      <c r="AU37" s="12"/>
      <c r="AV37" s="12">
        <f t="shared" si="12"/>
        <v>145</v>
      </c>
    </row>
    <row r="38" spans="2:48">
      <c r="B38" s="12" t="s">
        <v>993</v>
      </c>
      <c r="C38" s="12">
        <f t="shared" ref="C38:E38" si="21">IFERROR(ROUNDUP(C14/C$4*10^6,0),0)</f>
        <v>0</v>
      </c>
      <c r="D38" s="12">
        <f t="shared" si="21"/>
        <v>0</v>
      </c>
      <c r="E38" s="12">
        <f t="shared" si="21"/>
        <v>0</v>
      </c>
      <c r="F38" s="12">
        <f t="shared" si="14"/>
        <v>0</v>
      </c>
      <c r="G38" s="12">
        <f t="shared" si="14"/>
        <v>0</v>
      </c>
      <c r="H38" s="12">
        <f t="shared" si="14"/>
        <v>0</v>
      </c>
      <c r="I38" s="12">
        <f t="shared" si="14"/>
        <v>0</v>
      </c>
      <c r="J38" s="12">
        <f t="shared" si="14"/>
        <v>0</v>
      </c>
      <c r="K38" s="12">
        <f t="shared" si="14"/>
        <v>0</v>
      </c>
      <c r="L38" s="12">
        <f t="shared" si="14"/>
        <v>0</v>
      </c>
      <c r="M38" s="12">
        <f t="shared" si="14"/>
        <v>0</v>
      </c>
      <c r="N38" s="12">
        <f t="shared" si="14"/>
        <v>0</v>
      </c>
      <c r="O38" s="12">
        <f t="shared" si="14"/>
        <v>0</v>
      </c>
      <c r="P38" s="12">
        <f t="shared" si="14"/>
        <v>0</v>
      </c>
      <c r="Q38" s="12">
        <f t="shared" si="14"/>
        <v>0</v>
      </c>
      <c r="R38" s="12">
        <f t="shared" si="14"/>
        <v>0</v>
      </c>
      <c r="S38" s="12">
        <f t="shared" si="14"/>
        <v>0</v>
      </c>
      <c r="T38" s="12">
        <f t="shared" si="14"/>
        <v>0</v>
      </c>
      <c r="U38" s="12">
        <f t="shared" si="14"/>
        <v>0</v>
      </c>
      <c r="V38" s="12">
        <f t="shared" si="11"/>
        <v>0</v>
      </c>
      <c r="W38" s="12">
        <f t="shared" si="11"/>
        <v>0</v>
      </c>
      <c r="X38" s="12">
        <f t="shared" si="11"/>
        <v>0</v>
      </c>
      <c r="Y38" s="12">
        <f t="shared" si="11"/>
        <v>0</v>
      </c>
      <c r="Z38" s="12">
        <f t="shared" si="11"/>
        <v>0</v>
      </c>
      <c r="AA38" s="12">
        <f t="shared" si="11"/>
        <v>0</v>
      </c>
      <c r="AB38" s="12">
        <f t="shared" si="11"/>
        <v>0</v>
      </c>
      <c r="AC38" s="12">
        <f t="shared" si="11"/>
        <v>0</v>
      </c>
      <c r="AD38" s="12">
        <f t="shared" si="11"/>
        <v>0</v>
      </c>
      <c r="AE38" s="12">
        <f t="shared" si="11"/>
        <v>0</v>
      </c>
      <c r="AF38" s="12">
        <f t="shared" si="11"/>
        <v>0</v>
      </c>
      <c r="AG38" s="12">
        <f t="shared" si="11"/>
        <v>0</v>
      </c>
      <c r="AH38" s="12">
        <f t="shared" si="11"/>
        <v>0</v>
      </c>
      <c r="AI38" s="12">
        <f t="shared" si="11"/>
        <v>0</v>
      </c>
      <c r="AJ38" s="12">
        <f t="shared" si="11"/>
        <v>0</v>
      </c>
      <c r="AK38" s="12">
        <f t="shared" si="11"/>
        <v>0</v>
      </c>
      <c r="AL38" s="12">
        <f t="shared" si="11"/>
        <v>0</v>
      </c>
      <c r="AM38" s="12">
        <f t="shared" si="11"/>
        <v>0</v>
      </c>
      <c r="AN38" s="12">
        <f t="shared" si="11"/>
        <v>0</v>
      </c>
      <c r="AO38" s="12">
        <f t="shared" si="11"/>
        <v>0</v>
      </c>
      <c r="AP38" s="12">
        <f t="shared" si="11"/>
        <v>0</v>
      </c>
      <c r="AQ38" s="12">
        <f t="shared" si="11"/>
        <v>0</v>
      </c>
      <c r="AR38" s="12">
        <f t="shared" si="11"/>
        <v>0</v>
      </c>
      <c r="AS38" s="12">
        <f t="shared" si="11"/>
        <v>0</v>
      </c>
      <c r="AT38" s="12">
        <f t="shared" si="11"/>
        <v>0</v>
      </c>
      <c r="AU38" s="12"/>
      <c r="AV38" s="12">
        <f t="shared" si="12"/>
        <v>0</v>
      </c>
    </row>
    <row r="39" spans="2:48">
      <c r="B39" s="12" t="s">
        <v>949</v>
      </c>
      <c r="C39" s="12">
        <f t="shared" ref="C39:E39" si="22">IFERROR(ROUNDUP(C15/C$4*10^6,0),0)</f>
        <v>168</v>
      </c>
      <c r="D39" s="12">
        <f t="shared" si="22"/>
        <v>0</v>
      </c>
      <c r="E39" s="12">
        <f t="shared" si="22"/>
        <v>0</v>
      </c>
      <c r="F39" s="12">
        <f t="shared" si="14"/>
        <v>0</v>
      </c>
      <c r="G39" s="12">
        <f t="shared" si="14"/>
        <v>0</v>
      </c>
      <c r="H39" s="12">
        <f t="shared" si="14"/>
        <v>0</v>
      </c>
      <c r="I39" s="12">
        <f t="shared" si="14"/>
        <v>0</v>
      </c>
      <c r="J39" s="12">
        <f t="shared" si="14"/>
        <v>0</v>
      </c>
      <c r="K39" s="12">
        <f t="shared" si="14"/>
        <v>0</v>
      </c>
      <c r="L39" s="12">
        <f t="shared" si="14"/>
        <v>0</v>
      </c>
      <c r="M39" s="12">
        <f t="shared" si="14"/>
        <v>0</v>
      </c>
      <c r="N39" s="12">
        <f t="shared" si="14"/>
        <v>0</v>
      </c>
      <c r="O39" s="12">
        <f t="shared" si="14"/>
        <v>0</v>
      </c>
      <c r="P39" s="12">
        <f t="shared" si="14"/>
        <v>0</v>
      </c>
      <c r="Q39" s="12">
        <f t="shared" si="14"/>
        <v>0</v>
      </c>
      <c r="R39" s="12">
        <f t="shared" si="14"/>
        <v>0</v>
      </c>
      <c r="S39" s="12">
        <f t="shared" si="14"/>
        <v>0</v>
      </c>
      <c r="T39" s="12">
        <f t="shared" si="14"/>
        <v>0</v>
      </c>
      <c r="U39" s="12">
        <f t="shared" si="14"/>
        <v>119</v>
      </c>
      <c r="V39" s="12">
        <f t="shared" si="11"/>
        <v>41</v>
      </c>
      <c r="W39" s="12">
        <f t="shared" si="11"/>
        <v>151</v>
      </c>
      <c r="X39" s="12">
        <f t="shared" si="11"/>
        <v>386</v>
      </c>
      <c r="Y39" s="12">
        <f t="shared" si="11"/>
        <v>173</v>
      </c>
      <c r="Z39" s="12">
        <f t="shared" si="11"/>
        <v>88</v>
      </c>
      <c r="AA39" s="12">
        <f t="shared" si="11"/>
        <v>152</v>
      </c>
      <c r="AB39" s="12">
        <f t="shared" si="11"/>
        <v>227</v>
      </c>
      <c r="AC39" s="12">
        <f t="shared" si="11"/>
        <v>229</v>
      </c>
      <c r="AD39" s="12">
        <f t="shared" si="11"/>
        <v>0</v>
      </c>
      <c r="AE39" s="12">
        <f t="shared" si="11"/>
        <v>0</v>
      </c>
      <c r="AF39" s="12">
        <f t="shared" si="11"/>
        <v>0</v>
      </c>
      <c r="AG39" s="12">
        <f t="shared" si="11"/>
        <v>0</v>
      </c>
      <c r="AH39" s="12">
        <f t="shared" si="11"/>
        <v>0</v>
      </c>
      <c r="AI39" s="12">
        <f t="shared" si="11"/>
        <v>0</v>
      </c>
      <c r="AJ39" s="12">
        <f t="shared" si="11"/>
        <v>0</v>
      </c>
      <c r="AK39" s="12">
        <f t="shared" si="11"/>
        <v>0</v>
      </c>
      <c r="AL39" s="12">
        <f t="shared" si="11"/>
        <v>0</v>
      </c>
      <c r="AM39" s="12">
        <f t="shared" si="11"/>
        <v>0</v>
      </c>
      <c r="AN39" s="12">
        <f t="shared" si="11"/>
        <v>0</v>
      </c>
      <c r="AO39" s="12">
        <f t="shared" si="11"/>
        <v>0</v>
      </c>
      <c r="AP39" s="12">
        <f t="shared" si="11"/>
        <v>0</v>
      </c>
      <c r="AQ39" s="12">
        <f t="shared" si="11"/>
        <v>0</v>
      </c>
      <c r="AR39" s="12">
        <f t="shared" si="11"/>
        <v>0</v>
      </c>
      <c r="AS39" s="12">
        <f t="shared" si="11"/>
        <v>991</v>
      </c>
      <c r="AT39" s="12">
        <f t="shared" si="11"/>
        <v>0</v>
      </c>
      <c r="AU39" s="12"/>
      <c r="AV39" s="12">
        <f t="shared" si="12"/>
        <v>168</v>
      </c>
    </row>
    <row r="40" spans="2:48">
      <c r="B40" s="12" t="s">
        <v>28</v>
      </c>
      <c r="C40" s="12">
        <f t="shared" ref="C40:E40" si="23">IFERROR(ROUNDUP(C16/C$4*10^6,0),0)</f>
        <v>405</v>
      </c>
      <c r="D40" s="12">
        <f t="shared" si="23"/>
        <v>0</v>
      </c>
      <c r="E40" s="12">
        <f t="shared" si="23"/>
        <v>0</v>
      </c>
      <c r="F40" s="12">
        <f t="shared" si="14"/>
        <v>0</v>
      </c>
      <c r="G40" s="12">
        <f t="shared" si="14"/>
        <v>0</v>
      </c>
      <c r="H40" s="12">
        <f t="shared" si="14"/>
        <v>0</v>
      </c>
      <c r="I40" s="12">
        <f t="shared" si="14"/>
        <v>0</v>
      </c>
      <c r="J40" s="12">
        <f t="shared" si="14"/>
        <v>0</v>
      </c>
      <c r="K40" s="12">
        <f t="shared" si="14"/>
        <v>0</v>
      </c>
      <c r="L40" s="12">
        <f t="shared" si="14"/>
        <v>0</v>
      </c>
      <c r="M40" s="12">
        <f t="shared" si="14"/>
        <v>0</v>
      </c>
      <c r="N40" s="12">
        <f t="shared" si="14"/>
        <v>0</v>
      </c>
      <c r="O40" s="12">
        <f t="shared" si="14"/>
        <v>0</v>
      </c>
      <c r="P40" s="12">
        <f t="shared" si="14"/>
        <v>0</v>
      </c>
      <c r="Q40" s="12">
        <f t="shared" si="14"/>
        <v>0</v>
      </c>
      <c r="R40" s="12">
        <f t="shared" si="14"/>
        <v>0</v>
      </c>
      <c r="S40" s="12">
        <f t="shared" si="14"/>
        <v>0</v>
      </c>
      <c r="T40" s="12">
        <f t="shared" si="14"/>
        <v>0</v>
      </c>
      <c r="U40" s="12">
        <f t="shared" si="14"/>
        <v>355</v>
      </c>
      <c r="V40" s="12">
        <f t="shared" si="11"/>
        <v>203</v>
      </c>
      <c r="W40" s="12">
        <f t="shared" si="11"/>
        <v>264</v>
      </c>
      <c r="X40" s="12">
        <f t="shared" si="11"/>
        <v>502</v>
      </c>
      <c r="Y40" s="12">
        <f t="shared" si="11"/>
        <v>432</v>
      </c>
      <c r="Z40" s="12">
        <f t="shared" si="11"/>
        <v>568</v>
      </c>
      <c r="AA40" s="12">
        <f t="shared" si="11"/>
        <v>697</v>
      </c>
      <c r="AB40" s="12">
        <f t="shared" si="11"/>
        <v>162</v>
      </c>
      <c r="AC40" s="12">
        <f t="shared" si="11"/>
        <v>153</v>
      </c>
      <c r="AD40" s="12">
        <f t="shared" si="11"/>
        <v>0</v>
      </c>
      <c r="AE40" s="12">
        <f t="shared" si="11"/>
        <v>0</v>
      </c>
      <c r="AF40" s="12">
        <f t="shared" si="11"/>
        <v>0</v>
      </c>
      <c r="AG40" s="12">
        <f t="shared" si="11"/>
        <v>0</v>
      </c>
      <c r="AH40" s="12">
        <f t="shared" si="11"/>
        <v>0</v>
      </c>
      <c r="AI40" s="12">
        <f t="shared" si="11"/>
        <v>0</v>
      </c>
      <c r="AJ40" s="12">
        <f t="shared" si="11"/>
        <v>0</v>
      </c>
      <c r="AK40" s="12">
        <f t="shared" si="11"/>
        <v>0</v>
      </c>
      <c r="AL40" s="12">
        <f t="shared" si="11"/>
        <v>0</v>
      </c>
      <c r="AM40" s="12">
        <f t="shared" si="11"/>
        <v>0</v>
      </c>
      <c r="AN40" s="12">
        <f t="shared" si="11"/>
        <v>0</v>
      </c>
      <c r="AO40" s="12">
        <f t="shared" si="11"/>
        <v>0</v>
      </c>
      <c r="AP40" s="12">
        <f t="shared" si="11"/>
        <v>0</v>
      </c>
      <c r="AQ40" s="12">
        <f t="shared" si="11"/>
        <v>0</v>
      </c>
      <c r="AR40" s="12">
        <f t="shared" si="11"/>
        <v>0</v>
      </c>
      <c r="AS40" s="12">
        <f t="shared" si="11"/>
        <v>661</v>
      </c>
      <c r="AT40" s="12">
        <f t="shared" si="11"/>
        <v>0</v>
      </c>
      <c r="AU40" s="12"/>
      <c r="AV40" s="12">
        <f t="shared" si="12"/>
        <v>405</v>
      </c>
    </row>
    <row r="41" spans="2:48">
      <c r="B41" s="12" t="s">
        <v>994</v>
      </c>
      <c r="C41" s="12">
        <f t="shared" ref="C41:E41" si="24">IFERROR(ROUNDUP(C17/C$4*10^6,0),0)</f>
        <v>0</v>
      </c>
      <c r="D41" s="12">
        <f t="shared" si="24"/>
        <v>0</v>
      </c>
      <c r="E41" s="12">
        <f t="shared" si="24"/>
        <v>0</v>
      </c>
      <c r="F41" s="12">
        <f t="shared" si="14"/>
        <v>0</v>
      </c>
      <c r="G41" s="12">
        <f t="shared" si="14"/>
        <v>0</v>
      </c>
      <c r="H41" s="12">
        <f t="shared" si="14"/>
        <v>0</v>
      </c>
      <c r="I41" s="12">
        <f t="shared" si="14"/>
        <v>0</v>
      </c>
      <c r="J41" s="12">
        <f t="shared" si="14"/>
        <v>0</v>
      </c>
      <c r="K41" s="12">
        <f t="shared" si="14"/>
        <v>0</v>
      </c>
      <c r="L41" s="12">
        <f t="shared" si="14"/>
        <v>0</v>
      </c>
      <c r="M41" s="12">
        <f t="shared" si="14"/>
        <v>0</v>
      </c>
      <c r="N41" s="12">
        <f t="shared" si="14"/>
        <v>0</v>
      </c>
      <c r="O41" s="12">
        <f t="shared" si="14"/>
        <v>0</v>
      </c>
      <c r="P41" s="12">
        <f t="shared" si="14"/>
        <v>0</v>
      </c>
      <c r="Q41" s="12">
        <f t="shared" si="14"/>
        <v>0</v>
      </c>
      <c r="R41" s="12">
        <f t="shared" si="14"/>
        <v>0</v>
      </c>
      <c r="S41" s="12">
        <f t="shared" si="14"/>
        <v>0</v>
      </c>
      <c r="T41" s="12">
        <f t="shared" si="14"/>
        <v>0</v>
      </c>
      <c r="U41" s="12">
        <f t="shared" si="14"/>
        <v>0</v>
      </c>
      <c r="V41" s="12">
        <f t="shared" si="11"/>
        <v>0</v>
      </c>
      <c r="W41" s="12">
        <f t="shared" si="11"/>
        <v>0</v>
      </c>
      <c r="X41" s="12">
        <f t="shared" ref="G41:AU47" si="25">IFERROR(ROUNDUP(X17/X$4*10^6,0),0)</f>
        <v>0</v>
      </c>
      <c r="Y41" s="12">
        <f t="shared" si="25"/>
        <v>0</v>
      </c>
      <c r="Z41" s="12">
        <f t="shared" si="25"/>
        <v>0</v>
      </c>
      <c r="AA41" s="12">
        <f t="shared" si="25"/>
        <v>0</v>
      </c>
      <c r="AB41" s="12">
        <f t="shared" si="25"/>
        <v>0</v>
      </c>
      <c r="AC41" s="12">
        <f t="shared" si="25"/>
        <v>0</v>
      </c>
      <c r="AD41" s="12">
        <f t="shared" si="25"/>
        <v>0</v>
      </c>
      <c r="AE41" s="12">
        <f t="shared" si="25"/>
        <v>0</v>
      </c>
      <c r="AF41" s="12">
        <f t="shared" si="25"/>
        <v>0</v>
      </c>
      <c r="AG41" s="12">
        <f t="shared" si="25"/>
        <v>0</v>
      </c>
      <c r="AH41" s="12">
        <f t="shared" si="25"/>
        <v>0</v>
      </c>
      <c r="AI41" s="12">
        <f t="shared" si="25"/>
        <v>0</v>
      </c>
      <c r="AJ41" s="12">
        <f t="shared" si="25"/>
        <v>0</v>
      </c>
      <c r="AK41" s="12">
        <f t="shared" si="25"/>
        <v>0</v>
      </c>
      <c r="AL41" s="12">
        <f t="shared" si="25"/>
        <v>0</v>
      </c>
      <c r="AM41" s="12">
        <f t="shared" si="25"/>
        <v>0</v>
      </c>
      <c r="AN41" s="12">
        <f t="shared" si="25"/>
        <v>0</v>
      </c>
      <c r="AO41" s="12">
        <f t="shared" si="25"/>
        <v>0</v>
      </c>
      <c r="AP41" s="12">
        <f t="shared" si="25"/>
        <v>0</v>
      </c>
      <c r="AQ41" s="12">
        <f t="shared" si="25"/>
        <v>0</v>
      </c>
      <c r="AR41" s="12">
        <f t="shared" si="25"/>
        <v>0</v>
      </c>
      <c r="AS41" s="12">
        <f t="shared" si="25"/>
        <v>0</v>
      </c>
      <c r="AT41" s="12">
        <f t="shared" si="25"/>
        <v>0</v>
      </c>
      <c r="AU41" s="12"/>
      <c r="AV41" s="12">
        <f t="shared" si="12"/>
        <v>0</v>
      </c>
    </row>
    <row r="42" spans="2:48">
      <c r="B42" s="12" t="s">
        <v>891</v>
      </c>
      <c r="C42" s="12">
        <f t="shared" ref="C42:E42" si="26">IFERROR(ROUNDUP(C18/C$4*10^6,0),0)</f>
        <v>102</v>
      </c>
      <c r="D42" s="12">
        <f t="shared" si="26"/>
        <v>0</v>
      </c>
      <c r="E42" s="12">
        <f t="shared" si="26"/>
        <v>0</v>
      </c>
      <c r="F42" s="12">
        <f t="shared" si="14"/>
        <v>0</v>
      </c>
      <c r="G42" s="12">
        <f t="shared" si="25"/>
        <v>0</v>
      </c>
      <c r="H42" s="12">
        <f t="shared" si="25"/>
        <v>0</v>
      </c>
      <c r="I42" s="12">
        <f t="shared" si="25"/>
        <v>0</v>
      </c>
      <c r="J42" s="12">
        <f t="shared" si="25"/>
        <v>0</v>
      </c>
      <c r="K42" s="12">
        <f t="shared" si="25"/>
        <v>0</v>
      </c>
      <c r="L42" s="12">
        <f t="shared" si="25"/>
        <v>0</v>
      </c>
      <c r="M42" s="12">
        <f t="shared" si="25"/>
        <v>0</v>
      </c>
      <c r="N42" s="12">
        <f t="shared" si="25"/>
        <v>0</v>
      </c>
      <c r="O42" s="12">
        <f t="shared" si="25"/>
        <v>0</v>
      </c>
      <c r="P42" s="12">
        <f t="shared" si="25"/>
        <v>0</v>
      </c>
      <c r="Q42" s="12">
        <f t="shared" si="25"/>
        <v>0</v>
      </c>
      <c r="R42" s="12">
        <f t="shared" si="25"/>
        <v>0</v>
      </c>
      <c r="S42" s="12">
        <f t="shared" si="25"/>
        <v>0</v>
      </c>
      <c r="T42" s="12">
        <f t="shared" si="25"/>
        <v>0</v>
      </c>
      <c r="U42" s="12">
        <f t="shared" si="25"/>
        <v>0</v>
      </c>
      <c r="V42" s="12">
        <f t="shared" si="25"/>
        <v>41</v>
      </c>
      <c r="W42" s="12">
        <f t="shared" si="25"/>
        <v>151</v>
      </c>
      <c r="X42" s="12">
        <f t="shared" si="25"/>
        <v>78</v>
      </c>
      <c r="Y42" s="12">
        <f t="shared" si="25"/>
        <v>108</v>
      </c>
      <c r="Z42" s="12">
        <f t="shared" si="25"/>
        <v>132</v>
      </c>
      <c r="AA42" s="12">
        <f t="shared" si="25"/>
        <v>152</v>
      </c>
      <c r="AB42" s="12">
        <f t="shared" si="25"/>
        <v>98</v>
      </c>
      <c r="AC42" s="12">
        <f t="shared" si="25"/>
        <v>0</v>
      </c>
      <c r="AD42" s="12">
        <f t="shared" si="25"/>
        <v>0</v>
      </c>
      <c r="AE42" s="12">
        <f t="shared" si="25"/>
        <v>0</v>
      </c>
      <c r="AF42" s="12">
        <f t="shared" si="25"/>
        <v>0</v>
      </c>
      <c r="AG42" s="12">
        <f t="shared" si="25"/>
        <v>0</v>
      </c>
      <c r="AH42" s="12">
        <f t="shared" si="25"/>
        <v>0</v>
      </c>
      <c r="AI42" s="12">
        <f t="shared" si="25"/>
        <v>0</v>
      </c>
      <c r="AJ42" s="12">
        <f t="shared" si="25"/>
        <v>0</v>
      </c>
      <c r="AK42" s="12">
        <f t="shared" si="25"/>
        <v>0</v>
      </c>
      <c r="AL42" s="12">
        <f t="shared" si="25"/>
        <v>0</v>
      </c>
      <c r="AM42" s="12">
        <f t="shared" si="25"/>
        <v>0</v>
      </c>
      <c r="AN42" s="12">
        <f t="shared" si="25"/>
        <v>0</v>
      </c>
      <c r="AO42" s="12">
        <f t="shared" si="25"/>
        <v>0</v>
      </c>
      <c r="AP42" s="12">
        <f t="shared" si="25"/>
        <v>0</v>
      </c>
      <c r="AQ42" s="12">
        <f t="shared" si="25"/>
        <v>0</v>
      </c>
      <c r="AR42" s="12">
        <f t="shared" si="25"/>
        <v>0</v>
      </c>
      <c r="AS42" s="12">
        <f t="shared" si="25"/>
        <v>0</v>
      </c>
      <c r="AT42" s="12">
        <f t="shared" si="25"/>
        <v>0</v>
      </c>
      <c r="AU42" s="12"/>
      <c r="AV42" s="12">
        <f t="shared" si="12"/>
        <v>102</v>
      </c>
    </row>
    <row r="43" spans="2:48">
      <c r="B43" s="12" t="s">
        <v>995</v>
      </c>
      <c r="C43" s="12">
        <f t="shared" ref="C43:E43" si="27">IFERROR(ROUNDUP(C19/C$4*10^6,0),0)</f>
        <v>20</v>
      </c>
      <c r="D43" s="12">
        <f t="shared" si="27"/>
        <v>0</v>
      </c>
      <c r="E43" s="12">
        <f t="shared" si="27"/>
        <v>0</v>
      </c>
      <c r="F43" s="12">
        <f t="shared" si="14"/>
        <v>0</v>
      </c>
      <c r="G43" s="12">
        <f t="shared" si="25"/>
        <v>0</v>
      </c>
      <c r="H43" s="12">
        <f t="shared" si="25"/>
        <v>0</v>
      </c>
      <c r="I43" s="12">
        <f t="shared" si="25"/>
        <v>0</v>
      </c>
      <c r="J43" s="12">
        <f t="shared" si="25"/>
        <v>0</v>
      </c>
      <c r="K43" s="12">
        <f t="shared" si="25"/>
        <v>0</v>
      </c>
      <c r="L43" s="12">
        <f t="shared" si="25"/>
        <v>0</v>
      </c>
      <c r="M43" s="12">
        <f t="shared" si="25"/>
        <v>0</v>
      </c>
      <c r="N43" s="12">
        <f t="shared" si="25"/>
        <v>0</v>
      </c>
      <c r="O43" s="12">
        <f t="shared" si="25"/>
        <v>0</v>
      </c>
      <c r="P43" s="12">
        <f t="shared" si="25"/>
        <v>0</v>
      </c>
      <c r="Q43" s="12">
        <f t="shared" si="25"/>
        <v>0</v>
      </c>
      <c r="R43" s="12">
        <f t="shared" si="25"/>
        <v>0</v>
      </c>
      <c r="S43" s="12">
        <f t="shared" si="25"/>
        <v>0</v>
      </c>
      <c r="T43" s="12">
        <f t="shared" si="25"/>
        <v>0</v>
      </c>
      <c r="U43" s="12">
        <f t="shared" si="25"/>
        <v>0</v>
      </c>
      <c r="V43" s="12">
        <f t="shared" si="25"/>
        <v>0</v>
      </c>
      <c r="W43" s="12">
        <f t="shared" si="25"/>
        <v>0</v>
      </c>
      <c r="X43" s="12">
        <f t="shared" si="25"/>
        <v>0</v>
      </c>
      <c r="Y43" s="12">
        <f t="shared" si="25"/>
        <v>0</v>
      </c>
      <c r="Z43" s="12">
        <f t="shared" si="25"/>
        <v>110</v>
      </c>
      <c r="AA43" s="12">
        <f t="shared" si="25"/>
        <v>0</v>
      </c>
      <c r="AB43" s="12">
        <f t="shared" si="25"/>
        <v>0</v>
      </c>
      <c r="AC43" s="12">
        <f t="shared" si="25"/>
        <v>0</v>
      </c>
      <c r="AD43" s="12">
        <f t="shared" si="25"/>
        <v>0</v>
      </c>
      <c r="AE43" s="12">
        <f t="shared" si="25"/>
        <v>0</v>
      </c>
      <c r="AF43" s="12">
        <f t="shared" si="25"/>
        <v>0</v>
      </c>
      <c r="AG43" s="12">
        <f t="shared" si="25"/>
        <v>0</v>
      </c>
      <c r="AH43" s="12">
        <f t="shared" si="25"/>
        <v>0</v>
      </c>
      <c r="AI43" s="12">
        <f t="shared" si="25"/>
        <v>0</v>
      </c>
      <c r="AJ43" s="12">
        <f t="shared" si="25"/>
        <v>0</v>
      </c>
      <c r="AK43" s="12">
        <f t="shared" si="25"/>
        <v>0</v>
      </c>
      <c r="AL43" s="12">
        <f t="shared" si="25"/>
        <v>0</v>
      </c>
      <c r="AM43" s="12">
        <f t="shared" si="25"/>
        <v>0</v>
      </c>
      <c r="AN43" s="12">
        <f t="shared" si="25"/>
        <v>0</v>
      </c>
      <c r="AO43" s="12">
        <f t="shared" si="25"/>
        <v>0</v>
      </c>
      <c r="AP43" s="12">
        <f t="shared" si="25"/>
        <v>0</v>
      </c>
      <c r="AQ43" s="12">
        <f t="shared" si="25"/>
        <v>0</v>
      </c>
      <c r="AR43" s="12">
        <f t="shared" si="25"/>
        <v>0</v>
      </c>
      <c r="AS43" s="12">
        <f t="shared" si="25"/>
        <v>0</v>
      </c>
      <c r="AT43" s="12">
        <f t="shared" si="25"/>
        <v>0</v>
      </c>
      <c r="AU43" s="12"/>
      <c r="AV43" s="12">
        <f t="shared" si="12"/>
        <v>20</v>
      </c>
    </row>
    <row r="44" spans="2:48">
      <c r="B44" s="12" t="s">
        <v>952</v>
      </c>
      <c r="C44" s="12">
        <f t="shared" ref="C44:E44" si="28">IFERROR(ROUNDUP(C20/C$4*10^6,0),0)</f>
        <v>24</v>
      </c>
      <c r="D44" s="12">
        <f t="shared" si="28"/>
        <v>0</v>
      </c>
      <c r="E44" s="12">
        <f t="shared" si="28"/>
        <v>0</v>
      </c>
      <c r="F44" s="12">
        <f t="shared" si="14"/>
        <v>0</v>
      </c>
      <c r="G44" s="12">
        <f t="shared" si="25"/>
        <v>0</v>
      </c>
      <c r="H44" s="12">
        <f t="shared" si="25"/>
        <v>0</v>
      </c>
      <c r="I44" s="12">
        <f t="shared" si="25"/>
        <v>0</v>
      </c>
      <c r="J44" s="12">
        <f t="shared" si="25"/>
        <v>0</v>
      </c>
      <c r="K44" s="12">
        <f t="shared" si="25"/>
        <v>0</v>
      </c>
      <c r="L44" s="12">
        <f t="shared" si="25"/>
        <v>0</v>
      </c>
      <c r="M44" s="12">
        <f t="shared" si="25"/>
        <v>0</v>
      </c>
      <c r="N44" s="12">
        <f t="shared" si="25"/>
        <v>0</v>
      </c>
      <c r="O44" s="12">
        <f t="shared" si="25"/>
        <v>0</v>
      </c>
      <c r="P44" s="12">
        <f t="shared" si="25"/>
        <v>0</v>
      </c>
      <c r="Q44" s="12">
        <f t="shared" si="25"/>
        <v>0</v>
      </c>
      <c r="R44" s="12">
        <f t="shared" si="25"/>
        <v>0</v>
      </c>
      <c r="S44" s="12">
        <f t="shared" si="25"/>
        <v>0</v>
      </c>
      <c r="T44" s="12">
        <f t="shared" si="25"/>
        <v>0</v>
      </c>
      <c r="U44" s="12">
        <f t="shared" si="25"/>
        <v>0</v>
      </c>
      <c r="V44" s="12">
        <f t="shared" si="25"/>
        <v>41</v>
      </c>
      <c r="W44" s="12">
        <f t="shared" si="25"/>
        <v>0</v>
      </c>
      <c r="X44" s="12">
        <f t="shared" si="25"/>
        <v>39</v>
      </c>
      <c r="Y44" s="12">
        <f t="shared" si="25"/>
        <v>44</v>
      </c>
      <c r="Z44" s="12">
        <f t="shared" si="25"/>
        <v>0</v>
      </c>
      <c r="AA44" s="12">
        <f t="shared" si="25"/>
        <v>0</v>
      </c>
      <c r="AB44" s="12">
        <f t="shared" si="25"/>
        <v>0</v>
      </c>
      <c r="AC44" s="12">
        <f t="shared" si="25"/>
        <v>153</v>
      </c>
      <c r="AD44" s="12">
        <f t="shared" si="25"/>
        <v>0</v>
      </c>
      <c r="AE44" s="12">
        <f t="shared" si="25"/>
        <v>0</v>
      </c>
      <c r="AF44" s="12">
        <f t="shared" si="25"/>
        <v>0</v>
      </c>
      <c r="AG44" s="12">
        <f t="shared" si="25"/>
        <v>0</v>
      </c>
      <c r="AH44" s="12">
        <f t="shared" si="25"/>
        <v>0</v>
      </c>
      <c r="AI44" s="12">
        <f t="shared" si="25"/>
        <v>0</v>
      </c>
      <c r="AJ44" s="12">
        <f t="shared" si="25"/>
        <v>0</v>
      </c>
      <c r="AK44" s="12">
        <f t="shared" si="25"/>
        <v>0</v>
      </c>
      <c r="AL44" s="12">
        <f t="shared" si="25"/>
        <v>0</v>
      </c>
      <c r="AM44" s="12">
        <f t="shared" si="25"/>
        <v>0</v>
      </c>
      <c r="AN44" s="12">
        <f t="shared" si="25"/>
        <v>0</v>
      </c>
      <c r="AO44" s="12">
        <f t="shared" si="25"/>
        <v>0</v>
      </c>
      <c r="AP44" s="12">
        <f t="shared" si="25"/>
        <v>0</v>
      </c>
      <c r="AQ44" s="12">
        <f t="shared" si="25"/>
        <v>0</v>
      </c>
      <c r="AR44" s="12">
        <f t="shared" si="25"/>
        <v>0</v>
      </c>
      <c r="AS44" s="12">
        <f t="shared" si="25"/>
        <v>331</v>
      </c>
      <c r="AT44" s="12">
        <f t="shared" si="25"/>
        <v>0</v>
      </c>
      <c r="AU44" s="12"/>
      <c r="AV44" s="12">
        <f t="shared" si="12"/>
        <v>24</v>
      </c>
    </row>
    <row r="45" spans="2:48">
      <c r="B45" s="12" t="s">
        <v>948</v>
      </c>
      <c r="C45" s="12">
        <f t="shared" ref="C45:E45" si="29">IFERROR(ROUNDUP(C21/C$4*10^6,0),0)</f>
        <v>98</v>
      </c>
      <c r="D45" s="12">
        <f t="shared" si="29"/>
        <v>0</v>
      </c>
      <c r="E45" s="12">
        <f t="shared" si="29"/>
        <v>0</v>
      </c>
      <c r="F45" s="12">
        <f t="shared" si="14"/>
        <v>0</v>
      </c>
      <c r="G45" s="12">
        <f t="shared" si="25"/>
        <v>0</v>
      </c>
      <c r="H45" s="12">
        <f t="shared" si="25"/>
        <v>0</v>
      </c>
      <c r="I45" s="12">
        <f t="shared" si="25"/>
        <v>0</v>
      </c>
      <c r="J45" s="12">
        <f t="shared" si="25"/>
        <v>0</v>
      </c>
      <c r="K45" s="12">
        <f t="shared" si="25"/>
        <v>0</v>
      </c>
      <c r="L45" s="12">
        <f t="shared" si="25"/>
        <v>0</v>
      </c>
      <c r="M45" s="12">
        <f t="shared" si="25"/>
        <v>0</v>
      </c>
      <c r="N45" s="12">
        <f t="shared" si="25"/>
        <v>0</v>
      </c>
      <c r="O45" s="12">
        <f t="shared" si="25"/>
        <v>0</v>
      </c>
      <c r="P45" s="12">
        <f t="shared" si="25"/>
        <v>0</v>
      </c>
      <c r="Q45" s="12">
        <f t="shared" si="25"/>
        <v>0</v>
      </c>
      <c r="R45" s="12">
        <f t="shared" si="25"/>
        <v>0</v>
      </c>
      <c r="S45" s="12">
        <f t="shared" si="25"/>
        <v>0</v>
      </c>
      <c r="T45" s="12">
        <f t="shared" si="25"/>
        <v>0</v>
      </c>
      <c r="U45" s="12">
        <f t="shared" si="25"/>
        <v>119</v>
      </c>
      <c r="V45" s="12">
        <f t="shared" si="25"/>
        <v>81</v>
      </c>
      <c r="W45" s="12">
        <f t="shared" si="25"/>
        <v>38</v>
      </c>
      <c r="X45" s="12">
        <f t="shared" si="25"/>
        <v>0</v>
      </c>
      <c r="Y45" s="12">
        <f t="shared" si="25"/>
        <v>108</v>
      </c>
      <c r="Z45" s="12">
        <f t="shared" si="25"/>
        <v>241</v>
      </c>
      <c r="AA45" s="12">
        <f t="shared" si="25"/>
        <v>152</v>
      </c>
      <c r="AB45" s="12">
        <f t="shared" si="25"/>
        <v>0</v>
      </c>
      <c r="AC45" s="12">
        <f t="shared" si="25"/>
        <v>0</v>
      </c>
      <c r="AD45" s="12">
        <f t="shared" si="25"/>
        <v>0</v>
      </c>
      <c r="AE45" s="12">
        <f t="shared" si="25"/>
        <v>0</v>
      </c>
      <c r="AF45" s="12">
        <f t="shared" si="25"/>
        <v>0</v>
      </c>
      <c r="AG45" s="12">
        <f t="shared" si="25"/>
        <v>0</v>
      </c>
      <c r="AH45" s="12">
        <f t="shared" si="25"/>
        <v>0</v>
      </c>
      <c r="AI45" s="12">
        <f t="shared" si="25"/>
        <v>0</v>
      </c>
      <c r="AJ45" s="12">
        <f t="shared" si="25"/>
        <v>0</v>
      </c>
      <c r="AK45" s="12">
        <f t="shared" si="25"/>
        <v>0</v>
      </c>
      <c r="AL45" s="12">
        <f t="shared" si="25"/>
        <v>0</v>
      </c>
      <c r="AM45" s="12">
        <f t="shared" si="25"/>
        <v>0</v>
      </c>
      <c r="AN45" s="12">
        <f t="shared" si="25"/>
        <v>0</v>
      </c>
      <c r="AO45" s="12">
        <f t="shared" si="25"/>
        <v>0</v>
      </c>
      <c r="AP45" s="12">
        <f t="shared" si="25"/>
        <v>0</v>
      </c>
      <c r="AQ45" s="12">
        <f t="shared" si="25"/>
        <v>0</v>
      </c>
      <c r="AR45" s="12">
        <f t="shared" si="25"/>
        <v>0</v>
      </c>
      <c r="AS45" s="12">
        <f t="shared" si="25"/>
        <v>0</v>
      </c>
      <c r="AT45" s="12">
        <f t="shared" si="25"/>
        <v>0</v>
      </c>
      <c r="AU45" s="12"/>
      <c r="AV45" s="12">
        <f t="shared" si="12"/>
        <v>98</v>
      </c>
    </row>
    <row r="46" spans="2:48">
      <c r="B46" s="12" t="s">
        <v>959</v>
      </c>
      <c r="C46" s="12">
        <f t="shared" ref="C46:E46" si="30">IFERROR(ROUNDUP(C22/C$4*10^6,0),0)</f>
        <v>191</v>
      </c>
      <c r="D46" s="12">
        <f t="shared" si="30"/>
        <v>0</v>
      </c>
      <c r="E46" s="12">
        <f t="shared" si="30"/>
        <v>0</v>
      </c>
      <c r="F46" s="12">
        <f t="shared" si="14"/>
        <v>0</v>
      </c>
      <c r="G46" s="12">
        <f t="shared" si="25"/>
        <v>0</v>
      </c>
      <c r="H46" s="12">
        <f t="shared" si="25"/>
        <v>0</v>
      </c>
      <c r="I46" s="12">
        <f t="shared" si="25"/>
        <v>0</v>
      </c>
      <c r="J46" s="12">
        <f t="shared" si="25"/>
        <v>0</v>
      </c>
      <c r="K46" s="12">
        <f t="shared" si="25"/>
        <v>0</v>
      </c>
      <c r="L46" s="12">
        <f t="shared" si="25"/>
        <v>0</v>
      </c>
      <c r="M46" s="12">
        <f t="shared" si="25"/>
        <v>0</v>
      </c>
      <c r="N46" s="12">
        <f t="shared" si="25"/>
        <v>0</v>
      </c>
      <c r="O46" s="12">
        <f t="shared" si="25"/>
        <v>0</v>
      </c>
      <c r="P46" s="12">
        <f t="shared" si="25"/>
        <v>0</v>
      </c>
      <c r="Q46" s="12">
        <f t="shared" si="25"/>
        <v>0</v>
      </c>
      <c r="R46" s="12">
        <f t="shared" si="25"/>
        <v>0</v>
      </c>
      <c r="S46" s="12">
        <f t="shared" si="25"/>
        <v>0</v>
      </c>
      <c r="T46" s="12">
        <f t="shared" si="25"/>
        <v>480</v>
      </c>
      <c r="U46" s="12">
        <f t="shared" si="25"/>
        <v>0</v>
      </c>
      <c r="V46" s="12">
        <f t="shared" si="25"/>
        <v>81</v>
      </c>
      <c r="W46" s="12">
        <f t="shared" si="25"/>
        <v>113</v>
      </c>
      <c r="X46" s="12">
        <f t="shared" si="25"/>
        <v>271</v>
      </c>
      <c r="Y46" s="12">
        <f t="shared" si="25"/>
        <v>195</v>
      </c>
      <c r="Z46" s="12">
        <f t="shared" si="25"/>
        <v>197</v>
      </c>
      <c r="AA46" s="12">
        <f t="shared" si="25"/>
        <v>243</v>
      </c>
      <c r="AB46" s="12">
        <f t="shared" si="25"/>
        <v>259</v>
      </c>
      <c r="AC46" s="12">
        <f t="shared" si="25"/>
        <v>153</v>
      </c>
      <c r="AD46" s="12">
        <f t="shared" si="25"/>
        <v>0</v>
      </c>
      <c r="AE46" s="12">
        <f t="shared" si="25"/>
        <v>0</v>
      </c>
      <c r="AF46" s="12">
        <f t="shared" si="25"/>
        <v>0</v>
      </c>
      <c r="AG46" s="12">
        <f t="shared" si="25"/>
        <v>0</v>
      </c>
      <c r="AH46" s="12">
        <f t="shared" si="25"/>
        <v>0</v>
      </c>
      <c r="AI46" s="12">
        <f t="shared" si="25"/>
        <v>0</v>
      </c>
      <c r="AJ46" s="12">
        <f t="shared" si="25"/>
        <v>0</v>
      </c>
      <c r="AK46" s="12">
        <f t="shared" si="25"/>
        <v>0</v>
      </c>
      <c r="AL46" s="12">
        <f t="shared" si="25"/>
        <v>0</v>
      </c>
      <c r="AM46" s="12">
        <f t="shared" si="25"/>
        <v>0</v>
      </c>
      <c r="AN46" s="12">
        <f t="shared" si="25"/>
        <v>0</v>
      </c>
      <c r="AO46" s="12">
        <f t="shared" si="25"/>
        <v>0</v>
      </c>
      <c r="AP46" s="12">
        <f t="shared" si="25"/>
        <v>0</v>
      </c>
      <c r="AQ46" s="12">
        <f t="shared" si="25"/>
        <v>0</v>
      </c>
      <c r="AR46" s="12">
        <f t="shared" si="25"/>
        <v>1014</v>
      </c>
      <c r="AS46" s="12">
        <f t="shared" si="25"/>
        <v>331</v>
      </c>
      <c r="AT46" s="12">
        <f t="shared" si="25"/>
        <v>0</v>
      </c>
      <c r="AU46" s="12">
        <f t="shared" si="25"/>
        <v>0</v>
      </c>
      <c r="AV46" s="12">
        <f t="shared" si="12"/>
        <v>191</v>
      </c>
    </row>
    <row r="47" spans="2:48">
      <c r="B47" s="12" t="s">
        <v>951</v>
      </c>
      <c r="C47" s="12">
        <f t="shared" ref="C47:E47" si="31">IFERROR(ROUNDUP(C23/C$4*10^6,0),0)</f>
        <v>234</v>
      </c>
      <c r="D47" s="12">
        <f t="shared" si="31"/>
        <v>0</v>
      </c>
      <c r="E47" s="12">
        <f t="shared" si="31"/>
        <v>0</v>
      </c>
      <c r="F47" s="12">
        <f t="shared" ref="F47:U48" si="32">IFERROR(ROUNDUP(F23/F$4*10^6,0),0)</f>
        <v>0</v>
      </c>
      <c r="G47" s="12">
        <f t="shared" si="25"/>
        <v>0</v>
      </c>
      <c r="H47" s="12">
        <f t="shared" si="25"/>
        <v>0</v>
      </c>
      <c r="I47" s="12">
        <f t="shared" si="25"/>
        <v>0</v>
      </c>
      <c r="J47" s="12">
        <f t="shared" si="25"/>
        <v>0</v>
      </c>
      <c r="K47" s="12">
        <f t="shared" si="25"/>
        <v>0</v>
      </c>
      <c r="L47" s="12">
        <f t="shared" si="25"/>
        <v>0</v>
      </c>
      <c r="M47" s="12">
        <f t="shared" si="25"/>
        <v>0</v>
      </c>
      <c r="N47" s="12">
        <f t="shared" si="25"/>
        <v>0</v>
      </c>
      <c r="O47" s="12">
        <f t="shared" si="25"/>
        <v>0</v>
      </c>
      <c r="P47" s="12">
        <f t="shared" si="25"/>
        <v>0</v>
      </c>
      <c r="Q47" s="12">
        <f t="shared" si="25"/>
        <v>0</v>
      </c>
      <c r="R47" s="12">
        <f t="shared" si="25"/>
        <v>0</v>
      </c>
      <c r="S47" s="12">
        <f t="shared" si="25"/>
        <v>0</v>
      </c>
      <c r="T47" s="12">
        <f t="shared" si="25"/>
        <v>0</v>
      </c>
      <c r="U47" s="12">
        <f t="shared" si="25"/>
        <v>0</v>
      </c>
      <c r="V47" s="12">
        <f t="shared" si="25"/>
        <v>81</v>
      </c>
      <c r="W47" s="12">
        <f t="shared" si="25"/>
        <v>0</v>
      </c>
      <c r="X47" s="12">
        <f t="shared" si="25"/>
        <v>0</v>
      </c>
      <c r="Y47" s="12">
        <f t="shared" si="25"/>
        <v>0</v>
      </c>
      <c r="Z47" s="12">
        <f t="shared" si="25"/>
        <v>44</v>
      </c>
      <c r="AA47" s="12">
        <f t="shared" si="25"/>
        <v>1151</v>
      </c>
      <c r="AB47" s="12">
        <f t="shared" si="25"/>
        <v>583</v>
      </c>
      <c r="AC47" s="12">
        <f t="shared" si="25"/>
        <v>0</v>
      </c>
      <c r="AD47" s="12">
        <f t="shared" si="25"/>
        <v>0</v>
      </c>
      <c r="AE47" s="12">
        <f t="shared" si="25"/>
        <v>0</v>
      </c>
      <c r="AF47" s="12">
        <f t="shared" si="25"/>
        <v>0</v>
      </c>
      <c r="AG47" s="12">
        <f t="shared" si="25"/>
        <v>0</v>
      </c>
      <c r="AH47" s="12">
        <f t="shared" si="25"/>
        <v>0</v>
      </c>
      <c r="AI47" s="12">
        <f t="shared" si="25"/>
        <v>0</v>
      </c>
      <c r="AJ47" s="12">
        <f t="shared" si="25"/>
        <v>0</v>
      </c>
      <c r="AK47" s="12">
        <f t="shared" ref="AK47:AU48" si="33">IFERROR(ROUNDUP(AK23/AK$4*10^6,0),0)</f>
        <v>0</v>
      </c>
      <c r="AL47" s="12">
        <f t="shared" si="33"/>
        <v>0</v>
      </c>
      <c r="AM47" s="12">
        <f t="shared" si="33"/>
        <v>0</v>
      </c>
      <c r="AN47" s="12">
        <f t="shared" si="33"/>
        <v>0</v>
      </c>
      <c r="AO47" s="12">
        <f t="shared" si="33"/>
        <v>0</v>
      </c>
      <c r="AP47" s="12">
        <f t="shared" si="33"/>
        <v>0</v>
      </c>
      <c r="AQ47" s="12">
        <f t="shared" si="33"/>
        <v>0</v>
      </c>
      <c r="AR47" s="12">
        <f t="shared" si="33"/>
        <v>0</v>
      </c>
      <c r="AS47" s="12">
        <f t="shared" si="33"/>
        <v>0</v>
      </c>
      <c r="AT47" s="12">
        <f t="shared" si="33"/>
        <v>0</v>
      </c>
      <c r="AU47" s="12">
        <f t="shared" si="33"/>
        <v>0</v>
      </c>
      <c r="AV47" s="12">
        <f t="shared" si="12"/>
        <v>234</v>
      </c>
    </row>
    <row r="48" spans="2:48">
      <c r="B48" s="12" t="s">
        <v>996</v>
      </c>
      <c r="C48" s="12">
        <f t="shared" ref="C48:E48" si="34">IFERROR(ROUNDUP(C24/C$4*10^6,0),0)</f>
        <v>0</v>
      </c>
      <c r="D48" s="12">
        <f t="shared" si="34"/>
        <v>0</v>
      </c>
      <c r="E48" s="12">
        <f t="shared" si="34"/>
        <v>0</v>
      </c>
      <c r="F48" s="12">
        <f t="shared" si="32"/>
        <v>0</v>
      </c>
      <c r="G48" s="12">
        <f t="shared" si="32"/>
        <v>0</v>
      </c>
      <c r="H48" s="12">
        <f t="shared" si="32"/>
        <v>0</v>
      </c>
      <c r="I48" s="12">
        <f t="shared" si="32"/>
        <v>0</v>
      </c>
      <c r="J48" s="12">
        <f t="shared" si="32"/>
        <v>0</v>
      </c>
      <c r="K48" s="12">
        <f t="shared" si="32"/>
        <v>0</v>
      </c>
      <c r="L48" s="12">
        <f t="shared" si="32"/>
        <v>0</v>
      </c>
      <c r="M48" s="12">
        <f t="shared" si="32"/>
        <v>0</v>
      </c>
      <c r="N48" s="12">
        <f t="shared" si="32"/>
        <v>0</v>
      </c>
      <c r="O48" s="12">
        <f t="shared" si="32"/>
        <v>0</v>
      </c>
      <c r="P48" s="12">
        <f t="shared" si="32"/>
        <v>0</v>
      </c>
      <c r="Q48" s="12">
        <f t="shared" si="32"/>
        <v>0</v>
      </c>
      <c r="R48" s="12">
        <f t="shared" si="32"/>
        <v>0</v>
      </c>
      <c r="S48" s="12">
        <f t="shared" si="32"/>
        <v>0</v>
      </c>
      <c r="T48" s="12">
        <f t="shared" si="32"/>
        <v>0</v>
      </c>
      <c r="U48" s="12">
        <f t="shared" si="32"/>
        <v>0</v>
      </c>
      <c r="V48" s="12">
        <f t="shared" ref="V48:AT48" si="35">IFERROR(ROUNDUP(V24/V$4*10^6,0),0)</f>
        <v>0</v>
      </c>
      <c r="W48" s="12">
        <f t="shared" si="35"/>
        <v>0</v>
      </c>
      <c r="X48" s="12">
        <f t="shared" si="35"/>
        <v>0</v>
      </c>
      <c r="Y48" s="12">
        <f t="shared" si="35"/>
        <v>0</v>
      </c>
      <c r="Z48" s="12">
        <f t="shared" si="35"/>
        <v>0</v>
      </c>
      <c r="AA48" s="12">
        <f t="shared" si="35"/>
        <v>0</v>
      </c>
      <c r="AB48" s="12">
        <f t="shared" si="35"/>
        <v>0</v>
      </c>
      <c r="AC48" s="12">
        <f t="shared" si="35"/>
        <v>0</v>
      </c>
      <c r="AD48" s="12">
        <f t="shared" si="35"/>
        <v>0</v>
      </c>
      <c r="AE48" s="12">
        <f t="shared" si="35"/>
        <v>0</v>
      </c>
      <c r="AF48" s="12">
        <f t="shared" si="35"/>
        <v>0</v>
      </c>
      <c r="AG48" s="12">
        <f t="shared" si="35"/>
        <v>0</v>
      </c>
      <c r="AH48" s="12">
        <f t="shared" si="35"/>
        <v>0</v>
      </c>
      <c r="AI48" s="12">
        <f t="shared" si="35"/>
        <v>0</v>
      </c>
      <c r="AJ48" s="12">
        <f t="shared" si="35"/>
        <v>0</v>
      </c>
      <c r="AK48" s="12">
        <f t="shared" si="35"/>
        <v>0</v>
      </c>
      <c r="AL48" s="12">
        <f t="shared" si="35"/>
        <v>0</v>
      </c>
      <c r="AM48" s="12">
        <f t="shared" si="35"/>
        <v>0</v>
      </c>
      <c r="AN48" s="12">
        <f t="shared" si="35"/>
        <v>0</v>
      </c>
      <c r="AO48" s="12">
        <f t="shared" si="35"/>
        <v>0</v>
      </c>
      <c r="AP48" s="12">
        <f t="shared" si="35"/>
        <v>0</v>
      </c>
      <c r="AQ48" s="12">
        <f t="shared" si="35"/>
        <v>0</v>
      </c>
      <c r="AR48" s="12">
        <f t="shared" si="35"/>
        <v>0</v>
      </c>
      <c r="AS48" s="12">
        <f t="shared" si="35"/>
        <v>0</v>
      </c>
      <c r="AT48" s="12">
        <f t="shared" si="35"/>
        <v>0</v>
      </c>
      <c r="AU48" s="12">
        <f t="shared" si="33"/>
        <v>0</v>
      </c>
      <c r="AV48" s="12">
        <f t="shared" si="12"/>
        <v>0</v>
      </c>
    </row>
  </sheetData>
  <phoneticPr fontId="7" type="noConversion"/>
  <conditionalFormatting sqref="C30:E48 C28:E28 B29:E29 F4:AT24">
    <cfRule type="cellIs" dxfId="4" priority="2" operator="equal">
      <formula>0</formula>
    </cfRule>
  </conditionalFormatting>
  <conditionalFormatting sqref="F28:AT48 AU46:AU48">
    <cfRule type="cellIs" dxfId="3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638CD-851F-4B8A-B68B-A360B09F4AF5}">
  <sheetPr codeName="wsWeekly4">
    <tabColor rgb="FF0099FF"/>
  </sheetPr>
  <dimension ref="B1:FE10"/>
  <sheetViews>
    <sheetView zoomScale="85" zoomScaleNormal="85" workbookViewId="0">
      <selection activeCell="B1" sqref="B1"/>
    </sheetView>
  </sheetViews>
  <sheetFormatPr defaultColWidth="8.90625" defaultRowHeight="14.5"/>
  <cols>
    <col min="1" max="1" width="3.08984375" style="3" customWidth="1"/>
    <col min="2" max="2" width="11.08984375" style="3" customWidth="1"/>
    <col min="3" max="3" width="9.453125" style="3" customWidth="1"/>
    <col min="4" max="54" width="9.453125" style="3" bestFit="1" customWidth="1"/>
    <col min="55" max="16384" width="8.90625" style="3"/>
  </cols>
  <sheetData>
    <row r="1" spans="2:161" s="5" customFormat="1" ht="14.15" customHeight="1">
      <c r="B1" s="5" t="str">
        <f>Report!D50</f>
        <v>75AR</v>
      </c>
      <c r="C1" s="3" t="str">
        <f>Report!E50</f>
        <v>Line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5" customHeight="1">
      <c r="B2" s="24" t="s">
        <v>28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>
      <c r="B3" s="17" t="str">
        <f>Report!M26</f>
        <v>FY21</v>
      </c>
      <c r="C3" s="3">
        <v>2001</v>
      </c>
      <c r="D3" s="3">
        <v>2002</v>
      </c>
      <c r="E3" s="3">
        <v>2003</v>
      </c>
      <c r="F3" s="3">
        <v>2004</v>
      </c>
      <c r="G3" s="3">
        <v>2005</v>
      </c>
      <c r="H3" s="3">
        <v>2006</v>
      </c>
      <c r="I3" s="3">
        <v>2007</v>
      </c>
      <c r="J3" s="3">
        <v>2008</v>
      </c>
      <c r="K3" s="3">
        <v>2009</v>
      </c>
      <c r="L3" s="3">
        <v>2010</v>
      </c>
      <c r="M3" s="3">
        <v>2011</v>
      </c>
      <c r="N3" s="3">
        <v>2012</v>
      </c>
      <c r="O3" s="3">
        <v>2013</v>
      </c>
      <c r="P3" s="3">
        <v>2014</v>
      </c>
      <c r="Q3" s="3">
        <v>2015</v>
      </c>
      <c r="R3" s="3">
        <v>2016</v>
      </c>
      <c r="S3" s="3">
        <v>2017</v>
      </c>
      <c r="T3" s="3">
        <v>2018</v>
      </c>
      <c r="U3" s="3">
        <v>2019</v>
      </c>
      <c r="V3" s="3">
        <v>2020</v>
      </c>
      <c r="W3" s="3">
        <v>2021</v>
      </c>
      <c r="X3" s="3">
        <v>2022</v>
      </c>
      <c r="Y3" s="3">
        <v>2023</v>
      </c>
      <c r="Z3" s="3">
        <v>2024</v>
      </c>
      <c r="AA3" s="3">
        <v>2025</v>
      </c>
      <c r="AB3" s="3">
        <v>2026</v>
      </c>
      <c r="AC3" s="3">
        <v>2027</v>
      </c>
      <c r="AD3" s="3">
        <v>2028</v>
      </c>
      <c r="AE3" s="3">
        <v>2029</v>
      </c>
      <c r="AF3" s="3">
        <v>2030</v>
      </c>
      <c r="AG3" s="3">
        <v>2031</v>
      </c>
      <c r="AH3" s="3">
        <v>2032</v>
      </c>
      <c r="AI3" s="3">
        <v>2033</v>
      </c>
      <c r="AJ3" s="3">
        <v>2034</v>
      </c>
      <c r="AK3" s="3">
        <v>2035</v>
      </c>
      <c r="AL3" s="3">
        <v>2036</v>
      </c>
      <c r="AM3" s="3">
        <v>2037</v>
      </c>
      <c r="AN3" s="3">
        <v>2038</v>
      </c>
      <c r="AO3" s="3">
        <v>2039</v>
      </c>
      <c r="AP3" s="3">
        <v>2040</v>
      </c>
      <c r="AQ3" s="3">
        <v>2041</v>
      </c>
      <c r="AR3" s="3">
        <v>2042</v>
      </c>
      <c r="AS3" s="3">
        <v>2043</v>
      </c>
      <c r="AT3" s="3">
        <v>2044</v>
      </c>
      <c r="AU3" s="3">
        <v>2045</v>
      </c>
      <c r="AV3" s="3">
        <v>2046</v>
      </c>
      <c r="AW3" s="3">
        <v>2047</v>
      </c>
      <c r="AX3" s="3">
        <v>2048</v>
      </c>
      <c r="AY3" s="3">
        <v>2049</v>
      </c>
      <c r="AZ3" s="3">
        <v>2050</v>
      </c>
      <c r="BA3" s="3">
        <v>2051</v>
      </c>
      <c r="BB3" s="3">
        <v>2052</v>
      </c>
      <c r="BC3" s="3">
        <v>2053</v>
      </c>
      <c r="BD3" s="3">
        <v>2101</v>
      </c>
      <c r="BE3" s="3">
        <v>2102</v>
      </c>
      <c r="BF3" s="3">
        <v>2103</v>
      </c>
      <c r="BG3" s="3">
        <v>2104</v>
      </c>
      <c r="BH3" s="3">
        <v>2105</v>
      </c>
      <c r="BI3" s="3">
        <v>2106</v>
      </c>
      <c r="BJ3" s="3">
        <v>2107</v>
      </c>
      <c r="BK3" s="3">
        <v>2108</v>
      </c>
      <c r="BL3" s="3">
        <v>2109</v>
      </c>
      <c r="BM3" s="3">
        <v>2110</v>
      </c>
      <c r="BN3" s="3">
        <v>2111</v>
      </c>
      <c r="BO3" s="3">
        <v>2112</v>
      </c>
      <c r="BP3" s="3">
        <v>2113</v>
      </c>
      <c r="BQ3" s="3">
        <v>2114</v>
      </c>
      <c r="BR3" s="3">
        <v>2115</v>
      </c>
      <c r="BS3" s="3">
        <v>2116</v>
      </c>
      <c r="BT3" s="3">
        <v>2117</v>
      </c>
      <c r="BU3" s="3">
        <v>2118</v>
      </c>
      <c r="BV3" s="3">
        <v>2119</v>
      </c>
      <c r="BW3" s="3">
        <v>2120</v>
      </c>
      <c r="BX3" s="3">
        <v>2121</v>
      </c>
      <c r="BY3" s="3">
        <v>2122</v>
      </c>
      <c r="BZ3" s="3">
        <v>2123</v>
      </c>
      <c r="CA3" s="3">
        <v>2124</v>
      </c>
      <c r="CB3" s="3">
        <v>2125</v>
      </c>
      <c r="CC3" s="3">
        <v>2126</v>
      </c>
      <c r="CD3" s="3">
        <v>2127</v>
      </c>
      <c r="CE3" s="3">
        <v>2128</v>
      </c>
      <c r="CF3" s="3">
        <v>2129</v>
      </c>
      <c r="CG3" s="3">
        <v>2130</v>
      </c>
      <c r="CH3" s="3">
        <v>2131</v>
      </c>
      <c r="CI3" s="3">
        <v>2132</v>
      </c>
      <c r="CJ3" s="3">
        <v>2133</v>
      </c>
      <c r="CK3" s="3">
        <v>2134</v>
      </c>
      <c r="CL3" s="3">
        <v>2135</v>
      </c>
      <c r="CM3" s="3">
        <v>2136</v>
      </c>
      <c r="CN3" s="3">
        <v>2137</v>
      </c>
      <c r="CO3" s="3">
        <v>2138</v>
      </c>
      <c r="CP3" s="3">
        <v>2139</v>
      </c>
      <c r="CQ3" s="3">
        <v>2140</v>
      </c>
      <c r="CR3" s="3">
        <v>2141</v>
      </c>
      <c r="CS3" s="3">
        <v>2142</v>
      </c>
      <c r="CT3" s="3">
        <v>2143</v>
      </c>
      <c r="CU3" s="3">
        <v>2144</v>
      </c>
      <c r="CV3" s="3">
        <v>2145</v>
      </c>
      <c r="CW3" s="3">
        <v>2146</v>
      </c>
      <c r="CX3" s="3">
        <v>2147</v>
      </c>
      <c r="CY3" s="3">
        <v>2148</v>
      </c>
      <c r="CZ3" s="3">
        <v>2149</v>
      </c>
      <c r="DA3" s="3">
        <v>2150</v>
      </c>
      <c r="DB3" s="3">
        <v>2151</v>
      </c>
      <c r="DC3" s="3">
        <v>2152</v>
      </c>
      <c r="DD3" s="3">
        <v>2153</v>
      </c>
      <c r="DE3" s="3">
        <v>2201</v>
      </c>
      <c r="DF3" s="3">
        <v>2202</v>
      </c>
      <c r="DG3" s="3">
        <v>2203</v>
      </c>
      <c r="DH3" s="3">
        <v>2204</v>
      </c>
      <c r="DI3" s="3">
        <v>2205</v>
      </c>
      <c r="DJ3" s="3">
        <v>2206</v>
      </c>
      <c r="DK3" s="3">
        <v>2207</v>
      </c>
      <c r="DL3" s="3">
        <v>2208</v>
      </c>
      <c r="DM3" s="3">
        <v>2209</v>
      </c>
      <c r="DN3" s="3">
        <v>2210</v>
      </c>
      <c r="DO3" s="3">
        <v>2211</v>
      </c>
      <c r="DP3" s="3">
        <v>2212</v>
      </c>
      <c r="DQ3" s="3">
        <v>2213</v>
      </c>
      <c r="DR3" s="3">
        <v>2214</v>
      </c>
      <c r="DS3" s="3">
        <v>2215</v>
      </c>
      <c r="DT3" s="3">
        <v>2216</v>
      </c>
      <c r="DU3" s="3">
        <v>2217</v>
      </c>
      <c r="DV3" s="3">
        <v>2218</v>
      </c>
      <c r="DW3" s="3">
        <v>2219</v>
      </c>
      <c r="DX3" s="3">
        <v>2220</v>
      </c>
      <c r="DY3" s="3">
        <v>2221</v>
      </c>
      <c r="DZ3" s="3">
        <v>2222</v>
      </c>
      <c r="EA3" s="3">
        <v>2223</v>
      </c>
      <c r="EB3" s="3">
        <v>2224</v>
      </c>
      <c r="EC3" s="3">
        <v>2225</v>
      </c>
      <c r="ED3" s="3">
        <v>2226</v>
      </c>
      <c r="EE3" s="3">
        <v>2227</v>
      </c>
      <c r="EF3" s="3">
        <v>2228</v>
      </c>
      <c r="EG3" s="3">
        <v>2229</v>
      </c>
      <c r="EH3" s="3">
        <v>2230</v>
      </c>
      <c r="EI3" s="3">
        <v>2231</v>
      </c>
      <c r="EJ3" s="3">
        <v>2232</v>
      </c>
      <c r="EK3" s="3">
        <v>2233</v>
      </c>
      <c r="EL3" s="3">
        <v>2234</v>
      </c>
      <c r="EM3" s="3">
        <v>2235</v>
      </c>
      <c r="EN3" s="3">
        <v>2236</v>
      </c>
      <c r="EO3" s="3">
        <v>2237</v>
      </c>
      <c r="EP3" s="3">
        <v>2238</v>
      </c>
      <c r="EQ3" s="3">
        <v>2239</v>
      </c>
      <c r="ER3" s="3">
        <v>2240</v>
      </c>
      <c r="ES3" s="3">
        <v>2241</v>
      </c>
      <c r="ET3" s="3">
        <v>2242</v>
      </c>
      <c r="EU3" s="3">
        <v>2243</v>
      </c>
      <c r="EV3" s="3">
        <v>2244</v>
      </c>
      <c r="EW3" s="3">
        <v>2245</v>
      </c>
      <c r="EX3" s="3">
        <v>2246</v>
      </c>
      <c r="EY3" s="3">
        <v>2247</v>
      </c>
      <c r="EZ3" s="3">
        <v>2248</v>
      </c>
      <c r="FA3" s="3">
        <v>2249</v>
      </c>
      <c r="FB3" s="3">
        <v>2250</v>
      </c>
      <c r="FC3" s="3">
        <v>2251</v>
      </c>
      <c r="FD3" s="3">
        <v>2252</v>
      </c>
      <c r="FE3" s="3">
        <v>2253</v>
      </c>
    </row>
    <row r="4" spans="2:161">
      <c r="B4" s="3" t="s">
        <v>989</v>
      </c>
      <c r="C4" s="3">
        <f>SUMIF(inputs!$M:$M,C$3&amp;$B$3&amp;$B$1,inputs!$D:$D)</f>
        <v>0</v>
      </c>
      <c r="D4" s="3">
        <f>SUMIF(inputs!$M:$M,D$3&amp;$B$3&amp;$B$1,inputs!$D:$D)</f>
        <v>0</v>
      </c>
      <c r="E4" s="3">
        <f>SUMIF(inputs!$M:$M,E$3&amp;$B$3&amp;$B$1,inputs!$D:$D)</f>
        <v>0</v>
      </c>
      <c r="F4" s="3">
        <f>SUMIF(inputs!$M:$M,F$3&amp;$B$3&amp;$B$1,inputs!$D:$D)</f>
        <v>0</v>
      </c>
      <c r="G4" s="3">
        <f>SUMIF(inputs!$M:$M,G$3&amp;$B$3&amp;$B$1,inputs!$D:$D)</f>
        <v>0</v>
      </c>
      <c r="H4" s="3">
        <f>SUMIF(inputs!$M:$M,H$3&amp;$B$3&amp;$B$1,inputs!$D:$D)</f>
        <v>0</v>
      </c>
      <c r="I4" s="3">
        <f>SUMIF(inputs!$M:$M,I$3&amp;$B$3&amp;$B$1,inputs!$D:$D)</f>
        <v>0</v>
      </c>
      <c r="J4" s="3">
        <f>SUMIF(inputs!$M:$M,J$3&amp;$B$3&amp;$B$1,inputs!$D:$D)</f>
        <v>0</v>
      </c>
      <c r="K4" s="3">
        <f>SUMIF(inputs!$M:$M,K$3&amp;$B$3&amp;$B$1,inputs!$D:$D)</f>
        <v>0</v>
      </c>
      <c r="L4" s="3">
        <f>SUMIF(inputs!$M:$M,L$3&amp;$B$3&amp;$B$1,inputs!$D:$D)</f>
        <v>0</v>
      </c>
      <c r="M4" s="3">
        <f>SUMIF(inputs!$M:$M,M$3&amp;$B$3&amp;$B$1,inputs!$D:$D)</f>
        <v>0</v>
      </c>
      <c r="N4" s="3">
        <f>SUMIF(inputs!$M:$M,N$3&amp;$B$3&amp;$B$1,inputs!$D:$D)</f>
        <v>0</v>
      </c>
      <c r="O4" s="3">
        <f>SUMIF(inputs!$M:$M,O$3&amp;$B$3&amp;$B$1,inputs!$D:$D)</f>
        <v>0</v>
      </c>
      <c r="P4" s="3">
        <f>SUMIF(inputs!$M:$M,P$3&amp;$B$3&amp;$B$1,inputs!$D:$D)</f>
        <v>0</v>
      </c>
      <c r="Q4" s="3">
        <f>SUMIF(inputs!$M:$M,Q$3&amp;$B$3&amp;$B$1,inputs!$D:$D)</f>
        <v>0</v>
      </c>
      <c r="R4" s="3">
        <f>SUMIF(inputs!$M:$M,R$3&amp;$B$3&amp;$B$1,inputs!$D:$D)</f>
        <v>0</v>
      </c>
      <c r="S4" s="3">
        <f>SUMIF(inputs!$M:$M,S$3&amp;$B$3&amp;$B$1,inputs!$D:$D)</f>
        <v>0</v>
      </c>
      <c r="T4" s="3">
        <f>SUMIF(inputs!$M:$M,T$3&amp;$B$3&amp;$B$1,inputs!$D:$D)</f>
        <v>0</v>
      </c>
      <c r="U4" s="3">
        <f>SUMIF(inputs!$M:$M,U$3&amp;$B$3&amp;$B$1,inputs!$D:$D)</f>
        <v>0</v>
      </c>
      <c r="V4" s="3">
        <f>SUMIF(inputs!$M:$M,V$3&amp;$B$3&amp;$B$1,inputs!$D:$D)</f>
        <v>0</v>
      </c>
      <c r="W4" s="3">
        <f>SUMIF(inputs!$M:$M,W$3&amp;$B$3&amp;$B$1,inputs!$D:$D)</f>
        <v>0</v>
      </c>
      <c r="X4" s="3">
        <f>SUMIF(inputs!$M:$M,X$3&amp;$B$3&amp;$B$1,inputs!$D:$D)</f>
        <v>0</v>
      </c>
      <c r="Y4" s="3">
        <f>SUMIF(inputs!$M:$M,Y$3&amp;$B$3&amp;$B$1,inputs!$D:$D)</f>
        <v>0</v>
      </c>
      <c r="Z4" s="3">
        <f>SUMIF(inputs!$M:$M,Z$3&amp;$B$3&amp;$B$1,inputs!$D:$D)</f>
        <v>0</v>
      </c>
      <c r="AA4" s="3">
        <f>SUMIF(inputs!$M:$M,AA$3&amp;$B$3&amp;$B$1,inputs!$D:$D)</f>
        <v>0</v>
      </c>
      <c r="AB4" s="3">
        <f>SUMIF(inputs!$M:$M,AB$3&amp;$B$3&amp;$B$1,inputs!$D:$D)</f>
        <v>0</v>
      </c>
      <c r="AC4" s="3">
        <f>SUMIF(inputs!$M:$M,AC$3&amp;$B$3&amp;$B$1,inputs!$D:$D)</f>
        <v>0</v>
      </c>
      <c r="AD4" s="3">
        <f>SUMIF(inputs!$M:$M,AD$3&amp;$B$3&amp;$B$1,inputs!$D:$D)</f>
        <v>0</v>
      </c>
      <c r="AE4" s="3">
        <f>SUMIF(inputs!$M:$M,AE$3&amp;$B$3&amp;$B$1,inputs!$D:$D)</f>
        <v>0</v>
      </c>
      <c r="AF4" s="3">
        <f>SUMIF(inputs!$M:$M,AF$3&amp;$B$3&amp;$B$1,inputs!$D:$D)</f>
        <v>0</v>
      </c>
      <c r="AG4" s="3">
        <f>SUMIF(inputs!$M:$M,AG$3&amp;$B$3&amp;$B$1,inputs!$D:$D)</f>
        <v>0</v>
      </c>
      <c r="AH4" s="3">
        <f>SUMIF(inputs!$M:$M,AH$3&amp;$B$3&amp;$B$1,inputs!$D:$D)</f>
        <v>0</v>
      </c>
      <c r="AI4" s="3">
        <f>SUMIF(inputs!$M:$M,AI$3&amp;$B$3&amp;$B$1,inputs!$D:$D)</f>
        <v>0</v>
      </c>
      <c r="AJ4" s="3">
        <f>SUMIF(inputs!$M:$M,AJ$3&amp;$B$3&amp;$B$1,inputs!$D:$D)</f>
        <v>0</v>
      </c>
      <c r="AK4" s="3">
        <f>SUMIF(inputs!$M:$M,AK$3&amp;$B$3&amp;$B$1,inputs!$D:$D)</f>
        <v>0</v>
      </c>
      <c r="AL4" s="3">
        <f>SUMIF(inputs!$M:$M,AL$3&amp;$B$3&amp;$B$1,inputs!$D:$D)</f>
        <v>0</v>
      </c>
      <c r="AM4" s="3">
        <f>SUMIF(inputs!$M:$M,AM$3&amp;$B$3&amp;$B$1,inputs!$D:$D)</f>
        <v>0</v>
      </c>
      <c r="AN4" s="3">
        <f>SUMIF(inputs!$M:$M,AN$3&amp;$B$3&amp;$B$1,inputs!$D:$D)</f>
        <v>0</v>
      </c>
      <c r="AO4" s="3">
        <f>SUMIF(inputs!$M:$M,AO$3&amp;$B$3&amp;$B$1,inputs!$D:$D)</f>
        <v>0</v>
      </c>
      <c r="AP4" s="3">
        <f>SUMIF(inputs!$M:$M,AP$3&amp;$B$3&amp;$B$1,inputs!$D:$D)</f>
        <v>0</v>
      </c>
      <c r="AQ4" s="3">
        <f>SUMIF(inputs!$M:$M,AQ$3&amp;$B$3&amp;$B$1,inputs!$D:$D)</f>
        <v>0</v>
      </c>
      <c r="AR4" s="3">
        <f>SUMIF(inputs!$M:$M,AR$3&amp;$B$3&amp;$B$1,inputs!$D:$D)</f>
        <v>0</v>
      </c>
      <c r="AS4" s="3">
        <f>SUMIF(inputs!$M:$M,AS$3&amp;$B$3&amp;$B$1,inputs!$D:$D)</f>
        <v>0</v>
      </c>
      <c r="AT4" s="3">
        <f>SUMIF(inputs!$M:$M,AT$3&amp;$B$3&amp;$B$1,inputs!$D:$D)</f>
        <v>0</v>
      </c>
      <c r="AU4" s="3">
        <f>SUMIF(inputs!$M:$M,AU$3&amp;$B$3&amp;$B$1,inputs!$D:$D)</f>
        <v>0</v>
      </c>
      <c r="AV4" s="3">
        <f>SUMIF(inputs!$M:$M,AV$3&amp;$B$3&amp;$B$1,inputs!$D:$D)</f>
        <v>0</v>
      </c>
      <c r="AW4" s="3">
        <f>SUMIF(inputs!$M:$M,AW$3&amp;$B$3&amp;$B$1,inputs!$D:$D)</f>
        <v>0</v>
      </c>
      <c r="AX4" s="3">
        <f>SUMIF(inputs!$M:$M,AX$3&amp;$B$3&amp;$B$1,inputs!$D:$D)</f>
        <v>0</v>
      </c>
      <c r="AY4" s="3">
        <f>SUMIF(inputs!$M:$M,AY$3&amp;$B$3&amp;$B$1,inputs!$D:$D)</f>
        <v>0</v>
      </c>
      <c r="AZ4" s="3">
        <f>SUMIF(inputs!$M:$M,AZ$3&amp;$B$3&amp;$B$1,inputs!$D:$D)</f>
        <v>0</v>
      </c>
      <c r="BA4" s="3">
        <f>SUMIF(inputs!$M:$M,BA$3&amp;$B$3&amp;$B$1,inputs!$D:$D)</f>
        <v>0</v>
      </c>
      <c r="BB4" s="3">
        <f>SUMIF(inputs!$M:$M,BB$3&amp;$B$3&amp;$B$1,inputs!$D:$D)</f>
        <v>0</v>
      </c>
      <c r="BC4" s="3">
        <f>SUMIF(inputs!$M:$M,BC$3&amp;$B$3&amp;$B$1,inputs!$D:$D)</f>
        <v>0</v>
      </c>
      <c r="BD4" s="3">
        <f>SUMIF(inputs!$M:$M,BD$3&amp;$B$3&amp;$B$1,inputs!$D:$D)</f>
        <v>0</v>
      </c>
      <c r="BE4" s="3">
        <f>SUMIF(inputs!$M:$M,BE$3&amp;$B$3&amp;$B$1,inputs!$D:$D)</f>
        <v>0</v>
      </c>
      <c r="BF4" s="3">
        <f>SUMIF(inputs!$M:$M,BF$3&amp;$B$3&amp;$B$1,inputs!$D:$D)</f>
        <v>0</v>
      </c>
      <c r="BG4" s="3">
        <f>SUMIF(inputs!$M:$M,BG$3&amp;$B$3&amp;$B$1,inputs!$D:$D)</f>
        <v>0</v>
      </c>
      <c r="BH4" s="3">
        <f>SUMIF(inputs!$M:$M,BH$3&amp;$B$3&amp;$B$1,inputs!$D:$D)</f>
        <v>0</v>
      </c>
      <c r="BI4" s="3">
        <f>SUMIF(inputs!$M:$M,BI$3&amp;$B$3&amp;$B$1,inputs!$D:$D)</f>
        <v>0</v>
      </c>
      <c r="BJ4" s="3">
        <f>SUMIF(inputs!$M:$M,BJ$3&amp;$B$3&amp;$B$1,inputs!$D:$D)</f>
        <v>0</v>
      </c>
      <c r="BK4" s="3">
        <f>SUMIF(inputs!$M:$M,BK$3&amp;$B$3&amp;$B$1,inputs!$D:$D)</f>
        <v>0</v>
      </c>
      <c r="BL4" s="3">
        <f>SUMIF(inputs!$M:$M,BL$3&amp;$B$3&amp;$B$1,inputs!$D:$D)</f>
        <v>0</v>
      </c>
      <c r="BM4" s="3">
        <f>SUMIF(inputs!$M:$M,BM$3&amp;$B$3&amp;$B$1,inputs!$D:$D)</f>
        <v>0</v>
      </c>
      <c r="BN4" s="3">
        <f>SUMIF(inputs!$M:$M,BN$3&amp;$B$3&amp;$B$1,inputs!$D:$D)</f>
        <v>0</v>
      </c>
      <c r="BO4" s="3">
        <f>SUMIF(inputs!$M:$M,BO$3&amp;$B$3&amp;$B$1,inputs!$D:$D)</f>
        <v>0</v>
      </c>
      <c r="BP4" s="3">
        <f>SUMIF(inputs!$M:$M,BP$3&amp;$B$3&amp;$B$1,inputs!$D:$D)</f>
        <v>0</v>
      </c>
      <c r="BQ4" s="3">
        <f>SUMIF(inputs!$M:$M,BQ$3&amp;$B$3&amp;$B$1,inputs!$D:$D)</f>
        <v>0</v>
      </c>
      <c r="BR4" s="3">
        <f>SUMIF(inputs!$M:$M,BR$3&amp;$B$3&amp;$B$1,inputs!$D:$D)</f>
        <v>80</v>
      </c>
      <c r="BS4" s="3">
        <f>SUMIF(inputs!$M:$M,BS$3&amp;$B$3&amp;$B$1,inputs!$D:$D)</f>
        <v>63</v>
      </c>
      <c r="BT4" s="3">
        <f>SUMIF(inputs!$M:$M,BT$3&amp;$B$3&amp;$B$1,inputs!$D:$D)</f>
        <v>162</v>
      </c>
      <c r="BU4" s="3">
        <f>SUMIF(inputs!$M:$M,BU$3&amp;$B$3&amp;$B$1,inputs!$D:$D)</f>
        <v>1745</v>
      </c>
      <c r="BV4" s="3">
        <f>SUMIF(inputs!$M:$M,BV$3&amp;$B$3&amp;$B$1,inputs!$D:$D)</f>
        <v>47</v>
      </c>
      <c r="BW4" s="3">
        <f>SUMIF(inputs!$M:$M,BW$3&amp;$B$3&amp;$B$1,inputs!$D:$D)</f>
        <v>1566</v>
      </c>
      <c r="BX4" s="3">
        <f>SUMIF(inputs!$M:$M,BX$3&amp;$B$3&amp;$B$1,inputs!$D:$D)</f>
        <v>1922</v>
      </c>
      <c r="BY4" s="3">
        <f>SUMIF(inputs!$M:$M,BY$3&amp;$B$3&amp;$B$1,inputs!$D:$D)</f>
        <v>591</v>
      </c>
      <c r="BZ4" s="3">
        <f>SUMIF(inputs!$M:$M,BZ$3&amp;$B$3&amp;$B$1,inputs!$D:$D)</f>
        <v>2942</v>
      </c>
      <c r="CA4" s="3">
        <f>SUMIF(inputs!$M:$M,CA$3&amp;$B$3&amp;$B$1,inputs!$D:$D)</f>
        <v>894</v>
      </c>
      <c r="CB4" s="3">
        <f>SUMIF(inputs!$M:$M,CB$3&amp;$B$3&amp;$B$1,inputs!$D:$D)</f>
        <v>1160</v>
      </c>
      <c r="CC4" s="3">
        <f>SUMIF(inputs!$M:$M,CC$3&amp;$B$3&amp;$B$1,inputs!$D:$D)</f>
        <v>1888</v>
      </c>
      <c r="CD4" s="3">
        <f>SUMIF(inputs!$M:$M,CD$3&amp;$B$3&amp;$B$1,inputs!$D:$D)</f>
        <v>1493</v>
      </c>
      <c r="CE4" s="3">
        <f>SUMIF(inputs!$M:$M,CE$3&amp;$B$3&amp;$B$1,inputs!$D:$D)</f>
        <v>2338</v>
      </c>
      <c r="CF4" s="3">
        <f>SUMIF(inputs!$M:$M,CF$3&amp;$B$3&amp;$B$1,inputs!$D:$D)</f>
        <v>1235</v>
      </c>
      <c r="CG4" s="3">
        <f>SUMIF(inputs!$M:$M,CG$3&amp;$B$3&amp;$B$1,inputs!$D:$D)</f>
        <v>353</v>
      </c>
      <c r="CH4" s="3">
        <f>SUMIF(inputs!$M:$M,CH$3&amp;$B$3&amp;$B$1,inputs!$D:$D)</f>
        <v>977</v>
      </c>
      <c r="CI4" s="3">
        <f>SUMIF(inputs!$M:$M,CI$3&amp;$B$3&amp;$B$1,inputs!$D:$D)</f>
        <v>1700</v>
      </c>
      <c r="CJ4" s="3">
        <f>SUMIF(inputs!$M:$M,CJ$3&amp;$B$3&amp;$B$1,inputs!$D:$D)</f>
        <v>2645</v>
      </c>
      <c r="CK4" s="3">
        <f>SUMIF(inputs!$M:$M,CK$3&amp;$B$3&amp;$B$1,inputs!$D:$D)</f>
        <v>2311</v>
      </c>
      <c r="CL4" s="3">
        <f>SUMIF(inputs!$M:$M,CL$3&amp;$B$3&amp;$B$1,inputs!$D:$D)</f>
        <v>1475</v>
      </c>
      <c r="CM4" s="3">
        <f>SUMIF(inputs!$M:$M,CM$3&amp;$B$3&amp;$B$1,inputs!$D:$D)</f>
        <v>2440</v>
      </c>
      <c r="CN4" s="3">
        <f>SUMIF(inputs!$M:$M,CN$3&amp;$B$3&amp;$B$1,inputs!$D:$D)</f>
        <v>3226</v>
      </c>
      <c r="CO4" s="3">
        <f>SUMIF(inputs!$M:$M,CO$3&amp;$B$3&amp;$B$1,inputs!$D:$D)</f>
        <v>2976</v>
      </c>
      <c r="CP4" s="3">
        <f>SUMIF(inputs!$M:$M,CP$3&amp;$B$3&amp;$B$1,inputs!$D:$D)</f>
        <v>2653</v>
      </c>
      <c r="CQ4" s="3">
        <f>SUMIF(inputs!$M:$M,CQ$3&amp;$B$3&amp;$B$1,inputs!$D:$D)</f>
        <v>902</v>
      </c>
      <c r="CR4" s="3">
        <f>SUMIF(inputs!$M:$M,CR$3&amp;$B$3&amp;$B$1,inputs!$D:$D)</f>
        <v>3786</v>
      </c>
      <c r="CS4" s="3">
        <f>SUMIF(inputs!$M:$M,CS$3&amp;$B$3&amp;$B$1,inputs!$D:$D)</f>
        <v>3378</v>
      </c>
      <c r="CT4" s="3">
        <f>SUMIF(inputs!$M:$M,CT$3&amp;$B$3&amp;$B$1,inputs!$D:$D)</f>
        <v>1834</v>
      </c>
      <c r="CU4" s="3">
        <f>SUMIF(inputs!$M:$M,CU$3&amp;$B$3&amp;$B$1,inputs!$D:$D)</f>
        <v>1667</v>
      </c>
      <c r="CV4" s="3">
        <f>SUMIF(inputs!$M:$M,CV$3&amp;$B$3&amp;$B$1,inputs!$D:$D)</f>
        <v>1008</v>
      </c>
      <c r="CW4" s="3">
        <f>SUMIF(inputs!$M:$M,CW$3&amp;$B$3&amp;$B$1,inputs!$D:$D)</f>
        <v>1380</v>
      </c>
      <c r="CX4" s="3">
        <f>SUMIF(inputs!$M:$M,CX$3&amp;$B$3&amp;$B$1,inputs!$D:$D)</f>
        <v>1279</v>
      </c>
      <c r="CY4" s="3">
        <f>SUMIF(inputs!$M:$M,CY$3&amp;$B$3&amp;$B$1,inputs!$D:$D)</f>
        <v>496</v>
      </c>
      <c r="CZ4" s="3">
        <f>SUMIF(inputs!$M:$M,CZ$3&amp;$B$3&amp;$B$1,inputs!$D:$D)</f>
        <v>267</v>
      </c>
      <c r="DA4" s="3">
        <f>SUMIF(inputs!$M:$M,DA$3&amp;$B$3&amp;$B$1,inputs!$D:$D)</f>
        <v>1946</v>
      </c>
      <c r="DB4" s="3">
        <f>SUMIF(inputs!$M:$M,DB$3&amp;$B$3&amp;$B$1,inputs!$D:$D)</f>
        <v>0</v>
      </c>
      <c r="DC4" s="3">
        <f>SUMIF(inputs!$M:$M,DC$3&amp;$B$3&amp;$B$1,inputs!$D:$D)</f>
        <v>682</v>
      </c>
      <c r="DD4" s="3">
        <f>SUMIF(inputs!$M:$M,DD$3&amp;$B$3&amp;$B$1,inputs!$D:$D)</f>
        <v>0</v>
      </c>
      <c r="DE4" s="3">
        <f>SUMIF(inputs!$M:$M,DE$3&amp;$B$3&amp;$B$1,inputs!$D:$D)</f>
        <v>0</v>
      </c>
      <c r="DF4" s="3">
        <f>SUMIF(inputs!$M:$M,DF$3&amp;$B$3&amp;$B$1,inputs!$D:$D)</f>
        <v>0</v>
      </c>
      <c r="DG4" s="3">
        <f>SUMIF(inputs!$M:$M,DG$3&amp;$B$3&amp;$B$1,inputs!$D:$D)</f>
        <v>0</v>
      </c>
      <c r="DH4" s="3">
        <f>SUMIF(inputs!$M:$M,DH$3&amp;$B$3&amp;$B$1,inputs!$D:$D)</f>
        <v>0</v>
      </c>
      <c r="DI4" s="3">
        <f>SUMIF(inputs!$M:$M,DI$3&amp;$B$3&amp;$B$1,inputs!$D:$D)</f>
        <v>0</v>
      </c>
      <c r="DJ4" s="3">
        <f>SUMIF(inputs!$M:$M,DJ$3&amp;$B$3&amp;$B$1,inputs!$D:$D)</f>
        <v>0</v>
      </c>
      <c r="DK4" s="3">
        <f>SUMIF(inputs!$M:$M,DK$3&amp;$B$3&amp;$B$1,inputs!$D:$D)</f>
        <v>0</v>
      </c>
      <c r="DL4" s="3">
        <f>SUMIF(inputs!$M:$M,DL$3&amp;$B$3&amp;$B$1,inputs!$D:$D)</f>
        <v>0</v>
      </c>
      <c r="DM4" s="3">
        <f>SUMIF(inputs!$M:$M,DM$3&amp;$B$3&amp;$B$1,inputs!$D:$D)</f>
        <v>0</v>
      </c>
      <c r="DN4" s="3">
        <f>SUMIF(inputs!$M:$M,DN$3&amp;$B$3&amp;$B$1,inputs!$D:$D)</f>
        <v>0</v>
      </c>
      <c r="DO4" s="3">
        <f>SUMIF(inputs!$M:$M,DO$3&amp;$B$3&amp;$B$1,inputs!$D:$D)</f>
        <v>0</v>
      </c>
      <c r="DP4" s="3">
        <f>SUMIF(inputs!$M:$M,DP$3&amp;$B$3&amp;$B$1,inputs!$D:$D)</f>
        <v>0</v>
      </c>
      <c r="DQ4" s="3">
        <f>SUMIF(inputs!$M:$M,DQ$3&amp;$B$3&amp;$B$1,inputs!$D:$D)</f>
        <v>0</v>
      </c>
      <c r="DR4" s="3">
        <f>SUMIF(inputs!$M:$M,DR$3&amp;$B$3&amp;$B$1,inputs!$D:$D)</f>
        <v>0</v>
      </c>
      <c r="DS4" s="3">
        <f>SUMIF(inputs!$M:$M,DS$3&amp;$B$3&amp;$B$1,inputs!$D:$D)</f>
        <v>0</v>
      </c>
      <c r="DT4" s="3">
        <f>SUMIF(inputs!$M:$M,DT$3&amp;$B$3&amp;$B$1,inputs!$D:$D)</f>
        <v>0</v>
      </c>
      <c r="DU4" s="3">
        <f>SUMIF(inputs!$M:$M,DU$3&amp;$B$3&amp;$B$1,inputs!$D:$D)</f>
        <v>0</v>
      </c>
      <c r="DV4" s="3">
        <f>SUMIF(inputs!$M:$M,DV$3&amp;$B$3&amp;$B$1,inputs!$D:$D)</f>
        <v>0</v>
      </c>
      <c r="DW4" s="3">
        <f>SUMIF(inputs!$M:$M,DW$3&amp;$B$3&amp;$B$1,inputs!$D:$D)</f>
        <v>0</v>
      </c>
      <c r="DX4" s="3">
        <f>SUMIF(inputs!$M:$M,DX$3&amp;$B$3&amp;$B$1,inputs!$D:$D)</f>
        <v>0</v>
      </c>
      <c r="DY4" s="3">
        <f>SUMIF(inputs!$M:$M,DY$3&amp;$B$3&amp;$B$1,inputs!$D:$D)</f>
        <v>0</v>
      </c>
      <c r="DZ4" s="3">
        <f>SUMIF(inputs!$M:$M,DZ$3&amp;$B$3&amp;$B$1,inputs!$D:$D)</f>
        <v>0</v>
      </c>
      <c r="EA4" s="3">
        <f>SUMIF(inputs!$M:$M,EA$3&amp;$B$3&amp;$B$1,inputs!$D:$D)</f>
        <v>0</v>
      </c>
      <c r="EB4" s="3">
        <f>SUMIF(inputs!$M:$M,EB$3&amp;$B$3&amp;$B$1,inputs!$D:$D)</f>
        <v>0</v>
      </c>
      <c r="EC4" s="3">
        <f>SUMIF(inputs!$M:$M,EC$3&amp;$B$3&amp;$B$1,inputs!$D:$D)</f>
        <v>0</v>
      </c>
      <c r="ED4" s="3">
        <f>SUMIF(inputs!$M:$M,ED$3&amp;$B$3&amp;$B$1,inputs!$D:$D)</f>
        <v>0</v>
      </c>
      <c r="EE4" s="3">
        <f>SUMIF(inputs!$M:$M,EE$3&amp;$B$3&amp;$B$1,inputs!$D:$D)</f>
        <v>0</v>
      </c>
      <c r="EF4" s="3">
        <f>SUMIF(inputs!$M:$M,EF$3&amp;$B$3&amp;$B$1,inputs!$D:$D)</f>
        <v>0</v>
      </c>
      <c r="EG4" s="3">
        <f>SUMIF(inputs!$M:$M,EG$3&amp;$B$3&amp;$B$1,inputs!$D:$D)</f>
        <v>0</v>
      </c>
      <c r="EH4" s="3">
        <f>SUMIF(inputs!$M:$M,EH$3&amp;$B$3&amp;$B$1,inputs!$D:$D)</f>
        <v>0</v>
      </c>
      <c r="EI4" s="3">
        <f>SUMIF(inputs!$M:$M,EI$3&amp;$B$3&amp;$B$1,inputs!$D:$D)</f>
        <v>0</v>
      </c>
      <c r="EJ4" s="3">
        <f>SUMIF(inputs!$M:$M,EJ$3&amp;$B$3&amp;$B$1,inputs!$D:$D)</f>
        <v>0</v>
      </c>
      <c r="EK4" s="3">
        <f>SUMIF(inputs!$M:$M,EK$3&amp;$B$3&amp;$B$1,inputs!$D:$D)</f>
        <v>0</v>
      </c>
      <c r="EL4" s="3">
        <f>SUMIF(inputs!$M:$M,EL$3&amp;$B$3&amp;$B$1,inputs!$D:$D)</f>
        <v>0</v>
      </c>
      <c r="EM4" s="3">
        <f>SUMIF(inputs!$M:$M,EM$3&amp;$B$3&amp;$B$1,inputs!$D:$D)</f>
        <v>0</v>
      </c>
      <c r="EN4" s="3">
        <f>SUMIF(inputs!$M:$M,EN$3&amp;$B$3&amp;$B$1,inputs!$D:$D)</f>
        <v>0</v>
      </c>
      <c r="EO4" s="3">
        <f>SUMIF(inputs!$M:$M,EO$3&amp;$B$3&amp;$B$1,inputs!$D:$D)</f>
        <v>0</v>
      </c>
      <c r="EP4" s="3">
        <f>SUMIF(inputs!$M:$M,EP$3&amp;$B$3&amp;$B$1,inputs!$D:$D)</f>
        <v>0</v>
      </c>
      <c r="EQ4" s="3">
        <f>SUMIF(inputs!$M:$M,EQ$3&amp;$B$3&amp;$B$1,inputs!$D:$D)</f>
        <v>0</v>
      </c>
      <c r="ER4" s="3">
        <f>SUMIF(inputs!$M:$M,ER$3&amp;$B$3&amp;$B$1,inputs!$D:$D)</f>
        <v>0</v>
      </c>
      <c r="ES4" s="3">
        <f>SUMIF(inputs!$M:$M,ES$3&amp;$B$3&amp;$B$1,inputs!$D:$D)</f>
        <v>0</v>
      </c>
      <c r="ET4" s="3">
        <f>SUMIF(inputs!$M:$M,ET$3&amp;$B$3&amp;$B$1,inputs!$D:$D)</f>
        <v>0</v>
      </c>
      <c r="EU4" s="3">
        <f>SUMIF(inputs!$M:$M,EU$3&amp;$B$3&amp;$B$1,inputs!$D:$D)</f>
        <v>0</v>
      </c>
      <c r="EV4" s="3">
        <f>SUMIF(inputs!$M:$M,EV$3&amp;$B$3&amp;$B$1,inputs!$D:$D)</f>
        <v>0</v>
      </c>
      <c r="EW4" s="3">
        <f>SUMIF(inputs!$M:$M,EW$3&amp;$B$3&amp;$B$1,inputs!$D:$D)</f>
        <v>0</v>
      </c>
      <c r="EX4" s="3">
        <f>SUMIF(inputs!$M:$M,EX$3&amp;$B$3&amp;$B$1,inputs!$D:$D)</f>
        <v>0</v>
      </c>
      <c r="EY4" s="3">
        <f>SUMIF(inputs!$M:$M,EY$3&amp;$B$3&amp;$B$1,inputs!$D:$D)</f>
        <v>0</v>
      </c>
      <c r="EZ4" s="3">
        <f>SUMIF(inputs!$M:$M,EZ$3&amp;$B$3&amp;$B$1,inputs!$D:$D)</f>
        <v>0</v>
      </c>
      <c r="FA4" s="3">
        <f>SUMIF(inputs!$M:$M,FA$3&amp;$B$3&amp;$B$1,inputs!$D:$D)</f>
        <v>0</v>
      </c>
      <c r="FB4" s="3">
        <f>SUMIF(inputs!$M:$M,FB$3&amp;$B$3&amp;$B$1,inputs!$D:$D)</f>
        <v>0</v>
      </c>
      <c r="FC4" s="3">
        <f>SUMIF(inputs!$M:$M,FC$3&amp;$B$3&amp;$B$1,inputs!$D:$D)</f>
        <v>0</v>
      </c>
      <c r="FD4" s="3">
        <f>SUMIF(inputs!$M:$M,FD$3&amp;$B$3&amp;$B$1,inputs!$D:$D)</f>
        <v>0</v>
      </c>
      <c r="FE4" s="3">
        <f>SUMIF(inputs!$M:$M,FE$3&amp;$B$3&amp;$B$1,inputs!$D:$D)</f>
        <v>0</v>
      </c>
    </row>
    <row r="5" spans="2:161">
      <c r="B5" s="3" t="s">
        <v>990</v>
      </c>
      <c r="C5" s="3">
        <f t="shared" ref="C5:AH5" si="0">SUM(C6:C10)</f>
        <v>0</v>
      </c>
      <c r="D5" s="3">
        <f t="shared" si="0"/>
        <v>0</v>
      </c>
      <c r="E5" s="3">
        <f t="shared" si="0"/>
        <v>0</v>
      </c>
      <c r="F5" s="3">
        <f t="shared" si="0"/>
        <v>0</v>
      </c>
      <c r="G5" s="3">
        <f t="shared" si="0"/>
        <v>0</v>
      </c>
      <c r="H5" s="3">
        <f t="shared" si="0"/>
        <v>0</v>
      </c>
      <c r="I5" s="3">
        <f t="shared" si="0"/>
        <v>0</v>
      </c>
      <c r="J5" s="3">
        <f t="shared" si="0"/>
        <v>0</v>
      </c>
      <c r="K5" s="3">
        <f t="shared" si="0"/>
        <v>0</v>
      </c>
      <c r="L5" s="3">
        <f t="shared" si="0"/>
        <v>0</v>
      </c>
      <c r="M5" s="3">
        <f t="shared" si="0"/>
        <v>0</v>
      </c>
      <c r="N5" s="3">
        <f t="shared" si="0"/>
        <v>0</v>
      </c>
      <c r="O5" s="3">
        <f t="shared" si="0"/>
        <v>0</v>
      </c>
      <c r="P5" s="3">
        <f t="shared" si="0"/>
        <v>0</v>
      </c>
      <c r="Q5" s="3">
        <f t="shared" si="0"/>
        <v>0</v>
      </c>
      <c r="R5" s="3">
        <f t="shared" si="0"/>
        <v>0</v>
      </c>
      <c r="S5" s="3">
        <f t="shared" si="0"/>
        <v>0</v>
      </c>
      <c r="T5" s="3">
        <f t="shared" si="0"/>
        <v>0</v>
      </c>
      <c r="U5" s="3">
        <f t="shared" si="0"/>
        <v>0</v>
      </c>
      <c r="V5" s="3">
        <f t="shared" si="0"/>
        <v>0</v>
      </c>
      <c r="W5" s="3">
        <f t="shared" si="0"/>
        <v>0</v>
      </c>
      <c r="X5" s="3">
        <f t="shared" si="0"/>
        <v>0</v>
      </c>
      <c r="Y5" s="3">
        <f t="shared" si="0"/>
        <v>0</v>
      </c>
      <c r="Z5" s="3">
        <f t="shared" si="0"/>
        <v>0</v>
      </c>
      <c r="AA5" s="3">
        <f t="shared" si="0"/>
        <v>0</v>
      </c>
      <c r="AB5" s="3">
        <f t="shared" si="0"/>
        <v>0</v>
      </c>
      <c r="AC5" s="3">
        <f t="shared" si="0"/>
        <v>0</v>
      </c>
      <c r="AD5" s="3">
        <f t="shared" si="0"/>
        <v>0</v>
      </c>
      <c r="AE5" s="3">
        <f t="shared" si="0"/>
        <v>0</v>
      </c>
      <c r="AF5" s="3">
        <f t="shared" si="0"/>
        <v>0</v>
      </c>
      <c r="AG5" s="3">
        <f t="shared" si="0"/>
        <v>0</v>
      </c>
      <c r="AH5" s="3">
        <f t="shared" si="0"/>
        <v>0</v>
      </c>
      <c r="AI5" s="3">
        <f t="shared" ref="AI5:BN5" si="1">SUM(AI6:AI10)</f>
        <v>0</v>
      </c>
      <c r="AJ5" s="3">
        <f t="shared" si="1"/>
        <v>0</v>
      </c>
      <c r="AK5" s="3">
        <f t="shared" si="1"/>
        <v>0</v>
      </c>
      <c r="AL5" s="3">
        <f t="shared" si="1"/>
        <v>0</v>
      </c>
      <c r="AM5" s="3">
        <f t="shared" si="1"/>
        <v>0</v>
      </c>
      <c r="AN5" s="3">
        <f t="shared" si="1"/>
        <v>0</v>
      </c>
      <c r="AO5" s="3">
        <f t="shared" si="1"/>
        <v>0</v>
      </c>
      <c r="AP5" s="3">
        <f t="shared" si="1"/>
        <v>0</v>
      </c>
      <c r="AQ5" s="3">
        <f t="shared" si="1"/>
        <v>0</v>
      </c>
      <c r="AR5" s="3">
        <f t="shared" si="1"/>
        <v>0</v>
      </c>
      <c r="AS5" s="3">
        <f t="shared" si="1"/>
        <v>0</v>
      </c>
      <c r="AT5" s="3">
        <f t="shared" si="1"/>
        <v>0</v>
      </c>
      <c r="AU5" s="3">
        <f t="shared" si="1"/>
        <v>0</v>
      </c>
      <c r="AV5" s="3">
        <f t="shared" si="1"/>
        <v>0</v>
      </c>
      <c r="AW5" s="3">
        <f t="shared" si="1"/>
        <v>0</v>
      </c>
      <c r="AX5" s="3">
        <f t="shared" si="1"/>
        <v>0</v>
      </c>
      <c r="AY5" s="3">
        <f t="shared" si="1"/>
        <v>0</v>
      </c>
      <c r="AZ5" s="3">
        <f t="shared" si="1"/>
        <v>0</v>
      </c>
      <c r="BA5" s="3">
        <f t="shared" si="1"/>
        <v>0</v>
      </c>
      <c r="BB5" s="3">
        <f t="shared" si="1"/>
        <v>0</v>
      </c>
      <c r="BC5" s="3">
        <f t="shared" si="1"/>
        <v>0</v>
      </c>
      <c r="BD5" s="3">
        <f t="shared" si="1"/>
        <v>0</v>
      </c>
      <c r="BE5" s="3">
        <f t="shared" si="1"/>
        <v>0</v>
      </c>
      <c r="BF5" s="3">
        <f t="shared" si="1"/>
        <v>0</v>
      </c>
      <c r="BG5" s="3">
        <f t="shared" si="1"/>
        <v>0</v>
      </c>
      <c r="BH5" s="3">
        <f t="shared" si="1"/>
        <v>0</v>
      </c>
      <c r="BI5" s="3">
        <f t="shared" si="1"/>
        <v>0</v>
      </c>
      <c r="BJ5" s="3">
        <f t="shared" si="1"/>
        <v>0</v>
      </c>
      <c r="BK5" s="3">
        <f t="shared" si="1"/>
        <v>0</v>
      </c>
      <c r="BL5" s="3">
        <f t="shared" si="1"/>
        <v>0</v>
      </c>
      <c r="BM5" s="3">
        <f t="shared" si="1"/>
        <v>0</v>
      </c>
      <c r="BN5" s="3">
        <f t="shared" si="1"/>
        <v>0</v>
      </c>
      <c r="BO5" s="3">
        <f t="shared" ref="BO5:CT5" si="2">SUM(BO6:BO10)</f>
        <v>0</v>
      </c>
      <c r="BP5" s="3">
        <f t="shared" si="2"/>
        <v>0</v>
      </c>
      <c r="BQ5" s="3">
        <f t="shared" si="2"/>
        <v>0</v>
      </c>
      <c r="BR5" s="3">
        <f t="shared" si="2"/>
        <v>0</v>
      </c>
      <c r="BS5" s="3">
        <f t="shared" si="2"/>
        <v>0</v>
      </c>
      <c r="BT5" s="3">
        <f t="shared" si="2"/>
        <v>0</v>
      </c>
      <c r="BU5" s="3">
        <f t="shared" si="2"/>
        <v>1</v>
      </c>
      <c r="BV5" s="3">
        <f t="shared" si="2"/>
        <v>0</v>
      </c>
      <c r="BW5" s="3">
        <f t="shared" si="2"/>
        <v>0</v>
      </c>
      <c r="BX5" s="3">
        <f t="shared" si="2"/>
        <v>0</v>
      </c>
      <c r="BY5" s="3">
        <f t="shared" si="2"/>
        <v>0</v>
      </c>
      <c r="BZ5" s="3">
        <f t="shared" si="2"/>
        <v>0</v>
      </c>
      <c r="CA5" s="3">
        <f t="shared" si="2"/>
        <v>1</v>
      </c>
      <c r="CB5" s="3">
        <f t="shared" si="2"/>
        <v>0</v>
      </c>
      <c r="CC5" s="3">
        <f t="shared" si="2"/>
        <v>0</v>
      </c>
      <c r="CD5" s="3">
        <f t="shared" si="2"/>
        <v>0</v>
      </c>
      <c r="CE5" s="3">
        <f t="shared" si="2"/>
        <v>1</v>
      </c>
      <c r="CF5" s="3">
        <f t="shared" si="2"/>
        <v>1</v>
      </c>
      <c r="CG5" s="3">
        <f t="shared" si="2"/>
        <v>1</v>
      </c>
      <c r="CH5" s="3">
        <f t="shared" si="2"/>
        <v>1</v>
      </c>
      <c r="CI5" s="3">
        <f t="shared" si="2"/>
        <v>1</v>
      </c>
      <c r="CJ5" s="3">
        <f t="shared" si="2"/>
        <v>0</v>
      </c>
      <c r="CK5" s="3">
        <f t="shared" si="2"/>
        <v>5</v>
      </c>
      <c r="CL5" s="3">
        <f t="shared" si="2"/>
        <v>0</v>
      </c>
      <c r="CM5" s="3">
        <f t="shared" si="2"/>
        <v>0</v>
      </c>
      <c r="CN5" s="3">
        <f t="shared" si="2"/>
        <v>6</v>
      </c>
      <c r="CO5" s="3">
        <f t="shared" si="2"/>
        <v>3</v>
      </c>
      <c r="CP5" s="3">
        <f t="shared" si="2"/>
        <v>5</v>
      </c>
      <c r="CQ5" s="3">
        <f t="shared" si="2"/>
        <v>2</v>
      </c>
      <c r="CR5" s="3">
        <f t="shared" si="2"/>
        <v>8</v>
      </c>
      <c r="CS5" s="3">
        <f t="shared" si="2"/>
        <v>3</v>
      </c>
      <c r="CT5" s="3">
        <f t="shared" si="2"/>
        <v>1</v>
      </c>
      <c r="CU5" s="3">
        <f t="shared" ref="CU5:DZ5" si="3">SUM(CU6:CU10)</f>
        <v>0</v>
      </c>
      <c r="CV5" s="3">
        <f t="shared" si="3"/>
        <v>0</v>
      </c>
      <c r="CW5" s="3">
        <f t="shared" si="3"/>
        <v>0</v>
      </c>
      <c r="CX5" s="3">
        <f t="shared" si="3"/>
        <v>0</v>
      </c>
      <c r="CY5" s="3">
        <f t="shared" si="3"/>
        <v>0</v>
      </c>
      <c r="CZ5" s="3">
        <f t="shared" si="3"/>
        <v>0</v>
      </c>
      <c r="DA5" s="3">
        <f t="shared" si="3"/>
        <v>0</v>
      </c>
      <c r="DB5" s="3">
        <f t="shared" si="3"/>
        <v>0</v>
      </c>
      <c r="DC5" s="3">
        <f t="shared" si="3"/>
        <v>0</v>
      </c>
      <c r="DD5" s="3">
        <f t="shared" si="3"/>
        <v>0</v>
      </c>
      <c r="DE5" s="3">
        <f t="shared" si="3"/>
        <v>0</v>
      </c>
      <c r="DF5" s="3">
        <f t="shared" si="3"/>
        <v>0</v>
      </c>
      <c r="DG5" s="3">
        <f t="shared" si="3"/>
        <v>0</v>
      </c>
      <c r="DH5" s="3">
        <f t="shared" si="3"/>
        <v>0</v>
      </c>
      <c r="DI5" s="3">
        <f t="shared" si="3"/>
        <v>0</v>
      </c>
      <c r="DJ5" s="3">
        <f t="shared" si="3"/>
        <v>0</v>
      </c>
      <c r="DK5" s="3">
        <f t="shared" si="3"/>
        <v>0</v>
      </c>
      <c r="DL5" s="3">
        <f t="shared" si="3"/>
        <v>0</v>
      </c>
      <c r="DM5" s="3">
        <f t="shared" si="3"/>
        <v>0</v>
      </c>
      <c r="DN5" s="3">
        <f t="shared" si="3"/>
        <v>0</v>
      </c>
      <c r="DO5" s="3">
        <f t="shared" si="3"/>
        <v>0</v>
      </c>
      <c r="DP5" s="3">
        <f t="shared" si="3"/>
        <v>0</v>
      </c>
      <c r="DQ5" s="3">
        <f t="shared" si="3"/>
        <v>0</v>
      </c>
      <c r="DR5" s="3">
        <f t="shared" si="3"/>
        <v>0</v>
      </c>
      <c r="DS5" s="3">
        <f t="shared" si="3"/>
        <v>0</v>
      </c>
      <c r="DT5" s="3">
        <f t="shared" si="3"/>
        <v>0</v>
      </c>
      <c r="DU5" s="3">
        <f t="shared" si="3"/>
        <v>0</v>
      </c>
      <c r="DV5" s="3">
        <f t="shared" si="3"/>
        <v>0</v>
      </c>
      <c r="DW5" s="3">
        <f t="shared" si="3"/>
        <v>0</v>
      </c>
      <c r="DX5" s="3">
        <f t="shared" si="3"/>
        <v>0</v>
      </c>
      <c r="DY5" s="3">
        <f t="shared" si="3"/>
        <v>0</v>
      </c>
      <c r="DZ5" s="3">
        <f t="shared" si="3"/>
        <v>0</v>
      </c>
      <c r="EA5" s="3">
        <f t="shared" ref="EA5:FE5" si="4">SUM(EA6:EA10)</f>
        <v>0</v>
      </c>
      <c r="EB5" s="3">
        <f t="shared" si="4"/>
        <v>0</v>
      </c>
      <c r="EC5" s="3">
        <f t="shared" si="4"/>
        <v>0</v>
      </c>
      <c r="ED5" s="3">
        <f t="shared" si="4"/>
        <v>0</v>
      </c>
      <c r="EE5" s="3">
        <f t="shared" si="4"/>
        <v>0</v>
      </c>
      <c r="EF5" s="3">
        <f t="shared" si="4"/>
        <v>0</v>
      </c>
      <c r="EG5" s="3">
        <f t="shared" si="4"/>
        <v>0</v>
      </c>
      <c r="EH5" s="3">
        <f t="shared" si="4"/>
        <v>0</v>
      </c>
      <c r="EI5" s="3">
        <f t="shared" si="4"/>
        <v>0</v>
      </c>
      <c r="EJ5" s="3">
        <f t="shared" si="4"/>
        <v>0</v>
      </c>
      <c r="EK5" s="3">
        <f t="shared" si="4"/>
        <v>0</v>
      </c>
      <c r="EL5" s="3">
        <f t="shared" si="4"/>
        <v>0</v>
      </c>
      <c r="EM5" s="3">
        <f t="shared" si="4"/>
        <v>0</v>
      </c>
      <c r="EN5" s="3">
        <f t="shared" si="4"/>
        <v>0</v>
      </c>
      <c r="EO5" s="3">
        <f t="shared" si="4"/>
        <v>0</v>
      </c>
      <c r="EP5" s="3">
        <f t="shared" si="4"/>
        <v>0</v>
      </c>
      <c r="EQ5" s="3">
        <f t="shared" si="4"/>
        <v>0</v>
      </c>
      <c r="ER5" s="3">
        <f t="shared" si="4"/>
        <v>0</v>
      </c>
      <c r="ES5" s="3">
        <f t="shared" si="4"/>
        <v>0</v>
      </c>
      <c r="ET5" s="3">
        <f t="shared" si="4"/>
        <v>0</v>
      </c>
      <c r="EU5" s="3">
        <f t="shared" si="4"/>
        <v>0</v>
      </c>
      <c r="EV5" s="3">
        <f t="shared" si="4"/>
        <v>0</v>
      </c>
      <c r="EW5" s="3">
        <f t="shared" si="4"/>
        <v>0</v>
      </c>
      <c r="EX5" s="3">
        <f t="shared" si="4"/>
        <v>0</v>
      </c>
      <c r="EY5" s="3">
        <f t="shared" si="4"/>
        <v>0</v>
      </c>
      <c r="EZ5" s="3">
        <f t="shared" si="4"/>
        <v>0</v>
      </c>
      <c r="FA5" s="3">
        <f t="shared" si="4"/>
        <v>0</v>
      </c>
      <c r="FB5" s="3">
        <f t="shared" si="4"/>
        <v>0</v>
      </c>
      <c r="FC5" s="3">
        <f t="shared" si="4"/>
        <v>0</v>
      </c>
      <c r="FD5" s="3">
        <f t="shared" si="4"/>
        <v>0</v>
      </c>
      <c r="FE5" s="3">
        <f t="shared" si="4"/>
        <v>0</v>
      </c>
    </row>
    <row r="6" spans="2:161">
      <c r="B6" t="s">
        <v>24</v>
      </c>
      <c r="C6" s="3">
        <f>COUNTIF(defects!$Z:$Z,C$3&amp;$C$1&amp;$B$3&amp;$B$2&amp;$B6&amp;$B$1)</f>
        <v>0</v>
      </c>
      <c r="D6" s="3">
        <f>COUNTIF(defects!$Z:$Z,D$3&amp;$C$1&amp;$B$3&amp;$B$2&amp;$B6&amp;$B$1)</f>
        <v>0</v>
      </c>
      <c r="E6" s="3">
        <f>COUNTIF(defects!$Z:$Z,E$3&amp;$C$1&amp;$B$3&amp;$B$2&amp;$B6&amp;$B$1)</f>
        <v>0</v>
      </c>
      <c r="F6" s="3">
        <f>COUNTIF(defects!$Z:$Z,F$3&amp;$C$1&amp;$B$3&amp;$B$2&amp;$B6&amp;$B$1)</f>
        <v>0</v>
      </c>
      <c r="G6" s="3">
        <f>COUNTIF(defects!$Z:$Z,G$3&amp;$C$1&amp;$B$3&amp;$B$2&amp;$B6&amp;$B$1)</f>
        <v>0</v>
      </c>
      <c r="H6" s="3">
        <f>COUNTIF(defects!$Z:$Z,H$3&amp;$C$1&amp;$B$3&amp;$B$2&amp;$B6&amp;$B$1)</f>
        <v>0</v>
      </c>
      <c r="I6" s="3">
        <f>COUNTIF(defects!$Z:$Z,I$3&amp;$C$1&amp;$B$3&amp;$B$2&amp;$B6&amp;$B$1)</f>
        <v>0</v>
      </c>
      <c r="J6" s="3">
        <f>COUNTIF(defects!$Z:$Z,J$3&amp;$C$1&amp;$B$3&amp;$B$2&amp;$B6&amp;$B$1)</f>
        <v>0</v>
      </c>
      <c r="K6" s="3">
        <f>COUNTIF(defects!$Z:$Z,K$3&amp;$C$1&amp;$B$3&amp;$B$2&amp;$B6&amp;$B$1)</f>
        <v>0</v>
      </c>
      <c r="L6" s="3">
        <f>COUNTIF(defects!$Z:$Z,L$3&amp;$C$1&amp;$B$3&amp;$B$2&amp;$B6&amp;$B$1)</f>
        <v>0</v>
      </c>
      <c r="M6" s="3">
        <f>COUNTIF(defects!$Z:$Z,M$3&amp;$C$1&amp;$B$3&amp;$B$2&amp;$B6&amp;$B$1)</f>
        <v>0</v>
      </c>
      <c r="N6" s="3">
        <f>COUNTIF(defects!$Z:$Z,N$3&amp;$C$1&amp;$B$3&amp;$B$2&amp;$B6&amp;$B$1)</f>
        <v>0</v>
      </c>
      <c r="O6" s="3">
        <f>COUNTIF(defects!$Z:$Z,O$3&amp;$C$1&amp;$B$3&amp;$B$2&amp;$B6&amp;$B$1)</f>
        <v>0</v>
      </c>
      <c r="P6" s="3">
        <f>COUNTIF(defects!$Z:$Z,P$3&amp;$C$1&amp;$B$3&amp;$B$2&amp;$B6&amp;$B$1)</f>
        <v>0</v>
      </c>
      <c r="Q6" s="3">
        <f>COUNTIF(defects!$Z:$Z,Q$3&amp;$C$1&amp;$B$3&amp;$B$2&amp;$B6&amp;$B$1)</f>
        <v>0</v>
      </c>
      <c r="R6" s="3">
        <f>COUNTIF(defects!$Z:$Z,R$3&amp;$C$1&amp;$B$3&amp;$B$2&amp;$B6&amp;$B$1)</f>
        <v>0</v>
      </c>
      <c r="S6" s="3">
        <f>COUNTIF(defects!$Z:$Z,S$3&amp;$C$1&amp;$B$3&amp;$B$2&amp;$B6&amp;$B$1)</f>
        <v>0</v>
      </c>
      <c r="T6" s="3">
        <f>COUNTIF(defects!$Z:$Z,T$3&amp;$C$1&amp;$B$3&amp;$B$2&amp;$B6&amp;$B$1)</f>
        <v>0</v>
      </c>
      <c r="U6" s="3">
        <f>COUNTIF(defects!$Z:$Z,U$3&amp;$C$1&amp;$B$3&amp;$B$2&amp;$B6&amp;$B$1)</f>
        <v>0</v>
      </c>
      <c r="V6" s="3">
        <f>COUNTIF(defects!$Z:$Z,V$3&amp;$C$1&amp;$B$3&amp;$B$2&amp;$B6&amp;$B$1)</f>
        <v>0</v>
      </c>
      <c r="W6" s="3">
        <f>COUNTIF(defects!$Z:$Z,W$3&amp;$C$1&amp;$B$3&amp;$B$2&amp;$B6&amp;$B$1)</f>
        <v>0</v>
      </c>
      <c r="X6" s="3">
        <f>COUNTIF(defects!$Z:$Z,X$3&amp;$C$1&amp;$B$3&amp;$B$2&amp;$B6&amp;$B$1)</f>
        <v>0</v>
      </c>
      <c r="Y6" s="3">
        <f>COUNTIF(defects!$Z:$Z,Y$3&amp;$C$1&amp;$B$3&amp;$B$2&amp;$B6&amp;$B$1)</f>
        <v>0</v>
      </c>
      <c r="Z6" s="3">
        <f>COUNTIF(defects!$Z:$Z,Z$3&amp;$C$1&amp;$B$3&amp;$B$2&amp;$B6&amp;$B$1)</f>
        <v>0</v>
      </c>
      <c r="AA6" s="3">
        <f>COUNTIF(defects!$Z:$Z,AA$3&amp;$C$1&amp;$B$3&amp;$B$2&amp;$B6&amp;$B$1)</f>
        <v>0</v>
      </c>
      <c r="AB6" s="3">
        <f>COUNTIF(defects!$Z:$Z,AB$3&amp;$C$1&amp;$B$3&amp;$B$2&amp;$B6&amp;$B$1)</f>
        <v>0</v>
      </c>
      <c r="AC6" s="3">
        <f>COUNTIF(defects!$Z:$Z,AC$3&amp;$C$1&amp;$B$3&amp;$B$2&amp;$B6&amp;$B$1)</f>
        <v>0</v>
      </c>
      <c r="AD6" s="3">
        <f>COUNTIF(defects!$Z:$Z,AD$3&amp;$C$1&amp;$B$3&amp;$B$2&amp;$B6&amp;$B$1)</f>
        <v>0</v>
      </c>
      <c r="AE6" s="3">
        <f>COUNTIF(defects!$Z:$Z,AE$3&amp;$C$1&amp;$B$3&amp;$B$2&amp;$B6&amp;$B$1)</f>
        <v>0</v>
      </c>
      <c r="AF6" s="3">
        <f>COUNTIF(defects!$Z:$Z,AF$3&amp;$C$1&amp;$B$3&amp;$B$2&amp;$B6&amp;$B$1)</f>
        <v>0</v>
      </c>
      <c r="AG6" s="3">
        <f>COUNTIF(defects!$Z:$Z,AG$3&amp;$C$1&amp;$B$3&amp;$B$2&amp;$B6&amp;$B$1)</f>
        <v>0</v>
      </c>
      <c r="AH6" s="3">
        <f>COUNTIF(defects!$Z:$Z,AH$3&amp;$C$1&amp;$B$3&amp;$B$2&amp;$B6&amp;$B$1)</f>
        <v>0</v>
      </c>
      <c r="AI6" s="3">
        <f>COUNTIF(defects!$Z:$Z,AI$3&amp;$C$1&amp;$B$3&amp;$B$2&amp;$B6&amp;$B$1)</f>
        <v>0</v>
      </c>
      <c r="AJ6" s="3">
        <f>COUNTIF(defects!$Z:$Z,AJ$3&amp;$C$1&amp;$B$3&amp;$B$2&amp;$B6&amp;$B$1)</f>
        <v>0</v>
      </c>
      <c r="AK6" s="3">
        <f>COUNTIF(defects!$Z:$Z,AK$3&amp;$C$1&amp;$B$3&amp;$B$2&amp;$B6&amp;$B$1)</f>
        <v>0</v>
      </c>
      <c r="AL6" s="3">
        <f>COUNTIF(defects!$Z:$Z,AL$3&amp;$C$1&amp;$B$3&amp;$B$2&amp;$B6&amp;$B$1)</f>
        <v>0</v>
      </c>
      <c r="AM6" s="3">
        <f>COUNTIF(defects!$Z:$Z,AM$3&amp;$C$1&amp;$B$3&amp;$B$2&amp;$B6&amp;$B$1)</f>
        <v>0</v>
      </c>
      <c r="AN6" s="3">
        <f>COUNTIF(defects!$Z:$Z,AN$3&amp;$C$1&amp;$B$3&amp;$B$2&amp;$B6&amp;$B$1)</f>
        <v>0</v>
      </c>
      <c r="AO6" s="3">
        <f>COUNTIF(defects!$Z:$Z,AO$3&amp;$C$1&amp;$B$3&amp;$B$2&amp;$B6&amp;$B$1)</f>
        <v>0</v>
      </c>
      <c r="AP6" s="3">
        <f>COUNTIF(defects!$Z:$Z,AP$3&amp;$C$1&amp;$B$3&amp;$B$2&amp;$B6&amp;$B$1)</f>
        <v>0</v>
      </c>
      <c r="AQ6" s="3">
        <f>COUNTIF(defects!$Z:$Z,AQ$3&amp;$C$1&amp;$B$3&amp;$B$2&amp;$B6&amp;$B$1)</f>
        <v>0</v>
      </c>
      <c r="AR6" s="3">
        <f>COUNTIF(defects!$Z:$Z,AR$3&amp;$C$1&amp;$B$3&amp;$B$2&amp;$B6&amp;$B$1)</f>
        <v>0</v>
      </c>
      <c r="AS6" s="3">
        <f>COUNTIF(defects!$Z:$Z,AS$3&amp;$C$1&amp;$B$3&amp;$B$2&amp;$B6&amp;$B$1)</f>
        <v>0</v>
      </c>
      <c r="AT6" s="3">
        <f>COUNTIF(defects!$Z:$Z,AT$3&amp;$C$1&amp;$B$3&amp;$B$2&amp;$B6&amp;$B$1)</f>
        <v>0</v>
      </c>
      <c r="AU6" s="3">
        <f>COUNTIF(defects!$Z:$Z,AU$3&amp;$C$1&amp;$B$3&amp;$B$2&amp;$B6&amp;$B$1)</f>
        <v>0</v>
      </c>
      <c r="AV6" s="3">
        <f>COUNTIF(defects!$Z:$Z,AV$3&amp;$C$1&amp;$B$3&amp;$B$2&amp;$B6&amp;$B$1)</f>
        <v>0</v>
      </c>
      <c r="AW6" s="3">
        <f>COUNTIF(defects!$Z:$Z,AW$3&amp;$C$1&amp;$B$3&amp;$B$2&amp;$B6&amp;$B$1)</f>
        <v>0</v>
      </c>
      <c r="AX6" s="3">
        <f>COUNTIF(defects!$Z:$Z,AX$3&amp;$C$1&amp;$B$3&amp;$B$2&amp;$B6&amp;$B$1)</f>
        <v>0</v>
      </c>
      <c r="AY6" s="3">
        <f>COUNTIF(defects!$Z:$Z,AY$3&amp;$C$1&amp;$B$3&amp;$B$2&amp;$B6&amp;$B$1)</f>
        <v>0</v>
      </c>
      <c r="AZ6" s="3">
        <f>COUNTIF(defects!$Z:$Z,AZ$3&amp;$C$1&amp;$B$3&amp;$B$2&amp;$B6&amp;$B$1)</f>
        <v>0</v>
      </c>
      <c r="BA6" s="3">
        <f>COUNTIF(defects!$Z:$Z,BA$3&amp;$C$1&amp;$B$3&amp;$B$2&amp;$B6&amp;$B$1)</f>
        <v>0</v>
      </c>
      <c r="BB6" s="3">
        <f>COUNTIF(defects!$Z:$Z,BB$3&amp;$C$1&amp;$B$3&amp;$B$2&amp;$B6&amp;$B$1)</f>
        <v>0</v>
      </c>
      <c r="BC6" s="3">
        <f>COUNTIF(defects!$Z:$Z,BC$3&amp;$C$1&amp;$B$3&amp;$B$2&amp;$B6&amp;$B$1)</f>
        <v>0</v>
      </c>
      <c r="BD6" s="3">
        <f>COUNTIF(defects!$Z:$Z,BD$3&amp;$C$1&amp;$B$3&amp;$B$2&amp;$B6&amp;$B$1)</f>
        <v>0</v>
      </c>
      <c r="BE6" s="3">
        <f>COUNTIF(defects!$Z:$Z,BE$3&amp;$C$1&amp;$B$3&amp;$B$2&amp;$B6&amp;$B$1)</f>
        <v>0</v>
      </c>
      <c r="BF6" s="3">
        <f>COUNTIF(defects!$Z:$Z,BF$3&amp;$C$1&amp;$B$3&amp;$B$2&amp;$B6&amp;$B$1)</f>
        <v>0</v>
      </c>
      <c r="BG6" s="3">
        <f>COUNTIF(defects!$Z:$Z,BG$3&amp;$C$1&amp;$B$3&amp;$B$2&amp;$B6&amp;$B$1)</f>
        <v>0</v>
      </c>
      <c r="BH6" s="3">
        <f>COUNTIF(defects!$Z:$Z,BH$3&amp;$C$1&amp;$B$3&amp;$B$2&amp;$B6&amp;$B$1)</f>
        <v>0</v>
      </c>
      <c r="BI6" s="3">
        <f>COUNTIF(defects!$Z:$Z,BI$3&amp;$C$1&amp;$B$3&amp;$B$2&amp;$B6&amp;$B$1)</f>
        <v>0</v>
      </c>
      <c r="BJ6" s="3">
        <f>COUNTIF(defects!$Z:$Z,BJ$3&amp;$C$1&amp;$B$3&amp;$B$2&amp;$B6&amp;$B$1)</f>
        <v>0</v>
      </c>
      <c r="BK6" s="3">
        <f>COUNTIF(defects!$Z:$Z,BK$3&amp;$C$1&amp;$B$3&amp;$B$2&amp;$B6&amp;$B$1)</f>
        <v>0</v>
      </c>
      <c r="BL6" s="3">
        <f>COUNTIF(defects!$Z:$Z,BL$3&amp;$C$1&amp;$B$3&amp;$B$2&amp;$B6&amp;$B$1)</f>
        <v>0</v>
      </c>
      <c r="BM6" s="3">
        <f>COUNTIF(defects!$Z:$Z,BM$3&amp;$C$1&amp;$B$3&amp;$B$2&amp;$B6&amp;$B$1)</f>
        <v>0</v>
      </c>
      <c r="BN6" s="3">
        <f>COUNTIF(defects!$Z:$Z,BN$3&amp;$C$1&amp;$B$3&amp;$B$2&amp;$B6&amp;$B$1)</f>
        <v>0</v>
      </c>
      <c r="BO6" s="3">
        <f>COUNTIF(defects!$Z:$Z,BO$3&amp;$C$1&amp;$B$3&amp;$B$2&amp;$B6&amp;$B$1)</f>
        <v>0</v>
      </c>
      <c r="BP6" s="3">
        <f>COUNTIF(defects!$Z:$Z,BP$3&amp;$C$1&amp;$B$3&amp;$B$2&amp;$B6&amp;$B$1)</f>
        <v>0</v>
      </c>
      <c r="BQ6" s="3">
        <f>COUNTIF(defects!$Z:$Z,BQ$3&amp;$C$1&amp;$B$3&amp;$B$2&amp;$B6&amp;$B$1)</f>
        <v>0</v>
      </c>
      <c r="BR6" s="3">
        <f>COUNTIF(defects!$Z:$Z,BR$3&amp;$C$1&amp;$B$3&amp;$B$2&amp;$B6&amp;$B$1)</f>
        <v>0</v>
      </c>
      <c r="BS6" s="3">
        <f>COUNTIF(defects!$Z:$Z,BS$3&amp;$C$1&amp;$B$3&amp;$B$2&amp;$B6&amp;$B$1)</f>
        <v>0</v>
      </c>
      <c r="BT6" s="3">
        <f>COUNTIF(defects!$Z:$Z,BT$3&amp;$C$1&amp;$B$3&amp;$B$2&amp;$B6&amp;$B$1)</f>
        <v>0</v>
      </c>
      <c r="BU6" s="3">
        <f>COUNTIF(defects!$Z:$Z,BU$3&amp;$C$1&amp;$B$3&amp;$B$2&amp;$B6&amp;$B$1)</f>
        <v>0</v>
      </c>
      <c r="BV6" s="3">
        <f>COUNTIF(defects!$Z:$Z,BV$3&amp;$C$1&amp;$B$3&amp;$B$2&amp;$B6&amp;$B$1)</f>
        <v>0</v>
      </c>
      <c r="BW6" s="3">
        <f>COUNTIF(defects!$Z:$Z,BW$3&amp;$C$1&amp;$B$3&amp;$B$2&amp;$B6&amp;$B$1)</f>
        <v>0</v>
      </c>
      <c r="BX6" s="3">
        <f>COUNTIF(defects!$Z:$Z,BX$3&amp;$C$1&amp;$B$3&amp;$B$2&amp;$B6&amp;$B$1)</f>
        <v>0</v>
      </c>
      <c r="BY6" s="3">
        <f>COUNTIF(defects!$Z:$Z,BY$3&amp;$C$1&amp;$B$3&amp;$B$2&amp;$B6&amp;$B$1)</f>
        <v>0</v>
      </c>
      <c r="BZ6" s="3">
        <f>COUNTIF(defects!$Z:$Z,BZ$3&amp;$C$1&amp;$B$3&amp;$B$2&amp;$B6&amp;$B$1)</f>
        <v>0</v>
      </c>
      <c r="CA6" s="3">
        <f>COUNTIF(defects!$Z:$Z,CA$3&amp;$C$1&amp;$B$3&amp;$B$2&amp;$B6&amp;$B$1)</f>
        <v>0</v>
      </c>
      <c r="CB6" s="3">
        <f>COUNTIF(defects!$Z:$Z,CB$3&amp;$C$1&amp;$B$3&amp;$B$2&amp;$B6&amp;$B$1)</f>
        <v>0</v>
      </c>
      <c r="CC6" s="3">
        <f>COUNTIF(defects!$Z:$Z,CC$3&amp;$C$1&amp;$B$3&amp;$B$2&amp;$B6&amp;$B$1)</f>
        <v>0</v>
      </c>
      <c r="CD6" s="3">
        <f>COUNTIF(defects!$Z:$Z,CD$3&amp;$C$1&amp;$B$3&amp;$B$2&amp;$B6&amp;$B$1)</f>
        <v>0</v>
      </c>
      <c r="CE6" s="3">
        <f>COUNTIF(defects!$Z:$Z,CE$3&amp;$C$1&amp;$B$3&amp;$B$2&amp;$B6&amp;$B$1)</f>
        <v>0</v>
      </c>
      <c r="CF6" s="3">
        <f>COUNTIF(defects!$Z:$Z,CF$3&amp;$C$1&amp;$B$3&amp;$B$2&amp;$B6&amp;$B$1)</f>
        <v>0</v>
      </c>
      <c r="CG6" s="3">
        <f>COUNTIF(defects!$Z:$Z,CG$3&amp;$C$1&amp;$B$3&amp;$B$2&amp;$B6&amp;$B$1)</f>
        <v>0</v>
      </c>
      <c r="CH6" s="3">
        <f>COUNTIF(defects!$Z:$Z,CH$3&amp;$C$1&amp;$B$3&amp;$B$2&amp;$B6&amp;$B$1)</f>
        <v>0</v>
      </c>
      <c r="CI6" s="3">
        <f>COUNTIF(defects!$Z:$Z,CI$3&amp;$C$1&amp;$B$3&amp;$B$2&amp;$B6&amp;$B$1)</f>
        <v>0</v>
      </c>
      <c r="CJ6" s="3">
        <f>COUNTIF(defects!$Z:$Z,CJ$3&amp;$C$1&amp;$B$3&amp;$B$2&amp;$B6&amp;$B$1)</f>
        <v>0</v>
      </c>
      <c r="CK6" s="3">
        <f>COUNTIF(defects!$Z:$Z,CK$3&amp;$C$1&amp;$B$3&amp;$B$2&amp;$B6&amp;$B$1)</f>
        <v>0</v>
      </c>
      <c r="CL6" s="3">
        <f>COUNTIF(defects!$Z:$Z,CL$3&amp;$C$1&amp;$B$3&amp;$B$2&amp;$B6&amp;$B$1)</f>
        <v>0</v>
      </c>
      <c r="CM6" s="3">
        <f>COUNTIF(defects!$Z:$Z,CM$3&amp;$C$1&amp;$B$3&amp;$B$2&amp;$B6&amp;$B$1)</f>
        <v>0</v>
      </c>
      <c r="CN6" s="3">
        <f>COUNTIF(defects!$Z:$Z,CN$3&amp;$C$1&amp;$B$3&amp;$B$2&amp;$B6&amp;$B$1)</f>
        <v>0</v>
      </c>
      <c r="CO6" s="3">
        <f>COUNTIF(defects!$Z:$Z,CO$3&amp;$C$1&amp;$B$3&amp;$B$2&amp;$B6&amp;$B$1)</f>
        <v>0</v>
      </c>
      <c r="CP6" s="3">
        <f>COUNTIF(defects!$Z:$Z,CP$3&amp;$C$1&amp;$B$3&amp;$B$2&amp;$B6&amp;$B$1)</f>
        <v>0</v>
      </c>
      <c r="CQ6" s="3">
        <f>COUNTIF(defects!$Z:$Z,CQ$3&amp;$C$1&amp;$B$3&amp;$B$2&amp;$B6&amp;$B$1)</f>
        <v>0</v>
      </c>
      <c r="CR6" s="3">
        <f>COUNTIF(defects!$Z:$Z,CR$3&amp;$C$1&amp;$B$3&amp;$B$2&amp;$B6&amp;$B$1)</f>
        <v>0</v>
      </c>
      <c r="CS6" s="3">
        <f>COUNTIF(defects!$Z:$Z,CS$3&amp;$C$1&amp;$B$3&amp;$B$2&amp;$B6&amp;$B$1)</f>
        <v>0</v>
      </c>
      <c r="CT6" s="3">
        <f>COUNTIF(defects!$Z:$Z,CT$3&amp;$C$1&amp;$B$3&amp;$B$2&amp;$B6&amp;$B$1)</f>
        <v>0</v>
      </c>
      <c r="CU6" s="3">
        <f>COUNTIF(defects!$Z:$Z,CU$3&amp;$C$1&amp;$B$3&amp;$B$2&amp;$B6&amp;$B$1)</f>
        <v>0</v>
      </c>
      <c r="CV6" s="3">
        <f>COUNTIF(defects!$Z:$Z,CV$3&amp;$C$1&amp;$B$3&amp;$B$2&amp;$B6&amp;$B$1)</f>
        <v>0</v>
      </c>
      <c r="CW6" s="3">
        <f>COUNTIF(defects!$Z:$Z,CW$3&amp;$C$1&amp;$B$3&amp;$B$2&amp;$B6&amp;$B$1)</f>
        <v>0</v>
      </c>
      <c r="CX6" s="3">
        <f>COUNTIF(defects!$Z:$Z,CX$3&amp;$C$1&amp;$B$3&amp;$B$2&amp;$B6&amp;$B$1)</f>
        <v>0</v>
      </c>
      <c r="CY6" s="3">
        <f>COUNTIF(defects!$Z:$Z,CY$3&amp;$C$1&amp;$B$3&amp;$B$2&amp;$B6&amp;$B$1)</f>
        <v>0</v>
      </c>
      <c r="CZ6" s="3">
        <f>COUNTIF(defects!$Z:$Z,CZ$3&amp;$C$1&amp;$B$3&amp;$B$2&amp;$B6&amp;$B$1)</f>
        <v>0</v>
      </c>
      <c r="DA6" s="3">
        <f>COUNTIF(defects!$Z:$Z,DA$3&amp;$C$1&amp;$B$3&amp;$B$2&amp;$B6&amp;$B$1)</f>
        <v>0</v>
      </c>
      <c r="DB6" s="3">
        <f>COUNTIF(defects!$Z:$Z,DB$3&amp;$C$1&amp;$B$3&amp;$B$2&amp;$B6&amp;$B$1)</f>
        <v>0</v>
      </c>
      <c r="DC6" s="3">
        <f>COUNTIF(defects!$Z:$Z,DC$3&amp;$C$1&amp;$B$3&amp;$B$2&amp;$B6&amp;$B$1)</f>
        <v>0</v>
      </c>
      <c r="DD6" s="3">
        <f>COUNTIF(defects!$Z:$Z,DD$3&amp;$C$1&amp;$B$3&amp;$B$2&amp;$B6&amp;$B$1)</f>
        <v>0</v>
      </c>
      <c r="DE6" s="3">
        <f>COUNTIF(defects!$Z:$Z,DE$3&amp;$C$1&amp;$B$3&amp;$B$2&amp;$B6&amp;$B$1)</f>
        <v>0</v>
      </c>
      <c r="DF6" s="3">
        <f>COUNTIF(defects!$Z:$Z,DF$3&amp;$C$1&amp;$B$3&amp;$B$2&amp;$B6&amp;$B$1)</f>
        <v>0</v>
      </c>
      <c r="DG6" s="3">
        <f>COUNTIF(defects!$Z:$Z,DG$3&amp;$C$1&amp;$B$3&amp;$B$2&amp;$B6&amp;$B$1)</f>
        <v>0</v>
      </c>
      <c r="DH6" s="3">
        <f>COUNTIF(defects!$Z:$Z,DH$3&amp;$C$1&amp;$B$3&amp;$B$2&amp;$B6&amp;$B$1)</f>
        <v>0</v>
      </c>
      <c r="DI6" s="3">
        <f>COUNTIF(defects!$Z:$Z,DI$3&amp;$C$1&amp;$B$3&amp;$B$2&amp;$B6&amp;$B$1)</f>
        <v>0</v>
      </c>
      <c r="DJ6" s="3">
        <f>COUNTIF(defects!$Z:$Z,DJ$3&amp;$C$1&amp;$B$3&amp;$B$2&amp;$B6&amp;$B$1)</f>
        <v>0</v>
      </c>
      <c r="DK6" s="3">
        <f>COUNTIF(defects!$Z:$Z,DK$3&amp;$C$1&amp;$B$3&amp;$B$2&amp;$B6&amp;$B$1)</f>
        <v>0</v>
      </c>
      <c r="DL6" s="3">
        <f>COUNTIF(defects!$Z:$Z,DL$3&amp;$C$1&amp;$B$3&amp;$B$2&amp;$B6&amp;$B$1)</f>
        <v>0</v>
      </c>
      <c r="DM6" s="3">
        <f>COUNTIF(defects!$Z:$Z,DM$3&amp;$C$1&amp;$B$3&amp;$B$2&amp;$B6&amp;$B$1)</f>
        <v>0</v>
      </c>
      <c r="DN6" s="3">
        <f>COUNTIF(defects!$Z:$Z,DN$3&amp;$C$1&amp;$B$3&amp;$B$2&amp;$B6&amp;$B$1)</f>
        <v>0</v>
      </c>
      <c r="DO6" s="3">
        <f>COUNTIF(defects!$Z:$Z,DO$3&amp;$C$1&amp;$B$3&amp;$B$2&amp;$B6&amp;$B$1)</f>
        <v>0</v>
      </c>
      <c r="DP6" s="3">
        <f>COUNTIF(defects!$Z:$Z,DP$3&amp;$C$1&amp;$B$3&amp;$B$2&amp;$B6&amp;$B$1)</f>
        <v>0</v>
      </c>
      <c r="DQ6" s="3">
        <f>COUNTIF(defects!$Z:$Z,DQ$3&amp;$C$1&amp;$B$3&amp;$B$2&amp;$B6&amp;$B$1)</f>
        <v>0</v>
      </c>
      <c r="DR6" s="3">
        <f>COUNTIF(defects!$Z:$Z,DR$3&amp;$C$1&amp;$B$3&amp;$B$2&amp;$B6&amp;$B$1)</f>
        <v>0</v>
      </c>
      <c r="DS6" s="3">
        <f>COUNTIF(defects!$Z:$Z,DS$3&amp;$C$1&amp;$B$3&amp;$B$2&amp;$B6&amp;$B$1)</f>
        <v>0</v>
      </c>
      <c r="DT6" s="3">
        <f>COUNTIF(defects!$Z:$Z,DT$3&amp;$C$1&amp;$B$3&amp;$B$2&amp;$B6&amp;$B$1)</f>
        <v>0</v>
      </c>
      <c r="DU6" s="3">
        <f>COUNTIF(defects!$Z:$Z,DU$3&amp;$C$1&amp;$B$3&amp;$B$2&amp;$B6&amp;$B$1)</f>
        <v>0</v>
      </c>
      <c r="DV6" s="3">
        <f>COUNTIF(defects!$Z:$Z,DV$3&amp;$C$1&amp;$B$3&amp;$B$2&amp;$B6&amp;$B$1)</f>
        <v>0</v>
      </c>
      <c r="DW6" s="3">
        <f>COUNTIF(defects!$Z:$Z,DW$3&amp;$C$1&amp;$B$3&amp;$B$2&amp;$B6&amp;$B$1)</f>
        <v>0</v>
      </c>
      <c r="DX6" s="3">
        <f>COUNTIF(defects!$Z:$Z,DX$3&amp;$C$1&amp;$B$3&amp;$B$2&amp;$B6&amp;$B$1)</f>
        <v>0</v>
      </c>
      <c r="DY6" s="3">
        <f>COUNTIF(defects!$Z:$Z,DY$3&amp;$C$1&amp;$B$3&amp;$B$2&amp;$B6&amp;$B$1)</f>
        <v>0</v>
      </c>
      <c r="DZ6" s="3">
        <f>COUNTIF(defects!$Z:$Z,DZ$3&amp;$C$1&amp;$B$3&amp;$B$2&amp;$B6&amp;$B$1)</f>
        <v>0</v>
      </c>
      <c r="EA6" s="3">
        <f>COUNTIF(defects!$Z:$Z,EA$3&amp;$C$1&amp;$B$3&amp;$B$2&amp;$B6&amp;$B$1)</f>
        <v>0</v>
      </c>
      <c r="EB6" s="3">
        <f>COUNTIF(defects!$Z:$Z,EB$3&amp;$C$1&amp;$B$3&amp;$B$2&amp;$B6&amp;$B$1)</f>
        <v>0</v>
      </c>
      <c r="EC6" s="3">
        <f>COUNTIF(defects!$Z:$Z,EC$3&amp;$C$1&amp;$B$3&amp;$B$2&amp;$B6&amp;$B$1)</f>
        <v>0</v>
      </c>
      <c r="ED6" s="3">
        <f>COUNTIF(defects!$Z:$Z,ED$3&amp;$C$1&amp;$B$3&amp;$B$2&amp;$B6&amp;$B$1)</f>
        <v>0</v>
      </c>
      <c r="EE6" s="3">
        <f>COUNTIF(defects!$Z:$Z,EE$3&amp;$C$1&amp;$B$3&amp;$B$2&amp;$B6&amp;$B$1)</f>
        <v>0</v>
      </c>
      <c r="EF6" s="3">
        <f>COUNTIF(defects!$Z:$Z,EF$3&amp;$C$1&amp;$B$3&amp;$B$2&amp;$B6&amp;$B$1)</f>
        <v>0</v>
      </c>
      <c r="EG6" s="3">
        <f>COUNTIF(defects!$Z:$Z,EG$3&amp;$C$1&amp;$B$3&amp;$B$2&amp;$B6&amp;$B$1)</f>
        <v>0</v>
      </c>
      <c r="EH6" s="3">
        <f>COUNTIF(defects!$Z:$Z,EH$3&amp;$C$1&amp;$B$3&amp;$B$2&amp;$B6&amp;$B$1)</f>
        <v>0</v>
      </c>
      <c r="EI6" s="3">
        <f>COUNTIF(defects!$Z:$Z,EI$3&amp;$C$1&amp;$B$3&amp;$B$2&amp;$B6&amp;$B$1)</f>
        <v>0</v>
      </c>
      <c r="EJ6" s="3">
        <f>COUNTIF(defects!$Z:$Z,EJ$3&amp;$C$1&amp;$B$3&amp;$B$2&amp;$B6&amp;$B$1)</f>
        <v>0</v>
      </c>
      <c r="EK6" s="3">
        <f>COUNTIF(defects!$Z:$Z,EK$3&amp;$C$1&amp;$B$3&amp;$B$2&amp;$B6&amp;$B$1)</f>
        <v>0</v>
      </c>
      <c r="EL6" s="3">
        <f>COUNTIF(defects!$Z:$Z,EL$3&amp;$C$1&amp;$B$3&amp;$B$2&amp;$B6&amp;$B$1)</f>
        <v>0</v>
      </c>
      <c r="EM6" s="3">
        <f>COUNTIF(defects!$Z:$Z,EM$3&amp;$C$1&amp;$B$3&amp;$B$2&amp;$B6&amp;$B$1)</f>
        <v>0</v>
      </c>
      <c r="EN6" s="3">
        <f>COUNTIF(defects!$Z:$Z,EN$3&amp;$C$1&amp;$B$3&amp;$B$2&amp;$B6&amp;$B$1)</f>
        <v>0</v>
      </c>
      <c r="EO6" s="3">
        <f>COUNTIF(defects!$Z:$Z,EO$3&amp;$C$1&amp;$B$3&amp;$B$2&amp;$B6&amp;$B$1)</f>
        <v>0</v>
      </c>
      <c r="EP6" s="3">
        <f>COUNTIF(defects!$Z:$Z,EP$3&amp;$C$1&amp;$B$3&amp;$B$2&amp;$B6&amp;$B$1)</f>
        <v>0</v>
      </c>
      <c r="EQ6" s="3">
        <f>COUNTIF(defects!$Z:$Z,EQ$3&amp;$C$1&amp;$B$3&amp;$B$2&amp;$B6&amp;$B$1)</f>
        <v>0</v>
      </c>
      <c r="ER6" s="3">
        <f>COUNTIF(defects!$Z:$Z,ER$3&amp;$C$1&amp;$B$3&amp;$B$2&amp;$B6&amp;$B$1)</f>
        <v>0</v>
      </c>
      <c r="ES6" s="3">
        <f>COUNTIF(defects!$Z:$Z,ES$3&amp;$C$1&amp;$B$3&amp;$B$2&amp;$B6&amp;$B$1)</f>
        <v>0</v>
      </c>
      <c r="ET6" s="3">
        <f>COUNTIF(defects!$Z:$Z,ET$3&amp;$C$1&amp;$B$3&amp;$B$2&amp;$B6&amp;$B$1)</f>
        <v>0</v>
      </c>
      <c r="EU6" s="3">
        <f>COUNTIF(defects!$Z:$Z,EU$3&amp;$C$1&amp;$B$3&amp;$B$2&amp;$B6&amp;$B$1)</f>
        <v>0</v>
      </c>
      <c r="EV6" s="3">
        <f>COUNTIF(defects!$Z:$Z,EV$3&amp;$C$1&amp;$B$3&amp;$B$2&amp;$B6&amp;$B$1)</f>
        <v>0</v>
      </c>
      <c r="EW6" s="3">
        <f>COUNTIF(defects!$Z:$Z,EW$3&amp;$C$1&amp;$B$3&amp;$B$2&amp;$B6&amp;$B$1)</f>
        <v>0</v>
      </c>
      <c r="EX6" s="3">
        <f>COUNTIF(defects!$Z:$Z,EX$3&amp;$C$1&amp;$B$3&amp;$B$2&amp;$B6&amp;$B$1)</f>
        <v>0</v>
      </c>
      <c r="EY6" s="3">
        <f>COUNTIF(defects!$Z:$Z,EY$3&amp;$C$1&amp;$B$3&amp;$B$2&amp;$B6&amp;$B$1)</f>
        <v>0</v>
      </c>
      <c r="EZ6" s="3">
        <f>COUNTIF(defects!$Z:$Z,EZ$3&amp;$C$1&amp;$B$3&amp;$B$2&amp;$B6&amp;$B$1)</f>
        <v>0</v>
      </c>
      <c r="FA6" s="3">
        <f>COUNTIF(defects!$Z:$Z,FA$3&amp;$C$1&amp;$B$3&amp;$B$2&amp;$B6&amp;$B$1)</f>
        <v>0</v>
      </c>
      <c r="FB6" s="3">
        <f>COUNTIF(defects!$Z:$Z,FB$3&amp;$C$1&amp;$B$3&amp;$B$2&amp;$B6&amp;$B$1)</f>
        <v>0</v>
      </c>
      <c r="FC6" s="3">
        <f>COUNTIF(defects!$Z:$Z,FC$3&amp;$C$1&amp;$B$3&amp;$B$2&amp;$B6&amp;$B$1)</f>
        <v>0</v>
      </c>
      <c r="FD6" s="3">
        <f>COUNTIF(defects!$Z:$Z,FD$3&amp;$C$1&amp;$B$3&amp;$B$2&amp;$B6&amp;$B$1)</f>
        <v>0</v>
      </c>
      <c r="FE6" s="3">
        <f>COUNTIF(defects!$Z:$Z,FE$3&amp;$C$1&amp;$B$3&amp;$B$2&amp;$B6&amp;$B$1)</f>
        <v>0</v>
      </c>
    </row>
    <row r="7" spans="2:161">
      <c r="B7" t="s">
        <v>27</v>
      </c>
      <c r="C7" s="3">
        <f>COUNTIF(defects!$Z:$Z,C$3&amp;$C$1&amp;$B$3&amp;$B$2&amp;$B7&amp;$B$1)</f>
        <v>0</v>
      </c>
      <c r="D7" s="3">
        <f>COUNTIF(defects!$Z:$Z,D$3&amp;$C$1&amp;$B$3&amp;$B$2&amp;$B7&amp;$B$1)</f>
        <v>0</v>
      </c>
      <c r="E7" s="3">
        <f>COUNTIF(defects!$Z:$Z,E$3&amp;$C$1&amp;$B$3&amp;$B$2&amp;$B7&amp;$B$1)</f>
        <v>0</v>
      </c>
      <c r="F7" s="3">
        <f>COUNTIF(defects!$Z:$Z,F$3&amp;$C$1&amp;$B$3&amp;$B$2&amp;$B7&amp;$B$1)</f>
        <v>0</v>
      </c>
      <c r="G7" s="3">
        <f>COUNTIF(defects!$Z:$Z,G$3&amp;$C$1&amp;$B$3&amp;$B$2&amp;$B7&amp;$B$1)</f>
        <v>0</v>
      </c>
      <c r="H7" s="3">
        <f>COUNTIF(defects!$Z:$Z,H$3&amp;$C$1&amp;$B$3&amp;$B$2&amp;$B7&amp;$B$1)</f>
        <v>0</v>
      </c>
      <c r="I7" s="3">
        <f>COUNTIF(defects!$Z:$Z,I$3&amp;$C$1&amp;$B$3&amp;$B$2&amp;$B7&amp;$B$1)</f>
        <v>0</v>
      </c>
      <c r="J7" s="3">
        <f>COUNTIF(defects!$Z:$Z,J$3&amp;$C$1&amp;$B$3&amp;$B$2&amp;$B7&amp;$B$1)</f>
        <v>0</v>
      </c>
      <c r="K7" s="3">
        <f>COUNTIF(defects!$Z:$Z,K$3&amp;$C$1&amp;$B$3&amp;$B$2&amp;$B7&amp;$B$1)</f>
        <v>0</v>
      </c>
      <c r="L7" s="3">
        <f>COUNTIF(defects!$Z:$Z,L$3&amp;$C$1&amp;$B$3&amp;$B$2&amp;$B7&amp;$B$1)</f>
        <v>0</v>
      </c>
      <c r="M7" s="3">
        <f>COUNTIF(defects!$Z:$Z,M$3&amp;$C$1&amp;$B$3&amp;$B$2&amp;$B7&amp;$B$1)</f>
        <v>0</v>
      </c>
      <c r="N7" s="3">
        <f>COUNTIF(defects!$Z:$Z,N$3&amp;$C$1&amp;$B$3&amp;$B$2&amp;$B7&amp;$B$1)</f>
        <v>0</v>
      </c>
      <c r="O7" s="3">
        <f>COUNTIF(defects!$Z:$Z,O$3&amp;$C$1&amp;$B$3&amp;$B$2&amp;$B7&amp;$B$1)</f>
        <v>0</v>
      </c>
      <c r="P7" s="3">
        <f>COUNTIF(defects!$Z:$Z,P$3&amp;$C$1&amp;$B$3&amp;$B$2&amp;$B7&amp;$B$1)</f>
        <v>0</v>
      </c>
      <c r="Q7" s="3">
        <f>COUNTIF(defects!$Z:$Z,Q$3&amp;$C$1&amp;$B$3&amp;$B$2&amp;$B7&amp;$B$1)</f>
        <v>0</v>
      </c>
      <c r="R7" s="3">
        <f>COUNTIF(defects!$Z:$Z,R$3&amp;$C$1&amp;$B$3&amp;$B$2&amp;$B7&amp;$B$1)</f>
        <v>0</v>
      </c>
      <c r="S7" s="3">
        <f>COUNTIF(defects!$Z:$Z,S$3&amp;$C$1&amp;$B$3&amp;$B$2&amp;$B7&amp;$B$1)</f>
        <v>0</v>
      </c>
      <c r="T7" s="3">
        <f>COUNTIF(defects!$Z:$Z,T$3&amp;$C$1&amp;$B$3&amp;$B$2&amp;$B7&amp;$B$1)</f>
        <v>0</v>
      </c>
      <c r="U7" s="3">
        <f>COUNTIF(defects!$Z:$Z,U$3&amp;$C$1&amp;$B$3&amp;$B$2&amp;$B7&amp;$B$1)</f>
        <v>0</v>
      </c>
      <c r="V7" s="3">
        <f>COUNTIF(defects!$Z:$Z,V$3&amp;$C$1&amp;$B$3&amp;$B$2&amp;$B7&amp;$B$1)</f>
        <v>0</v>
      </c>
      <c r="W7" s="3">
        <f>COUNTIF(defects!$Z:$Z,W$3&amp;$C$1&amp;$B$3&amp;$B$2&amp;$B7&amp;$B$1)</f>
        <v>0</v>
      </c>
      <c r="X7" s="3">
        <f>COUNTIF(defects!$Z:$Z,X$3&amp;$C$1&amp;$B$3&amp;$B$2&amp;$B7&amp;$B$1)</f>
        <v>0</v>
      </c>
      <c r="Y7" s="3">
        <f>COUNTIF(defects!$Z:$Z,Y$3&amp;$C$1&amp;$B$3&amp;$B$2&amp;$B7&amp;$B$1)</f>
        <v>0</v>
      </c>
      <c r="Z7" s="3">
        <f>COUNTIF(defects!$Z:$Z,Z$3&amp;$C$1&amp;$B$3&amp;$B$2&amp;$B7&amp;$B$1)</f>
        <v>0</v>
      </c>
      <c r="AA7" s="3">
        <f>COUNTIF(defects!$Z:$Z,AA$3&amp;$C$1&amp;$B$3&amp;$B$2&amp;$B7&amp;$B$1)</f>
        <v>0</v>
      </c>
      <c r="AB7" s="3">
        <f>COUNTIF(defects!$Z:$Z,AB$3&amp;$C$1&amp;$B$3&amp;$B$2&amp;$B7&amp;$B$1)</f>
        <v>0</v>
      </c>
      <c r="AC7" s="3">
        <f>COUNTIF(defects!$Z:$Z,AC$3&amp;$C$1&amp;$B$3&amp;$B$2&amp;$B7&amp;$B$1)</f>
        <v>0</v>
      </c>
      <c r="AD7" s="3">
        <f>COUNTIF(defects!$Z:$Z,AD$3&amp;$C$1&amp;$B$3&amp;$B$2&amp;$B7&amp;$B$1)</f>
        <v>0</v>
      </c>
      <c r="AE7" s="3">
        <f>COUNTIF(defects!$Z:$Z,AE$3&amp;$C$1&amp;$B$3&amp;$B$2&amp;$B7&amp;$B$1)</f>
        <v>0</v>
      </c>
      <c r="AF7" s="3">
        <f>COUNTIF(defects!$Z:$Z,AF$3&amp;$C$1&amp;$B$3&amp;$B$2&amp;$B7&amp;$B$1)</f>
        <v>0</v>
      </c>
      <c r="AG7" s="3">
        <f>COUNTIF(defects!$Z:$Z,AG$3&amp;$C$1&amp;$B$3&amp;$B$2&amp;$B7&amp;$B$1)</f>
        <v>0</v>
      </c>
      <c r="AH7" s="3">
        <f>COUNTIF(defects!$Z:$Z,AH$3&amp;$C$1&amp;$B$3&amp;$B$2&amp;$B7&amp;$B$1)</f>
        <v>0</v>
      </c>
      <c r="AI7" s="3">
        <f>COUNTIF(defects!$Z:$Z,AI$3&amp;$C$1&amp;$B$3&amp;$B$2&amp;$B7&amp;$B$1)</f>
        <v>0</v>
      </c>
      <c r="AJ7" s="3">
        <f>COUNTIF(defects!$Z:$Z,AJ$3&amp;$C$1&amp;$B$3&amp;$B$2&amp;$B7&amp;$B$1)</f>
        <v>0</v>
      </c>
      <c r="AK7" s="3">
        <f>COUNTIF(defects!$Z:$Z,AK$3&amp;$C$1&amp;$B$3&amp;$B$2&amp;$B7&amp;$B$1)</f>
        <v>0</v>
      </c>
      <c r="AL7" s="3">
        <f>COUNTIF(defects!$Z:$Z,AL$3&amp;$C$1&amp;$B$3&amp;$B$2&amp;$B7&amp;$B$1)</f>
        <v>0</v>
      </c>
      <c r="AM7" s="3">
        <f>COUNTIF(defects!$Z:$Z,AM$3&amp;$C$1&amp;$B$3&amp;$B$2&amp;$B7&amp;$B$1)</f>
        <v>0</v>
      </c>
      <c r="AN7" s="3">
        <f>COUNTIF(defects!$Z:$Z,AN$3&amp;$C$1&amp;$B$3&amp;$B$2&amp;$B7&amp;$B$1)</f>
        <v>0</v>
      </c>
      <c r="AO7" s="3">
        <f>COUNTIF(defects!$Z:$Z,AO$3&amp;$C$1&amp;$B$3&amp;$B$2&amp;$B7&amp;$B$1)</f>
        <v>0</v>
      </c>
      <c r="AP7" s="3">
        <f>COUNTIF(defects!$Z:$Z,AP$3&amp;$C$1&amp;$B$3&amp;$B$2&amp;$B7&amp;$B$1)</f>
        <v>0</v>
      </c>
      <c r="AQ7" s="3">
        <f>COUNTIF(defects!$Z:$Z,AQ$3&amp;$C$1&amp;$B$3&amp;$B$2&amp;$B7&amp;$B$1)</f>
        <v>0</v>
      </c>
      <c r="AR7" s="3">
        <f>COUNTIF(defects!$Z:$Z,AR$3&amp;$C$1&amp;$B$3&amp;$B$2&amp;$B7&amp;$B$1)</f>
        <v>0</v>
      </c>
      <c r="AS7" s="3">
        <f>COUNTIF(defects!$Z:$Z,AS$3&amp;$C$1&amp;$B$3&amp;$B$2&amp;$B7&amp;$B$1)</f>
        <v>0</v>
      </c>
      <c r="AT7" s="3">
        <f>COUNTIF(defects!$Z:$Z,AT$3&amp;$C$1&amp;$B$3&amp;$B$2&amp;$B7&amp;$B$1)</f>
        <v>0</v>
      </c>
      <c r="AU7" s="3">
        <f>COUNTIF(defects!$Z:$Z,AU$3&amp;$C$1&amp;$B$3&amp;$B$2&amp;$B7&amp;$B$1)</f>
        <v>0</v>
      </c>
      <c r="AV7" s="3">
        <f>COUNTIF(defects!$Z:$Z,AV$3&amp;$C$1&amp;$B$3&amp;$B$2&amp;$B7&amp;$B$1)</f>
        <v>0</v>
      </c>
      <c r="AW7" s="3">
        <f>COUNTIF(defects!$Z:$Z,AW$3&amp;$C$1&amp;$B$3&amp;$B$2&amp;$B7&amp;$B$1)</f>
        <v>0</v>
      </c>
      <c r="AX7" s="3">
        <f>COUNTIF(defects!$Z:$Z,AX$3&amp;$C$1&amp;$B$3&amp;$B$2&amp;$B7&amp;$B$1)</f>
        <v>0</v>
      </c>
      <c r="AY7" s="3">
        <f>COUNTIF(defects!$Z:$Z,AY$3&amp;$C$1&amp;$B$3&amp;$B$2&amp;$B7&amp;$B$1)</f>
        <v>0</v>
      </c>
      <c r="AZ7" s="3">
        <f>COUNTIF(defects!$Z:$Z,AZ$3&amp;$C$1&amp;$B$3&amp;$B$2&amp;$B7&amp;$B$1)</f>
        <v>0</v>
      </c>
      <c r="BA7" s="3">
        <f>COUNTIF(defects!$Z:$Z,BA$3&amp;$C$1&amp;$B$3&amp;$B$2&amp;$B7&amp;$B$1)</f>
        <v>0</v>
      </c>
      <c r="BB7" s="3">
        <f>COUNTIF(defects!$Z:$Z,BB$3&amp;$C$1&amp;$B$3&amp;$B$2&amp;$B7&amp;$B$1)</f>
        <v>0</v>
      </c>
      <c r="BC7" s="3">
        <f>COUNTIF(defects!$Z:$Z,BC$3&amp;$C$1&amp;$B$3&amp;$B$2&amp;$B7&amp;$B$1)</f>
        <v>0</v>
      </c>
      <c r="BD7" s="3">
        <f>COUNTIF(defects!$Z:$Z,BD$3&amp;$C$1&amp;$B$3&amp;$B$2&amp;$B7&amp;$B$1)</f>
        <v>0</v>
      </c>
      <c r="BE7" s="3">
        <f>COUNTIF(defects!$Z:$Z,BE$3&amp;$C$1&amp;$B$3&amp;$B$2&amp;$B7&amp;$B$1)</f>
        <v>0</v>
      </c>
      <c r="BF7" s="3">
        <f>COUNTIF(defects!$Z:$Z,BF$3&amp;$C$1&amp;$B$3&amp;$B$2&amp;$B7&amp;$B$1)</f>
        <v>0</v>
      </c>
      <c r="BG7" s="3">
        <f>COUNTIF(defects!$Z:$Z,BG$3&amp;$C$1&amp;$B$3&amp;$B$2&amp;$B7&amp;$B$1)</f>
        <v>0</v>
      </c>
      <c r="BH7" s="3">
        <f>COUNTIF(defects!$Z:$Z,BH$3&amp;$C$1&amp;$B$3&amp;$B$2&amp;$B7&amp;$B$1)</f>
        <v>0</v>
      </c>
      <c r="BI7" s="3">
        <f>COUNTIF(defects!$Z:$Z,BI$3&amp;$C$1&amp;$B$3&amp;$B$2&amp;$B7&amp;$B$1)</f>
        <v>0</v>
      </c>
      <c r="BJ7" s="3">
        <f>COUNTIF(defects!$Z:$Z,BJ$3&amp;$C$1&amp;$B$3&amp;$B$2&amp;$B7&amp;$B$1)</f>
        <v>0</v>
      </c>
      <c r="BK7" s="3">
        <f>COUNTIF(defects!$Z:$Z,BK$3&amp;$C$1&amp;$B$3&amp;$B$2&amp;$B7&amp;$B$1)</f>
        <v>0</v>
      </c>
      <c r="BL7" s="3">
        <f>COUNTIF(defects!$Z:$Z,BL$3&amp;$C$1&amp;$B$3&amp;$B$2&amp;$B7&amp;$B$1)</f>
        <v>0</v>
      </c>
      <c r="BM7" s="3">
        <f>COUNTIF(defects!$Z:$Z,BM$3&amp;$C$1&amp;$B$3&amp;$B$2&amp;$B7&amp;$B$1)</f>
        <v>0</v>
      </c>
      <c r="BN7" s="3">
        <f>COUNTIF(defects!$Z:$Z,BN$3&amp;$C$1&amp;$B$3&amp;$B$2&amp;$B7&amp;$B$1)</f>
        <v>0</v>
      </c>
      <c r="BO7" s="3">
        <f>COUNTIF(defects!$Z:$Z,BO$3&amp;$C$1&amp;$B$3&amp;$B$2&amp;$B7&amp;$B$1)</f>
        <v>0</v>
      </c>
      <c r="BP7" s="3">
        <f>COUNTIF(defects!$Z:$Z,BP$3&amp;$C$1&amp;$B$3&amp;$B$2&amp;$B7&amp;$B$1)</f>
        <v>0</v>
      </c>
      <c r="BQ7" s="3">
        <f>COUNTIF(defects!$Z:$Z,BQ$3&amp;$C$1&amp;$B$3&amp;$B$2&amp;$B7&amp;$B$1)</f>
        <v>0</v>
      </c>
      <c r="BR7" s="3">
        <f>COUNTIF(defects!$Z:$Z,BR$3&amp;$C$1&amp;$B$3&amp;$B$2&amp;$B7&amp;$B$1)</f>
        <v>0</v>
      </c>
      <c r="BS7" s="3">
        <f>COUNTIF(defects!$Z:$Z,BS$3&amp;$C$1&amp;$B$3&amp;$B$2&amp;$B7&amp;$B$1)</f>
        <v>0</v>
      </c>
      <c r="BT7" s="3">
        <f>COUNTIF(defects!$Z:$Z,BT$3&amp;$C$1&amp;$B$3&amp;$B$2&amp;$B7&amp;$B$1)</f>
        <v>0</v>
      </c>
      <c r="BU7" s="3">
        <f>COUNTIF(defects!$Z:$Z,BU$3&amp;$C$1&amp;$B$3&amp;$B$2&amp;$B7&amp;$B$1)</f>
        <v>0</v>
      </c>
      <c r="BV7" s="3">
        <f>COUNTIF(defects!$Z:$Z,BV$3&amp;$C$1&amp;$B$3&amp;$B$2&amp;$B7&amp;$B$1)</f>
        <v>0</v>
      </c>
      <c r="BW7" s="3">
        <f>COUNTIF(defects!$Z:$Z,BW$3&amp;$C$1&amp;$B$3&amp;$B$2&amp;$B7&amp;$B$1)</f>
        <v>0</v>
      </c>
      <c r="BX7" s="3">
        <f>COUNTIF(defects!$Z:$Z,BX$3&amp;$C$1&amp;$B$3&amp;$B$2&amp;$B7&amp;$B$1)</f>
        <v>0</v>
      </c>
      <c r="BY7" s="3">
        <f>COUNTIF(defects!$Z:$Z,BY$3&amp;$C$1&amp;$B$3&amp;$B$2&amp;$B7&amp;$B$1)</f>
        <v>0</v>
      </c>
      <c r="BZ7" s="3">
        <f>COUNTIF(defects!$Z:$Z,BZ$3&amp;$C$1&amp;$B$3&amp;$B$2&amp;$B7&amp;$B$1)</f>
        <v>0</v>
      </c>
      <c r="CA7" s="3">
        <f>COUNTIF(defects!$Z:$Z,CA$3&amp;$C$1&amp;$B$3&amp;$B$2&amp;$B7&amp;$B$1)</f>
        <v>0</v>
      </c>
      <c r="CB7" s="3">
        <f>COUNTIF(defects!$Z:$Z,CB$3&amp;$C$1&amp;$B$3&amp;$B$2&amp;$B7&amp;$B$1)</f>
        <v>0</v>
      </c>
      <c r="CC7" s="3">
        <f>COUNTIF(defects!$Z:$Z,CC$3&amp;$C$1&amp;$B$3&amp;$B$2&amp;$B7&amp;$B$1)</f>
        <v>0</v>
      </c>
      <c r="CD7" s="3">
        <f>COUNTIF(defects!$Z:$Z,CD$3&amp;$C$1&amp;$B$3&amp;$B$2&amp;$B7&amp;$B$1)</f>
        <v>0</v>
      </c>
      <c r="CE7" s="3">
        <f>COUNTIF(defects!$Z:$Z,CE$3&amp;$C$1&amp;$B$3&amp;$B$2&amp;$B7&amp;$B$1)</f>
        <v>0</v>
      </c>
      <c r="CF7" s="3">
        <f>COUNTIF(defects!$Z:$Z,CF$3&amp;$C$1&amp;$B$3&amp;$B$2&amp;$B7&amp;$B$1)</f>
        <v>1</v>
      </c>
      <c r="CG7" s="3">
        <f>COUNTIF(defects!$Z:$Z,CG$3&amp;$C$1&amp;$B$3&amp;$B$2&amp;$B7&amp;$B$1)</f>
        <v>0</v>
      </c>
      <c r="CH7" s="3">
        <f>COUNTIF(defects!$Z:$Z,CH$3&amp;$C$1&amp;$B$3&amp;$B$2&amp;$B7&amp;$B$1)</f>
        <v>0</v>
      </c>
      <c r="CI7" s="3">
        <f>COUNTIF(defects!$Z:$Z,CI$3&amp;$C$1&amp;$B$3&amp;$B$2&amp;$B7&amp;$B$1)</f>
        <v>0</v>
      </c>
      <c r="CJ7" s="3">
        <f>COUNTIF(defects!$Z:$Z,CJ$3&amp;$C$1&amp;$B$3&amp;$B$2&amp;$B7&amp;$B$1)</f>
        <v>0</v>
      </c>
      <c r="CK7" s="3">
        <f>COUNTIF(defects!$Z:$Z,CK$3&amp;$C$1&amp;$B$3&amp;$B$2&amp;$B7&amp;$B$1)</f>
        <v>3</v>
      </c>
      <c r="CL7" s="3">
        <f>COUNTIF(defects!$Z:$Z,CL$3&amp;$C$1&amp;$B$3&amp;$B$2&amp;$B7&amp;$B$1)</f>
        <v>0</v>
      </c>
      <c r="CM7" s="3">
        <f>COUNTIF(defects!$Z:$Z,CM$3&amp;$C$1&amp;$B$3&amp;$B$2&amp;$B7&amp;$B$1)</f>
        <v>0</v>
      </c>
      <c r="CN7" s="3">
        <f>COUNTIF(defects!$Z:$Z,CN$3&amp;$C$1&amp;$B$3&amp;$B$2&amp;$B7&amp;$B$1)</f>
        <v>0</v>
      </c>
      <c r="CO7" s="3">
        <f>COUNTIF(defects!$Z:$Z,CO$3&amp;$C$1&amp;$B$3&amp;$B$2&amp;$B7&amp;$B$1)</f>
        <v>0</v>
      </c>
      <c r="CP7" s="3">
        <f>COUNTIF(defects!$Z:$Z,CP$3&amp;$C$1&amp;$B$3&amp;$B$2&amp;$B7&amp;$B$1)</f>
        <v>1</v>
      </c>
      <c r="CQ7" s="3">
        <f>COUNTIF(defects!$Z:$Z,CQ$3&amp;$C$1&amp;$B$3&amp;$B$2&amp;$B7&amp;$B$1)</f>
        <v>0</v>
      </c>
      <c r="CR7" s="3">
        <f>COUNTIF(defects!$Z:$Z,CR$3&amp;$C$1&amp;$B$3&amp;$B$2&amp;$B7&amp;$B$1)</f>
        <v>0</v>
      </c>
      <c r="CS7" s="3">
        <f>COUNTIF(defects!$Z:$Z,CS$3&amp;$C$1&amp;$B$3&amp;$B$2&amp;$B7&amp;$B$1)</f>
        <v>0</v>
      </c>
      <c r="CT7" s="3">
        <f>COUNTIF(defects!$Z:$Z,CT$3&amp;$C$1&amp;$B$3&amp;$B$2&amp;$B7&amp;$B$1)</f>
        <v>0</v>
      </c>
      <c r="CU7" s="3">
        <f>COUNTIF(defects!$Z:$Z,CU$3&amp;$C$1&amp;$B$3&amp;$B$2&amp;$B7&amp;$B$1)</f>
        <v>0</v>
      </c>
      <c r="CV7" s="3">
        <f>COUNTIF(defects!$Z:$Z,CV$3&amp;$C$1&amp;$B$3&amp;$B$2&amp;$B7&amp;$B$1)</f>
        <v>0</v>
      </c>
      <c r="CW7" s="3">
        <f>COUNTIF(defects!$Z:$Z,CW$3&amp;$C$1&amp;$B$3&amp;$B$2&amp;$B7&amp;$B$1)</f>
        <v>0</v>
      </c>
      <c r="CX7" s="3">
        <f>COUNTIF(defects!$Z:$Z,CX$3&amp;$C$1&amp;$B$3&amp;$B$2&amp;$B7&amp;$B$1)</f>
        <v>0</v>
      </c>
      <c r="CY7" s="3">
        <f>COUNTIF(defects!$Z:$Z,CY$3&amp;$C$1&amp;$B$3&amp;$B$2&amp;$B7&amp;$B$1)</f>
        <v>0</v>
      </c>
      <c r="CZ7" s="3">
        <f>COUNTIF(defects!$Z:$Z,CZ$3&amp;$C$1&amp;$B$3&amp;$B$2&amp;$B7&amp;$B$1)</f>
        <v>0</v>
      </c>
      <c r="DA7" s="3">
        <f>COUNTIF(defects!$Z:$Z,DA$3&amp;$C$1&amp;$B$3&amp;$B$2&amp;$B7&amp;$B$1)</f>
        <v>0</v>
      </c>
      <c r="DB7" s="3">
        <f>COUNTIF(defects!$Z:$Z,DB$3&amp;$C$1&amp;$B$3&amp;$B$2&amp;$B7&amp;$B$1)</f>
        <v>0</v>
      </c>
      <c r="DC7" s="3">
        <f>COUNTIF(defects!$Z:$Z,DC$3&amp;$C$1&amp;$B$3&amp;$B$2&amp;$B7&amp;$B$1)</f>
        <v>0</v>
      </c>
      <c r="DD7" s="3">
        <f>COUNTIF(defects!$Z:$Z,DD$3&amp;$C$1&amp;$B$3&amp;$B$2&amp;$B7&amp;$B$1)</f>
        <v>0</v>
      </c>
      <c r="DE7" s="3">
        <f>COUNTIF(defects!$Z:$Z,DE$3&amp;$C$1&amp;$B$3&amp;$B$2&amp;$B7&amp;$B$1)</f>
        <v>0</v>
      </c>
      <c r="DF7" s="3">
        <f>COUNTIF(defects!$Z:$Z,DF$3&amp;$C$1&amp;$B$3&amp;$B$2&amp;$B7&amp;$B$1)</f>
        <v>0</v>
      </c>
      <c r="DG7" s="3">
        <f>COUNTIF(defects!$Z:$Z,DG$3&amp;$C$1&amp;$B$3&amp;$B$2&amp;$B7&amp;$B$1)</f>
        <v>0</v>
      </c>
      <c r="DH7" s="3">
        <f>COUNTIF(defects!$Z:$Z,DH$3&amp;$C$1&amp;$B$3&amp;$B$2&amp;$B7&amp;$B$1)</f>
        <v>0</v>
      </c>
      <c r="DI7" s="3">
        <f>COUNTIF(defects!$Z:$Z,DI$3&amp;$C$1&amp;$B$3&amp;$B$2&amp;$B7&amp;$B$1)</f>
        <v>0</v>
      </c>
      <c r="DJ7" s="3">
        <f>COUNTIF(defects!$Z:$Z,DJ$3&amp;$C$1&amp;$B$3&amp;$B$2&amp;$B7&amp;$B$1)</f>
        <v>0</v>
      </c>
      <c r="DK7" s="3">
        <f>COUNTIF(defects!$Z:$Z,DK$3&amp;$C$1&amp;$B$3&amp;$B$2&amp;$B7&amp;$B$1)</f>
        <v>0</v>
      </c>
      <c r="DL7" s="3">
        <f>COUNTIF(defects!$Z:$Z,DL$3&amp;$C$1&amp;$B$3&amp;$B$2&amp;$B7&amp;$B$1)</f>
        <v>0</v>
      </c>
      <c r="DM7" s="3">
        <f>COUNTIF(defects!$Z:$Z,DM$3&amp;$C$1&amp;$B$3&amp;$B$2&amp;$B7&amp;$B$1)</f>
        <v>0</v>
      </c>
      <c r="DN7" s="3">
        <f>COUNTIF(defects!$Z:$Z,DN$3&amp;$C$1&amp;$B$3&amp;$B$2&amp;$B7&amp;$B$1)</f>
        <v>0</v>
      </c>
      <c r="DO7" s="3">
        <f>COUNTIF(defects!$Z:$Z,DO$3&amp;$C$1&amp;$B$3&amp;$B$2&amp;$B7&amp;$B$1)</f>
        <v>0</v>
      </c>
      <c r="DP7" s="3">
        <f>COUNTIF(defects!$Z:$Z,DP$3&amp;$C$1&amp;$B$3&amp;$B$2&amp;$B7&amp;$B$1)</f>
        <v>0</v>
      </c>
      <c r="DQ7" s="3">
        <f>COUNTIF(defects!$Z:$Z,DQ$3&amp;$C$1&amp;$B$3&amp;$B$2&amp;$B7&amp;$B$1)</f>
        <v>0</v>
      </c>
      <c r="DR7" s="3">
        <f>COUNTIF(defects!$Z:$Z,DR$3&amp;$C$1&amp;$B$3&amp;$B$2&amp;$B7&amp;$B$1)</f>
        <v>0</v>
      </c>
      <c r="DS7" s="3">
        <f>COUNTIF(defects!$Z:$Z,DS$3&amp;$C$1&amp;$B$3&amp;$B$2&amp;$B7&amp;$B$1)</f>
        <v>0</v>
      </c>
      <c r="DT7" s="3">
        <f>COUNTIF(defects!$Z:$Z,DT$3&amp;$C$1&amp;$B$3&amp;$B$2&amp;$B7&amp;$B$1)</f>
        <v>0</v>
      </c>
      <c r="DU7" s="3">
        <f>COUNTIF(defects!$Z:$Z,DU$3&amp;$C$1&amp;$B$3&amp;$B$2&amp;$B7&amp;$B$1)</f>
        <v>0</v>
      </c>
      <c r="DV7" s="3">
        <f>COUNTIF(defects!$Z:$Z,DV$3&amp;$C$1&amp;$B$3&amp;$B$2&amp;$B7&amp;$B$1)</f>
        <v>0</v>
      </c>
      <c r="DW7" s="3">
        <f>COUNTIF(defects!$Z:$Z,DW$3&amp;$C$1&amp;$B$3&amp;$B$2&amp;$B7&amp;$B$1)</f>
        <v>0</v>
      </c>
      <c r="DX7" s="3">
        <f>COUNTIF(defects!$Z:$Z,DX$3&amp;$C$1&amp;$B$3&amp;$B$2&amp;$B7&amp;$B$1)</f>
        <v>0</v>
      </c>
      <c r="DY7" s="3">
        <f>COUNTIF(defects!$Z:$Z,DY$3&amp;$C$1&amp;$B$3&amp;$B$2&amp;$B7&amp;$B$1)</f>
        <v>0</v>
      </c>
      <c r="DZ7" s="3">
        <f>COUNTIF(defects!$Z:$Z,DZ$3&amp;$C$1&amp;$B$3&amp;$B$2&amp;$B7&amp;$B$1)</f>
        <v>0</v>
      </c>
      <c r="EA7" s="3">
        <f>COUNTIF(defects!$Z:$Z,EA$3&amp;$C$1&amp;$B$3&amp;$B$2&amp;$B7&amp;$B$1)</f>
        <v>0</v>
      </c>
      <c r="EB7" s="3">
        <f>COUNTIF(defects!$Z:$Z,EB$3&amp;$C$1&amp;$B$3&amp;$B$2&amp;$B7&amp;$B$1)</f>
        <v>0</v>
      </c>
      <c r="EC7" s="3">
        <f>COUNTIF(defects!$Z:$Z,EC$3&amp;$C$1&amp;$B$3&amp;$B$2&amp;$B7&amp;$B$1)</f>
        <v>0</v>
      </c>
      <c r="ED7" s="3">
        <f>COUNTIF(defects!$Z:$Z,ED$3&amp;$C$1&amp;$B$3&amp;$B$2&amp;$B7&amp;$B$1)</f>
        <v>0</v>
      </c>
      <c r="EE7" s="3">
        <f>COUNTIF(defects!$Z:$Z,EE$3&amp;$C$1&amp;$B$3&amp;$B$2&amp;$B7&amp;$B$1)</f>
        <v>0</v>
      </c>
      <c r="EF7" s="3">
        <f>COUNTIF(defects!$Z:$Z,EF$3&amp;$C$1&amp;$B$3&amp;$B$2&amp;$B7&amp;$B$1)</f>
        <v>0</v>
      </c>
      <c r="EG7" s="3">
        <f>COUNTIF(defects!$Z:$Z,EG$3&amp;$C$1&amp;$B$3&amp;$B$2&amp;$B7&amp;$B$1)</f>
        <v>0</v>
      </c>
      <c r="EH7" s="3">
        <f>COUNTIF(defects!$Z:$Z,EH$3&amp;$C$1&amp;$B$3&amp;$B$2&amp;$B7&amp;$B$1)</f>
        <v>0</v>
      </c>
      <c r="EI7" s="3">
        <f>COUNTIF(defects!$Z:$Z,EI$3&amp;$C$1&amp;$B$3&amp;$B$2&amp;$B7&amp;$B$1)</f>
        <v>0</v>
      </c>
      <c r="EJ7" s="3">
        <f>COUNTIF(defects!$Z:$Z,EJ$3&amp;$C$1&amp;$B$3&amp;$B$2&amp;$B7&amp;$B$1)</f>
        <v>0</v>
      </c>
      <c r="EK7" s="3">
        <f>COUNTIF(defects!$Z:$Z,EK$3&amp;$C$1&amp;$B$3&amp;$B$2&amp;$B7&amp;$B$1)</f>
        <v>0</v>
      </c>
      <c r="EL7" s="3">
        <f>COUNTIF(defects!$Z:$Z,EL$3&amp;$C$1&amp;$B$3&amp;$B$2&amp;$B7&amp;$B$1)</f>
        <v>0</v>
      </c>
      <c r="EM7" s="3">
        <f>COUNTIF(defects!$Z:$Z,EM$3&amp;$C$1&amp;$B$3&amp;$B$2&amp;$B7&amp;$B$1)</f>
        <v>0</v>
      </c>
      <c r="EN7" s="3">
        <f>COUNTIF(defects!$Z:$Z,EN$3&amp;$C$1&amp;$B$3&amp;$B$2&amp;$B7&amp;$B$1)</f>
        <v>0</v>
      </c>
      <c r="EO7" s="3">
        <f>COUNTIF(defects!$Z:$Z,EO$3&amp;$C$1&amp;$B$3&amp;$B$2&amp;$B7&amp;$B$1)</f>
        <v>0</v>
      </c>
      <c r="EP7" s="3">
        <f>COUNTIF(defects!$Z:$Z,EP$3&amp;$C$1&amp;$B$3&amp;$B$2&amp;$B7&amp;$B$1)</f>
        <v>0</v>
      </c>
      <c r="EQ7" s="3">
        <f>COUNTIF(defects!$Z:$Z,EQ$3&amp;$C$1&amp;$B$3&amp;$B$2&amp;$B7&amp;$B$1)</f>
        <v>0</v>
      </c>
      <c r="ER7" s="3">
        <f>COUNTIF(defects!$Z:$Z,ER$3&amp;$C$1&amp;$B$3&amp;$B$2&amp;$B7&amp;$B$1)</f>
        <v>0</v>
      </c>
      <c r="ES7" s="3">
        <f>COUNTIF(defects!$Z:$Z,ES$3&amp;$C$1&amp;$B$3&amp;$B$2&amp;$B7&amp;$B$1)</f>
        <v>0</v>
      </c>
      <c r="ET7" s="3">
        <f>COUNTIF(defects!$Z:$Z,ET$3&amp;$C$1&amp;$B$3&amp;$B$2&amp;$B7&amp;$B$1)</f>
        <v>0</v>
      </c>
      <c r="EU7" s="3">
        <f>COUNTIF(defects!$Z:$Z,EU$3&amp;$C$1&amp;$B$3&amp;$B$2&amp;$B7&amp;$B$1)</f>
        <v>0</v>
      </c>
      <c r="EV7" s="3">
        <f>COUNTIF(defects!$Z:$Z,EV$3&amp;$C$1&amp;$B$3&amp;$B$2&amp;$B7&amp;$B$1)</f>
        <v>0</v>
      </c>
      <c r="EW7" s="3">
        <f>COUNTIF(defects!$Z:$Z,EW$3&amp;$C$1&amp;$B$3&amp;$B$2&amp;$B7&amp;$B$1)</f>
        <v>0</v>
      </c>
      <c r="EX7" s="3">
        <f>COUNTIF(defects!$Z:$Z,EX$3&amp;$C$1&amp;$B$3&amp;$B$2&amp;$B7&amp;$B$1)</f>
        <v>0</v>
      </c>
      <c r="EY7" s="3">
        <f>COUNTIF(defects!$Z:$Z,EY$3&amp;$C$1&amp;$B$3&amp;$B$2&amp;$B7&amp;$B$1)</f>
        <v>0</v>
      </c>
      <c r="EZ7" s="3">
        <f>COUNTIF(defects!$Z:$Z,EZ$3&amp;$C$1&amp;$B$3&amp;$B$2&amp;$B7&amp;$B$1)</f>
        <v>0</v>
      </c>
      <c r="FA7" s="3">
        <f>COUNTIF(defects!$Z:$Z,FA$3&amp;$C$1&amp;$B$3&amp;$B$2&amp;$B7&amp;$B$1)</f>
        <v>0</v>
      </c>
      <c r="FB7" s="3">
        <f>COUNTIF(defects!$Z:$Z,FB$3&amp;$C$1&amp;$B$3&amp;$B$2&amp;$B7&amp;$B$1)</f>
        <v>0</v>
      </c>
      <c r="FC7" s="3">
        <f>COUNTIF(defects!$Z:$Z,FC$3&amp;$C$1&amp;$B$3&amp;$B$2&amp;$B7&amp;$B$1)</f>
        <v>0</v>
      </c>
      <c r="FD7" s="3">
        <f>COUNTIF(defects!$Z:$Z,FD$3&amp;$C$1&amp;$B$3&amp;$B$2&amp;$B7&amp;$B$1)</f>
        <v>0</v>
      </c>
      <c r="FE7" s="3">
        <f>COUNTIF(defects!$Z:$Z,FE$3&amp;$C$1&amp;$B$3&amp;$B$2&amp;$B7&amp;$B$1)</f>
        <v>0</v>
      </c>
    </row>
    <row r="8" spans="2:161">
      <c r="B8" t="s">
        <v>25</v>
      </c>
      <c r="C8" s="3">
        <f>COUNTIF(defects!$Z:$Z,C$3&amp;$C$1&amp;$B$3&amp;$B$2&amp;$B8&amp;$B$1)</f>
        <v>0</v>
      </c>
      <c r="D8" s="3">
        <f>COUNTIF(defects!$Z:$Z,D$3&amp;$C$1&amp;$B$3&amp;$B$2&amp;$B8&amp;$B$1)</f>
        <v>0</v>
      </c>
      <c r="E8" s="3">
        <f>COUNTIF(defects!$Z:$Z,E$3&amp;$C$1&amp;$B$3&amp;$B$2&amp;$B8&amp;$B$1)</f>
        <v>0</v>
      </c>
      <c r="F8" s="3">
        <f>COUNTIF(defects!$Z:$Z,F$3&amp;$C$1&amp;$B$3&amp;$B$2&amp;$B8&amp;$B$1)</f>
        <v>0</v>
      </c>
      <c r="G8" s="3">
        <f>COUNTIF(defects!$Z:$Z,G$3&amp;$C$1&amp;$B$3&amp;$B$2&amp;$B8&amp;$B$1)</f>
        <v>0</v>
      </c>
      <c r="H8" s="3">
        <f>COUNTIF(defects!$Z:$Z,H$3&amp;$C$1&amp;$B$3&amp;$B$2&amp;$B8&amp;$B$1)</f>
        <v>0</v>
      </c>
      <c r="I8" s="3">
        <f>COUNTIF(defects!$Z:$Z,I$3&amp;$C$1&amp;$B$3&amp;$B$2&amp;$B8&amp;$B$1)</f>
        <v>0</v>
      </c>
      <c r="J8" s="3">
        <f>COUNTIF(defects!$Z:$Z,J$3&amp;$C$1&amp;$B$3&amp;$B$2&amp;$B8&amp;$B$1)</f>
        <v>0</v>
      </c>
      <c r="K8" s="3">
        <f>COUNTIF(defects!$Z:$Z,K$3&amp;$C$1&amp;$B$3&amp;$B$2&amp;$B8&amp;$B$1)</f>
        <v>0</v>
      </c>
      <c r="L8" s="3">
        <f>COUNTIF(defects!$Z:$Z,L$3&amp;$C$1&amp;$B$3&amp;$B$2&amp;$B8&amp;$B$1)</f>
        <v>0</v>
      </c>
      <c r="M8" s="3">
        <f>COUNTIF(defects!$Z:$Z,M$3&amp;$C$1&amp;$B$3&amp;$B$2&amp;$B8&amp;$B$1)</f>
        <v>0</v>
      </c>
      <c r="N8" s="3">
        <f>COUNTIF(defects!$Z:$Z,N$3&amp;$C$1&amp;$B$3&amp;$B$2&amp;$B8&amp;$B$1)</f>
        <v>0</v>
      </c>
      <c r="O8" s="3">
        <f>COUNTIF(defects!$Z:$Z,O$3&amp;$C$1&amp;$B$3&amp;$B$2&amp;$B8&amp;$B$1)</f>
        <v>0</v>
      </c>
      <c r="P8" s="3">
        <f>COUNTIF(defects!$Z:$Z,P$3&amp;$C$1&amp;$B$3&amp;$B$2&amp;$B8&amp;$B$1)</f>
        <v>0</v>
      </c>
      <c r="Q8" s="3">
        <f>COUNTIF(defects!$Z:$Z,Q$3&amp;$C$1&amp;$B$3&amp;$B$2&amp;$B8&amp;$B$1)</f>
        <v>0</v>
      </c>
      <c r="R8" s="3">
        <f>COUNTIF(defects!$Z:$Z,R$3&amp;$C$1&amp;$B$3&amp;$B$2&amp;$B8&amp;$B$1)</f>
        <v>0</v>
      </c>
      <c r="S8" s="3">
        <f>COUNTIF(defects!$Z:$Z,S$3&amp;$C$1&amp;$B$3&amp;$B$2&amp;$B8&amp;$B$1)</f>
        <v>0</v>
      </c>
      <c r="T8" s="3">
        <f>COUNTIF(defects!$Z:$Z,T$3&amp;$C$1&amp;$B$3&amp;$B$2&amp;$B8&amp;$B$1)</f>
        <v>0</v>
      </c>
      <c r="U8" s="3">
        <f>COUNTIF(defects!$Z:$Z,U$3&amp;$C$1&amp;$B$3&amp;$B$2&amp;$B8&amp;$B$1)</f>
        <v>0</v>
      </c>
      <c r="V8" s="3">
        <f>COUNTIF(defects!$Z:$Z,V$3&amp;$C$1&amp;$B$3&amp;$B$2&amp;$B8&amp;$B$1)</f>
        <v>0</v>
      </c>
      <c r="W8" s="3">
        <f>COUNTIF(defects!$Z:$Z,W$3&amp;$C$1&amp;$B$3&amp;$B$2&amp;$B8&amp;$B$1)</f>
        <v>0</v>
      </c>
      <c r="X8" s="3">
        <f>COUNTIF(defects!$Z:$Z,X$3&amp;$C$1&amp;$B$3&amp;$B$2&amp;$B8&amp;$B$1)</f>
        <v>0</v>
      </c>
      <c r="Y8" s="3">
        <f>COUNTIF(defects!$Z:$Z,Y$3&amp;$C$1&amp;$B$3&amp;$B$2&amp;$B8&amp;$B$1)</f>
        <v>0</v>
      </c>
      <c r="Z8" s="3">
        <f>COUNTIF(defects!$Z:$Z,Z$3&amp;$C$1&amp;$B$3&amp;$B$2&amp;$B8&amp;$B$1)</f>
        <v>0</v>
      </c>
      <c r="AA8" s="3">
        <f>COUNTIF(defects!$Z:$Z,AA$3&amp;$C$1&amp;$B$3&amp;$B$2&amp;$B8&amp;$B$1)</f>
        <v>0</v>
      </c>
      <c r="AB8" s="3">
        <f>COUNTIF(defects!$Z:$Z,AB$3&amp;$C$1&amp;$B$3&amp;$B$2&amp;$B8&amp;$B$1)</f>
        <v>0</v>
      </c>
      <c r="AC8" s="3">
        <f>COUNTIF(defects!$Z:$Z,AC$3&amp;$C$1&amp;$B$3&amp;$B$2&amp;$B8&amp;$B$1)</f>
        <v>0</v>
      </c>
      <c r="AD8" s="3">
        <f>COUNTIF(defects!$Z:$Z,AD$3&amp;$C$1&amp;$B$3&amp;$B$2&amp;$B8&amp;$B$1)</f>
        <v>0</v>
      </c>
      <c r="AE8" s="3">
        <f>COUNTIF(defects!$Z:$Z,AE$3&amp;$C$1&amp;$B$3&amp;$B$2&amp;$B8&amp;$B$1)</f>
        <v>0</v>
      </c>
      <c r="AF8" s="3">
        <f>COUNTIF(defects!$Z:$Z,AF$3&amp;$C$1&amp;$B$3&amp;$B$2&amp;$B8&amp;$B$1)</f>
        <v>0</v>
      </c>
      <c r="AG8" s="3">
        <f>COUNTIF(defects!$Z:$Z,AG$3&amp;$C$1&amp;$B$3&amp;$B$2&amp;$B8&amp;$B$1)</f>
        <v>0</v>
      </c>
      <c r="AH8" s="3">
        <f>COUNTIF(defects!$Z:$Z,AH$3&amp;$C$1&amp;$B$3&amp;$B$2&amp;$B8&amp;$B$1)</f>
        <v>0</v>
      </c>
      <c r="AI8" s="3">
        <f>COUNTIF(defects!$Z:$Z,AI$3&amp;$C$1&amp;$B$3&amp;$B$2&amp;$B8&amp;$B$1)</f>
        <v>0</v>
      </c>
      <c r="AJ8" s="3">
        <f>COUNTIF(defects!$Z:$Z,AJ$3&amp;$C$1&amp;$B$3&amp;$B$2&amp;$B8&amp;$B$1)</f>
        <v>0</v>
      </c>
      <c r="AK8" s="3">
        <f>COUNTIF(defects!$Z:$Z,AK$3&amp;$C$1&amp;$B$3&amp;$B$2&amp;$B8&amp;$B$1)</f>
        <v>0</v>
      </c>
      <c r="AL8" s="3">
        <f>COUNTIF(defects!$Z:$Z,AL$3&amp;$C$1&amp;$B$3&amp;$B$2&amp;$B8&amp;$B$1)</f>
        <v>0</v>
      </c>
      <c r="AM8" s="3">
        <f>COUNTIF(defects!$Z:$Z,AM$3&amp;$C$1&amp;$B$3&amp;$B$2&amp;$B8&amp;$B$1)</f>
        <v>0</v>
      </c>
      <c r="AN8" s="3">
        <f>COUNTIF(defects!$Z:$Z,AN$3&amp;$C$1&amp;$B$3&amp;$B$2&amp;$B8&amp;$B$1)</f>
        <v>0</v>
      </c>
      <c r="AO8" s="3">
        <f>COUNTIF(defects!$Z:$Z,AO$3&amp;$C$1&amp;$B$3&amp;$B$2&amp;$B8&amp;$B$1)</f>
        <v>0</v>
      </c>
      <c r="AP8" s="3">
        <f>COUNTIF(defects!$Z:$Z,AP$3&amp;$C$1&amp;$B$3&amp;$B$2&amp;$B8&amp;$B$1)</f>
        <v>0</v>
      </c>
      <c r="AQ8" s="3">
        <f>COUNTIF(defects!$Z:$Z,AQ$3&amp;$C$1&amp;$B$3&amp;$B$2&amp;$B8&amp;$B$1)</f>
        <v>0</v>
      </c>
      <c r="AR8" s="3">
        <f>COUNTIF(defects!$Z:$Z,AR$3&amp;$C$1&amp;$B$3&amp;$B$2&amp;$B8&amp;$B$1)</f>
        <v>0</v>
      </c>
      <c r="AS8" s="3">
        <f>COUNTIF(defects!$Z:$Z,AS$3&amp;$C$1&amp;$B$3&amp;$B$2&amp;$B8&amp;$B$1)</f>
        <v>0</v>
      </c>
      <c r="AT8" s="3">
        <f>COUNTIF(defects!$Z:$Z,AT$3&amp;$C$1&amp;$B$3&amp;$B$2&amp;$B8&amp;$B$1)</f>
        <v>0</v>
      </c>
      <c r="AU8" s="3">
        <f>COUNTIF(defects!$Z:$Z,AU$3&amp;$C$1&amp;$B$3&amp;$B$2&amp;$B8&amp;$B$1)</f>
        <v>0</v>
      </c>
      <c r="AV8" s="3">
        <f>COUNTIF(defects!$Z:$Z,AV$3&amp;$C$1&amp;$B$3&amp;$B$2&amp;$B8&amp;$B$1)</f>
        <v>0</v>
      </c>
      <c r="AW8" s="3">
        <f>COUNTIF(defects!$Z:$Z,AW$3&amp;$C$1&amp;$B$3&amp;$B$2&amp;$B8&amp;$B$1)</f>
        <v>0</v>
      </c>
      <c r="AX8" s="3">
        <f>COUNTIF(defects!$Z:$Z,AX$3&amp;$C$1&amp;$B$3&amp;$B$2&amp;$B8&amp;$B$1)</f>
        <v>0</v>
      </c>
      <c r="AY8" s="3">
        <f>COUNTIF(defects!$Z:$Z,AY$3&amp;$C$1&amp;$B$3&amp;$B$2&amp;$B8&amp;$B$1)</f>
        <v>0</v>
      </c>
      <c r="AZ8" s="3">
        <f>COUNTIF(defects!$Z:$Z,AZ$3&amp;$C$1&amp;$B$3&amp;$B$2&amp;$B8&amp;$B$1)</f>
        <v>0</v>
      </c>
      <c r="BA8" s="3">
        <f>COUNTIF(defects!$Z:$Z,BA$3&amp;$C$1&amp;$B$3&amp;$B$2&amp;$B8&amp;$B$1)</f>
        <v>0</v>
      </c>
      <c r="BB8" s="3">
        <f>COUNTIF(defects!$Z:$Z,BB$3&amp;$C$1&amp;$B$3&amp;$B$2&amp;$B8&amp;$B$1)</f>
        <v>0</v>
      </c>
      <c r="BC8" s="3">
        <f>COUNTIF(defects!$Z:$Z,BC$3&amp;$C$1&amp;$B$3&amp;$B$2&amp;$B8&amp;$B$1)</f>
        <v>0</v>
      </c>
      <c r="BD8" s="3">
        <f>COUNTIF(defects!$Z:$Z,BD$3&amp;$C$1&amp;$B$3&amp;$B$2&amp;$B8&amp;$B$1)</f>
        <v>0</v>
      </c>
      <c r="BE8" s="3">
        <f>COUNTIF(defects!$Z:$Z,BE$3&amp;$C$1&amp;$B$3&amp;$B$2&amp;$B8&amp;$B$1)</f>
        <v>0</v>
      </c>
      <c r="BF8" s="3">
        <f>COUNTIF(defects!$Z:$Z,BF$3&amp;$C$1&amp;$B$3&amp;$B$2&amp;$B8&amp;$B$1)</f>
        <v>0</v>
      </c>
      <c r="BG8" s="3">
        <f>COUNTIF(defects!$Z:$Z,BG$3&amp;$C$1&amp;$B$3&amp;$B$2&amp;$B8&amp;$B$1)</f>
        <v>0</v>
      </c>
      <c r="BH8" s="3">
        <f>COUNTIF(defects!$Z:$Z,BH$3&amp;$C$1&amp;$B$3&amp;$B$2&amp;$B8&amp;$B$1)</f>
        <v>0</v>
      </c>
      <c r="BI8" s="3">
        <f>COUNTIF(defects!$Z:$Z,BI$3&amp;$C$1&amp;$B$3&amp;$B$2&amp;$B8&amp;$B$1)</f>
        <v>0</v>
      </c>
      <c r="BJ8" s="3">
        <f>COUNTIF(defects!$Z:$Z,BJ$3&amp;$C$1&amp;$B$3&amp;$B$2&amp;$B8&amp;$B$1)</f>
        <v>0</v>
      </c>
      <c r="BK8" s="3">
        <f>COUNTIF(defects!$Z:$Z,BK$3&amp;$C$1&amp;$B$3&amp;$B$2&amp;$B8&amp;$B$1)</f>
        <v>0</v>
      </c>
      <c r="BL8" s="3">
        <f>COUNTIF(defects!$Z:$Z,BL$3&amp;$C$1&amp;$B$3&amp;$B$2&amp;$B8&amp;$B$1)</f>
        <v>0</v>
      </c>
      <c r="BM8" s="3">
        <f>COUNTIF(defects!$Z:$Z,BM$3&amp;$C$1&amp;$B$3&amp;$B$2&amp;$B8&amp;$B$1)</f>
        <v>0</v>
      </c>
      <c r="BN8" s="3">
        <f>COUNTIF(defects!$Z:$Z,BN$3&amp;$C$1&amp;$B$3&amp;$B$2&amp;$B8&amp;$B$1)</f>
        <v>0</v>
      </c>
      <c r="BO8" s="3">
        <f>COUNTIF(defects!$Z:$Z,BO$3&amp;$C$1&amp;$B$3&amp;$B$2&amp;$B8&amp;$B$1)</f>
        <v>0</v>
      </c>
      <c r="BP8" s="3">
        <f>COUNTIF(defects!$Z:$Z,BP$3&amp;$C$1&amp;$B$3&amp;$B$2&amp;$B8&amp;$B$1)</f>
        <v>0</v>
      </c>
      <c r="BQ8" s="3">
        <f>COUNTIF(defects!$Z:$Z,BQ$3&amp;$C$1&amp;$B$3&amp;$B$2&amp;$B8&amp;$B$1)</f>
        <v>0</v>
      </c>
      <c r="BR8" s="3">
        <f>COUNTIF(defects!$Z:$Z,BR$3&amp;$C$1&amp;$B$3&amp;$B$2&amp;$B8&amp;$B$1)</f>
        <v>0</v>
      </c>
      <c r="BS8" s="3">
        <f>COUNTIF(defects!$Z:$Z,BS$3&amp;$C$1&amp;$B$3&amp;$B$2&amp;$B8&amp;$B$1)</f>
        <v>0</v>
      </c>
      <c r="BT8" s="3">
        <f>COUNTIF(defects!$Z:$Z,BT$3&amp;$C$1&amp;$B$3&amp;$B$2&amp;$B8&amp;$B$1)</f>
        <v>0</v>
      </c>
      <c r="BU8" s="3">
        <f>COUNTIF(defects!$Z:$Z,BU$3&amp;$C$1&amp;$B$3&amp;$B$2&amp;$B8&amp;$B$1)</f>
        <v>0</v>
      </c>
      <c r="BV8" s="3">
        <f>COUNTIF(defects!$Z:$Z,BV$3&amp;$C$1&amp;$B$3&amp;$B$2&amp;$B8&amp;$B$1)</f>
        <v>0</v>
      </c>
      <c r="BW8" s="3">
        <f>COUNTIF(defects!$Z:$Z,BW$3&amp;$C$1&amp;$B$3&amp;$B$2&amp;$B8&amp;$B$1)</f>
        <v>0</v>
      </c>
      <c r="BX8" s="3">
        <f>COUNTIF(defects!$Z:$Z,BX$3&amp;$C$1&amp;$B$3&amp;$B$2&amp;$B8&amp;$B$1)</f>
        <v>0</v>
      </c>
      <c r="BY8" s="3">
        <f>COUNTIF(defects!$Z:$Z,BY$3&amp;$C$1&amp;$B$3&amp;$B$2&amp;$B8&amp;$B$1)</f>
        <v>0</v>
      </c>
      <c r="BZ8" s="3">
        <f>COUNTIF(defects!$Z:$Z,BZ$3&amp;$C$1&amp;$B$3&amp;$B$2&amp;$B8&amp;$B$1)</f>
        <v>0</v>
      </c>
      <c r="CA8" s="3">
        <f>COUNTIF(defects!$Z:$Z,CA$3&amp;$C$1&amp;$B$3&amp;$B$2&amp;$B8&amp;$B$1)</f>
        <v>0</v>
      </c>
      <c r="CB8" s="3">
        <f>COUNTIF(defects!$Z:$Z,CB$3&amp;$C$1&amp;$B$3&amp;$B$2&amp;$B8&amp;$B$1)</f>
        <v>0</v>
      </c>
      <c r="CC8" s="3">
        <f>COUNTIF(defects!$Z:$Z,CC$3&amp;$C$1&amp;$B$3&amp;$B$2&amp;$B8&amp;$B$1)</f>
        <v>0</v>
      </c>
      <c r="CD8" s="3">
        <f>COUNTIF(defects!$Z:$Z,CD$3&amp;$C$1&amp;$B$3&amp;$B$2&amp;$B8&amp;$B$1)</f>
        <v>0</v>
      </c>
      <c r="CE8" s="3">
        <f>COUNTIF(defects!$Z:$Z,CE$3&amp;$C$1&amp;$B$3&amp;$B$2&amp;$B8&amp;$B$1)</f>
        <v>0</v>
      </c>
      <c r="CF8" s="3">
        <f>COUNTIF(defects!$Z:$Z,CF$3&amp;$C$1&amp;$B$3&amp;$B$2&amp;$B8&amp;$B$1)</f>
        <v>0</v>
      </c>
      <c r="CG8" s="3">
        <f>COUNTIF(defects!$Z:$Z,CG$3&amp;$C$1&amp;$B$3&amp;$B$2&amp;$B8&amp;$B$1)</f>
        <v>0</v>
      </c>
      <c r="CH8" s="3">
        <f>COUNTIF(defects!$Z:$Z,CH$3&amp;$C$1&amp;$B$3&amp;$B$2&amp;$B8&amp;$B$1)</f>
        <v>0</v>
      </c>
      <c r="CI8" s="3">
        <f>COUNTIF(defects!$Z:$Z,CI$3&amp;$C$1&amp;$B$3&amp;$B$2&amp;$B8&amp;$B$1)</f>
        <v>0</v>
      </c>
      <c r="CJ8" s="3">
        <f>COUNTIF(defects!$Z:$Z,CJ$3&amp;$C$1&amp;$B$3&amp;$B$2&amp;$B8&amp;$B$1)</f>
        <v>0</v>
      </c>
      <c r="CK8" s="3">
        <f>COUNTIF(defects!$Z:$Z,CK$3&amp;$C$1&amp;$B$3&amp;$B$2&amp;$B8&amp;$B$1)</f>
        <v>0</v>
      </c>
      <c r="CL8" s="3">
        <f>COUNTIF(defects!$Z:$Z,CL$3&amp;$C$1&amp;$B$3&amp;$B$2&amp;$B8&amp;$B$1)</f>
        <v>0</v>
      </c>
      <c r="CM8" s="3">
        <f>COUNTIF(defects!$Z:$Z,CM$3&amp;$C$1&amp;$B$3&amp;$B$2&amp;$B8&amp;$B$1)</f>
        <v>0</v>
      </c>
      <c r="CN8" s="3">
        <f>COUNTIF(defects!$Z:$Z,CN$3&amp;$C$1&amp;$B$3&amp;$B$2&amp;$B8&amp;$B$1)</f>
        <v>0</v>
      </c>
      <c r="CO8" s="3">
        <f>COUNTIF(defects!$Z:$Z,CO$3&amp;$C$1&amp;$B$3&amp;$B$2&amp;$B8&amp;$B$1)</f>
        <v>0</v>
      </c>
      <c r="CP8" s="3">
        <f>COUNTIF(defects!$Z:$Z,CP$3&amp;$C$1&amp;$B$3&amp;$B$2&amp;$B8&amp;$B$1)</f>
        <v>0</v>
      </c>
      <c r="CQ8" s="3">
        <f>COUNTIF(defects!$Z:$Z,CQ$3&amp;$C$1&amp;$B$3&amp;$B$2&amp;$B8&amp;$B$1)</f>
        <v>0</v>
      </c>
      <c r="CR8" s="3">
        <f>COUNTIF(defects!$Z:$Z,CR$3&amp;$C$1&amp;$B$3&amp;$B$2&amp;$B8&amp;$B$1)</f>
        <v>0</v>
      </c>
      <c r="CS8" s="3">
        <f>COUNTIF(defects!$Z:$Z,CS$3&amp;$C$1&amp;$B$3&amp;$B$2&amp;$B8&amp;$B$1)</f>
        <v>0</v>
      </c>
      <c r="CT8" s="3">
        <f>COUNTIF(defects!$Z:$Z,CT$3&amp;$C$1&amp;$B$3&amp;$B$2&amp;$B8&amp;$B$1)</f>
        <v>0</v>
      </c>
      <c r="CU8" s="3">
        <f>COUNTIF(defects!$Z:$Z,CU$3&amp;$C$1&amp;$B$3&amp;$B$2&amp;$B8&amp;$B$1)</f>
        <v>0</v>
      </c>
      <c r="CV8" s="3">
        <f>COUNTIF(defects!$Z:$Z,CV$3&amp;$C$1&amp;$B$3&amp;$B$2&amp;$B8&amp;$B$1)</f>
        <v>0</v>
      </c>
      <c r="CW8" s="3">
        <f>COUNTIF(defects!$Z:$Z,CW$3&amp;$C$1&amp;$B$3&amp;$B$2&amp;$B8&amp;$B$1)</f>
        <v>0</v>
      </c>
      <c r="CX8" s="3">
        <f>COUNTIF(defects!$Z:$Z,CX$3&amp;$C$1&amp;$B$3&amp;$B$2&amp;$B8&amp;$B$1)</f>
        <v>0</v>
      </c>
      <c r="CY8" s="3">
        <f>COUNTIF(defects!$Z:$Z,CY$3&amp;$C$1&amp;$B$3&amp;$B$2&amp;$B8&amp;$B$1)</f>
        <v>0</v>
      </c>
      <c r="CZ8" s="3">
        <f>COUNTIF(defects!$Z:$Z,CZ$3&amp;$C$1&amp;$B$3&amp;$B$2&amp;$B8&amp;$B$1)</f>
        <v>0</v>
      </c>
      <c r="DA8" s="3">
        <f>COUNTIF(defects!$Z:$Z,DA$3&amp;$C$1&amp;$B$3&amp;$B$2&amp;$B8&amp;$B$1)</f>
        <v>0</v>
      </c>
      <c r="DB8" s="3">
        <f>COUNTIF(defects!$Z:$Z,DB$3&amp;$C$1&amp;$B$3&amp;$B$2&amp;$B8&amp;$B$1)</f>
        <v>0</v>
      </c>
      <c r="DC8" s="3">
        <f>COUNTIF(defects!$Z:$Z,DC$3&amp;$C$1&amp;$B$3&amp;$B$2&amp;$B8&amp;$B$1)</f>
        <v>0</v>
      </c>
      <c r="DD8" s="3">
        <f>COUNTIF(defects!$Z:$Z,DD$3&amp;$C$1&amp;$B$3&amp;$B$2&amp;$B8&amp;$B$1)</f>
        <v>0</v>
      </c>
      <c r="DE8" s="3">
        <f>COUNTIF(defects!$Z:$Z,DE$3&amp;$C$1&amp;$B$3&amp;$B$2&amp;$B8&amp;$B$1)</f>
        <v>0</v>
      </c>
      <c r="DF8" s="3">
        <f>COUNTIF(defects!$Z:$Z,DF$3&amp;$C$1&amp;$B$3&amp;$B$2&amp;$B8&amp;$B$1)</f>
        <v>0</v>
      </c>
      <c r="DG8" s="3">
        <f>COUNTIF(defects!$Z:$Z,DG$3&amp;$C$1&amp;$B$3&amp;$B$2&amp;$B8&amp;$B$1)</f>
        <v>0</v>
      </c>
      <c r="DH8" s="3">
        <f>COUNTIF(defects!$Z:$Z,DH$3&amp;$C$1&amp;$B$3&amp;$B$2&amp;$B8&amp;$B$1)</f>
        <v>0</v>
      </c>
      <c r="DI8" s="3">
        <f>COUNTIF(defects!$Z:$Z,DI$3&amp;$C$1&amp;$B$3&amp;$B$2&amp;$B8&amp;$B$1)</f>
        <v>0</v>
      </c>
      <c r="DJ8" s="3">
        <f>COUNTIF(defects!$Z:$Z,DJ$3&amp;$C$1&amp;$B$3&amp;$B$2&amp;$B8&amp;$B$1)</f>
        <v>0</v>
      </c>
      <c r="DK8" s="3">
        <f>COUNTIF(defects!$Z:$Z,DK$3&amp;$C$1&amp;$B$3&amp;$B$2&amp;$B8&amp;$B$1)</f>
        <v>0</v>
      </c>
      <c r="DL8" s="3">
        <f>COUNTIF(defects!$Z:$Z,DL$3&amp;$C$1&amp;$B$3&amp;$B$2&amp;$B8&amp;$B$1)</f>
        <v>0</v>
      </c>
      <c r="DM8" s="3">
        <f>COUNTIF(defects!$Z:$Z,DM$3&amp;$C$1&amp;$B$3&amp;$B$2&amp;$B8&amp;$B$1)</f>
        <v>0</v>
      </c>
      <c r="DN8" s="3">
        <f>COUNTIF(defects!$Z:$Z,DN$3&amp;$C$1&amp;$B$3&amp;$B$2&amp;$B8&amp;$B$1)</f>
        <v>0</v>
      </c>
      <c r="DO8" s="3">
        <f>COUNTIF(defects!$Z:$Z,DO$3&amp;$C$1&amp;$B$3&amp;$B$2&amp;$B8&amp;$B$1)</f>
        <v>0</v>
      </c>
      <c r="DP8" s="3">
        <f>COUNTIF(defects!$Z:$Z,DP$3&amp;$C$1&amp;$B$3&amp;$B$2&amp;$B8&amp;$B$1)</f>
        <v>0</v>
      </c>
      <c r="DQ8" s="3">
        <f>COUNTIF(defects!$Z:$Z,DQ$3&amp;$C$1&amp;$B$3&amp;$B$2&amp;$B8&amp;$B$1)</f>
        <v>0</v>
      </c>
      <c r="DR8" s="3">
        <f>COUNTIF(defects!$Z:$Z,DR$3&amp;$C$1&amp;$B$3&amp;$B$2&amp;$B8&amp;$B$1)</f>
        <v>0</v>
      </c>
      <c r="DS8" s="3">
        <f>COUNTIF(defects!$Z:$Z,DS$3&amp;$C$1&amp;$B$3&amp;$B$2&amp;$B8&amp;$B$1)</f>
        <v>0</v>
      </c>
      <c r="DT8" s="3">
        <f>COUNTIF(defects!$Z:$Z,DT$3&amp;$C$1&amp;$B$3&amp;$B$2&amp;$B8&amp;$B$1)</f>
        <v>0</v>
      </c>
      <c r="DU8" s="3">
        <f>COUNTIF(defects!$Z:$Z,DU$3&amp;$C$1&amp;$B$3&amp;$B$2&amp;$B8&amp;$B$1)</f>
        <v>0</v>
      </c>
      <c r="DV8" s="3">
        <f>COUNTIF(defects!$Z:$Z,DV$3&amp;$C$1&amp;$B$3&amp;$B$2&amp;$B8&amp;$B$1)</f>
        <v>0</v>
      </c>
      <c r="DW8" s="3">
        <f>COUNTIF(defects!$Z:$Z,DW$3&amp;$C$1&amp;$B$3&amp;$B$2&amp;$B8&amp;$B$1)</f>
        <v>0</v>
      </c>
      <c r="DX8" s="3">
        <f>COUNTIF(defects!$Z:$Z,DX$3&amp;$C$1&amp;$B$3&amp;$B$2&amp;$B8&amp;$B$1)</f>
        <v>0</v>
      </c>
      <c r="DY8" s="3">
        <f>COUNTIF(defects!$Z:$Z,DY$3&amp;$C$1&amp;$B$3&amp;$B$2&amp;$B8&amp;$B$1)</f>
        <v>0</v>
      </c>
      <c r="DZ8" s="3">
        <f>COUNTIF(defects!$Z:$Z,DZ$3&amp;$C$1&amp;$B$3&amp;$B$2&amp;$B8&amp;$B$1)</f>
        <v>0</v>
      </c>
      <c r="EA8" s="3">
        <f>COUNTIF(defects!$Z:$Z,EA$3&amp;$C$1&amp;$B$3&amp;$B$2&amp;$B8&amp;$B$1)</f>
        <v>0</v>
      </c>
      <c r="EB8" s="3">
        <f>COUNTIF(defects!$Z:$Z,EB$3&amp;$C$1&amp;$B$3&amp;$B$2&amp;$B8&amp;$B$1)</f>
        <v>0</v>
      </c>
      <c r="EC8" s="3">
        <f>COUNTIF(defects!$Z:$Z,EC$3&amp;$C$1&amp;$B$3&amp;$B$2&amp;$B8&amp;$B$1)</f>
        <v>0</v>
      </c>
      <c r="ED8" s="3">
        <f>COUNTIF(defects!$Z:$Z,ED$3&amp;$C$1&amp;$B$3&amp;$B$2&amp;$B8&amp;$B$1)</f>
        <v>0</v>
      </c>
      <c r="EE8" s="3">
        <f>COUNTIF(defects!$Z:$Z,EE$3&amp;$C$1&amp;$B$3&amp;$B$2&amp;$B8&amp;$B$1)</f>
        <v>0</v>
      </c>
      <c r="EF8" s="3">
        <f>COUNTIF(defects!$Z:$Z,EF$3&amp;$C$1&amp;$B$3&amp;$B$2&amp;$B8&amp;$B$1)</f>
        <v>0</v>
      </c>
      <c r="EG8" s="3">
        <f>COUNTIF(defects!$Z:$Z,EG$3&amp;$C$1&amp;$B$3&amp;$B$2&amp;$B8&amp;$B$1)</f>
        <v>0</v>
      </c>
      <c r="EH8" s="3">
        <f>COUNTIF(defects!$Z:$Z,EH$3&amp;$C$1&amp;$B$3&amp;$B$2&amp;$B8&amp;$B$1)</f>
        <v>0</v>
      </c>
      <c r="EI8" s="3">
        <f>COUNTIF(defects!$Z:$Z,EI$3&amp;$C$1&amp;$B$3&amp;$B$2&amp;$B8&amp;$B$1)</f>
        <v>0</v>
      </c>
      <c r="EJ8" s="3">
        <f>COUNTIF(defects!$Z:$Z,EJ$3&amp;$C$1&amp;$B$3&amp;$B$2&amp;$B8&amp;$B$1)</f>
        <v>0</v>
      </c>
      <c r="EK8" s="3">
        <f>COUNTIF(defects!$Z:$Z,EK$3&amp;$C$1&amp;$B$3&amp;$B$2&amp;$B8&amp;$B$1)</f>
        <v>0</v>
      </c>
      <c r="EL8" s="3">
        <f>COUNTIF(defects!$Z:$Z,EL$3&amp;$C$1&amp;$B$3&amp;$B$2&amp;$B8&amp;$B$1)</f>
        <v>0</v>
      </c>
      <c r="EM8" s="3">
        <f>COUNTIF(defects!$Z:$Z,EM$3&amp;$C$1&amp;$B$3&amp;$B$2&amp;$B8&amp;$B$1)</f>
        <v>0</v>
      </c>
      <c r="EN8" s="3">
        <f>COUNTIF(defects!$Z:$Z,EN$3&amp;$C$1&amp;$B$3&amp;$B$2&amp;$B8&amp;$B$1)</f>
        <v>0</v>
      </c>
      <c r="EO8" s="3">
        <f>COUNTIF(defects!$Z:$Z,EO$3&amp;$C$1&amp;$B$3&amp;$B$2&amp;$B8&amp;$B$1)</f>
        <v>0</v>
      </c>
      <c r="EP8" s="3">
        <f>COUNTIF(defects!$Z:$Z,EP$3&amp;$C$1&amp;$B$3&amp;$B$2&amp;$B8&amp;$B$1)</f>
        <v>0</v>
      </c>
      <c r="EQ8" s="3">
        <f>COUNTIF(defects!$Z:$Z,EQ$3&amp;$C$1&amp;$B$3&amp;$B$2&amp;$B8&amp;$B$1)</f>
        <v>0</v>
      </c>
      <c r="ER8" s="3">
        <f>COUNTIF(defects!$Z:$Z,ER$3&amp;$C$1&amp;$B$3&amp;$B$2&amp;$B8&amp;$B$1)</f>
        <v>0</v>
      </c>
      <c r="ES8" s="3">
        <f>COUNTIF(defects!$Z:$Z,ES$3&amp;$C$1&amp;$B$3&amp;$B$2&amp;$B8&amp;$B$1)</f>
        <v>0</v>
      </c>
      <c r="ET8" s="3">
        <f>COUNTIF(defects!$Z:$Z,ET$3&amp;$C$1&amp;$B$3&amp;$B$2&amp;$B8&amp;$B$1)</f>
        <v>0</v>
      </c>
      <c r="EU8" s="3">
        <f>COUNTIF(defects!$Z:$Z,EU$3&amp;$C$1&amp;$B$3&amp;$B$2&amp;$B8&amp;$B$1)</f>
        <v>0</v>
      </c>
      <c r="EV8" s="3">
        <f>COUNTIF(defects!$Z:$Z,EV$3&amp;$C$1&amp;$B$3&amp;$B$2&amp;$B8&amp;$B$1)</f>
        <v>0</v>
      </c>
      <c r="EW8" s="3">
        <f>COUNTIF(defects!$Z:$Z,EW$3&amp;$C$1&amp;$B$3&amp;$B$2&amp;$B8&amp;$B$1)</f>
        <v>0</v>
      </c>
      <c r="EX8" s="3">
        <f>COUNTIF(defects!$Z:$Z,EX$3&amp;$C$1&amp;$B$3&amp;$B$2&amp;$B8&amp;$B$1)</f>
        <v>0</v>
      </c>
      <c r="EY8" s="3">
        <f>COUNTIF(defects!$Z:$Z,EY$3&amp;$C$1&amp;$B$3&amp;$B$2&amp;$B8&amp;$B$1)</f>
        <v>0</v>
      </c>
      <c r="EZ8" s="3">
        <f>COUNTIF(defects!$Z:$Z,EZ$3&amp;$C$1&amp;$B$3&amp;$B$2&amp;$B8&amp;$B$1)</f>
        <v>0</v>
      </c>
      <c r="FA8" s="3">
        <f>COUNTIF(defects!$Z:$Z,FA$3&amp;$C$1&amp;$B$3&amp;$B$2&amp;$B8&amp;$B$1)</f>
        <v>0</v>
      </c>
      <c r="FB8" s="3">
        <f>COUNTIF(defects!$Z:$Z,FB$3&amp;$C$1&amp;$B$3&amp;$B$2&amp;$B8&amp;$B$1)</f>
        <v>0</v>
      </c>
      <c r="FC8" s="3">
        <f>COUNTIF(defects!$Z:$Z,FC$3&amp;$C$1&amp;$B$3&amp;$B$2&amp;$B8&amp;$B$1)</f>
        <v>0</v>
      </c>
      <c r="FD8" s="3">
        <f>COUNTIF(defects!$Z:$Z,FD$3&amp;$C$1&amp;$B$3&amp;$B$2&amp;$B8&amp;$B$1)</f>
        <v>0</v>
      </c>
      <c r="FE8" s="3">
        <f>COUNTIF(defects!$Z:$Z,FE$3&amp;$C$1&amp;$B$3&amp;$B$2&amp;$B8&amp;$B$1)</f>
        <v>0</v>
      </c>
    </row>
    <row r="9" spans="2:161">
      <c r="B9" t="s">
        <v>26</v>
      </c>
      <c r="C9" s="3">
        <f>COUNTIF(defects!$Z:$Z,C$3&amp;$C$1&amp;$B$3&amp;$B$2&amp;$B9&amp;$B$1)</f>
        <v>0</v>
      </c>
      <c r="D9" s="3">
        <f>COUNTIF(defects!$Z:$Z,D$3&amp;$C$1&amp;$B$3&amp;$B$2&amp;$B9&amp;$B$1)</f>
        <v>0</v>
      </c>
      <c r="E9" s="3">
        <f>COUNTIF(defects!$Z:$Z,E$3&amp;$C$1&amp;$B$3&amp;$B$2&amp;$B9&amp;$B$1)</f>
        <v>0</v>
      </c>
      <c r="F9" s="3">
        <f>COUNTIF(defects!$Z:$Z,F$3&amp;$C$1&amp;$B$3&amp;$B$2&amp;$B9&amp;$B$1)</f>
        <v>0</v>
      </c>
      <c r="G9" s="3">
        <f>COUNTIF(defects!$Z:$Z,G$3&amp;$C$1&amp;$B$3&amp;$B$2&amp;$B9&amp;$B$1)</f>
        <v>0</v>
      </c>
      <c r="H9" s="3">
        <f>COUNTIF(defects!$Z:$Z,H$3&amp;$C$1&amp;$B$3&amp;$B$2&amp;$B9&amp;$B$1)</f>
        <v>0</v>
      </c>
      <c r="I9" s="3">
        <f>COUNTIF(defects!$Z:$Z,I$3&amp;$C$1&amp;$B$3&amp;$B$2&amp;$B9&amp;$B$1)</f>
        <v>0</v>
      </c>
      <c r="J9" s="3">
        <f>COUNTIF(defects!$Z:$Z,J$3&amp;$C$1&amp;$B$3&amp;$B$2&amp;$B9&amp;$B$1)</f>
        <v>0</v>
      </c>
      <c r="K9" s="3">
        <f>COUNTIF(defects!$Z:$Z,K$3&amp;$C$1&amp;$B$3&amp;$B$2&amp;$B9&amp;$B$1)</f>
        <v>0</v>
      </c>
      <c r="L9" s="3">
        <f>COUNTIF(defects!$Z:$Z,L$3&amp;$C$1&amp;$B$3&amp;$B$2&amp;$B9&amp;$B$1)</f>
        <v>0</v>
      </c>
      <c r="M9" s="3">
        <f>COUNTIF(defects!$Z:$Z,M$3&amp;$C$1&amp;$B$3&amp;$B$2&amp;$B9&amp;$B$1)</f>
        <v>0</v>
      </c>
      <c r="N9" s="3">
        <f>COUNTIF(defects!$Z:$Z,N$3&amp;$C$1&amp;$B$3&amp;$B$2&amp;$B9&amp;$B$1)</f>
        <v>0</v>
      </c>
      <c r="O9" s="3">
        <f>COUNTIF(defects!$Z:$Z,O$3&amp;$C$1&amp;$B$3&amp;$B$2&amp;$B9&amp;$B$1)</f>
        <v>0</v>
      </c>
      <c r="P9" s="3">
        <f>COUNTIF(defects!$Z:$Z,P$3&amp;$C$1&amp;$B$3&amp;$B$2&amp;$B9&amp;$B$1)</f>
        <v>0</v>
      </c>
      <c r="Q9" s="3">
        <f>COUNTIF(defects!$Z:$Z,Q$3&amp;$C$1&amp;$B$3&amp;$B$2&amp;$B9&amp;$B$1)</f>
        <v>0</v>
      </c>
      <c r="R9" s="3">
        <f>COUNTIF(defects!$Z:$Z,R$3&amp;$C$1&amp;$B$3&amp;$B$2&amp;$B9&amp;$B$1)</f>
        <v>0</v>
      </c>
      <c r="S9" s="3">
        <f>COUNTIF(defects!$Z:$Z,S$3&amp;$C$1&amp;$B$3&amp;$B$2&amp;$B9&amp;$B$1)</f>
        <v>0</v>
      </c>
      <c r="T9" s="3">
        <f>COUNTIF(defects!$Z:$Z,T$3&amp;$C$1&amp;$B$3&amp;$B$2&amp;$B9&amp;$B$1)</f>
        <v>0</v>
      </c>
      <c r="U9" s="3">
        <f>COUNTIF(defects!$Z:$Z,U$3&amp;$C$1&amp;$B$3&amp;$B$2&amp;$B9&amp;$B$1)</f>
        <v>0</v>
      </c>
      <c r="V9" s="3">
        <f>COUNTIF(defects!$Z:$Z,V$3&amp;$C$1&amp;$B$3&amp;$B$2&amp;$B9&amp;$B$1)</f>
        <v>0</v>
      </c>
      <c r="W9" s="3">
        <f>COUNTIF(defects!$Z:$Z,W$3&amp;$C$1&amp;$B$3&amp;$B$2&amp;$B9&amp;$B$1)</f>
        <v>0</v>
      </c>
      <c r="X9" s="3">
        <f>COUNTIF(defects!$Z:$Z,X$3&amp;$C$1&amp;$B$3&amp;$B$2&amp;$B9&amp;$B$1)</f>
        <v>0</v>
      </c>
      <c r="Y9" s="3">
        <f>COUNTIF(defects!$Z:$Z,Y$3&amp;$C$1&amp;$B$3&amp;$B$2&amp;$B9&amp;$B$1)</f>
        <v>0</v>
      </c>
      <c r="Z9" s="3">
        <f>COUNTIF(defects!$Z:$Z,Z$3&amp;$C$1&amp;$B$3&amp;$B$2&amp;$B9&amp;$B$1)</f>
        <v>0</v>
      </c>
      <c r="AA9" s="3">
        <f>COUNTIF(defects!$Z:$Z,AA$3&amp;$C$1&amp;$B$3&amp;$B$2&amp;$B9&amp;$B$1)</f>
        <v>0</v>
      </c>
      <c r="AB9" s="3">
        <f>COUNTIF(defects!$Z:$Z,AB$3&amp;$C$1&amp;$B$3&amp;$B$2&amp;$B9&amp;$B$1)</f>
        <v>0</v>
      </c>
      <c r="AC9" s="3">
        <f>COUNTIF(defects!$Z:$Z,AC$3&amp;$C$1&amp;$B$3&amp;$B$2&amp;$B9&amp;$B$1)</f>
        <v>0</v>
      </c>
      <c r="AD9" s="3">
        <f>COUNTIF(defects!$Z:$Z,AD$3&amp;$C$1&amp;$B$3&amp;$B$2&amp;$B9&amp;$B$1)</f>
        <v>0</v>
      </c>
      <c r="AE9" s="3">
        <f>COUNTIF(defects!$Z:$Z,AE$3&amp;$C$1&amp;$B$3&amp;$B$2&amp;$B9&amp;$B$1)</f>
        <v>0</v>
      </c>
      <c r="AF9" s="3">
        <f>COUNTIF(defects!$Z:$Z,AF$3&amp;$C$1&amp;$B$3&amp;$B$2&amp;$B9&amp;$B$1)</f>
        <v>0</v>
      </c>
      <c r="AG9" s="3">
        <f>COUNTIF(defects!$Z:$Z,AG$3&amp;$C$1&amp;$B$3&amp;$B$2&amp;$B9&amp;$B$1)</f>
        <v>0</v>
      </c>
      <c r="AH9" s="3">
        <f>COUNTIF(defects!$Z:$Z,AH$3&amp;$C$1&amp;$B$3&amp;$B$2&amp;$B9&amp;$B$1)</f>
        <v>0</v>
      </c>
      <c r="AI9" s="3">
        <f>COUNTIF(defects!$Z:$Z,AI$3&amp;$C$1&amp;$B$3&amp;$B$2&amp;$B9&amp;$B$1)</f>
        <v>0</v>
      </c>
      <c r="AJ9" s="3">
        <f>COUNTIF(defects!$Z:$Z,AJ$3&amp;$C$1&amp;$B$3&amp;$B$2&amp;$B9&amp;$B$1)</f>
        <v>0</v>
      </c>
      <c r="AK9" s="3">
        <f>COUNTIF(defects!$Z:$Z,AK$3&amp;$C$1&amp;$B$3&amp;$B$2&amp;$B9&amp;$B$1)</f>
        <v>0</v>
      </c>
      <c r="AL9" s="3">
        <f>COUNTIF(defects!$Z:$Z,AL$3&amp;$C$1&amp;$B$3&amp;$B$2&amp;$B9&amp;$B$1)</f>
        <v>0</v>
      </c>
      <c r="AM9" s="3">
        <f>COUNTIF(defects!$Z:$Z,AM$3&amp;$C$1&amp;$B$3&amp;$B$2&amp;$B9&amp;$B$1)</f>
        <v>0</v>
      </c>
      <c r="AN9" s="3">
        <f>COUNTIF(defects!$Z:$Z,AN$3&amp;$C$1&amp;$B$3&amp;$B$2&amp;$B9&amp;$B$1)</f>
        <v>0</v>
      </c>
      <c r="AO9" s="3">
        <f>COUNTIF(defects!$Z:$Z,AO$3&amp;$C$1&amp;$B$3&amp;$B$2&amp;$B9&amp;$B$1)</f>
        <v>0</v>
      </c>
      <c r="AP9" s="3">
        <f>COUNTIF(defects!$Z:$Z,AP$3&amp;$C$1&amp;$B$3&amp;$B$2&amp;$B9&amp;$B$1)</f>
        <v>0</v>
      </c>
      <c r="AQ9" s="3">
        <f>COUNTIF(defects!$Z:$Z,AQ$3&amp;$C$1&amp;$B$3&amp;$B$2&amp;$B9&amp;$B$1)</f>
        <v>0</v>
      </c>
      <c r="AR9" s="3">
        <f>COUNTIF(defects!$Z:$Z,AR$3&amp;$C$1&amp;$B$3&amp;$B$2&amp;$B9&amp;$B$1)</f>
        <v>0</v>
      </c>
      <c r="AS9" s="3">
        <f>COUNTIF(defects!$Z:$Z,AS$3&amp;$C$1&amp;$B$3&amp;$B$2&amp;$B9&amp;$B$1)</f>
        <v>0</v>
      </c>
      <c r="AT9" s="3">
        <f>COUNTIF(defects!$Z:$Z,AT$3&amp;$C$1&amp;$B$3&amp;$B$2&amp;$B9&amp;$B$1)</f>
        <v>0</v>
      </c>
      <c r="AU9" s="3">
        <f>COUNTIF(defects!$Z:$Z,AU$3&amp;$C$1&amp;$B$3&amp;$B$2&amp;$B9&amp;$B$1)</f>
        <v>0</v>
      </c>
      <c r="AV9" s="3">
        <f>COUNTIF(defects!$Z:$Z,AV$3&amp;$C$1&amp;$B$3&amp;$B$2&amp;$B9&amp;$B$1)</f>
        <v>0</v>
      </c>
      <c r="AW9" s="3">
        <f>COUNTIF(defects!$Z:$Z,AW$3&amp;$C$1&amp;$B$3&amp;$B$2&amp;$B9&amp;$B$1)</f>
        <v>0</v>
      </c>
      <c r="AX9" s="3">
        <f>COUNTIF(defects!$Z:$Z,AX$3&amp;$C$1&amp;$B$3&amp;$B$2&amp;$B9&amp;$B$1)</f>
        <v>0</v>
      </c>
      <c r="AY9" s="3">
        <f>COUNTIF(defects!$Z:$Z,AY$3&amp;$C$1&amp;$B$3&amp;$B$2&amp;$B9&amp;$B$1)</f>
        <v>0</v>
      </c>
      <c r="AZ9" s="3">
        <f>COUNTIF(defects!$Z:$Z,AZ$3&amp;$C$1&amp;$B$3&amp;$B$2&amp;$B9&amp;$B$1)</f>
        <v>0</v>
      </c>
      <c r="BA9" s="3">
        <f>COUNTIF(defects!$Z:$Z,BA$3&amp;$C$1&amp;$B$3&amp;$B$2&amp;$B9&amp;$B$1)</f>
        <v>0</v>
      </c>
      <c r="BB9" s="3">
        <f>COUNTIF(defects!$Z:$Z,BB$3&amp;$C$1&amp;$B$3&amp;$B$2&amp;$B9&amp;$B$1)</f>
        <v>0</v>
      </c>
      <c r="BC9" s="3">
        <f>COUNTIF(defects!$Z:$Z,BC$3&amp;$C$1&amp;$B$3&amp;$B$2&amp;$B9&amp;$B$1)</f>
        <v>0</v>
      </c>
      <c r="BD9" s="3">
        <f>COUNTIF(defects!$Z:$Z,BD$3&amp;$C$1&amp;$B$3&amp;$B$2&amp;$B9&amp;$B$1)</f>
        <v>0</v>
      </c>
      <c r="BE9" s="3">
        <f>COUNTIF(defects!$Z:$Z,BE$3&amp;$C$1&amp;$B$3&amp;$B$2&amp;$B9&amp;$B$1)</f>
        <v>0</v>
      </c>
      <c r="BF9" s="3">
        <f>COUNTIF(defects!$Z:$Z,BF$3&amp;$C$1&amp;$B$3&amp;$B$2&amp;$B9&amp;$B$1)</f>
        <v>0</v>
      </c>
      <c r="BG9" s="3">
        <f>COUNTIF(defects!$Z:$Z,BG$3&amp;$C$1&amp;$B$3&amp;$B$2&amp;$B9&amp;$B$1)</f>
        <v>0</v>
      </c>
      <c r="BH9" s="3">
        <f>COUNTIF(defects!$Z:$Z,BH$3&amp;$C$1&amp;$B$3&amp;$B$2&amp;$B9&amp;$B$1)</f>
        <v>0</v>
      </c>
      <c r="BI9" s="3">
        <f>COUNTIF(defects!$Z:$Z,BI$3&amp;$C$1&amp;$B$3&amp;$B$2&amp;$B9&amp;$B$1)</f>
        <v>0</v>
      </c>
      <c r="BJ9" s="3">
        <f>COUNTIF(defects!$Z:$Z,BJ$3&amp;$C$1&amp;$B$3&amp;$B$2&amp;$B9&amp;$B$1)</f>
        <v>0</v>
      </c>
      <c r="BK9" s="3">
        <f>COUNTIF(defects!$Z:$Z,BK$3&amp;$C$1&amp;$B$3&amp;$B$2&amp;$B9&amp;$B$1)</f>
        <v>0</v>
      </c>
      <c r="BL9" s="3">
        <f>COUNTIF(defects!$Z:$Z,BL$3&amp;$C$1&amp;$B$3&amp;$B$2&amp;$B9&amp;$B$1)</f>
        <v>0</v>
      </c>
      <c r="BM9" s="3">
        <f>COUNTIF(defects!$Z:$Z,BM$3&amp;$C$1&amp;$B$3&amp;$B$2&amp;$B9&amp;$B$1)</f>
        <v>0</v>
      </c>
      <c r="BN9" s="3">
        <f>COUNTIF(defects!$Z:$Z,BN$3&amp;$C$1&amp;$B$3&amp;$B$2&amp;$B9&amp;$B$1)</f>
        <v>0</v>
      </c>
      <c r="BO9" s="3">
        <f>COUNTIF(defects!$Z:$Z,BO$3&amp;$C$1&amp;$B$3&amp;$B$2&amp;$B9&amp;$B$1)</f>
        <v>0</v>
      </c>
      <c r="BP9" s="3">
        <f>COUNTIF(defects!$Z:$Z,BP$3&amp;$C$1&amp;$B$3&amp;$B$2&amp;$B9&amp;$B$1)</f>
        <v>0</v>
      </c>
      <c r="BQ9" s="3">
        <f>COUNTIF(defects!$Z:$Z,BQ$3&amp;$C$1&amp;$B$3&amp;$B$2&amp;$B9&amp;$B$1)</f>
        <v>0</v>
      </c>
      <c r="BR9" s="3">
        <f>COUNTIF(defects!$Z:$Z,BR$3&amp;$C$1&amp;$B$3&amp;$B$2&amp;$B9&amp;$B$1)</f>
        <v>0</v>
      </c>
      <c r="BS9" s="3">
        <f>COUNTIF(defects!$Z:$Z,BS$3&amp;$C$1&amp;$B$3&amp;$B$2&amp;$B9&amp;$B$1)</f>
        <v>0</v>
      </c>
      <c r="BT9" s="3">
        <f>COUNTIF(defects!$Z:$Z,BT$3&amp;$C$1&amp;$B$3&amp;$B$2&amp;$B9&amp;$B$1)</f>
        <v>0</v>
      </c>
      <c r="BU9" s="3">
        <f>COUNTIF(defects!$Z:$Z,BU$3&amp;$C$1&amp;$B$3&amp;$B$2&amp;$B9&amp;$B$1)</f>
        <v>0</v>
      </c>
      <c r="BV9" s="3">
        <f>COUNTIF(defects!$Z:$Z,BV$3&amp;$C$1&amp;$B$3&amp;$B$2&amp;$B9&amp;$B$1)</f>
        <v>0</v>
      </c>
      <c r="BW9" s="3">
        <f>COUNTIF(defects!$Z:$Z,BW$3&amp;$C$1&amp;$B$3&amp;$B$2&amp;$B9&amp;$B$1)</f>
        <v>0</v>
      </c>
      <c r="BX9" s="3">
        <f>COUNTIF(defects!$Z:$Z,BX$3&amp;$C$1&amp;$B$3&amp;$B$2&amp;$B9&amp;$B$1)</f>
        <v>0</v>
      </c>
      <c r="BY9" s="3">
        <f>COUNTIF(defects!$Z:$Z,BY$3&amp;$C$1&amp;$B$3&amp;$B$2&amp;$B9&amp;$B$1)</f>
        <v>0</v>
      </c>
      <c r="BZ9" s="3">
        <f>COUNTIF(defects!$Z:$Z,BZ$3&amp;$C$1&amp;$B$3&amp;$B$2&amp;$B9&amp;$B$1)</f>
        <v>0</v>
      </c>
      <c r="CA9" s="3">
        <f>COUNTIF(defects!$Z:$Z,CA$3&amp;$C$1&amp;$B$3&amp;$B$2&amp;$B9&amp;$B$1)</f>
        <v>0</v>
      </c>
      <c r="CB9" s="3">
        <f>COUNTIF(defects!$Z:$Z,CB$3&amp;$C$1&amp;$B$3&amp;$B$2&amp;$B9&amp;$B$1)</f>
        <v>0</v>
      </c>
      <c r="CC9" s="3">
        <f>COUNTIF(defects!$Z:$Z,CC$3&amp;$C$1&amp;$B$3&amp;$B$2&amp;$B9&amp;$B$1)</f>
        <v>0</v>
      </c>
      <c r="CD9" s="3">
        <f>COUNTIF(defects!$Z:$Z,CD$3&amp;$C$1&amp;$B$3&amp;$B$2&amp;$B9&amp;$B$1)</f>
        <v>0</v>
      </c>
      <c r="CE9" s="3">
        <f>COUNTIF(defects!$Z:$Z,CE$3&amp;$C$1&amp;$B$3&amp;$B$2&amp;$B9&amp;$B$1)</f>
        <v>0</v>
      </c>
      <c r="CF9" s="3">
        <f>COUNTIF(defects!$Z:$Z,CF$3&amp;$C$1&amp;$B$3&amp;$B$2&amp;$B9&amp;$B$1)</f>
        <v>0</v>
      </c>
      <c r="CG9" s="3">
        <f>COUNTIF(defects!$Z:$Z,CG$3&amp;$C$1&amp;$B$3&amp;$B$2&amp;$B9&amp;$B$1)</f>
        <v>0</v>
      </c>
      <c r="CH9" s="3">
        <f>COUNTIF(defects!$Z:$Z,CH$3&amp;$C$1&amp;$B$3&amp;$B$2&amp;$B9&amp;$B$1)</f>
        <v>0</v>
      </c>
      <c r="CI9" s="3">
        <f>COUNTIF(defects!$Z:$Z,CI$3&amp;$C$1&amp;$B$3&amp;$B$2&amp;$B9&amp;$B$1)</f>
        <v>1</v>
      </c>
      <c r="CJ9" s="3">
        <f>COUNTIF(defects!$Z:$Z,CJ$3&amp;$C$1&amp;$B$3&amp;$B$2&amp;$B9&amp;$B$1)</f>
        <v>0</v>
      </c>
      <c r="CK9" s="3">
        <f>COUNTIF(defects!$Z:$Z,CK$3&amp;$C$1&amp;$B$3&amp;$B$2&amp;$B9&amp;$B$1)</f>
        <v>2</v>
      </c>
      <c r="CL9" s="3">
        <f>COUNTIF(defects!$Z:$Z,CL$3&amp;$C$1&amp;$B$3&amp;$B$2&amp;$B9&amp;$B$1)</f>
        <v>0</v>
      </c>
      <c r="CM9" s="3">
        <f>COUNTIF(defects!$Z:$Z,CM$3&amp;$C$1&amp;$B$3&amp;$B$2&amp;$B9&amp;$B$1)</f>
        <v>0</v>
      </c>
      <c r="CN9" s="3">
        <f>COUNTIF(defects!$Z:$Z,CN$3&amp;$C$1&amp;$B$3&amp;$B$2&amp;$B9&amp;$B$1)</f>
        <v>0</v>
      </c>
      <c r="CO9" s="3">
        <f>COUNTIF(defects!$Z:$Z,CO$3&amp;$C$1&amp;$B$3&amp;$B$2&amp;$B9&amp;$B$1)</f>
        <v>3</v>
      </c>
      <c r="CP9" s="3">
        <f>COUNTIF(defects!$Z:$Z,CP$3&amp;$C$1&amp;$B$3&amp;$B$2&amp;$B9&amp;$B$1)</f>
        <v>4</v>
      </c>
      <c r="CQ9" s="3">
        <f>COUNTIF(defects!$Z:$Z,CQ$3&amp;$C$1&amp;$B$3&amp;$B$2&amp;$B9&amp;$B$1)</f>
        <v>2</v>
      </c>
      <c r="CR9" s="3">
        <f>COUNTIF(defects!$Z:$Z,CR$3&amp;$C$1&amp;$B$3&amp;$B$2&amp;$B9&amp;$B$1)</f>
        <v>5</v>
      </c>
      <c r="CS9" s="3">
        <f>COUNTIF(defects!$Z:$Z,CS$3&amp;$C$1&amp;$B$3&amp;$B$2&amp;$B9&amp;$B$1)</f>
        <v>3</v>
      </c>
      <c r="CT9" s="3">
        <f>COUNTIF(defects!$Z:$Z,CT$3&amp;$C$1&amp;$B$3&amp;$B$2&amp;$B9&amp;$B$1)</f>
        <v>1</v>
      </c>
      <c r="CU9" s="3">
        <f>COUNTIF(defects!$Z:$Z,CU$3&amp;$C$1&amp;$B$3&amp;$B$2&amp;$B9&amp;$B$1)</f>
        <v>0</v>
      </c>
      <c r="CV9" s="3">
        <f>COUNTIF(defects!$Z:$Z,CV$3&amp;$C$1&amp;$B$3&amp;$B$2&amp;$B9&amp;$B$1)</f>
        <v>0</v>
      </c>
      <c r="CW9" s="3">
        <f>COUNTIF(defects!$Z:$Z,CW$3&amp;$C$1&amp;$B$3&amp;$B$2&amp;$B9&amp;$B$1)</f>
        <v>0</v>
      </c>
      <c r="CX9" s="3">
        <f>COUNTIF(defects!$Z:$Z,CX$3&amp;$C$1&amp;$B$3&amp;$B$2&amp;$B9&amp;$B$1)</f>
        <v>0</v>
      </c>
      <c r="CY9" s="3">
        <f>COUNTIF(defects!$Z:$Z,CY$3&amp;$C$1&amp;$B$3&amp;$B$2&amp;$B9&amp;$B$1)</f>
        <v>0</v>
      </c>
      <c r="CZ9" s="3">
        <f>COUNTIF(defects!$Z:$Z,CZ$3&amp;$C$1&amp;$B$3&amp;$B$2&amp;$B9&amp;$B$1)</f>
        <v>0</v>
      </c>
      <c r="DA9" s="3">
        <f>COUNTIF(defects!$Z:$Z,DA$3&amp;$C$1&amp;$B$3&amp;$B$2&amp;$B9&amp;$B$1)</f>
        <v>0</v>
      </c>
      <c r="DB9" s="3">
        <f>COUNTIF(defects!$Z:$Z,DB$3&amp;$C$1&amp;$B$3&amp;$B$2&amp;$B9&amp;$B$1)</f>
        <v>0</v>
      </c>
      <c r="DC9" s="3">
        <f>COUNTIF(defects!$Z:$Z,DC$3&amp;$C$1&amp;$B$3&amp;$B$2&amp;$B9&amp;$B$1)</f>
        <v>0</v>
      </c>
      <c r="DD9" s="3">
        <f>COUNTIF(defects!$Z:$Z,DD$3&amp;$C$1&amp;$B$3&amp;$B$2&amp;$B9&amp;$B$1)</f>
        <v>0</v>
      </c>
      <c r="DE9" s="3">
        <f>COUNTIF(defects!$Z:$Z,DE$3&amp;$C$1&amp;$B$3&amp;$B$2&amp;$B9&amp;$B$1)</f>
        <v>0</v>
      </c>
      <c r="DF9" s="3">
        <f>COUNTIF(defects!$Z:$Z,DF$3&amp;$C$1&amp;$B$3&amp;$B$2&amp;$B9&amp;$B$1)</f>
        <v>0</v>
      </c>
      <c r="DG9" s="3">
        <f>COUNTIF(defects!$Z:$Z,DG$3&amp;$C$1&amp;$B$3&amp;$B$2&amp;$B9&amp;$B$1)</f>
        <v>0</v>
      </c>
      <c r="DH9" s="3">
        <f>COUNTIF(defects!$Z:$Z,DH$3&amp;$C$1&amp;$B$3&amp;$B$2&amp;$B9&amp;$B$1)</f>
        <v>0</v>
      </c>
      <c r="DI9" s="3">
        <f>COUNTIF(defects!$Z:$Z,DI$3&amp;$C$1&amp;$B$3&amp;$B$2&amp;$B9&amp;$B$1)</f>
        <v>0</v>
      </c>
      <c r="DJ9" s="3">
        <f>COUNTIF(defects!$Z:$Z,DJ$3&amp;$C$1&amp;$B$3&amp;$B$2&amp;$B9&amp;$B$1)</f>
        <v>0</v>
      </c>
      <c r="DK9" s="3">
        <f>COUNTIF(defects!$Z:$Z,DK$3&amp;$C$1&amp;$B$3&amp;$B$2&amp;$B9&amp;$B$1)</f>
        <v>0</v>
      </c>
      <c r="DL9" s="3">
        <f>COUNTIF(defects!$Z:$Z,DL$3&amp;$C$1&amp;$B$3&amp;$B$2&amp;$B9&amp;$B$1)</f>
        <v>0</v>
      </c>
      <c r="DM9" s="3">
        <f>COUNTIF(defects!$Z:$Z,DM$3&amp;$C$1&amp;$B$3&amp;$B$2&amp;$B9&amp;$B$1)</f>
        <v>0</v>
      </c>
      <c r="DN9" s="3">
        <f>COUNTIF(defects!$Z:$Z,DN$3&amp;$C$1&amp;$B$3&amp;$B$2&amp;$B9&amp;$B$1)</f>
        <v>0</v>
      </c>
      <c r="DO9" s="3">
        <f>COUNTIF(defects!$Z:$Z,DO$3&amp;$C$1&amp;$B$3&amp;$B$2&amp;$B9&amp;$B$1)</f>
        <v>0</v>
      </c>
      <c r="DP9" s="3">
        <f>COUNTIF(defects!$Z:$Z,DP$3&amp;$C$1&amp;$B$3&amp;$B$2&amp;$B9&amp;$B$1)</f>
        <v>0</v>
      </c>
      <c r="DQ9" s="3">
        <f>COUNTIF(defects!$Z:$Z,DQ$3&amp;$C$1&amp;$B$3&amp;$B$2&amp;$B9&amp;$B$1)</f>
        <v>0</v>
      </c>
      <c r="DR9" s="3">
        <f>COUNTIF(defects!$Z:$Z,DR$3&amp;$C$1&amp;$B$3&amp;$B$2&amp;$B9&amp;$B$1)</f>
        <v>0</v>
      </c>
      <c r="DS9" s="3">
        <f>COUNTIF(defects!$Z:$Z,DS$3&amp;$C$1&amp;$B$3&amp;$B$2&amp;$B9&amp;$B$1)</f>
        <v>0</v>
      </c>
      <c r="DT9" s="3">
        <f>COUNTIF(defects!$Z:$Z,DT$3&amp;$C$1&amp;$B$3&amp;$B$2&amp;$B9&amp;$B$1)</f>
        <v>0</v>
      </c>
      <c r="DU9" s="3">
        <f>COUNTIF(defects!$Z:$Z,DU$3&amp;$C$1&amp;$B$3&amp;$B$2&amp;$B9&amp;$B$1)</f>
        <v>0</v>
      </c>
      <c r="DV9" s="3">
        <f>COUNTIF(defects!$Z:$Z,DV$3&amp;$C$1&amp;$B$3&amp;$B$2&amp;$B9&amp;$B$1)</f>
        <v>0</v>
      </c>
      <c r="DW9" s="3">
        <f>COUNTIF(defects!$Z:$Z,DW$3&amp;$C$1&amp;$B$3&amp;$B$2&amp;$B9&amp;$B$1)</f>
        <v>0</v>
      </c>
      <c r="DX9" s="3">
        <f>COUNTIF(defects!$Z:$Z,DX$3&amp;$C$1&amp;$B$3&amp;$B$2&amp;$B9&amp;$B$1)</f>
        <v>0</v>
      </c>
      <c r="DY9" s="3">
        <f>COUNTIF(defects!$Z:$Z,DY$3&amp;$C$1&amp;$B$3&amp;$B$2&amp;$B9&amp;$B$1)</f>
        <v>0</v>
      </c>
      <c r="DZ9" s="3">
        <f>COUNTIF(defects!$Z:$Z,DZ$3&amp;$C$1&amp;$B$3&amp;$B$2&amp;$B9&amp;$B$1)</f>
        <v>0</v>
      </c>
      <c r="EA9" s="3">
        <f>COUNTIF(defects!$Z:$Z,EA$3&amp;$C$1&amp;$B$3&amp;$B$2&amp;$B9&amp;$B$1)</f>
        <v>0</v>
      </c>
      <c r="EB9" s="3">
        <f>COUNTIF(defects!$Z:$Z,EB$3&amp;$C$1&amp;$B$3&amp;$B$2&amp;$B9&amp;$B$1)</f>
        <v>0</v>
      </c>
      <c r="EC9" s="3">
        <f>COUNTIF(defects!$Z:$Z,EC$3&amp;$C$1&amp;$B$3&amp;$B$2&amp;$B9&amp;$B$1)</f>
        <v>0</v>
      </c>
      <c r="ED9" s="3">
        <f>COUNTIF(defects!$Z:$Z,ED$3&amp;$C$1&amp;$B$3&amp;$B$2&amp;$B9&amp;$B$1)</f>
        <v>0</v>
      </c>
      <c r="EE9" s="3">
        <f>COUNTIF(defects!$Z:$Z,EE$3&amp;$C$1&amp;$B$3&amp;$B$2&amp;$B9&amp;$B$1)</f>
        <v>0</v>
      </c>
      <c r="EF9" s="3">
        <f>COUNTIF(defects!$Z:$Z,EF$3&amp;$C$1&amp;$B$3&amp;$B$2&amp;$B9&amp;$B$1)</f>
        <v>0</v>
      </c>
      <c r="EG9" s="3">
        <f>COUNTIF(defects!$Z:$Z,EG$3&amp;$C$1&amp;$B$3&amp;$B$2&amp;$B9&amp;$B$1)</f>
        <v>0</v>
      </c>
      <c r="EH9" s="3">
        <f>COUNTIF(defects!$Z:$Z,EH$3&amp;$C$1&amp;$B$3&amp;$B$2&amp;$B9&amp;$B$1)</f>
        <v>0</v>
      </c>
      <c r="EI9" s="3">
        <f>COUNTIF(defects!$Z:$Z,EI$3&amp;$C$1&amp;$B$3&amp;$B$2&amp;$B9&amp;$B$1)</f>
        <v>0</v>
      </c>
      <c r="EJ9" s="3">
        <f>COUNTIF(defects!$Z:$Z,EJ$3&amp;$C$1&amp;$B$3&amp;$B$2&amp;$B9&amp;$B$1)</f>
        <v>0</v>
      </c>
      <c r="EK9" s="3">
        <f>COUNTIF(defects!$Z:$Z,EK$3&amp;$C$1&amp;$B$3&amp;$B$2&amp;$B9&amp;$B$1)</f>
        <v>0</v>
      </c>
      <c r="EL9" s="3">
        <f>COUNTIF(defects!$Z:$Z,EL$3&amp;$C$1&amp;$B$3&amp;$B$2&amp;$B9&amp;$B$1)</f>
        <v>0</v>
      </c>
      <c r="EM9" s="3">
        <f>COUNTIF(defects!$Z:$Z,EM$3&amp;$C$1&amp;$B$3&amp;$B$2&amp;$B9&amp;$B$1)</f>
        <v>0</v>
      </c>
      <c r="EN9" s="3">
        <f>COUNTIF(defects!$Z:$Z,EN$3&amp;$C$1&amp;$B$3&amp;$B$2&amp;$B9&amp;$B$1)</f>
        <v>0</v>
      </c>
      <c r="EO9" s="3">
        <f>COUNTIF(defects!$Z:$Z,EO$3&amp;$C$1&amp;$B$3&amp;$B$2&amp;$B9&amp;$B$1)</f>
        <v>0</v>
      </c>
      <c r="EP9" s="3">
        <f>COUNTIF(defects!$Z:$Z,EP$3&amp;$C$1&amp;$B$3&amp;$B$2&amp;$B9&amp;$B$1)</f>
        <v>0</v>
      </c>
      <c r="EQ9" s="3">
        <f>COUNTIF(defects!$Z:$Z,EQ$3&amp;$C$1&amp;$B$3&amp;$B$2&amp;$B9&amp;$B$1)</f>
        <v>0</v>
      </c>
      <c r="ER9" s="3">
        <f>COUNTIF(defects!$Z:$Z,ER$3&amp;$C$1&amp;$B$3&amp;$B$2&amp;$B9&amp;$B$1)</f>
        <v>0</v>
      </c>
      <c r="ES9" s="3">
        <f>COUNTIF(defects!$Z:$Z,ES$3&amp;$C$1&amp;$B$3&amp;$B$2&amp;$B9&amp;$B$1)</f>
        <v>0</v>
      </c>
      <c r="ET9" s="3">
        <f>COUNTIF(defects!$Z:$Z,ET$3&amp;$C$1&amp;$B$3&amp;$B$2&amp;$B9&amp;$B$1)</f>
        <v>0</v>
      </c>
      <c r="EU9" s="3">
        <f>COUNTIF(defects!$Z:$Z,EU$3&amp;$C$1&amp;$B$3&amp;$B$2&amp;$B9&amp;$B$1)</f>
        <v>0</v>
      </c>
      <c r="EV9" s="3">
        <f>COUNTIF(defects!$Z:$Z,EV$3&amp;$C$1&amp;$B$3&amp;$B$2&amp;$B9&amp;$B$1)</f>
        <v>0</v>
      </c>
      <c r="EW9" s="3">
        <f>COUNTIF(defects!$Z:$Z,EW$3&amp;$C$1&amp;$B$3&amp;$B$2&amp;$B9&amp;$B$1)</f>
        <v>0</v>
      </c>
      <c r="EX9" s="3">
        <f>COUNTIF(defects!$Z:$Z,EX$3&amp;$C$1&amp;$B$3&amp;$B$2&amp;$B9&amp;$B$1)</f>
        <v>0</v>
      </c>
      <c r="EY9" s="3">
        <f>COUNTIF(defects!$Z:$Z,EY$3&amp;$C$1&amp;$B$3&amp;$B$2&amp;$B9&amp;$B$1)</f>
        <v>0</v>
      </c>
      <c r="EZ9" s="3">
        <f>COUNTIF(defects!$Z:$Z,EZ$3&amp;$C$1&amp;$B$3&amp;$B$2&amp;$B9&amp;$B$1)</f>
        <v>0</v>
      </c>
      <c r="FA9" s="3">
        <f>COUNTIF(defects!$Z:$Z,FA$3&amp;$C$1&amp;$B$3&amp;$B$2&amp;$B9&amp;$B$1)</f>
        <v>0</v>
      </c>
      <c r="FB9" s="3">
        <f>COUNTIF(defects!$Z:$Z,FB$3&amp;$C$1&amp;$B$3&amp;$B$2&amp;$B9&amp;$B$1)</f>
        <v>0</v>
      </c>
      <c r="FC9" s="3">
        <f>COUNTIF(defects!$Z:$Z,FC$3&amp;$C$1&amp;$B$3&amp;$B$2&amp;$B9&amp;$B$1)</f>
        <v>0</v>
      </c>
      <c r="FD9" s="3">
        <f>COUNTIF(defects!$Z:$Z,FD$3&amp;$C$1&amp;$B$3&amp;$B$2&amp;$B9&amp;$B$1)</f>
        <v>0</v>
      </c>
      <c r="FE9" s="3">
        <f>COUNTIF(defects!$Z:$Z,FE$3&amp;$C$1&amp;$B$3&amp;$B$2&amp;$B9&amp;$B$1)</f>
        <v>0</v>
      </c>
    </row>
    <row r="10" spans="2:161">
      <c r="B10" t="s">
        <v>965</v>
      </c>
      <c r="C10" s="3">
        <f>COUNTIF(defects!$Z:$Z,C$3&amp;$C$1&amp;$B$3&amp;$B$2&amp;$B10&amp;$B$1)</f>
        <v>0</v>
      </c>
      <c r="D10" s="3">
        <f>COUNTIF(defects!$Z:$Z,D$3&amp;$C$1&amp;$B$3&amp;$B$2&amp;$B10&amp;$B$1)</f>
        <v>0</v>
      </c>
      <c r="E10" s="3">
        <f>COUNTIF(defects!$Z:$Z,E$3&amp;$C$1&amp;$B$3&amp;$B$2&amp;$B10&amp;$B$1)</f>
        <v>0</v>
      </c>
      <c r="F10" s="3">
        <f>COUNTIF(defects!$Z:$Z,F$3&amp;$C$1&amp;$B$3&amp;$B$2&amp;$B10&amp;$B$1)</f>
        <v>0</v>
      </c>
      <c r="G10" s="3">
        <f>COUNTIF(defects!$Z:$Z,G$3&amp;$C$1&amp;$B$3&amp;$B$2&amp;$B10&amp;$B$1)</f>
        <v>0</v>
      </c>
      <c r="H10" s="3">
        <f>COUNTIF(defects!$Z:$Z,H$3&amp;$C$1&amp;$B$3&amp;$B$2&amp;$B10&amp;$B$1)</f>
        <v>0</v>
      </c>
      <c r="I10" s="3">
        <f>COUNTIF(defects!$Z:$Z,I$3&amp;$C$1&amp;$B$3&amp;$B$2&amp;$B10&amp;$B$1)</f>
        <v>0</v>
      </c>
      <c r="J10" s="3">
        <f>COUNTIF(defects!$Z:$Z,J$3&amp;$C$1&amp;$B$3&amp;$B$2&amp;$B10&amp;$B$1)</f>
        <v>0</v>
      </c>
      <c r="K10" s="3">
        <f>COUNTIF(defects!$Z:$Z,K$3&amp;$C$1&amp;$B$3&amp;$B$2&amp;$B10&amp;$B$1)</f>
        <v>0</v>
      </c>
      <c r="L10" s="3">
        <f>COUNTIF(defects!$Z:$Z,L$3&amp;$C$1&amp;$B$3&amp;$B$2&amp;$B10&amp;$B$1)</f>
        <v>0</v>
      </c>
      <c r="M10" s="3">
        <f>COUNTIF(defects!$Z:$Z,M$3&amp;$C$1&amp;$B$3&amp;$B$2&amp;$B10&amp;$B$1)</f>
        <v>0</v>
      </c>
      <c r="N10" s="3">
        <f>COUNTIF(defects!$Z:$Z,N$3&amp;$C$1&amp;$B$3&amp;$B$2&amp;$B10&amp;$B$1)</f>
        <v>0</v>
      </c>
      <c r="O10" s="3">
        <f>COUNTIF(defects!$Z:$Z,O$3&amp;$C$1&amp;$B$3&amp;$B$2&amp;$B10&amp;$B$1)</f>
        <v>0</v>
      </c>
      <c r="P10" s="3">
        <f>COUNTIF(defects!$Z:$Z,P$3&amp;$C$1&amp;$B$3&amp;$B$2&amp;$B10&amp;$B$1)</f>
        <v>0</v>
      </c>
      <c r="Q10" s="3">
        <f>COUNTIF(defects!$Z:$Z,Q$3&amp;$C$1&amp;$B$3&amp;$B$2&amp;$B10&amp;$B$1)</f>
        <v>0</v>
      </c>
      <c r="R10" s="3">
        <f>COUNTIF(defects!$Z:$Z,R$3&amp;$C$1&amp;$B$3&amp;$B$2&amp;$B10&amp;$B$1)</f>
        <v>0</v>
      </c>
      <c r="S10" s="3">
        <f>COUNTIF(defects!$Z:$Z,S$3&amp;$C$1&amp;$B$3&amp;$B$2&amp;$B10&amp;$B$1)</f>
        <v>0</v>
      </c>
      <c r="T10" s="3">
        <f>COUNTIF(defects!$Z:$Z,T$3&amp;$C$1&amp;$B$3&amp;$B$2&amp;$B10&amp;$B$1)</f>
        <v>0</v>
      </c>
      <c r="U10" s="3">
        <f>COUNTIF(defects!$Z:$Z,U$3&amp;$C$1&amp;$B$3&amp;$B$2&amp;$B10&amp;$B$1)</f>
        <v>0</v>
      </c>
      <c r="V10" s="3">
        <f>COUNTIF(defects!$Z:$Z,V$3&amp;$C$1&amp;$B$3&amp;$B$2&amp;$B10&amp;$B$1)</f>
        <v>0</v>
      </c>
      <c r="W10" s="3">
        <f>COUNTIF(defects!$Z:$Z,W$3&amp;$C$1&amp;$B$3&amp;$B$2&amp;$B10&amp;$B$1)</f>
        <v>0</v>
      </c>
      <c r="X10" s="3">
        <f>COUNTIF(defects!$Z:$Z,X$3&amp;$C$1&amp;$B$3&amp;$B$2&amp;$B10&amp;$B$1)</f>
        <v>0</v>
      </c>
      <c r="Y10" s="3">
        <f>COUNTIF(defects!$Z:$Z,Y$3&amp;$C$1&amp;$B$3&amp;$B$2&amp;$B10&amp;$B$1)</f>
        <v>0</v>
      </c>
      <c r="Z10" s="3">
        <f>COUNTIF(defects!$Z:$Z,Z$3&amp;$C$1&amp;$B$3&amp;$B$2&amp;$B10&amp;$B$1)</f>
        <v>0</v>
      </c>
      <c r="AA10" s="3">
        <f>COUNTIF(defects!$Z:$Z,AA$3&amp;$C$1&amp;$B$3&amp;$B$2&amp;$B10&amp;$B$1)</f>
        <v>0</v>
      </c>
      <c r="AB10" s="3">
        <f>COUNTIF(defects!$Z:$Z,AB$3&amp;$C$1&amp;$B$3&amp;$B$2&amp;$B10&amp;$B$1)</f>
        <v>0</v>
      </c>
      <c r="AC10" s="3">
        <f>COUNTIF(defects!$Z:$Z,AC$3&amp;$C$1&amp;$B$3&amp;$B$2&amp;$B10&amp;$B$1)</f>
        <v>0</v>
      </c>
      <c r="AD10" s="3">
        <f>COUNTIF(defects!$Z:$Z,AD$3&amp;$C$1&amp;$B$3&amp;$B$2&amp;$B10&amp;$B$1)</f>
        <v>0</v>
      </c>
      <c r="AE10" s="3">
        <f>COUNTIF(defects!$Z:$Z,AE$3&amp;$C$1&amp;$B$3&amp;$B$2&amp;$B10&amp;$B$1)</f>
        <v>0</v>
      </c>
      <c r="AF10" s="3">
        <f>COUNTIF(defects!$Z:$Z,AF$3&amp;$C$1&amp;$B$3&amp;$B$2&amp;$B10&amp;$B$1)</f>
        <v>0</v>
      </c>
      <c r="AG10" s="3">
        <f>COUNTIF(defects!$Z:$Z,AG$3&amp;$C$1&amp;$B$3&amp;$B$2&amp;$B10&amp;$B$1)</f>
        <v>0</v>
      </c>
      <c r="AH10" s="3">
        <f>COUNTIF(defects!$Z:$Z,AH$3&amp;$C$1&amp;$B$3&amp;$B$2&amp;$B10&amp;$B$1)</f>
        <v>0</v>
      </c>
      <c r="AI10" s="3">
        <f>COUNTIF(defects!$Z:$Z,AI$3&amp;$C$1&amp;$B$3&amp;$B$2&amp;$B10&amp;$B$1)</f>
        <v>0</v>
      </c>
      <c r="AJ10" s="3">
        <f>COUNTIF(defects!$Z:$Z,AJ$3&amp;$C$1&amp;$B$3&amp;$B$2&amp;$B10&amp;$B$1)</f>
        <v>0</v>
      </c>
      <c r="AK10" s="3">
        <f>COUNTIF(defects!$Z:$Z,AK$3&amp;$C$1&amp;$B$3&amp;$B$2&amp;$B10&amp;$B$1)</f>
        <v>0</v>
      </c>
      <c r="AL10" s="3">
        <f>COUNTIF(defects!$Z:$Z,AL$3&amp;$C$1&amp;$B$3&amp;$B$2&amp;$B10&amp;$B$1)</f>
        <v>0</v>
      </c>
      <c r="AM10" s="3">
        <f>COUNTIF(defects!$Z:$Z,AM$3&amp;$C$1&amp;$B$3&amp;$B$2&amp;$B10&amp;$B$1)</f>
        <v>0</v>
      </c>
      <c r="AN10" s="3">
        <f>COUNTIF(defects!$Z:$Z,AN$3&amp;$C$1&amp;$B$3&amp;$B$2&amp;$B10&amp;$B$1)</f>
        <v>0</v>
      </c>
      <c r="AO10" s="3">
        <f>COUNTIF(defects!$Z:$Z,AO$3&amp;$C$1&amp;$B$3&amp;$B$2&amp;$B10&amp;$B$1)</f>
        <v>0</v>
      </c>
      <c r="AP10" s="3">
        <f>COUNTIF(defects!$Z:$Z,AP$3&amp;$C$1&amp;$B$3&amp;$B$2&amp;$B10&amp;$B$1)</f>
        <v>0</v>
      </c>
      <c r="AQ10" s="3">
        <f>COUNTIF(defects!$Z:$Z,AQ$3&amp;$C$1&amp;$B$3&amp;$B$2&amp;$B10&amp;$B$1)</f>
        <v>0</v>
      </c>
      <c r="AR10" s="3">
        <f>COUNTIF(defects!$Z:$Z,AR$3&amp;$C$1&amp;$B$3&amp;$B$2&amp;$B10&amp;$B$1)</f>
        <v>0</v>
      </c>
      <c r="AS10" s="3">
        <f>COUNTIF(defects!$Z:$Z,AS$3&amp;$C$1&amp;$B$3&amp;$B$2&amp;$B10&amp;$B$1)</f>
        <v>0</v>
      </c>
      <c r="AT10" s="3">
        <f>COUNTIF(defects!$Z:$Z,AT$3&amp;$C$1&amp;$B$3&amp;$B$2&amp;$B10&amp;$B$1)</f>
        <v>0</v>
      </c>
      <c r="AU10" s="3">
        <f>COUNTIF(defects!$Z:$Z,AU$3&amp;$C$1&amp;$B$3&amp;$B$2&amp;$B10&amp;$B$1)</f>
        <v>0</v>
      </c>
      <c r="AV10" s="3">
        <f>COUNTIF(defects!$Z:$Z,AV$3&amp;$C$1&amp;$B$3&amp;$B$2&amp;$B10&amp;$B$1)</f>
        <v>0</v>
      </c>
      <c r="AW10" s="3">
        <f>COUNTIF(defects!$Z:$Z,AW$3&amp;$C$1&amp;$B$3&amp;$B$2&amp;$B10&amp;$B$1)</f>
        <v>0</v>
      </c>
      <c r="AX10" s="3">
        <f>COUNTIF(defects!$Z:$Z,AX$3&amp;$C$1&amp;$B$3&amp;$B$2&amp;$B10&amp;$B$1)</f>
        <v>0</v>
      </c>
      <c r="AY10" s="3">
        <f>COUNTIF(defects!$Z:$Z,AY$3&amp;$C$1&amp;$B$3&amp;$B$2&amp;$B10&amp;$B$1)</f>
        <v>0</v>
      </c>
      <c r="AZ10" s="3">
        <f>COUNTIF(defects!$Z:$Z,AZ$3&amp;$C$1&amp;$B$3&amp;$B$2&amp;$B10&amp;$B$1)</f>
        <v>0</v>
      </c>
      <c r="BA10" s="3">
        <f>COUNTIF(defects!$Z:$Z,BA$3&amp;$C$1&amp;$B$3&amp;$B$2&amp;$B10&amp;$B$1)</f>
        <v>0</v>
      </c>
      <c r="BB10" s="3">
        <f>COUNTIF(defects!$Z:$Z,BB$3&amp;$C$1&amp;$B$3&amp;$B$2&amp;$B10&amp;$B$1)</f>
        <v>0</v>
      </c>
      <c r="BC10" s="3">
        <f>COUNTIF(defects!$Z:$Z,BC$3&amp;$C$1&amp;$B$3&amp;$B$2&amp;$B10&amp;$B$1)</f>
        <v>0</v>
      </c>
      <c r="BD10" s="3">
        <f>COUNTIF(defects!$Z:$Z,BD$3&amp;$C$1&amp;$B$3&amp;$B$2&amp;$B10&amp;$B$1)</f>
        <v>0</v>
      </c>
      <c r="BE10" s="3">
        <f>COUNTIF(defects!$Z:$Z,BE$3&amp;$C$1&amp;$B$3&amp;$B$2&amp;$B10&amp;$B$1)</f>
        <v>0</v>
      </c>
      <c r="BF10" s="3">
        <f>COUNTIF(defects!$Z:$Z,BF$3&amp;$C$1&amp;$B$3&amp;$B$2&amp;$B10&amp;$B$1)</f>
        <v>0</v>
      </c>
      <c r="BG10" s="3">
        <f>COUNTIF(defects!$Z:$Z,BG$3&amp;$C$1&amp;$B$3&amp;$B$2&amp;$B10&amp;$B$1)</f>
        <v>0</v>
      </c>
      <c r="BH10" s="3">
        <f>COUNTIF(defects!$Z:$Z,BH$3&amp;$C$1&amp;$B$3&amp;$B$2&amp;$B10&amp;$B$1)</f>
        <v>0</v>
      </c>
      <c r="BI10" s="3">
        <f>COUNTIF(defects!$Z:$Z,BI$3&amp;$C$1&amp;$B$3&amp;$B$2&amp;$B10&amp;$B$1)</f>
        <v>0</v>
      </c>
      <c r="BJ10" s="3">
        <f>COUNTIF(defects!$Z:$Z,BJ$3&amp;$C$1&amp;$B$3&amp;$B$2&amp;$B10&amp;$B$1)</f>
        <v>0</v>
      </c>
      <c r="BK10" s="3">
        <f>COUNTIF(defects!$Z:$Z,BK$3&amp;$C$1&amp;$B$3&amp;$B$2&amp;$B10&amp;$B$1)</f>
        <v>0</v>
      </c>
      <c r="BL10" s="3">
        <f>COUNTIF(defects!$Z:$Z,BL$3&amp;$C$1&amp;$B$3&amp;$B$2&amp;$B10&amp;$B$1)</f>
        <v>0</v>
      </c>
      <c r="BM10" s="3">
        <f>COUNTIF(defects!$Z:$Z,BM$3&amp;$C$1&amp;$B$3&amp;$B$2&amp;$B10&amp;$B$1)</f>
        <v>0</v>
      </c>
      <c r="BN10" s="3">
        <f>COUNTIF(defects!$Z:$Z,BN$3&amp;$C$1&amp;$B$3&amp;$B$2&amp;$B10&amp;$B$1)</f>
        <v>0</v>
      </c>
      <c r="BO10" s="3">
        <f>COUNTIF(defects!$Z:$Z,BO$3&amp;$C$1&amp;$B$3&amp;$B$2&amp;$B10&amp;$B$1)</f>
        <v>0</v>
      </c>
      <c r="BP10" s="3">
        <f>COUNTIF(defects!$Z:$Z,BP$3&amp;$C$1&amp;$B$3&amp;$B$2&amp;$B10&amp;$B$1)</f>
        <v>0</v>
      </c>
      <c r="BQ10" s="3">
        <f>COUNTIF(defects!$Z:$Z,BQ$3&amp;$C$1&amp;$B$3&amp;$B$2&amp;$B10&amp;$B$1)</f>
        <v>0</v>
      </c>
      <c r="BR10" s="3">
        <f>COUNTIF(defects!$Z:$Z,BR$3&amp;$C$1&amp;$B$3&amp;$B$2&amp;$B10&amp;$B$1)</f>
        <v>0</v>
      </c>
      <c r="BS10" s="3">
        <f>COUNTIF(defects!$Z:$Z,BS$3&amp;$C$1&amp;$B$3&amp;$B$2&amp;$B10&amp;$B$1)</f>
        <v>0</v>
      </c>
      <c r="BT10" s="3">
        <f>COUNTIF(defects!$Z:$Z,BT$3&amp;$C$1&amp;$B$3&amp;$B$2&amp;$B10&amp;$B$1)</f>
        <v>0</v>
      </c>
      <c r="BU10" s="3">
        <f>COUNTIF(defects!$Z:$Z,BU$3&amp;$C$1&amp;$B$3&amp;$B$2&amp;$B10&amp;$B$1)</f>
        <v>1</v>
      </c>
      <c r="BV10" s="3">
        <f>COUNTIF(defects!$Z:$Z,BV$3&amp;$C$1&amp;$B$3&amp;$B$2&amp;$B10&amp;$B$1)</f>
        <v>0</v>
      </c>
      <c r="BW10" s="3">
        <f>COUNTIF(defects!$Z:$Z,BW$3&amp;$C$1&amp;$B$3&amp;$B$2&amp;$B10&amp;$B$1)</f>
        <v>0</v>
      </c>
      <c r="BX10" s="3">
        <f>COUNTIF(defects!$Z:$Z,BX$3&amp;$C$1&amp;$B$3&amp;$B$2&amp;$B10&amp;$B$1)</f>
        <v>0</v>
      </c>
      <c r="BY10" s="3">
        <f>COUNTIF(defects!$Z:$Z,BY$3&amp;$C$1&amp;$B$3&amp;$B$2&amp;$B10&amp;$B$1)</f>
        <v>0</v>
      </c>
      <c r="BZ10" s="3">
        <f>COUNTIF(defects!$Z:$Z,BZ$3&amp;$C$1&amp;$B$3&amp;$B$2&amp;$B10&amp;$B$1)</f>
        <v>0</v>
      </c>
      <c r="CA10" s="3">
        <f>COUNTIF(defects!$Z:$Z,CA$3&amp;$C$1&amp;$B$3&amp;$B$2&amp;$B10&amp;$B$1)</f>
        <v>1</v>
      </c>
      <c r="CB10" s="3">
        <f>COUNTIF(defects!$Z:$Z,CB$3&amp;$C$1&amp;$B$3&amp;$B$2&amp;$B10&amp;$B$1)</f>
        <v>0</v>
      </c>
      <c r="CC10" s="3">
        <f>COUNTIF(defects!$Z:$Z,CC$3&amp;$C$1&amp;$B$3&amp;$B$2&amp;$B10&amp;$B$1)</f>
        <v>0</v>
      </c>
      <c r="CD10" s="3">
        <f>COUNTIF(defects!$Z:$Z,CD$3&amp;$C$1&amp;$B$3&amp;$B$2&amp;$B10&amp;$B$1)</f>
        <v>0</v>
      </c>
      <c r="CE10" s="3">
        <f>COUNTIF(defects!$Z:$Z,CE$3&amp;$C$1&amp;$B$3&amp;$B$2&amp;$B10&amp;$B$1)</f>
        <v>1</v>
      </c>
      <c r="CF10" s="3">
        <f>COUNTIF(defects!$Z:$Z,CF$3&amp;$C$1&amp;$B$3&amp;$B$2&amp;$B10&amp;$B$1)</f>
        <v>0</v>
      </c>
      <c r="CG10" s="3">
        <f>COUNTIF(defects!$Z:$Z,CG$3&amp;$C$1&amp;$B$3&amp;$B$2&amp;$B10&amp;$B$1)</f>
        <v>1</v>
      </c>
      <c r="CH10" s="3">
        <f>COUNTIF(defects!$Z:$Z,CH$3&amp;$C$1&amp;$B$3&amp;$B$2&amp;$B10&amp;$B$1)</f>
        <v>1</v>
      </c>
      <c r="CI10" s="3">
        <f>COUNTIF(defects!$Z:$Z,CI$3&amp;$C$1&amp;$B$3&amp;$B$2&amp;$B10&amp;$B$1)</f>
        <v>0</v>
      </c>
      <c r="CJ10" s="3">
        <f>COUNTIF(defects!$Z:$Z,CJ$3&amp;$C$1&amp;$B$3&amp;$B$2&amp;$B10&amp;$B$1)</f>
        <v>0</v>
      </c>
      <c r="CK10" s="3">
        <f>COUNTIF(defects!$Z:$Z,CK$3&amp;$C$1&amp;$B$3&amp;$B$2&amp;$B10&amp;$B$1)</f>
        <v>0</v>
      </c>
      <c r="CL10" s="3">
        <f>COUNTIF(defects!$Z:$Z,CL$3&amp;$C$1&amp;$B$3&amp;$B$2&amp;$B10&amp;$B$1)</f>
        <v>0</v>
      </c>
      <c r="CM10" s="3">
        <f>COUNTIF(defects!$Z:$Z,CM$3&amp;$C$1&amp;$B$3&amp;$B$2&amp;$B10&amp;$B$1)</f>
        <v>0</v>
      </c>
      <c r="CN10" s="3">
        <f>COUNTIF(defects!$Z:$Z,CN$3&amp;$C$1&amp;$B$3&amp;$B$2&amp;$B10&amp;$B$1)</f>
        <v>6</v>
      </c>
      <c r="CO10" s="3">
        <f>COUNTIF(defects!$Z:$Z,CO$3&amp;$C$1&amp;$B$3&amp;$B$2&amp;$B10&amp;$B$1)</f>
        <v>0</v>
      </c>
      <c r="CP10" s="3">
        <f>COUNTIF(defects!$Z:$Z,CP$3&amp;$C$1&amp;$B$3&amp;$B$2&amp;$B10&amp;$B$1)</f>
        <v>0</v>
      </c>
      <c r="CQ10" s="3">
        <f>COUNTIF(defects!$Z:$Z,CQ$3&amp;$C$1&amp;$B$3&amp;$B$2&amp;$B10&amp;$B$1)</f>
        <v>0</v>
      </c>
      <c r="CR10" s="3">
        <f>COUNTIF(defects!$Z:$Z,CR$3&amp;$C$1&amp;$B$3&amp;$B$2&amp;$B10&amp;$B$1)</f>
        <v>3</v>
      </c>
      <c r="CS10" s="3">
        <f>COUNTIF(defects!$Z:$Z,CS$3&amp;$C$1&amp;$B$3&amp;$B$2&amp;$B10&amp;$B$1)</f>
        <v>0</v>
      </c>
      <c r="CT10" s="3">
        <f>COUNTIF(defects!$Z:$Z,CT$3&amp;$C$1&amp;$B$3&amp;$B$2&amp;$B10&amp;$B$1)</f>
        <v>0</v>
      </c>
      <c r="CU10" s="3">
        <f>COUNTIF(defects!$Z:$Z,CU$3&amp;$C$1&amp;$B$3&amp;$B$2&amp;$B10&amp;$B$1)</f>
        <v>0</v>
      </c>
      <c r="CV10" s="3">
        <f>COUNTIF(defects!$Z:$Z,CV$3&amp;$C$1&amp;$B$3&amp;$B$2&amp;$B10&amp;$B$1)</f>
        <v>0</v>
      </c>
      <c r="CW10" s="3">
        <f>COUNTIF(defects!$Z:$Z,CW$3&amp;$C$1&amp;$B$3&amp;$B$2&amp;$B10&amp;$B$1)</f>
        <v>0</v>
      </c>
      <c r="CX10" s="3">
        <f>COUNTIF(defects!$Z:$Z,CX$3&amp;$C$1&amp;$B$3&amp;$B$2&amp;$B10&amp;$B$1)</f>
        <v>0</v>
      </c>
      <c r="CY10" s="3">
        <f>COUNTIF(defects!$Z:$Z,CY$3&amp;$C$1&amp;$B$3&amp;$B$2&amp;$B10&amp;$B$1)</f>
        <v>0</v>
      </c>
      <c r="CZ10" s="3">
        <f>COUNTIF(defects!$Z:$Z,CZ$3&amp;$C$1&amp;$B$3&amp;$B$2&amp;$B10&amp;$B$1)</f>
        <v>0</v>
      </c>
      <c r="DA10" s="3">
        <f>COUNTIF(defects!$Z:$Z,DA$3&amp;$C$1&amp;$B$3&amp;$B$2&amp;$B10&amp;$B$1)</f>
        <v>0</v>
      </c>
      <c r="DB10" s="3">
        <f>COUNTIF(defects!$Z:$Z,DB$3&amp;$C$1&amp;$B$3&amp;$B$2&amp;$B10&amp;$B$1)</f>
        <v>0</v>
      </c>
      <c r="DC10" s="3">
        <f>COUNTIF(defects!$Z:$Z,DC$3&amp;$C$1&amp;$B$3&amp;$B$2&amp;$B10&amp;$B$1)</f>
        <v>0</v>
      </c>
      <c r="DD10" s="3">
        <f>COUNTIF(defects!$Z:$Z,DD$3&amp;$C$1&amp;$B$3&amp;$B$2&amp;$B10&amp;$B$1)</f>
        <v>0</v>
      </c>
      <c r="DE10" s="3">
        <f>COUNTIF(defects!$Z:$Z,DE$3&amp;$C$1&amp;$B$3&amp;$B$2&amp;$B10&amp;$B$1)</f>
        <v>0</v>
      </c>
      <c r="DF10" s="3">
        <f>COUNTIF(defects!$Z:$Z,DF$3&amp;$C$1&amp;$B$3&amp;$B$2&amp;$B10&amp;$B$1)</f>
        <v>0</v>
      </c>
      <c r="DG10" s="3">
        <f>COUNTIF(defects!$Z:$Z,DG$3&amp;$C$1&amp;$B$3&amp;$B$2&amp;$B10&amp;$B$1)</f>
        <v>0</v>
      </c>
      <c r="DH10" s="3">
        <f>COUNTIF(defects!$Z:$Z,DH$3&amp;$C$1&amp;$B$3&amp;$B$2&amp;$B10&amp;$B$1)</f>
        <v>0</v>
      </c>
      <c r="DI10" s="3">
        <f>COUNTIF(defects!$Z:$Z,DI$3&amp;$C$1&amp;$B$3&amp;$B$2&amp;$B10&amp;$B$1)</f>
        <v>0</v>
      </c>
      <c r="DJ10" s="3">
        <f>COUNTIF(defects!$Z:$Z,DJ$3&amp;$C$1&amp;$B$3&amp;$B$2&amp;$B10&amp;$B$1)</f>
        <v>0</v>
      </c>
      <c r="DK10" s="3">
        <f>COUNTIF(defects!$Z:$Z,DK$3&amp;$C$1&amp;$B$3&amp;$B$2&amp;$B10&amp;$B$1)</f>
        <v>0</v>
      </c>
      <c r="DL10" s="3">
        <f>COUNTIF(defects!$Z:$Z,DL$3&amp;$C$1&amp;$B$3&amp;$B$2&amp;$B10&amp;$B$1)</f>
        <v>0</v>
      </c>
      <c r="DM10" s="3">
        <f>COUNTIF(defects!$Z:$Z,DM$3&amp;$C$1&amp;$B$3&amp;$B$2&amp;$B10&amp;$B$1)</f>
        <v>0</v>
      </c>
      <c r="DN10" s="3">
        <f>COUNTIF(defects!$Z:$Z,DN$3&amp;$C$1&amp;$B$3&amp;$B$2&amp;$B10&amp;$B$1)</f>
        <v>0</v>
      </c>
      <c r="DO10" s="3">
        <f>COUNTIF(defects!$Z:$Z,DO$3&amp;$C$1&amp;$B$3&amp;$B$2&amp;$B10&amp;$B$1)</f>
        <v>0</v>
      </c>
      <c r="DP10" s="3">
        <f>COUNTIF(defects!$Z:$Z,DP$3&amp;$C$1&amp;$B$3&amp;$B$2&amp;$B10&amp;$B$1)</f>
        <v>0</v>
      </c>
      <c r="DQ10" s="3">
        <f>COUNTIF(defects!$Z:$Z,DQ$3&amp;$C$1&amp;$B$3&amp;$B$2&amp;$B10&amp;$B$1)</f>
        <v>0</v>
      </c>
      <c r="DR10" s="3">
        <f>COUNTIF(defects!$Z:$Z,DR$3&amp;$C$1&amp;$B$3&amp;$B$2&amp;$B10&amp;$B$1)</f>
        <v>0</v>
      </c>
      <c r="DS10" s="3">
        <f>COUNTIF(defects!$Z:$Z,DS$3&amp;$C$1&amp;$B$3&amp;$B$2&amp;$B10&amp;$B$1)</f>
        <v>0</v>
      </c>
      <c r="DT10" s="3">
        <f>COUNTIF(defects!$Z:$Z,DT$3&amp;$C$1&amp;$B$3&amp;$B$2&amp;$B10&amp;$B$1)</f>
        <v>0</v>
      </c>
      <c r="DU10" s="3">
        <f>COUNTIF(defects!$Z:$Z,DU$3&amp;$C$1&amp;$B$3&amp;$B$2&amp;$B10&amp;$B$1)</f>
        <v>0</v>
      </c>
      <c r="DV10" s="3">
        <f>COUNTIF(defects!$Z:$Z,DV$3&amp;$C$1&amp;$B$3&amp;$B$2&amp;$B10&amp;$B$1)</f>
        <v>0</v>
      </c>
      <c r="DW10" s="3">
        <f>COUNTIF(defects!$Z:$Z,DW$3&amp;$C$1&amp;$B$3&amp;$B$2&amp;$B10&amp;$B$1)</f>
        <v>0</v>
      </c>
      <c r="DX10" s="3">
        <f>COUNTIF(defects!$Z:$Z,DX$3&amp;$C$1&amp;$B$3&amp;$B$2&amp;$B10&amp;$B$1)</f>
        <v>0</v>
      </c>
      <c r="DY10" s="3">
        <f>COUNTIF(defects!$Z:$Z,DY$3&amp;$C$1&amp;$B$3&amp;$B$2&amp;$B10&amp;$B$1)</f>
        <v>0</v>
      </c>
      <c r="DZ10" s="3">
        <f>COUNTIF(defects!$Z:$Z,DZ$3&amp;$C$1&amp;$B$3&amp;$B$2&amp;$B10&amp;$B$1)</f>
        <v>0</v>
      </c>
      <c r="EA10" s="3">
        <f>COUNTIF(defects!$Z:$Z,EA$3&amp;$C$1&amp;$B$3&amp;$B$2&amp;$B10&amp;$B$1)</f>
        <v>0</v>
      </c>
      <c r="EB10" s="3">
        <f>COUNTIF(defects!$Z:$Z,EB$3&amp;$C$1&amp;$B$3&amp;$B$2&amp;$B10&amp;$B$1)</f>
        <v>0</v>
      </c>
      <c r="EC10" s="3">
        <f>COUNTIF(defects!$Z:$Z,EC$3&amp;$C$1&amp;$B$3&amp;$B$2&amp;$B10&amp;$B$1)</f>
        <v>0</v>
      </c>
      <c r="ED10" s="3">
        <f>COUNTIF(defects!$Z:$Z,ED$3&amp;$C$1&amp;$B$3&amp;$B$2&amp;$B10&amp;$B$1)</f>
        <v>0</v>
      </c>
      <c r="EE10" s="3">
        <f>COUNTIF(defects!$Z:$Z,EE$3&amp;$C$1&amp;$B$3&amp;$B$2&amp;$B10&amp;$B$1)</f>
        <v>0</v>
      </c>
      <c r="EF10" s="3">
        <f>COUNTIF(defects!$Z:$Z,EF$3&amp;$C$1&amp;$B$3&amp;$B$2&amp;$B10&amp;$B$1)</f>
        <v>0</v>
      </c>
      <c r="EG10" s="3">
        <f>COUNTIF(defects!$Z:$Z,EG$3&amp;$C$1&amp;$B$3&amp;$B$2&amp;$B10&amp;$B$1)</f>
        <v>0</v>
      </c>
      <c r="EH10" s="3">
        <f>COUNTIF(defects!$Z:$Z,EH$3&amp;$C$1&amp;$B$3&amp;$B$2&amp;$B10&amp;$B$1)</f>
        <v>0</v>
      </c>
      <c r="EI10" s="3">
        <f>COUNTIF(defects!$Z:$Z,EI$3&amp;$C$1&amp;$B$3&amp;$B$2&amp;$B10&amp;$B$1)</f>
        <v>0</v>
      </c>
      <c r="EJ10" s="3">
        <f>COUNTIF(defects!$Z:$Z,EJ$3&amp;$C$1&amp;$B$3&amp;$B$2&amp;$B10&amp;$B$1)</f>
        <v>0</v>
      </c>
      <c r="EK10" s="3">
        <f>COUNTIF(defects!$Z:$Z,EK$3&amp;$C$1&amp;$B$3&amp;$B$2&amp;$B10&amp;$B$1)</f>
        <v>0</v>
      </c>
      <c r="EL10" s="3">
        <f>COUNTIF(defects!$Z:$Z,EL$3&amp;$C$1&amp;$B$3&amp;$B$2&amp;$B10&amp;$B$1)</f>
        <v>0</v>
      </c>
      <c r="EM10" s="3">
        <f>COUNTIF(defects!$Z:$Z,EM$3&amp;$C$1&amp;$B$3&amp;$B$2&amp;$B10&amp;$B$1)</f>
        <v>0</v>
      </c>
      <c r="EN10" s="3">
        <f>COUNTIF(defects!$Z:$Z,EN$3&amp;$C$1&amp;$B$3&amp;$B$2&amp;$B10&amp;$B$1)</f>
        <v>0</v>
      </c>
      <c r="EO10" s="3">
        <f>COUNTIF(defects!$Z:$Z,EO$3&amp;$C$1&amp;$B$3&amp;$B$2&amp;$B10&amp;$B$1)</f>
        <v>0</v>
      </c>
      <c r="EP10" s="3">
        <f>COUNTIF(defects!$Z:$Z,EP$3&amp;$C$1&amp;$B$3&amp;$B$2&amp;$B10&amp;$B$1)</f>
        <v>0</v>
      </c>
      <c r="EQ10" s="3">
        <f>COUNTIF(defects!$Z:$Z,EQ$3&amp;$C$1&amp;$B$3&amp;$B$2&amp;$B10&amp;$B$1)</f>
        <v>0</v>
      </c>
      <c r="ER10" s="3">
        <f>COUNTIF(defects!$Z:$Z,ER$3&amp;$C$1&amp;$B$3&amp;$B$2&amp;$B10&amp;$B$1)</f>
        <v>0</v>
      </c>
      <c r="ES10" s="3">
        <f>COUNTIF(defects!$Z:$Z,ES$3&amp;$C$1&amp;$B$3&amp;$B$2&amp;$B10&amp;$B$1)</f>
        <v>0</v>
      </c>
      <c r="ET10" s="3">
        <f>COUNTIF(defects!$Z:$Z,ET$3&amp;$C$1&amp;$B$3&amp;$B$2&amp;$B10&amp;$B$1)</f>
        <v>0</v>
      </c>
      <c r="EU10" s="3">
        <f>COUNTIF(defects!$Z:$Z,EU$3&amp;$C$1&amp;$B$3&amp;$B$2&amp;$B10&amp;$B$1)</f>
        <v>0</v>
      </c>
      <c r="EV10" s="3">
        <f>COUNTIF(defects!$Z:$Z,EV$3&amp;$C$1&amp;$B$3&amp;$B$2&amp;$B10&amp;$B$1)</f>
        <v>0</v>
      </c>
      <c r="EW10" s="3">
        <f>COUNTIF(defects!$Z:$Z,EW$3&amp;$C$1&amp;$B$3&amp;$B$2&amp;$B10&amp;$B$1)</f>
        <v>0</v>
      </c>
      <c r="EX10" s="3">
        <f>COUNTIF(defects!$Z:$Z,EX$3&amp;$C$1&amp;$B$3&amp;$B$2&amp;$B10&amp;$B$1)</f>
        <v>0</v>
      </c>
      <c r="EY10" s="3">
        <f>COUNTIF(defects!$Z:$Z,EY$3&amp;$C$1&amp;$B$3&amp;$B$2&amp;$B10&amp;$B$1)</f>
        <v>0</v>
      </c>
      <c r="EZ10" s="3">
        <f>COUNTIF(defects!$Z:$Z,EZ$3&amp;$C$1&amp;$B$3&amp;$B$2&amp;$B10&amp;$B$1)</f>
        <v>0</v>
      </c>
      <c r="FA10" s="3">
        <f>COUNTIF(defects!$Z:$Z,FA$3&amp;$C$1&amp;$B$3&amp;$B$2&amp;$B10&amp;$B$1)</f>
        <v>0</v>
      </c>
      <c r="FB10" s="3">
        <f>COUNTIF(defects!$Z:$Z,FB$3&amp;$C$1&amp;$B$3&amp;$B$2&amp;$B10&amp;$B$1)</f>
        <v>0</v>
      </c>
      <c r="FC10" s="3">
        <f>COUNTIF(defects!$Z:$Z,FC$3&amp;$C$1&amp;$B$3&amp;$B$2&amp;$B10&amp;$B$1)</f>
        <v>0</v>
      </c>
      <c r="FD10" s="3">
        <f>COUNTIF(defects!$Z:$Z,FD$3&amp;$C$1&amp;$B$3&amp;$B$2&amp;$B10&amp;$B$1)</f>
        <v>0</v>
      </c>
      <c r="FE10" s="3">
        <f>COUNTIF(defects!$Z:$Z,FE$3&amp;$C$1&amp;$B$3&amp;$B$2&amp;$B10&amp;$B$1)</f>
        <v>0</v>
      </c>
    </row>
  </sheetData>
  <phoneticPr fontId="7" type="noConversion"/>
  <conditionalFormatting sqref="A4:XFD10">
    <cfRule type="cellIs" dxfId="2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94AFE-8A3E-4B2D-AF1F-360631554201}">
  <sheetPr codeName="wsMonthly4">
    <tabColor rgb="FF00CC99"/>
  </sheetPr>
  <dimension ref="B1:AV20"/>
  <sheetViews>
    <sheetView topLeftCell="AD1" zoomScale="85" zoomScaleNormal="85" workbookViewId="0">
      <selection activeCell="AR3" sqref="AR3"/>
    </sheetView>
  </sheetViews>
  <sheetFormatPr defaultColWidth="8.90625" defaultRowHeight="14.5"/>
  <cols>
    <col min="1" max="1" width="3" style="3" customWidth="1"/>
    <col min="2" max="5" width="11.08984375" style="3" customWidth="1"/>
    <col min="6" max="29" width="9.453125" style="3" hidden="1" customWidth="1"/>
    <col min="30" max="31" width="9.453125" style="3" customWidth="1"/>
    <col min="32" max="42" width="9.453125" style="3" hidden="1" customWidth="1"/>
    <col min="43" max="48" width="9.453125" style="3" customWidth="1"/>
    <col min="49" max="16384" width="8.90625" style="3"/>
  </cols>
  <sheetData>
    <row r="1" spans="2:48">
      <c r="B1" s="3" t="str">
        <f>Report!D50</f>
        <v>75AR</v>
      </c>
      <c r="C1" s="3" t="str">
        <f>Report!E50</f>
        <v>Line</v>
      </c>
    </row>
    <row r="2" spans="2:48">
      <c r="B2" s="25" t="s">
        <v>28</v>
      </c>
      <c r="C2" s="3" t="str">
        <f>B3</f>
        <v>FY21</v>
      </c>
      <c r="D2" s="3" t="str">
        <f>"FY" &amp; (RIGHT(B3,2)+1)</f>
        <v>FY22</v>
      </c>
      <c r="F2" s="3" t="s">
        <v>961</v>
      </c>
      <c r="G2" s="3" t="s">
        <v>961</v>
      </c>
      <c r="H2" s="3" t="s">
        <v>961</v>
      </c>
      <c r="I2" s="3" t="s">
        <v>961</v>
      </c>
      <c r="J2" s="3" t="s">
        <v>961</v>
      </c>
      <c r="K2" s="3" t="s">
        <v>961</v>
      </c>
      <c r="L2" s="3" t="s">
        <v>961</v>
      </c>
      <c r="M2" s="3" t="s">
        <v>961</v>
      </c>
      <c r="N2" s="3" t="s">
        <v>961</v>
      </c>
      <c r="O2" s="3" t="s">
        <v>961</v>
      </c>
      <c r="P2" s="3" t="s">
        <v>961</v>
      </c>
      <c r="Q2" s="3" t="s">
        <v>961</v>
      </c>
      <c r="R2" s="3" t="s">
        <v>960</v>
      </c>
      <c r="S2" s="3" t="s">
        <v>960</v>
      </c>
      <c r="T2" s="3" t="s">
        <v>960</v>
      </c>
      <c r="U2" s="3" t="s">
        <v>960</v>
      </c>
      <c r="V2" s="3" t="s">
        <v>960</v>
      </c>
      <c r="W2" s="3" t="s">
        <v>960</v>
      </c>
      <c r="X2" s="3" t="s">
        <v>960</v>
      </c>
      <c r="Y2" s="3" t="s">
        <v>960</v>
      </c>
      <c r="Z2" s="3" t="s">
        <v>960</v>
      </c>
      <c r="AA2" s="3" t="s">
        <v>960</v>
      </c>
      <c r="AB2" s="3" t="s">
        <v>960</v>
      </c>
      <c r="AC2" s="3" t="s">
        <v>960</v>
      </c>
      <c r="AD2" s="3" t="s">
        <v>1025</v>
      </c>
      <c r="AE2" s="3" t="s">
        <v>1025</v>
      </c>
      <c r="AF2" s="3" t="s">
        <v>1025</v>
      </c>
      <c r="AG2" s="3" t="s">
        <v>1025</v>
      </c>
      <c r="AH2" s="3" t="s">
        <v>1025</v>
      </c>
      <c r="AI2" s="3" t="s">
        <v>1025</v>
      </c>
      <c r="AJ2" s="3" t="s">
        <v>1025</v>
      </c>
      <c r="AK2" s="3" t="s">
        <v>1025</v>
      </c>
      <c r="AL2" s="3" t="s">
        <v>1025</v>
      </c>
      <c r="AM2" s="3" t="s">
        <v>1025</v>
      </c>
      <c r="AN2" s="3" t="s">
        <v>1025</v>
      </c>
      <c r="AO2" s="3" t="s">
        <v>1025</v>
      </c>
      <c r="AP2" s="3" t="s">
        <v>6951</v>
      </c>
    </row>
    <row r="3" spans="2:48">
      <c r="B3" s="9" t="str">
        <f>Report!M26</f>
        <v>FY21</v>
      </c>
      <c r="C3" s="33" t="str">
        <f>C2&amp;" TTL"</f>
        <v>FY21 TTL</v>
      </c>
      <c r="D3" s="33" t="str">
        <f>D2&amp;" TTL"</f>
        <v>FY22 TTL</v>
      </c>
      <c r="E3" s="33"/>
      <c r="F3" s="10" t="s">
        <v>988</v>
      </c>
      <c r="G3" s="10" t="s">
        <v>987</v>
      </c>
      <c r="H3" s="10" t="s">
        <v>986</v>
      </c>
      <c r="I3" s="10" t="s">
        <v>977</v>
      </c>
      <c r="J3" s="10" t="s">
        <v>978</v>
      </c>
      <c r="K3" s="10" t="s">
        <v>979</v>
      </c>
      <c r="L3" s="10" t="s">
        <v>980</v>
      </c>
      <c r="M3" s="10" t="s">
        <v>981</v>
      </c>
      <c r="N3" s="10" t="s">
        <v>982</v>
      </c>
      <c r="O3" s="10" t="s">
        <v>983</v>
      </c>
      <c r="P3" s="10" t="s">
        <v>984</v>
      </c>
      <c r="Q3" s="10" t="s">
        <v>985</v>
      </c>
      <c r="R3" s="10" t="s">
        <v>976</v>
      </c>
      <c r="S3" s="10" t="s">
        <v>975</v>
      </c>
      <c r="T3" s="10" t="s">
        <v>969</v>
      </c>
      <c r="U3" s="10" t="s">
        <v>970</v>
      </c>
      <c r="V3" s="10" t="s">
        <v>971</v>
      </c>
      <c r="W3" s="10" t="s">
        <v>972</v>
      </c>
      <c r="X3" s="10" t="s">
        <v>973</v>
      </c>
      <c r="Y3" s="10" t="s">
        <v>974</v>
      </c>
      <c r="Z3" s="10" t="s">
        <v>997</v>
      </c>
      <c r="AA3" s="10" t="s">
        <v>998</v>
      </c>
      <c r="AB3" s="10" t="s">
        <v>999</v>
      </c>
      <c r="AC3" s="10" t="s">
        <v>1000</v>
      </c>
      <c r="AD3" s="10" t="s">
        <v>1001</v>
      </c>
      <c r="AE3" s="10" t="s">
        <v>1002</v>
      </c>
      <c r="AF3" s="10" t="s">
        <v>1003</v>
      </c>
      <c r="AG3" s="10" t="s">
        <v>1004</v>
      </c>
      <c r="AH3" s="10" t="s">
        <v>1005</v>
      </c>
      <c r="AI3" s="10" t="s">
        <v>1006</v>
      </c>
      <c r="AJ3" s="10" t="s">
        <v>1007</v>
      </c>
      <c r="AK3" s="10" t="s">
        <v>1008</v>
      </c>
      <c r="AL3" s="10" t="s">
        <v>1009</v>
      </c>
      <c r="AM3" s="10" t="s">
        <v>1010</v>
      </c>
      <c r="AN3" s="10" t="s">
        <v>1011</v>
      </c>
      <c r="AO3" s="10" t="s">
        <v>1012</v>
      </c>
      <c r="AP3" s="10" t="s">
        <v>1013</v>
      </c>
      <c r="AQ3" s="10"/>
      <c r="AR3" s="31" cm="1">
        <f t="array" ref="AR3">GetPreviousWkNo(AS3)</f>
        <v>2151</v>
      </c>
      <c r="AS3" s="31" cm="1">
        <f t="array" ref="AS3">GetPreviousWkNo(AT3)</f>
        <v>2152</v>
      </c>
      <c r="AT3" s="32">
        <f>Report!N26</f>
        <v>2201</v>
      </c>
      <c r="AU3" s="10"/>
      <c r="AV3" s="12" t="s">
        <v>1024</v>
      </c>
    </row>
    <row r="4" spans="2:48">
      <c r="B4" s="12" t="s">
        <v>989</v>
      </c>
      <c r="C4" s="12">
        <f t="shared" ref="C4:D6" si="0">SUMIF($F$2:$AP$2,C$2,$F4:$AP4)</f>
        <v>57507</v>
      </c>
      <c r="D4" s="12">
        <f t="shared" si="0"/>
        <v>0</v>
      </c>
      <c r="E4" s="12"/>
      <c r="F4" s="12">
        <f>SUMIF(inputs!$N:$N,$B$3&amp;F$3&amp;$B$1,inputs!$D:$D)</f>
        <v>0</v>
      </c>
      <c r="G4" s="12">
        <f>SUMIF(inputs!$N:$N,$B$3&amp;G$3&amp;$B$1,inputs!$D:$D)</f>
        <v>0</v>
      </c>
      <c r="H4" s="12">
        <f>SUMIF(inputs!$N:$N,$B$3&amp;H$3&amp;$B$1,inputs!$D:$D)</f>
        <v>0</v>
      </c>
      <c r="I4" s="12">
        <f>SUMIF(inputs!$N:$N,$B$3&amp;I$3&amp;$B$1,inputs!$D:$D)</f>
        <v>0</v>
      </c>
      <c r="J4" s="12">
        <f>SUMIF(inputs!$N:$N,$B$3&amp;J$3&amp;$B$1,inputs!$D:$D)</f>
        <v>0</v>
      </c>
      <c r="K4" s="12">
        <f>SUMIF(inputs!$N:$N,$B$3&amp;K$3&amp;$B$1,inputs!$D:$D)</f>
        <v>0</v>
      </c>
      <c r="L4" s="12">
        <f>SUMIF(inputs!$N:$N,$B$3&amp;L$3&amp;$B$1,inputs!$D:$D)</f>
        <v>0</v>
      </c>
      <c r="M4" s="12">
        <f>SUMIF(inputs!$N:$N,$B$3&amp;M$3&amp;$B$1,inputs!$D:$D)</f>
        <v>0</v>
      </c>
      <c r="N4" s="12">
        <f>SUMIF(inputs!$N:$N,$B$3&amp;N$3&amp;$B$1,inputs!$D:$D)</f>
        <v>0</v>
      </c>
      <c r="O4" s="12">
        <f>SUMIF(inputs!$N:$N,$B$3&amp;O$3&amp;$B$1,inputs!$D:$D)</f>
        <v>0</v>
      </c>
      <c r="P4" s="12">
        <f>SUMIF(inputs!$N:$N,$B$3&amp;P$3&amp;$B$1,inputs!$D:$D)</f>
        <v>0</v>
      </c>
      <c r="Q4" s="12">
        <f>SUMIF(inputs!$N:$N,$B$3&amp;Q$3&amp;$B$1,inputs!$D:$D)</f>
        <v>0</v>
      </c>
      <c r="R4" s="12">
        <f>SUMIF(inputs!$N:$N,$B$3&amp;R$3&amp;$B$1,inputs!$D:$D)</f>
        <v>0</v>
      </c>
      <c r="S4" s="12">
        <f>SUMIF(inputs!$N:$N,$B$3&amp;S$3&amp;$B$1,inputs!$D:$D)</f>
        <v>0</v>
      </c>
      <c r="T4" s="12">
        <f>SUMIF(inputs!$N:$N,$B$3&amp;T$3&amp;$B$1,inputs!$D:$D)</f>
        <v>0</v>
      </c>
      <c r="U4" s="12">
        <f>SUMIF(inputs!$N:$N,$B$3&amp;U$3&amp;$B$1,inputs!$D:$D)</f>
        <v>305</v>
      </c>
      <c r="V4" s="12">
        <f>SUMIF(inputs!$N:$N,$B$3&amp;V$3&amp;$B$1,inputs!$D:$D)</f>
        <v>5871</v>
      </c>
      <c r="W4" s="12">
        <f>SUMIF(inputs!$N:$N,$B$3&amp;W$3&amp;$B$1,inputs!$D:$D)</f>
        <v>6884</v>
      </c>
      <c r="X4" s="12">
        <f>SUMIF(inputs!$N:$N,$B$3&amp;X$3&amp;$B$1,inputs!$D:$D)</f>
        <v>5419</v>
      </c>
      <c r="Y4" s="12">
        <f>SUMIF(inputs!$N:$N,$B$3&amp;Y$3&amp;$B$1,inputs!$D:$D)</f>
        <v>9108</v>
      </c>
      <c r="Z4" s="12">
        <f>SUMIF(inputs!$N:$N,$B$3&amp;Z$3&amp;$B$1,inputs!$D:$D)</f>
        <v>11295</v>
      </c>
      <c r="AA4" s="12">
        <f>SUMIF(inputs!$N:$N,$B$3&amp;AA$3&amp;$B$1,inputs!$D:$D)</f>
        <v>9900</v>
      </c>
      <c r="AB4" s="12">
        <f>SUMIF(inputs!$N:$N,$B$3&amp;AB$3&amp;$B$1,inputs!$D:$D)</f>
        <v>5830</v>
      </c>
      <c r="AC4" s="12">
        <f>SUMIF(inputs!$N:$N,$B$3&amp;AC$3&amp;$B$1,inputs!$D:$D)</f>
        <v>2895</v>
      </c>
      <c r="AD4" s="12">
        <f>SUMIF(inputs!$N:$N,$B$3&amp;AD$3&amp;$B$1,inputs!$D:$D)</f>
        <v>0</v>
      </c>
      <c r="AE4" s="12">
        <f>SUMIF(inputs!$N:$N,$B$3&amp;AE$3&amp;$B$1,inputs!$D:$D)</f>
        <v>0</v>
      </c>
      <c r="AF4" s="12">
        <f>SUMIF(inputs!$N:$N,$B$3&amp;AF$3&amp;$B$1,inputs!$D:$D)</f>
        <v>0</v>
      </c>
      <c r="AG4" s="12">
        <f>SUMIF(inputs!$N:$N,$B$3&amp;AG$3&amp;$B$1,inputs!$D:$D)</f>
        <v>0</v>
      </c>
      <c r="AH4" s="12">
        <f>SUMIF(inputs!$N:$N,$B$3&amp;AH$3&amp;$B$1,inputs!$D:$D)</f>
        <v>0</v>
      </c>
      <c r="AI4" s="12">
        <f>SUMIF(inputs!$N:$N,$B$3&amp;AI$3&amp;$B$1,inputs!$D:$D)</f>
        <v>0</v>
      </c>
      <c r="AJ4" s="12">
        <f>SUMIF(inputs!$N:$N,$B$3&amp;AJ$3&amp;$B$1,inputs!$D:$D)</f>
        <v>0</v>
      </c>
      <c r="AK4" s="12">
        <f>SUMIF(inputs!$N:$N,$B$3&amp;AK$3&amp;$B$1,inputs!$D:$D)</f>
        <v>0</v>
      </c>
      <c r="AL4" s="12">
        <f>SUMIF(inputs!$N:$N,$B$3&amp;AL$3&amp;$B$1,inputs!$D:$D)</f>
        <v>0</v>
      </c>
      <c r="AM4" s="12">
        <f>SUMIF(inputs!$N:$N,$B$3&amp;AM$3&amp;$B$1,inputs!$D:$D)</f>
        <v>0</v>
      </c>
      <c r="AN4" s="12">
        <f>SUMIF(inputs!$N:$N,$B$3&amp;AN$3&amp;$B$1,inputs!$D:$D)</f>
        <v>0</v>
      </c>
      <c r="AO4" s="12">
        <f>SUMIF(inputs!$N:$N,$B$3&amp;AO$3&amp;$B$1,inputs!$D:$D)</f>
        <v>0</v>
      </c>
      <c r="AP4" s="12">
        <f>SUMIF(inputs!$N:$N,$B$3&amp;AP$3&amp;$B$1,inputs!$D:$D)</f>
        <v>0</v>
      </c>
      <c r="AQ4" s="12"/>
      <c r="AR4" s="12">
        <f>HLOOKUP(AR$3,Weekly_PmodClassify!$3:$6,MATCH($B4,Weekly_PmodClassify!$B$3:$B$6,0),0)</f>
        <v>0</v>
      </c>
      <c r="AS4" s="12">
        <f>HLOOKUP(AS$3,Weekly_PmodClassify!$3:$6,MATCH($B4,Weekly_PmodClassify!$B$3:$B$6,0),0)</f>
        <v>682</v>
      </c>
      <c r="AT4" s="12">
        <f>HLOOKUP(AT$3,Weekly_PmodClassify!$3:$6,MATCH($B4,Weekly_PmodClassify!$B$3:$B$6,0),0)</f>
        <v>0</v>
      </c>
      <c r="AU4" s="12"/>
      <c r="AV4" s="12">
        <f t="shared" ref="AV4:AV10" si="1">SUM(F4:AP4)</f>
        <v>57507</v>
      </c>
    </row>
    <row r="5" spans="2:48">
      <c r="B5" s="12" t="s">
        <v>990</v>
      </c>
      <c r="C5" s="12">
        <f t="shared" si="0"/>
        <v>40</v>
      </c>
      <c r="D5" s="12">
        <f t="shared" si="0"/>
        <v>0</v>
      </c>
      <c r="E5" s="12"/>
      <c r="F5" s="12">
        <f t="shared" ref="F5:AP5" si="2">SUM(F6:F10)</f>
        <v>0</v>
      </c>
      <c r="G5" s="12">
        <f t="shared" si="2"/>
        <v>0</v>
      </c>
      <c r="H5" s="12">
        <f t="shared" si="2"/>
        <v>0</v>
      </c>
      <c r="I5" s="12">
        <f t="shared" si="2"/>
        <v>0</v>
      </c>
      <c r="J5" s="12">
        <f t="shared" si="2"/>
        <v>0</v>
      </c>
      <c r="K5" s="12">
        <f t="shared" si="2"/>
        <v>0</v>
      </c>
      <c r="L5" s="12">
        <f t="shared" si="2"/>
        <v>0</v>
      </c>
      <c r="M5" s="12">
        <f t="shared" si="2"/>
        <v>0</v>
      </c>
      <c r="N5" s="12">
        <f t="shared" si="2"/>
        <v>0</v>
      </c>
      <c r="O5" s="12">
        <f t="shared" si="2"/>
        <v>0</v>
      </c>
      <c r="P5" s="12">
        <f t="shared" si="2"/>
        <v>0</v>
      </c>
      <c r="Q5" s="12">
        <f t="shared" si="2"/>
        <v>0</v>
      </c>
      <c r="R5" s="12">
        <f t="shared" si="2"/>
        <v>0</v>
      </c>
      <c r="S5" s="12">
        <f t="shared" si="2"/>
        <v>0</v>
      </c>
      <c r="T5" s="12">
        <f t="shared" si="2"/>
        <v>0</v>
      </c>
      <c r="U5" s="12">
        <f t="shared" si="2"/>
        <v>0</v>
      </c>
      <c r="V5" s="12">
        <f t="shared" si="2"/>
        <v>1</v>
      </c>
      <c r="W5" s="12">
        <f t="shared" si="2"/>
        <v>1</v>
      </c>
      <c r="X5" s="12">
        <f t="shared" si="2"/>
        <v>3</v>
      </c>
      <c r="Y5" s="12">
        <f t="shared" si="2"/>
        <v>7</v>
      </c>
      <c r="Z5" s="12">
        <f t="shared" si="2"/>
        <v>14</v>
      </c>
      <c r="AA5" s="12">
        <f t="shared" si="2"/>
        <v>14</v>
      </c>
      <c r="AB5" s="12">
        <f t="shared" si="2"/>
        <v>0</v>
      </c>
      <c r="AC5" s="12">
        <f t="shared" si="2"/>
        <v>0</v>
      </c>
      <c r="AD5" s="12">
        <f t="shared" si="2"/>
        <v>0</v>
      </c>
      <c r="AE5" s="12">
        <f t="shared" si="2"/>
        <v>0</v>
      </c>
      <c r="AF5" s="12">
        <f t="shared" si="2"/>
        <v>0</v>
      </c>
      <c r="AG5" s="12">
        <f t="shared" si="2"/>
        <v>0</v>
      </c>
      <c r="AH5" s="12">
        <f t="shared" si="2"/>
        <v>0</v>
      </c>
      <c r="AI5" s="12">
        <f t="shared" si="2"/>
        <v>0</v>
      </c>
      <c r="AJ5" s="12">
        <f t="shared" si="2"/>
        <v>0</v>
      </c>
      <c r="AK5" s="12">
        <f t="shared" si="2"/>
        <v>0</v>
      </c>
      <c r="AL5" s="12">
        <f t="shared" si="2"/>
        <v>0</v>
      </c>
      <c r="AM5" s="12">
        <f t="shared" si="2"/>
        <v>0</v>
      </c>
      <c r="AN5" s="12">
        <f t="shared" si="2"/>
        <v>0</v>
      </c>
      <c r="AO5" s="12">
        <f t="shared" si="2"/>
        <v>0</v>
      </c>
      <c r="AP5" s="12">
        <f t="shared" si="2"/>
        <v>0</v>
      </c>
      <c r="AQ5" s="12"/>
      <c r="AR5" s="12">
        <f>HLOOKUP(AR$3,Weekly_PmodClassify!$3:$6,MATCH($B5,Weekly_PmodClassify!$B$3:$B$6,0),0)</f>
        <v>0</v>
      </c>
      <c r="AS5" s="12">
        <f>HLOOKUP(AS$3,Weekly_PmodClassify!$3:$6,MATCH($B5,Weekly_PmodClassify!$B$3:$B$6,0),0)</f>
        <v>0</v>
      </c>
      <c r="AT5" s="12">
        <f>HLOOKUP(AT$3,Weekly_PmodClassify!$3:$6,MATCH($B5,Weekly_PmodClassify!$B$3:$B$6,0),0)</f>
        <v>0</v>
      </c>
      <c r="AU5" s="12"/>
      <c r="AV5" s="12">
        <f t="shared" si="1"/>
        <v>40</v>
      </c>
    </row>
    <row r="6" spans="2:48">
      <c r="B6" s="12" t="s">
        <v>24</v>
      </c>
      <c r="C6" s="12">
        <f t="shared" si="0"/>
        <v>0</v>
      </c>
      <c r="D6" s="12">
        <f t="shared" si="0"/>
        <v>0</v>
      </c>
      <c r="E6" s="12"/>
      <c r="F6" s="12">
        <f>COUNTIF(defects!$AA:$AA,$C$1&amp;$B$3&amp;$B$2&amp;F$3&amp;$B6&amp;$B$1)</f>
        <v>0</v>
      </c>
      <c r="G6" s="12">
        <f>COUNTIF(defects!$AA:$AA,$C$1&amp;$B$3&amp;$B$2&amp;G$3&amp;$B6&amp;$B$1)</f>
        <v>0</v>
      </c>
      <c r="H6" s="12">
        <f>COUNTIF(defects!$AA:$AA,$C$1&amp;$B$3&amp;$B$2&amp;H$3&amp;$B6&amp;$B$1)</f>
        <v>0</v>
      </c>
      <c r="I6" s="12">
        <f>COUNTIF(defects!$AA:$AA,$C$1&amp;$B$3&amp;$B$2&amp;I$3&amp;$B6&amp;$B$1)</f>
        <v>0</v>
      </c>
      <c r="J6" s="12">
        <f>COUNTIF(defects!$AA:$AA,$C$1&amp;$B$3&amp;$B$2&amp;J$3&amp;$B6&amp;$B$1)</f>
        <v>0</v>
      </c>
      <c r="K6" s="12">
        <f>COUNTIF(defects!$AA:$AA,$C$1&amp;$B$3&amp;$B$2&amp;K$3&amp;$B6&amp;$B$1)</f>
        <v>0</v>
      </c>
      <c r="L6" s="12">
        <f>COUNTIF(defects!$AA:$AA,$C$1&amp;$B$3&amp;$B$2&amp;L$3&amp;$B6&amp;$B$1)</f>
        <v>0</v>
      </c>
      <c r="M6" s="12">
        <f>COUNTIF(defects!$AA:$AA,$C$1&amp;$B$3&amp;$B$2&amp;M$3&amp;$B6&amp;$B$1)</f>
        <v>0</v>
      </c>
      <c r="N6" s="12">
        <f>COUNTIF(defects!$AA:$AA,$C$1&amp;$B$3&amp;$B$2&amp;N$3&amp;$B6&amp;$B$1)</f>
        <v>0</v>
      </c>
      <c r="O6" s="12">
        <f>COUNTIF(defects!$AA:$AA,$C$1&amp;$B$3&amp;$B$2&amp;O$3&amp;$B6&amp;$B$1)</f>
        <v>0</v>
      </c>
      <c r="P6" s="12">
        <f>COUNTIF(defects!$AA:$AA,$C$1&amp;$B$3&amp;$B$2&amp;P$3&amp;$B6&amp;$B$1)</f>
        <v>0</v>
      </c>
      <c r="Q6" s="12">
        <f>COUNTIF(defects!$AA:$AA,$C$1&amp;$B$3&amp;$B$2&amp;Q$3&amp;$B6&amp;$B$1)</f>
        <v>0</v>
      </c>
      <c r="R6" s="12">
        <f>COUNTIF(defects!$AA:$AA,$C$1&amp;$B$3&amp;$B$2&amp;R$3&amp;$B6&amp;$B$1)</f>
        <v>0</v>
      </c>
      <c r="S6" s="12">
        <f>COUNTIF(defects!$AA:$AA,$C$1&amp;$B$3&amp;$B$2&amp;S$3&amp;$B6&amp;$B$1)</f>
        <v>0</v>
      </c>
      <c r="T6" s="12">
        <f>COUNTIF(defects!$AA:$AA,$C$1&amp;$B$3&amp;$B$2&amp;T$3&amp;$B6&amp;$B$1)</f>
        <v>0</v>
      </c>
      <c r="U6" s="12">
        <f>COUNTIF(defects!$AA:$AA,$C$1&amp;$B$3&amp;$B$2&amp;U$3&amp;$B6&amp;$B$1)</f>
        <v>0</v>
      </c>
      <c r="V6" s="12">
        <f>COUNTIF(defects!$AA:$AA,$C$1&amp;$B$3&amp;$B$2&amp;V$3&amp;$B6&amp;$B$1)</f>
        <v>0</v>
      </c>
      <c r="W6" s="12">
        <f>COUNTIF(defects!$AA:$AA,$C$1&amp;$B$3&amp;$B$2&amp;W$3&amp;$B6&amp;$B$1)</f>
        <v>0</v>
      </c>
      <c r="X6" s="12">
        <f>COUNTIF(defects!$AA:$AA,$C$1&amp;$B$3&amp;$B$2&amp;X$3&amp;$B6&amp;$B$1)</f>
        <v>0</v>
      </c>
      <c r="Y6" s="12">
        <f>COUNTIF(defects!$AA:$AA,$C$1&amp;$B$3&amp;$B$2&amp;Y$3&amp;$B6&amp;$B$1)</f>
        <v>0</v>
      </c>
      <c r="Z6" s="12">
        <f>COUNTIF(defects!$AA:$AA,$C$1&amp;$B$3&amp;$B$2&amp;Z$3&amp;$B6&amp;$B$1)</f>
        <v>0</v>
      </c>
      <c r="AA6" s="12">
        <f>COUNTIF(defects!$AA:$AA,$C$1&amp;$B$3&amp;$B$2&amp;AA$3&amp;$B6&amp;$B$1)</f>
        <v>0</v>
      </c>
      <c r="AB6" s="12">
        <f>COUNTIF(defects!$AA:$AA,$C$1&amp;$B$3&amp;$B$2&amp;AB$3&amp;$B6&amp;$B$1)</f>
        <v>0</v>
      </c>
      <c r="AC6" s="12">
        <f>COUNTIF(defects!$AA:$AA,$C$1&amp;$B$3&amp;$B$2&amp;AC$3&amp;$B6&amp;$B$1)</f>
        <v>0</v>
      </c>
      <c r="AD6" s="12">
        <f>COUNTIF(defects!$AA:$AA,$C$1&amp;$B$3&amp;$B$2&amp;AD$3&amp;$B6&amp;$B$1)</f>
        <v>0</v>
      </c>
      <c r="AE6" s="12">
        <f>COUNTIF(defects!$AA:$AA,$C$1&amp;$B$3&amp;$B$2&amp;AE$3&amp;$B6&amp;$B$1)</f>
        <v>0</v>
      </c>
      <c r="AF6" s="12">
        <f>COUNTIF(defects!$AA:$AA,$C$1&amp;$B$3&amp;$B$2&amp;AF$3&amp;$B6&amp;$B$1)</f>
        <v>0</v>
      </c>
      <c r="AG6" s="12">
        <f>COUNTIF(defects!$AA:$AA,$C$1&amp;$B$3&amp;$B$2&amp;AG$3&amp;$B6&amp;$B$1)</f>
        <v>0</v>
      </c>
      <c r="AH6" s="12">
        <f>COUNTIF(defects!$AA:$AA,$C$1&amp;$B$3&amp;$B$2&amp;AH$3&amp;$B6&amp;$B$1)</f>
        <v>0</v>
      </c>
      <c r="AI6" s="12">
        <f>COUNTIF(defects!$AA:$AA,$C$1&amp;$B$3&amp;$B$2&amp;AI$3&amp;$B6&amp;$B$1)</f>
        <v>0</v>
      </c>
      <c r="AJ6" s="12">
        <f>COUNTIF(defects!$AA:$AA,$C$1&amp;$B$3&amp;$B$2&amp;AJ$3&amp;$B6&amp;$B$1)</f>
        <v>0</v>
      </c>
      <c r="AK6" s="12">
        <f>COUNTIF(defects!$AA:$AA,$C$1&amp;$B$3&amp;$B$2&amp;AK$3&amp;$B6&amp;$B$1)</f>
        <v>0</v>
      </c>
      <c r="AL6" s="12">
        <f>COUNTIF(defects!$AA:$AA,$C$1&amp;$B$3&amp;$B$2&amp;AL$3&amp;$B6&amp;$B$1)</f>
        <v>0</v>
      </c>
      <c r="AM6" s="12">
        <f>COUNTIF(defects!$AA:$AA,$C$1&amp;$B$3&amp;$B$2&amp;AM$3&amp;$B6&amp;$B$1)</f>
        <v>0</v>
      </c>
      <c r="AN6" s="12">
        <f>COUNTIF(defects!$AA:$AA,$C$1&amp;$B$3&amp;$B$2&amp;AN$3&amp;$B6&amp;$B$1)</f>
        <v>0</v>
      </c>
      <c r="AO6" s="12">
        <f>COUNTIF(defects!$AA:$AA,$C$1&amp;$B$3&amp;$B$2&amp;AO$3&amp;$B6&amp;$B$1)</f>
        <v>0</v>
      </c>
      <c r="AP6" s="12">
        <f>COUNTIF(defects!$AA:$AA,$C$1&amp;$B$3&amp;$B$2&amp;AP$3&amp;$B6&amp;$B$1)</f>
        <v>0</v>
      </c>
      <c r="AQ6" s="12"/>
      <c r="AR6" s="12">
        <f>HLOOKUP(AR$3,Weekly_PmodClassify!$3:$10,MATCH($B6,Weekly_PmodClassify!$B$3:$B$10,0),0)</f>
        <v>0</v>
      </c>
      <c r="AS6" s="12">
        <f>HLOOKUP(AS$3,Weekly_PmodClassify!$3:$10,MATCH($B6,Weekly_PmodClassify!$B$3:$B$10,0),0)</f>
        <v>0</v>
      </c>
      <c r="AT6" s="12">
        <f>HLOOKUP(AT$3,Weekly_PmodClassify!$3:$10,MATCH($B6,Weekly_PmodClassify!$B$3:$B$10,0),0)</f>
        <v>0</v>
      </c>
      <c r="AU6" s="12"/>
      <c r="AV6" s="12">
        <f t="shared" si="1"/>
        <v>0</v>
      </c>
    </row>
    <row r="7" spans="2:48">
      <c r="B7" s="12" t="s">
        <v>27</v>
      </c>
      <c r="C7" s="12">
        <f t="shared" ref="C7:D10" si="3">SUMIF($F$2:$AP$2,C$2,$F7:$AP7)</f>
        <v>5</v>
      </c>
      <c r="D7" s="12">
        <f t="shared" si="3"/>
        <v>0</v>
      </c>
      <c r="E7" s="12"/>
      <c r="F7" s="12">
        <f>COUNTIF(defects!$AA:$AA,$C$1&amp;$B$3&amp;$B$2&amp;F$3&amp;$B7&amp;$B$1)</f>
        <v>0</v>
      </c>
      <c r="G7" s="12">
        <f>COUNTIF(defects!$AA:$AA,$C$1&amp;$B$3&amp;$B$2&amp;G$3&amp;$B7&amp;$B$1)</f>
        <v>0</v>
      </c>
      <c r="H7" s="12">
        <f>COUNTIF(defects!$AA:$AA,$C$1&amp;$B$3&amp;$B$2&amp;H$3&amp;$B7&amp;$B$1)</f>
        <v>0</v>
      </c>
      <c r="I7" s="12">
        <f>COUNTIF(defects!$AA:$AA,$C$1&amp;$B$3&amp;$B$2&amp;I$3&amp;$B7&amp;$B$1)</f>
        <v>0</v>
      </c>
      <c r="J7" s="12">
        <f>COUNTIF(defects!$AA:$AA,$C$1&amp;$B$3&amp;$B$2&amp;J$3&amp;$B7&amp;$B$1)</f>
        <v>0</v>
      </c>
      <c r="K7" s="12">
        <f>COUNTIF(defects!$AA:$AA,$C$1&amp;$B$3&amp;$B$2&amp;K$3&amp;$B7&amp;$B$1)</f>
        <v>0</v>
      </c>
      <c r="L7" s="12">
        <f>COUNTIF(defects!$AA:$AA,$C$1&amp;$B$3&amp;$B$2&amp;L$3&amp;$B7&amp;$B$1)</f>
        <v>0</v>
      </c>
      <c r="M7" s="12">
        <f>COUNTIF(defects!$AA:$AA,$C$1&amp;$B$3&amp;$B$2&amp;M$3&amp;$B7&amp;$B$1)</f>
        <v>0</v>
      </c>
      <c r="N7" s="12">
        <f>COUNTIF(defects!$AA:$AA,$C$1&amp;$B$3&amp;$B$2&amp;N$3&amp;$B7&amp;$B$1)</f>
        <v>0</v>
      </c>
      <c r="O7" s="12">
        <f>COUNTIF(defects!$AA:$AA,$C$1&amp;$B$3&amp;$B$2&amp;O$3&amp;$B7&amp;$B$1)</f>
        <v>0</v>
      </c>
      <c r="P7" s="12">
        <f>COUNTIF(defects!$AA:$AA,$C$1&amp;$B$3&amp;$B$2&amp;P$3&amp;$B7&amp;$B$1)</f>
        <v>0</v>
      </c>
      <c r="Q7" s="12">
        <f>COUNTIF(defects!$AA:$AA,$C$1&amp;$B$3&amp;$B$2&amp;Q$3&amp;$B7&amp;$B$1)</f>
        <v>0</v>
      </c>
      <c r="R7" s="12">
        <f>COUNTIF(defects!$AA:$AA,$C$1&amp;$B$3&amp;$B$2&amp;R$3&amp;$B7&amp;$B$1)</f>
        <v>0</v>
      </c>
      <c r="S7" s="12">
        <f>COUNTIF(defects!$AA:$AA,$C$1&amp;$B$3&amp;$B$2&amp;S$3&amp;$B7&amp;$B$1)</f>
        <v>0</v>
      </c>
      <c r="T7" s="12">
        <f>COUNTIF(defects!$AA:$AA,$C$1&amp;$B$3&amp;$B$2&amp;T$3&amp;$B7&amp;$B$1)</f>
        <v>0</v>
      </c>
      <c r="U7" s="12">
        <f>COUNTIF(defects!$AA:$AA,$C$1&amp;$B$3&amp;$B$2&amp;U$3&amp;$B7&amp;$B$1)</f>
        <v>0</v>
      </c>
      <c r="V7" s="12">
        <f>COUNTIF(defects!$AA:$AA,$C$1&amp;$B$3&amp;$B$2&amp;V$3&amp;$B7&amp;$B$1)</f>
        <v>0</v>
      </c>
      <c r="W7" s="12">
        <f>COUNTIF(defects!$AA:$AA,$C$1&amp;$B$3&amp;$B$2&amp;W$3&amp;$B7&amp;$B$1)</f>
        <v>0</v>
      </c>
      <c r="X7" s="12">
        <f>COUNTIF(defects!$AA:$AA,$C$1&amp;$B$3&amp;$B$2&amp;X$3&amp;$B7&amp;$B$1)</f>
        <v>1</v>
      </c>
      <c r="Y7" s="12">
        <f>COUNTIF(defects!$AA:$AA,$C$1&amp;$B$3&amp;$B$2&amp;Y$3&amp;$B7&amp;$B$1)</f>
        <v>3</v>
      </c>
      <c r="Z7" s="12">
        <f>COUNTIF(defects!$AA:$AA,$C$1&amp;$B$3&amp;$B$2&amp;Z$3&amp;$B7&amp;$B$1)</f>
        <v>1</v>
      </c>
      <c r="AA7" s="12">
        <f>COUNTIF(defects!$AA:$AA,$C$1&amp;$B$3&amp;$B$2&amp;AA$3&amp;$B7&amp;$B$1)</f>
        <v>0</v>
      </c>
      <c r="AB7" s="12">
        <f>COUNTIF(defects!$AA:$AA,$C$1&amp;$B$3&amp;$B$2&amp;AB$3&amp;$B7&amp;$B$1)</f>
        <v>0</v>
      </c>
      <c r="AC7" s="12">
        <f>COUNTIF(defects!$AA:$AA,$C$1&amp;$B$3&amp;$B$2&amp;AC$3&amp;$B7&amp;$B$1)</f>
        <v>0</v>
      </c>
      <c r="AD7" s="12">
        <f>COUNTIF(defects!$AA:$AA,$C$1&amp;$B$3&amp;$B$2&amp;AD$3&amp;$B7&amp;$B$1)</f>
        <v>0</v>
      </c>
      <c r="AE7" s="12">
        <f>COUNTIF(defects!$AA:$AA,$C$1&amp;$B$3&amp;$B$2&amp;AE$3&amp;$B7&amp;$B$1)</f>
        <v>0</v>
      </c>
      <c r="AF7" s="12">
        <f>COUNTIF(defects!$AA:$AA,$C$1&amp;$B$3&amp;$B$2&amp;AF$3&amp;$B7&amp;$B$1)</f>
        <v>0</v>
      </c>
      <c r="AG7" s="12">
        <f>COUNTIF(defects!$AA:$AA,$C$1&amp;$B$3&amp;$B$2&amp;AG$3&amp;$B7&amp;$B$1)</f>
        <v>0</v>
      </c>
      <c r="AH7" s="12">
        <f>COUNTIF(defects!$AA:$AA,$C$1&amp;$B$3&amp;$B$2&amp;AH$3&amp;$B7&amp;$B$1)</f>
        <v>0</v>
      </c>
      <c r="AI7" s="12">
        <f>COUNTIF(defects!$AA:$AA,$C$1&amp;$B$3&amp;$B$2&amp;AI$3&amp;$B7&amp;$B$1)</f>
        <v>0</v>
      </c>
      <c r="AJ7" s="12">
        <f>COUNTIF(defects!$AA:$AA,$C$1&amp;$B$3&amp;$B$2&amp;AJ$3&amp;$B7&amp;$B$1)</f>
        <v>0</v>
      </c>
      <c r="AK7" s="12">
        <f>COUNTIF(defects!$AA:$AA,$C$1&amp;$B$3&amp;$B$2&amp;AK$3&amp;$B7&amp;$B$1)</f>
        <v>0</v>
      </c>
      <c r="AL7" s="12">
        <f>COUNTIF(defects!$AA:$AA,$C$1&amp;$B$3&amp;$B$2&amp;AL$3&amp;$B7&amp;$B$1)</f>
        <v>0</v>
      </c>
      <c r="AM7" s="12">
        <f>COUNTIF(defects!$AA:$AA,$C$1&amp;$B$3&amp;$B$2&amp;AM$3&amp;$B7&amp;$B$1)</f>
        <v>0</v>
      </c>
      <c r="AN7" s="12">
        <f>COUNTIF(defects!$AA:$AA,$C$1&amp;$B$3&amp;$B$2&amp;AN$3&amp;$B7&amp;$B$1)</f>
        <v>0</v>
      </c>
      <c r="AO7" s="12">
        <f>COUNTIF(defects!$AA:$AA,$C$1&amp;$B$3&amp;$B$2&amp;AO$3&amp;$B7&amp;$B$1)</f>
        <v>0</v>
      </c>
      <c r="AP7" s="12">
        <f>COUNTIF(defects!$AA:$AA,$C$1&amp;$B$3&amp;$B$2&amp;AP$3&amp;$B7&amp;$B$1)</f>
        <v>0</v>
      </c>
      <c r="AQ7" s="12"/>
      <c r="AR7" s="12">
        <f>HLOOKUP(AR$3,Weekly_PmodClassify!$3:$10,MATCH($B7,Weekly_PmodClassify!$B$3:$B$10,0),0)</f>
        <v>0</v>
      </c>
      <c r="AS7" s="12">
        <f>HLOOKUP(AS$3,Weekly_PmodClassify!$3:$10,MATCH($B7,Weekly_PmodClassify!$B$3:$B$10,0),0)</f>
        <v>0</v>
      </c>
      <c r="AT7" s="12">
        <f>HLOOKUP(AT$3,Weekly_PmodClassify!$3:$10,MATCH($B7,Weekly_PmodClassify!$B$3:$B$10,0),0)</f>
        <v>0</v>
      </c>
      <c r="AU7" s="12"/>
      <c r="AV7" s="12">
        <f t="shared" si="1"/>
        <v>5</v>
      </c>
    </row>
    <row r="8" spans="2:48">
      <c r="B8" s="12" t="s">
        <v>25</v>
      </c>
      <c r="C8" s="12">
        <f t="shared" si="3"/>
        <v>0</v>
      </c>
      <c r="D8" s="12">
        <f t="shared" si="3"/>
        <v>0</v>
      </c>
      <c r="E8" s="12"/>
      <c r="F8" s="12">
        <f>COUNTIF(defects!$AA:$AA,$C$1&amp;$B$3&amp;$B$2&amp;F$3&amp;$B8&amp;$B$1)</f>
        <v>0</v>
      </c>
      <c r="G8" s="12">
        <f>COUNTIF(defects!$AA:$AA,$C$1&amp;$B$3&amp;$B$2&amp;G$3&amp;$B8&amp;$B$1)</f>
        <v>0</v>
      </c>
      <c r="H8" s="12">
        <f>COUNTIF(defects!$AA:$AA,$C$1&amp;$B$3&amp;$B$2&amp;H$3&amp;$B8&amp;$B$1)</f>
        <v>0</v>
      </c>
      <c r="I8" s="12">
        <f>COUNTIF(defects!$AA:$AA,$C$1&amp;$B$3&amp;$B$2&amp;I$3&amp;$B8&amp;$B$1)</f>
        <v>0</v>
      </c>
      <c r="J8" s="12">
        <f>COUNTIF(defects!$AA:$AA,$C$1&amp;$B$3&amp;$B$2&amp;J$3&amp;$B8&amp;$B$1)</f>
        <v>0</v>
      </c>
      <c r="K8" s="12">
        <f>COUNTIF(defects!$AA:$AA,$C$1&amp;$B$3&amp;$B$2&amp;K$3&amp;$B8&amp;$B$1)</f>
        <v>0</v>
      </c>
      <c r="L8" s="12">
        <f>COUNTIF(defects!$AA:$AA,$C$1&amp;$B$3&amp;$B$2&amp;L$3&amp;$B8&amp;$B$1)</f>
        <v>0</v>
      </c>
      <c r="M8" s="12">
        <f>COUNTIF(defects!$AA:$AA,$C$1&amp;$B$3&amp;$B$2&amp;M$3&amp;$B8&amp;$B$1)</f>
        <v>0</v>
      </c>
      <c r="N8" s="12">
        <f>COUNTIF(defects!$AA:$AA,$C$1&amp;$B$3&amp;$B$2&amp;N$3&amp;$B8&amp;$B$1)</f>
        <v>0</v>
      </c>
      <c r="O8" s="12">
        <f>COUNTIF(defects!$AA:$AA,$C$1&amp;$B$3&amp;$B$2&amp;O$3&amp;$B8&amp;$B$1)</f>
        <v>0</v>
      </c>
      <c r="P8" s="12">
        <f>COUNTIF(defects!$AA:$AA,$C$1&amp;$B$3&amp;$B$2&amp;P$3&amp;$B8&amp;$B$1)</f>
        <v>0</v>
      </c>
      <c r="Q8" s="12">
        <f>COUNTIF(defects!$AA:$AA,$C$1&amp;$B$3&amp;$B$2&amp;Q$3&amp;$B8&amp;$B$1)</f>
        <v>0</v>
      </c>
      <c r="R8" s="12">
        <f>COUNTIF(defects!$AA:$AA,$C$1&amp;$B$3&amp;$B$2&amp;R$3&amp;$B8&amp;$B$1)</f>
        <v>0</v>
      </c>
      <c r="S8" s="12">
        <f>COUNTIF(defects!$AA:$AA,$C$1&amp;$B$3&amp;$B$2&amp;S$3&amp;$B8&amp;$B$1)</f>
        <v>0</v>
      </c>
      <c r="T8" s="12">
        <f>COUNTIF(defects!$AA:$AA,$C$1&amp;$B$3&amp;$B$2&amp;T$3&amp;$B8&amp;$B$1)</f>
        <v>0</v>
      </c>
      <c r="U8" s="12">
        <f>COUNTIF(defects!$AA:$AA,$C$1&amp;$B$3&amp;$B$2&amp;U$3&amp;$B8&amp;$B$1)</f>
        <v>0</v>
      </c>
      <c r="V8" s="12">
        <f>COUNTIF(defects!$AA:$AA,$C$1&amp;$B$3&amp;$B$2&amp;V$3&amp;$B8&amp;$B$1)</f>
        <v>0</v>
      </c>
      <c r="W8" s="12">
        <f>COUNTIF(defects!$AA:$AA,$C$1&amp;$B$3&amp;$B$2&amp;W$3&amp;$B8&amp;$B$1)</f>
        <v>0</v>
      </c>
      <c r="X8" s="12">
        <f>COUNTIF(defects!$AA:$AA,$C$1&amp;$B$3&amp;$B$2&amp;X$3&amp;$B8&amp;$B$1)</f>
        <v>0</v>
      </c>
      <c r="Y8" s="12">
        <f>COUNTIF(defects!$AA:$AA,$C$1&amp;$B$3&amp;$B$2&amp;Y$3&amp;$B8&amp;$B$1)</f>
        <v>0</v>
      </c>
      <c r="Z8" s="12">
        <f>COUNTIF(defects!$AA:$AA,$C$1&amp;$B$3&amp;$B$2&amp;Z$3&amp;$B8&amp;$B$1)</f>
        <v>0</v>
      </c>
      <c r="AA8" s="12">
        <f>COUNTIF(defects!$AA:$AA,$C$1&amp;$B$3&amp;$B$2&amp;AA$3&amp;$B8&amp;$B$1)</f>
        <v>0</v>
      </c>
      <c r="AB8" s="12">
        <f>COUNTIF(defects!$AA:$AA,$C$1&amp;$B$3&amp;$B$2&amp;AB$3&amp;$B8&amp;$B$1)</f>
        <v>0</v>
      </c>
      <c r="AC8" s="12">
        <f>COUNTIF(defects!$AA:$AA,$C$1&amp;$B$3&amp;$B$2&amp;AC$3&amp;$B8&amp;$B$1)</f>
        <v>0</v>
      </c>
      <c r="AD8" s="12">
        <f>COUNTIF(defects!$AA:$AA,$C$1&amp;$B$3&amp;$B$2&amp;AD$3&amp;$B8&amp;$B$1)</f>
        <v>0</v>
      </c>
      <c r="AE8" s="12">
        <f>COUNTIF(defects!$AA:$AA,$C$1&amp;$B$3&amp;$B$2&amp;AE$3&amp;$B8&amp;$B$1)</f>
        <v>0</v>
      </c>
      <c r="AF8" s="12">
        <f>COUNTIF(defects!$AA:$AA,$C$1&amp;$B$3&amp;$B$2&amp;AF$3&amp;$B8&amp;$B$1)</f>
        <v>0</v>
      </c>
      <c r="AG8" s="12">
        <f>COUNTIF(defects!$AA:$AA,$C$1&amp;$B$3&amp;$B$2&amp;AG$3&amp;$B8&amp;$B$1)</f>
        <v>0</v>
      </c>
      <c r="AH8" s="12">
        <f>COUNTIF(defects!$AA:$AA,$C$1&amp;$B$3&amp;$B$2&amp;AH$3&amp;$B8&amp;$B$1)</f>
        <v>0</v>
      </c>
      <c r="AI8" s="12">
        <f>COUNTIF(defects!$AA:$AA,$C$1&amp;$B$3&amp;$B$2&amp;AI$3&amp;$B8&amp;$B$1)</f>
        <v>0</v>
      </c>
      <c r="AJ8" s="12">
        <f>COUNTIF(defects!$AA:$AA,$C$1&amp;$B$3&amp;$B$2&amp;AJ$3&amp;$B8&amp;$B$1)</f>
        <v>0</v>
      </c>
      <c r="AK8" s="12">
        <f>COUNTIF(defects!$AA:$AA,$C$1&amp;$B$3&amp;$B$2&amp;AK$3&amp;$B8&amp;$B$1)</f>
        <v>0</v>
      </c>
      <c r="AL8" s="12">
        <f>COUNTIF(defects!$AA:$AA,$C$1&amp;$B$3&amp;$B$2&amp;AL$3&amp;$B8&amp;$B$1)</f>
        <v>0</v>
      </c>
      <c r="AM8" s="12">
        <f>COUNTIF(defects!$AA:$AA,$C$1&amp;$B$3&amp;$B$2&amp;AM$3&amp;$B8&amp;$B$1)</f>
        <v>0</v>
      </c>
      <c r="AN8" s="12">
        <f>COUNTIF(defects!$AA:$AA,$C$1&amp;$B$3&amp;$B$2&amp;AN$3&amp;$B8&amp;$B$1)</f>
        <v>0</v>
      </c>
      <c r="AO8" s="12">
        <f>COUNTIF(defects!$AA:$AA,$C$1&amp;$B$3&amp;$B$2&amp;AO$3&amp;$B8&amp;$B$1)</f>
        <v>0</v>
      </c>
      <c r="AP8" s="12">
        <f>COUNTIF(defects!$AA:$AA,$C$1&amp;$B$3&amp;$B$2&amp;AP$3&amp;$B8&amp;$B$1)</f>
        <v>0</v>
      </c>
      <c r="AQ8" s="12"/>
      <c r="AR8" s="12">
        <f>HLOOKUP(AR$3,Weekly_PmodClassify!$3:$10,MATCH($B8,Weekly_PmodClassify!$B$3:$B$10,0),0)</f>
        <v>0</v>
      </c>
      <c r="AS8" s="12">
        <f>HLOOKUP(AS$3,Weekly_PmodClassify!$3:$10,MATCH($B8,Weekly_PmodClassify!$B$3:$B$10,0),0)</f>
        <v>0</v>
      </c>
      <c r="AT8" s="12">
        <f>HLOOKUP(AT$3,Weekly_PmodClassify!$3:$10,MATCH($B8,Weekly_PmodClassify!$B$3:$B$10,0),0)</f>
        <v>0</v>
      </c>
      <c r="AU8" s="12"/>
      <c r="AV8" s="12">
        <f t="shared" si="1"/>
        <v>0</v>
      </c>
    </row>
    <row r="9" spans="2:48">
      <c r="B9" s="12" t="s">
        <v>26</v>
      </c>
      <c r="C9" s="12">
        <f t="shared" si="3"/>
        <v>21</v>
      </c>
      <c r="D9" s="12">
        <f t="shared" si="3"/>
        <v>0</v>
      </c>
      <c r="E9" s="12"/>
      <c r="F9" s="12">
        <f>COUNTIF(defects!$AA:$AA,$C$1&amp;$B$3&amp;$B$2&amp;F$3&amp;$B9&amp;$B$1)</f>
        <v>0</v>
      </c>
      <c r="G9" s="12">
        <f>COUNTIF(defects!$AA:$AA,$C$1&amp;$B$3&amp;$B$2&amp;G$3&amp;$B9&amp;$B$1)</f>
        <v>0</v>
      </c>
      <c r="H9" s="12">
        <f>COUNTIF(defects!$AA:$AA,$C$1&amp;$B$3&amp;$B$2&amp;H$3&amp;$B9&amp;$B$1)</f>
        <v>0</v>
      </c>
      <c r="I9" s="12">
        <f>COUNTIF(defects!$AA:$AA,$C$1&amp;$B$3&amp;$B$2&amp;I$3&amp;$B9&amp;$B$1)</f>
        <v>0</v>
      </c>
      <c r="J9" s="12">
        <f>COUNTIF(defects!$AA:$AA,$C$1&amp;$B$3&amp;$B$2&amp;J$3&amp;$B9&amp;$B$1)</f>
        <v>0</v>
      </c>
      <c r="K9" s="12">
        <f>COUNTIF(defects!$AA:$AA,$C$1&amp;$B$3&amp;$B$2&amp;K$3&amp;$B9&amp;$B$1)</f>
        <v>0</v>
      </c>
      <c r="L9" s="12">
        <f>COUNTIF(defects!$AA:$AA,$C$1&amp;$B$3&amp;$B$2&amp;L$3&amp;$B9&amp;$B$1)</f>
        <v>0</v>
      </c>
      <c r="M9" s="12">
        <f>COUNTIF(defects!$AA:$AA,$C$1&amp;$B$3&amp;$B$2&amp;M$3&amp;$B9&amp;$B$1)</f>
        <v>0</v>
      </c>
      <c r="N9" s="12">
        <f>COUNTIF(defects!$AA:$AA,$C$1&amp;$B$3&amp;$B$2&amp;N$3&amp;$B9&amp;$B$1)</f>
        <v>0</v>
      </c>
      <c r="O9" s="12">
        <f>COUNTIF(defects!$AA:$AA,$C$1&amp;$B$3&amp;$B$2&amp;O$3&amp;$B9&amp;$B$1)</f>
        <v>0</v>
      </c>
      <c r="P9" s="12">
        <f>COUNTIF(defects!$AA:$AA,$C$1&amp;$B$3&amp;$B$2&amp;P$3&amp;$B9&amp;$B$1)</f>
        <v>0</v>
      </c>
      <c r="Q9" s="12">
        <f>COUNTIF(defects!$AA:$AA,$C$1&amp;$B$3&amp;$B$2&amp;Q$3&amp;$B9&amp;$B$1)</f>
        <v>0</v>
      </c>
      <c r="R9" s="12">
        <f>COUNTIF(defects!$AA:$AA,$C$1&amp;$B$3&amp;$B$2&amp;R$3&amp;$B9&amp;$B$1)</f>
        <v>0</v>
      </c>
      <c r="S9" s="12">
        <f>COUNTIF(defects!$AA:$AA,$C$1&amp;$B$3&amp;$B$2&amp;S$3&amp;$B9&amp;$B$1)</f>
        <v>0</v>
      </c>
      <c r="T9" s="12">
        <f>COUNTIF(defects!$AA:$AA,$C$1&amp;$B$3&amp;$B$2&amp;T$3&amp;$B9&amp;$B$1)</f>
        <v>0</v>
      </c>
      <c r="U9" s="12">
        <f>COUNTIF(defects!$AA:$AA,$C$1&amp;$B$3&amp;$B$2&amp;U$3&amp;$B9&amp;$B$1)</f>
        <v>0</v>
      </c>
      <c r="V9" s="12">
        <f>COUNTIF(defects!$AA:$AA,$C$1&amp;$B$3&amp;$B$2&amp;V$3&amp;$B9&amp;$B$1)</f>
        <v>0</v>
      </c>
      <c r="W9" s="12">
        <f>COUNTIF(defects!$AA:$AA,$C$1&amp;$B$3&amp;$B$2&amp;W$3&amp;$B9&amp;$B$1)</f>
        <v>0</v>
      </c>
      <c r="X9" s="12">
        <f>COUNTIF(defects!$AA:$AA,$C$1&amp;$B$3&amp;$B$2&amp;X$3&amp;$B9&amp;$B$1)</f>
        <v>0</v>
      </c>
      <c r="Y9" s="12">
        <f>COUNTIF(defects!$AA:$AA,$C$1&amp;$B$3&amp;$B$2&amp;Y$3&amp;$B9&amp;$B$1)</f>
        <v>3</v>
      </c>
      <c r="Z9" s="12">
        <f>COUNTIF(defects!$AA:$AA,$C$1&amp;$B$3&amp;$B$2&amp;Z$3&amp;$B9&amp;$B$1)</f>
        <v>7</v>
      </c>
      <c r="AA9" s="12">
        <f>COUNTIF(defects!$AA:$AA,$C$1&amp;$B$3&amp;$B$2&amp;AA$3&amp;$B9&amp;$B$1)</f>
        <v>11</v>
      </c>
      <c r="AB9" s="12">
        <f>COUNTIF(defects!$AA:$AA,$C$1&amp;$B$3&amp;$B$2&amp;AB$3&amp;$B9&amp;$B$1)</f>
        <v>0</v>
      </c>
      <c r="AC9" s="12">
        <f>COUNTIF(defects!$AA:$AA,$C$1&amp;$B$3&amp;$B$2&amp;AC$3&amp;$B9&amp;$B$1)</f>
        <v>0</v>
      </c>
      <c r="AD9" s="12">
        <f>COUNTIF(defects!$AA:$AA,$C$1&amp;$B$3&amp;$B$2&amp;AD$3&amp;$B9&amp;$B$1)</f>
        <v>0</v>
      </c>
      <c r="AE9" s="12">
        <f>COUNTIF(defects!$AA:$AA,$C$1&amp;$B$3&amp;$B$2&amp;AE$3&amp;$B9&amp;$B$1)</f>
        <v>0</v>
      </c>
      <c r="AF9" s="12">
        <f>COUNTIF(defects!$AA:$AA,$C$1&amp;$B$3&amp;$B$2&amp;AF$3&amp;$B9&amp;$B$1)</f>
        <v>0</v>
      </c>
      <c r="AG9" s="12">
        <f>COUNTIF(defects!$AA:$AA,$C$1&amp;$B$3&amp;$B$2&amp;AG$3&amp;$B9&amp;$B$1)</f>
        <v>0</v>
      </c>
      <c r="AH9" s="12">
        <f>COUNTIF(defects!$AA:$AA,$C$1&amp;$B$3&amp;$B$2&amp;AH$3&amp;$B9&amp;$B$1)</f>
        <v>0</v>
      </c>
      <c r="AI9" s="12">
        <f>COUNTIF(defects!$AA:$AA,$C$1&amp;$B$3&amp;$B$2&amp;AI$3&amp;$B9&amp;$B$1)</f>
        <v>0</v>
      </c>
      <c r="AJ9" s="12">
        <f>COUNTIF(defects!$AA:$AA,$C$1&amp;$B$3&amp;$B$2&amp;AJ$3&amp;$B9&amp;$B$1)</f>
        <v>0</v>
      </c>
      <c r="AK9" s="12">
        <f>COUNTIF(defects!$AA:$AA,$C$1&amp;$B$3&amp;$B$2&amp;AK$3&amp;$B9&amp;$B$1)</f>
        <v>0</v>
      </c>
      <c r="AL9" s="12">
        <f>COUNTIF(defects!$AA:$AA,$C$1&amp;$B$3&amp;$B$2&amp;AL$3&amp;$B9&amp;$B$1)</f>
        <v>0</v>
      </c>
      <c r="AM9" s="12">
        <f>COUNTIF(defects!$AA:$AA,$C$1&amp;$B$3&amp;$B$2&amp;AM$3&amp;$B9&amp;$B$1)</f>
        <v>0</v>
      </c>
      <c r="AN9" s="12">
        <f>COUNTIF(defects!$AA:$AA,$C$1&amp;$B$3&amp;$B$2&amp;AN$3&amp;$B9&amp;$B$1)</f>
        <v>0</v>
      </c>
      <c r="AO9" s="12">
        <f>COUNTIF(defects!$AA:$AA,$C$1&amp;$B$3&amp;$B$2&amp;AO$3&amp;$B9&amp;$B$1)</f>
        <v>0</v>
      </c>
      <c r="AP9" s="12">
        <f>COUNTIF(defects!$AA:$AA,$C$1&amp;$B$3&amp;$B$2&amp;AP$3&amp;$B9&amp;$B$1)</f>
        <v>0</v>
      </c>
      <c r="AQ9" s="12"/>
      <c r="AR9" s="12">
        <f>HLOOKUP(AR$3,Weekly_PmodClassify!$3:$10,MATCH($B9,Weekly_PmodClassify!$B$3:$B$10,0),0)</f>
        <v>0</v>
      </c>
      <c r="AS9" s="12">
        <f>HLOOKUP(AS$3,Weekly_PmodClassify!$3:$10,MATCH($B9,Weekly_PmodClassify!$B$3:$B$10,0),0)</f>
        <v>0</v>
      </c>
      <c r="AT9" s="12">
        <f>HLOOKUP(AT$3,Weekly_PmodClassify!$3:$10,MATCH($B9,Weekly_PmodClassify!$B$3:$B$10,0),0)</f>
        <v>0</v>
      </c>
      <c r="AU9" s="12"/>
      <c r="AV9" s="12">
        <f t="shared" si="1"/>
        <v>21</v>
      </c>
    </row>
    <row r="10" spans="2:48">
      <c r="B10" s="12" t="s">
        <v>965</v>
      </c>
      <c r="C10" s="12">
        <f t="shared" si="3"/>
        <v>14</v>
      </c>
      <c r="D10" s="12">
        <f t="shared" si="3"/>
        <v>0</v>
      </c>
      <c r="E10" s="12"/>
      <c r="F10" s="12">
        <f>COUNTIF(defects!$AA:$AA,$C$1&amp;$B$3&amp;$B$2&amp;F$3&amp;$B10&amp;$B$1)</f>
        <v>0</v>
      </c>
      <c r="G10" s="12">
        <f>COUNTIF(defects!$AA:$AA,$C$1&amp;$B$3&amp;$B$2&amp;G$3&amp;$B10&amp;$B$1)</f>
        <v>0</v>
      </c>
      <c r="H10" s="12">
        <f>COUNTIF(defects!$AA:$AA,$C$1&amp;$B$3&amp;$B$2&amp;H$3&amp;$B10&amp;$B$1)</f>
        <v>0</v>
      </c>
      <c r="I10" s="12">
        <f>COUNTIF(defects!$AA:$AA,$C$1&amp;$B$3&amp;$B$2&amp;I$3&amp;$B10&amp;$B$1)</f>
        <v>0</v>
      </c>
      <c r="J10" s="12">
        <f>COUNTIF(defects!$AA:$AA,$C$1&amp;$B$3&amp;$B$2&amp;J$3&amp;$B10&amp;$B$1)</f>
        <v>0</v>
      </c>
      <c r="K10" s="12">
        <f>COUNTIF(defects!$AA:$AA,$C$1&amp;$B$3&amp;$B$2&amp;K$3&amp;$B10&amp;$B$1)</f>
        <v>0</v>
      </c>
      <c r="L10" s="12">
        <f>COUNTIF(defects!$AA:$AA,$C$1&amp;$B$3&amp;$B$2&amp;L$3&amp;$B10&amp;$B$1)</f>
        <v>0</v>
      </c>
      <c r="M10" s="12">
        <f>COUNTIF(defects!$AA:$AA,$C$1&amp;$B$3&amp;$B$2&amp;M$3&amp;$B10&amp;$B$1)</f>
        <v>0</v>
      </c>
      <c r="N10" s="12">
        <f>COUNTIF(defects!$AA:$AA,$C$1&amp;$B$3&amp;$B$2&amp;N$3&amp;$B10&amp;$B$1)</f>
        <v>0</v>
      </c>
      <c r="O10" s="12">
        <f>COUNTIF(defects!$AA:$AA,$C$1&amp;$B$3&amp;$B$2&amp;O$3&amp;$B10&amp;$B$1)</f>
        <v>0</v>
      </c>
      <c r="P10" s="12">
        <f>COUNTIF(defects!$AA:$AA,$C$1&amp;$B$3&amp;$B$2&amp;P$3&amp;$B10&amp;$B$1)</f>
        <v>0</v>
      </c>
      <c r="Q10" s="12">
        <f>COUNTIF(defects!$AA:$AA,$C$1&amp;$B$3&amp;$B$2&amp;Q$3&amp;$B10&amp;$B$1)</f>
        <v>0</v>
      </c>
      <c r="R10" s="12">
        <f>COUNTIF(defects!$AA:$AA,$C$1&amp;$B$3&amp;$B$2&amp;R$3&amp;$B10&amp;$B$1)</f>
        <v>0</v>
      </c>
      <c r="S10" s="12">
        <f>COUNTIF(defects!$AA:$AA,$C$1&amp;$B$3&amp;$B$2&amp;S$3&amp;$B10&amp;$B$1)</f>
        <v>0</v>
      </c>
      <c r="T10" s="12">
        <f>COUNTIF(defects!$AA:$AA,$C$1&amp;$B$3&amp;$B$2&amp;T$3&amp;$B10&amp;$B$1)</f>
        <v>0</v>
      </c>
      <c r="U10" s="12">
        <f>COUNTIF(defects!$AA:$AA,$C$1&amp;$B$3&amp;$B$2&amp;U$3&amp;$B10&amp;$B$1)</f>
        <v>0</v>
      </c>
      <c r="V10" s="12">
        <f>COUNTIF(defects!$AA:$AA,$C$1&amp;$B$3&amp;$B$2&amp;V$3&amp;$B10&amp;$B$1)</f>
        <v>1</v>
      </c>
      <c r="W10" s="12">
        <f>COUNTIF(defects!$AA:$AA,$C$1&amp;$B$3&amp;$B$2&amp;W$3&amp;$B10&amp;$B$1)</f>
        <v>1</v>
      </c>
      <c r="X10" s="12">
        <f>COUNTIF(defects!$AA:$AA,$C$1&amp;$B$3&amp;$B$2&amp;X$3&amp;$B10&amp;$B$1)</f>
        <v>2</v>
      </c>
      <c r="Y10" s="12">
        <f>COUNTIF(defects!$AA:$AA,$C$1&amp;$B$3&amp;$B$2&amp;Y$3&amp;$B10&amp;$B$1)</f>
        <v>1</v>
      </c>
      <c r="Z10" s="12">
        <f>COUNTIF(defects!$AA:$AA,$C$1&amp;$B$3&amp;$B$2&amp;Z$3&amp;$B10&amp;$B$1)</f>
        <v>6</v>
      </c>
      <c r="AA10" s="12">
        <f>COUNTIF(defects!$AA:$AA,$C$1&amp;$B$3&amp;$B$2&amp;AA$3&amp;$B10&amp;$B$1)</f>
        <v>3</v>
      </c>
      <c r="AB10" s="12">
        <f>COUNTIF(defects!$AA:$AA,$C$1&amp;$B$3&amp;$B$2&amp;AB$3&amp;$B10&amp;$B$1)</f>
        <v>0</v>
      </c>
      <c r="AC10" s="12">
        <f>COUNTIF(defects!$AA:$AA,$C$1&amp;$B$3&amp;$B$2&amp;AC$3&amp;$B10&amp;$B$1)</f>
        <v>0</v>
      </c>
      <c r="AD10" s="12">
        <f>COUNTIF(defects!$AA:$AA,$C$1&amp;$B$3&amp;$B$2&amp;AD$3&amp;$B10&amp;$B$1)</f>
        <v>0</v>
      </c>
      <c r="AE10" s="12">
        <f>COUNTIF(defects!$AA:$AA,$C$1&amp;$B$3&amp;$B$2&amp;AE$3&amp;$B10&amp;$B$1)</f>
        <v>0</v>
      </c>
      <c r="AF10" s="12">
        <f>COUNTIF(defects!$AA:$AA,$C$1&amp;$B$3&amp;$B$2&amp;AF$3&amp;$B10&amp;$B$1)</f>
        <v>0</v>
      </c>
      <c r="AG10" s="12">
        <f>COUNTIF(defects!$AA:$AA,$C$1&amp;$B$3&amp;$B$2&amp;AG$3&amp;$B10&amp;$B$1)</f>
        <v>0</v>
      </c>
      <c r="AH10" s="12">
        <f>COUNTIF(defects!$AA:$AA,$C$1&amp;$B$3&amp;$B$2&amp;AH$3&amp;$B10&amp;$B$1)</f>
        <v>0</v>
      </c>
      <c r="AI10" s="12">
        <f>COUNTIF(defects!$AA:$AA,$C$1&amp;$B$3&amp;$B$2&amp;AI$3&amp;$B10&amp;$B$1)</f>
        <v>0</v>
      </c>
      <c r="AJ10" s="12">
        <f>COUNTIF(defects!$AA:$AA,$C$1&amp;$B$3&amp;$B$2&amp;AJ$3&amp;$B10&amp;$B$1)</f>
        <v>0</v>
      </c>
      <c r="AK10" s="12">
        <f>COUNTIF(defects!$AA:$AA,$C$1&amp;$B$3&amp;$B$2&amp;AK$3&amp;$B10&amp;$B$1)</f>
        <v>0</v>
      </c>
      <c r="AL10" s="12">
        <f>COUNTIF(defects!$AA:$AA,$C$1&amp;$B$3&amp;$B$2&amp;AL$3&amp;$B10&amp;$B$1)</f>
        <v>0</v>
      </c>
      <c r="AM10" s="12">
        <f>COUNTIF(defects!$AA:$AA,$C$1&amp;$B$3&amp;$B$2&amp;AM$3&amp;$B10&amp;$B$1)</f>
        <v>0</v>
      </c>
      <c r="AN10" s="12">
        <f>COUNTIF(defects!$AA:$AA,$C$1&amp;$B$3&amp;$B$2&amp;AN$3&amp;$B10&amp;$B$1)</f>
        <v>0</v>
      </c>
      <c r="AO10" s="12">
        <f>COUNTIF(defects!$AA:$AA,$C$1&amp;$B$3&amp;$B$2&amp;AO$3&amp;$B10&amp;$B$1)</f>
        <v>0</v>
      </c>
      <c r="AP10" s="12">
        <f>COUNTIF(defects!$AA:$AA,$C$1&amp;$B$3&amp;$B$2&amp;AP$3&amp;$B10&amp;$B$1)</f>
        <v>0</v>
      </c>
      <c r="AQ10" s="12"/>
      <c r="AR10" s="12">
        <f>HLOOKUP(AR$3,Weekly_PmodClassify!$3:$10,MATCH($B10,Weekly_PmodClassify!$B$3:$B$10,0),0)</f>
        <v>0</v>
      </c>
      <c r="AS10" s="12">
        <f>HLOOKUP(AS$3,Weekly_PmodClassify!$3:$10,MATCH($B10,Weekly_PmodClassify!$B$3:$B$10,0),0)</f>
        <v>0</v>
      </c>
      <c r="AT10" s="12">
        <f>HLOOKUP(AT$3,Weekly_PmodClassify!$3:$10,MATCH($B10,Weekly_PmodClassify!$B$3:$B$10,0),0)</f>
        <v>0</v>
      </c>
      <c r="AU10" s="12"/>
      <c r="AV10" s="12">
        <f t="shared" si="1"/>
        <v>14</v>
      </c>
    </row>
    <row r="11" spans="2:48" ht="14.15" customHeight="1"/>
    <row r="12" spans="2:48">
      <c r="B12" s="12"/>
      <c r="C12" s="10" t="str">
        <f>C3</f>
        <v>FY21 TTL</v>
      </c>
      <c r="D12" s="10" t="str">
        <f>D3</f>
        <v>FY22 TTL</v>
      </c>
      <c r="E12" s="10"/>
      <c r="F12" s="10" t="str">
        <f t="shared" ref="F12:AP12" si="4">F3</f>
        <v>20 Jan</v>
      </c>
      <c r="G12" s="10" t="str">
        <f t="shared" si="4"/>
        <v>20 Feb</v>
      </c>
      <c r="H12" s="10" t="str">
        <f t="shared" si="4"/>
        <v>20 Mar</v>
      </c>
      <c r="I12" s="10" t="str">
        <f t="shared" si="4"/>
        <v>20 Apr</v>
      </c>
      <c r="J12" s="10" t="str">
        <f t="shared" si="4"/>
        <v>20 May</v>
      </c>
      <c r="K12" s="10" t="str">
        <f t="shared" si="4"/>
        <v>20 Jun</v>
      </c>
      <c r="L12" s="10" t="str">
        <f t="shared" si="4"/>
        <v>20 Jul</v>
      </c>
      <c r="M12" s="10" t="str">
        <f t="shared" si="4"/>
        <v>20 Aug</v>
      </c>
      <c r="N12" s="10" t="str">
        <f t="shared" si="4"/>
        <v>20 Sep</v>
      </c>
      <c r="O12" s="10" t="str">
        <f t="shared" si="4"/>
        <v>20 Oct</v>
      </c>
      <c r="P12" s="10" t="str">
        <f t="shared" si="4"/>
        <v>20 Nov</v>
      </c>
      <c r="Q12" s="10" t="str">
        <f t="shared" si="4"/>
        <v>20 Dec</v>
      </c>
      <c r="R12" s="10" t="str">
        <f t="shared" si="4"/>
        <v>21 Jan</v>
      </c>
      <c r="S12" s="10" t="str">
        <f t="shared" si="4"/>
        <v>21 Feb</v>
      </c>
      <c r="T12" s="10" t="str">
        <f t="shared" si="4"/>
        <v>21 Mar</v>
      </c>
      <c r="U12" s="10" t="str">
        <f t="shared" si="4"/>
        <v>21 Apr</v>
      </c>
      <c r="V12" s="10" t="str">
        <f t="shared" si="4"/>
        <v>21 May</v>
      </c>
      <c r="W12" s="10" t="str">
        <f t="shared" si="4"/>
        <v>21 Jun</v>
      </c>
      <c r="X12" s="10" t="str">
        <f t="shared" si="4"/>
        <v>21 Jul</v>
      </c>
      <c r="Y12" s="10" t="str">
        <f t="shared" si="4"/>
        <v>21 Aug</v>
      </c>
      <c r="Z12" s="10" t="str">
        <f t="shared" si="4"/>
        <v>21 Sep</v>
      </c>
      <c r="AA12" s="10" t="str">
        <f t="shared" si="4"/>
        <v>21 Oct</v>
      </c>
      <c r="AB12" s="10" t="str">
        <f t="shared" si="4"/>
        <v>21 Nov</v>
      </c>
      <c r="AC12" s="10" t="str">
        <f t="shared" si="4"/>
        <v>21 Dec</v>
      </c>
      <c r="AD12" s="10" t="str">
        <f t="shared" si="4"/>
        <v>22 Jan</v>
      </c>
      <c r="AE12" s="10" t="str">
        <f t="shared" si="4"/>
        <v>22 Feb</v>
      </c>
      <c r="AF12" s="10" t="str">
        <f t="shared" si="4"/>
        <v>22 Mar</v>
      </c>
      <c r="AG12" s="10" t="str">
        <f t="shared" si="4"/>
        <v>22 Apr</v>
      </c>
      <c r="AH12" s="10" t="str">
        <f t="shared" si="4"/>
        <v>22 May</v>
      </c>
      <c r="AI12" s="10" t="str">
        <f t="shared" si="4"/>
        <v>22 Jun</v>
      </c>
      <c r="AJ12" s="10" t="str">
        <f t="shared" si="4"/>
        <v>22 Jul</v>
      </c>
      <c r="AK12" s="10" t="str">
        <f t="shared" si="4"/>
        <v>22 Aug</v>
      </c>
      <c r="AL12" s="10" t="str">
        <f t="shared" si="4"/>
        <v>22 Sep</v>
      </c>
      <c r="AM12" s="10" t="str">
        <f t="shared" si="4"/>
        <v>22 Oct</v>
      </c>
      <c r="AN12" s="10" t="str">
        <f t="shared" si="4"/>
        <v>22 Nov</v>
      </c>
      <c r="AO12" s="10" t="str">
        <f t="shared" si="4"/>
        <v>22 Dec</v>
      </c>
      <c r="AP12" s="10" t="str">
        <f t="shared" si="4"/>
        <v>23 Jan</v>
      </c>
      <c r="AQ12" s="10"/>
      <c r="AR12" s="31">
        <f>AR3</f>
        <v>2151</v>
      </c>
      <c r="AS12" s="31">
        <f>AS3</f>
        <v>2152</v>
      </c>
      <c r="AT12" s="31">
        <f>AT3</f>
        <v>2201</v>
      </c>
      <c r="AU12" s="10"/>
      <c r="AV12" s="10" t="str">
        <f>AV3</f>
        <v>TTL</v>
      </c>
    </row>
    <row r="13" spans="2:48">
      <c r="B13" s="12" t="s">
        <v>1014</v>
      </c>
      <c r="C13" s="31">
        <v>800</v>
      </c>
      <c r="D13" s="31">
        <v>800</v>
      </c>
      <c r="E13" s="31">
        <v>800</v>
      </c>
      <c r="F13" s="31">
        <v>800</v>
      </c>
      <c r="G13" s="31">
        <v>800</v>
      </c>
      <c r="H13" s="31">
        <v>800</v>
      </c>
      <c r="I13" s="31">
        <v>800</v>
      </c>
      <c r="J13" s="31">
        <v>800</v>
      </c>
      <c r="K13" s="31">
        <v>800</v>
      </c>
      <c r="L13" s="31">
        <v>800</v>
      </c>
      <c r="M13" s="31">
        <v>800</v>
      </c>
      <c r="N13" s="31">
        <v>800</v>
      </c>
      <c r="O13" s="31">
        <v>800</v>
      </c>
      <c r="P13" s="31">
        <v>800</v>
      </c>
      <c r="Q13" s="31">
        <v>800</v>
      </c>
      <c r="R13" s="31">
        <v>800</v>
      </c>
      <c r="S13" s="31">
        <v>800</v>
      </c>
      <c r="T13" s="31">
        <v>800</v>
      </c>
      <c r="U13" s="31">
        <v>800</v>
      </c>
      <c r="V13" s="31">
        <v>800</v>
      </c>
      <c r="W13" s="31">
        <v>800</v>
      </c>
      <c r="X13" s="31">
        <v>800</v>
      </c>
      <c r="Y13" s="31">
        <v>800</v>
      </c>
      <c r="Z13" s="31">
        <v>800</v>
      </c>
      <c r="AA13" s="31">
        <v>800</v>
      </c>
      <c r="AB13" s="31">
        <v>800</v>
      </c>
      <c r="AC13" s="31">
        <v>800</v>
      </c>
      <c r="AD13" s="31">
        <v>800</v>
      </c>
      <c r="AE13" s="31">
        <v>800</v>
      </c>
      <c r="AF13" s="31">
        <v>800</v>
      </c>
      <c r="AG13" s="31">
        <v>800</v>
      </c>
      <c r="AH13" s="31">
        <v>800</v>
      </c>
      <c r="AI13" s="31">
        <v>800</v>
      </c>
      <c r="AJ13" s="31">
        <v>800</v>
      </c>
      <c r="AK13" s="31">
        <v>800</v>
      </c>
      <c r="AL13" s="31">
        <v>800</v>
      </c>
      <c r="AM13" s="31">
        <v>800</v>
      </c>
      <c r="AN13" s="31">
        <v>800</v>
      </c>
      <c r="AO13" s="31">
        <v>800</v>
      </c>
      <c r="AP13" s="31">
        <v>800</v>
      </c>
      <c r="AQ13" s="31">
        <v>800</v>
      </c>
      <c r="AR13" s="31">
        <v>800</v>
      </c>
      <c r="AS13" s="31">
        <v>800</v>
      </c>
      <c r="AT13" s="31">
        <v>800</v>
      </c>
      <c r="AU13" s="31">
        <v>800</v>
      </c>
      <c r="AV13" s="31">
        <v>800</v>
      </c>
    </row>
    <row r="14" spans="2:48">
      <c r="B14" s="12" t="s">
        <v>989</v>
      </c>
      <c r="C14" s="31">
        <f>C4</f>
        <v>57507</v>
      </c>
      <c r="D14" s="31">
        <f>D4</f>
        <v>0</v>
      </c>
      <c r="E14" s="31"/>
      <c r="F14" s="31">
        <f t="shared" ref="F14:AP14" si="5">F4</f>
        <v>0</v>
      </c>
      <c r="G14" s="31">
        <f t="shared" si="5"/>
        <v>0</v>
      </c>
      <c r="H14" s="31">
        <f t="shared" si="5"/>
        <v>0</v>
      </c>
      <c r="I14" s="31">
        <f t="shared" si="5"/>
        <v>0</v>
      </c>
      <c r="J14" s="31">
        <f t="shared" si="5"/>
        <v>0</v>
      </c>
      <c r="K14" s="31">
        <f t="shared" si="5"/>
        <v>0</v>
      </c>
      <c r="L14" s="31">
        <f t="shared" si="5"/>
        <v>0</v>
      </c>
      <c r="M14" s="31">
        <f t="shared" si="5"/>
        <v>0</v>
      </c>
      <c r="N14" s="31">
        <f t="shared" si="5"/>
        <v>0</v>
      </c>
      <c r="O14" s="31">
        <f t="shared" si="5"/>
        <v>0</v>
      </c>
      <c r="P14" s="31">
        <f t="shared" si="5"/>
        <v>0</v>
      </c>
      <c r="Q14" s="31">
        <f t="shared" si="5"/>
        <v>0</v>
      </c>
      <c r="R14" s="31">
        <f t="shared" si="5"/>
        <v>0</v>
      </c>
      <c r="S14" s="31">
        <f t="shared" si="5"/>
        <v>0</v>
      </c>
      <c r="T14" s="31">
        <f t="shared" si="5"/>
        <v>0</v>
      </c>
      <c r="U14" s="31">
        <f t="shared" si="5"/>
        <v>305</v>
      </c>
      <c r="V14" s="31">
        <f t="shared" si="5"/>
        <v>5871</v>
      </c>
      <c r="W14" s="31">
        <f t="shared" si="5"/>
        <v>6884</v>
      </c>
      <c r="X14" s="31">
        <f t="shared" si="5"/>
        <v>5419</v>
      </c>
      <c r="Y14" s="31">
        <f t="shared" si="5"/>
        <v>9108</v>
      </c>
      <c r="Z14" s="31">
        <f t="shared" si="5"/>
        <v>11295</v>
      </c>
      <c r="AA14" s="31">
        <f t="shared" si="5"/>
        <v>9900</v>
      </c>
      <c r="AB14" s="31">
        <f t="shared" si="5"/>
        <v>5830</v>
      </c>
      <c r="AC14" s="31">
        <f t="shared" si="5"/>
        <v>2895</v>
      </c>
      <c r="AD14" s="31">
        <f t="shared" si="5"/>
        <v>0</v>
      </c>
      <c r="AE14" s="31">
        <f t="shared" si="5"/>
        <v>0</v>
      </c>
      <c r="AF14" s="31">
        <f t="shared" si="5"/>
        <v>0</v>
      </c>
      <c r="AG14" s="31">
        <f t="shared" si="5"/>
        <v>0</v>
      </c>
      <c r="AH14" s="31">
        <f t="shared" si="5"/>
        <v>0</v>
      </c>
      <c r="AI14" s="31">
        <f t="shared" si="5"/>
        <v>0</v>
      </c>
      <c r="AJ14" s="31">
        <f t="shared" si="5"/>
        <v>0</v>
      </c>
      <c r="AK14" s="31">
        <f t="shared" si="5"/>
        <v>0</v>
      </c>
      <c r="AL14" s="31">
        <f t="shared" si="5"/>
        <v>0</v>
      </c>
      <c r="AM14" s="31">
        <f t="shared" si="5"/>
        <v>0</v>
      </c>
      <c r="AN14" s="31">
        <f t="shared" si="5"/>
        <v>0</v>
      </c>
      <c r="AO14" s="31">
        <f t="shared" si="5"/>
        <v>0</v>
      </c>
      <c r="AP14" s="31">
        <f t="shared" si="5"/>
        <v>0</v>
      </c>
      <c r="AQ14" s="31"/>
      <c r="AR14" s="31">
        <f>AR4</f>
        <v>0</v>
      </c>
      <c r="AS14" s="31">
        <f>AS4</f>
        <v>682</v>
      </c>
      <c r="AT14" s="31">
        <f>AT4</f>
        <v>0</v>
      </c>
      <c r="AU14" s="31"/>
      <c r="AV14" s="31">
        <f>AV4</f>
        <v>57507</v>
      </c>
    </row>
    <row r="15" spans="2:48">
      <c r="B15" s="12" t="s">
        <v>1018</v>
      </c>
      <c r="C15" s="12">
        <f t="shared" ref="C15:AV15" si="6">IFERROR(ROUNDUP(C5/C$4*10^6,0),0)</f>
        <v>696</v>
      </c>
      <c r="D15" s="12">
        <f t="shared" si="6"/>
        <v>0</v>
      </c>
      <c r="E15" s="12">
        <f t="shared" si="6"/>
        <v>0</v>
      </c>
      <c r="F15" s="12">
        <f t="shared" si="6"/>
        <v>0</v>
      </c>
      <c r="G15" s="12">
        <f t="shared" si="6"/>
        <v>0</v>
      </c>
      <c r="H15" s="12">
        <f t="shared" si="6"/>
        <v>0</v>
      </c>
      <c r="I15" s="12">
        <f t="shared" si="6"/>
        <v>0</v>
      </c>
      <c r="J15" s="12">
        <f t="shared" si="6"/>
        <v>0</v>
      </c>
      <c r="K15" s="12">
        <f t="shared" si="6"/>
        <v>0</v>
      </c>
      <c r="L15" s="12">
        <f t="shared" si="6"/>
        <v>0</v>
      </c>
      <c r="M15" s="12">
        <f t="shared" si="6"/>
        <v>0</v>
      </c>
      <c r="N15" s="12">
        <f t="shared" si="6"/>
        <v>0</v>
      </c>
      <c r="O15" s="12">
        <f t="shared" si="6"/>
        <v>0</v>
      </c>
      <c r="P15" s="12">
        <f t="shared" si="6"/>
        <v>0</v>
      </c>
      <c r="Q15" s="12">
        <f t="shared" si="6"/>
        <v>0</v>
      </c>
      <c r="R15" s="12">
        <f t="shared" si="6"/>
        <v>0</v>
      </c>
      <c r="S15" s="12">
        <f t="shared" si="6"/>
        <v>0</v>
      </c>
      <c r="T15" s="12">
        <f t="shared" si="6"/>
        <v>0</v>
      </c>
      <c r="U15" s="12">
        <f t="shared" si="6"/>
        <v>0</v>
      </c>
      <c r="V15" s="12">
        <f t="shared" si="6"/>
        <v>171</v>
      </c>
      <c r="W15" s="12">
        <f t="shared" si="6"/>
        <v>146</v>
      </c>
      <c r="X15" s="12">
        <f t="shared" si="6"/>
        <v>554</v>
      </c>
      <c r="Y15" s="12">
        <f t="shared" si="6"/>
        <v>769</v>
      </c>
      <c r="Z15" s="12">
        <f t="shared" si="6"/>
        <v>1240</v>
      </c>
      <c r="AA15" s="12">
        <f t="shared" si="6"/>
        <v>1415</v>
      </c>
      <c r="AB15" s="12">
        <f t="shared" si="6"/>
        <v>0</v>
      </c>
      <c r="AC15" s="12">
        <f t="shared" si="6"/>
        <v>0</v>
      </c>
      <c r="AD15" s="12">
        <f t="shared" si="6"/>
        <v>0</v>
      </c>
      <c r="AE15" s="12">
        <f t="shared" si="6"/>
        <v>0</v>
      </c>
      <c r="AF15" s="12">
        <f t="shared" si="6"/>
        <v>0</v>
      </c>
      <c r="AG15" s="12">
        <f t="shared" si="6"/>
        <v>0</v>
      </c>
      <c r="AH15" s="12">
        <f t="shared" si="6"/>
        <v>0</v>
      </c>
      <c r="AI15" s="12">
        <f t="shared" si="6"/>
        <v>0</v>
      </c>
      <c r="AJ15" s="12">
        <f t="shared" si="6"/>
        <v>0</v>
      </c>
      <c r="AK15" s="12">
        <f t="shared" si="6"/>
        <v>0</v>
      </c>
      <c r="AL15" s="12">
        <f t="shared" si="6"/>
        <v>0</v>
      </c>
      <c r="AM15" s="12">
        <f t="shared" si="6"/>
        <v>0</v>
      </c>
      <c r="AN15" s="12">
        <f t="shared" si="6"/>
        <v>0</v>
      </c>
      <c r="AO15" s="12">
        <f t="shared" si="6"/>
        <v>0</v>
      </c>
      <c r="AP15" s="12">
        <f t="shared" si="6"/>
        <v>0</v>
      </c>
      <c r="AQ15" s="12">
        <f t="shared" si="6"/>
        <v>0</v>
      </c>
      <c r="AR15" s="12">
        <f t="shared" si="6"/>
        <v>0</v>
      </c>
      <c r="AS15" s="12">
        <f t="shared" si="6"/>
        <v>0</v>
      </c>
      <c r="AT15" s="12">
        <f t="shared" si="6"/>
        <v>0</v>
      </c>
      <c r="AU15" s="12">
        <f t="shared" si="6"/>
        <v>0</v>
      </c>
      <c r="AV15" s="12">
        <f t="shared" si="6"/>
        <v>696</v>
      </c>
    </row>
    <row r="16" spans="2:48">
      <c r="B16" s="12" t="s">
        <v>24</v>
      </c>
      <c r="C16" s="12">
        <f t="shared" ref="C16:AV16" si="7">IFERROR(ROUNDUP(C6/C$4*10^6,0),0)</f>
        <v>0</v>
      </c>
      <c r="D16" s="12">
        <f t="shared" si="7"/>
        <v>0</v>
      </c>
      <c r="E16" s="12">
        <f t="shared" si="7"/>
        <v>0</v>
      </c>
      <c r="F16" s="12">
        <f t="shared" si="7"/>
        <v>0</v>
      </c>
      <c r="G16" s="12">
        <f t="shared" si="7"/>
        <v>0</v>
      </c>
      <c r="H16" s="12">
        <f t="shared" si="7"/>
        <v>0</v>
      </c>
      <c r="I16" s="12">
        <f t="shared" si="7"/>
        <v>0</v>
      </c>
      <c r="J16" s="12">
        <f t="shared" si="7"/>
        <v>0</v>
      </c>
      <c r="K16" s="12">
        <f t="shared" si="7"/>
        <v>0</v>
      </c>
      <c r="L16" s="12">
        <f t="shared" si="7"/>
        <v>0</v>
      </c>
      <c r="M16" s="12">
        <f t="shared" si="7"/>
        <v>0</v>
      </c>
      <c r="N16" s="12">
        <f t="shared" si="7"/>
        <v>0</v>
      </c>
      <c r="O16" s="12">
        <f t="shared" si="7"/>
        <v>0</v>
      </c>
      <c r="P16" s="12">
        <f t="shared" si="7"/>
        <v>0</v>
      </c>
      <c r="Q16" s="12">
        <f t="shared" si="7"/>
        <v>0</v>
      </c>
      <c r="R16" s="12">
        <f t="shared" si="7"/>
        <v>0</v>
      </c>
      <c r="S16" s="12">
        <f t="shared" si="7"/>
        <v>0</v>
      </c>
      <c r="T16" s="12">
        <f t="shared" si="7"/>
        <v>0</v>
      </c>
      <c r="U16" s="12">
        <f t="shared" si="7"/>
        <v>0</v>
      </c>
      <c r="V16" s="12">
        <f t="shared" si="7"/>
        <v>0</v>
      </c>
      <c r="W16" s="12">
        <f t="shared" si="7"/>
        <v>0</v>
      </c>
      <c r="X16" s="12">
        <f t="shared" si="7"/>
        <v>0</v>
      </c>
      <c r="Y16" s="12">
        <f t="shared" si="7"/>
        <v>0</v>
      </c>
      <c r="Z16" s="12">
        <f t="shared" si="7"/>
        <v>0</v>
      </c>
      <c r="AA16" s="12">
        <f t="shared" si="7"/>
        <v>0</v>
      </c>
      <c r="AB16" s="12">
        <f t="shared" si="7"/>
        <v>0</v>
      </c>
      <c r="AC16" s="12">
        <f t="shared" si="7"/>
        <v>0</v>
      </c>
      <c r="AD16" s="12">
        <f t="shared" si="7"/>
        <v>0</v>
      </c>
      <c r="AE16" s="12">
        <f t="shared" si="7"/>
        <v>0</v>
      </c>
      <c r="AF16" s="12">
        <f t="shared" si="7"/>
        <v>0</v>
      </c>
      <c r="AG16" s="12">
        <f t="shared" si="7"/>
        <v>0</v>
      </c>
      <c r="AH16" s="12">
        <f t="shared" si="7"/>
        <v>0</v>
      </c>
      <c r="AI16" s="12">
        <f t="shared" si="7"/>
        <v>0</v>
      </c>
      <c r="AJ16" s="12">
        <f t="shared" si="7"/>
        <v>0</v>
      </c>
      <c r="AK16" s="12">
        <f t="shared" si="7"/>
        <v>0</v>
      </c>
      <c r="AL16" s="12">
        <f t="shared" si="7"/>
        <v>0</v>
      </c>
      <c r="AM16" s="12">
        <f t="shared" si="7"/>
        <v>0</v>
      </c>
      <c r="AN16" s="12">
        <f t="shared" si="7"/>
        <v>0</v>
      </c>
      <c r="AO16" s="12">
        <f t="shared" si="7"/>
        <v>0</v>
      </c>
      <c r="AP16" s="12">
        <f t="shared" si="7"/>
        <v>0</v>
      </c>
      <c r="AQ16" s="12">
        <f t="shared" si="7"/>
        <v>0</v>
      </c>
      <c r="AR16" s="12">
        <f t="shared" si="7"/>
        <v>0</v>
      </c>
      <c r="AS16" s="12">
        <f t="shared" si="7"/>
        <v>0</v>
      </c>
      <c r="AT16" s="12">
        <f t="shared" si="7"/>
        <v>0</v>
      </c>
      <c r="AU16" s="12">
        <f t="shared" si="7"/>
        <v>0</v>
      </c>
      <c r="AV16" s="12">
        <f t="shared" si="7"/>
        <v>0</v>
      </c>
    </row>
    <row r="17" spans="2:48">
      <c r="B17" s="12" t="s">
        <v>27</v>
      </c>
      <c r="C17" s="12">
        <f t="shared" ref="C17:AV17" si="8">IFERROR(ROUNDUP(C7/C$4*10^6,0),0)</f>
        <v>87</v>
      </c>
      <c r="D17" s="12">
        <f t="shared" si="8"/>
        <v>0</v>
      </c>
      <c r="E17" s="12">
        <f t="shared" si="8"/>
        <v>0</v>
      </c>
      <c r="F17" s="12">
        <f t="shared" si="8"/>
        <v>0</v>
      </c>
      <c r="G17" s="12">
        <f t="shared" si="8"/>
        <v>0</v>
      </c>
      <c r="H17" s="12">
        <f t="shared" si="8"/>
        <v>0</v>
      </c>
      <c r="I17" s="12">
        <f t="shared" si="8"/>
        <v>0</v>
      </c>
      <c r="J17" s="12">
        <f t="shared" si="8"/>
        <v>0</v>
      </c>
      <c r="K17" s="12">
        <f t="shared" si="8"/>
        <v>0</v>
      </c>
      <c r="L17" s="12">
        <f t="shared" si="8"/>
        <v>0</v>
      </c>
      <c r="M17" s="12">
        <f t="shared" si="8"/>
        <v>0</v>
      </c>
      <c r="N17" s="12">
        <f t="shared" si="8"/>
        <v>0</v>
      </c>
      <c r="O17" s="12">
        <f t="shared" si="8"/>
        <v>0</v>
      </c>
      <c r="P17" s="12">
        <f t="shared" si="8"/>
        <v>0</v>
      </c>
      <c r="Q17" s="12">
        <f t="shared" si="8"/>
        <v>0</v>
      </c>
      <c r="R17" s="12">
        <f t="shared" si="8"/>
        <v>0</v>
      </c>
      <c r="S17" s="12">
        <f t="shared" si="8"/>
        <v>0</v>
      </c>
      <c r="T17" s="12">
        <f t="shared" si="8"/>
        <v>0</v>
      </c>
      <c r="U17" s="12">
        <f t="shared" si="8"/>
        <v>0</v>
      </c>
      <c r="V17" s="12">
        <f t="shared" si="8"/>
        <v>0</v>
      </c>
      <c r="W17" s="12">
        <f t="shared" si="8"/>
        <v>0</v>
      </c>
      <c r="X17" s="12">
        <f t="shared" si="8"/>
        <v>185</v>
      </c>
      <c r="Y17" s="12">
        <f t="shared" si="8"/>
        <v>330</v>
      </c>
      <c r="Z17" s="12">
        <f t="shared" si="8"/>
        <v>89</v>
      </c>
      <c r="AA17" s="12">
        <f t="shared" si="8"/>
        <v>0</v>
      </c>
      <c r="AB17" s="12">
        <f t="shared" si="8"/>
        <v>0</v>
      </c>
      <c r="AC17" s="12">
        <f t="shared" si="8"/>
        <v>0</v>
      </c>
      <c r="AD17" s="12">
        <f t="shared" si="8"/>
        <v>0</v>
      </c>
      <c r="AE17" s="12">
        <f t="shared" si="8"/>
        <v>0</v>
      </c>
      <c r="AF17" s="12">
        <f t="shared" si="8"/>
        <v>0</v>
      </c>
      <c r="AG17" s="12">
        <f t="shared" si="8"/>
        <v>0</v>
      </c>
      <c r="AH17" s="12">
        <f t="shared" si="8"/>
        <v>0</v>
      </c>
      <c r="AI17" s="12">
        <f t="shared" si="8"/>
        <v>0</v>
      </c>
      <c r="AJ17" s="12">
        <f t="shared" si="8"/>
        <v>0</v>
      </c>
      <c r="AK17" s="12">
        <f t="shared" si="8"/>
        <v>0</v>
      </c>
      <c r="AL17" s="12">
        <f t="shared" si="8"/>
        <v>0</v>
      </c>
      <c r="AM17" s="12">
        <f t="shared" si="8"/>
        <v>0</v>
      </c>
      <c r="AN17" s="12">
        <f t="shared" si="8"/>
        <v>0</v>
      </c>
      <c r="AO17" s="12">
        <f t="shared" si="8"/>
        <v>0</v>
      </c>
      <c r="AP17" s="12">
        <f t="shared" si="8"/>
        <v>0</v>
      </c>
      <c r="AQ17" s="12">
        <f t="shared" si="8"/>
        <v>0</v>
      </c>
      <c r="AR17" s="12">
        <f t="shared" si="8"/>
        <v>0</v>
      </c>
      <c r="AS17" s="12">
        <f t="shared" si="8"/>
        <v>0</v>
      </c>
      <c r="AT17" s="12">
        <f t="shared" si="8"/>
        <v>0</v>
      </c>
      <c r="AU17" s="12">
        <f t="shared" si="8"/>
        <v>0</v>
      </c>
      <c r="AV17" s="12">
        <f t="shared" si="8"/>
        <v>87</v>
      </c>
    </row>
    <row r="18" spans="2:48">
      <c r="B18" s="12" t="s">
        <v>25</v>
      </c>
      <c r="C18" s="12">
        <f t="shared" ref="C18:AV18" si="9">IFERROR(ROUNDUP(C8/C$4*10^6,0),0)</f>
        <v>0</v>
      </c>
      <c r="D18" s="12">
        <f t="shared" si="9"/>
        <v>0</v>
      </c>
      <c r="E18" s="12">
        <f t="shared" si="9"/>
        <v>0</v>
      </c>
      <c r="F18" s="12">
        <f t="shared" si="9"/>
        <v>0</v>
      </c>
      <c r="G18" s="12">
        <f t="shared" si="9"/>
        <v>0</v>
      </c>
      <c r="H18" s="12">
        <f t="shared" si="9"/>
        <v>0</v>
      </c>
      <c r="I18" s="12">
        <f t="shared" si="9"/>
        <v>0</v>
      </c>
      <c r="J18" s="12">
        <f t="shared" si="9"/>
        <v>0</v>
      </c>
      <c r="K18" s="12">
        <f t="shared" si="9"/>
        <v>0</v>
      </c>
      <c r="L18" s="12">
        <f t="shared" si="9"/>
        <v>0</v>
      </c>
      <c r="M18" s="12">
        <f t="shared" si="9"/>
        <v>0</v>
      </c>
      <c r="N18" s="12">
        <f t="shared" si="9"/>
        <v>0</v>
      </c>
      <c r="O18" s="12">
        <f t="shared" si="9"/>
        <v>0</v>
      </c>
      <c r="P18" s="12">
        <f t="shared" si="9"/>
        <v>0</v>
      </c>
      <c r="Q18" s="12">
        <f t="shared" si="9"/>
        <v>0</v>
      </c>
      <c r="R18" s="12">
        <f t="shared" si="9"/>
        <v>0</v>
      </c>
      <c r="S18" s="12">
        <f t="shared" si="9"/>
        <v>0</v>
      </c>
      <c r="T18" s="12">
        <f t="shared" si="9"/>
        <v>0</v>
      </c>
      <c r="U18" s="12">
        <f t="shared" si="9"/>
        <v>0</v>
      </c>
      <c r="V18" s="12">
        <f t="shared" si="9"/>
        <v>0</v>
      </c>
      <c r="W18" s="12">
        <f t="shared" si="9"/>
        <v>0</v>
      </c>
      <c r="X18" s="12">
        <f t="shared" si="9"/>
        <v>0</v>
      </c>
      <c r="Y18" s="12">
        <f t="shared" si="9"/>
        <v>0</v>
      </c>
      <c r="Z18" s="12">
        <f t="shared" si="9"/>
        <v>0</v>
      </c>
      <c r="AA18" s="12">
        <f t="shared" si="9"/>
        <v>0</v>
      </c>
      <c r="AB18" s="12">
        <f t="shared" si="9"/>
        <v>0</v>
      </c>
      <c r="AC18" s="12">
        <f t="shared" si="9"/>
        <v>0</v>
      </c>
      <c r="AD18" s="12">
        <f t="shared" si="9"/>
        <v>0</v>
      </c>
      <c r="AE18" s="12">
        <f t="shared" si="9"/>
        <v>0</v>
      </c>
      <c r="AF18" s="12">
        <f t="shared" si="9"/>
        <v>0</v>
      </c>
      <c r="AG18" s="12">
        <f t="shared" si="9"/>
        <v>0</v>
      </c>
      <c r="AH18" s="12">
        <f t="shared" si="9"/>
        <v>0</v>
      </c>
      <c r="AI18" s="12">
        <f t="shared" si="9"/>
        <v>0</v>
      </c>
      <c r="AJ18" s="12">
        <f t="shared" si="9"/>
        <v>0</v>
      </c>
      <c r="AK18" s="12">
        <f t="shared" si="9"/>
        <v>0</v>
      </c>
      <c r="AL18" s="12">
        <f t="shared" si="9"/>
        <v>0</v>
      </c>
      <c r="AM18" s="12">
        <f t="shared" si="9"/>
        <v>0</v>
      </c>
      <c r="AN18" s="12">
        <f t="shared" si="9"/>
        <v>0</v>
      </c>
      <c r="AO18" s="12">
        <f t="shared" si="9"/>
        <v>0</v>
      </c>
      <c r="AP18" s="12">
        <f t="shared" si="9"/>
        <v>0</v>
      </c>
      <c r="AQ18" s="12">
        <f t="shared" si="9"/>
        <v>0</v>
      </c>
      <c r="AR18" s="12">
        <f t="shared" si="9"/>
        <v>0</v>
      </c>
      <c r="AS18" s="12">
        <f t="shared" si="9"/>
        <v>0</v>
      </c>
      <c r="AT18" s="12">
        <f t="shared" si="9"/>
        <v>0</v>
      </c>
      <c r="AU18" s="12">
        <f t="shared" si="9"/>
        <v>0</v>
      </c>
      <c r="AV18" s="12">
        <f t="shared" si="9"/>
        <v>0</v>
      </c>
    </row>
    <row r="19" spans="2:48">
      <c r="B19" s="12" t="s">
        <v>26</v>
      </c>
      <c r="C19" s="12">
        <f t="shared" ref="C19:AV19" si="10">IFERROR(ROUNDUP(C9/C$4*10^6,0),0)</f>
        <v>366</v>
      </c>
      <c r="D19" s="12">
        <f t="shared" si="10"/>
        <v>0</v>
      </c>
      <c r="E19" s="12">
        <f t="shared" si="10"/>
        <v>0</v>
      </c>
      <c r="F19" s="12">
        <f t="shared" si="10"/>
        <v>0</v>
      </c>
      <c r="G19" s="12">
        <f t="shared" si="10"/>
        <v>0</v>
      </c>
      <c r="H19" s="12">
        <f t="shared" si="10"/>
        <v>0</v>
      </c>
      <c r="I19" s="12">
        <f t="shared" si="10"/>
        <v>0</v>
      </c>
      <c r="J19" s="12">
        <f t="shared" si="10"/>
        <v>0</v>
      </c>
      <c r="K19" s="12">
        <f t="shared" si="10"/>
        <v>0</v>
      </c>
      <c r="L19" s="12">
        <f t="shared" si="10"/>
        <v>0</v>
      </c>
      <c r="M19" s="12">
        <f t="shared" si="10"/>
        <v>0</v>
      </c>
      <c r="N19" s="12">
        <f t="shared" si="10"/>
        <v>0</v>
      </c>
      <c r="O19" s="12">
        <f t="shared" si="10"/>
        <v>0</v>
      </c>
      <c r="P19" s="12">
        <f t="shared" si="10"/>
        <v>0</v>
      </c>
      <c r="Q19" s="12">
        <f t="shared" si="10"/>
        <v>0</v>
      </c>
      <c r="R19" s="12">
        <f t="shared" si="10"/>
        <v>0</v>
      </c>
      <c r="S19" s="12">
        <f t="shared" si="10"/>
        <v>0</v>
      </c>
      <c r="T19" s="12">
        <f t="shared" si="10"/>
        <v>0</v>
      </c>
      <c r="U19" s="12">
        <f t="shared" si="10"/>
        <v>0</v>
      </c>
      <c r="V19" s="12">
        <f t="shared" si="10"/>
        <v>0</v>
      </c>
      <c r="W19" s="12">
        <f t="shared" si="10"/>
        <v>0</v>
      </c>
      <c r="X19" s="12">
        <f t="shared" si="10"/>
        <v>0</v>
      </c>
      <c r="Y19" s="12">
        <f t="shared" si="10"/>
        <v>330</v>
      </c>
      <c r="Z19" s="12">
        <f t="shared" si="10"/>
        <v>620</v>
      </c>
      <c r="AA19" s="12">
        <f t="shared" si="10"/>
        <v>1112</v>
      </c>
      <c r="AB19" s="12">
        <f t="shared" si="10"/>
        <v>0</v>
      </c>
      <c r="AC19" s="12">
        <f t="shared" si="10"/>
        <v>0</v>
      </c>
      <c r="AD19" s="12">
        <f t="shared" si="10"/>
        <v>0</v>
      </c>
      <c r="AE19" s="12">
        <f t="shared" si="10"/>
        <v>0</v>
      </c>
      <c r="AF19" s="12">
        <f t="shared" si="10"/>
        <v>0</v>
      </c>
      <c r="AG19" s="12">
        <f t="shared" si="10"/>
        <v>0</v>
      </c>
      <c r="AH19" s="12">
        <f t="shared" si="10"/>
        <v>0</v>
      </c>
      <c r="AI19" s="12">
        <f t="shared" si="10"/>
        <v>0</v>
      </c>
      <c r="AJ19" s="12">
        <f t="shared" si="10"/>
        <v>0</v>
      </c>
      <c r="AK19" s="12">
        <f t="shared" si="10"/>
        <v>0</v>
      </c>
      <c r="AL19" s="12">
        <f t="shared" si="10"/>
        <v>0</v>
      </c>
      <c r="AM19" s="12">
        <f t="shared" si="10"/>
        <v>0</v>
      </c>
      <c r="AN19" s="12">
        <f t="shared" si="10"/>
        <v>0</v>
      </c>
      <c r="AO19" s="12">
        <f t="shared" si="10"/>
        <v>0</v>
      </c>
      <c r="AP19" s="12">
        <f t="shared" si="10"/>
        <v>0</v>
      </c>
      <c r="AQ19" s="12">
        <f t="shared" si="10"/>
        <v>0</v>
      </c>
      <c r="AR19" s="12">
        <f t="shared" si="10"/>
        <v>0</v>
      </c>
      <c r="AS19" s="12">
        <f t="shared" si="10"/>
        <v>0</v>
      </c>
      <c r="AT19" s="12">
        <f t="shared" si="10"/>
        <v>0</v>
      </c>
      <c r="AU19" s="12">
        <f t="shared" si="10"/>
        <v>0</v>
      </c>
      <c r="AV19" s="12">
        <f t="shared" si="10"/>
        <v>366</v>
      </c>
    </row>
    <row r="20" spans="2:48">
      <c r="B20" s="12" t="s">
        <v>965</v>
      </c>
      <c r="C20" s="12">
        <f t="shared" ref="C20:AV20" si="11">IFERROR(ROUNDUP(C10/C$4*10^6,0),0)</f>
        <v>244</v>
      </c>
      <c r="D20" s="12">
        <f t="shared" si="11"/>
        <v>0</v>
      </c>
      <c r="E20" s="12">
        <f t="shared" si="11"/>
        <v>0</v>
      </c>
      <c r="F20" s="12">
        <f t="shared" si="11"/>
        <v>0</v>
      </c>
      <c r="G20" s="12">
        <f t="shared" si="11"/>
        <v>0</v>
      </c>
      <c r="H20" s="12">
        <f t="shared" si="11"/>
        <v>0</v>
      </c>
      <c r="I20" s="12">
        <f t="shared" si="11"/>
        <v>0</v>
      </c>
      <c r="J20" s="12">
        <f t="shared" si="11"/>
        <v>0</v>
      </c>
      <c r="K20" s="12">
        <f t="shared" si="11"/>
        <v>0</v>
      </c>
      <c r="L20" s="12">
        <f t="shared" si="11"/>
        <v>0</v>
      </c>
      <c r="M20" s="12">
        <f t="shared" si="11"/>
        <v>0</v>
      </c>
      <c r="N20" s="12">
        <f t="shared" si="11"/>
        <v>0</v>
      </c>
      <c r="O20" s="12">
        <f t="shared" si="11"/>
        <v>0</v>
      </c>
      <c r="P20" s="12">
        <f t="shared" si="11"/>
        <v>0</v>
      </c>
      <c r="Q20" s="12">
        <f t="shared" si="11"/>
        <v>0</v>
      </c>
      <c r="R20" s="12">
        <f t="shared" si="11"/>
        <v>0</v>
      </c>
      <c r="S20" s="12">
        <f t="shared" si="11"/>
        <v>0</v>
      </c>
      <c r="T20" s="12">
        <f t="shared" si="11"/>
        <v>0</v>
      </c>
      <c r="U20" s="12">
        <f t="shared" si="11"/>
        <v>0</v>
      </c>
      <c r="V20" s="12">
        <f t="shared" si="11"/>
        <v>171</v>
      </c>
      <c r="W20" s="12">
        <f t="shared" si="11"/>
        <v>146</v>
      </c>
      <c r="X20" s="12">
        <f t="shared" si="11"/>
        <v>370</v>
      </c>
      <c r="Y20" s="12">
        <f t="shared" si="11"/>
        <v>110</v>
      </c>
      <c r="Z20" s="12">
        <f t="shared" si="11"/>
        <v>532</v>
      </c>
      <c r="AA20" s="12">
        <f t="shared" si="11"/>
        <v>304</v>
      </c>
      <c r="AB20" s="12">
        <f t="shared" si="11"/>
        <v>0</v>
      </c>
      <c r="AC20" s="12">
        <f t="shared" si="11"/>
        <v>0</v>
      </c>
      <c r="AD20" s="12">
        <f t="shared" si="11"/>
        <v>0</v>
      </c>
      <c r="AE20" s="12">
        <f t="shared" si="11"/>
        <v>0</v>
      </c>
      <c r="AF20" s="12">
        <f t="shared" si="11"/>
        <v>0</v>
      </c>
      <c r="AG20" s="12">
        <f t="shared" si="11"/>
        <v>0</v>
      </c>
      <c r="AH20" s="12">
        <f t="shared" si="11"/>
        <v>0</v>
      </c>
      <c r="AI20" s="12">
        <f t="shared" si="11"/>
        <v>0</v>
      </c>
      <c r="AJ20" s="12">
        <f t="shared" si="11"/>
        <v>0</v>
      </c>
      <c r="AK20" s="12">
        <f t="shared" si="11"/>
        <v>0</v>
      </c>
      <c r="AL20" s="12">
        <f t="shared" si="11"/>
        <v>0</v>
      </c>
      <c r="AM20" s="12">
        <f t="shared" si="11"/>
        <v>0</v>
      </c>
      <c r="AN20" s="12">
        <f t="shared" si="11"/>
        <v>0</v>
      </c>
      <c r="AO20" s="12">
        <f t="shared" si="11"/>
        <v>0</v>
      </c>
      <c r="AP20" s="12">
        <f t="shared" si="11"/>
        <v>0</v>
      </c>
      <c r="AQ20" s="12">
        <f t="shared" si="11"/>
        <v>0</v>
      </c>
      <c r="AR20" s="12">
        <f t="shared" si="11"/>
        <v>0</v>
      </c>
      <c r="AS20" s="12">
        <f t="shared" si="11"/>
        <v>0</v>
      </c>
      <c r="AT20" s="12">
        <f t="shared" si="11"/>
        <v>0</v>
      </c>
      <c r="AU20" s="12">
        <f t="shared" si="11"/>
        <v>0</v>
      </c>
      <c r="AV20" s="12">
        <f t="shared" si="11"/>
        <v>244</v>
      </c>
    </row>
  </sheetData>
  <phoneticPr fontId="6" type="noConversion"/>
  <conditionalFormatting sqref="A4:AW10 AY4:XFD10">
    <cfRule type="cellIs" dxfId="1" priority="2" operator="equal">
      <formula>0</formula>
    </cfRule>
  </conditionalFormatting>
  <conditionalFormatting sqref="A14:AW20 AY14:XFD20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C05C7-9978-47AC-9059-7BA36A2FA2B6}">
  <sheetPr codeName="Sheet4"/>
  <dimension ref="A1:P50"/>
  <sheetViews>
    <sheetView tabSelected="1" zoomScale="85" zoomScaleNormal="85" workbookViewId="0">
      <selection activeCell="L22" sqref="L22"/>
    </sheetView>
  </sheetViews>
  <sheetFormatPr defaultRowHeight="14.5"/>
  <cols>
    <col min="1" max="1" width="2.90625" customWidth="1"/>
    <col min="2" max="2" width="9.453125" customWidth="1"/>
    <col min="11" max="11" width="15.6328125" customWidth="1"/>
    <col min="12" max="12" width="8.7265625" customWidth="1"/>
    <col min="22" max="22" width="15.6328125" customWidth="1"/>
  </cols>
  <sheetData>
    <row r="1" spans="1:15">
      <c r="A1" s="8" t="str">
        <f>D2&amp; " WW Pmod SMLD"</f>
        <v>FY21 WW Pmod SMLD</v>
      </c>
      <c r="D1" s="18" t="s">
        <v>1019</v>
      </c>
      <c r="E1" s="19" t="s">
        <v>1020</v>
      </c>
      <c r="M1" s="18" t="s">
        <v>1019</v>
      </c>
      <c r="N1" s="19" t="s">
        <v>1020</v>
      </c>
      <c r="O1" s="19" t="s">
        <v>1650</v>
      </c>
    </row>
    <row r="2" spans="1:15">
      <c r="D2" s="20" t="s">
        <v>960</v>
      </c>
      <c r="E2" s="21">
        <v>2201</v>
      </c>
      <c r="M2" s="20" t="s">
        <v>960</v>
      </c>
      <c r="N2" s="21">
        <v>2201</v>
      </c>
      <c r="O2" s="21" t="s">
        <v>67</v>
      </c>
    </row>
    <row r="3" spans="1:15">
      <c r="B3" s="15"/>
      <c r="C3" s="2"/>
    </row>
    <row r="25" spans="2:16">
      <c r="B25" s="18" t="s">
        <v>1019</v>
      </c>
      <c r="C25" s="19" t="s">
        <v>1020</v>
      </c>
      <c r="D25" s="19" t="s">
        <v>6</v>
      </c>
      <c r="M25" s="18" t="s">
        <v>1019</v>
      </c>
      <c r="N25" s="19" t="s">
        <v>1020</v>
      </c>
      <c r="O25" s="19" t="s">
        <v>6</v>
      </c>
      <c r="P25" s="19" t="s">
        <v>1650</v>
      </c>
    </row>
    <row r="26" spans="2:16">
      <c r="B26" s="20" t="s">
        <v>960</v>
      </c>
      <c r="C26" s="21">
        <v>2201</v>
      </c>
      <c r="D26" s="21" t="s">
        <v>26</v>
      </c>
      <c r="M26" s="20" t="s">
        <v>960</v>
      </c>
      <c r="N26" s="21">
        <v>2201</v>
      </c>
      <c r="O26" s="21" t="s">
        <v>965</v>
      </c>
      <c r="P26" s="21" t="s">
        <v>52</v>
      </c>
    </row>
    <row r="49" spans="2:5">
      <c r="B49" s="18" t="s">
        <v>1019</v>
      </c>
      <c r="C49" s="19" t="s">
        <v>1020</v>
      </c>
      <c r="D49" s="19" t="s">
        <v>1650</v>
      </c>
      <c r="E49" s="30" t="s">
        <v>19</v>
      </c>
    </row>
    <row r="50" spans="2:5">
      <c r="B50" s="20" t="s">
        <v>960</v>
      </c>
      <c r="C50" s="21">
        <v>2201</v>
      </c>
      <c r="D50" s="21" t="s">
        <v>53</v>
      </c>
      <c r="E50" s="21" t="s">
        <v>28</v>
      </c>
    </row>
  </sheetData>
  <phoneticPr fontId="7" type="noConversion"/>
  <dataValidations count="4">
    <dataValidation type="list" allowBlank="1" showInputMessage="1" showErrorMessage="1" sqref="B50 D2 M2 B26 M26" xr:uid="{BBFF73F2-4C77-47A5-9271-32BF6C83194C}">
      <formula1>tbl_FYMod</formula1>
    </dataValidation>
    <dataValidation type="list" allowBlank="1" showInputMessage="1" showErrorMessage="1" sqref="P26 D50 O2" xr:uid="{FC11E2DA-8387-4F6F-96A2-826A6F4891A4}">
      <formula1>tbl_Pmod</formula1>
    </dataValidation>
    <dataValidation type="list" allowBlank="1" showInputMessage="1" showErrorMessage="1" sqref="O26 D26" xr:uid="{6AFB056A-F20E-4621-A20B-8B941F6A436F}">
      <formula1>tbl_TVPlant</formula1>
    </dataValidation>
    <dataValidation type="list" allowBlank="1" showInputMessage="1" showErrorMessage="1" sqref="E50" xr:uid="{201E5FCC-D0D1-4307-B1FA-D10D85305EB4}">
      <formula1>tbl_Classify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_src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43662-D7FA-4ABD-96AF-A03762413961}">
  <sheetPr codeName="Sheet5"/>
  <dimension ref="A1:D22"/>
  <sheetViews>
    <sheetView workbookViewId="0">
      <selection activeCell="A4" sqref="A4"/>
    </sheetView>
  </sheetViews>
  <sheetFormatPr defaultRowHeight="14.5"/>
  <cols>
    <col min="4" max="4" width="9.453125" bestFit="1" customWidth="1"/>
  </cols>
  <sheetData>
    <row r="1" spans="1:4">
      <c r="A1" t="s">
        <v>1019</v>
      </c>
      <c r="B1" t="s">
        <v>1650</v>
      </c>
      <c r="C1" t="s">
        <v>6</v>
      </c>
      <c r="D1" t="s">
        <v>19</v>
      </c>
    </row>
    <row r="2" spans="1:4">
      <c r="A2" t="s">
        <v>961</v>
      </c>
      <c r="B2" s="26" t="s">
        <v>1022</v>
      </c>
      <c r="C2" t="s">
        <v>24</v>
      </c>
      <c r="D2" s="2" t="s">
        <v>991</v>
      </c>
    </row>
    <row r="3" spans="1:4">
      <c r="A3" t="s">
        <v>960</v>
      </c>
      <c r="B3" s="26" t="s">
        <v>58</v>
      </c>
      <c r="C3" t="s">
        <v>27</v>
      </c>
      <c r="D3" s="2" t="s">
        <v>957</v>
      </c>
    </row>
    <row r="4" spans="1:4">
      <c r="A4" t="s">
        <v>1025</v>
      </c>
      <c r="B4" s="26" t="s">
        <v>69</v>
      </c>
      <c r="C4" t="s">
        <v>25</v>
      </c>
      <c r="D4" s="2" t="s">
        <v>955</v>
      </c>
    </row>
    <row r="5" spans="1:4">
      <c r="B5" s="26" t="s">
        <v>61</v>
      </c>
      <c r="C5" t="s">
        <v>26</v>
      </c>
      <c r="D5" s="2" t="s">
        <v>953</v>
      </c>
    </row>
    <row r="6" spans="1:4">
      <c r="B6" s="26" t="s">
        <v>56</v>
      </c>
      <c r="C6" t="s">
        <v>965</v>
      </c>
      <c r="D6" s="2" t="s">
        <v>954</v>
      </c>
    </row>
    <row r="7" spans="1:4">
      <c r="B7" s="26" t="s">
        <v>52</v>
      </c>
      <c r="D7" s="2" t="s">
        <v>956</v>
      </c>
    </row>
    <row r="8" spans="1:4">
      <c r="B8" s="26" t="s">
        <v>54</v>
      </c>
      <c r="D8" s="2" t="s">
        <v>992</v>
      </c>
    </row>
    <row r="9" spans="1:4">
      <c r="B9" s="26" t="s">
        <v>53</v>
      </c>
      <c r="D9" s="2" t="s">
        <v>950</v>
      </c>
    </row>
    <row r="10" spans="1:4">
      <c r="B10" s="26" t="s">
        <v>66</v>
      </c>
      <c r="D10" s="2" t="s">
        <v>993</v>
      </c>
    </row>
    <row r="11" spans="1:4">
      <c r="B11" s="26" t="s">
        <v>60</v>
      </c>
      <c r="D11" s="2" t="s">
        <v>949</v>
      </c>
    </row>
    <row r="12" spans="1:4">
      <c r="B12" s="26" t="s">
        <v>70</v>
      </c>
      <c r="D12" s="2" t="s">
        <v>28</v>
      </c>
    </row>
    <row r="13" spans="1:4">
      <c r="B13" s="26" t="s">
        <v>59</v>
      </c>
      <c r="D13" s="2" t="s">
        <v>994</v>
      </c>
    </row>
    <row r="14" spans="1:4">
      <c r="B14" s="26" t="s">
        <v>62</v>
      </c>
      <c r="D14" s="2" t="s">
        <v>891</v>
      </c>
    </row>
    <row r="15" spans="1:4">
      <c r="B15" s="26" t="s">
        <v>65</v>
      </c>
      <c r="D15" s="3" t="s">
        <v>995</v>
      </c>
    </row>
    <row r="16" spans="1:4">
      <c r="B16" s="26" t="s">
        <v>67</v>
      </c>
      <c r="D16" s="3" t="s">
        <v>952</v>
      </c>
    </row>
    <row r="17" spans="2:4">
      <c r="B17" s="26" t="s">
        <v>55</v>
      </c>
      <c r="D17" s="3" t="s">
        <v>948</v>
      </c>
    </row>
    <row r="18" spans="2:4">
      <c r="B18" s="26" t="s">
        <v>68</v>
      </c>
      <c r="D18" s="3" t="s">
        <v>959</v>
      </c>
    </row>
    <row r="19" spans="2:4">
      <c r="B19" s="26" t="s">
        <v>57</v>
      </c>
      <c r="D19" s="3" t="s">
        <v>951</v>
      </c>
    </row>
    <row r="20" spans="2:4">
      <c r="B20" s="26" t="s">
        <v>64</v>
      </c>
      <c r="D20" s="3" t="s">
        <v>996</v>
      </c>
    </row>
    <row r="21" spans="2:4">
      <c r="B21" s="26" t="s">
        <v>63</v>
      </c>
    </row>
    <row r="22" spans="2:4">
      <c r="B22" s="26" t="s">
        <v>1023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</vt:i4>
      </vt:variant>
    </vt:vector>
  </HeadingPairs>
  <TitlesOfParts>
    <vt:vector size="19" baseType="lpstr">
      <vt:lpstr>PivotTable</vt:lpstr>
      <vt:lpstr>defects</vt:lpstr>
      <vt:lpstr>inputs</vt:lpstr>
      <vt:lpstr>Weekly_Pmod</vt:lpstr>
      <vt:lpstr>Monthly_Pmod</vt:lpstr>
      <vt:lpstr>Weekly_TVPlantPmod</vt:lpstr>
      <vt:lpstr>Monthly_TVPlantPmod</vt:lpstr>
      <vt:lpstr>Weekly_TVPlant</vt:lpstr>
      <vt:lpstr>Monthly_TVPlant</vt:lpstr>
      <vt:lpstr>Weekly_All</vt:lpstr>
      <vt:lpstr>Monthly_All</vt:lpstr>
      <vt:lpstr>Weekly_PmodClassify</vt:lpstr>
      <vt:lpstr>Monthly_PmodClassify</vt:lpstr>
      <vt:lpstr>Report</vt:lpstr>
      <vt:lpstr>Ref</vt:lpstr>
      <vt:lpstr>tbl_Classify</vt:lpstr>
      <vt:lpstr>tbl_FYMod</vt:lpstr>
      <vt:lpstr>tbl_Pmod</vt:lpstr>
      <vt:lpstr>tbl_TVPlant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Zhang, Liang (SSVE)</dc:creator>
  <cp:lastModifiedBy>Zhang, Liang (SSV)</cp:lastModifiedBy>
  <dcterms:created xsi:type="dcterms:W3CDTF">2021-08-24T04:46:18Z</dcterms:created>
  <dcterms:modified xsi:type="dcterms:W3CDTF">2022-01-07T11:17:14Z</dcterms:modified>
</cp:coreProperties>
</file>