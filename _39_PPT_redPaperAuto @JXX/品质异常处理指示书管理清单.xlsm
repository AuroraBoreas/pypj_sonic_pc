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j_00_codelib\2019_vbpj\_39_PPT_redPaperAuto @JXX\"/>
    </mc:Choice>
  </mc:AlternateContent>
  <xr:revisionPtr revIDLastSave="0" documentId="13_ncr:1_{11F00A87-02B4-4D98-9930-02823D76C484}" xr6:coauthVersionLast="34" xr6:coauthVersionMax="41" xr10:uidLastSave="{00000000-0000-0000-0000-000000000000}"/>
  <bookViews>
    <workbookView xWindow="-120" yWindow="-120" windowWidth="20730" windowHeight="11160" activeTab="1" xr2:uid="{00000000-000D-0000-FFFF-FFFF00000000}"/>
  </bookViews>
  <sheets>
    <sheet name="FY20 QCD" sheetId="4" r:id="rId1"/>
    <sheet name="FY20 市场" sheetId="6" r:id="rId2"/>
  </sheets>
  <functionGroups builtInGroupCount="19"/>
  <definedNames>
    <definedName name="_xlnm._FilterDatabase" localSheetId="0" hidden="1">'FY20 QCD'!$A$2:$O$2</definedName>
    <definedName name="_xlnm._FilterDatabase" localSheetId="1" hidden="1">'FY20 市场'!$A$2:$V$22</definedName>
  </definedNames>
  <calcPr calcId="179021" refMode="R1C1"/>
</workbook>
</file>

<file path=xl/calcChain.xml><?xml version="1.0" encoding="utf-8"?>
<calcChain xmlns="http://schemas.openxmlformats.org/spreadsheetml/2006/main">
  <c r="U1" i="6" l="1"/>
  <c r="U11" i="6"/>
  <c r="U16" i="6"/>
  <c r="U14" i="6"/>
  <c r="U3" i="6"/>
  <c r="U9" i="6"/>
  <c r="U4" i="6"/>
  <c r="U18" i="6"/>
  <c r="U10" i="6"/>
  <c r="U15" i="6"/>
  <c r="U13" i="6"/>
  <c r="U19" i="6"/>
  <c r="U6" i="6"/>
  <c r="U17" i="6"/>
  <c r="U12" i="6"/>
  <c r="U7" i="6"/>
  <c r="U5" i="6"/>
  <c r="U8" i="6"/>
</calcChain>
</file>

<file path=xl/sharedStrings.xml><?xml version="1.0" encoding="utf-8"?>
<sst xmlns="http://schemas.openxmlformats.org/spreadsheetml/2006/main" count="103" uniqueCount="91">
  <si>
    <t>生产日期</t>
  </si>
  <si>
    <t>系列</t>
  </si>
  <si>
    <t>制番号</t>
  </si>
  <si>
    <t>机种</t>
  </si>
  <si>
    <t>问题点</t>
  </si>
  <si>
    <t>序号</t>
    <phoneticPr fontId="3" type="noConversion"/>
  </si>
  <si>
    <t>曾繁焱</t>
    <phoneticPr fontId="3" type="noConversion"/>
  </si>
  <si>
    <t>检查员</t>
    <phoneticPr fontId="3" type="noConversion"/>
  </si>
  <si>
    <t>SLL</t>
    <phoneticPr fontId="2" type="noConversion"/>
  </si>
  <si>
    <t>KJ-43X8500G</t>
    <phoneticPr fontId="2" type="noConversion"/>
  </si>
  <si>
    <t>1797139~1797368</t>
    <phoneticPr fontId="2" type="noConversion"/>
  </si>
  <si>
    <t>武猛猛</t>
    <phoneticPr fontId="2" type="noConversion"/>
  </si>
  <si>
    <t>PE/徐卫东</t>
    <phoneticPr fontId="2" type="noConversion"/>
  </si>
  <si>
    <t>2020/6/3</t>
    <phoneticPr fontId="2" type="noConversion"/>
  </si>
  <si>
    <t>2020/6/22</t>
    <phoneticPr fontId="2" type="noConversion"/>
  </si>
  <si>
    <t>KJ-49X8500G</t>
    <phoneticPr fontId="2" type="noConversion"/>
  </si>
  <si>
    <t>屏发蓝</t>
    <phoneticPr fontId="2" type="noConversion"/>
  </si>
  <si>
    <t>1778467~1779133
1779134~1779288</t>
    <phoneticPr fontId="2" type="noConversion"/>
  </si>
  <si>
    <t>JIG</t>
    <phoneticPr fontId="2" type="noConversion"/>
  </si>
  <si>
    <t>黄世哲</t>
    <phoneticPr fontId="2" type="noConversion"/>
  </si>
  <si>
    <t>NH</t>
    <phoneticPr fontId="2" type="noConversion"/>
  </si>
  <si>
    <t>KJ-55X9500H</t>
    <phoneticPr fontId="2" type="noConversion"/>
  </si>
  <si>
    <t>张世全</t>
    <phoneticPr fontId="2" type="noConversion"/>
  </si>
  <si>
    <t>2020/7/16</t>
    <phoneticPr fontId="2" type="noConversion"/>
  </si>
  <si>
    <t>线体</t>
    <phoneticPr fontId="2" type="noConversion"/>
  </si>
  <si>
    <t>班次</t>
    <phoneticPr fontId="2" type="noConversion"/>
  </si>
  <si>
    <t>2020/7/17</t>
    <phoneticPr fontId="2" type="noConversion"/>
  </si>
  <si>
    <t>1814440~1814514</t>
    <phoneticPr fontId="2" type="noConversion"/>
  </si>
  <si>
    <t>KD-65X9500H</t>
    <phoneticPr fontId="2" type="noConversion"/>
  </si>
  <si>
    <t>1412096~14124882</t>
    <phoneticPr fontId="2" type="noConversion"/>
  </si>
  <si>
    <t xml:space="preserve">  护角漏放</t>
    <phoneticPr fontId="2" type="noConversion"/>
  </si>
  <si>
    <t>M5</t>
    <phoneticPr fontId="2" type="noConversion"/>
  </si>
  <si>
    <t>夜班</t>
    <phoneticPr fontId="2" type="noConversion"/>
  </si>
  <si>
    <t>2020/7/13</t>
    <phoneticPr fontId="2" type="noConversion"/>
  </si>
  <si>
    <t>2020/7/14</t>
    <phoneticPr fontId="2" type="noConversion"/>
  </si>
  <si>
    <t>后盖未安装到位</t>
    <phoneticPr fontId="2" type="noConversion"/>
  </si>
  <si>
    <t>早班</t>
    <phoneticPr fontId="2" type="noConversion"/>
  </si>
  <si>
    <t>A4</t>
    <phoneticPr fontId="2" type="noConversion"/>
  </si>
  <si>
    <t>A3</t>
    <phoneticPr fontId="2" type="noConversion"/>
  </si>
  <si>
    <t>老化2H后三无</t>
    <phoneticPr fontId="2" type="noConversion"/>
  </si>
  <si>
    <t>2020/7/15</t>
    <phoneticPr fontId="2" type="noConversion"/>
  </si>
  <si>
    <t>S1</t>
    <phoneticPr fontId="2" type="noConversion"/>
  </si>
  <si>
    <t>KJ-65X8000H</t>
    <phoneticPr fontId="2" type="noConversion"/>
  </si>
  <si>
    <t>NB</t>
    <phoneticPr fontId="2" type="noConversion"/>
  </si>
  <si>
    <t>标签歪</t>
    <phoneticPr fontId="2" type="noConversion"/>
  </si>
  <si>
    <t>1819252~1819523</t>
    <phoneticPr fontId="2" type="noConversion"/>
  </si>
  <si>
    <t>-</t>
    <phoneticPr fontId="2" type="noConversion"/>
  </si>
  <si>
    <t>2020/7/20</t>
    <phoneticPr fontId="2" type="noConversion"/>
  </si>
  <si>
    <t>2020/7/10</t>
    <phoneticPr fontId="2" type="noConversion"/>
  </si>
  <si>
    <t>2020/7/7</t>
    <phoneticPr fontId="2" type="noConversion"/>
  </si>
  <si>
    <t>不良机号</t>
    <phoneticPr fontId="2" type="noConversion"/>
  </si>
  <si>
    <t>1779134
1779264</t>
    <phoneticPr fontId="2" type="noConversion"/>
  </si>
  <si>
    <t>1412452
1412458</t>
    <phoneticPr fontId="2" type="noConversion"/>
  </si>
  <si>
    <t xml:space="preserve">制造/沈士芳 </t>
    <phoneticPr fontId="2" type="noConversion"/>
  </si>
  <si>
    <t>制造/廖丽</t>
    <phoneticPr fontId="2" type="noConversion"/>
  </si>
  <si>
    <t>制造/沈士芳</t>
    <phoneticPr fontId="2" type="noConversion"/>
  </si>
  <si>
    <t>责任担当</t>
    <phoneticPr fontId="2" type="noConversion"/>
  </si>
  <si>
    <t>发放日期</t>
    <phoneticPr fontId="2" type="noConversion"/>
  </si>
  <si>
    <t>QCD 品质异常处理指示书管理清单</t>
    <phoneticPr fontId="3" type="noConversion"/>
  </si>
  <si>
    <t>保留数量</t>
    <phoneticPr fontId="2" type="noConversion"/>
  </si>
  <si>
    <t>保留机号</t>
    <phoneticPr fontId="2" type="noConversion"/>
  </si>
  <si>
    <t>完成日期</t>
    <phoneticPr fontId="2" type="noConversion"/>
  </si>
  <si>
    <t>市场品质异常处理指示书管理清单</t>
    <phoneticPr fontId="3" type="noConversion"/>
  </si>
  <si>
    <t>2020/7/28</t>
    <phoneticPr fontId="2" type="noConversion"/>
  </si>
  <si>
    <t>标题</t>
    <phoneticPr fontId="2" type="noConversion"/>
  </si>
  <si>
    <t>Problem Details（不良症状）</t>
    <phoneticPr fontId="2" type="noConversion"/>
  </si>
  <si>
    <t>Red paper NO.</t>
  </si>
  <si>
    <t>problem Detail</t>
  </si>
  <si>
    <t>Occurred  Date</t>
  </si>
  <si>
    <t>Quantity</t>
  </si>
  <si>
    <t>Customer Status</t>
  </si>
  <si>
    <t xml:space="preserve">   Parts </t>
  </si>
  <si>
    <t>Model</t>
  </si>
  <si>
    <t>S/N  NO</t>
  </si>
  <si>
    <t xml:space="preserve"> SSV line</t>
  </si>
  <si>
    <t xml:space="preserve"> shift</t>
  </si>
  <si>
    <t>Found Plant</t>
  </si>
  <si>
    <t>Define the problem（定义问题）</t>
  </si>
  <si>
    <t>Define &amp; verify root cause（真因）</t>
  </si>
  <si>
    <t>Short-term corrective action（暫定対策）</t>
  </si>
  <si>
    <t>Permanent Corrective Action（恒久対策）</t>
  </si>
  <si>
    <t>Pictures（写真）</t>
  </si>
  <si>
    <t>-</t>
  </si>
  <si>
    <t>对策日</t>
    <phoneticPr fontId="3" type="noConversion"/>
  </si>
  <si>
    <t>对策天使</t>
    <phoneticPr fontId="3" type="noConversion"/>
  </si>
  <si>
    <t>对策跟踪</t>
    <phoneticPr fontId="3" type="noConversion"/>
  </si>
  <si>
    <t>2020.07.17</t>
  </si>
  <si>
    <t>2020.06.23</t>
  </si>
  <si>
    <t>2020.06.11</t>
  </si>
  <si>
    <t>1812571(NH55)_x000D_1816015(NH65)</t>
  </si>
  <si>
    <t>NB55:1818756_x000D_NB66:1814262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</si>
</sst>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;[Red]\(0\)"/>
  </numFmts>
  <fonts count="11">
    <font>
      <sz val="11"/>
      <color theme="1"/>
      <name val="Calibri"/>
      <family val="2"/>
      <scheme val="minor"/>
    </font>
    <font>
      <sz val="12"/>
      <name val="宋体"/>
      <family val="3"/>
      <charset val="134"/>
    </font>
    <font>
      <sz val="9"/>
      <name val="Calibri"/>
      <family val="3"/>
      <charset val="134"/>
      <scheme val="minor"/>
    </font>
    <font>
      <sz val="9"/>
      <name val="宋体"/>
      <family val="3"/>
      <charset val="134"/>
    </font>
    <font>
      <sz val="10"/>
      <name val="黑体"/>
      <family val="3"/>
      <charset val="134"/>
    </font>
    <font>
      <sz val="10"/>
      <color theme="1"/>
      <name val="黑体"/>
      <family val="3"/>
      <charset val="134"/>
    </font>
    <font>
      <b/>
      <sz val="10"/>
      <name val="黑体"/>
      <family val="3"/>
      <charset val="134"/>
    </font>
    <font>
      <b/>
      <sz val="10"/>
      <color theme="1"/>
      <name val="黑体"/>
      <family val="3"/>
      <charset val="134"/>
    </font>
    <font>
      <sz val="14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b/>
      <sz val="12"/>
      <color theme="0"/>
      <name val="黑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1" fillId="0" borderId="0">
      <alignment vertical="center"/>
    </xf>
  </cellStyleXfs>
  <cellXfs count="49">
    <xf numFmtId="0" fontId="0" fillId="0" borderId="0" xfId="0"/>
    <xf numFmtId="164" fontId="5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3" borderId="1" xfId="1" applyFont="1" applyFill="1" applyBorder="1" applyAlignment="1" applyProtection="1">
      <alignment horizontal="center" vertical="center" wrapText="1"/>
      <protection locked="0"/>
    </xf>
    <xf numFmtId="164" fontId="4" fillId="3" borderId="1" xfId="3" applyNumberFormat="1" applyFont="1" applyFill="1" applyBorder="1" applyAlignment="1" applyProtection="1">
      <alignment horizontal="center" vertical="center" wrapText="1"/>
    </xf>
    <xf numFmtId="17" fontId="4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4" fillId="3" borderId="1" xfId="3" applyFont="1" applyFill="1" applyBorder="1" applyAlignment="1" applyProtection="1">
      <alignment horizontal="center" vertical="center" wrapText="1"/>
      <protection locked="0"/>
    </xf>
    <xf numFmtId="49" fontId="4" fillId="0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4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164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0" fontId="4" fillId="4" borderId="1" xfId="2" applyFont="1" applyFill="1" applyBorder="1" applyAlignment="1" applyProtection="1">
      <alignment horizontal="center" vertical="center" wrapText="1"/>
      <protection locked="0"/>
    </xf>
    <xf numFmtId="164" fontId="5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1" applyFont="1" applyFill="1" applyBorder="1" applyAlignment="1" applyProtection="1">
      <alignment horizontal="center" vertical="center" wrapText="1"/>
      <protection locked="0"/>
    </xf>
    <xf numFmtId="0" fontId="4" fillId="4" borderId="1" xfId="3" applyFont="1" applyFill="1" applyBorder="1" applyAlignment="1" applyProtection="1">
      <alignment horizontal="center" vertical="center" wrapText="1"/>
      <protection locked="0"/>
    </xf>
    <xf numFmtId="164" fontId="4" fillId="4" borderId="1" xfId="3" applyNumberFormat="1" applyFont="1" applyFill="1" applyBorder="1" applyAlignment="1" applyProtection="1">
      <alignment horizontal="center" vertical="center" wrapText="1"/>
    </xf>
    <xf numFmtId="17" fontId="4" fillId="4" borderId="1" xfId="3" applyNumberFormat="1" applyFont="1" applyFill="1" applyBorder="1" applyAlignment="1" applyProtection="1">
      <alignment horizontal="center" vertical="center" wrapText="1"/>
      <protection locked="0"/>
    </xf>
    <xf numFmtId="49" fontId="4" fillId="0" borderId="1" xfId="0" applyNumberFormat="1" applyFont="1" applyFill="1" applyBorder="1" applyAlignment="1">
      <alignment horizontal="left" vertical="center"/>
    </xf>
    <xf numFmtId="17" fontId="4" fillId="0" borderId="1" xfId="3" applyNumberFormat="1" applyFont="1" applyFill="1" applyBorder="1" applyAlignment="1" applyProtection="1">
      <alignment horizontal="left" vertical="center" wrapText="1"/>
      <protection locked="0"/>
    </xf>
    <xf numFmtId="0" fontId="5" fillId="0" borderId="1" xfId="0" applyFont="1" applyFill="1" applyBorder="1" applyAlignment="1">
      <alignment horizontal="center" vertical="center"/>
    </xf>
    <xf numFmtId="0" fontId="4" fillId="0" borderId="1" xfId="3" applyFont="1" applyFill="1" applyBorder="1" applyAlignment="1" applyProtection="1">
      <alignment horizontal="left" vertical="center" wrapText="1"/>
      <protection locked="0"/>
    </xf>
    <xf numFmtId="0" fontId="4" fillId="0" borderId="1" xfId="2" applyFont="1" applyFill="1" applyBorder="1" applyAlignment="1" applyProtection="1">
      <alignment horizontal="left" vertical="center" wrapText="1"/>
      <protection locked="0"/>
    </xf>
    <xf numFmtId="164" fontId="5" fillId="0" borderId="1" xfId="1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 applyProtection="1">
      <alignment horizontal="left" vertical="center" wrapText="1"/>
      <protection locked="0"/>
    </xf>
    <xf numFmtId="14" fontId="4" fillId="0" borderId="1" xfId="1" applyNumberFormat="1" applyFont="1" applyFill="1" applyBorder="1" applyAlignment="1" applyProtection="1">
      <alignment horizontal="left" vertical="center" wrapText="1"/>
      <protection locked="0"/>
    </xf>
    <xf numFmtId="164" fontId="4" fillId="0" borderId="1" xfId="3" applyNumberFormat="1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>
      <alignment horizontal="left" vertical="center" wrapText="1"/>
    </xf>
    <xf numFmtId="14" fontId="5" fillId="0" borderId="1" xfId="1" applyNumberFormat="1" applyFont="1" applyFill="1" applyBorder="1" applyAlignment="1" applyProtection="1">
      <alignment horizontal="left" vertical="center" wrapText="1"/>
      <protection locked="0"/>
    </xf>
    <xf numFmtId="14" fontId="5" fillId="0" borderId="0" xfId="0" applyNumberFormat="1" applyFont="1" applyAlignment="1">
      <alignment vertical="center"/>
    </xf>
    <xf numFmtId="14" fontId="5" fillId="0" borderId="1" xfId="0" applyNumberFormat="1" applyFont="1" applyBorder="1" applyAlignment="1">
      <alignment horizontal="left" vertical="center" wrapText="1"/>
    </xf>
    <xf numFmtId="0" fontId="5" fillId="0" borderId="1" xfId="0" applyNumberFormat="1" applyFont="1" applyBorder="1" applyAlignment="1">
      <alignment horizontal="left" vertical="center" wrapText="1"/>
    </xf>
    <xf numFmtId="49" fontId="4" fillId="0" borderId="1" xfId="3" applyNumberFormat="1" applyFont="1" applyFill="1" applyBorder="1" applyAlignment="1" applyProtection="1">
      <alignment horizontal="left" vertical="center" wrapText="1"/>
      <protection locked="0"/>
    </xf>
    <xf numFmtId="49" fontId="5" fillId="0" borderId="0" xfId="0" applyNumberFormat="1" applyFont="1" applyAlignment="1">
      <alignment vertical="center"/>
    </xf>
    <xf numFmtId="14" fontId="10" fillId="5" borderId="1" xfId="1" applyNumberFormat="1" applyFont="1" applyFill="1" applyBorder="1" applyAlignment="1" applyProtection="1">
      <alignment horizontal="center" vertical="center" wrapText="1"/>
      <protection locked="0"/>
    </xf>
    <xf numFmtId="0" fontId="10" fillId="5" borderId="1" xfId="1" applyFont="1" applyFill="1" applyBorder="1" applyAlignment="1" applyProtection="1">
      <alignment horizontal="center" vertical="center" wrapText="1"/>
      <protection locked="0"/>
    </xf>
    <xf numFmtId="164" fontId="10" fillId="5" borderId="1" xfId="1" applyNumberFormat="1" applyFont="1" applyFill="1" applyBorder="1" applyAlignment="1" applyProtection="1">
      <alignment horizontal="center" vertical="center" wrapText="1"/>
      <protection locked="0"/>
    </xf>
    <xf numFmtId="49" fontId="10" fillId="5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1" applyNumberFormat="1" applyFont="1" applyFill="1" applyBorder="1" applyAlignment="1" applyProtection="1">
      <alignment horizontal="left" vertical="center" wrapText="1"/>
      <protection locked="0"/>
    </xf>
    <xf numFmtId="16" fontId="5" fillId="0" borderId="1" xfId="1" applyNumberFormat="1" applyFont="1" applyFill="1" applyBorder="1" applyAlignment="1" applyProtection="1">
      <alignment horizontal="left" vertical="center" wrapText="1"/>
      <protection locked="0"/>
    </xf>
    <xf numFmtId="0" fontId="9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</cellXfs>
  <cellStyles count="4">
    <cellStyle name="Normal" xfId="0" builtinId="0"/>
    <cellStyle name="常规_PSG 出荷保留停止進度" xfId="2" xr:uid="{00000000-0005-0000-0000-000001000000}"/>
    <cellStyle name="常规_QC提检异常处理记录 (2)" xfId="3" xr:uid="{00000000-0005-0000-0000-000002000000}"/>
    <cellStyle name="常规_返工清单(2011.4~)" xfId="1" xr:uid="{00000000-0005-0000-0000-000003000000}"/>
  </cellStyles>
  <dxfs count="164">
    <dxf>
      <fill>
        <patternFill>
          <bgColor rgb="FFFF99CC"/>
        </patternFill>
      </fill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FF99CC"/>
        </patternFill>
      </fill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</dxfs>
  <tableStyles count="0" defaultTableStyle="TableStyleMedium2" defaultPivotStyle="PivotStyleMedium9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1794061</xdr:colOff>
          <xdr:row>1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31ECD97-8119-4705-8151-F28C554F4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8BE25-A03D-48C3-B10B-2C6CFEC9B7B7}">
  <sheetPr codeName="Sheet1"/>
  <dimension ref="A1:O21"/>
  <sheetViews>
    <sheetView zoomScale="85" zoomScaleNormal="85" workbookViewId="0">
      <selection activeCell="D11" sqref="D11"/>
    </sheetView>
  </sheetViews>
  <sheetFormatPr defaultColWidth="9" defaultRowHeight="13"/>
  <cols>
    <col min="1" max="1" width="4.26953125" style="7" customWidth="1"/>
    <col min="2" max="2" width="12.90625" style="7" customWidth="1"/>
    <col min="3" max="3" width="9" style="7"/>
    <col min="4" max="4" width="10.08984375" style="7" customWidth="1"/>
    <col min="5" max="5" width="13.36328125" style="13" customWidth="1"/>
    <col min="6" max="6" width="8.36328125" style="13" customWidth="1"/>
    <col min="7" max="7" width="8.08984375" style="13" customWidth="1"/>
    <col min="8" max="9" width="15.90625" style="13" customWidth="1"/>
    <col min="10" max="10" width="9.08984375" style="7" bestFit="1" customWidth="1"/>
    <col min="11" max="11" width="15.7265625" style="7" customWidth="1"/>
    <col min="12" max="12" width="15.453125" style="7" customWidth="1"/>
    <col min="13" max="13" width="13.36328125" style="7" customWidth="1"/>
    <col min="14" max="14" width="18.90625" style="7" customWidth="1"/>
    <col min="15" max="15" width="18.7265625" style="7" customWidth="1"/>
    <col min="16" max="16384" width="9" style="7"/>
  </cols>
  <sheetData>
    <row r="1" spans="1:15" ht="29.25" customHeight="1">
      <c r="A1" s="47" t="s">
        <v>58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14"/>
      <c r="N1" s="15"/>
      <c r="O1" s="15"/>
    </row>
    <row r="2" spans="1:15" s="12" customFormat="1" ht="31.5" customHeight="1">
      <c r="A2" s="9" t="s">
        <v>5</v>
      </c>
      <c r="B2" s="9" t="s">
        <v>0</v>
      </c>
      <c r="C2" s="10" t="s">
        <v>1</v>
      </c>
      <c r="D2" s="11" t="s">
        <v>2</v>
      </c>
      <c r="E2" s="10" t="s">
        <v>3</v>
      </c>
      <c r="F2" s="10" t="s">
        <v>24</v>
      </c>
      <c r="G2" s="10" t="s">
        <v>25</v>
      </c>
      <c r="H2" s="10" t="s">
        <v>4</v>
      </c>
      <c r="I2" s="10" t="s">
        <v>50</v>
      </c>
      <c r="J2" s="10" t="s">
        <v>59</v>
      </c>
      <c r="K2" s="10" t="s">
        <v>60</v>
      </c>
      <c r="L2" s="10" t="s">
        <v>56</v>
      </c>
      <c r="M2" s="10" t="s">
        <v>57</v>
      </c>
      <c r="N2" s="10" t="s">
        <v>61</v>
      </c>
      <c r="O2" s="10" t="s">
        <v>7</v>
      </c>
    </row>
    <row r="3" spans="1:15" ht="27.75" customHeight="1">
      <c r="A3" s="17">
        <v>1</v>
      </c>
      <c r="B3" s="18" t="s">
        <v>13</v>
      </c>
      <c r="C3" s="19" t="s">
        <v>8</v>
      </c>
      <c r="D3" s="20">
        <v>18993800</v>
      </c>
      <c r="E3" s="21" t="s">
        <v>9</v>
      </c>
      <c r="F3" s="21" t="s">
        <v>38</v>
      </c>
      <c r="G3" s="21" t="s">
        <v>36</v>
      </c>
      <c r="H3" s="22" t="s">
        <v>39</v>
      </c>
      <c r="I3" s="22">
        <v>1797139</v>
      </c>
      <c r="J3" s="23">
        <v>230</v>
      </c>
      <c r="K3" s="24" t="s">
        <v>10</v>
      </c>
      <c r="L3" s="24" t="s">
        <v>12</v>
      </c>
      <c r="M3" s="18" t="s">
        <v>13</v>
      </c>
      <c r="N3" s="18" t="s">
        <v>48</v>
      </c>
      <c r="O3" s="24" t="s">
        <v>11</v>
      </c>
    </row>
    <row r="4" spans="1:15" ht="27.75" customHeight="1">
      <c r="A4" s="17">
        <v>2</v>
      </c>
      <c r="B4" s="18" t="s">
        <v>14</v>
      </c>
      <c r="C4" s="19" t="s">
        <v>8</v>
      </c>
      <c r="D4" s="20">
        <v>18993800</v>
      </c>
      <c r="E4" s="21" t="s">
        <v>15</v>
      </c>
      <c r="F4" s="21" t="s">
        <v>37</v>
      </c>
      <c r="G4" s="21" t="s">
        <v>32</v>
      </c>
      <c r="H4" s="22" t="s">
        <v>16</v>
      </c>
      <c r="I4" s="22" t="s">
        <v>51</v>
      </c>
      <c r="J4" s="23">
        <v>822</v>
      </c>
      <c r="K4" s="24" t="s">
        <v>17</v>
      </c>
      <c r="L4" s="24" t="s">
        <v>18</v>
      </c>
      <c r="M4" s="18" t="s">
        <v>14</v>
      </c>
      <c r="N4" s="18" t="s">
        <v>49</v>
      </c>
      <c r="O4" s="24" t="s">
        <v>19</v>
      </c>
    </row>
    <row r="5" spans="1:15" ht="27.75" customHeight="1">
      <c r="A5" s="17">
        <v>3</v>
      </c>
      <c r="B5" s="18" t="s">
        <v>33</v>
      </c>
      <c r="C5" s="19" t="s">
        <v>20</v>
      </c>
      <c r="D5" s="20">
        <v>18307000</v>
      </c>
      <c r="E5" s="21" t="s">
        <v>28</v>
      </c>
      <c r="F5" s="21" t="s">
        <v>31</v>
      </c>
      <c r="G5" s="21" t="s">
        <v>32</v>
      </c>
      <c r="H5" s="22" t="s">
        <v>30</v>
      </c>
      <c r="I5" s="22" t="s">
        <v>52</v>
      </c>
      <c r="J5" s="23">
        <v>2787</v>
      </c>
      <c r="K5" s="24" t="s">
        <v>29</v>
      </c>
      <c r="L5" s="24" t="s">
        <v>55</v>
      </c>
      <c r="M5" s="18" t="s">
        <v>34</v>
      </c>
      <c r="N5" s="18" t="s">
        <v>47</v>
      </c>
      <c r="O5" s="24" t="s">
        <v>6</v>
      </c>
    </row>
    <row r="6" spans="1:15" ht="27.75" customHeight="1">
      <c r="A6" s="17">
        <v>4</v>
      </c>
      <c r="B6" s="18" t="s">
        <v>23</v>
      </c>
      <c r="C6" s="22" t="s">
        <v>20</v>
      </c>
      <c r="D6" s="20">
        <v>18307900</v>
      </c>
      <c r="E6" s="21" t="s">
        <v>21</v>
      </c>
      <c r="F6" s="21" t="s">
        <v>31</v>
      </c>
      <c r="G6" s="21" t="s">
        <v>36</v>
      </c>
      <c r="H6" s="22" t="s">
        <v>35</v>
      </c>
      <c r="I6" s="22">
        <v>1814477</v>
      </c>
      <c r="J6" s="23">
        <v>75</v>
      </c>
      <c r="K6" s="24" t="s">
        <v>27</v>
      </c>
      <c r="L6" s="24" t="s">
        <v>53</v>
      </c>
      <c r="M6" s="18" t="s">
        <v>26</v>
      </c>
      <c r="N6" s="18" t="s">
        <v>47</v>
      </c>
      <c r="O6" s="24" t="s">
        <v>22</v>
      </c>
    </row>
    <row r="7" spans="1:15" ht="27.75" customHeight="1">
      <c r="A7" s="17">
        <v>5</v>
      </c>
      <c r="B7" s="18" t="s">
        <v>40</v>
      </c>
      <c r="C7" s="22" t="s">
        <v>43</v>
      </c>
      <c r="D7" s="20">
        <v>18307300</v>
      </c>
      <c r="E7" s="21" t="s">
        <v>42</v>
      </c>
      <c r="F7" s="21" t="s">
        <v>41</v>
      </c>
      <c r="G7" s="21" t="s">
        <v>32</v>
      </c>
      <c r="H7" s="22" t="s">
        <v>44</v>
      </c>
      <c r="I7" s="22">
        <v>1819512</v>
      </c>
      <c r="J7" s="23">
        <v>272</v>
      </c>
      <c r="K7" s="24" t="s">
        <v>45</v>
      </c>
      <c r="L7" s="24" t="s">
        <v>54</v>
      </c>
      <c r="M7" s="18" t="s">
        <v>63</v>
      </c>
      <c r="N7" s="24"/>
      <c r="O7" s="24" t="s">
        <v>46</v>
      </c>
    </row>
    <row r="8" spans="1:15" ht="27.75" customHeight="1">
      <c r="A8" s="8">
        <v>6</v>
      </c>
      <c r="B8" s="6"/>
      <c r="C8" s="5"/>
      <c r="D8" s="1"/>
      <c r="E8" s="2"/>
      <c r="F8" s="2"/>
      <c r="G8" s="2"/>
      <c r="H8" s="5"/>
      <c r="I8" s="5"/>
      <c r="J8" s="3"/>
      <c r="K8" s="4"/>
      <c r="L8" s="4"/>
      <c r="M8" s="6"/>
      <c r="N8" s="4"/>
      <c r="O8" s="4"/>
    </row>
    <row r="9" spans="1:15" ht="27.75" customHeight="1">
      <c r="A9" s="8">
        <v>7</v>
      </c>
      <c r="B9" s="6"/>
      <c r="C9" s="5"/>
      <c r="D9" s="1"/>
      <c r="E9" s="2"/>
      <c r="F9" s="2"/>
      <c r="G9" s="2"/>
      <c r="H9" s="5"/>
      <c r="I9" s="5"/>
      <c r="J9" s="3"/>
      <c r="K9" s="4"/>
      <c r="L9" s="4"/>
      <c r="M9" s="6"/>
      <c r="N9" s="4"/>
      <c r="O9" s="4"/>
    </row>
    <row r="10" spans="1:15" ht="27.75" customHeight="1">
      <c r="A10" s="8">
        <v>8</v>
      </c>
      <c r="B10" s="6"/>
      <c r="C10" s="5"/>
      <c r="D10" s="1"/>
      <c r="E10" s="2"/>
      <c r="F10" s="2"/>
      <c r="G10" s="2"/>
      <c r="H10" s="5"/>
      <c r="I10" s="5"/>
      <c r="J10" s="3"/>
      <c r="K10" s="4"/>
      <c r="L10" s="4"/>
      <c r="M10" s="6"/>
      <c r="N10" s="4"/>
      <c r="O10" s="4"/>
    </row>
    <row r="11" spans="1:15" ht="27.75" customHeight="1">
      <c r="A11" s="8">
        <v>9</v>
      </c>
      <c r="B11" s="6"/>
      <c r="C11" s="5"/>
      <c r="D11" s="1"/>
      <c r="E11" s="2"/>
      <c r="F11" s="2"/>
      <c r="G11" s="2"/>
      <c r="H11" s="5"/>
      <c r="I11" s="5"/>
      <c r="J11" s="3"/>
      <c r="K11" s="4"/>
      <c r="L11" s="4"/>
      <c r="M11" s="6"/>
      <c r="N11" s="4"/>
      <c r="O11" s="4"/>
    </row>
    <row r="12" spans="1:15" ht="27.75" customHeight="1">
      <c r="A12" s="8">
        <v>10</v>
      </c>
      <c r="B12" s="6"/>
      <c r="C12" s="5"/>
      <c r="D12" s="1"/>
      <c r="E12" s="2"/>
      <c r="F12" s="2"/>
      <c r="G12" s="2"/>
      <c r="H12" s="5"/>
      <c r="I12" s="5"/>
      <c r="J12" s="3"/>
      <c r="K12" s="4"/>
      <c r="L12" s="4"/>
      <c r="M12" s="6"/>
      <c r="N12" s="4"/>
      <c r="O12" s="4"/>
    </row>
    <row r="13" spans="1:15" ht="27.75" customHeight="1">
      <c r="A13" s="8">
        <v>11</v>
      </c>
      <c r="B13" s="6"/>
      <c r="C13" s="5"/>
      <c r="D13" s="1"/>
      <c r="E13" s="2"/>
      <c r="F13" s="2"/>
      <c r="G13" s="2"/>
      <c r="H13" s="5"/>
      <c r="I13" s="5"/>
      <c r="J13" s="3"/>
      <c r="K13" s="4"/>
      <c r="L13" s="4"/>
      <c r="M13" s="6"/>
      <c r="N13" s="4"/>
      <c r="O13" s="4"/>
    </row>
    <row r="14" spans="1:15" ht="27.75" customHeight="1">
      <c r="A14" s="8">
        <v>12</v>
      </c>
      <c r="B14" s="6"/>
      <c r="C14" s="5"/>
      <c r="D14" s="1"/>
      <c r="E14" s="2"/>
      <c r="F14" s="2"/>
      <c r="G14" s="2"/>
      <c r="H14" s="5"/>
      <c r="I14" s="5"/>
      <c r="J14" s="3"/>
      <c r="K14" s="4"/>
      <c r="L14" s="4"/>
      <c r="M14" s="6"/>
      <c r="N14" s="4"/>
      <c r="O14" s="4"/>
    </row>
    <row r="15" spans="1:15" ht="27.75" customHeight="1">
      <c r="A15" s="8">
        <v>13</v>
      </c>
      <c r="B15" s="6"/>
      <c r="C15" s="5"/>
      <c r="D15" s="1"/>
      <c r="E15" s="2"/>
      <c r="F15" s="2"/>
      <c r="G15" s="2"/>
      <c r="H15" s="5"/>
      <c r="I15" s="5"/>
      <c r="J15" s="3"/>
      <c r="K15" s="4"/>
      <c r="L15" s="4"/>
      <c r="M15" s="6"/>
      <c r="N15" s="4"/>
      <c r="O15" s="4"/>
    </row>
    <row r="16" spans="1:15" ht="27.75" customHeight="1">
      <c r="A16" s="8">
        <v>14</v>
      </c>
      <c r="B16" s="6"/>
      <c r="C16" s="5"/>
      <c r="D16" s="1"/>
      <c r="E16" s="2"/>
      <c r="F16" s="2"/>
      <c r="G16" s="2"/>
      <c r="H16" s="5"/>
      <c r="I16" s="5"/>
      <c r="J16" s="3"/>
      <c r="K16" s="4"/>
      <c r="L16" s="4"/>
      <c r="M16" s="6"/>
      <c r="N16" s="4"/>
      <c r="O16" s="4"/>
    </row>
    <row r="17" spans="1:15" ht="27.75" customHeight="1">
      <c r="A17" s="8">
        <v>15</v>
      </c>
      <c r="B17" s="6"/>
      <c r="C17" s="5"/>
      <c r="D17" s="1"/>
      <c r="E17" s="2"/>
      <c r="F17" s="2"/>
      <c r="G17" s="2"/>
      <c r="H17" s="5"/>
      <c r="I17" s="5"/>
      <c r="J17" s="3"/>
      <c r="K17" s="4"/>
      <c r="L17" s="4"/>
      <c r="M17" s="6"/>
      <c r="N17" s="4"/>
      <c r="O17" s="4"/>
    </row>
    <row r="18" spans="1:15" ht="27.75" customHeight="1">
      <c r="A18" s="8">
        <v>16</v>
      </c>
      <c r="B18" s="6"/>
      <c r="C18" s="5"/>
      <c r="D18" s="1"/>
      <c r="E18" s="2"/>
      <c r="F18" s="2"/>
      <c r="G18" s="2"/>
      <c r="H18" s="5"/>
      <c r="I18" s="5"/>
      <c r="J18" s="3"/>
      <c r="K18" s="4"/>
      <c r="L18" s="4"/>
      <c r="M18" s="6"/>
      <c r="N18" s="4"/>
      <c r="O18" s="4"/>
    </row>
    <row r="19" spans="1:15" ht="27.75" customHeight="1">
      <c r="A19" s="8">
        <v>17</v>
      </c>
      <c r="B19" s="6"/>
      <c r="C19" s="5"/>
      <c r="D19" s="1"/>
      <c r="E19" s="2"/>
      <c r="F19" s="2"/>
      <c r="G19" s="2"/>
      <c r="H19" s="5"/>
      <c r="I19" s="5"/>
      <c r="J19" s="3"/>
      <c r="K19" s="4"/>
      <c r="L19" s="4"/>
      <c r="M19" s="6"/>
      <c r="N19" s="4"/>
      <c r="O19" s="4"/>
    </row>
    <row r="20" spans="1:15" ht="27.75" customHeight="1">
      <c r="A20" s="8">
        <v>18</v>
      </c>
      <c r="B20" s="6"/>
      <c r="C20" s="5"/>
      <c r="D20" s="1"/>
      <c r="E20" s="2"/>
      <c r="F20" s="2"/>
      <c r="G20" s="2"/>
      <c r="H20" s="5"/>
      <c r="I20" s="5"/>
      <c r="J20" s="3"/>
      <c r="K20" s="4"/>
      <c r="L20" s="4"/>
      <c r="M20" s="6"/>
      <c r="N20" s="4"/>
      <c r="O20" s="4"/>
    </row>
    <row r="21" spans="1:15" ht="27.75" customHeight="1">
      <c r="A21" s="8">
        <v>19</v>
      </c>
      <c r="B21" s="6"/>
      <c r="C21" s="5"/>
      <c r="D21" s="1"/>
      <c r="E21" s="2"/>
      <c r="F21" s="2"/>
      <c r="G21" s="2"/>
      <c r="H21" s="5"/>
      <c r="I21" s="5"/>
      <c r="J21" s="3"/>
      <c r="K21" s="4"/>
      <c r="L21" s="4"/>
      <c r="M21" s="6"/>
      <c r="N21" s="4"/>
      <c r="O21" s="4"/>
    </row>
  </sheetData>
  <autoFilter ref="A2:O2" xr:uid="{6C0670C5-9904-4297-A420-5FD75742F6B1}"/>
  <mergeCells count="1">
    <mergeCell ref="A1:L1"/>
  </mergeCells>
  <phoneticPr fontId="2" type="noConversion"/>
  <conditionalFormatting sqref="H4:I5 J4:K6 H3:K3 G6:I6 H7:I7 L3:L4 O3:O4 L6 O6 N7:N21">
    <cfRule type="expression" dxfId="163" priority="878" stopIfTrue="1">
      <formula>$U3="close"</formula>
    </cfRule>
    <cfRule type="expression" dxfId="162" priority="879" stopIfTrue="1">
      <formula>AND($U3="Open",$S3&gt;30)</formula>
    </cfRule>
    <cfRule type="expression" dxfId="161" priority="880" stopIfTrue="1">
      <formula>$U3="Open"</formula>
    </cfRule>
  </conditionalFormatting>
  <conditionalFormatting sqref="C4:C5">
    <cfRule type="expression" dxfId="160" priority="860" stopIfTrue="1">
      <formula>$U4="close"</formula>
    </cfRule>
    <cfRule type="expression" dxfId="159" priority="861" stopIfTrue="1">
      <formula>AND($U4="Open",$S4&gt;30)</formula>
    </cfRule>
    <cfRule type="expression" dxfId="158" priority="862" stopIfTrue="1">
      <formula>$U4="Open"</formula>
    </cfRule>
  </conditionalFormatting>
  <conditionalFormatting sqref="B4">
    <cfRule type="expression" dxfId="157" priority="857" stopIfTrue="1">
      <formula>$U4="close"</formula>
    </cfRule>
    <cfRule type="expression" dxfId="156" priority="858" stopIfTrue="1">
      <formula>AND($U4="Open",$S4&gt;30)</formula>
    </cfRule>
    <cfRule type="expression" dxfId="155" priority="859" stopIfTrue="1">
      <formula>$U4="Open"</formula>
    </cfRule>
  </conditionalFormatting>
  <conditionalFormatting sqref="B3:F3">
    <cfRule type="expression" dxfId="154" priority="176" stopIfTrue="1">
      <formula>$U3="close"</formula>
    </cfRule>
    <cfRule type="expression" dxfId="153" priority="177" stopIfTrue="1">
      <formula>AND($U3="Open",$S3&gt;30)</formula>
    </cfRule>
    <cfRule type="expression" dxfId="152" priority="178" stopIfTrue="1">
      <formula>$U3="Open"</formula>
    </cfRule>
  </conditionalFormatting>
  <conditionalFormatting sqref="D4:G5">
    <cfRule type="expression" dxfId="151" priority="164" stopIfTrue="1">
      <formula>$U4="close"</formula>
    </cfRule>
    <cfRule type="expression" dxfId="150" priority="165" stopIfTrue="1">
      <formula>AND($U4="Open",$S4&gt;30)</formula>
    </cfRule>
    <cfRule type="expression" dxfId="149" priority="166" stopIfTrue="1">
      <formula>$U4="Open"</formula>
    </cfRule>
  </conditionalFormatting>
  <conditionalFormatting sqref="C6:E6">
    <cfRule type="expression" dxfId="148" priority="152" stopIfTrue="1">
      <formula>$U6="close"</formula>
    </cfRule>
    <cfRule type="expression" dxfId="147" priority="153" stopIfTrue="1">
      <formula>AND($U6="Open",$S6&gt;30)</formula>
    </cfRule>
    <cfRule type="expression" dxfId="146" priority="154" stopIfTrue="1">
      <formula>$U6="Open"</formula>
    </cfRule>
  </conditionalFormatting>
  <conditionalFormatting sqref="B6">
    <cfRule type="expression" dxfId="145" priority="143" stopIfTrue="1">
      <formula>$U6="close"</formula>
    </cfRule>
    <cfRule type="expression" dxfId="144" priority="144" stopIfTrue="1">
      <formula>AND($U6="Open",$S6&gt;30)</formula>
    </cfRule>
    <cfRule type="expression" dxfId="143" priority="145" stopIfTrue="1">
      <formula>$U6="Open"</formula>
    </cfRule>
  </conditionalFormatting>
  <conditionalFormatting sqref="M6">
    <cfRule type="expression" dxfId="142" priority="134" stopIfTrue="1">
      <formula>$U6="close"</formula>
    </cfRule>
    <cfRule type="expression" dxfId="141" priority="135" stopIfTrue="1">
      <formula>AND($U6="Open",$S6&gt;30)</formula>
    </cfRule>
    <cfRule type="expression" dxfId="140" priority="136" stopIfTrue="1">
      <formula>$U6="Open"</formula>
    </cfRule>
  </conditionalFormatting>
  <conditionalFormatting sqref="B5">
    <cfRule type="expression" dxfId="139" priority="131" stopIfTrue="1">
      <formula>$U5="close"</formula>
    </cfRule>
    <cfRule type="expression" dxfId="138" priority="132" stopIfTrue="1">
      <formula>AND($U5="Open",$S5&gt;30)</formula>
    </cfRule>
    <cfRule type="expression" dxfId="137" priority="133" stopIfTrue="1">
      <formula>$U5="Open"</formula>
    </cfRule>
  </conditionalFormatting>
  <conditionalFormatting sqref="O5">
    <cfRule type="expression" dxfId="136" priority="128" stopIfTrue="1">
      <formula>$U5="close"</formula>
    </cfRule>
    <cfRule type="expression" dxfId="135" priority="129" stopIfTrue="1">
      <formula>AND($U5="Open",$S5&gt;30)</formula>
    </cfRule>
    <cfRule type="expression" dxfId="134" priority="130" stopIfTrue="1">
      <formula>$U5="Open"</formula>
    </cfRule>
  </conditionalFormatting>
  <conditionalFormatting sqref="L5">
    <cfRule type="expression" dxfId="133" priority="125" stopIfTrue="1">
      <formula>$U5="close"</formula>
    </cfRule>
    <cfRule type="expression" dxfId="132" priority="126" stopIfTrue="1">
      <formula>AND($U5="Open",$S5&gt;30)</formula>
    </cfRule>
    <cfRule type="expression" dxfId="131" priority="127" stopIfTrue="1">
      <formula>$U5="Open"</formula>
    </cfRule>
  </conditionalFormatting>
  <conditionalFormatting sqref="L5">
    <cfRule type="expression" dxfId="130" priority="122" stopIfTrue="1">
      <formula>$U5="close"</formula>
    </cfRule>
    <cfRule type="expression" dxfId="129" priority="123" stopIfTrue="1">
      <formula>AND($U5="Open",$S5&gt;30)</formula>
    </cfRule>
    <cfRule type="expression" dxfId="128" priority="124" stopIfTrue="1">
      <formula>$U5="Open"</formula>
    </cfRule>
  </conditionalFormatting>
  <conditionalFormatting sqref="M5">
    <cfRule type="expression" dxfId="127" priority="116" stopIfTrue="1">
      <formula>$U5="close"</formula>
    </cfRule>
    <cfRule type="expression" dxfId="126" priority="117" stopIfTrue="1">
      <formula>AND($U5="Open",$S5&gt;30)</formula>
    </cfRule>
    <cfRule type="expression" dxfId="125" priority="118" stopIfTrue="1">
      <formula>$U5="Open"</formula>
    </cfRule>
  </conditionalFormatting>
  <conditionalFormatting sqref="F6">
    <cfRule type="expression" dxfId="124" priority="113" stopIfTrue="1">
      <formula>$U6="close"</formula>
    </cfRule>
    <cfRule type="expression" dxfId="123" priority="114" stopIfTrue="1">
      <formula>AND($U6="Open",$S6&gt;30)</formula>
    </cfRule>
    <cfRule type="expression" dxfId="122" priority="115" stopIfTrue="1">
      <formula>$U6="Open"</formula>
    </cfRule>
  </conditionalFormatting>
  <conditionalFormatting sqref="M4">
    <cfRule type="expression" dxfId="121" priority="110" stopIfTrue="1">
      <formula>$U4="close"</formula>
    </cfRule>
    <cfRule type="expression" dxfId="120" priority="111" stopIfTrue="1">
      <formula>AND($U4="Open",$S4&gt;30)</formula>
    </cfRule>
    <cfRule type="expression" dxfId="119" priority="112" stopIfTrue="1">
      <formula>$U4="Open"</formula>
    </cfRule>
  </conditionalFormatting>
  <conditionalFormatting sqref="G3">
    <cfRule type="expression" dxfId="118" priority="107" stopIfTrue="1">
      <formula>$U3="close"</formula>
    </cfRule>
    <cfRule type="expression" dxfId="117" priority="108" stopIfTrue="1">
      <formula>AND($U3="Open",$S3&gt;30)</formula>
    </cfRule>
    <cfRule type="expression" dxfId="116" priority="109" stopIfTrue="1">
      <formula>$U3="Open"</formula>
    </cfRule>
  </conditionalFormatting>
  <conditionalFormatting sqref="M3">
    <cfRule type="expression" dxfId="115" priority="104" stopIfTrue="1">
      <formula>$U3="close"</formula>
    </cfRule>
    <cfRule type="expression" dxfId="114" priority="105" stopIfTrue="1">
      <formula>AND($U3="Open",$S3&gt;30)</formula>
    </cfRule>
    <cfRule type="expression" dxfId="113" priority="106" stopIfTrue="1">
      <formula>$U3="Open"</formula>
    </cfRule>
  </conditionalFormatting>
  <conditionalFormatting sqref="J7:K7">
    <cfRule type="expression" dxfId="112" priority="101" stopIfTrue="1">
      <formula>$U7="close"</formula>
    </cfRule>
    <cfRule type="expression" dxfId="111" priority="102" stopIfTrue="1">
      <formula>AND($U7="Open",$S7&gt;30)</formula>
    </cfRule>
    <cfRule type="expression" dxfId="110" priority="103" stopIfTrue="1">
      <formula>$U7="Open"</formula>
    </cfRule>
  </conditionalFormatting>
  <conditionalFormatting sqref="C7:E7">
    <cfRule type="expression" dxfId="109" priority="98" stopIfTrue="1">
      <formula>$U7="close"</formula>
    </cfRule>
    <cfRule type="expression" dxfId="108" priority="99" stopIfTrue="1">
      <formula>AND($U7="Open",$S7&gt;30)</formula>
    </cfRule>
    <cfRule type="expression" dxfId="107" priority="100" stopIfTrue="1">
      <formula>$U7="Open"</formula>
    </cfRule>
  </conditionalFormatting>
  <conditionalFormatting sqref="O7">
    <cfRule type="expression" dxfId="106" priority="95" stopIfTrue="1">
      <formula>$U7="close"</formula>
    </cfRule>
    <cfRule type="expression" dxfId="105" priority="96" stopIfTrue="1">
      <formula>AND($U7="Open",$S7&gt;30)</formula>
    </cfRule>
    <cfRule type="expression" dxfId="104" priority="97" stopIfTrue="1">
      <formula>$U7="Open"</formula>
    </cfRule>
  </conditionalFormatting>
  <conditionalFormatting sqref="O7">
    <cfRule type="expression" dxfId="103" priority="92" stopIfTrue="1">
      <formula>$U7="close"</formula>
    </cfRule>
    <cfRule type="expression" dxfId="102" priority="93" stopIfTrue="1">
      <formula>AND($U7="Open",$S7&gt;30)</formula>
    </cfRule>
    <cfRule type="expression" dxfId="101" priority="94" stopIfTrue="1">
      <formula>$U7="Open"</formula>
    </cfRule>
  </conditionalFormatting>
  <conditionalFormatting sqref="M7">
    <cfRule type="expression" dxfId="100" priority="83" stopIfTrue="1">
      <formula>$U7="close"</formula>
    </cfRule>
    <cfRule type="expression" dxfId="99" priority="84" stopIfTrue="1">
      <formula>AND($U7="Open",$S7&gt;30)</formula>
    </cfRule>
    <cfRule type="expression" dxfId="98" priority="85" stopIfTrue="1">
      <formula>$U7="Open"</formula>
    </cfRule>
  </conditionalFormatting>
  <conditionalFormatting sqref="F7">
    <cfRule type="expression" dxfId="97" priority="80" stopIfTrue="1">
      <formula>$U7="close"</formula>
    </cfRule>
    <cfRule type="expression" dxfId="96" priority="81" stopIfTrue="1">
      <formula>AND($U7="Open",$S7&gt;30)</formula>
    </cfRule>
    <cfRule type="expression" dxfId="95" priority="82" stopIfTrue="1">
      <formula>$U7="Open"</formula>
    </cfRule>
  </conditionalFormatting>
  <conditionalFormatting sqref="B7">
    <cfRule type="expression" dxfId="94" priority="77" stopIfTrue="1">
      <formula>$U7="close"</formula>
    </cfRule>
    <cfRule type="expression" dxfId="93" priority="78" stopIfTrue="1">
      <formula>AND($U7="Open",$S7&gt;30)</formula>
    </cfRule>
    <cfRule type="expression" dxfId="92" priority="79" stopIfTrue="1">
      <formula>$U7="Open"</formula>
    </cfRule>
  </conditionalFormatting>
  <conditionalFormatting sqref="G7">
    <cfRule type="expression" dxfId="91" priority="74" stopIfTrue="1">
      <formula>$U7="close"</formula>
    </cfRule>
    <cfRule type="expression" dxfId="90" priority="75" stopIfTrue="1">
      <formula>AND($U7="Open",$S7&gt;30)</formula>
    </cfRule>
    <cfRule type="expression" dxfId="89" priority="76" stopIfTrue="1">
      <formula>$U7="Open"</formula>
    </cfRule>
  </conditionalFormatting>
  <conditionalFormatting sqref="L7">
    <cfRule type="expression" dxfId="88" priority="68" stopIfTrue="1">
      <formula>$U7="close"</formula>
    </cfRule>
    <cfRule type="expression" dxfId="87" priority="69" stopIfTrue="1">
      <formula>AND($U7="Open",$S7&gt;30)</formula>
    </cfRule>
    <cfRule type="expression" dxfId="86" priority="70" stopIfTrue="1">
      <formula>$U7="Open"</formula>
    </cfRule>
  </conditionalFormatting>
  <conditionalFormatting sqref="L7">
    <cfRule type="expression" dxfId="85" priority="65" stopIfTrue="1">
      <formula>$U7="close"</formula>
    </cfRule>
    <cfRule type="expression" dxfId="84" priority="66" stopIfTrue="1">
      <formula>AND($U7="Open",$S7&gt;30)</formula>
    </cfRule>
    <cfRule type="expression" dxfId="83" priority="67" stopIfTrue="1">
      <formula>$U7="Open"</formula>
    </cfRule>
  </conditionalFormatting>
  <conditionalFormatting sqref="N6">
    <cfRule type="expression" dxfId="82" priority="59" stopIfTrue="1">
      <formula>$U6="close"</formula>
    </cfRule>
    <cfRule type="expression" dxfId="81" priority="60" stopIfTrue="1">
      <formula>AND($U6="Open",$S6&gt;30)</formula>
    </cfRule>
    <cfRule type="expression" dxfId="80" priority="61" stopIfTrue="1">
      <formula>$U6="Open"</formula>
    </cfRule>
  </conditionalFormatting>
  <conditionalFormatting sqref="N5">
    <cfRule type="expression" dxfId="79" priority="56" stopIfTrue="1">
      <formula>$U5="close"</formula>
    </cfRule>
    <cfRule type="expression" dxfId="78" priority="57" stopIfTrue="1">
      <formula>AND($U5="Open",$S5&gt;30)</formula>
    </cfRule>
    <cfRule type="expression" dxfId="77" priority="58" stopIfTrue="1">
      <formula>$U5="Open"</formula>
    </cfRule>
  </conditionalFormatting>
  <conditionalFormatting sqref="N4">
    <cfRule type="expression" dxfId="76" priority="53" stopIfTrue="1">
      <formula>$U4="close"</formula>
    </cfRule>
    <cfRule type="expression" dxfId="75" priority="54" stopIfTrue="1">
      <formula>AND($U4="Open",$S4&gt;30)</formula>
    </cfRule>
    <cfRule type="expression" dxfId="74" priority="55" stopIfTrue="1">
      <formula>$U4="Open"</formula>
    </cfRule>
  </conditionalFormatting>
  <conditionalFormatting sqref="N3">
    <cfRule type="expression" dxfId="73" priority="50" stopIfTrue="1">
      <formula>$U3="close"</formula>
    </cfRule>
    <cfRule type="expression" dxfId="72" priority="51" stopIfTrue="1">
      <formula>AND($U3="Open",$S3&gt;30)</formula>
    </cfRule>
    <cfRule type="expression" dxfId="71" priority="52" stopIfTrue="1">
      <formula>$U3="Open"</formula>
    </cfRule>
  </conditionalFormatting>
  <conditionalFormatting sqref="H8:I21">
    <cfRule type="expression" dxfId="70" priority="35" stopIfTrue="1">
      <formula>$U8="close"</formula>
    </cfRule>
    <cfRule type="expression" dxfId="69" priority="36" stopIfTrue="1">
      <formula>AND($U8="Open",$S8&gt;30)</formula>
    </cfRule>
    <cfRule type="expression" dxfId="68" priority="37" stopIfTrue="1">
      <formula>$U8="Open"</formula>
    </cfRule>
  </conditionalFormatting>
  <conditionalFormatting sqref="J8:K21">
    <cfRule type="expression" dxfId="67" priority="32" stopIfTrue="1">
      <formula>$U8="close"</formula>
    </cfRule>
    <cfRule type="expression" dxfId="66" priority="33" stopIfTrue="1">
      <formula>AND($U8="Open",$S8&gt;30)</formula>
    </cfRule>
    <cfRule type="expression" dxfId="65" priority="34" stopIfTrue="1">
      <formula>$U8="Open"</formula>
    </cfRule>
  </conditionalFormatting>
  <conditionalFormatting sqref="C8:E21">
    <cfRule type="expression" dxfId="64" priority="29" stopIfTrue="1">
      <formula>$U8="close"</formula>
    </cfRule>
    <cfRule type="expression" dxfId="63" priority="30" stopIfTrue="1">
      <formula>AND($U8="Open",$S8&gt;30)</formula>
    </cfRule>
    <cfRule type="expression" dxfId="62" priority="31" stopIfTrue="1">
      <formula>$U8="Open"</formula>
    </cfRule>
  </conditionalFormatting>
  <conditionalFormatting sqref="O8:O21">
    <cfRule type="expression" dxfId="61" priority="26" stopIfTrue="1">
      <formula>$U8="close"</formula>
    </cfRule>
    <cfRule type="expression" dxfId="60" priority="27" stopIfTrue="1">
      <formula>AND($U8="Open",$S8&gt;30)</formula>
    </cfRule>
    <cfRule type="expression" dxfId="59" priority="28" stopIfTrue="1">
      <formula>$U8="Open"</formula>
    </cfRule>
  </conditionalFormatting>
  <conditionalFormatting sqref="O8:O21">
    <cfRule type="expression" dxfId="58" priority="23" stopIfTrue="1">
      <formula>$U8="close"</formula>
    </cfRule>
    <cfRule type="expression" dxfId="57" priority="24" stopIfTrue="1">
      <formula>AND($U8="Open",$S8&gt;30)</formula>
    </cfRule>
    <cfRule type="expression" dxfId="56" priority="25" stopIfTrue="1">
      <formula>$U8="Open"</formula>
    </cfRule>
  </conditionalFormatting>
  <conditionalFormatting sqref="M8:M21">
    <cfRule type="expression" dxfId="55" priority="20" stopIfTrue="1">
      <formula>$U8="close"</formula>
    </cfRule>
    <cfRule type="expression" dxfId="54" priority="21" stopIfTrue="1">
      <formula>AND($U8="Open",$S8&gt;30)</formula>
    </cfRule>
    <cfRule type="expression" dxfId="53" priority="22" stopIfTrue="1">
      <formula>$U8="Open"</formula>
    </cfRule>
  </conditionalFormatting>
  <conditionalFormatting sqref="F8:F21">
    <cfRule type="expression" dxfId="52" priority="17" stopIfTrue="1">
      <formula>$U8="close"</formula>
    </cfRule>
    <cfRule type="expression" dxfId="51" priority="18" stopIfTrue="1">
      <formula>AND($U8="Open",$S8&gt;30)</formula>
    </cfRule>
    <cfRule type="expression" dxfId="50" priority="19" stopIfTrue="1">
      <formula>$U8="Open"</formula>
    </cfRule>
  </conditionalFormatting>
  <conditionalFormatting sqref="B8:B21">
    <cfRule type="expression" dxfId="49" priority="14" stopIfTrue="1">
      <formula>$U8="close"</formula>
    </cfRule>
    <cfRule type="expression" dxfId="48" priority="15" stopIfTrue="1">
      <formula>AND($U8="Open",$S8&gt;30)</formula>
    </cfRule>
    <cfRule type="expression" dxfId="47" priority="16" stopIfTrue="1">
      <formula>$U8="Open"</formula>
    </cfRule>
  </conditionalFormatting>
  <conditionalFormatting sqref="G8:G21">
    <cfRule type="expression" dxfId="46" priority="11" stopIfTrue="1">
      <formula>$U8="close"</formula>
    </cfRule>
    <cfRule type="expression" dxfId="45" priority="12" stopIfTrue="1">
      <formula>AND($U8="Open",$S8&gt;30)</formula>
    </cfRule>
    <cfRule type="expression" dxfId="44" priority="13" stopIfTrue="1">
      <formula>$U8="Open"</formula>
    </cfRule>
  </conditionalFormatting>
  <conditionalFormatting sqref="L8:L21">
    <cfRule type="expression" dxfId="43" priority="5" stopIfTrue="1">
      <formula>$U8="close"</formula>
    </cfRule>
    <cfRule type="expression" dxfId="42" priority="6" stopIfTrue="1">
      <formula>AND($U8="Open",$S8&gt;30)</formula>
    </cfRule>
    <cfRule type="expression" dxfId="41" priority="7" stopIfTrue="1">
      <formula>$U8="Open"</formula>
    </cfRule>
  </conditionalFormatting>
  <conditionalFormatting sqref="L8:L21">
    <cfRule type="expression" dxfId="40" priority="2" stopIfTrue="1">
      <formula>$U8="close"</formula>
    </cfRule>
    <cfRule type="expression" dxfId="39" priority="3" stopIfTrue="1">
      <formula>AND($U8="Open",$S8&gt;30)</formula>
    </cfRule>
    <cfRule type="expression" dxfId="38" priority="4" stopIfTrue="1">
      <formula>$U8="Open"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4C0C1-3B7A-47FD-B177-8D970602DD32}">
  <sheetPr codeName="Sheet2"/>
  <dimension ref="A1:V44"/>
  <sheetViews>
    <sheetView tabSelected="1" zoomScale="85" zoomScaleNormal="85" workbookViewId="0">
      <selection activeCell="H4" sqref="H4"/>
    </sheetView>
  </sheetViews>
  <sheetFormatPr defaultColWidth="9" defaultRowHeight="13"/>
  <cols>
    <col min="1" max="1" width="3.453125" style="7" customWidth="1"/>
    <col min="2" max="2" width="27.90625" style="7" customWidth="1"/>
    <col min="3" max="3" width="16.36328125" style="7" customWidth="1"/>
    <col min="4" max="4" width="12.26953125" style="7" customWidth="1"/>
    <col min="5" max="5" width="25.7265625" style="13" customWidth="1"/>
    <col min="6" max="6" width="11.90625" style="13" customWidth="1"/>
    <col min="7" max="7" width="7.7265625" style="13" customWidth="1"/>
    <col min="8" max="8" width="43" style="13" customWidth="1"/>
    <col min="9" max="9" width="9" style="13" customWidth="1"/>
    <col min="10" max="10" width="13.36328125" style="7" customWidth="1"/>
    <col min="11" max="11" width="16.36328125" style="40" customWidth="1"/>
    <col min="12" max="12" width="9.26953125" style="7" customWidth="1"/>
    <col min="13" max="13" width="10.36328125" style="7" customWidth="1"/>
    <col min="14" max="14" width="9.7265625" style="7" customWidth="1"/>
    <col min="15" max="17" width="53.6328125" style="7" customWidth="1"/>
    <col min="18" max="18" width="53.54296875" style="7" customWidth="1"/>
    <col min="19" max="19" width="26.1796875" style="7" customWidth="1"/>
    <col min="20" max="20" width="21" style="7" customWidth="1"/>
    <col min="21" max="21" width="12.08984375" style="7" customWidth="1"/>
    <col min="22" max="22" width="13.453125" style="7" customWidth="1"/>
    <col min="23" max="16384" width="9" style="7"/>
  </cols>
  <sheetData>
    <row r="1" spans="1:22" ht="29.25" customHeight="1">
      <c r="A1" s="47" t="s">
        <v>62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16"/>
      <c r="N1" s="16"/>
      <c r="O1" s="16"/>
      <c r="U1" s="36">
        <f ca="1">TODAY()</f>
        <v>44216</v>
      </c>
    </row>
    <row r="2" spans="1:22" s="12" customFormat="1" ht="41.25" customHeight="1">
      <c r="A2" s="41" t="s">
        <v>5</v>
      </c>
      <c r="B2" s="41" t="s">
        <v>64</v>
      </c>
      <c r="C2" s="42" t="s">
        <v>65</v>
      </c>
      <c r="D2" s="43" t="s">
        <v>66</v>
      </c>
      <c r="E2" s="42" t="s">
        <v>67</v>
      </c>
      <c r="F2" s="42" t="s">
        <v>68</v>
      </c>
      <c r="G2" s="42" t="s">
        <v>69</v>
      </c>
      <c r="H2" s="42" t="s">
        <v>70</v>
      </c>
      <c r="I2" s="42" t="s">
        <v>71</v>
      </c>
      <c r="J2" s="42" t="s">
        <v>72</v>
      </c>
      <c r="K2" s="44" t="s">
        <v>73</v>
      </c>
      <c r="L2" s="42" t="s">
        <v>74</v>
      </c>
      <c r="M2" s="42" t="s">
        <v>75</v>
      </c>
      <c r="N2" s="42" t="s">
        <v>76</v>
      </c>
      <c r="O2" s="42" t="s">
        <v>77</v>
      </c>
      <c r="P2" s="42" t="s">
        <v>78</v>
      </c>
      <c r="Q2" s="42" t="s">
        <v>79</v>
      </c>
      <c r="R2" s="42" t="s">
        <v>80</v>
      </c>
      <c r="S2" s="42" t="s">
        <v>81</v>
      </c>
      <c r="T2" s="42" t="s">
        <v>83</v>
      </c>
      <c r="U2" s="42" t="s">
        <v>84</v>
      </c>
      <c r="V2" s="42" t="s">
        <v>85</v>
      </c>
    </row>
    <row r="3" spans="1:22" ht="102" customHeight="1">
      <c r="A3" s="27"/>
      <c r="B3" s="28"/>
      <c r="C3" s="29"/>
      <c r="D3" s="30"/>
      <c r="E3" s="32"/>
      <c r="F3" s="32"/>
      <c r="G3" s="31"/>
      <c r="H3" s="28"/>
      <c r="I3" s="28"/>
      <c r="J3" s="33"/>
      <c r="K3" s="39"/>
      <c r="L3" s="26"/>
      <c r="M3" s="25"/>
      <c r="N3" s="25"/>
      <c r="O3" s="26"/>
      <c r="P3" s="34"/>
      <c r="Q3" s="34"/>
      <c r="R3" s="34"/>
      <c r="S3" s="35"/>
      <c r="T3" s="46"/>
      <c r="U3" s="38" t="e">
        <f ca="1">IF(T3&lt;&gt;"",T3-date_parser(D3),date_parser(D3)-TODAY())</f>
        <v>#VALUE!</v>
      </c>
      <c r="V3" s="37"/>
    </row>
    <row r="4" spans="1:22" ht="102" customHeight="1">
      <c r="A4" s="27"/>
      <c r="B4" s="28"/>
      <c r="C4" s="29"/>
      <c r="D4" s="30"/>
      <c r="E4" s="31"/>
      <c r="F4" s="32"/>
      <c r="G4" s="31"/>
      <c r="H4" s="28"/>
      <c r="I4" s="28"/>
      <c r="J4" s="33"/>
      <c r="K4" s="39"/>
      <c r="L4" s="26"/>
      <c r="M4" s="25"/>
      <c r="N4" s="25"/>
      <c r="O4" s="26"/>
      <c r="P4" s="34"/>
      <c r="Q4" s="34"/>
      <c r="R4" s="34"/>
      <c r="S4" s="35"/>
      <c r="T4" s="45" t="s">
        <v>86</v>
      </c>
      <c r="U4" s="38" t="e">
        <f ca="1">IF(T4&lt;&gt;"",T4-date_parser(D4),date_parser(D4)-TODAY())</f>
        <v>#VALUE!</v>
      </c>
      <c r="V4" s="37"/>
    </row>
    <row r="5" spans="1:22" ht="102" customHeight="1">
      <c r="A5" s="27"/>
      <c r="B5" s="28"/>
      <c r="C5" s="29"/>
      <c r="D5" s="30"/>
      <c r="E5" s="31"/>
      <c r="F5" s="32"/>
      <c r="G5" s="31"/>
      <c r="H5" s="28"/>
      <c r="I5" s="28"/>
      <c r="J5" s="33"/>
      <c r="K5" s="39"/>
      <c r="L5" s="26"/>
      <c r="M5" s="25"/>
      <c r="N5" s="25"/>
      <c r="O5" s="26"/>
      <c r="P5" s="34"/>
      <c r="Q5" s="34"/>
      <c r="R5" s="34"/>
      <c r="S5" s="35"/>
      <c r="T5" s="45" t="s">
        <v>86</v>
      </c>
      <c r="U5" s="38" t="e">
        <f ca="1">IF(T5&lt;&gt;"",T5-date_parser(D5),date_parser(D5)-TODAY())</f>
        <v>#VALUE!</v>
      </c>
      <c r="V5" s="37"/>
    </row>
    <row r="6" spans="1:22" ht="102" customHeight="1">
      <c r="A6" s="27"/>
      <c r="B6" s="28"/>
      <c r="C6" s="29"/>
      <c r="D6" s="30"/>
      <c r="E6" s="31"/>
      <c r="F6" s="32"/>
      <c r="G6" s="31"/>
      <c r="H6" s="28"/>
      <c r="I6" s="28"/>
      <c r="J6" s="33"/>
      <c r="K6" s="39"/>
      <c r="L6" s="26"/>
      <c r="M6" s="25"/>
      <c r="N6" s="25"/>
      <c r="O6" s="26"/>
      <c r="P6" s="34"/>
      <c r="Q6" s="34"/>
      <c r="R6" s="34"/>
      <c r="S6" s="35"/>
      <c r="T6" s="45" t="s">
        <v>87</v>
      </c>
      <c r="U6" s="38" t="e">
        <f ca="1">IF(T6&lt;&gt;"",T6-date_parser(D6),date_parser(D6)-TODAY())</f>
        <v>#VALUE!</v>
      </c>
      <c r="V6" s="37"/>
    </row>
    <row r="7" spans="1:22" ht="102" customHeight="1">
      <c r="A7" s="27"/>
      <c r="B7" s="28"/>
      <c r="C7" s="29"/>
      <c r="D7" s="30"/>
      <c r="E7" s="31"/>
      <c r="F7" s="32"/>
      <c r="G7" s="31"/>
      <c r="H7" s="28"/>
      <c r="I7" s="28"/>
      <c r="J7" s="33"/>
      <c r="K7" s="39"/>
      <c r="L7" s="26"/>
      <c r="M7" s="25"/>
      <c r="N7" s="25"/>
      <c r="O7" s="26"/>
      <c r="P7" s="34"/>
      <c r="Q7" s="34"/>
      <c r="R7" s="34"/>
      <c r="S7" s="35"/>
      <c r="T7" s="45" t="s">
        <v>88</v>
      </c>
      <c r="U7" s="38" t="e">
        <f ca="1">IF(T7&lt;&gt;"",T7-date_parser(D7),date_parser(D7)-TODAY())</f>
        <v>#VALUE!</v>
      </c>
      <c r="V7" s="37"/>
    </row>
    <row r="8" spans="1:22" ht="102" customHeight="1">
      <c r="A8" s="27"/>
      <c r="B8" s="28"/>
      <c r="C8" s="29"/>
      <c r="D8" s="30"/>
      <c r="E8" s="31"/>
      <c r="F8" s="32"/>
      <c r="G8" s="31"/>
      <c r="H8" s="28"/>
      <c r="I8" s="28"/>
      <c r="J8" s="33"/>
      <c r="K8" s="39"/>
      <c r="L8" s="26"/>
      <c r="M8" s="25"/>
      <c r="N8" s="25"/>
      <c r="O8" s="26"/>
      <c r="P8" s="34"/>
      <c r="Q8" s="34"/>
      <c r="R8" s="34"/>
      <c r="S8" s="35"/>
      <c r="T8" s="46">
        <v>44399</v>
      </c>
      <c r="U8" s="38" t="e">
        <f ca="1">IF(T8&lt;&gt;"",T8-date_parser(D8),date_parser(D8)-TODAY())</f>
        <v>#VALUE!</v>
      </c>
      <c r="V8" s="37"/>
    </row>
    <row r="9" spans="1:22" ht="102" customHeight="1">
      <c r="A9" s="27"/>
      <c r="B9" s="28"/>
      <c r="C9" s="29"/>
      <c r="D9" s="30"/>
      <c r="E9" s="31"/>
      <c r="F9" s="32"/>
      <c r="G9" s="31"/>
      <c r="H9" s="28"/>
      <c r="I9" s="28"/>
      <c r="J9" s="33"/>
      <c r="K9" s="39"/>
      <c r="L9" s="26"/>
      <c r="M9" s="25"/>
      <c r="N9" s="25"/>
      <c r="O9" s="26"/>
      <c r="P9" s="34"/>
      <c r="Q9" s="34"/>
      <c r="R9" s="34"/>
      <c r="S9" s="35"/>
      <c r="T9" s="45"/>
      <c r="U9" s="38" t="e">
        <f ca="1">IF(T9&lt;&gt;"",T9-date_parser(D9),date_parser(D9)-TODAY())</f>
        <v>#VALUE!</v>
      </c>
      <c r="V9" s="37"/>
    </row>
    <row r="10" spans="1:22" ht="102" customHeight="1">
      <c r="A10" s="27"/>
      <c r="B10" s="28"/>
      <c r="C10" s="29"/>
      <c r="D10" s="30"/>
      <c r="E10" s="31"/>
      <c r="F10" s="32"/>
      <c r="G10" s="31"/>
      <c r="H10" s="28"/>
      <c r="I10" s="28"/>
      <c r="J10" s="33"/>
      <c r="K10" s="39"/>
      <c r="L10" s="26"/>
      <c r="M10" s="25"/>
      <c r="N10" s="25"/>
      <c r="O10" s="26"/>
      <c r="P10" s="34"/>
      <c r="Q10" s="34"/>
      <c r="R10" s="34"/>
      <c r="S10" s="35"/>
      <c r="T10" s="45" t="s">
        <v>82</v>
      </c>
      <c r="U10" s="38" t="e">
        <f ca="1">IF(T10&lt;&gt;"",T10-date_parser(D10),date_parser(D10)-TODAY())</f>
        <v>#VALUE!</v>
      </c>
      <c r="V10" s="37"/>
    </row>
    <row r="11" spans="1:22" ht="102" customHeight="1">
      <c r="A11" s="27"/>
      <c r="B11" s="28"/>
      <c r="C11" s="29"/>
      <c r="D11" s="30"/>
      <c r="E11" s="31"/>
      <c r="F11" s="32"/>
      <c r="G11" s="31"/>
      <c r="H11" s="28"/>
      <c r="I11" s="28"/>
      <c r="J11" s="33"/>
      <c r="K11" s="39"/>
      <c r="L11" s="26"/>
      <c r="M11" s="25"/>
      <c r="N11" s="25"/>
      <c r="O11" s="26"/>
      <c r="P11" s="34"/>
      <c r="Q11" s="34"/>
      <c r="R11" s="34"/>
      <c r="S11" s="35"/>
      <c r="T11" s="45" t="s">
        <v>82</v>
      </c>
      <c r="U11" s="38" t="e">
        <f ca="1">IF(T11&lt;&gt;"",T11-date_parser(D11),date_parser(D11)-TODAY())</f>
        <v>#VALUE!</v>
      </c>
      <c r="V11" s="37"/>
    </row>
    <row r="12" spans="1:22" ht="102" customHeight="1">
      <c r="A12" s="27"/>
      <c r="B12" s="28"/>
      <c r="C12" s="29"/>
      <c r="D12" s="30"/>
      <c r="E12" s="31"/>
      <c r="F12" s="32"/>
      <c r="G12" s="31"/>
      <c r="H12" s="28"/>
      <c r="I12" s="28"/>
      <c r="J12" s="33"/>
      <c r="K12" s="39"/>
      <c r="L12" s="26"/>
      <c r="M12" s="25"/>
      <c r="N12" s="25"/>
      <c r="O12" s="26"/>
      <c r="P12" s="34"/>
      <c r="Q12" s="34"/>
      <c r="R12" s="34"/>
      <c r="S12" s="35"/>
      <c r="T12" s="45"/>
      <c r="U12" s="38" t="e">
        <f ca="1">IF(T12&lt;&gt;"",T12-date_parser(D12),date_parser(D12)-TODAY())</f>
        <v>#VALUE!</v>
      </c>
      <c r="V12" s="37"/>
    </row>
    <row r="13" spans="1:22" ht="102" customHeight="1">
      <c r="A13" s="27"/>
      <c r="B13" s="28"/>
      <c r="C13" s="29"/>
      <c r="D13" s="30"/>
      <c r="E13" s="31"/>
      <c r="F13" s="32"/>
      <c r="G13" s="31"/>
      <c r="H13" s="28"/>
      <c r="I13" s="28"/>
      <c r="J13" s="33"/>
      <c r="K13" s="39"/>
      <c r="L13" s="26"/>
      <c r="M13" s="25"/>
      <c r="N13" s="25"/>
      <c r="O13" s="26"/>
      <c r="P13" s="34"/>
      <c r="Q13" s="34"/>
      <c r="R13" s="34"/>
      <c r="S13" s="35"/>
      <c r="T13" s="45">
        <v>20200618</v>
      </c>
      <c r="U13" s="38" t="e">
        <f ca="1">IF(T13&lt;&gt;"",T13-date_parser(D13),date_parser(D13)-TODAY())</f>
        <v>#VALUE!</v>
      </c>
      <c r="V13" s="37"/>
    </row>
    <row r="14" spans="1:22" ht="102" customHeight="1">
      <c r="A14" s="27">
        <v>12</v>
      </c>
      <c r="B14" s="28"/>
      <c r="C14" s="29"/>
      <c r="D14" s="30"/>
      <c r="E14" s="31"/>
      <c r="F14" s="32"/>
      <c r="G14" s="31"/>
      <c r="H14" s="28"/>
      <c r="I14" s="28"/>
      <c r="J14" s="33"/>
      <c r="K14" s="39"/>
      <c r="L14" s="26"/>
      <c r="M14" s="25"/>
      <c r="N14" s="25"/>
      <c r="O14" s="26"/>
      <c r="P14" s="34"/>
      <c r="Q14" s="34"/>
      <c r="R14" s="34"/>
      <c r="S14" s="35"/>
      <c r="T14" s="45"/>
      <c r="U14" s="38" t="e">
        <f ca="1">IF(T14&lt;&gt;"",T14-date_parser(D14),date_parser(D14)-TODAY())</f>
        <v>#VALUE!</v>
      </c>
      <c r="V14" s="37"/>
    </row>
    <row r="15" spans="1:22" ht="102" customHeight="1">
      <c r="A15" s="27">
        <v>13</v>
      </c>
      <c r="B15" s="28"/>
      <c r="C15" s="29"/>
      <c r="D15" s="30"/>
      <c r="E15" s="31"/>
      <c r="F15" s="32"/>
      <c r="G15" s="31"/>
      <c r="H15" s="28"/>
      <c r="I15" s="28"/>
      <c r="J15" s="33"/>
      <c r="K15" s="39"/>
      <c r="L15" s="26"/>
      <c r="M15" s="25"/>
      <c r="N15" s="25"/>
      <c r="O15" s="26"/>
      <c r="P15" s="34"/>
      <c r="Q15" s="34"/>
      <c r="R15" s="34"/>
      <c r="S15" s="35"/>
      <c r="T15" s="45"/>
      <c r="U15" s="38" t="e">
        <f ca="1">IF(T15&lt;&gt;"",T15-date_parser(D15),date_parser(D15)-TODAY())</f>
        <v>#VALUE!</v>
      </c>
      <c r="V15" s="37"/>
    </row>
    <row r="16" spans="1:22" ht="102" customHeight="1">
      <c r="A16" s="27">
        <v>14</v>
      </c>
      <c r="B16" s="28"/>
      <c r="C16" s="29"/>
      <c r="D16" s="30"/>
      <c r="E16" s="31"/>
      <c r="F16" s="32"/>
      <c r="G16" s="31"/>
      <c r="H16" s="28"/>
      <c r="I16" s="28"/>
      <c r="J16" s="33"/>
      <c r="K16" s="39"/>
      <c r="L16" s="26"/>
      <c r="M16" s="25"/>
      <c r="N16" s="25"/>
      <c r="O16" s="26"/>
      <c r="P16" s="34"/>
      <c r="Q16" s="34"/>
      <c r="R16" s="34"/>
      <c r="S16" s="35"/>
      <c r="T16" s="45"/>
      <c r="U16" s="38" t="e">
        <f ca="1">IF(T16&lt;&gt;"",T16-date_parser(D16),date_parser(D16)-TODAY())</f>
        <v>#VALUE!</v>
      </c>
      <c r="V16" s="37"/>
    </row>
    <row r="17" spans="1:22" ht="102" customHeight="1">
      <c r="A17" s="27">
        <v>15</v>
      </c>
      <c r="B17" s="28"/>
      <c r="C17" s="29"/>
      <c r="D17" s="30"/>
      <c r="E17" s="31"/>
      <c r="F17" s="32"/>
      <c r="G17" s="31"/>
      <c r="H17" s="28"/>
      <c r="I17" s="28"/>
      <c r="J17" s="33"/>
      <c r="K17" s="39"/>
      <c r="L17" s="26"/>
      <c r="M17" s="25"/>
      <c r="N17" s="25"/>
      <c r="O17" s="26"/>
      <c r="P17" s="34"/>
      <c r="Q17" s="34"/>
      <c r="R17" s="34"/>
      <c r="S17" s="35"/>
      <c r="T17" s="45" t="s">
        <v>89</v>
      </c>
      <c r="U17" s="38" t="e">
        <f ca="1">IF(T17&lt;&gt;"",T17-date_parser(D17),date_parser(D17)-TODAY())</f>
        <v>#VALUE!</v>
      </c>
      <c r="V17" s="37"/>
    </row>
    <row r="18" spans="1:22" ht="102" customHeight="1">
      <c r="A18" s="27">
        <v>16</v>
      </c>
      <c r="B18" s="28"/>
      <c r="C18" s="29"/>
      <c r="D18" s="30"/>
      <c r="E18" s="31"/>
      <c r="F18" s="32"/>
      <c r="G18" s="31"/>
      <c r="H18" s="28"/>
      <c r="I18" s="28"/>
      <c r="J18" s="33"/>
      <c r="K18" s="39"/>
      <c r="L18" s="26"/>
      <c r="M18" s="25"/>
      <c r="N18" s="25"/>
      <c r="O18" s="26"/>
      <c r="P18" s="34"/>
      <c r="Q18" s="34"/>
      <c r="R18" s="34"/>
      <c r="S18" s="35"/>
      <c r="T18" s="45"/>
      <c r="U18" s="38" t="e">
        <f ca="1">IF(T18&lt;&gt;"",T18-date_parser(D18),date_parser(D18)-TODAY())</f>
        <v>#VALUE!</v>
      </c>
      <c r="V18" s="37"/>
    </row>
    <row r="19" spans="1:22" ht="102" customHeight="1">
      <c r="A19" s="27">
        <v>17</v>
      </c>
      <c r="B19" s="28"/>
      <c r="C19" s="29"/>
      <c r="D19" s="30"/>
      <c r="E19" s="31"/>
      <c r="F19" s="32"/>
      <c r="G19" s="31"/>
      <c r="H19" s="28"/>
      <c r="I19" s="28"/>
      <c r="J19" s="33"/>
      <c r="K19" s="39"/>
      <c r="L19" s="26"/>
      <c r="M19" s="25"/>
      <c r="N19" s="25"/>
      <c r="O19" s="26"/>
      <c r="P19" s="34"/>
      <c r="Q19" s="34"/>
      <c r="R19" s="34"/>
      <c r="S19" s="35"/>
      <c r="T19" s="45" t="s">
        <v>90</v>
      </c>
      <c r="U19" s="38" t="e">
        <f ca="1">IF(T19&lt;&gt;"",T19-date_parser(D19),date_parser(D19)-TODAY())</f>
        <v>#VALUE!</v>
      </c>
      <c r="V19" s="37"/>
    </row>
    <row r="20" spans="1:22" ht="102" customHeight="1">
      <c r="A20" s="27">
        <v>18</v>
      </c>
      <c r="B20" s="28"/>
      <c r="C20" s="29"/>
      <c r="D20" s="30"/>
      <c r="E20" s="31"/>
      <c r="F20" s="32"/>
      <c r="G20" s="31"/>
      <c r="H20" s="28"/>
      <c r="I20" s="28"/>
      <c r="J20" s="33"/>
      <c r="K20" s="39"/>
      <c r="L20" s="26"/>
      <c r="M20" s="25"/>
      <c r="N20" s="25"/>
      <c r="O20" s="26"/>
      <c r="P20" s="34"/>
      <c r="Q20" s="34"/>
      <c r="R20" s="34"/>
      <c r="S20" s="35"/>
      <c r="T20" s="35"/>
      <c r="U20" s="38"/>
      <c r="V20" s="37"/>
    </row>
    <row r="21" spans="1:22" ht="102" customHeight="1">
      <c r="A21" s="27">
        <v>19</v>
      </c>
      <c r="B21" s="28"/>
      <c r="C21" s="29"/>
      <c r="D21" s="30"/>
      <c r="E21" s="31"/>
      <c r="F21" s="32"/>
      <c r="G21" s="31"/>
      <c r="H21" s="28"/>
      <c r="I21" s="28"/>
      <c r="J21" s="33"/>
      <c r="K21" s="39"/>
      <c r="L21" s="26"/>
      <c r="M21" s="25"/>
      <c r="N21" s="25"/>
      <c r="O21" s="26"/>
      <c r="P21" s="34"/>
      <c r="Q21" s="34"/>
      <c r="R21" s="34"/>
      <c r="S21" s="35"/>
      <c r="T21" s="35"/>
      <c r="U21" s="38"/>
      <c r="V21" s="37"/>
    </row>
    <row r="22" spans="1:22" ht="102" customHeight="1">
      <c r="A22" s="27">
        <v>20</v>
      </c>
      <c r="B22" s="28"/>
      <c r="C22" s="29"/>
      <c r="D22" s="30"/>
      <c r="E22" s="31"/>
      <c r="F22" s="32"/>
      <c r="G22" s="31"/>
      <c r="H22" s="28"/>
      <c r="I22" s="28"/>
      <c r="J22" s="33"/>
      <c r="K22" s="39"/>
      <c r="L22" s="26"/>
      <c r="M22" s="25"/>
      <c r="N22" s="25"/>
      <c r="O22" s="26"/>
      <c r="P22" s="34"/>
      <c r="Q22" s="34"/>
      <c r="R22" s="34"/>
      <c r="S22" s="35"/>
      <c r="T22" s="35"/>
      <c r="U22" s="38"/>
      <c r="V22" s="37"/>
    </row>
    <row r="23" spans="1:22" ht="102" customHeight="1">
      <c r="A23" s="27"/>
      <c r="B23" s="28"/>
      <c r="C23" s="29"/>
      <c r="D23" s="30"/>
      <c r="E23" s="31"/>
      <c r="F23" s="32"/>
      <c r="G23" s="31"/>
      <c r="H23" s="28"/>
      <c r="I23" s="28"/>
      <c r="J23" s="33"/>
      <c r="K23" s="39"/>
      <c r="L23" s="26"/>
      <c r="M23" s="25"/>
      <c r="N23" s="25"/>
      <c r="O23" s="26"/>
      <c r="P23" s="34"/>
      <c r="Q23" s="34"/>
      <c r="R23" s="34"/>
      <c r="S23" s="35"/>
      <c r="T23" s="35"/>
      <c r="U23" s="38"/>
      <c r="V23" s="37"/>
    </row>
    <row r="24" spans="1:22" ht="102" customHeight="1">
      <c r="A24" s="27"/>
      <c r="B24" s="28"/>
      <c r="C24" s="29"/>
      <c r="D24" s="30"/>
      <c r="E24" s="31"/>
      <c r="F24" s="32"/>
      <c r="G24" s="31"/>
      <c r="H24" s="28"/>
      <c r="I24" s="28"/>
      <c r="J24" s="33"/>
      <c r="K24" s="39"/>
      <c r="L24" s="26"/>
      <c r="M24" s="25"/>
      <c r="N24" s="25"/>
      <c r="O24" s="26"/>
      <c r="P24" s="34"/>
      <c r="Q24" s="34"/>
      <c r="R24" s="34"/>
      <c r="S24" s="35"/>
      <c r="T24" s="35"/>
      <c r="U24" s="38"/>
      <c r="V24" s="37"/>
    </row>
    <row r="25" spans="1:22" ht="102" customHeight="1">
      <c r="A25" s="27"/>
      <c r="B25" s="28"/>
      <c r="C25" s="29"/>
      <c r="D25" s="30"/>
      <c r="E25" s="31"/>
      <c r="F25" s="32"/>
      <c r="G25" s="31"/>
      <c r="H25" s="28"/>
      <c r="I25" s="28"/>
      <c r="J25" s="33"/>
      <c r="K25" s="39"/>
      <c r="L25" s="26"/>
      <c r="M25" s="25"/>
      <c r="N25" s="25"/>
      <c r="O25" s="26"/>
      <c r="P25" s="34"/>
      <c r="Q25" s="34"/>
      <c r="R25" s="34"/>
      <c r="S25" s="35"/>
      <c r="T25" s="35"/>
      <c r="U25" s="38"/>
      <c r="V25" s="37"/>
    </row>
    <row r="26" spans="1:22" ht="102" customHeight="1">
      <c r="A26" s="27"/>
      <c r="B26" s="28"/>
      <c r="C26" s="29"/>
      <c r="D26" s="30"/>
      <c r="E26" s="31"/>
      <c r="F26" s="32"/>
      <c r="G26" s="31"/>
      <c r="H26" s="28"/>
      <c r="I26" s="28"/>
      <c r="J26" s="33"/>
      <c r="K26" s="39"/>
      <c r="L26" s="26"/>
      <c r="M26" s="25"/>
      <c r="N26" s="25"/>
      <c r="O26" s="26"/>
      <c r="P26" s="34"/>
      <c r="Q26" s="34"/>
      <c r="R26" s="34"/>
      <c r="S26" s="35"/>
      <c r="T26" s="35"/>
      <c r="U26" s="38"/>
      <c r="V26" s="37"/>
    </row>
    <row r="27" spans="1:22" ht="102" customHeight="1">
      <c r="A27" s="27"/>
      <c r="B27" s="28"/>
      <c r="C27" s="29"/>
      <c r="D27" s="30"/>
      <c r="E27" s="31"/>
      <c r="F27" s="32"/>
      <c r="G27" s="31"/>
      <c r="H27" s="28"/>
      <c r="I27" s="28"/>
      <c r="J27" s="33"/>
      <c r="K27" s="39"/>
      <c r="L27" s="26"/>
      <c r="M27" s="25"/>
      <c r="N27" s="25"/>
      <c r="O27" s="26"/>
      <c r="P27" s="34"/>
      <c r="Q27" s="34"/>
      <c r="R27" s="34"/>
      <c r="S27" s="35"/>
      <c r="T27" s="35"/>
      <c r="U27" s="38"/>
      <c r="V27" s="37"/>
    </row>
    <row r="28" spans="1:22" ht="102" customHeight="1">
      <c r="A28" s="27"/>
      <c r="B28" s="28"/>
      <c r="C28" s="29"/>
      <c r="D28" s="30"/>
      <c r="E28" s="31"/>
      <c r="F28" s="32"/>
      <c r="G28" s="31"/>
      <c r="H28" s="28"/>
      <c r="I28" s="28"/>
      <c r="J28" s="33"/>
      <c r="K28" s="39"/>
      <c r="L28" s="26"/>
      <c r="M28" s="25"/>
      <c r="N28" s="25"/>
      <c r="O28" s="26"/>
      <c r="P28" s="34"/>
      <c r="Q28" s="34"/>
      <c r="R28" s="34"/>
      <c r="S28" s="35"/>
      <c r="T28" s="35"/>
      <c r="U28" s="38"/>
      <c r="V28" s="37"/>
    </row>
    <row r="29" spans="1:22" ht="102" customHeight="1">
      <c r="A29" s="27"/>
      <c r="B29" s="28"/>
      <c r="C29" s="29"/>
      <c r="D29" s="30"/>
      <c r="E29" s="31"/>
      <c r="F29" s="32"/>
      <c r="G29" s="31"/>
      <c r="H29" s="28"/>
      <c r="I29" s="28"/>
      <c r="J29" s="33"/>
      <c r="K29" s="39"/>
      <c r="L29" s="26"/>
      <c r="M29" s="25"/>
      <c r="N29" s="25"/>
      <c r="O29" s="26"/>
      <c r="P29" s="34"/>
      <c r="Q29" s="34"/>
      <c r="R29" s="34"/>
      <c r="S29" s="35"/>
      <c r="T29" s="35"/>
      <c r="U29" s="38"/>
      <c r="V29" s="37"/>
    </row>
    <row r="30" spans="1:22" ht="102" customHeight="1">
      <c r="A30" s="27"/>
      <c r="B30" s="28"/>
      <c r="C30" s="29"/>
      <c r="D30" s="30"/>
      <c r="E30" s="31"/>
      <c r="F30" s="32"/>
      <c r="G30" s="31"/>
      <c r="H30" s="28"/>
      <c r="I30" s="28"/>
      <c r="J30" s="33"/>
      <c r="K30" s="39"/>
      <c r="L30" s="26"/>
      <c r="M30" s="25"/>
      <c r="N30" s="25"/>
      <c r="O30" s="26"/>
      <c r="P30" s="34"/>
      <c r="Q30" s="34"/>
      <c r="R30" s="34"/>
      <c r="S30" s="35"/>
      <c r="T30" s="35"/>
      <c r="U30" s="38"/>
      <c r="V30" s="37"/>
    </row>
    <row r="31" spans="1:22" ht="102" customHeight="1">
      <c r="A31" s="27"/>
      <c r="B31" s="28"/>
      <c r="C31" s="29"/>
      <c r="D31" s="30"/>
      <c r="E31" s="31"/>
      <c r="F31" s="32"/>
      <c r="G31" s="31"/>
      <c r="H31" s="28"/>
      <c r="I31" s="28"/>
      <c r="J31" s="33"/>
      <c r="K31" s="39"/>
      <c r="L31" s="26"/>
      <c r="M31" s="25"/>
      <c r="N31" s="25"/>
      <c r="O31" s="26"/>
      <c r="P31" s="34"/>
      <c r="Q31" s="34"/>
      <c r="R31" s="34"/>
      <c r="S31" s="35"/>
      <c r="T31" s="35"/>
      <c r="U31" s="38"/>
      <c r="V31" s="37"/>
    </row>
    <row r="32" spans="1:22" ht="102" customHeight="1">
      <c r="A32" s="27"/>
      <c r="B32" s="28"/>
      <c r="C32" s="29"/>
      <c r="D32" s="30"/>
      <c r="E32" s="31"/>
      <c r="F32" s="32"/>
      <c r="G32" s="31"/>
      <c r="H32" s="28"/>
      <c r="I32" s="28"/>
      <c r="J32" s="33"/>
      <c r="K32" s="39"/>
      <c r="L32" s="26"/>
      <c r="M32" s="25"/>
      <c r="N32" s="25"/>
      <c r="O32" s="26"/>
      <c r="P32" s="34"/>
      <c r="Q32" s="34"/>
      <c r="R32" s="34"/>
      <c r="S32" s="35"/>
      <c r="T32" s="35"/>
      <c r="U32" s="38"/>
      <c r="V32" s="37"/>
    </row>
    <row r="33" spans="1:22" ht="102" customHeight="1">
      <c r="A33" s="27"/>
      <c r="B33" s="28"/>
      <c r="C33" s="29"/>
      <c r="D33" s="30"/>
      <c r="E33" s="31"/>
      <c r="F33" s="32"/>
      <c r="G33" s="31"/>
      <c r="H33" s="28"/>
      <c r="I33" s="28"/>
      <c r="J33" s="33"/>
      <c r="K33" s="39"/>
      <c r="L33" s="26"/>
      <c r="M33" s="25"/>
      <c r="N33" s="25"/>
      <c r="O33" s="26"/>
      <c r="P33" s="34"/>
      <c r="Q33" s="34"/>
      <c r="R33" s="34"/>
      <c r="S33" s="35"/>
      <c r="T33" s="35"/>
      <c r="U33" s="38"/>
      <c r="V33" s="37"/>
    </row>
    <row r="34" spans="1:22" ht="102" customHeight="1">
      <c r="A34" s="27"/>
      <c r="B34" s="28"/>
      <c r="C34" s="29"/>
      <c r="D34" s="30"/>
      <c r="E34" s="31"/>
      <c r="F34" s="32"/>
      <c r="G34" s="31"/>
      <c r="H34" s="28"/>
      <c r="I34" s="28"/>
      <c r="J34" s="33"/>
      <c r="K34" s="39"/>
      <c r="L34" s="26"/>
      <c r="M34" s="25"/>
      <c r="N34" s="25"/>
      <c r="O34" s="26"/>
      <c r="P34" s="34"/>
      <c r="Q34" s="34"/>
      <c r="R34" s="34"/>
      <c r="S34" s="35"/>
      <c r="T34" s="35"/>
      <c r="U34" s="38"/>
      <c r="V34" s="37"/>
    </row>
    <row r="35" spans="1:22" ht="102" customHeight="1">
      <c r="A35" s="27"/>
      <c r="B35" s="28"/>
      <c r="C35" s="29"/>
      <c r="D35" s="30"/>
      <c r="E35" s="31"/>
      <c r="F35" s="32"/>
      <c r="G35" s="31"/>
      <c r="H35" s="28"/>
      <c r="I35" s="28"/>
      <c r="J35" s="33"/>
      <c r="K35" s="39"/>
      <c r="L35" s="26"/>
      <c r="M35" s="25"/>
      <c r="N35" s="25"/>
      <c r="O35" s="26"/>
      <c r="P35" s="34"/>
      <c r="Q35" s="34"/>
      <c r="R35" s="34"/>
      <c r="S35" s="35"/>
      <c r="T35" s="35"/>
      <c r="U35" s="38"/>
      <c r="V35" s="37"/>
    </row>
    <row r="36" spans="1:22" ht="102" customHeight="1">
      <c r="A36" s="27"/>
      <c r="B36" s="28"/>
      <c r="C36" s="29"/>
      <c r="D36" s="30"/>
      <c r="E36" s="31"/>
      <c r="F36" s="32"/>
      <c r="G36" s="31"/>
      <c r="H36" s="28"/>
      <c r="I36" s="28"/>
      <c r="J36" s="33"/>
      <c r="K36" s="39"/>
      <c r="L36" s="26"/>
      <c r="M36" s="25"/>
      <c r="N36" s="25"/>
      <c r="O36" s="26"/>
      <c r="P36" s="34"/>
      <c r="Q36" s="34"/>
      <c r="R36" s="34"/>
      <c r="S36" s="35"/>
      <c r="T36" s="35"/>
      <c r="U36" s="38"/>
      <c r="V36" s="37"/>
    </row>
    <row r="37" spans="1:22" ht="102" customHeight="1">
      <c r="A37" s="27"/>
      <c r="B37" s="28"/>
      <c r="C37" s="29"/>
      <c r="D37" s="30"/>
      <c r="E37" s="31"/>
      <c r="F37" s="32"/>
      <c r="G37" s="31"/>
      <c r="H37" s="28"/>
      <c r="I37" s="28"/>
      <c r="J37" s="33"/>
      <c r="K37" s="39"/>
      <c r="L37" s="26"/>
      <c r="M37" s="25"/>
      <c r="N37" s="25"/>
      <c r="O37" s="26"/>
      <c r="P37" s="34"/>
      <c r="Q37" s="34"/>
      <c r="R37" s="34"/>
      <c r="S37" s="35"/>
      <c r="T37" s="35"/>
      <c r="U37" s="38"/>
      <c r="V37" s="37"/>
    </row>
    <row r="38" spans="1:22" ht="102" customHeight="1">
      <c r="A38" s="27"/>
      <c r="B38" s="28"/>
      <c r="C38" s="29"/>
      <c r="D38" s="30"/>
      <c r="E38" s="31"/>
      <c r="F38" s="32"/>
      <c r="G38" s="31"/>
      <c r="H38" s="28"/>
      <c r="I38" s="28"/>
      <c r="J38" s="33"/>
      <c r="K38" s="39"/>
      <c r="L38" s="26"/>
      <c r="M38" s="25"/>
      <c r="N38" s="25"/>
      <c r="O38" s="26"/>
      <c r="P38" s="34"/>
      <c r="Q38" s="34"/>
      <c r="R38" s="34"/>
      <c r="S38" s="35"/>
      <c r="T38" s="35"/>
      <c r="U38" s="38"/>
      <c r="V38" s="37"/>
    </row>
    <row r="39" spans="1:22" ht="102" customHeight="1">
      <c r="A39" s="27"/>
      <c r="B39" s="28"/>
      <c r="C39" s="29"/>
      <c r="D39" s="30"/>
      <c r="E39" s="31"/>
      <c r="F39" s="32"/>
      <c r="G39" s="31"/>
      <c r="H39" s="28"/>
      <c r="I39" s="28"/>
      <c r="J39" s="33"/>
      <c r="K39" s="39"/>
      <c r="L39" s="26"/>
      <c r="M39" s="25"/>
      <c r="N39" s="25"/>
      <c r="O39" s="26"/>
      <c r="P39" s="34"/>
      <c r="Q39" s="34"/>
      <c r="R39" s="34"/>
      <c r="S39" s="35"/>
      <c r="T39" s="35"/>
      <c r="U39" s="38"/>
      <c r="V39" s="37"/>
    </row>
    <row r="40" spans="1:22" ht="102" customHeight="1">
      <c r="A40" s="27"/>
      <c r="B40" s="28"/>
      <c r="C40" s="29"/>
      <c r="D40" s="30"/>
      <c r="E40" s="31"/>
      <c r="F40" s="32"/>
      <c r="G40" s="31"/>
      <c r="H40" s="28"/>
      <c r="I40" s="28"/>
      <c r="J40" s="33"/>
      <c r="K40" s="39"/>
      <c r="L40" s="26"/>
      <c r="M40" s="25"/>
      <c r="N40" s="25"/>
      <c r="O40" s="26"/>
      <c r="P40" s="34"/>
      <c r="Q40" s="34"/>
      <c r="R40" s="34"/>
      <c r="S40" s="35"/>
      <c r="T40" s="35"/>
      <c r="U40" s="38"/>
      <c r="V40" s="37"/>
    </row>
    <row r="41" spans="1:22" ht="102" customHeight="1">
      <c r="A41" s="27"/>
      <c r="B41" s="28"/>
      <c r="C41" s="29"/>
      <c r="D41" s="30"/>
      <c r="E41" s="31"/>
      <c r="F41" s="32"/>
      <c r="G41" s="31"/>
      <c r="H41" s="28"/>
      <c r="I41" s="28"/>
      <c r="J41" s="33"/>
      <c r="K41" s="39"/>
      <c r="L41" s="26"/>
      <c r="M41" s="25"/>
      <c r="N41" s="25"/>
      <c r="O41" s="26"/>
      <c r="P41" s="34"/>
      <c r="Q41" s="34"/>
      <c r="R41" s="34"/>
      <c r="S41" s="35"/>
      <c r="T41" s="35"/>
      <c r="U41" s="38"/>
      <c r="V41" s="37"/>
    </row>
    <row r="42" spans="1:22" ht="102" customHeight="1">
      <c r="A42" s="27"/>
      <c r="B42" s="28"/>
      <c r="C42" s="29"/>
      <c r="D42" s="30"/>
      <c r="E42" s="31"/>
      <c r="F42" s="32"/>
      <c r="G42" s="31"/>
      <c r="H42" s="28"/>
      <c r="I42" s="28"/>
      <c r="J42" s="33"/>
      <c r="K42" s="39"/>
      <c r="L42" s="26"/>
      <c r="M42" s="25"/>
      <c r="N42" s="25"/>
      <c r="O42" s="26"/>
      <c r="P42" s="34"/>
      <c r="Q42" s="34"/>
      <c r="R42" s="34"/>
      <c r="S42" s="35"/>
      <c r="T42" s="35"/>
      <c r="U42" s="38"/>
      <c r="V42" s="37"/>
    </row>
    <row r="43" spans="1:22" ht="102" customHeight="1">
      <c r="A43" s="27"/>
      <c r="B43" s="28"/>
      <c r="C43" s="29"/>
      <c r="D43" s="30"/>
      <c r="E43" s="31"/>
      <c r="F43" s="32"/>
      <c r="G43" s="31"/>
      <c r="H43" s="28"/>
      <c r="I43" s="28"/>
      <c r="J43" s="33"/>
      <c r="K43" s="39"/>
      <c r="L43" s="26"/>
      <c r="M43" s="25"/>
      <c r="N43" s="25"/>
      <c r="O43" s="26"/>
      <c r="P43" s="34"/>
      <c r="Q43" s="34"/>
      <c r="R43" s="34"/>
      <c r="S43" s="35"/>
      <c r="T43" s="35"/>
      <c r="U43" s="38"/>
      <c r="V43" s="37"/>
    </row>
    <row r="44" spans="1:22" ht="102" customHeight="1">
      <c r="A44" s="27"/>
      <c r="B44" s="28"/>
      <c r="C44" s="29"/>
      <c r="D44" s="30"/>
      <c r="E44" s="31"/>
      <c r="F44" s="32"/>
      <c r="G44" s="31"/>
      <c r="H44" s="28"/>
      <c r="I44" s="28"/>
      <c r="J44" s="33"/>
      <c r="K44" s="39"/>
      <c r="L44" s="26"/>
      <c r="M44" s="25"/>
      <c r="N44" s="25"/>
      <c r="O44" s="26"/>
      <c r="P44" s="34"/>
      <c r="Q44" s="34"/>
      <c r="R44" s="34"/>
      <c r="S44" s="35"/>
      <c r="T44" s="35"/>
      <c r="U44" s="38"/>
      <c r="V44" s="37"/>
    </row>
  </sheetData>
  <autoFilter ref="A2:V22" xr:uid="{F623A60D-DC3E-4492-8AD8-5F0AC143B9EE}"/>
  <mergeCells count="1">
    <mergeCell ref="A1:L1"/>
  </mergeCells>
  <phoneticPr fontId="3" type="noConversion"/>
  <conditionalFormatting sqref="C3:O3">
    <cfRule type="expression" dxfId="37" priority="351" stopIfTrue="1">
      <formula>$U3="close"</formula>
    </cfRule>
    <cfRule type="expression" dxfId="36" priority="352" stopIfTrue="1">
      <formula>AND($U3="Open",$S3&gt;30)</formula>
    </cfRule>
    <cfRule type="expression" dxfId="35" priority="353" stopIfTrue="1">
      <formula>$U3="Open"</formula>
    </cfRule>
  </conditionalFormatting>
  <conditionalFormatting sqref="B3">
    <cfRule type="expression" dxfId="34" priority="42" stopIfTrue="1">
      <formula>$U3="close"</formula>
    </cfRule>
    <cfRule type="expression" dxfId="33" priority="43" stopIfTrue="1">
      <formula>AND($U3="Open",$S3&gt;30)</formula>
    </cfRule>
    <cfRule type="expression" dxfId="32" priority="44" stopIfTrue="1">
      <formula>$U3="Open"</formula>
    </cfRule>
  </conditionalFormatting>
  <conditionalFormatting sqref="T3">
    <cfRule type="expression" dxfId="31" priority="39" stopIfTrue="1">
      <formula>$U3="close"</formula>
    </cfRule>
    <cfRule type="expression" dxfId="30" priority="40" stopIfTrue="1">
      <formula>AND($U3="Open",$S3&gt;30)</formula>
    </cfRule>
    <cfRule type="expression" dxfId="29" priority="41" stopIfTrue="1">
      <formula>$U3="Open"</formula>
    </cfRule>
  </conditionalFormatting>
  <conditionalFormatting sqref="S3">
    <cfRule type="expression" dxfId="28" priority="33" stopIfTrue="1">
      <formula>$U3="close"</formula>
    </cfRule>
    <cfRule type="expression" dxfId="27" priority="34" stopIfTrue="1">
      <formula>AND($U3="Open",$S3&gt;30)</formula>
    </cfRule>
    <cfRule type="expression" dxfId="26" priority="35" stopIfTrue="1">
      <formula>$U3="Open"</formula>
    </cfRule>
  </conditionalFormatting>
  <conditionalFormatting sqref="C4:O23">
    <cfRule type="expression" dxfId="25" priority="30" stopIfTrue="1">
      <formula>$U4="close"</formula>
    </cfRule>
    <cfRule type="expression" dxfId="24" priority="31" stopIfTrue="1">
      <formula>AND($U4="Open",$S4&gt;30)</formula>
    </cfRule>
    <cfRule type="expression" dxfId="23" priority="32" stopIfTrue="1">
      <formula>$U4="Open"</formula>
    </cfRule>
  </conditionalFormatting>
  <conditionalFormatting sqref="B4:B23">
    <cfRule type="expression" dxfId="22" priority="27" stopIfTrue="1">
      <formula>$U4="close"</formula>
    </cfRule>
    <cfRule type="expression" dxfId="21" priority="28" stopIfTrue="1">
      <formula>AND($U4="Open",$S4&gt;30)</formula>
    </cfRule>
    <cfRule type="expression" dxfId="20" priority="29" stopIfTrue="1">
      <formula>$U4="Open"</formula>
    </cfRule>
  </conditionalFormatting>
  <conditionalFormatting sqref="T4:T23">
    <cfRule type="expression" dxfId="19" priority="18" stopIfTrue="1">
      <formula>$U4="close"</formula>
    </cfRule>
    <cfRule type="expression" dxfId="18" priority="19" stopIfTrue="1">
      <formula>AND($U4="Open",$S4&gt;30)</formula>
    </cfRule>
    <cfRule type="expression" dxfId="17" priority="20" stopIfTrue="1">
      <formula>$U4="Open"</formula>
    </cfRule>
  </conditionalFormatting>
  <conditionalFormatting sqref="S4:S23">
    <cfRule type="expression" dxfId="16" priority="15" stopIfTrue="1">
      <formula>$U4="close"</formula>
    </cfRule>
    <cfRule type="expression" dxfId="15" priority="16" stopIfTrue="1">
      <formula>AND($U4="Open",$S4&gt;30)</formula>
    </cfRule>
    <cfRule type="expression" dxfId="14" priority="17" stopIfTrue="1">
      <formula>$U4="Open"</formula>
    </cfRule>
  </conditionalFormatting>
  <conditionalFormatting sqref="U3:U23">
    <cfRule type="cellIs" dxfId="13" priority="14" operator="lessThan">
      <formula>0</formula>
    </cfRule>
  </conditionalFormatting>
  <conditionalFormatting sqref="C24:O44">
    <cfRule type="expression" dxfId="12" priority="11" stopIfTrue="1">
      <formula>$U24="close"</formula>
    </cfRule>
    <cfRule type="expression" dxfId="11" priority="12" stopIfTrue="1">
      <formula>AND($U24="Open",$S24&gt;30)</formula>
    </cfRule>
    <cfRule type="expression" dxfId="10" priority="13" stopIfTrue="1">
      <formula>$U24="Open"</formula>
    </cfRule>
  </conditionalFormatting>
  <conditionalFormatting sqref="B24:B44">
    <cfRule type="expression" dxfId="9" priority="8" stopIfTrue="1">
      <formula>$U24="close"</formula>
    </cfRule>
    <cfRule type="expression" dxfId="8" priority="9" stopIfTrue="1">
      <formula>AND($U24="Open",$S24&gt;30)</formula>
    </cfRule>
    <cfRule type="expression" dxfId="7" priority="10" stopIfTrue="1">
      <formula>$U24="Open"</formula>
    </cfRule>
  </conditionalFormatting>
  <conditionalFormatting sqref="T24:T44">
    <cfRule type="expression" dxfId="6" priority="5" stopIfTrue="1">
      <formula>$U24="close"</formula>
    </cfRule>
    <cfRule type="expression" dxfId="5" priority="6" stopIfTrue="1">
      <formula>AND($U24="Open",$S24&gt;30)</formula>
    </cfRule>
    <cfRule type="expression" dxfId="4" priority="7" stopIfTrue="1">
      <formula>$U24="Open"</formula>
    </cfRule>
  </conditionalFormatting>
  <conditionalFormatting sqref="S24:S44">
    <cfRule type="expression" dxfId="3" priority="2" stopIfTrue="1">
      <formula>$U24="close"</formula>
    </cfRule>
    <cfRule type="expression" dxfId="2" priority="3" stopIfTrue="1">
      <formula>AND($U24="Open",$S24&gt;30)</formula>
    </cfRule>
    <cfRule type="expression" dxfId="1" priority="4" stopIfTrue="1">
      <formula>$U24="Open"</formula>
    </cfRule>
  </conditionalFormatting>
  <conditionalFormatting sqref="U24:U44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4</xdr:col>
                <xdr:colOff>1797050</xdr:colOff>
                <xdr:row>1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FY20 QCD</vt:lpstr>
      <vt:lpstr>FY20 市场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Zhang, Liang (SSV)</cp:lastModifiedBy>
  <dcterms:created xsi:type="dcterms:W3CDTF">2006-09-16T00:00:00Z</dcterms:created>
  <dcterms:modified xsi:type="dcterms:W3CDTF">2021-01-20T04:39:36Z</dcterms:modified>
</cp:coreProperties>
</file>